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Rates &amp; FX\DPP\Credicorp\Aprendizaje\Calculos\"/>
    </mc:Choice>
  </mc:AlternateContent>
  <xr:revisionPtr revIDLastSave="0" documentId="8_{975308F4-DC2E-4D06-8BFB-834F23EFB96E}" xr6:coauthVersionLast="28" xr6:coauthVersionMax="28" xr10:uidLastSave="{00000000-0000-0000-0000-000000000000}"/>
  <bookViews>
    <workbookView xWindow="0" yWindow="0" windowWidth="28800" windowHeight="12210" activeTab="1" xr2:uid="{00000000-000D-0000-FFFF-FFFF00000000}"/>
  </bookViews>
  <sheets>
    <sheet name="interpola" sheetId="1" r:id="rId1"/>
    <sheet name="Duracion" sheetId="2" r:id="rId2"/>
    <sheet name="BCU" sheetId="3" r:id="rId3"/>
    <sheet name="TIR" sheetId="4" r:id="rId4"/>
    <sheet name="Datos" sheetId="5" r:id="rId5"/>
  </sheets>
  <functionGroups builtInGroupCount="19"/>
  <definedNames>
    <definedName name="PosicionDatos">Datos!$I$19</definedName>
  </definedNames>
  <calcPr calcId="171027"/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W3461" i="2"/>
  <c r="W3462" i="2"/>
  <c r="W3463" i="2"/>
  <c r="W3464" i="2"/>
  <c r="W3465" i="2"/>
  <c r="W3466" i="2"/>
  <c r="W3467" i="2"/>
  <c r="W3468" i="2"/>
  <c r="W3469" i="2"/>
  <c r="W3470" i="2"/>
  <c r="W3471" i="2"/>
  <c r="W3472" i="2"/>
  <c r="W3473" i="2"/>
  <c r="W3474" i="2"/>
  <c r="W3475" i="2"/>
  <c r="W3476" i="2"/>
  <c r="W3477" i="2"/>
  <c r="W3478" i="2"/>
  <c r="W3479" i="2"/>
  <c r="W3480" i="2"/>
  <c r="W3481" i="2"/>
  <c r="W3482" i="2"/>
  <c r="W3483" i="2"/>
  <c r="W3484" i="2"/>
  <c r="W3485" i="2"/>
  <c r="W3486" i="2"/>
  <c r="W3487" i="2"/>
  <c r="W3488" i="2"/>
  <c r="W3489" i="2"/>
  <c r="W3490" i="2"/>
  <c r="W3491" i="2"/>
  <c r="W3492" i="2"/>
  <c r="W3493" i="2"/>
  <c r="W3494" i="2"/>
  <c r="W3495" i="2"/>
  <c r="W3496" i="2"/>
  <c r="W3497" i="2"/>
  <c r="W3498" i="2"/>
  <c r="W3499" i="2"/>
  <c r="W3500" i="2"/>
  <c r="W3501" i="2"/>
  <c r="W3502" i="2"/>
  <c r="W3503" i="2"/>
  <c r="W3504" i="2"/>
  <c r="W3505" i="2"/>
  <c r="W3506" i="2"/>
  <c r="W3507" i="2"/>
  <c r="W3508" i="2"/>
  <c r="W3509" i="2"/>
  <c r="W3510" i="2"/>
  <c r="W3511" i="2"/>
  <c r="W3512" i="2"/>
  <c r="W3513" i="2"/>
  <c r="W3514" i="2"/>
  <c r="W3515" i="2"/>
  <c r="W3516" i="2"/>
  <c r="W3517" i="2"/>
  <c r="W3518" i="2"/>
  <c r="W3519" i="2"/>
  <c r="W3520" i="2"/>
  <c r="W3521" i="2"/>
  <c r="W3522" i="2"/>
  <c r="W3523" i="2"/>
  <c r="W3524" i="2"/>
  <c r="W3525" i="2"/>
  <c r="W3526" i="2"/>
  <c r="W3527" i="2"/>
  <c r="W3528" i="2"/>
  <c r="W3529" i="2"/>
  <c r="W3530" i="2"/>
  <c r="W3531" i="2"/>
  <c r="W3532" i="2"/>
  <c r="W3533" i="2"/>
  <c r="W3534" i="2"/>
  <c r="W3535" i="2"/>
  <c r="W3536" i="2"/>
  <c r="W3537" i="2"/>
  <c r="W3538" i="2"/>
  <c r="W3539" i="2"/>
  <c r="W3540" i="2"/>
  <c r="W3541" i="2"/>
  <c r="W3542" i="2"/>
  <c r="W3543" i="2"/>
  <c r="W3544" i="2"/>
  <c r="W3545" i="2"/>
  <c r="W3546" i="2"/>
  <c r="W3547" i="2"/>
  <c r="W3548" i="2"/>
  <c r="W3549" i="2"/>
  <c r="W3550" i="2"/>
  <c r="W3551" i="2"/>
  <c r="W3552" i="2"/>
  <c r="W3553" i="2"/>
  <c r="W3554" i="2"/>
  <c r="W3555" i="2"/>
  <c r="W3556" i="2"/>
  <c r="W3557" i="2"/>
  <c r="W3558" i="2"/>
  <c r="W3559" i="2"/>
  <c r="W3560" i="2"/>
  <c r="W3561" i="2"/>
  <c r="W3562" i="2"/>
  <c r="W3563" i="2"/>
  <c r="W3564" i="2"/>
  <c r="W3565" i="2"/>
  <c r="W3566" i="2"/>
  <c r="W3567" i="2"/>
  <c r="W3568" i="2"/>
  <c r="W3569" i="2"/>
  <c r="W3570" i="2"/>
  <c r="W3571" i="2"/>
  <c r="W3572" i="2"/>
  <c r="W3573" i="2"/>
  <c r="W3574" i="2"/>
  <c r="W3575" i="2"/>
  <c r="W3576" i="2"/>
  <c r="W3577" i="2"/>
  <c r="W3578" i="2"/>
  <c r="W3579" i="2"/>
  <c r="W3580" i="2"/>
  <c r="W3581" i="2"/>
  <c r="W3582" i="2"/>
  <c r="W3583" i="2"/>
  <c r="W3584" i="2"/>
  <c r="W3585" i="2"/>
  <c r="W3586" i="2"/>
  <c r="W3587" i="2"/>
  <c r="W3588" i="2"/>
  <c r="W3589" i="2"/>
  <c r="W3590" i="2"/>
  <c r="W3591" i="2"/>
  <c r="W3592" i="2"/>
  <c r="W3593" i="2"/>
  <c r="W3594" i="2"/>
  <c r="W3595" i="2"/>
  <c r="W3596" i="2"/>
  <c r="W3597" i="2"/>
  <c r="W3598" i="2"/>
  <c r="W3599" i="2"/>
  <c r="W3600" i="2"/>
  <c r="W3601" i="2"/>
  <c r="W3602" i="2"/>
  <c r="W3603" i="2"/>
  <c r="W3604" i="2"/>
  <c r="W3605" i="2"/>
  <c r="W3606" i="2"/>
  <c r="W3607" i="2"/>
  <c r="W3608" i="2"/>
  <c r="W3609" i="2"/>
  <c r="W3610" i="2"/>
  <c r="W3611" i="2"/>
  <c r="W3612" i="2"/>
  <c r="W3613" i="2"/>
  <c r="W3614" i="2"/>
  <c r="W3615" i="2"/>
  <c r="W3616" i="2"/>
  <c r="W3617" i="2"/>
  <c r="W3618" i="2"/>
  <c r="W3619" i="2"/>
  <c r="W3620" i="2"/>
  <c r="W3621" i="2"/>
  <c r="W3622" i="2"/>
  <c r="W3623" i="2"/>
  <c r="W3624" i="2"/>
  <c r="W3625" i="2"/>
  <c r="W3626" i="2"/>
  <c r="W3627" i="2"/>
  <c r="W3628" i="2"/>
  <c r="W3629" i="2"/>
  <c r="W3630" i="2"/>
  <c r="W3631" i="2"/>
  <c r="W3632" i="2"/>
  <c r="W3633" i="2"/>
  <c r="W3634" i="2"/>
  <c r="W3635" i="2"/>
  <c r="W3636" i="2"/>
  <c r="W3637" i="2"/>
  <c r="W3638" i="2"/>
  <c r="W3639" i="2"/>
  <c r="W3640" i="2"/>
  <c r="W3641" i="2"/>
  <c r="W3642" i="2"/>
  <c r="W3643" i="2"/>
  <c r="W3644" i="2"/>
  <c r="W3645" i="2"/>
  <c r="W3646" i="2"/>
  <c r="W3647" i="2"/>
  <c r="W3648" i="2"/>
  <c r="W3649" i="2"/>
  <c r="W3650" i="2"/>
  <c r="W3651" i="2"/>
  <c r="W3652" i="2"/>
  <c r="W3653" i="2"/>
  <c r="W3654" i="2"/>
  <c r="W3655" i="2"/>
  <c r="W3656" i="2"/>
  <c r="W3657" i="2"/>
  <c r="W3658" i="2"/>
  <c r="W3659" i="2"/>
  <c r="W3660" i="2"/>
  <c r="W3661" i="2"/>
  <c r="W3662" i="2"/>
  <c r="W3663" i="2"/>
  <c r="W3664" i="2"/>
  <c r="W3665" i="2"/>
  <c r="W3666" i="2"/>
  <c r="W3667" i="2"/>
  <c r="W3668" i="2"/>
  <c r="W3669" i="2"/>
  <c r="W3670" i="2"/>
  <c r="W3671" i="2"/>
  <c r="W3672" i="2"/>
  <c r="W3673" i="2"/>
  <c r="W3674" i="2"/>
  <c r="W3675" i="2"/>
  <c r="W3676" i="2"/>
  <c r="W3677" i="2"/>
  <c r="W3678" i="2"/>
  <c r="W3679" i="2"/>
  <c r="W3680" i="2"/>
  <c r="W3681" i="2"/>
  <c r="W3682" i="2"/>
  <c r="W3683" i="2"/>
  <c r="W3684" i="2"/>
  <c r="W3685" i="2"/>
  <c r="W3686" i="2"/>
  <c r="W3687" i="2"/>
  <c r="W3688" i="2"/>
  <c r="W3689" i="2"/>
  <c r="W3690" i="2"/>
  <c r="W3691" i="2"/>
  <c r="W3692" i="2"/>
  <c r="W3693" i="2"/>
  <c r="W3694" i="2"/>
  <c r="W3695" i="2"/>
  <c r="W3696" i="2"/>
  <c r="W3697" i="2"/>
  <c r="W3698" i="2"/>
  <c r="W3699" i="2"/>
  <c r="W3700" i="2"/>
  <c r="W3701" i="2"/>
  <c r="W3702" i="2"/>
  <c r="W3703" i="2"/>
  <c r="W3704" i="2"/>
  <c r="W3705" i="2"/>
  <c r="W3706" i="2"/>
  <c r="W3707" i="2"/>
  <c r="W3708" i="2"/>
  <c r="W3709" i="2"/>
  <c r="W3710" i="2"/>
  <c r="W3711" i="2"/>
  <c r="W3712" i="2"/>
  <c r="W3713" i="2"/>
  <c r="W3714" i="2"/>
  <c r="W3715" i="2"/>
  <c r="W3716" i="2"/>
  <c r="W3717" i="2"/>
  <c r="W3718" i="2"/>
  <c r="W3719" i="2"/>
  <c r="W3720" i="2"/>
  <c r="W3721" i="2"/>
  <c r="W3722" i="2"/>
  <c r="W3723" i="2"/>
  <c r="W3724" i="2"/>
  <c r="W3725" i="2"/>
  <c r="W3726" i="2"/>
  <c r="W3727" i="2"/>
  <c r="W3728" i="2"/>
  <c r="W3729" i="2"/>
  <c r="W3730" i="2"/>
  <c r="W3731" i="2"/>
  <c r="W3732" i="2"/>
  <c r="W3733" i="2"/>
  <c r="W3734" i="2"/>
  <c r="W3735" i="2"/>
  <c r="W3736" i="2"/>
  <c r="W3737" i="2"/>
  <c r="W3738" i="2"/>
  <c r="W3739" i="2"/>
  <c r="W3740" i="2"/>
  <c r="W3741" i="2"/>
  <c r="W3742" i="2"/>
  <c r="W3743" i="2"/>
  <c r="W3744" i="2"/>
  <c r="W3745" i="2"/>
  <c r="W3746" i="2"/>
  <c r="W3747" i="2"/>
  <c r="W3748" i="2"/>
  <c r="W3749" i="2"/>
  <c r="W3750" i="2"/>
  <c r="W3751" i="2"/>
  <c r="W3752" i="2"/>
  <c r="W3753" i="2"/>
  <c r="W3754" i="2"/>
  <c r="W3755" i="2"/>
  <c r="W3756" i="2"/>
  <c r="W3757" i="2"/>
  <c r="W3758" i="2"/>
  <c r="W3759" i="2"/>
  <c r="W3760" i="2"/>
  <c r="W3761" i="2"/>
  <c r="W3762" i="2"/>
  <c r="W3763" i="2"/>
  <c r="W3764" i="2"/>
  <c r="W3765" i="2"/>
  <c r="W3766" i="2"/>
  <c r="W3767" i="2"/>
  <c r="W3768" i="2"/>
  <c r="W3769" i="2"/>
  <c r="W3770" i="2"/>
  <c r="W3771" i="2"/>
  <c r="W3772" i="2"/>
  <c r="W3773" i="2"/>
  <c r="W3774" i="2"/>
  <c r="W3775" i="2"/>
  <c r="W3776" i="2"/>
  <c r="W3777" i="2"/>
  <c r="W3778" i="2"/>
  <c r="W3779" i="2"/>
  <c r="W3780" i="2"/>
  <c r="W3781" i="2"/>
  <c r="W3782" i="2"/>
  <c r="W3783" i="2"/>
  <c r="W3784" i="2"/>
  <c r="W3785" i="2"/>
  <c r="W3786" i="2"/>
  <c r="W3787" i="2"/>
  <c r="W3788" i="2"/>
  <c r="W3789" i="2"/>
  <c r="W3790" i="2"/>
  <c r="W3791" i="2"/>
  <c r="W3792" i="2"/>
  <c r="W3793" i="2"/>
  <c r="W3794" i="2"/>
  <c r="W3795" i="2"/>
  <c r="W3796" i="2"/>
  <c r="W3797" i="2"/>
  <c r="W3798" i="2"/>
  <c r="W3799" i="2"/>
  <c r="W3800" i="2"/>
  <c r="W3801" i="2"/>
  <c r="W3802" i="2"/>
  <c r="W3803" i="2"/>
  <c r="W3804" i="2"/>
  <c r="W3805" i="2"/>
  <c r="W3806" i="2"/>
  <c r="W3807" i="2"/>
  <c r="W3808" i="2"/>
  <c r="W3809" i="2"/>
  <c r="W3810" i="2"/>
  <c r="W3811" i="2"/>
  <c r="W3812" i="2"/>
  <c r="W3813" i="2"/>
  <c r="W3814" i="2"/>
  <c r="W3815" i="2"/>
  <c r="W3816" i="2"/>
  <c r="W3817" i="2"/>
  <c r="W3818" i="2"/>
  <c r="W3819" i="2"/>
  <c r="W3820" i="2"/>
  <c r="W3821" i="2"/>
  <c r="W3822" i="2"/>
  <c r="W3823" i="2"/>
  <c r="W3824" i="2"/>
  <c r="W3825" i="2"/>
  <c r="W3826" i="2"/>
  <c r="W3827" i="2"/>
  <c r="W3828" i="2"/>
  <c r="W3829" i="2"/>
  <c r="W3830" i="2"/>
  <c r="W3831" i="2"/>
  <c r="W3832" i="2"/>
  <c r="W3833" i="2"/>
  <c r="W3834" i="2"/>
  <c r="W3835" i="2"/>
  <c r="W3836" i="2"/>
  <c r="W3837" i="2"/>
  <c r="W3838" i="2"/>
  <c r="W3839" i="2"/>
  <c r="W3840" i="2"/>
  <c r="W3841" i="2"/>
  <c r="W3842" i="2"/>
  <c r="W3843" i="2"/>
  <c r="W3844" i="2"/>
  <c r="W3845" i="2"/>
  <c r="W3846" i="2"/>
  <c r="W3847" i="2"/>
  <c r="W3848" i="2"/>
  <c r="W3849" i="2"/>
  <c r="W3850" i="2"/>
  <c r="W3851" i="2"/>
  <c r="W3852" i="2"/>
  <c r="W3853" i="2"/>
  <c r="W3854" i="2"/>
  <c r="W3855" i="2"/>
  <c r="W3856" i="2"/>
  <c r="W3857" i="2"/>
  <c r="W3858" i="2"/>
  <c r="W3859" i="2"/>
  <c r="W3860" i="2"/>
  <c r="W3861" i="2"/>
  <c r="W3862" i="2"/>
  <c r="W3863" i="2"/>
  <c r="W3864" i="2"/>
  <c r="W3865" i="2"/>
  <c r="W3866" i="2"/>
  <c r="W3867" i="2"/>
  <c r="W3868" i="2"/>
  <c r="W3869" i="2"/>
  <c r="W3870" i="2"/>
  <c r="W3871" i="2"/>
  <c r="W3872" i="2"/>
  <c r="W3873" i="2"/>
  <c r="W3874" i="2"/>
  <c r="W3875" i="2"/>
  <c r="W3876" i="2"/>
  <c r="W3877" i="2"/>
  <c r="W3878" i="2"/>
  <c r="W3879" i="2"/>
  <c r="W3880" i="2"/>
  <c r="W3881" i="2"/>
  <c r="W3882" i="2"/>
  <c r="W3883" i="2"/>
  <c r="W3884" i="2"/>
  <c r="W3885" i="2"/>
  <c r="W3886" i="2"/>
  <c r="W3887" i="2"/>
  <c r="W3888" i="2"/>
  <c r="W3889" i="2"/>
  <c r="W3890" i="2"/>
  <c r="W3891" i="2"/>
  <c r="W3892" i="2"/>
  <c r="W3893" i="2"/>
  <c r="W3894" i="2"/>
  <c r="W3895" i="2"/>
  <c r="W3896" i="2"/>
  <c r="W3897" i="2"/>
  <c r="W3898" i="2"/>
  <c r="W3899" i="2"/>
  <c r="W3900" i="2"/>
  <c r="W3901" i="2"/>
  <c r="W3902" i="2"/>
  <c r="W3903" i="2"/>
  <c r="W3904" i="2"/>
  <c r="W3905" i="2"/>
  <c r="W3906" i="2"/>
  <c r="W3907" i="2"/>
  <c r="W3908" i="2"/>
  <c r="W3909" i="2"/>
  <c r="W3910" i="2"/>
  <c r="W3911" i="2"/>
  <c r="W3912" i="2"/>
  <c r="W3913" i="2"/>
  <c r="W3914" i="2"/>
  <c r="W3915" i="2"/>
  <c r="W3916" i="2"/>
  <c r="W3917" i="2"/>
  <c r="W3918" i="2"/>
  <c r="W3919" i="2"/>
  <c r="W3920" i="2"/>
  <c r="W3921" i="2"/>
  <c r="W3922" i="2"/>
  <c r="W3923" i="2"/>
  <c r="W3924" i="2"/>
  <c r="W3925" i="2"/>
  <c r="W3926" i="2"/>
  <c r="W3927" i="2"/>
  <c r="W3928" i="2"/>
  <c r="W3929" i="2"/>
  <c r="W3930" i="2"/>
  <c r="W3931" i="2"/>
  <c r="W3932" i="2"/>
  <c r="W3933" i="2"/>
  <c r="W3934" i="2"/>
  <c r="W3935" i="2"/>
  <c r="W3936" i="2"/>
  <c r="W3937" i="2"/>
  <c r="W3938" i="2"/>
  <c r="W3939" i="2"/>
  <c r="W3940" i="2"/>
  <c r="W3941" i="2"/>
  <c r="W3942" i="2"/>
  <c r="W3943" i="2"/>
  <c r="W3944" i="2"/>
  <c r="W3945" i="2"/>
  <c r="W3946" i="2"/>
  <c r="W3947" i="2"/>
  <c r="W3948" i="2"/>
  <c r="W3949" i="2"/>
  <c r="W3950" i="2"/>
  <c r="W3951" i="2"/>
  <c r="W3952" i="2"/>
  <c r="W3953" i="2"/>
  <c r="W3954" i="2"/>
  <c r="W3955" i="2"/>
  <c r="W3956" i="2"/>
  <c r="W3957" i="2"/>
  <c r="W3958" i="2"/>
  <c r="W3959" i="2"/>
  <c r="W3960" i="2"/>
  <c r="W3961" i="2"/>
  <c r="W3962" i="2"/>
  <c r="W3963" i="2"/>
  <c r="W3964" i="2"/>
  <c r="W3965" i="2"/>
  <c r="W3966" i="2"/>
  <c r="W3967" i="2"/>
  <c r="W3968" i="2"/>
  <c r="W3969" i="2"/>
  <c r="W3970" i="2"/>
  <c r="W3971" i="2"/>
  <c r="W3972" i="2"/>
  <c r="W3973" i="2"/>
  <c r="W3974" i="2"/>
  <c r="W3975" i="2"/>
  <c r="W3976" i="2"/>
  <c r="W3977" i="2"/>
  <c r="W3978" i="2"/>
  <c r="W3979" i="2"/>
  <c r="W3980" i="2"/>
  <c r="W3981" i="2"/>
  <c r="W3982" i="2"/>
  <c r="W3983" i="2"/>
  <c r="W3984" i="2"/>
  <c r="W3985" i="2"/>
  <c r="W3986" i="2"/>
  <c r="W3987" i="2"/>
  <c r="W3988" i="2"/>
  <c r="W3989" i="2"/>
  <c r="W3990" i="2"/>
  <c r="W3991" i="2"/>
  <c r="W3992" i="2"/>
  <c r="W3993" i="2"/>
  <c r="W3994" i="2"/>
  <c r="W3995" i="2"/>
  <c r="W3996" i="2"/>
  <c r="W3997" i="2"/>
  <c r="W3998" i="2"/>
  <c r="W3999" i="2"/>
  <c r="W4000" i="2"/>
  <c r="W4001" i="2"/>
  <c r="W4002" i="2"/>
  <c r="W4003" i="2"/>
  <c r="W4004" i="2"/>
  <c r="W4005" i="2"/>
  <c r="W4006" i="2"/>
  <c r="W4007" i="2"/>
  <c r="W4008" i="2"/>
  <c r="W4009" i="2"/>
  <c r="W4010" i="2"/>
  <c r="W4011" i="2"/>
  <c r="W4012" i="2"/>
  <c r="W4013" i="2"/>
  <c r="W4014" i="2"/>
  <c r="W4015" i="2"/>
  <c r="W4016" i="2"/>
  <c r="W4017" i="2"/>
  <c r="W4018" i="2"/>
  <c r="W4019" i="2"/>
  <c r="W4020" i="2"/>
  <c r="W4021" i="2"/>
  <c r="W4022" i="2"/>
  <c r="W4023" i="2"/>
  <c r="W4024" i="2"/>
  <c r="W4025" i="2"/>
  <c r="W4026" i="2"/>
  <c r="W4027" i="2"/>
  <c r="W4028" i="2"/>
  <c r="W4029" i="2"/>
  <c r="W4030" i="2"/>
  <c r="W4031" i="2"/>
  <c r="W4032" i="2"/>
  <c r="W4033" i="2"/>
  <c r="W4034" i="2"/>
  <c r="W4035" i="2"/>
  <c r="W4036" i="2"/>
  <c r="W4037" i="2"/>
  <c r="W4038" i="2"/>
  <c r="W4039" i="2"/>
  <c r="W4040" i="2"/>
  <c r="W4041" i="2"/>
  <c r="W4042" i="2"/>
  <c r="W4043" i="2"/>
  <c r="W4044" i="2"/>
  <c r="W4045" i="2"/>
  <c r="W4046" i="2"/>
  <c r="W4047" i="2"/>
  <c r="W4048" i="2"/>
  <c r="W4049" i="2"/>
  <c r="W4050" i="2"/>
  <c r="W4051" i="2"/>
  <c r="W4052" i="2"/>
  <c r="W4053" i="2"/>
  <c r="W4054" i="2"/>
  <c r="W4055" i="2"/>
  <c r="W4056" i="2"/>
  <c r="W4057" i="2"/>
  <c r="W4058" i="2"/>
  <c r="W4059" i="2"/>
  <c r="W4060" i="2"/>
  <c r="W4061" i="2"/>
  <c r="W4062" i="2"/>
  <c r="W4063" i="2"/>
  <c r="W4064" i="2"/>
  <c r="W4065" i="2"/>
  <c r="W4066" i="2"/>
  <c r="W4067" i="2"/>
  <c r="W4068" i="2"/>
  <c r="W4069" i="2"/>
  <c r="W4070" i="2"/>
  <c r="W4071" i="2"/>
  <c r="W4072" i="2"/>
  <c r="W4073" i="2"/>
  <c r="W4074" i="2"/>
  <c r="W4075" i="2"/>
  <c r="W4076" i="2"/>
  <c r="W4077" i="2"/>
  <c r="W4078" i="2"/>
  <c r="W4079" i="2"/>
  <c r="W4080" i="2"/>
  <c r="W4081" i="2"/>
  <c r="W4082" i="2"/>
  <c r="W4083" i="2"/>
  <c r="W4084" i="2"/>
  <c r="W4085" i="2"/>
  <c r="W4086" i="2"/>
  <c r="W4087" i="2"/>
  <c r="W4088" i="2"/>
  <c r="W4089" i="2"/>
  <c r="W4090" i="2"/>
  <c r="W4091" i="2"/>
  <c r="W4092" i="2"/>
  <c r="W4093" i="2"/>
  <c r="W4094" i="2"/>
  <c r="W4095" i="2"/>
  <c r="W4096" i="2"/>
  <c r="W4097" i="2"/>
  <c r="W4098" i="2"/>
  <c r="W4099" i="2"/>
  <c r="W4100" i="2"/>
  <c r="W4101" i="2"/>
  <c r="W4102" i="2"/>
  <c r="W4103" i="2"/>
  <c r="W4104" i="2"/>
  <c r="W4105" i="2"/>
  <c r="W4106" i="2"/>
  <c r="W4107" i="2"/>
  <c r="W4108" i="2"/>
  <c r="W4109" i="2"/>
  <c r="W4110" i="2"/>
  <c r="W4111" i="2"/>
  <c r="W4112" i="2"/>
  <c r="W4113" i="2"/>
  <c r="W4114" i="2"/>
  <c r="W4115" i="2"/>
  <c r="W4116" i="2"/>
  <c r="W4117" i="2"/>
  <c r="W4118" i="2"/>
  <c r="W4119" i="2"/>
  <c r="W4120" i="2"/>
  <c r="W4121" i="2"/>
  <c r="W4122" i="2"/>
  <c r="W4123" i="2"/>
  <c r="W4124" i="2"/>
  <c r="W4125" i="2"/>
  <c r="W4126" i="2"/>
  <c r="W4127" i="2"/>
  <c r="W4128" i="2"/>
  <c r="W4129" i="2"/>
  <c r="W4130" i="2"/>
  <c r="W4131" i="2"/>
  <c r="W4132" i="2"/>
  <c r="W4133" i="2"/>
  <c r="W4134" i="2"/>
  <c r="W4135" i="2"/>
  <c r="W4136" i="2"/>
  <c r="W4137" i="2"/>
  <c r="W4138" i="2"/>
  <c r="W4139" i="2"/>
  <c r="W4140" i="2"/>
  <c r="W4141" i="2"/>
  <c r="W4142" i="2"/>
  <c r="W4143" i="2"/>
  <c r="W4144" i="2"/>
  <c r="W4145" i="2"/>
  <c r="W4146" i="2"/>
  <c r="W4147" i="2"/>
  <c r="W4148" i="2"/>
  <c r="W4149" i="2"/>
  <c r="W4150" i="2"/>
  <c r="W4151" i="2"/>
  <c r="W4152" i="2"/>
  <c r="W4153" i="2"/>
  <c r="W4154" i="2"/>
  <c r="W4155" i="2"/>
  <c r="W4156" i="2"/>
  <c r="W4157" i="2"/>
  <c r="W4158" i="2"/>
  <c r="W4159" i="2"/>
  <c r="W4160" i="2"/>
  <c r="W4161" i="2"/>
  <c r="W4162" i="2"/>
  <c r="W4163" i="2"/>
  <c r="W4164" i="2"/>
  <c r="W4165" i="2"/>
  <c r="W4166" i="2"/>
  <c r="W4167" i="2"/>
  <c r="W4168" i="2"/>
  <c r="W4169" i="2"/>
  <c r="W4170" i="2"/>
  <c r="W4171" i="2"/>
  <c r="W4172" i="2"/>
  <c r="W4173" i="2"/>
  <c r="W4174" i="2"/>
  <c r="W4175" i="2"/>
  <c r="W4176" i="2"/>
  <c r="W4177" i="2"/>
  <c r="W4178" i="2"/>
  <c r="W4179" i="2"/>
  <c r="W4180" i="2"/>
  <c r="W4181" i="2"/>
  <c r="W4182" i="2"/>
  <c r="W4183" i="2"/>
  <c r="W4184" i="2"/>
  <c r="W4185" i="2"/>
  <c r="W4186" i="2"/>
  <c r="W4187" i="2"/>
  <c r="W4188" i="2"/>
  <c r="W4189" i="2"/>
  <c r="W4190" i="2"/>
  <c r="W4191" i="2"/>
  <c r="W4192" i="2"/>
  <c r="W4193" i="2"/>
  <c r="W4194" i="2"/>
  <c r="W4195" i="2"/>
  <c r="W4196" i="2"/>
  <c r="W4197" i="2"/>
  <c r="W4198" i="2"/>
  <c r="W4199" i="2"/>
  <c r="W4200" i="2"/>
  <c r="W4201" i="2"/>
  <c r="W4202" i="2"/>
  <c r="W4203" i="2"/>
  <c r="W4204" i="2"/>
  <c r="W4205" i="2"/>
  <c r="W4206" i="2"/>
  <c r="W4207" i="2"/>
  <c r="W4208" i="2"/>
  <c r="W4209" i="2"/>
  <c r="W4210" i="2"/>
  <c r="W4211" i="2"/>
  <c r="W4212" i="2"/>
  <c r="W4213" i="2"/>
  <c r="W4214" i="2"/>
  <c r="W4215" i="2"/>
  <c r="W4216" i="2"/>
  <c r="W4217" i="2"/>
  <c r="W4218" i="2"/>
  <c r="W4219" i="2"/>
  <c r="W4220" i="2"/>
  <c r="W4221" i="2"/>
  <c r="W4222" i="2"/>
  <c r="W4223" i="2"/>
  <c r="W4224" i="2"/>
  <c r="W4225" i="2"/>
  <c r="W4226" i="2"/>
  <c r="W4227" i="2"/>
  <c r="W4228" i="2"/>
  <c r="W4229" i="2"/>
  <c r="W4230" i="2"/>
  <c r="W4231" i="2"/>
  <c r="W4232" i="2"/>
  <c r="W4233" i="2"/>
  <c r="W4234" i="2"/>
  <c r="W4235" i="2"/>
  <c r="W4236" i="2"/>
  <c r="W4237" i="2"/>
  <c r="W4238" i="2"/>
  <c r="W4239" i="2"/>
  <c r="W4240" i="2"/>
  <c r="W4241" i="2"/>
  <c r="W4242" i="2"/>
  <c r="W4243" i="2"/>
  <c r="W4244" i="2"/>
  <c r="W4245" i="2"/>
  <c r="W4246" i="2"/>
  <c r="W4247" i="2"/>
  <c r="W4248" i="2"/>
  <c r="W4249" i="2"/>
  <c r="W4250" i="2"/>
  <c r="W4251" i="2"/>
  <c r="W4252" i="2"/>
  <c r="W4253" i="2"/>
  <c r="W4254" i="2"/>
  <c r="W4255" i="2"/>
  <c r="W4256" i="2"/>
  <c r="W4257" i="2"/>
  <c r="W4258" i="2"/>
  <c r="W4259" i="2"/>
  <c r="W4260" i="2"/>
  <c r="W4261" i="2"/>
  <c r="W4262" i="2"/>
  <c r="W4263" i="2"/>
  <c r="W4264" i="2"/>
  <c r="W4265" i="2"/>
  <c r="W4266" i="2"/>
  <c r="W4267" i="2"/>
  <c r="W4268" i="2"/>
  <c r="W4269" i="2"/>
  <c r="W4270" i="2"/>
  <c r="W4271" i="2"/>
  <c r="W4272" i="2"/>
  <c r="W4273" i="2"/>
  <c r="W4274" i="2"/>
  <c r="W4275" i="2"/>
  <c r="W4276" i="2"/>
  <c r="W4277" i="2"/>
  <c r="W4278" i="2"/>
  <c r="W4279" i="2"/>
  <c r="W4280" i="2"/>
  <c r="W4281" i="2"/>
  <c r="W4282" i="2"/>
  <c r="W4283" i="2"/>
  <c r="W4284" i="2"/>
  <c r="W4285" i="2"/>
  <c r="W4286" i="2"/>
  <c r="W4287" i="2"/>
  <c r="W4288" i="2"/>
  <c r="W4289" i="2"/>
  <c r="W4290" i="2"/>
  <c r="W4291" i="2"/>
  <c r="W4292" i="2"/>
  <c r="W4293" i="2"/>
  <c r="W4294" i="2"/>
  <c r="W4295" i="2"/>
  <c r="W4296" i="2"/>
  <c r="W4297" i="2"/>
  <c r="W4298" i="2"/>
  <c r="W4299" i="2"/>
  <c r="W4300" i="2"/>
  <c r="W4301" i="2"/>
  <c r="W4302" i="2"/>
  <c r="W4303" i="2"/>
  <c r="W4304" i="2"/>
  <c r="W4305" i="2"/>
  <c r="W4306" i="2"/>
  <c r="W4307" i="2"/>
  <c r="W4308" i="2"/>
  <c r="W4309" i="2"/>
  <c r="W4310" i="2"/>
  <c r="W4311" i="2"/>
  <c r="W4312" i="2"/>
  <c r="W4313" i="2"/>
  <c r="W4314" i="2"/>
  <c r="W4315" i="2"/>
  <c r="W4316" i="2"/>
  <c r="W4317" i="2"/>
  <c r="W4318" i="2"/>
  <c r="W4319" i="2"/>
  <c r="W4320" i="2"/>
  <c r="W4321" i="2"/>
  <c r="W4322" i="2"/>
  <c r="W4323" i="2"/>
  <c r="W4324" i="2"/>
  <c r="W4325" i="2"/>
  <c r="W4326" i="2"/>
  <c r="W4327" i="2"/>
  <c r="W4328" i="2"/>
  <c r="W4329" i="2"/>
  <c r="W4330" i="2"/>
  <c r="W4331" i="2"/>
  <c r="W4332" i="2"/>
  <c r="W4333" i="2"/>
  <c r="W4334" i="2"/>
  <c r="W4335" i="2"/>
  <c r="W4336" i="2"/>
  <c r="W4337" i="2"/>
  <c r="W4338" i="2"/>
  <c r="W4339" i="2"/>
  <c r="W4340" i="2"/>
  <c r="W4341" i="2"/>
  <c r="W4342" i="2"/>
  <c r="W4343" i="2"/>
  <c r="W4344" i="2"/>
  <c r="W4345" i="2"/>
  <c r="W4346" i="2"/>
  <c r="W4347" i="2"/>
  <c r="W4348" i="2"/>
  <c r="W4349" i="2"/>
  <c r="W4350" i="2"/>
  <c r="W4351" i="2"/>
  <c r="W4352" i="2"/>
  <c r="W4353" i="2"/>
  <c r="W4354" i="2"/>
  <c r="W4355" i="2"/>
  <c r="W4356" i="2"/>
  <c r="W4357" i="2"/>
  <c r="W4358" i="2"/>
  <c r="W4359" i="2"/>
  <c r="W4360" i="2"/>
  <c r="W4361" i="2"/>
  <c r="W4362" i="2"/>
  <c r="W4363" i="2"/>
  <c r="W4364" i="2"/>
  <c r="W4365" i="2"/>
  <c r="W4366" i="2"/>
  <c r="W4367" i="2"/>
  <c r="W4368" i="2"/>
  <c r="W4369" i="2"/>
  <c r="W4370" i="2"/>
  <c r="W4371" i="2"/>
  <c r="W4372" i="2"/>
  <c r="W4373" i="2"/>
  <c r="W4374" i="2"/>
  <c r="W4375" i="2"/>
  <c r="W4376" i="2"/>
  <c r="W4377" i="2"/>
  <c r="W4378" i="2"/>
  <c r="W4379" i="2"/>
  <c r="W4380" i="2"/>
  <c r="W4381" i="2"/>
  <c r="W4382" i="2"/>
  <c r="W4383" i="2"/>
  <c r="W4384" i="2"/>
  <c r="W4385" i="2"/>
  <c r="W4386" i="2"/>
  <c r="W4387" i="2"/>
  <c r="W4388" i="2"/>
  <c r="W4389" i="2"/>
  <c r="W4390" i="2"/>
  <c r="W4391" i="2"/>
  <c r="W4392" i="2"/>
  <c r="W4393" i="2"/>
  <c r="W4394" i="2"/>
  <c r="W4395" i="2"/>
  <c r="W4396" i="2"/>
  <c r="W4397" i="2"/>
  <c r="W4398" i="2"/>
  <c r="W4399" i="2"/>
  <c r="W4400" i="2"/>
  <c r="W4401" i="2"/>
  <c r="W4402" i="2"/>
  <c r="W4403" i="2"/>
  <c r="W4404" i="2"/>
  <c r="W4405" i="2"/>
  <c r="W4406" i="2"/>
  <c r="W4407" i="2"/>
  <c r="W4408" i="2"/>
  <c r="W4409" i="2"/>
  <c r="W4410" i="2"/>
  <c r="W4411" i="2"/>
  <c r="W4412" i="2"/>
  <c r="W4413" i="2"/>
  <c r="W4414" i="2"/>
  <c r="W4415" i="2"/>
  <c r="W4416" i="2"/>
  <c r="W4417" i="2"/>
  <c r="W4418" i="2"/>
  <c r="W4419" i="2"/>
  <c r="W4420" i="2"/>
  <c r="W4421" i="2"/>
  <c r="W4422" i="2"/>
  <c r="W4423" i="2"/>
  <c r="W4424" i="2"/>
  <c r="W4425" i="2"/>
  <c r="W4426" i="2"/>
  <c r="W4427" i="2"/>
  <c r="W4428" i="2"/>
  <c r="W4429" i="2"/>
  <c r="W4430" i="2"/>
  <c r="W4431" i="2"/>
  <c r="W4432" i="2"/>
  <c r="W4433" i="2"/>
  <c r="W4434" i="2"/>
  <c r="W4435" i="2"/>
  <c r="W4436" i="2"/>
  <c r="W4437" i="2"/>
  <c r="W4438" i="2"/>
  <c r="W4439" i="2"/>
  <c r="W4440" i="2"/>
  <c r="W4441" i="2"/>
  <c r="W4442" i="2"/>
  <c r="W4443" i="2"/>
  <c r="W4444" i="2"/>
  <c r="W4445" i="2"/>
  <c r="W4446" i="2"/>
  <c r="W4447" i="2"/>
  <c r="W4448" i="2"/>
  <c r="W4449" i="2"/>
  <c r="W4450" i="2"/>
  <c r="W4451" i="2"/>
  <c r="W4452" i="2"/>
  <c r="W4453" i="2"/>
  <c r="W4454" i="2"/>
  <c r="W4455" i="2"/>
  <c r="W4456" i="2"/>
  <c r="W4457" i="2"/>
  <c r="W4458" i="2"/>
  <c r="W4459" i="2"/>
  <c r="W4460" i="2"/>
  <c r="W4461" i="2"/>
  <c r="W4462" i="2"/>
  <c r="W4463" i="2"/>
  <c r="W4464" i="2"/>
  <c r="W4465" i="2"/>
  <c r="W4466" i="2"/>
  <c r="W4467" i="2"/>
  <c r="W4468" i="2"/>
  <c r="W4469" i="2"/>
  <c r="W4470" i="2"/>
  <c r="W4471" i="2"/>
  <c r="W4472" i="2"/>
  <c r="W4473" i="2"/>
  <c r="W4474" i="2"/>
  <c r="W4475" i="2"/>
  <c r="W4476" i="2"/>
  <c r="W4477" i="2"/>
  <c r="W4478" i="2"/>
  <c r="W4479" i="2"/>
  <c r="W4480" i="2"/>
  <c r="W4481" i="2"/>
  <c r="W4482" i="2"/>
  <c r="W4483" i="2"/>
  <c r="W4484" i="2"/>
  <c r="W4485" i="2"/>
  <c r="W4486" i="2"/>
  <c r="W4487" i="2"/>
  <c r="W4488" i="2"/>
  <c r="W4489" i="2"/>
  <c r="W4490" i="2"/>
  <c r="W4491" i="2"/>
  <c r="W4492" i="2"/>
  <c r="W4493" i="2"/>
  <c r="W4494" i="2"/>
  <c r="W4495" i="2"/>
  <c r="W4496" i="2"/>
  <c r="W4497" i="2"/>
  <c r="W4498" i="2"/>
  <c r="W4499" i="2"/>
  <c r="W4500" i="2"/>
  <c r="W4501" i="2"/>
  <c r="W4502" i="2"/>
  <c r="W4503" i="2"/>
  <c r="W4504" i="2"/>
  <c r="W4505" i="2"/>
  <c r="W4506" i="2"/>
  <c r="W4507" i="2"/>
  <c r="W4508" i="2"/>
  <c r="W4509" i="2"/>
  <c r="W4510" i="2"/>
  <c r="W4511" i="2"/>
  <c r="W4512" i="2"/>
  <c r="W4513" i="2"/>
  <c r="W4514" i="2"/>
  <c r="W4515" i="2"/>
  <c r="W4516" i="2"/>
  <c r="W4517" i="2"/>
  <c r="W4518" i="2"/>
  <c r="W4519" i="2"/>
  <c r="W4520" i="2"/>
  <c r="W4521" i="2"/>
  <c r="W4522" i="2"/>
  <c r="W4523" i="2"/>
  <c r="W4524" i="2"/>
  <c r="W4525" i="2"/>
  <c r="W4526" i="2"/>
  <c r="W4527" i="2"/>
  <c r="W4528" i="2"/>
  <c r="W4529" i="2"/>
  <c r="W4530" i="2"/>
  <c r="W4531" i="2"/>
  <c r="W4532" i="2"/>
  <c r="W4533" i="2"/>
  <c r="W4534" i="2"/>
  <c r="W4535" i="2"/>
  <c r="W4536" i="2"/>
  <c r="W4537" i="2"/>
  <c r="W4538" i="2"/>
  <c r="W4539" i="2"/>
  <c r="W4540" i="2"/>
  <c r="W4541" i="2"/>
  <c r="W4542" i="2"/>
  <c r="W4543" i="2"/>
  <c r="W4544" i="2"/>
  <c r="W4545" i="2"/>
  <c r="W4546" i="2"/>
  <c r="W4547" i="2"/>
  <c r="W4548" i="2"/>
  <c r="W4549" i="2"/>
  <c r="W4550" i="2"/>
  <c r="W4551" i="2"/>
  <c r="W4552" i="2"/>
  <c r="W4553" i="2"/>
  <c r="W4554" i="2"/>
  <c r="W4555" i="2"/>
  <c r="W4556" i="2"/>
  <c r="W4557" i="2"/>
  <c r="W4558" i="2"/>
  <c r="W4559" i="2"/>
  <c r="W4560" i="2"/>
  <c r="W4561" i="2"/>
  <c r="W4562" i="2"/>
  <c r="W4563" i="2"/>
  <c r="W4564" i="2"/>
  <c r="W4565" i="2"/>
  <c r="W4566" i="2"/>
  <c r="W4567" i="2"/>
  <c r="W4568" i="2"/>
  <c r="W4569" i="2"/>
  <c r="W4570" i="2"/>
  <c r="W4571" i="2"/>
  <c r="W4572" i="2"/>
  <c r="W4573" i="2"/>
  <c r="W4574" i="2"/>
  <c r="W4575" i="2"/>
  <c r="W4576" i="2"/>
  <c r="W4577" i="2"/>
  <c r="W4578" i="2"/>
  <c r="W4579" i="2"/>
  <c r="W4580" i="2"/>
  <c r="W4581" i="2"/>
  <c r="W4582" i="2"/>
  <c r="W4583" i="2"/>
  <c r="W4584" i="2"/>
  <c r="W4585" i="2"/>
  <c r="W4586" i="2"/>
  <c r="W4587" i="2"/>
  <c r="W4588" i="2"/>
  <c r="W4589" i="2"/>
  <c r="W4590" i="2"/>
  <c r="W4591" i="2"/>
  <c r="W4592" i="2"/>
  <c r="W4593" i="2"/>
  <c r="W4594" i="2"/>
  <c r="W4595" i="2"/>
  <c r="W4596" i="2"/>
  <c r="W4597" i="2"/>
  <c r="W4598" i="2"/>
  <c r="W4599" i="2"/>
  <c r="W4600" i="2"/>
  <c r="W4601" i="2"/>
  <c r="W4602" i="2"/>
  <c r="W4603" i="2"/>
  <c r="W4604" i="2"/>
  <c r="W4605" i="2"/>
  <c r="W4606" i="2"/>
  <c r="W4607" i="2"/>
  <c r="W4608" i="2"/>
  <c r="W4609" i="2"/>
  <c r="W4610" i="2"/>
  <c r="W4611" i="2"/>
  <c r="W4612" i="2"/>
  <c r="W4613" i="2"/>
  <c r="W4614" i="2"/>
  <c r="W4615" i="2"/>
  <c r="W4616" i="2"/>
  <c r="W4617" i="2"/>
  <c r="W4618" i="2"/>
  <c r="W4619" i="2"/>
  <c r="W4620" i="2"/>
  <c r="W4621" i="2"/>
  <c r="W4622" i="2"/>
  <c r="W4623" i="2"/>
  <c r="W4624" i="2"/>
  <c r="W4625" i="2"/>
  <c r="W4626" i="2"/>
  <c r="W4627" i="2"/>
  <c r="W4628" i="2"/>
  <c r="W4629" i="2"/>
  <c r="W4630" i="2"/>
  <c r="W4631" i="2"/>
  <c r="W4632" i="2"/>
  <c r="W4633" i="2"/>
  <c r="W4634" i="2"/>
  <c r="W4635" i="2"/>
  <c r="W4636" i="2"/>
  <c r="W4637" i="2"/>
  <c r="W4638" i="2"/>
  <c r="W4639" i="2"/>
  <c r="W4640" i="2"/>
  <c r="W4641" i="2"/>
  <c r="W4642" i="2"/>
  <c r="W4643" i="2"/>
  <c r="W4644" i="2"/>
  <c r="W4645" i="2"/>
  <c r="W4646" i="2"/>
  <c r="W4647" i="2"/>
  <c r="W4648" i="2"/>
  <c r="W4649" i="2"/>
  <c r="W4650" i="2"/>
  <c r="W4651" i="2"/>
  <c r="W4652" i="2"/>
  <c r="W4653" i="2"/>
  <c r="W4654" i="2"/>
  <c r="W4655" i="2"/>
  <c r="W4656" i="2"/>
  <c r="W4657" i="2"/>
  <c r="W4658" i="2"/>
  <c r="W4659" i="2"/>
  <c r="W4660" i="2"/>
  <c r="W4661" i="2"/>
  <c r="W4662" i="2"/>
  <c r="W4663" i="2"/>
  <c r="W4664" i="2"/>
  <c r="W4665" i="2"/>
  <c r="W4666" i="2"/>
  <c r="W4667" i="2"/>
  <c r="W4668" i="2"/>
  <c r="W4669" i="2"/>
  <c r="W4670" i="2"/>
  <c r="W4671" i="2"/>
  <c r="W4672" i="2"/>
  <c r="W4673" i="2"/>
  <c r="W4674" i="2"/>
  <c r="W4675" i="2"/>
  <c r="W4676" i="2"/>
  <c r="W4677" i="2"/>
  <c r="W4678" i="2"/>
  <c r="W4679" i="2"/>
  <c r="W4680" i="2"/>
  <c r="W4681" i="2"/>
  <c r="W4682" i="2"/>
  <c r="W4683" i="2"/>
  <c r="W4684" i="2"/>
  <c r="W4685" i="2"/>
  <c r="W4686" i="2"/>
  <c r="W4687" i="2"/>
  <c r="W4688" i="2"/>
  <c r="W4689" i="2"/>
  <c r="W4690" i="2"/>
  <c r="W4691" i="2"/>
  <c r="W4692" i="2"/>
  <c r="W4693" i="2"/>
  <c r="W4694" i="2"/>
  <c r="W4695" i="2"/>
  <c r="W4696" i="2"/>
  <c r="W4697" i="2"/>
  <c r="W4698" i="2"/>
  <c r="W4699" i="2"/>
  <c r="W4700" i="2"/>
  <c r="W4701" i="2"/>
  <c r="W4702" i="2"/>
  <c r="W4703" i="2"/>
  <c r="W4704" i="2"/>
  <c r="W4705" i="2"/>
  <c r="W4706" i="2"/>
  <c r="W4707" i="2"/>
  <c r="W4708" i="2"/>
  <c r="W4709" i="2"/>
  <c r="W4710" i="2"/>
  <c r="W4711" i="2"/>
  <c r="W4712" i="2"/>
  <c r="W4713" i="2"/>
  <c r="W4714" i="2"/>
  <c r="W4715" i="2"/>
  <c r="W4716" i="2"/>
  <c r="W4717" i="2"/>
  <c r="W4718" i="2"/>
  <c r="W4719" i="2"/>
  <c r="W4720" i="2"/>
  <c r="W4721" i="2"/>
  <c r="W4722" i="2"/>
  <c r="W4723" i="2"/>
  <c r="W4724" i="2"/>
  <c r="W4725" i="2"/>
  <c r="W4726" i="2"/>
  <c r="W4727" i="2"/>
  <c r="W4728" i="2"/>
  <c r="W4729" i="2"/>
  <c r="W4730" i="2"/>
  <c r="W4731" i="2"/>
  <c r="W4732" i="2"/>
  <c r="W4733" i="2"/>
  <c r="W4734" i="2"/>
  <c r="W4735" i="2"/>
  <c r="W4736" i="2"/>
  <c r="W4737" i="2"/>
  <c r="W4738" i="2"/>
  <c r="W4739" i="2"/>
  <c r="W4740" i="2"/>
  <c r="W4741" i="2"/>
  <c r="W4742" i="2"/>
  <c r="W4743" i="2"/>
  <c r="W4744" i="2"/>
  <c r="W4745" i="2"/>
  <c r="W4746" i="2"/>
  <c r="W4747" i="2"/>
  <c r="W4748" i="2"/>
  <c r="W4749" i="2"/>
  <c r="W4750" i="2"/>
  <c r="W4751" i="2"/>
  <c r="W4752" i="2"/>
  <c r="W4753" i="2"/>
  <c r="W4754" i="2"/>
  <c r="W4755" i="2"/>
  <c r="W4756" i="2"/>
  <c r="W4757" i="2"/>
  <c r="W4758" i="2"/>
  <c r="W4759" i="2"/>
  <c r="W4760" i="2"/>
  <c r="W4761" i="2"/>
  <c r="W4762" i="2"/>
  <c r="W4763" i="2"/>
  <c r="W4764" i="2"/>
  <c r="W4765" i="2"/>
  <c r="W4766" i="2"/>
  <c r="W4767" i="2"/>
  <c r="W4768" i="2"/>
  <c r="W4769" i="2"/>
  <c r="W4770" i="2"/>
  <c r="W4771" i="2"/>
  <c r="W4772" i="2"/>
  <c r="W4773" i="2"/>
  <c r="W4774" i="2"/>
  <c r="W4775" i="2"/>
  <c r="W4776" i="2"/>
  <c r="W4777" i="2"/>
  <c r="W4778" i="2"/>
  <c r="W4779" i="2"/>
  <c r="W4780" i="2"/>
  <c r="W4781" i="2"/>
  <c r="W4782" i="2"/>
  <c r="W4783" i="2"/>
  <c r="W4784" i="2"/>
  <c r="W4785" i="2"/>
  <c r="W4786" i="2"/>
  <c r="W4787" i="2"/>
  <c r="W4788" i="2"/>
  <c r="W4789" i="2"/>
  <c r="W4790" i="2"/>
  <c r="W4791" i="2"/>
  <c r="W4792" i="2"/>
  <c r="W4793" i="2"/>
  <c r="W4794" i="2"/>
  <c r="W4795" i="2"/>
  <c r="W4796" i="2"/>
  <c r="W4797" i="2"/>
  <c r="W4798" i="2"/>
  <c r="W4799" i="2"/>
  <c r="W4800" i="2"/>
  <c r="W4801" i="2"/>
  <c r="W4802" i="2"/>
  <c r="W4803" i="2"/>
  <c r="W4804" i="2"/>
  <c r="W4805" i="2"/>
  <c r="W4806" i="2"/>
  <c r="W4807" i="2"/>
  <c r="W4808" i="2"/>
  <c r="W4809" i="2"/>
  <c r="W4810" i="2"/>
  <c r="W4811" i="2"/>
  <c r="W4812" i="2"/>
  <c r="W4813" i="2"/>
  <c r="W4814" i="2"/>
  <c r="W4815" i="2"/>
  <c r="W4816" i="2"/>
  <c r="W4817" i="2"/>
  <c r="W4818" i="2"/>
  <c r="W4819" i="2"/>
  <c r="W4820" i="2"/>
  <c r="W4821" i="2"/>
  <c r="W4822" i="2"/>
  <c r="W4823" i="2"/>
  <c r="W4824" i="2"/>
  <c r="W4825" i="2"/>
  <c r="W4826" i="2"/>
  <c r="W4827" i="2"/>
  <c r="W4828" i="2"/>
  <c r="W4829" i="2"/>
  <c r="W4830" i="2"/>
  <c r="W4831" i="2"/>
  <c r="W4832" i="2"/>
  <c r="W4833" i="2"/>
  <c r="W4834" i="2"/>
  <c r="W4835" i="2"/>
  <c r="W4836" i="2"/>
  <c r="W4837" i="2"/>
  <c r="W4838" i="2"/>
  <c r="W4839" i="2"/>
  <c r="W4840" i="2"/>
  <c r="W4841" i="2"/>
  <c r="W4842" i="2"/>
  <c r="W4843" i="2"/>
  <c r="W4844" i="2"/>
  <c r="W4845" i="2"/>
  <c r="W4846" i="2"/>
  <c r="W4847" i="2"/>
  <c r="W4848" i="2"/>
  <c r="W4849" i="2"/>
  <c r="W4850" i="2"/>
  <c r="W4851" i="2"/>
  <c r="W4852" i="2"/>
  <c r="W4853" i="2"/>
  <c r="W4854" i="2"/>
  <c r="W4855" i="2"/>
  <c r="W4856" i="2"/>
  <c r="W4857" i="2"/>
  <c r="W4858" i="2"/>
  <c r="W4859" i="2"/>
  <c r="W4860" i="2"/>
  <c r="W4861" i="2"/>
  <c r="W4862" i="2"/>
  <c r="W4863" i="2"/>
  <c r="W4864" i="2"/>
  <c r="W4865" i="2"/>
  <c r="W4866" i="2"/>
  <c r="W4867" i="2"/>
  <c r="W4868" i="2"/>
  <c r="W4869" i="2"/>
  <c r="W4870" i="2"/>
  <c r="W4871" i="2"/>
  <c r="W4872" i="2"/>
  <c r="W4873" i="2"/>
  <c r="W4874" i="2"/>
  <c r="W4875" i="2"/>
  <c r="W4876" i="2"/>
  <c r="W4877" i="2"/>
  <c r="W4878" i="2"/>
  <c r="W4879" i="2"/>
  <c r="W4880" i="2"/>
  <c r="W4881" i="2"/>
  <c r="W4882" i="2"/>
  <c r="W4883" i="2"/>
  <c r="W4884" i="2"/>
  <c r="W4885" i="2"/>
  <c r="W4886" i="2"/>
  <c r="W4887" i="2"/>
  <c r="W4888" i="2"/>
  <c r="W4889" i="2"/>
  <c r="W4890" i="2"/>
  <c r="W4891" i="2"/>
  <c r="W4892" i="2"/>
  <c r="W4893" i="2"/>
  <c r="W4894" i="2"/>
  <c r="W4895" i="2"/>
  <c r="W4896" i="2"/>
  <c r="W4897" i="2"/>
  <c r="W4898" i="2"/>
  <c r="W4899" i="2"/>
  <c r="W4900" i="2"/>
  <c r="W4901" i="2"/>
  <c r="W4902" i="2"/>
  <c r="W4903" i="2"/>
  <c r="W4904" i="2"/>
  <c r="W4905" i="2"/>
  <c r="W4906" i="2"/>
  <c r="W4907" i="2"/>
  <c r="W4908" i="2"/>
  <c r="W4909" i="2"/>
  <c r="W4910" i="2"/>
  <c r="W4911" i="2"/>
  <c r="W4912" i="2"/>
  <c r="W4913" i="2"/>
  <c r="W4914" i="2"/>
  <c r="W4915" i="2"/>
  <c r="W4916" i="2"/>
  <c r="W4917" i="2"/>
  <c r="W4918" i="2"/>
  <c r="W4919" i="2"/>
  <c r="W4920" i="2"/>
  <c r="W4921" i="2"/>
  <c r="W4922" i="2"/>
  <c r="W4923" i="2"/>
  <c r="W4924" i="2"/>
  <c r="W4925" i="2"/>
  <c r="W4926" i="2"/>
  <c r="W4927" i="2"/>
  <c r="W4928" i="2"/>
  <c r="W4929" i="2"/>
  <c r="W4930" i="2"/>
  <c r="W4931" i="2"/>
  <c r="W4932" i="2"/>
  <c r="W4933" i="2"/>
  <c r="W4934" i="2"/>
  <c r="W4935" i="2"/>
  <c r="W4936" i="2"/>
  <c r="W4937" i="2"/>
  <c r="W4938" i="2"/>
  <c r="W4939" i="2"/>
  <c r="W4940" i="2"/>
  <c r="W4941" i="2"/>
  <c r="W4942" i="2"/>
  <c r="W4943" i="2"/>
  <c r="W4944" i="2"/>
  <c r="W4945" i="2"/>
  <c r="W4946" i="2"/>
  <c r="W4947" i="2"/>
  <c r="W4948" i="2"/>
  <c r="W4949" i="2"/>
  <c r="W4950" i="2"/>
  <c r="W4951" i="2"/>
  <c r="W4952" i="2"/>
  <c r="W4953" i="2"/>
  <c r="W4954" i="2"/>
  <c r="W4955" i="2"/>
  <c r="W4956" i="2"/>
  <c r="W4957" i="2"/>
  <c r="W4958" i="2"/>
  <c r="W4959" i="2"/>
  <c r="W4960" i="2"/>
  <c r="W4961" i="2"/>
  <c r="W4962" i="2"/>
  <c r="W4963" i="2"/>
  <c r="W4964" i="2"/>
  <c r="W4965" i="2"/>
  <c r="W4966" i="2"/>
  <c r="W4967" i="2"/>
  <c r="W4968" i="2"/>
  <c r="W4969" i="2"/>
  <c r="W4970" i="2"/>
  <c r="W4971" i="2"/>
  <c r="W4972" i="2"/>
  <c r="W4973" i="2"/>
  <c r="W4974" i="2"/>
  <c r="W4975" i="2"/>
  <c r="W4976" i="2"/>
  <c r="W4977" i="2"/>
  <c r="W4978" i="2"/>
  <c r="W4979" i="2"/>
  <c r="W4980" i="2"/>
  <c r="W4981" i="2"/>
  <c r="W4982" i="2"/>
  <c r="W4983" i="2"/>
  <c r="W4984" i="2"/>
  <c r="W4985" i="2"/>
  <c r="W4986" i="2"/>
  <c r="W4987" i="2"/>
  <c r="W4988" i="2"/>
  <c r="W4989" i="2"/>
  <c r="W4990" i="2"/>
  <c r="W4991" i="2"/>
  <c r="W4992" i="2"/>
  <c r="W4993" i="2"/>
  <c r="W4994" i="2"/>
  <c r="W4995" i="2"/>
  <c r="W4996" i="2"/>
  <c r="W4997" i="2"/>
  <c r="W4998" i="2"/>
  <c r="W4999" i="2"/>
  <c r="W5000" i="2"/>
  <c r="W5001" i="2"/>
  <c r="W5002" i="2"/>
  <c r="W5003" i="2"/>
  <c r="W5004" i="2"/>
  <c r="W5005" i="2"/>
  <c r="W5006" i="2"/>
  <c r="W5007" i="2"/>
  <c r="W5008" i="2"/>
  <c r="W5009" i="2"/>
  <c r="W5010" i="2"/>
  <c r="W5011" i="2"/>
  <c r="W5012" i="2"/>
  <c r="W5013" i="2"/>
  <c r="W5014" i="2"/>
  <c r="W5015" i="2"/>
  <c r="W5016" i="2"/>
  <c r="W5017" i="2"/>
  <c r="W5018" i="2"/>
  <c r="W5019" i="2"/>
  <c r="W5020" i="2"/>
  <c r="W5021" i="2"/>
  <c r="W5022" i="2"/>
  <c r="W5023" i="2"/>
  <c r="W5024" i="2"/>
  <c r="W5025" i="2"/>
  <c r="W5026" i="2"/>
  <c r="W5027" i="2"/>
  <c r="W5028" i="2"/>
  <c r="W5029" i="2"/>
  <c r="W5030" i="2"/>
  <c r="W5031" i="2"/>
  <c r="W5032" i="2"/>
  <c r="W5033" i="2"/>
  <c r="W5034" i="2"/>
  <c r="W5035" i="2"/>
  <c r="W5036" i="2"/>
  <c r="W5037" i="2"/>
  <c r="W5038" i="2"/>
  <c r="W5039" i="2"/>
  <c r="W5040" i="2"/>
  <c r="W5041" i="2"/>
  <c r="W5042" i="2"/>
  <c r="W5043" i="2"/>
  <c r="W5044" i="2"/>
  <c r="W5045" i="2"/>
  <c r="W5046" i="2"/>
  <c r="W5047" i="2"/>
  <c r="W5048" i="2"/>
  <c r="W5049" i="2"/>
  <c r="W5050" i="2"/>
  <c r="W5051" i="2"/>
  <c r="W5052" i="2"/>
  <c r="W5053" i="2"/>
  <c r="W5054" i="2"/>
  <c r="W5055" i="2"/>
  <c r="W5056" i="2"/>
  <c r="W5057" i="2"/>
  <c r="W5058" i="2"/>
  <c r="W5059" i="2"/>
  <c r="W5060" i="2"/>
  <c r="W5061" i="2"/>
  <c r="W5062" i="2"/>
  <c r="W5063" i="2"/>
  <c r="W5064" i="2"/>
  <c r="W5065" i="2"/>
  <c r="W5066" i="2"/>
  <c r="W5067" i="2"/>
  <c r="W5068" i="2"/>
  <c r="W5069" i="2"/>
  <c r="W5070" i="2"/>
  <c r="W5071" i="2"/>
  <c r="W5072" i="2"/>
  <c r="W5073" i="2"/>
  <c r="W5074" i="2"/>
  <c r="W5075" i="2"/>
  <c r="W5076" i="2"/>
  <c r="W5077" i="2"/>
  <c r="W5078" i="2"/>
  <c r="W5079" i="2"/>
  <c r="W5080" i="2"/>
  <c r="W5081" i="2"/>
  <c r="W5082" i="2"/>
  <c r="W5083" i="2"/>
  <c r="W5084" i="2"/>
  <c r="W5085" i="2"/>
  <c r="W5086" i="2"/>
  <c r="W5087" i="2"/>
  <c r="W5088" i="2"/>
  <c r="W5089" i="2"/>
  <c r="W5090" i="2"/>
  <c r="W5091" i="2"/>
  <c r="W5092" i="2"/>
  <c r="W5093" i="2"/>
  <c r="W5094" i="2"/>
  <c r="W5095" i="2"/>
  <c r="W5096" i="2"/>
  <c r="W5097" i="2"/>
  <c r="W5098" i="2"/>
  <c r="W5099" i="2"/>
  <c r="W5100" i="2"/>
  <c r="W5101" i="2"/>
  <c r="W5102" i="2"/>
  <c r="W5103" i="2"/>
  <c r="W5104" i="2"/>
  <c r="W5105" i="2"/>
  <c r="W5106" i="2"/>
  <c r="W5107" i="2"/>
  <c r="W5108" i="2"/>
  <c r="W5109" i="2"/>
  <c r="W5110" i="2"/>
  <c r="W5111" i="2"/>
  <c r="W5112" i="2"/>
  <c r="W5113" i="2"/>
  <c r="W5114" i="2"/>
  <c r="W5115" i="2"/>
  <c r="W5116" i="2"/>
  <c r="W5117" i="2"/>
  <c r="W5118" i="2"/>
  <c r="W5119" i="2"/>
  <c r="W5120" i="2"/>
  <c r="W5121" i="2"/>
  <c r="W5122" i="2"/>
  <c r="W5123" i="2"/>
  <c r="W5124" i="2"/>
  <c r="W5125" i="2"/>
  <c r="W5126" i="2"/>
  <c r="W5127" i="2"/>
  <c r="W5128" i="2"/>
  <c r="W5129" i="2"/>
  <c r="W5130" i="2"/>
  <c r="W5131" i="2"/>
  <c r="W5132" i="2"/>
  <c r="W5133" i="2"/>
  <c r="W5134" i="2"/>
  <c r="W5135" i="2"/>
  <c r="W5136" i="2"/>
  <c r="W5137" i="2"/>
  <c r="W5138" i="2"/>
  <c r="W5139" i="2"/>
  <c r="W5140" i="2"/>
  <c r="W5141" i="2"/>
  <c r="W5142" i="2"/>
  <c r="W5143" i="2"/>
  <c r="W5144" i="2"/>
  <c r="W5145" i="2"/>
  <c r="W5146" i="2"/>
  <c r="W5147" i="2"/>
  <c r="W5148" i="2"/>
  <c r="W5149" i="2"/>
  <c r="W5150" i="2"/>
  <c r="W5151" i="2"/>
  <c r="W5152" i="2"/>
  <c r="W5153" i="2"/>
  <c r="W5154" i="2"/>
  <c r="W5155" i="2"/>
  <c r="W5156" i="2"/>
  <c r="W5157" i="2"/>
  <c r="W5158" i="2"/>
  <c r="W5159" i="2"/>
  <c r="W5160" i="2"/>
  <c r="W5161" i="2"/>
  <c r="W5162" i="2"/>
  <c r="W5163" i="2"/>
  <c r="W5164" i="2"/>
  <c r="W5165" i="2"/>
  <c r="W5166" i="2"/>
  <c r="W5167" i="2"/>
  <c r="W5168" i="2"/>
  <c r="W5169" i="2"/>
  <c r="W5170" i="2"/>
  <c r="W5171" i="2"/>
  <c r="W5172" i="2"/>
  <c r="W5173" i="2"/>
  <c r="W5174" i="2"/>
  <c r="W5175" i="2"/>
  <c r="W5176" i="2"/>
  <c r="W5177" i="2"/>
  <c r="W5178" i="2"/>
  <c r="W5179" i="2"/>
  <c r="W5180" i="2"/>
  <c r="W5181" i="2"/>
  <c r="W5182" i="2"/>
  <c r="W5183" i="2"/>
  <c r="W5184" i="2"/>
  <c r="W5185" i="2"/>
  <c r="W5186" i="2"/>
  <c r="W5187" i="2"/>
  <c r="W5188" i="2"/>
  <c r="W5189" i="2"/>
  <c r="W5190" i="2"/>
  <c r="W5191" i="2"/>
  <c r="W5192" i="2"/>
  <c r="W5193" i="2"/>
  <c r="W5194" i="2"/>
  <c r="W5195" i="2"/>
  <c r="W5196" i="2"/>
  <c r="W5197" i="2"/>
  <c r="W5198" i="2"/>
  <c r="W5199" i="2"/>
  <c r="W5200" i="2"/>
  <c r="W5201" i="2"/>
  <c r="W5202" i="2"/>
  <c r="W5203" i="2"/>
  <c r="W5204" i="2"/>
  <c r="W5205" i="2"/>
  <c r="W5206" i="2"/>
  <c r="W5207" i="2"/>
  <c r="W5208" i="2"/>
  <c r="W5209" i="2"/>
  <c r="W5210" i="2"/>
  <c r="W5211" i="2"/>
  <c r="W5212" i="2"/>
  <c r="W5213" i="2"/>
  <c r="W5214" i="2"/>
  <c r="W5215" i="2"/>
  <c r="W5216" i="2"/>
  <c r="W5217" i="2"/>
  <c r="W5218" i="2"/>
  <c r="W5219" i="2"/>
  <c r="W5220" i="2"/>
  <c r="W5221" i="2"/>
  <c r="W5222" i="2"/>
  <c r="W5223" i="2"/>
  <c r="W5224" i="2"/>
  <c r="W5225" i="2"/>
  <c r="W5226" i="2"/>
  <c r="W5227" i="2"/>
  <c r="W5228" i="2"/>
  <c r="W5229" i="2"/>
  <c r="W5230" i="2"/>
  <c r="W5231" i="2"/>
  <c r="W5232" i="2"/>
  <c r="W5233" i="2"/>
  <c r="W5234" i="2"/>
  <c r="W5235" i="2"/>
  <c r="W5236" i="2"/>
  <c r="W5237" i="2"/>
  <c r="W5238" i="2"/>
  <c r="W5239" i="2"/>
  <c r="W5240" i="2"/>
  <c r="W5241" i="2"/>
  <c r="W5242" i="2"/>
  <c r="W5243" i="2"/>
  <c r="W5244" i="2"/>
  <c r="W5245" i="2"/>
  <c r="W5246" i="2"/>
  <c r="W5247" i="2"/>
  <c r="W5248" i="2"/>
  <c r="W5249" i="2"/>
  <c r="W5250" i="2"/>
  <c r="W5251" i="2"/>
  <c r="W5252" i="2"/>
  <c r="W5253" i="2"/>
  <c r="W5254" i="2"/>
  <c r="W5255" i="2"/>
  <c r="W5256" i="2"/>
  <c r="W5257" i="2"/>
  <c r="W5258" i="2"/>
  <c r="W5259" i="2"/>
  <c r="W5260" i="2"/>
  <c r="W5261" i="2"/>
  <c r="W5262" i="2"/>
  <c r="W5263" i="2"/>
  <c r="W5264" i="2"/>
  <c r="W5265" i="2"/>
  <c r="W5266" i="2"/>
  <c r="W5267" i="2"/>
  <c r="W5268" i="2"/>
  <c r="W5269" i="2"/>
  <c r="W5270" i="2"/>
  <c r="W5271" i="2"/>
  <c r="W5272" i="2"/>
  <c r="W5273" i="2"/>
  <c r="W5274" i="2"/>
  <c r="W5275" i="2"/>
  <c r="W5276" i="2"/>
  <c r="W5277" i="2"/>
  <c r="W5278" i="2"/>
  <c r="W5279" i="2"/>
  <c r="W5280" i="2"/>
  <c r="W5281" i="2"/>
  <c r="W5282" i="2"/>
  <c r="W5283" i="2"/>
  <c r="W5284" i="2"/>
  <c r="W5285" i="2"/>
  <c r="W5286" i="2"/>
  <c r="W5287" i="2"/>
  <c r="W5288" i="2"/>
  <c r="W5289" i="2"/>
  <c r="W5290" i="2"/>
  <c r="W5291" i="2"/>
  <c r="W5292" i="2"/>
  <c r="W5293" i="2"/>
  <c r="W5294" i="2"/>
  <c r="W5295" i="2"/>
  <c r="W5296" i="2"/>
  <c r="W5297" i="2"/>
  <c r="W5298" i="2"/>
  <c r="W5299" i="2"/>
  <c r="W5300" i="2"/>
  <c r="W5301" i="2"/>
  <c r="W5302" i="2"/>
  <c r="W5303" i="2"/>
  <c r="W5304" i="2"/>
  <c r="W5305" i="2"/>
  <c r="W5306" i="2"/>
  <c r="W5307" i="2"/>
  <c r="W5308" i="2"/>
  <c r="W5309" i="2"/>
  <c r="W5310" i="2"/>
  <c r="W5311" i="2"/>
  <c r="W5312" i="2"/>
  <c r="W5313" i="2"/>
  <c r="W5314" i="2"/>
  <c r="W5315" i="2"/>
  <c r="W5316" i="2"/>
  <c r="W5317" i="2"/>
  <c r="W5318" i="2"/>
  <c r="W5319" i="2"/>
  <c r="W5320" i="2"/>
  <c r="W5321" i="2"/>
  <c r="W5322" i="2"/>
  <c r="W5323" i="2"/>
  <c r="W5324" i="2"/>
  <c r="W5325" i="2"/>
  <c r="W5326" i="2"/>
  <c r="W5327" i="2"/>
  <c r="W5328" i="2"/>
  <c r="W5329" i="2"/>
  <c r="W5330" i="2"/>
  <c r="W5331" i="2"/>
  <c r="W5332" i="2"/>
  <c r="W5333" i="2"/>
  <c r="W5334" i="2"/>
  <c r="W5335" i="2"/>
  <c r="W5336" i="2"/>
  <c r="W5337" i="2"/>
  <c r="W5338" i="2"/>
  <c r="W5339" i="2"/>
  <c r="W5340" i="2"/>
  <c r="W5341" i="2"/>
  <c r="W5342" i="2"/>
  <c r="W5343" i="2"/>
  <c r="W5344" i="2"/>
  <c r="W5345" i="2"/>
  <c r="W5346" i="2"/>
  <c r="W5347" i="2"/>
  <c r="W5348" i="2"/>
  <c r="W5349" i="2"/>
  <c r="W5350" i="2"/>
  <c r="W5351" i="2"/>
  <c r="W5352" i="2"/>
  <c r="W5353" i="2"/>
  <c r="W5354" i="2"/>
  <c r="W5355" i="2"/>
  <c r="W5356" i="2"/>
  <c r="W5357" i="2"/>
  <c r="W5358" i="2"/>
  <c r="W5359" i="2"/>
  <c r="W5360" i="2"/>
  <c r="W5361" i="2"/>
  <c r="W5362" i="2"/>
  <c r="W5363" i="2"/>
  <c r="W5364" i="2"/>
  <c r="W5365" i="2"/>
  <c r="W5366" i="2"/>
  <c r="W5367" i="2"/>
  <c r="W5368" i="2"/>
  <c r="W5369" i="2"/>
  <c r="W5370" i="2"/>
  <c r="W5371" i="2"/>
  <c r="W5372" i="2"/>
  <c r="W5373" i="2"/>
  <c r="W5374" i="2"/>
  <c r="W5375" i="2"/>
  <c r="W5376" i="2"/>
  <c r="W5377" i="2"/>
  <c r="W5378" i="2"/>
  <c r="W5379" i="2"/>
  <c r="W5380" i="2"/>
  <c r="W5381" i="2"/>
  <c r="W5382" i="2"/>
  <c r="W5383" i="2"/>
  <c r="W5384" i="2"/>
  <c r="W5385" i="2"/>
  <c r="W5386" i="2"/>
  <c r="W5387" i="2"/>
  <c r="W5388" i="2"/>
  <c r="W5389" i="2"/>
  <c r="W5390" i="2"/>
  <c r="W5391" i="2"/>
  <c r="W5392" i="2"/>
  <c r="W5393" i="2"/>
  <c r="W5394" i="2"/>
  <c r="W5395" i="2"/>
  <c r="W5396" i="2"/>
  <c r="W5397" i="2"/>
  <c r="W5398" i="2"/>
  <c r="W5399" i="2"/>
  <c r="W5400" i="2"/>
  <c r="W5401" i="2"/>
  <c r="W5402" i="2"/>
  <c r="W5403" i="2"/>
  <c r="W5404" i="2"/>
  <c r="W5405" i="2"/>
  <c r="W5406" i="2"/>
  <c r="W5407" i="2"/>
  <c r="W5408" i="2"/>
  <c r="W5409" i="2"/>
  <c r="W5410" i="2"/>
  <c r="W5411" i="2"/>
  <c r="W5412" i="2"/>
  <c r="W5413" i="2"/>
  <c r="W5414" i="2"/>
  <c r="W5415" i="2"/>
  <c r="W5416" i="2"/>
  <c r="W5417" i="2"/>
  <c r="W5418" i="2"/>
  <c r="W5419" i="2"/>
  <c r="W5420" i="2"/>
  <c r="W5421" i="2"/>
  <c r="W5422" i="2"/>
  <c r="W5423" i="2"/>
  <c r="W5424" i="2"/>
  <c r="W5425" i="2"/>
  <c r="W5426" i="2"/>
  <c r="W5427" i="2"/>
  <c r="W5428" i="2"/>
  <c r="W5429" i="2"/>
  <c r="W5430" i="2"/>
  <c r="W5431" i="2"/>
  <c r="W5432" i="2"/>
  <c r="W5433" i="2"/>
  <c r="W5434" i="2"/>
  <c r="W5435" i="2"/>
  <c r="W5436" i="2"/>
  <c r="W5437" i="2"/>
  <c r="W5438" i="2"/>
  <c r="W5439" i="2"/>
  <c r="W5440" i="2"/>
  <c r="W5441" i="2"/>
  <c r="W5442" i="2"/>
  <c r="W5443" i="2"/>
  <c r="W5444" i="2"/>
  <c r="W5445" i="2"/>
  <c r="W5446" i="2"/>
  <c r="W5447" i="2"/>
  <c r="W5448" i="2"/>
  <c r="W5449" i="2"/>
  <c r="W5450" i="2"/>
  <c r="W5451" i="2"/>
  <c r="W5452" i="2"/>
  <c r="W5453" i="2"/>
  <c r="W5454" i="2"/>
  <c r="W5455" i="2"/>
  <c r="W5456" i="2"/>
  <c r="W5457" i="2"/>
  <c r="W5458" i="2"/>
  <c r="W5459" i="2"/>
  <c r="W5460" i="2"/>
  <c r="W5461" i="2"/>
  <c r="W5462" i="2"/>
  <c r="W5463" i="2"/>
  <c r="W5464" i="2"/>
  <c r="W5465" i="2"/>
  <c r="W5466" i="2"/>
  <c r="W5467" i="2"/>
  <c r="W5468" i="2"/>
  <c r="W5469" i="2"/>
  <c r="W5470" i="2"/>
  <c r="W5471" i="2"/>
  <c r="W5472" i="2"/>
  <c r="W5473" i="2"/>
  <c r="W5474" i="2"/>
  <c r="W5475" i="2"/>
  <c r="W5476" i="2"/>
  <c r="W5477" i="2"/>
  <c r="W5478" i="2"/>
  <c r="W5479" i="2"/>
  <c r="W5480" i="2"/>
  <c r="W5481" i="2"/>
  <c r="W5482" i="2"/>
  <c r="W5483" i="2"/>
  <c r="W5484" i="2"/>
  <c r="W5485" i="2"/>
  <c r="W5486" i="2"/>
  <c r="W5487" i="2"/>
  <c r="W5488" i="2"/>
  <c r="W5489" i="2"/>
  <c r="W5490" i="2"/>
  <c r="W5491" i="2"/>
  <c r="W5492" i="2"/>
  <c r="W5493" i="2"/>
  <c r="W5494" i="2"/>
  <c r="W5495" i="2"/>
  <c r="W5496" i="2"/>
  <c r="W5497" i="2"/>
  <c r="W5498" i="2"/>
  <c r="W5499" i="2"/>
  <c r="W5500" i="2"/>
  <c r="W5501" i="2"/>
  <c r="W5502" i="2"/>
  <c r="W5503" i="2"/>
  <c r="W5504" i="2"/>
  <c r="W5505" i="2"/>
  <c r="W5506" i="2"/>
  <c r="W5507" i="2"/>
  <c r="W5508" i="2"/>
  <c r="W5509" i="2"/>
  <c r="W5510" i="2"/>
  <c r="W5511" i="2"/>
  <c r="W5512" i="2"/>
  <c r="S5124" i="2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S5390" i="2" s="1"/>
  <c r="S5391" i="2" s="1"/>
  <c r="S5392" i="2" s="1"/>
  <c r="S5393" i="2" s="1"/>
  <c r="S5394" i="2" s="1"/>
  <c r="S5395" i="2" s="1"/>
  <c r="S5396" i="2" s="1"/>
  <c r="S5397" i="2" s="1"/>
  <c r="S5398" i="2" s="1"/>
  <c r="S5399" i="2" s="1"/>
  <c r="S5400" i="2" s="1"/>
  <c r="S5401" i="2" s="1"/>
  <c r="S5402" i="2" s="1"/>
  <c r="S5403" i="2" s="1"/>
  <c r="S5404" i="2" s="1"/>
  <c r="S5405" i="2" s="1"/>
  <c r="S5406" i="2" s="1"/>
  <c r="S5407" i="2" s="1"/>
  <c r="S5408" i="2" s="1"/>
  <c r="S5409" i="2" s="1"/>
  <c r="S5410" i="2" s="1"/>
  <c r="S5411" i="2" s="1"/>
  <c r="S5412" i="2" s="1"/>
  <c r="S5413" i="2" s="1"/>
  <c r="S5414" i="2" s="1"/>
  <c r="S5415" i="2" s="1"/>
  <c r="S5416" i="2" s="1"/>
  <c r="S5417" i="2" s="1"/>
  <c r="S5418" i="2" s="1"/>
  <c r="S5419" i="2" s="1"/>
  <c r="S5420" i="2" s="1"/>
  <c r="S5421" i="2" s="1"/>
  <c r="S5422" i="2" s="1"/>
  <c r="S5423" i="2" s="1"/>
  <c r="S5424" i="2" s="1"/>
  <c r="S5425" i="2" s="1"/>
  <c r="S5426" i="2" s="1"/>
  <c r="S5427" i="2" s="1"/>
  <c r="S5428" i="2" s="1"/>
  <c r="S5429" i="2" s="1"/>
  <c r="S5430" i="2" s="1"/>
  <c r="S5431" i="2" s="1"/>
  <c r="S5432" i="2" s="1"/>
  <c r="S5433" i="2" s="1"/>
  <c r="S5434" i="2" s="1"/>
  <c r="S5435" i="2" s="1"/>
  <c r="S5436" i="2" s="1"/>
  <c r="S5437" i="2" s="1"/>
  <c r="S5438" i="2" s="1"/>
  <c r="S5439" i="2" s="1"/>
  <c r="S5440" i="2" s="1"/>
  <c r="S5441" i="2" s="1"/>
  <c r="S5442" i="2" s="1"/>
  <c r="S5443" i="2" s="1"/>
  <c r="S5444" i="2" s="1"/>
  <c r="S5445" i="2" s="1"/>
  <c r="S5446" i="2" s="1"/>
  <c r="S5447" i="2" s="1"/>
  <c r="S5448" i="2" s="1"/>
  <c r="S5449" i="2" s="1"/>
  <c r="S5450" i="2" s="1"/>
  <c r="S5451" i="2" s="1"/>
  <c r="S5452" i="2" s="1"/>
  <c r="S5453" i="2" s="1"/>
  <c r="S5454" i="2" s="1"/>
  <c r="S5455" i="2" s="1"/>
  <c r="S5456" i="2" s="1"/>
  <c r="S5457" i="2" s="1"/>
  <c r="S5458" i="2" s="1"/>
  <c r="S5459" i="2" s="1"/>
  <c r="S5460" i="2" s="1"/>
  <c r="S5461" i="2" s="1"/>
  <c r="S5462" i="2" s="1"/>
  <c r="S5463" i="2" s="1"/>
  <c r="S5464" i="2" s="1"/>
  <c r="S5465" i="2" s="1"/>
  <c r="S5466" i="2" s="1"/>
  <c r="S5467" i="2" s="1"/>
  <c r="S5468" i="2" s="1"/>
  <c r="S5469" i="2" s="1"/>
  <c r="S5470" i="2" s="1"/>
  <c r="S5471" i="2" s="1"/>
  <c r="S5472" i="2" s="1"/>
  <c r="S5473" i="2" s="1"/>
  <c r="S5474" i="2" s="1"/>
  <c r="S5475" i="2" s="1"/>
  <c r="S5476" i="2" s="1"/>
  <c r="S5477" i="2" s="1"/>
  <c r="S5478" i="2" s="1"/>
  <c r="S5479" i="2" s="1"/>
  <c r="S5480" i="2" s="1"/>
  <c r="S5481" i="2" s="1"/>
  <c r="S5482" i="2" s="1"/>
  <c r="S5483" i="2" s="1"/>
  <c r="S5484" i="2" s="1"/>
  <c r="S5485" i="2" s="1"/>
  <c r="S5486" i="2" s="1"/>
  <c r="S5487" i="2" s="1"/>
  <c r="S5488" i="2" s="1"/>
  <c r="S5489" i="2" s="1"/>
  <c r="S5490" i="2" s="1"/>
  <c r="S5491" i="2" s="1"/>
  <c r="S5492" i="2" s="1"/>
  <c r="S5493" i="2" s="1"/>
  <c r="S5494" i="2" s="1"/>
  <c r="S5495" i="2" s="1"/>
  <c r="S5496" i="2" s="1"/>
  <c r="S5497" i="2" s="1"/>
  <c r="S5498" i="2" s="1"/>
  <c r="S5499" i="2" s="1"/>
  <c r="S5500" i="2" s="1"/>
  <c r="S5501" i="2" s="1"/>
  <c r="S5502" i="2" s="1"/>
  <c r="S5503" i="2" s="1"/>
  <c r="S5504" i="2" s="1"/>
  <c r="S5505" i="2" s="1"/>
  <c r="S5506" i="2" s="1"/>
  <c r="S5507" i="2" s="1"/>
  <c r="S5508" i="2" s="1"/>
  <c r="S5509" i="2" s="1"/>
  <c r="S5510" i="2" s="1"/>
  <c r="S5511" i="2" s="1"/>
  <c r="S5512" i="2" s="1"/>
  <c r="S4810" i="2"/>
  <c r="S4811" i="2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3922" i="2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3461" i="2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2803" i="2"/>
  <c r="S2804" i="2"/>
  <c r="S1698" i="2"/>
  <c r="S871" i="2"/>
  <c r="S872" i="2"/>
  <c r="S873" i="2" s="1"/>
  <c r="S521" i="2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370" i="2"/>
  <c r="S371" i="2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4" i="2"/>
  <c r="X4" i="2" s="1"/>
  <c r="T3461" i="2"/>
  <c r="T3465" i="2"/>
  <c r="T3469" i="2"/>
  <c r="T3473" i="2"/>
  <c r="T3477" i="2"/>
  <c r="T3481" i="2"/>
  <c r="T3485" i="2"/>
  <c r="T3489" i="2"/>
  <c r="T3493" i="2"/>
  <c r="T3497" i="2"/>
  <c r="T3501" i="2"/>
  <c r="T3505" i="2"/>
  <c r="T3509" i="2"/>
  <c r="T3513" i="2"/>
  <c r="T3517" i="2"/>
  <c r="T3521" i="2"/>
  <c r="T3525" i="2"/>
  <c r="T3529" i="2"/>
  <c r="T3533" i="2"/>
  <c r="T3537" i="2"/>
  <c r="T3541" i="2"/>
  <c r="T3545" i="2"/>
  <c r="T3549" i="2"/>
  <c r="T3553" i="2"/>
  <c r="T3557" i="2"/>
  <c r="T3561" i="2"/>
  <c r="T3565" i="2"/>
  <c r="T3569" i="2"/>
  <c r="T3573" i="2"/>
  <c r="T3577" i="2"/>
  <c r="T3581" i="2"/>
  <c r="T3585" i="2"/>
  <c r="T3589" i="2"/>
  <c r="T3593" i="2"/>
  <c r="T3597" i="2"/>
  <c r="T3601" i="2"/>
  <c r="T3605" i="2"/>
  <c r="T3609" i="2"/>
  <c r="T3613" i="2"/>
  <c r="T3617" i="2"/>
  <c r="T3621" i="2"/>
  <c r="T3625" i="2"/>
  <c r="T3629" i="2"/>
  <c r="T3633" i="2"/>
  <c r="T3637" i="2"/>
  <c r="T3641" i="2"/>
  <c r="T3645" i="2"/>
  <c r="T3649" i="2"/>
  <c r="T3653" i="2"/>
  <c r="T3657" i="2"/>
  <c r="T3661" i="2"/>
  <c r="T3665" i="2"/>
  <c r="T3669" i="2"/>
  <c r="T3673" i="2"/>
  <c r="T3677" i="2"/>
  <c r="T3681" i="2"/>
  <c r="T3685" i="2"/>
  <c r="T3689" i="2"/>
  <c r="T3693" i="2"/>
  <c r="T3697" i="2"/>
  <c r="T3701" i="2"/>
  <c r="T3705" i="2"/>
  <c r="T3709" i="2"/>
  <c r="T3713" i="2"/>
  <c r="T3717" i="2"/>
  <c r="T3721" i="2"/>
  <c r="T3725" i="2"/>
  <c r="T3729" i="2"/>
  <c r="T3733" i="2"/>
  <c r="T3737" i="2"/>
  <c r="T3741" i="2"/>
  <c r="T3745" i="2"/>
  <c r="T3749" i="2"/>
  <c r="T3753" i="2"/>
  <c r="T3757" i="2"/>
  <c r="T3761" i="2"/>
  <c r="T3765" i="2"/>
  <c r="T3769" i="2"/>
  <c r="T3773" i="2"/>
  <c r="T3777" i="2"/>
  <c r="T3781" i="2"/>
  <c r="T3785" i="2"/>
  <c r="T3789" i="2"/>
  <c r="T3793" i="2"/>
  <c r="T3797" i="2"/>
  <c r="T3801" i="2"/>
  <c r="T3805" i="2"/>
  <c r="T3809" i="2"/>
  <c r="T3813" i="2"/>
  <c r="T3817" i="2"/>
  <c r="T3821" i="2"/>
  <c r="T3825" i="2"/>
  <c r="T3829" i="2"/>
  <c r="T3833" i="2"/>
  <c r="T3837" i="2"/>
  <c r="T3841" i="2"/>
  <c r="T3845" i="2"/>
  <c r="T3849" i="2"/>
  <c r="T3853" i="2"/>
  <c r="T3857" i="2"/>
  <c r="T3861" i="2"/>
  <c r="T3865" i="2"/>
  <c r="T3869" i="2"/>
  <c r="T3873" i="2"/>
  <c r="T3877" i="2"/>
  <c r="T3881" i="2"/>
  <c r="T3885" i="2"/>
  <c r="T3889" i="2"/>
  <c r="T3893" i="2"/>
  <c r="T3897" i="2"/>
  <c r="T3901" i="2"/>
  <c r="T3905" i="2"/>
  <c r="T3909" i="2"/>
  <c r="T3913" i="2"/>
  <c r="T3917" i="2"/>
  <c r="T3921" i="2"/>
  <c r="T3925" i="2"/>
  <c r="T3929" i="2"/>
  <c r="T3933" i="2"/>
  <c r="T3937" i="2"/>
  <c r="T3941" i="2"/>
  <c r="T3945" i="2"/>
  <c r="T3949" i="2"/>
  <c r="T3953" i="2"/>
  <c r="T3957" i="2"/>
  <c r="T3961" i="2"/>
  <c r="T3965" i="2"/>
  <c r="U3461" i="2"/>
  <c r="U3465" i="2"/>
  <c r="U3469" i="2"/>
  <c r="U3473" i="2"/>
  <c r="U3477" i="2"/>
  <c r="U3481" i="2"/>
  <c r="U3485" i="2"/>
  <c r="U3489" i="2"/>
  <c r="U3493" i="2"/>
  <c r="U3497" i="2"/>
  <c r="U3501" i="2"/>
  <c r="U3505" i="2"/>
  <c r="U3509" i="2"/>
  <c r="U3513" i="2"/>
  <c r="U3517" i="2"/>
  <c r="U3521" i="2"/>
  <c r="U3525" i="2"/>
  <c r="U3529" i="2"/>
  <c r="U3533" i="2"/>
  <c r="U3537" i="2"/>
  <c r="U3541" i="2"/>
  <c r="U3545" i="2"/>
  <c r="U3549" i="2"/>
  <c r="U3553" i="2"/>
  <c r="U3557" i="2"/>
  <c r="U3561" i="2"/>
  <c r="U3565" i="2"/>
  <c r="U3569" i="2"/>
  <c r="U3573" i="2"/>
  <c r="U3577" i="2"/>
  <c r="U3581" i="2"/>
  <c r="U3585" i="2"/>
  <c r="U3589" i="2"/>
  <c r="U3593" i="2"/>
  <c r="U3597" i="2"/>
  <c r="U3601" i="2"/>
  <c r="U3605" i="2"/>
  <c r="U3609" i="2"/>
  <c r="U3613" i="2"/>
  <c r="U3617" i="2"/>
  <c r="U3621" i="2"/>
  <c r="U3625" i="2"/>
  <c r="U3629" i="2"/>
  <c r="U3633" i="2"/>
  <c r="U3637" i="2"/>
  <c r="U3641" i="2"/>
  <c r="U3645" i="2"/>
  <c r="U3649" i="2"/>
  <c r="U3653" i="2"/>
  <c r="U3657" i="2"/>
  <c r="U3661" i="2"/>
  <c r="U3665" i="2"/>
  <c r="U3669" i="2"/>
  <c r="U3673" i="2"/>
  <c r="U3677" i="2"/>
  <c r="U3681" i="2"/>
  <c r="U3685" i="2"/>
  <c r="U3689" i="2"/>
  <c r="U3693" i="2"/>
  <c r="U3697" i="2"/>
  <c r="U3701" i="2"/>
  <c r="U3705" i="2"/>
  <c r="U3709" i="2"/>
  <c r="U3713" i="2"/>
  <c r="U3717" i="2"/>
  <c r="U3721" i="2"/>
  <c r="U3725" i="2"/>
  <c r="U3729" i="2"/>
  <c r="U3733" i="2"/>
  <c r="U3737" i="2"/>
  <c r="U3741" i="2"/>
  <c r="U3745" i="2"/>
  <c r="U3749" i="2"/>
  <c r="U3753" i="2"/>
  <c r="U3757" i="2"/>
  <c r="U3761" i="2"/>
  <c r="U3765" i="2"/>
  <c r="U3769" i="2"/>
  <c r="U3773" i="2"/>
  <c r="U3777" i="2"/>
  <c r="U3781" i="2"/>
  <c r="U3785" i="2"/>
  <c r="U3789" i="2"/>
  <c r="U3793" i="2"/>
  <c r="U3797" i="2"/>
  <c r="U3801" i="2"/>
  <c r="U3805" i="2"/>
  <c r="U3809" i="2"/>
  <c r="U3813" i="2"/>
  <c r="U3817" i="2"/>
  <c r="U3821" i="2"/>
  <c r="U3825" i="2"/>
  <c r="U3829" i="2"/>
  <c r="U3833" i="2"/>
  <c r="U3837" i="2"/>
  <c r="U3841" i="2"/>
  <c r="U3845" i="2"/>
  <c r="U3849" i="2"/>
  <c r="U3853" i="2"/>
  <c r="U3857" i="2"/>
  <c r="U3861" i="2"/>
  <c r="U3865" i="2"/>
  <c r="U3869" i="2"/>
  <c r="U3873" i="2"/>
  <c r="U3877" i="2"/>
  <c r="U3881" i="2"/>
  <c r="U3885" i="2"/>
  <c r="U3889" i="2"/>
  <c r="U3893" i="2"/>
  <c r="U3897" i="2"/>
  <c r="U3901" i="2"/>
  <c r="U3905" i="2"/>
  <c r="U3909" i="2"/>
  <c r="U3913" i="2"/>
  <c r="U3917" i="2"/>
  <c r="U3921" i="2"/>
  <c r="U3925" i="2"/>
  <c r="U3929" i="2"/>
  <c r="U3933" i="2"/>
  <c r="U3937" i="2"/>
  <c r="U3941" i="2"/>
  <c r="U3945" i="2"/>
  <c r="U3949" i="2"/>
  <c r="U3953" i="2"/>
  <c r="U3957" i="2"/>
  <c r="U3961" i="2"/>
  <c r="T3462" i="2"/>
  <c r="T3466" i="2"/>
  <c r="T3470" i="2"/>
  <c r="T3474" i="2"/>
  <c r="T3478" i="2"/>
  <c r="T3482" i="2"/>
  <c r="T3486" i="2"/>
  <c r="T3490" i="2"/>
  <c r="T3494" i="2"/>
  <c r="T3498" i="2"/>
  <c r="T3502" i="2"/>
  <c r="T3506" i="2"/>
  <c r="T3510" i="2"/>
  <c r="T3514" i="2"/>
  <c r="T3518" i="2"/>
  <c r="T3522" i="2"/>
  <c r="T3526" i="2"/>
  <c r="T3530" i="2"/>
  <c r="T3534" i="2"/>
  <c r="T3538" i="2"/>
  <c r="T3542" i="2"/>
  <c r="T3546" i="2"/>
  <c r="T3550" i="2"/>
  <c r="T3554" i="2"/>
  <c r="T3558" i="2"/>
  <c r="T3562" i="2"/>
  <c r="T3566" i="2"/>
  <c r="T3570" i="2"/>
  <c r="T3574" i="2"/>
  <c r="T3578" i="2"/>
  <c r="T3582" i="2"/>
  <c r="T3586" i="2"/>
  <c r="T3590" i="2"/>
  <c r="T3594" i="2"/>
  <c r="T3598" i="2"/>
  <c r="T3602" i="2"/>
  <c r="T3606" i="2"/>
  <c r="T3610" i="2"/>
  <c r="T3614" i="2"/>
  <c r="T3618" i="2"/>
  <c r="T3622" i="2"/>
  <c r="T3626" i="2"/>
  <c r="T3630" i="2"/>
  <c r="T3634" i="2"/>
  <c r="T3638" i="2"/>
  <c r="T3642" i="2"/>
  <c r="T3646" i="2"/>
  <c r="T3650" i="2"/>
  <c r="T3654" i="2"/>
  <c r="T3658" i="2"/>
  <c r="T3662" i="2"/>
  <c r="T3666" i="2"/>
  <c r="T3670" i="2"/>
  <c r="T3674" i="2"/>
  <c r="T3678" i="2"/>
  <c r="T3682" i="2"/>
  <c r="T3686" i="2"/>
  <c r="T3690" i="2"/>
  <c r="T3694" i="2"/>
  <c r="T3698" i="2"/>
  <c r="T3702" i="2"/>
  <c r="T3706" i="2"/>
  <c r="T3710" i="2"/>
  <c r="T3714" i="2"/>
  <c r="T3718" i="2"/>
  <c r="T3722" i="2"/>
  <c r="T3726" i="2"/>
  <c r="T3730" i="2"/>
  <c r="T3734" i="2"/>
  <c r="T3738" i="2"/>
  <c r="T3742" i="2"/>
  <c r="T3746" i="2"/>
  <c r="T3750" i="2"/>
  <c r="T3754" i="2"/>
  <c r="T3758" i="2"/>
  <c r="T3762" i="2"/>
  <c r="T3766" i="2"/>
  <c r="T3770" i="2"/>
  <c r="T3774" i="2"/>
  <c r="T3778" i="2"/>
  <c r="T3782" i="2"/>
  <c r="T3786" i="2"/>
  <c r="T3790" i="2"/>
  <c r="T3794" i="2"/>
  <c r="T3798" i="2"/>
  <c r="T3802" i="2"/>
  <c r="T3806" i="2"/>
  <c r="T3810" i="2"/>
  <c r="T3814" i="2"/>
  <c r="T3818" i="2"/>
  <c r="T3822" i="2"/>
  <c r="T3826" i="2"/>
  <c r="T3830" i="2"/>
  <c r="T3834" i="2"/>
  <c r="T3838" i="2"/>
  <c r="T3842" i="2"/>
  <c r="T3846" i="2"/>
  <c r="T3850" i="2"/>
  <c r="T3854" i="2"/>
  <c r="T3858" i="2"/>
  <c r="T3862" i="2"/>
  <c r="T3866" i="2"/>
  <c r="T3870" i="2"/>
  <c r="T3874" i="2"/>
  <c r="T3878" i="2"/>
  <c r="T3882" i="2"/>
  <c r="T3886" i="2"/>
  <c r="T3890" i="2"/>
  <c r="T3894" i="2"/>
  <c r="T3898" i="2"/>
  <c r="T3902" i="2"/>
  <c r="T3906" i="2"/>
  <c r="T3910" i="2"/>
  <c r="T3914" i="2"/>
  <c r="T3918" i="2"/>
  <c r="T3922" i="2"/>
  <c r="T3926" i="2"/>
  <c r="T3930" i="2"/>
  <c r="T3934" i="2"/>
  <c r="T3938" i="2"/>
  <c r="T3942" i="2"/>
  <c r="T3946" i="2"/>
  <c r="T3950" i="2"/>
  <c r="T3954" i="2"/>
  <c r="T3958" i="2"/>
  <c r="T3962" i="2"/>
  <c r="T3966" i="2"/>
  <c r="U3462" i="2"/>
  <c r="U3466" i="2"/>
  <c r="U3470" i="2"/>
  <c r="U3474" i="2"/>
  <c r="U3478" i="2"/>
  <c r="U3482" i="2"/>
  <c r="U3486" i="2"/>
  <c r="U3490" i="2"/>
  <c r="U3494" i="2"/>
  <c r="U3498" i="2"/>
  <c r="U3502" i="2"/>
  <c r="U3506" i="2"/>
  <c r="U3510" i="2"/>
  <c r="U3514" i="2"/>
  <c r="U3518" i="2"/>
  <c r="U3522" i="2"/>
  <c r="U3526" i="2"/>
  <c r="U3530" i="2"/>
  <c r="U3534" i="2"/>
  <c r="U3538" i="2"/>
  <c r="U3542" i="2"/>
  <c r="U3546" i="2"/>
  <c r="U3550" i="2"/>
  <c r="U3554" i="2"/>
  <c r="U3558" i="2"/>
  <c r="U3562" i="2"/>
  <c r="U3566" i="2"/>
  <c r="U3570" i="2"/>
  <c r="U3574" i="2"/>
  <c r="U3578" i="2"/>
  <c r="U3582" i="2"/>
  <c r="U3586" i="2"/>
  <c r="U3590" i="2"/>
  <c r="U3594" i="2"/>
  <c r="U3598" i="2"/>
  <c r="U3602" i="2"/>
  <c r="U3606" i="2"/>
  <c r="U3610" i="2"/>
  <c r="U3614" i="2"/>
  <c r="U3618" i="2"/>
  <c r="U3622" i="2"/>
  <c r="U3626" i="2"/>
  <c r="U3630" i="2"/>
  <c r="U3634" i="2"/>
  <c r="U3638" i="2"/>
  <c r="U3642" i="2"/>
  <c r="U3646" i="2"/>
  <c r="U3650" i="2"/>
  <c r="U3654" i="2"/>
  <c r="U3658" i="2"/>
  <c r="U3662" i="2"/>
  <c r="U3666" i="2"/>
  <c r="U3670" i="2"/>
  <c r="U3674" i="2"/>
  <c r="U3678" i="2"/>
  <c r="U3682" i="2"/>
  <c r="U3686" i="2"/>
  <c r="U3690" i="2"/>
  <c r="U3694" i="2"/>
  <c r="U3698" i="2"/>
  <c r="U3702" i="2"/>
  <c r="U3706" i="2"/>
  <c r="U3710" i="2"/>
  <c r="U3714" i="2"/>
  <c r="U3718" i="2"/>
  <c r="U3722" i="2"/>
  <c r="U3726" i="2"/>
  <c r="U3730" i="2"/>
  <c r="U3734" i="2"/>
  <c r="U3738" i="2"/>
  <c r="U3742" i="2"/>
  <c r="U3746" i="2"/>
  <c r="U3750" i="2"/>
  <c r="U3754" i="2"/>
  <c r="U3758" i="2"/>
  <c r="U3762" i="2"/>
  <c r="U3766" i="2"/>
  <c r="U3770" i="2"/>
  <c r="U3774" i="2"/>
  <c r="U3778" i="2"/>
  <c r="U3782" i="2"/>
  <c r="U3786" i="2"/>
  <c r="U3790" i="2"/>
  <c r="U3794" i="2"/>
  <c r="U3798" i="2"/>
  <c r="U3802" i="2"/>
  <c r="U3806" i="2"/>
  <c r="U3810" i="2"/>
  <c r="U3814" i="2"/>
  <c r="U3818" i="2"/>
  <c r="U3822" i="2"/>
  <c r="U3826" i="2"/>
  <c r="U3830" i="2"/>
  <c r="U3834" i="2"/>
  <c r="U3838" i="2"/>
  <c r="U3842" i="2"/>
  <c r="U3846" i="2"/>
  <c r="U3850" i="2"/>
  <c r="U3854" i="2"/>
  <c r="U3858" i="2"/>
  <c r="U3862" i="2"/>
  <c r="U3866" i="2"/>
  <c r="U3870" i="2"/>
  <c r="U3874" i="2"/>
  <c r="U3878" i="2"/>
  <c r="U3882" i="2"/>
  <c r="U3886" i="2"/>
  <c r="U3890" i="2"/>
  <c r="U3894" i="2"/>
  <c r="U3898" i="2"/>
  <c r="U3902" i="2"/>
  <c r="U3906" i="2"/>
  <c r="U3910" i="2"/>
  <c r="U3914" i="2"/>
  <c r="U3918" i="2"/>
  <c r="U3922" i="2"/>
  <c r="U3926" i="2"/>
  <c r="U3930" i="2"/>
  <c r="U3934" i="2"/>
  <c r="U3938" i="2"/>
  <c r="U3942" i="2"/>
  <c r="U3946" i="2"/>
  <c r="U3950" i="2"/>
  <c r="U3954" i="2"/>
  <c r="U3958" i="2"/>
  <c r="U3962" i="2"/>
  <c r="U3966" i="2"/>
  <c r="T3463" i="2"/>
  <c r="T3467" i="2"/>
  <c r="T3471" i="2"/>
  <c r="T3475" i="2"/>
  <c r="T3479" i="2"/>
  <c r="T3483" i="2"/>
  <c r="T3487" i="2"/>
  <c r="T3491" i="2"/>
  <c r="T3495" i="2"/>
  <c r="T3499" i="2"/>
  <c r="T3503" i="2"/>
  <c r="T3507" i="2"/>
  <c r="T3511" i="2"/>
  <c r="T3515" i="2"/>
  <c r="T3519" i="2"/>
  <c r="T3523" i="2"/>
  <c r="T3527" i="2"/>
  <c r="T3531" i="2"/>
  <c r="T3535" i="2"/>
  <c r="T3539" i="2"/>
  <c r="T3543" i="2"/>
  <c r="T3547" i="2"/>
  <c r="T3551" i="2"/>
  <c r="T3555" i="2"/>
  <c r="T3559" i="2"/>
  <c r="T3563" i="2"/>
  <c r="T3567" i="2"/>
  <c r="T3571" i="2"/>
  <c r="T3575" i="2"/>
  <c r="T3579" i="2"/>
  <c r="T3583" i="2"/>
  <c r="T3587" i="2"/>
  <c r="T3591" i="2"/>
  <c r="T3595" i="2"/>
  <c r="T3599" i="2"/>
  <c r="T3603" i="2"/>
  <c r="T3607" i="2"/>
  <c r="T3611" i="2"/>
  <c r="T3615" i="2"/>
  <c r="T3619" i="2"/>
  <c r="T3623" i="2"/>
  <c r="T3627" i="2"/>
  <c r="T3631" i="2"/>
  <c r="T3635" i="2"/>
  <c r="T3639" i="2"/>
  <c r="T3643" i="2"/>
  <c r="T3647" i="2"/>
  <c r="T3651" i="2"/>
  <c r="T3655" i="2"/>
  <c r="T3659" i="2"/>
  <c r="T3663" i="2"/>
  <c r="T3667" i="2"/>
  <c r="T3671" i="2"/>
  <c r="T3675" i="2"/>
  <c r="T3679" i="2"/>
  <c r="T3683" i="2"/>
  <c r="T3687" i="2"/>
  <c r="T3691" i="2"/>
  <c r="T3695" i="2"/>
  <c r="T3699" i="2"/>
  <c r="T3703" i="2"/>
  <c r="T3707" i="2"/>
  <c r="T3711" i="2"/>
  <c r="T3715" i="2"/>
  <c r="T3719" i="2"/>
  <c r="T3723" i="2"/>
  <c r="T3727" i="2"/>
  <c r="T3731" i="2"/>
  <c r="T3735" i="2"/>
  <c r="T3739" i="2"/>
  <c r="T3743" i="2"/>
  <c r="T3747" i="2"/>
  <c r="T3751" i="2"/>
  <c r="T3755" i="2"/>
  <c r="T3759" i="2"/>
  <c r="T3763" i="2"/>
  <c r="T3767" i="2"/>
  <c r="T3771" i="2"/>
  <c r="T3775" i="2"/>
  <c r="T3779" i="2"/>
  <c r="T3783" i="2"/>
  <c r="T3787" i="2"/>
  <c r="T3791" i="2"/>
  <c r="T3795" i="2"/>
  <c r="T3799" i="2"/>
  <c r="T3803" i="2"/>
  <c r="T3807" i="2"/>
  <c r="T3811" i="2"/>
  <c r="T3815" i="2"/>
  <c r="T3819" i="2"/>
  <c r="T3823" i="2"/>
  <c r="T3827" i="2"/>
  <c r="T3831" i="2"/>
  <c r="T3835" i="2"/>
  <c r="T3839" i="2"/>
  <c r="T3843" i="2"/>
  <c r="T3847" i="2"/>
  <c r="T3851" i="2"/>
  <c r="T3855" i="2"/>
  <c r="T3859" i="2"/>
  <c r="T3863" i="2"/>
  <c r="T3867" i="2"/>
  <c r="T3871" i="2"/>
  <c r="T3875" i="2"/>
  <c r="T3879" i="2"/>
  <c r="T3883" i="2"/>
  <c r="T3887" i="2"/>
  <c r="T3891" i="2"/>
  <c r="T3895" i="2"/>
  <c r="T3899" i="2"/>
  <c r="T3903" i="2"/>
  <c r="T3907" i="2"/>
  <c r="T3911" i="2"/>
  <c r="T3915" i="2"/>
  <c r="T3919" i="2"/>
  <c r="T3923" i="2"/>
  <c r="T3927" i="2"/>
  <c r="T3931" i="2"/>
  <c r="T3935" i="2"/>
  <c r="T3939" i="2"/>
  <c r="T3943" i="2"/>
  <c r="T3947" i="2"/>
  <c r="T3951" i="2"/>
  <c r="T3955" i="2"/>
  <c r="T3959" i="2"/>
  <c r="T3963" i="2"/>
  <c r="T3967" i="2"/>
  <c r="U3463" i="2"/>
  <c r="U3467" i="2"/>
  <c r="U3471" i="2"/>
  <c r="U3475" i="2"/>
  <c r="U3479" i="2"/>
  <c r="U3483" i="2"/>
  <c r="U3487" i="2"/>
  <c r="U3491" i="2"/>
  <c r="U3495" i="2"/>
  <c r="U3499" i="2"/>
  <c r="U3503" i="2"/>
  <c r="U3507" i="2"/>
  <c r="U3511" i="2"/>
  <c r="U3515" i="2"/>
  <c r="U3519" i="2"/>
  <c r="U3523" i="2"/>
  <c r="U3527" i="2"/>
  <c r="U3531" i="2"/>
  <c r="U3535" i="2"/>
  <c r="U3539" i="2"/>
  <c r="U3543" i="2"/>
  <c r="U3547" i="2"/>
  <c r="U3551" i="2"/>
  <c r="U3555" i="2"/>
  <c r="U3559" i="2"/>
  <c r="U3563" i="2"/>
  <c r="U3567" i="2"/>
  <c r="U3571" i="2"/>
  <c r="U3575" i="2"/>
  <c r="U3579" i="2"/>
  <c r="U3583" i="2"/>
  <c r="U3587" i="2"/>
  <c r="U3591" i="2"/>
  <c r="U3595" i="2"/>
  <c r="U3599" i="2"/>
  <c r="U3603" i="2"/>
  <c r="U3607" i="2"/>
  <c r="U3611" i="2"/>
  <c r="U3615" i="2"/>
  <c r="U3619" i="2"/>
  <c r="U3623" i="2"/>
  <c r="U3627" i="2"/>
  <c r="U3631" i="2"/>
  <c r="U3635" i="2"/>
  <c r="U3639" i="2"/>
  <c r="U3643" i="2"/>
  <c r="U3647" i="2"/>
  <c r="U3651" i="2"/>
  <c r="U3655" i="2"/>
  <c r="U3659" i="2"/>
  <c r="U3663" i="2"/>
  <c r="U3667" i="2"/>
  <c r="U3671" i="2"/>
  <c r="U3675" i="2"/>
  <c r="U3679" i="2"/>
  <c r="U3683" i="2"/>
  <c r="U3687" i="2"/>
  <c r="U3691" i="2"/>
  <c r="U3695" i="2"/>
  <c r="U3699" i="2"/>
  <c r="U3703" i="2"/>
  <c r="U3707" i="2"/>
  <c r="U3711" i="2"/>
  <c r="U3715" i="2"/>
  <c r="U3719" i="2"/>
  <c r="U3723" i="2"/>
  <c r="U3727" i="2"/>
  <c r="U3731" i="2"/>
  <c r="U3735" i="2"/>
  <c r="U3739" i="2"/>
  <c r="U3743" i="2"/>
  <c r="U3747" i="2"/>
  <c r="U3751" i="2"/>
  <c r="U3755" i="2"/>
  <c r="U3759" i="2"/>
  <c r="U3763" i="2"/>
  <c r="U3767" i="2"/>
  <c r="U3771" i="2"/>
  <c r="U3775" i="2"/>
  <c r="U3779" i="2"/>
  <c r="U3783" i="2"/>
  <c r="U3787" i="2"/>
  <c r="U3791" i="2"/>
  <c r="U3795" i="2"/>
  <c r="U3799" i="2"/>
  <c r="U3803" i="2"/>
  <c r="U3807" i="2"/>
  <c r="U3811" i="2"/>
  <c r="U3815" i="2"/>
  <c r="U3819" i="2"/>
  <c r="U3823" i="2"/>
  <c r="U3827" i="2"/>
  <c r="U3831" i="2"/>
  <c r="U3835" i="2"/>
  <c r="U3839" i="2"/>
  <c r="U3843" i="2"/>
  <c r="U3847" i="2"/>
  <c r="U3851" i="2"/>
  <c r="U3855" i="2"/>
  <c r="U3859" i="2"/>
  <c r="U3863" i="2"/>
  <c r="U3867" i="2"/>
  <c r="U3871" i="2"/>
  <c r="U3875" i="2"/>
  <c r="U3879" i="2"/>
  <c r="U3883" i="2"/>
  <c r="U3887" i="2"/>
  <c r="U3891" i="2"/>
  <c r="U3895" i="2"/>
  <c r="U3899" i="2"/>
  <c r="U3903" i="2"/>
  <c r="U3907" i="2"/>
  <c r="U3911" i="2"/>
  <c r="U3915" i="2"/>
  <c r="U3919" i="2"/>
  <c r="U3923" i="2"/>
  <c r="U3927" i="2"/>
  <c r="U3931" i="2"/>
  <c r="U3935" i="2"/>
  <c r="U3939" i="2"/>
  <c r="U3943" i="2"/>
  <c r="U3947" i="2"/>
  <c r="U3951" i="2"/>
  <c r="U3955" i="2"/>
  <c r="U3959" i="2"/>
  <c r="U3963" i="2"/>
  <c r="T3464" i="2"/>
  <c r="T3468" i="2"/>
  <c r="T3472" i="2"/>
  <c r="T3476" i="2"/>
  <c r="T3480" i="2"/>
  <c r="T3484" i="2"/>
  <c r="T3488" i="2"/>
  <c r="T3492" i="2"/>
  <c r="T3496" i="2"/>
  <c r="T3500" i="2"/>
  <c r="T3504" i="2"/>
  <c r="T3508" i="2"/>
  <c r="T3512" i="2"/>
  <c r="T3516" i="2"/>
  <c r="T3520" i="2"/>
  <c r="T3524" i="2"/>
  <c r="T3528" i="2"/>
  <c r="T3532" i="2"/>
  <c r="T3536" i="2"/>
  <c r="T3540" i="2"/>
  <c r="T3544" i="2"/>
  <c r="T3548" i="2"/>
  <c r="T3552" i="2"/>
  <c r="T3556" i="2"/>
  <c r="T3560" i="2"/>
  <c r="T3564" i="2"/>
  <c r="T3568" i="2"/>
  <c r="T3572" i="2"/>
  <c r="T3576" i="2"/>
  <c r="T3580" i="2"/>
  <c r="T3584" i="2"/>
  <c r="T3588" i="2"/>
  <c r="T3592" i="2"/>
  <c r="T3596" i="2"/>
  <c r="T3600" i="2"/>
  <c r="T3604" i="2"/>
  <c r="T3608" i="2"/>
  <c r="T3612" i="2"/>
  <c r="T3616" i="2"/>
  <c r="T3620" i="2"/>
  <c r="T3624" i="2"/>
  <c r="T3628" i="2"/>
  <c r="T3632" i="2"/>
  <c r="T3636" i="2"/>
  <c r="T3640" i="2"/>
  <c r="T3644" i="2"/>
  <c r="T3648" i="2"/>
  <c r="T3652" i="2"/>
  <c r="T3656" i="2"/>
  <c r="T3660" i="2"/>
  <c r="T3664" i="2"/>
  <c r="T3668" i="2"/>
  <c r="T3672" i="2"/>
  <c r="T3676" i="2"/>
  <c r="T3680" i="2"/>
  <c r="T3684" i="2"/>
  <c r="T3688" i="2"/>
  <c r="T3692" i="2"/>
  <c r="T3696" i="2"/>
  <c r="T3700" i="2"/>
  <c r="T3704" i="2"/>
  <c r="T3708" i="2"/>
  <c r="T3712" i="2"/>
  <c r="T3716" i="2"/>
  <c r="T3720" i="2"/>
  <c r="T3724" i="2"/>
  <c r="T3728" i="2"/>
  <c r="T3732" i="2"/>
  <c r="T3736" i="2"/>
  <c r="T3740" i="2"/>
  <c r="T3744" i="2"/>
  <c r="T3748" i="2"/>
  <c r="T3752" i="2"/>
  <c r="T3756" i="2"/>
  <c r="T3760" i="2"/>
  <c r="T3764" i="2"/>
  <c r="T3768" i="2"/>
  <c r="T3772" i="2"/>
  <c r="T3776" i="2"/>
  <c r="T3780" i="2"/>
  <c r="T3784" i="2"/>
  <c r="T3788" i="2"/>
  <c r="T3792" i="2"/>
  <c r="T3796" i="2"/>
  <c r="T3800" i="2"/>
  <c r="T3804" i="2"/>
  <c r="T3808" i="2"/>
  <c r="T3812" i="2"/>
  <c r="T3816" i="2"/>
  <c r="T3820" i="2"/>
  <c r="T3824" i="2"/>
  <c r="T3828" i="2"/>
  <c r="T3832" i="2"/>
  <c r="T3836" i="2"/>
  <c r="T3840" i="2"/>
  <c r="T3844" i="2"/>
  <c r="T3848" i="2"/>
  <c r="T3852" i="2"/>
  <c r="T3856" i="2"/>
  <c r="T3860" i="2"/>
  <c r="T3864" i="2"/>
  <c r="T3868" i="2"/>
  <c r="T3872" i="2"/>
  <c r="T3876" i="2"/>
  <c r="T3880" i="2"/>
  <c r="T3884" i="2"/>
  <c r="T3888" i="2"/>
  <c r="T3892" i="2"/>
  <c r="T3896" i="2"/>
  <c r="T3900" i="2"/>
  <c r="T3904" i="2"/>
  <c r="T3908" i="2"/>
  <c r="T3912" i="2"/>
  <c r="T3916" i="2"/>
  <c r="T3920" i="2"/>
  <c r="T3924" i="2"/>
  <c r="T3928" i="2"/>
  <c r="T3932" i="2"/>
  <c r="T3936" i="2"/>
  <c r="T3940" i="2"/>
  <c r="T3944" i="2"/>
  <c r="T3948" i="2"/>
  <c r="T3952" i="2"/>
  <c r="T3956" i="2"/>
  <c r="T3960" i="2"/>
  <c r="T3964" i="2"/>
  <c r="U3464" i="2"/>
  <c r="U3496" i="2"/>
  <c r="U3528" i="2"/>
  <c r="U3560" i="2"/>
  <c r="U3592" i="2"/>
  <c r="U3624" i="2"/>
  <c r="U3656" i="2"/>
  <c r="U3688" i="2"/>
  <c r="U3720" i="2"/>
  <c r="U3752" i="2"/>
  <c r="U3784" i="2"/>
  <c r="U3816" i="2"/>
  <c r="U3848" i="2"/>
  <c r="U3880" i="2"/>
  <c r="U3912" i="2"/>
  <c r="U3944" i="2"/>
  <c r="T3968" i="2"/>
  <c r="T3972" i="2"/>
  <c r="T3976" i="2"/>
  <c r="T3980" i="2"/>
  <c r="T3984" i="2"/>
  <c r="T3988" i="2"/>
  <c r="T3992" i="2"/>
  <c r="T3996" i="2"/>
  <c r="T4000" i="2"/>
  <c r="T4004" i="2"/>
  <c r="T4008" i="2"/>
  <c r="T4012" i="2"/>
  <c r="T4016" i="2"/>
  <c r="T4020" i="2"/>
  <c r="T4024" i="2"/>
  <c r="T4028" i="2"/>
  <c r="T4032" i="2"/>
  <c r="T4036" i="2"/>
  <c r="T4040" i="2"/>
  <c r="T4044" i="2"/>
  <c r="T4048" i="2"/>
  <c r="T4052" i="2"/>
  <c r="T4056" i="2"/>
  <c r="T4060" i="2"/>
  <c r="T4064" i="2"/>
  <c r="T4068" i="2"/>
  <c r="T4072" i="2"/>
  <c r="T4076" i="2"/>
  <c r="T4080" i="2"/>
  <c r="T4084" i="2"/>
  <c r="T4088" i="2"/>
  <c r="T4092" i="2"/>
  <c r="T4096" i="2"/>
  <c r="T4100" i="2"/>
  <c r="T4104" i="2"/>
  <c r="T4108" i="2"/>
  <c r="T4112" i="2"/>
  <c r="T4116" i="2"/>
  <c r="T4120" i="2"/>
  <c r="T4124" i="2"/>
  <c r="T4128" i="2"/>
  <c r="T4132" i="2"/>
  <c r="T4136" i="2"/>
  <c r="T4140" i="2"/>
  <c r="T4144" i="2"/>
  <c r="T4148" i="2"/>
  <c r="T4152" i="2"/>
  <c r="T4156" i="2"/>
  <c r="T4160" i="2"/>
  <c r="T4164" i="2"/>
  <c r="T4168" i="2"/>
  <c r="T4172" i="2"/>
  <c r="T4176" i="2"/>
  <c r="T4180" i="2"/>
  <c r="T4184" i="2"/>
  <c r="T4188" i="2"/>
  <c r="T4192" i="2"/>
  <c r="T4196" i="2"/>
  <c r="T4200" i="2"/>
  <c r="T4204" i="2"/>
  <c r="T4208" i="2"/>
  <c r="T4212" i="2"/>
  <c r="T4216" i="2"/>
  <c r="T4220" i="2"/>
  <c r="T4224" i="2"/>
  <c r="T4228" i="2"/>
  <c r="T4232" i="2"/>
  <c r="T4236" i="2"/>
  <c r="T4240" i="2"/>
  <c r="T4244" i="2"/>
  <c r="T4248" i="2"/>
  <c r="T4252" i="2"/>
  <c r="U3468" i="2"/>
  <c r="U3500" i="2"/>
  <c r="U3532" i="2"/>
  <c r="U3564" i="2"/>
  <c r="U3596" i="2"/>
  <c r="U3628" i="2"/>
  <c r="U3660" i="2"/>
  <c r="U3692" i="2"/>
  <c r="U3724" i="2"/>
  <c r="U3756" i="2"/>
  <c r="U3788" i="2"/>
  <c r="U3820" i="2"/>
  <c r="U3852" i="2"/>
  <c r="U3884" i="2"/>
  <c r="U3916" i="2"/>
  <c r="U3948" i="2"/>
  <c r="U3968" i="2"/>
  <c r="U3972" i="2"/>
  <c r="U3976" i="2"/>
  <c r="U3980" i="2"/>
  <c r="U3984" i="2"/>
  <c r="U3988" i="2"/>
  <c r="U3992" i="2"/>
  <c r="U3996" i="2"/>
  <c r="U4000" i="2"/>
  <c r="U4004" i="2"/>
  <c r="U4008" i="2"/>
  <c r="U4012" i="2"/>
  <c r="U4016" i="2"/>
  <c r="U4020" i="2"/>
  <c r="U4024" i="2"/>
  <c r="U4028" i="2"/>
  <c r="U4032" i="2"/>
  <c r="U4036" i="2"/>
  <c r="U4040" i="2"/>
  <c r="U4044" i="2"/>
  <c r="U4048" i="2"/>
  <c r="U4052" i="2"/>
  <c r="U4056" i="2"/>
  <c r="U4060" i="2"/>
  <c r="U4064" i="2"/>
  <c r="U4068" i="2"/>
  <c r="U4072" i="2"/>
  <c r="U4076" i="2"/>
  <c r="U4080" i="2"/>
  <c r="U4084" i="2"/>
  <c r="U4088" i="2"/>
  <c r="U4092" i="2"/>
  <c r="U4096" i="2"/>
  <c r="U4100" i="2"/>
  <c r="U4104" i="2"/>
  <c r="U4108" i="2"/>
  <c r="U4112" i="2"/>
  <c r="U4116" i="2"/>
  <c r="U4120" i="2"/>
  <c r="U4124" i="2"/>
  <c r="U4128" i="2"/>
  <c r="U4132" i="2"/>
  <c r="U4136" i="2"/>
  <c r="U4140" i="2"/>
  <c r="U4144" i="2"/>
  <c r="U4148" i="2"/>
  <c r="U4152" i="2"/>
  <c r="U4156" i="2"/>
  <c r="U4160" i="2"/>
  <c r="U4164" i="2"/>
  <c r="U4168" i="2"/>
  <c r="U4172" i="2"/>
  <c r="U4176" i="2"/>
  <c r="U4180" i="2"/>
  <c r="U4184" i="2"/>
  <c r="U4188" i="2"/>
  <c r="U4192" i="2"/>
  <c r="U4196" i="2"/>
  <c r="U4200" i="2"/>
  <c r="U4204" i="2"/>
  <c r="U4208" i="2"/>
  <c r="U4212" i="2"/>
  <c r="U4216" i="2"/>
  <c r="U4220" i="2"/>
  <c r="U4224" i="2"/>
  <c r="U4228" i="2"/>
  <c r="U4232" i="2"/>
  <c r="U4236" i="2"/>
  <c r="U4240" i="2"/>
  <c r="U4244" i="2"/>
  <c r="U4248" i="2"/>
  <c r="U4252" i="2"/>
  <c r="U4256" i="2"/>
  <c r="U4260" i="2"/>
  <c r="U4264" i="2"/>
  <c r="U4268" i="2"/>
  <c r="U4272" i="2"/>
  <c r="U4276" i="2"/>
  <c r="U4280" i="2"/>
  <c r="U4284" i="2"/>
  <c r="U4288" i="2"/>
  <c r="U4292" i="2"/>
  <c r="U4296" i="2"/>
  <c r="U4300" i="2"/>
  <c r="U4304" i="2"/>
  <c r="U4308" i="2"/>
  <c r="U4312" i="2"/>
  <c r="U4316" i="2"/>
  <c r="U4320" i="2"/>
  <c r="U4324" i="2"/>
  <c r="U4328" i="2"/>
  <c r="U4332" i="2"/>
  <c r="U4336" i="2"/>
  <c r="U4340" i="2"/>
  <c r="U4344" i="2"/>
  <c r="U4348" i="2"/>
  <c r="U4352" i="2"/>
  <c r="U4356" i="2"/>
  <c r="U4360" i="2"/>
  <c r="U4364" i="2"/>
  <c r="U4368" i="2"/>
  <c r="U4372" i="2"/>
  <c r="U4376" i="2"/>
  <c r="U4380" i="2"/>
  <c r="U4384" i="2"/>
  <c r="U4388" i="2"/>
  <c r="U4392" i="2"/>
  <c r="U3472" i="2"/>
  <c r="U3504" i="2"/>
  <c r="U3536" i="2"/>
  <c r="U3568" i="2"/>
  <c r="U3600" i="2"/>
  <c r="U3632" i="2"/>
  <c r="U3664" i="2"/>
  <c r="U3696" i="2"/>
  <c r="U3728" i="2"/>
  <c r="U3760" i="2"/>
  <c r="U3792" i="2"/>
  <c r="U3824" i="2"/>
  <c r="U3856" i="2"/>
  <c r="U3888" i="2"/>
  <c r="U3920" i="2"/>
  <c r="U3952" i="2"/>
  <c r="T3969" i="2"/>
  <c r="T3973" i="2"/>
  <c r="T3977" i="2"/>
  <c r="T3981" i="2"/>
  <c r="T3985" i="2"/>
  <c r="T3989" i="2"/>
  <c r="T3993" i="2"/>
  <c r="T3997" i="2"/>
  <c r="T4001" i="2"/>
  <c r="T4005" i="2"/>
  <c r="T4009" i="2"/>
  <c r="T4013" i="2"/>
  <c r="T4017" i="2"/>
  <c r="T4021" i="2"/>
  <c r="T4025" i="2"/>
  <c r="T4029" i="2"/>
  <c r="T4033" i="2"/>
  <c r="T4037" i="2"/>
  <c r="T4041" i="2"/>
  <c r="T4045" i="2"/>
  <c r="T4049" i="2"/>
  <c r="T4053" i="2"/>
  <c r="T4057" i="2"/>
  <c r="T4061" i="2"/>
  <c r="T4065" i="2"/>
  <c r="T4069" i="2"/>
  <c r="T4073" i="2"/>
  <c r="T4077" i="2"/>
  <c r="T4081" i="2"/>
  <c r="T4085" i="2"/>
  <c r="T4089" i="2"/>
  <c r="T4093" i="2"/>
  <c r="T4097" i="2"/>
  <c r="T4101" i="2"/>
  <c r="T4105" i="2"/>
  <c r="T4109" i="2"/>
  <c r="T4113" i="2"/>
  <c r="T4117" i="2"/>
  <c r="T4121" i="2"/>
  <c r="T4125" i="2"/>
  <c r="T4129" i="2"/>
  <c r="T4133" i="2"/>
  <c r="T4137" i="2"/>
  <c r="T4141" i="2"/>
  <c r="T4145" i="2"/>
  <c r="T4149" i="2"/>
  <c r="T4153" i="2"/>
  <c r="T4157" i="2"/>
  <c r="T4161" i="2"/>
  <c r="T4165" i="2"/>
  <c r="T4169" i="2"/>
  <c r="T4173" i="2"/>
  <c r="T4177" i="2"/>
  <c r="T4181" i="2"/>
  <c r="T4185" i="2"/>
  <c r="T4189" i="2"/>
  <c r="T4193" i="2"/>
  <c r="T4197" i="2"/>
  <c r="T4201" i="2"/>
  <c r="T4205" i="2"/>
  <c r="T4209" i="2"/>
  <c r="T4213" i="2"/>
  <c r="T4217" i="2"/>
  <c r="T4221" i="2"/>
  <c r="T4225" i="2"/>
  <c r="T4229" i="2"/>
  <c r="T4233" i="2"/>
  <c r="T4237" i="2"/>
  <c r="T4241" i="2"/>
  <c r="T4245" i="2"/>
  <c r="T4249" i="2"/>
  <c r="T4253" i="2"/>
  <c r="T4257" i="2"/>
  <c r="T4261" i="2"/>
  <c r="T4265" i="2"/>
  <c r="T4269" i="2"/>
  <c r="T4273" i="2"/>
  <c r="T4277" i="2"/>
  <c r="T4281" i="2"/>
  <c r="T4285" i="2"/>
  <c r="T4289" i="2"/>
  <c r="T4293" i="2"/>
  <c r="T4297" i="2"/>
  <c r="T4301" i="2"/>
  <c r="T4305" i="2"/>
  <c r="T4309" i="2"/>
  <c r="T4313" i="2"/>
  <c r="T4317" i="2"/>
  <c r="T4321" i="2"/>
  <c r="T4325" i="2"/>
  <c r="T4329" i="2"/>
  <c r="T4333" i="2"/>
  <c r="T4337" i="2"/>
  <c r="T4341" i="2"/>
  <c r="T4345" i="2"/>
  <c r="T4349" i="2"/>
  <c r="T4353" i="2"/>
  <c r="T4357" i="2"/>
  <c r="T4361" i="2"/>
  <c r="T4365" i="2"/>
  <c r="T4369" i="2"/>
  <c r="T4373" i="2"/>
  <c r="T4377" i="2"/>
  <c r="U3476" i="2"/>
  <c r="U3508" i="2"/>
  <c r="U3540" i="2"/>
  <c r="U3572" i="2"/>
  <c r="U3604" i="2"/>
  <c r="U3636" i="2"/>
  <c r="U3668" i="2"/>
  <c r="U3700" i="2"/>
  <c r="U3732" i="2"/>
  <c r="U3764" i="2"/>
  <c r="U3796" i="2"/>
  <c r="U3828" i="2"/>
  <c r="U3860" i="2"/>
  <c r="U3892" i="2"/>
  <c r="U3924" i="2"/>
  <c r="U3956" i="2"/>
  <c r="U3969" i="2"/>
  <c r="U3973" i="2"/>
  <c r="U3977" i="2"/>
  <c r="U3981" i="2"/>
  <c r="U3985" i="2"/>
  <c r="U3989" i="2"/>
  <c r="U3993" i="2"/>
  <c r="U3997" i="2"/>
  <c r="U4001" i="2"/>
  <c r="U4005" i="2"/>
  <c r="U4009" i="2"/>
  <c r="U4013" i="2"/>
  <c r="U4017" i="2"/>
  <c r="U4021" i="2"/>
  <c r="U4025" i="2"/>
  <c r="U4029" i="2"/>
  <c r="U4033" i="2"/>
  <c r="U4037" i="2"/>
  <c r="U4041" i="2"/>
  <c r="U4045" i="2"/>
  <c r="U4049" i="2"/>
  <c r="U4053" i="2"/>
  <c r="U4057" i="2"/>
  <c r="U4061" i="2"/>
  <c r="U4065" i="2"/>
  <c r="U4069" i="2"/>
  <c r="U4073" i="2"/>
  <c r="U4077" i="2"/>
  <c r="U4081" i="2"/>
  <c r="U4085" i="2"/>
  <c r="U4089" i="2"/>
  <c r="U4093" i="2"/>
  <c r="U4097" i="2"/>
  <c r="U4101" i="2"/>
  <c r="U4105" i="2"/>
  <c r="U4109" i="2"/>
  <c r="U4113" i="2"/>
  <c r="U4117" i="2"/>
  <c r="U4121" i="2"/>
  <c r="U4125" i="2"/>
  <c r="U4129" i="2"/>
  <c r="U4133" i="2"/>
  <c r="U4137" i="2"/>
  <c r="U4141" i="2"/>
  <c r="U4145" i="2"/>
  <c r="U4149" i="2"/>
  <c r="U4153" i="2"/>
  <c r="U4157" i="2"/>
  <c r="U4161" i="2"/>
  <c r="U4165" i="2"/>
  <c r="U4169" i="2"/>
  <c r="U4173" i="2"/>
  <c r="U4177" i="2"/>
  <c r="U4181" i="2"/>
  <c r="U4185" i="2"/>
  <c r="U4189" i="2"/>
  <c r="U4193" i="2"/>
  <c r="U4197" i="2"/>
  <c r="U4201" i="2"/>
  <c r="U4205" i="2"/>
  <c r="U4209" i="2"/>
  <c r="U4213" i="2"/>
  <c r="U4217" i="2"/>
  <c r="U4221" i="2"/>
  <c r="U4225" i="2"/>
  <c r="U4229" i="2"/>
  <c r="U4233" i="2"/>
  <c r="U4237" i="2"/>
  <c r="U4241" i="2"/>
  <c r="U4245" i="2"/>
  <c r="U4249" i="2"/>
  <c r="U4253" i="2"/>
  <c r="U4257" i="2"/>
  <c r="U4261" i="2"/>
  <c r="U4265" i="2"/>
  <c r="U4269" i="2"/>
  <c r="U4273" i="2"/>
  <c r="U4277" i="2"/>
  <c r="U4281" i="2"/>
  <c r="U4285" i="2"/>
  <c r="U4289" i="2"/>
  <c r="U4293" i="2"/>
  <c r="U4297" i="2"/>
  <c r="U4301" i="2"/>
  <c r="U4305" i="2"/>
  <c r="U4309" i="2"/>
  <c r="U4313" i="2"/>
  <c r="U4317" i="2"/>
  <c r="U4321" i="2"/>
  <c r="U4325" i="2"/>
  <c r="U4329" i="2"/>
  <c r="U4333" i="2"/>
  <c r="U4337" i="2"/>
  <c r="U4341" i="2"/>
  <c r="U4345" i="2"/>
  <c r="U4349" i="2"/>
  <c r="U4353" i="2"/>
  <c r="U4357" i="2"/>
  <c r="U4361" i="2"/>
  <c r="U4365" i="2"/>
  <c r="U4369" i="2"/>
  <c r="U4373" i="2"/>
  <c r="U4377" i="2"/>
  <c r="U4381" i="2"/>
  <c r="U4385" i="2"/>
  <c r="U4389" i="2"/>
  <c r="U4393" i="2"/>
  <c r="U4397" i="2"/>
  <c r="U4401" i="2"/>
  <c r="U4405" i="2"/>
  <c r="U3480" i="2"/>
  <c r="U3512" i="2"/>
  <c r="U3544" i="2"/>
  <c r="U3576" i="2"/>
  <c r="U3608" i="2"/>
  <c r="U3640" i="2"/>
  <c r="U3672" i="2"/>
  <c r="U3704" i="2"/>
  <c r="U3736" i="2"/>
  <c r="U3768" i="2"/>
  <c r="U3800" i="2"/>
  <c r="U3832" i="2"/>
  <c r="U3864" i="2"/>
  <c r="U3896" i="2"/>
  <c r="U3928" i="2"/>
  <c r="U3960" i="2"/>
  <c r="T3970" i="2"/>
  <c r="T3974" i="2"/>
  <c r="T3978" i="2"/>
  <c r="T3982" i="2"/>
  <c r="T3986" i="2"/>
  <c r="T3990" i="2"/>
  <c r="T3994" i="2"/>
  <c r="T3998" i="2"/>
  <c r="T4002" i="2"/>
  <c r="T4006" i="2"/>
  <c r="T4010" i="2"/>
  <c r="T4014" i="2"/>
  <c r="T4018" i="2"/>
  <c r="T4022" i="2"/>
  <c r="T4026" i="2"/>
  <c r="T4030" i="2"/>
  <c r="T4034" i="2"/>
  <c r="T4038" i="2"/>
  <c r="T4042" i="2"/>
  <c r="T4046" i="2"/>
  <c r="T4050" i="2"/>
  <c r="T4054" i="2"/>
  <c r="T4058" i="2"/>
  <c r="T4062" i="2"/>
  <c r="T4066" i="2"/>
  <c r="T4070" i="2"/>
  <c r="T4074" i="2"/>
  <c r="T4078" i="2"/>
  <c r="T4082" i="2"/>
  <c r="T4086" i="2"/>
  <c r="T4090" i="2"/>
  <c r="T4094" i="2"/>
  <c r="T4098" i="2"/>
  <c r="T4102" i="2"/>
  <c r="T4106" i="2"/>
  <c r="T4110" i="2"/>
  <c r="T4114" i="2"/>
  <c r="T4118" i="2"/>
  <c r="T4122" i="2"/>
  <c r="T4126" i="2"/>
  <c r="T4130" i="2"/>
  <c r="T4134" i="2"/>
  <c r="T4138" i="2"/>
  <c r="T4142" i="2"/>
  <c r="T4146" i="2"/>
  <c r="T4150" i="2"/>
  <c r="T4154" i="2"/>
  <c r="T4158" i="2"/>
  <c r="T4162" i="2"/>
  <c r="T4166" i="2"/>
  <c r="T4170" i="2"/>
  <c r="T4174" i="2"/>
  <c r="T4178" i="2"/>
  <c r="T4182" i="2"/>
  <c r="T4186" i="2"/>
  <c r="T4190" i="2"/>
  <c r="T4194" i="2"/>
  <c r="T4198" i="2"/>
  <c r="T4202" i="2"/>
  <c r="T4206" i="2"/>
  <c r="T4210" i="2"/>
  <c r="T4214" i="2"/>
  <c r="T4218" i="2"/>
  <c r="T4222" i="2"/>
  <c r="T4226" i="2"/>
  <c r="T4230" i="2"/>
  <c r="T4234" i="2"/>
  <c r="T4238" i="2"/>
  <c r="T4242" i="2"/>
  <c r="T4246" i="2"/>
  <c r="T4250" i="2"/>
  <c r="T4254" i="2"/>
  <c r="T4258" i="2"/>
  <c r="T4262" i="2"/>
  <c r="T4266" i="2"/>
  <c r="T4270" i="2"/>
  <c r="T4274" i="2"/>
  <c r="T4278" i="2"/>
  <c r="T4282" i="2"/>
  <c r="T4286" i="2"/>
  <c r="T4290" i="2"/>
  <c r="T4294" i="2"/>
  <c r="T4298" i="2"/>
  <c r="T4302" i="2"/>
  <c r="T4306" i="2"/>
  <c r="T4310" i="2"/>
  <c r="T4314" i="2"/>
  <c r="T4318" i="2"/>
  <c r="T4322" i="2"/>
  <c r="T4326" i="2"/>
  <c r="T4330" i="2"/>
  <c r="T4334" i="2"/>
  <c r="T4338" i="2"/>
  <c r="T4342" i="2"/>
  <c r="T4346" i="2"/>
  <c r="T4350" i="2"/>
  <c r="T4354" i="2"/>
  <c r="T4358" i="2"/>
  <c r="T4362" i="2"/>
  <c r="T4366" i="2"/>
  <c r="T4370" i="2"/>
  <c r="T4374" i="2"/>
  <c r="T4378" i="2"/>
  <c r="U3484" i="2"/>
  <c r="U3516" i="2"/>
  <c r="U3548" i="2"/>
  <c r="U3580" i="2"/>
  <c r="U3612" i="2"/>
  <c r="U3644" i="2"/>
  <c r="U3676" i="2"/>
  <c r="U3708" i="2"/>
  <c r="U3740" i="2"/>
  <c r="U3772" i="2"/>
  <c r="U3804" i="2"/>
  <c r="U3836" i="2"/>
  <c r="U3868" i="2"/>
  <c r="U3900" i="2"/>
  <c r="U3932" i="2"/>
  <c r="U3964" i="2"/>
  <c r="U3970" i="2"/>
  <c r="U3974" i="2"/>
  <c r="U3978" i="2"/>
  <c r="U3982" i="2"/>
  <c r="U3986" i="2"/>
  <c r="U3990" i="2"/>
  <c r="U3994" i="2"/>
  <c r="U3998" i="2"/>
  <c r="U4002" i="2"/>
  <c r="U4006" i="2"/>
  <c r="U4010" i="2"/>
  <c r="U4014" i="2"/>
  <c r="U4018" i="2"/>
  <c r="U4022" i="2"/>
  <c r="U4026" i="2"/>
  <c r="U4030" i="2"/>
  <c r="U4034" i="2"/>
  <c r="U4038" i="2"/>
  <c r="U4042" i="2"/>
  <c r="U4046" i="2"/>
  <c r="U4050" i="2"/>
  <c r="U4054" i="2"/>
  <c r="U4058" i="2"/>
  <c r="U4062" i="2"/>
  <c r="U4066" i="2"/>
  <c r="U4070" i="2"/>
  <c r="U4074" i="2"/>
  <c r="U4078" i="2"/>
  <c r="U4082" i="2"/>
  <c r="U4086" i="2"/>
  <c r="U4090" i="2"/>
  <c r="U4094" i="2"/>
  <c r="U4098" i="2"/>
  <c r="U4102" i="2"/>
  <c r="U4106" i="2"/>
  <c r="U4110" i="2"/>
  <c r="U4114" i="2"/>
  <c r="U4118" i="2"/>
  <c r="U4122" i="2"/>
  <c r="U4126" i="2"/>
  <c r="U4130" i="2"/>
  <c r="U4134" i="2"/>
  <c r="U4138" i="2"/>
  <c r="U4142" i="2"/>
  <c r="U4146" i="2"/>
  <c r="U4150" i="2"/>
  <c r="U4154" i="2"/>
  <c r="U4158" i="2"/>
  <c r="U4162" i="2"/>
  <c r="U4166" i="2"/>
  <c r="U4170" i="2"/>
  <c r="U4174" i="2"/>
  <c r="U4178" i="2"/>
  <c r="U4182" i="2"/>
  <c r="U4186" i="2"/>
  <c r="U4190" i="2"/>
  <c r="U4194" i="2"/>
  <c r="U4198" i="2"/>
  <c r="U4202" i="2"/>
  <c r="U4206" i="2"/>
  <c r="U4210" i="2"/>
  <c r="U4214" i="2"/>
  <c r="U4218" i="2"/>
  <c r="U4222" i="2"/>
  <c r="U4226" i="2"/>
  <c r="U4230" i="2"/>
  <c r="U4234" i="2"/>
  <c r="U4238" i="2"/>
  <c r="U4242" i="2"/>
  <c r="U4246" i="2"/>
  <c r="U4250" i="2"/>
  <c r="U3488" i="2"/>
  <c r="U3520" i="2"/>
  <c r="U3552" i="2"/>
  <c r="U3584" i="2"/>
  <c r="U3616" i="2"/>
  <c r="U3648" i="2"/>
  <c r="U3680" i="2"/>
  <c r="U3712" i="2"/>
  <c r="U3744" i="2"/>
  <c r="U3776" i="2"/>
  <c r="U3808" i="2"/>
  <c r="U3840" i="2"/>
  <c r="U3872" i="2"/>
  <c r="U3904" i="2"/>
  <c r="U3936" i="2"/>
  <c r="U3965" i="2"/>
  <c r="T3971" i="2"/>
  <c r="T3975" i="2"/>
  <c r="T3979" i="2"/>
  <c r="T3983" i="2"/>
  <c r="T3987" i="2"/>
  <c r="T3991" i="2"/>
  <c r="T3995" i="2"/>
  <c r="T3999" i="2"/>
  <c r="T4003" i="2"/>
  <c r="T4007" i="2"/>
  <c r="T4011" i="2"/>
  <c r="T4015" i="2"/>
  <c r="T4019" i="2"/>
  <c r="T4023" i="2"/>
  <c r="T4027" i="2"/>
  <c r="T4031" i="2"/>
  <c r="T4035" i="2"/>
  <c r="T4039" i="2"/>
  <c r="T4043" i="2"/>
  <c r="T4047" i="2"/>
  <c r="T4051" i="2"/>
  <c r="T4055" i="2"/>
  <c r="T4059" i="2"/>
  <c r="T4063" i="2"/>
  <c r="T4067" i="2"/>
  <c r="T4071" i="2"/>
  <c r="T4075" i="2"/>
  <c r="T4079" i="2"/>
  <c r="T4083" i="2"/>
  <c r="T4087" i="2"/>
  <c r="T4091" i="2"/>
  <c r="T4095" i="2"/>
  <c r="T4099" i="2"/>
  <c r="T4103" i="2"/>
  <c r="T4107" i="2"/>
  <c r="T4111" i="2"/>
  <c r="T4115" i="2"/>
  <c r="T4119" i="2"/>
  <c r="T4123" i="2"/>
  <c r="T4127" i="2"/>
  <c r="T4131" i="2"/>
  <c r="T4135" i="2"/>
  <c r="T4139" i="2"/>
  <c r="T4143" i="2"/>
  <c r="T4147" i="2"/>
  <c r="T4151" i="2"/>
  <c r="T4155" i="2"/>
  <c r="T4159" i="2"/>
  <c r="T4163" i="2"/>
  <c r="T4167" i="2"/>
  <c r="T4171" i="2"/>
  <c r="T4175" i="2"/>
  <c r="T4179" i="2"/>
  <c r="T4183" i="2"/>
  <c r="T4187" i="2"/>
  <c r="T4191" i="2"/>
  <c r="T4195" i="2"/>
  <c r="T4199" i="2"/>
  <c r="T4203" i="2"/>
  <c r="T4207" i="2"/>
  <c r="T4211" i="2"/>
  <c r="T4215" i="2"/>
  <c r="T4219" i="2"/>
  <c r="T4223" i="2"/>
  <c r="T4227" i="2"/>
  <c r="T4231" i="2"/>
  <c r="T4235" i="2"/>
  <c r="T4239" i="2"/>
  <c r="T4243" i="2"/>
  <c r="T4247" i="2"/>
  <c r="T4251" i="2"/>
  <c r="T4255" i="2"/>
  <c r="T4259" i="2"/>
  <c r="T4263" i="2"/>
  <c r="T4267" i="2"/>
  <c r="T4271" i="2"/>
  <c r="T4275" i="2"/>
  <c r="T4279" i="2"/>
  <c r="T4283" i="2"/>
  <c r="T4287" i="2"/>
  <c r="T4291" i="2"/>
  <c r="T4295" i="2"/>
  <c r="T4299" i="2"/>
  <c r="T4303" i="2"/>
  <c r="T4307" i="2"/>
  <c r="T4311" i="2"/>
  <c r="T4315" i="2"/>
  <c r="T4319" i="2"/>
  <c r="T4323" i="2"/>
  <c r="T4327" i="2"/>
  <c r="T4331" i="2"/>
  <c r="T4335" i="2"/>
  <c r="T4339" i="2"/>
  <c r="T4343" i="2"/>
  <c r="T4347" i="2"/>
  <c r="T4351" i="2"/>
  <c r="T4355" i="2"/>
  <c r="T4359" i="2"/>
  <c r="T4363" i="2"/>
  <c r="T4367" i="2"/>
  <c r="T4371" i="2"/>
  <c r="T4375" i="2"/>
  <c r="T4379" i="2"/>
  <c r="T4383" i="2"/>
  <c r="T4387" i="2"/>
  <c r="T4391" i="2"/>
  <c r="T4395" i="2"/>
  <c r="T4399" i="2"/>
  <c r="T4403" i="2"/>
  <c r="T4407" i="2"/>
  <c r="T4411" i="2"/>
  <c r="U3492" i="2"/>
  <c r="U3748" i="2"/>
  <c r="U3971" i="2"/>
  <c r="U4003" i="2"/>
  <c r="U4035" i="2"/>
  <c r="U4067" i="2"/>
  <c r="U4099" i="2"/>
  <c r="U4131" i="2"/>
  <c r="U4163" i="2"/>
  <c r="U4195" i="2"/>
  <c r="U4227" i="2"/>
  <c r="U4255" i="2"/>
  <c r="U4266" i="2"/>
  <c r="T4276" i="2"/>
  <c r="U4287" i="2"/>
  <c r="U4298" i="2"/>
  <c r="T4308" i="2"/>
  <c r="U4319" i="2"/>
  <c r="U4330" i="2"/>
  <c r="T4340" i="2"/>
  <c r="U4351" i="2"/>
  <c r="U4362" i="2"/>
  <c r="T4372" i="2"/>
  <c r="T4382" i="2"/>
  <c r="T4388" i="2"/>
  <c r="U4394" i="2"/>
  <c r="T4400" i="2"/>
  <c r="T4405" i="2"/>
  <c r="T4410" i="2"/>
  <c r="U4414" i="2"/>
  <c r="U4418" i="2"/>
  <c r="U4422" i="2"/>
  <c r="U4426" i="2"/>
  <c r="U4430" i="2"/>
  <c r="U4434" i="2"/>
  <c r="U4438" i="2"/>
  <c r="U4442" i="2"/>
  <c r="U4446" i="2"/>
  <c r="U4450" i="2"/>
  <c r="U4454" i="2"/>
  <c r="U4458" i="2"/>
  <c r="U4462" i="2"/>
  <c r="U4466" i="2"/>
  <c r="U4470" i="2"/>
  <c r="U4474" i="2"/>
  <c r="U4478" i="2"/>
  <c r="U4482" i="2"/>
  <c r="U4486" i="2"/>
  <c r="U4490" i="2"/>
  <c r="U4494" i="2"/>
  <c r="U4498" i="2"/>
  <c r="U4502" i="2"/>
  <c r="U4506" i="2"/>
  <c r="U4510" i="2"/>
  <c r="U4514" i="2"/>
  <c r="U4518" i="2"/>
  <c r="U4522" i="2"/>
  <c r="U4526" i="2"/>
  <c r="U4530" i="2"/>
  <c r="U4534" i="2"/>
  <c r="U4538" i="2"/>
  <c r="U4542" i="2"/>
  <c r="U4546" i="2"/>
  <c r="U4550" i="2"/>
  <c r="U4554" i="2"/>
  <c r="U4558" i="2"/>
  <c r="U4562" i="2"/>
  <c r="U4566" i="2"/>
  <c r="U4570" i="2"/>
  <c r="U4574" i="2"/>
  <c r="U4578" i="2"/>
  <c r="U4582" i="2"/>
  <c r="U4586" i="2"/>
  <c r="U4590" i="2"/>
  <c r="U4594" i="2"/>
  <c r="U4598" i="2"/>
  <c r="U4602" i="2"/>
  <c r="U4606" i="2"/>
  <c r="U4610" i="2"/>
  <c r="U4614" i="2"/>
  <c r="U4618" i="2"/>
  <c r="U4622" i="2"/>
  <c r="U4626" i="2"/>
  <c r="U3524" i="2"/>
  <c r="U3780" i="2"/>
  <c r="U3975" i="2"/>
  <c r="U4007" i="2"/>
  <c r="U4039" i="2"/>
  <c r="U4071" i="2"/>
  <c r="U4103" i="2"/>
  <c r="U4135" i="2"/>
  <c r="U4167" i="2"/>
  <c r="U4199" i="2"/>
  <c r="U4231" i="2"/>
  <c r="T4256" i="2"/>
  <c r="U4267" i="2"/>
  <c r="U4278" i="2"/>
  <c r="T4288" i="2"/>
  <c r="U4299" i="2"/>
  <c r="U4310" i="2"/>
  <c r="T4320" i="2"/>
  <c r="U4331" i="2"/>
  <c r="U4342" i="2"/>
  <c r="T4352" i="2"/>
  <c r="U4363" i="2"/>
  <c r="U4374" i="2"/>
  <c r="U4382" i="2"/>
  <c r="T4389" i="2"/>
  <c r="U4395" i="2"/>
  <c r="U4400" i="2"/>
  <c r="T4406" i="2"/>
  <c r="U4410" i="2"/>
  <c r="T4415" i="2"/>
  <c r="T4419" i="2"/>
  <c r="T4423" i="2"/>
  <c r="T4427" i="2"/>
  <c r="T4431" i="2"/>
  <c r="T4435" i="2"/>
  <c r="T4439" i="2"/>
  <c r="T4443" i="2"/>
  <c r="T4447" i="2"/>
  <c r="T4451" i="2"/>
  <c r="T4455" i="2"/>
  <c r="T4459" i="2"/>
  <c r="T4463" i="2"/>
  <c r="T4467" i="2"/>
  <c r="T4471" i="2"/>
  <c r="T4475" i="2"/>
  <c r="T4479" i="2"/>
  <c r="T4483" i="2"/>
  <c r="T4487" i="2"/>
  <c r="T4491" i="2"/>
  <c r="T4495" i="2"/>
  <c r="T4499" i="2"/>
  <c r="T4503" i="2"/>
  <c r="T4507" i="2"/>
  <c r="T4511" i="2"/>
  <c r="T4515" i="2"/>
  <c r="T4519" i="2"/>
  <c r="T4523" i="2"/>
  <c r="T4527" i="2"/>
  <c r="T4531" i="2"/>
  <c r="T4535" i="2"/>
  <c r="T4539" i="2"/>
  <c r="T4543" i="2"/>
  <c r="T4547" i="2"/>
  <c r="T4551" i="2"/>
  <c r="T4555" i="2"/>
  <c r="T4559" i="2"/>
  <c r="T4563" i="2"/>
  <c r="T4567" i="2"/>
  <c r="T4571" i="2"/>
  <c r="T4575" i="2"/>
  <c r="T4579" i="2"/>
  <c r="T4583" i="2"/>
  <c r="T4587" i="2"/>
  <c r="T4591" i="2"/>
  <c r="T4595" i="2"/>
  <c r="T4599" i="2"/>
  <c r="T4603" i="2"/>
  <c r="T4607" i="2"/>
  <c r="T4611" i="2"/>
  <c r="T4615" i="2"/>
  <c r="T4619" i="2"/>
  <c r="T4623" i="2"/>
  <c r="T4627" i="2"/>
  <c r="T4631" i="2"/>
  <c r="T4635" i="2"/>
  <c r="T4639" i="2"/>
  <c r="T4643" i="2"/>
  <c r="T4647" i="2"/>
  <c r="T4651" i="2"/>
  <c r="T4655" i="2"/>
  <c r="T4659" i="2"/>
  <c r="T4663" i="2"/>
  <c r="T4667" i="2"/>
  <c r="T4671" i="2"/>
  <c r="T4675" i="2"/>
  <c r="T4679" i="2"/>
  <c r="T4683" i="2"/>
  <c r="T4687" i="2"/>
  <c r="T4691" i="2"/>
  <c r="T4695" i="2"/>
  <c r="T4699" i="2"/>
  <c r="T4703" i="2"/>
  <c r="T4707" i="2"/>
  <c r="T4711" i="2"/>
  <c r="T4715" i="2"/>
  <c r="T4719" i="2"/>
  <c r="T4723" i="2"/>
  <c r="T4727" i="2"/>
  <c r="T4731" i="2"/>
  <c r="T4735" i="2"/>
  <c r="T4739" i="2"/>
  <c r="T4743" i="2"/>
  <c r="T4747" i="2"/>
  <c r="T4751" i="2"/>
  <c r="T4755" i="2"/>
  <c r="T4759" i="2"/>
  <c r="T4763" i="2"/>
  <c r="T4767" i="2"/>
  <c r="T4771" i="2"/>
  <c r="T4775" i="2"/>
  <c r="T4779" i="2"/>
  <c r="U3556" i="2"/>
  <c r="U3812" i="2"/>
  <c r="U3979" i="2"/>
  <c r="U4011" i="2"/>
  <c r="U4043" i="2"/>
  <c r="U4075" i="2"/>
  <c r="U4107" i="2"/>
  <c r="U4139" i="2"/>
  <c r="U4171" i="2"/>
  <c r="U4203" i="2"/>
  <c r="U4235" i="2"/>
  <c r="U4258" i="2"/>
  <c r="T4268" i="2"/>
  <c r="U4279" i="2"/>
  <c r="U4290" i="2"/>
  <c r="T4300" i="2"/>
  <c r="U4311" i="2"/>
  <c r="U4322" i="2"/>
  <c r="T4332" i="2"/>
  <c r="U4343" i="2"/>
  <c r="U4354" i="2"/>
  <c r="T4364" i="2"/>
  <c r="U4375" i="2"/>
  <c r="U4383" i="2"/>
  <c r="T4390" i="2"/>
  <c r="T4396" i="2"/>
  <c r="T4401" i="2"/>
  <c r="U4406" i="2"/>
  <c r="U4411" i="2"/>
  <c r="U4415" i="2"/>
  <c r="U4419" i="2"/>
  <c r="U4423" i="2"/>
  <c r="U4427" i="2"/>
  <c r="U4431" i="2"/>
  <c r="U4435" i="2"/>
  <c r="U4439" i="2"/>
  <c r="U4443" i="2"/>
  <c r="U4447" i="2"/>
  <c r="U4451" i="2"/>
  <c r="U4455" i="2"/>
  <c r="U4459" i="2"/>
  <c r="U4463" i="2"/>
  <c r="U4467" i="2"/>
  <c r="U4471" i="2"/>
  <c r="U4475" i="2"/>
  <c r="U4479" i="2"/>
  <c r="U4483" i="2"/>
  <c r="U4487" i="2"/>
  <c r="U4491" i="2"/>
  <c r="U4495" i="2"/>
  <c r="U4499" i="2"/>
  <c r="U4503" i="2"/>
  <c r="U4507" i="2"/>
  <c r="U4511" i="2"/>
  <c r="U4515" i="2"/>
  <c r="U4519" i="2"/>
  <c r="U4523" i="2"/>
  <c r="U4527" i="2"/>
  <c r="U4531" i="2"/>
  <c r="U4535" i="2"/>
  <c r="U4539" i="2"/>
  <c r="U4543" i="2"/>
  <c r="U4547" i="2"/>
  <c r="U4551" i="2"/>
  <c r="U4555" i="2"/>
  <c r="U4559" i="2"/>
  <c r="U4563" i="2"/>
  <c r="U4567" i="2"/>
  <c r="U4571" i="2"/>
  <c r="U4575" i="2"/>
  <c r="U4579" i="2"/>
  <c r="U4583" i="2"/>
  <c r="U4587" i="2"/>
  <c r="U4591" i="2"/>
  <c r="U4595" i="2"/>
  <c r="U4599" i="2"/>
  <c r="U4603" i="2"/>
  <c r="U4607" i="2"/>
  <c r="U4611" i="2"/>
  <c r="U4615" i="2"/>
  <c r="U4619" i="2"/>
  <c r="U4623" i="2"/>
  <c r="U4627" i="2"/>
  <c r="U4631" i="2"/>
  <c r="U4635" i="2"/>
  <c r="U4639" i="2"/>
  <c r="U4643" i="2"/>
  <c r="U4647" i="2"/>
  <c r="U4651" i="2"/>
  <c r="U4655" i="2"/>
  <c r="U4659" i="2"/>
  <c r="U4663" i="2"/>
  <c r="U4667" i="2"/>
  <c r="U4671" i="2"/>
  <c r="U4675" i="2"/>
  <c r="U4679" i="2"/>
  <c r="U4683" i="2"/>
  <c r="U4687" i="2"/>
  <c r="U4691" i="2"/>
  <c r="U4695" i="2"/>
  <c r="U4699" i="2"/>
  <c r="U4703" i="2"/>
  <c r="U4707" i="2"/>
  <c r="U4711" i="2"/>
  <c r="U4715" i="2"/>
  <c r="U4719" i="2"/>
  <c r="U4723" i="2"/>
  <c r="U4727" i="2"/>
  <c r="U4731" i="2"/>
  <c r="U4735" i="2"/>
  <c r="U4739" i="2"/>
  <c r="U4743" i="2"/>
  <c r="U4747" i="2"/>
  <c r="U4751" i="2"/>
  <c r="U4755" i="2"/>
  <c r="U4759" i="2"/>
  <c r="U4763" i="2"/>
  <c r="U4767" i="2"/>
  <c r="U4771" i="2"/>
  <c r="U4775" i="2"/>
  <c r="U4779" i="2"/>
  <c r="U4783" i="2"/>
  <c r="U4787" i="2"/>
  <c r="U3588" i="2"/>
  <c r="U3844" i="2"/>
  <c r="U3983" i="2"/>
  <c r="U4015" i="2"/>
  <c r="U4047" i="2"/>
  <c r="U4079" i="2"/>
  <c r="U4111" i="2"/>
  <c r="U4143" i="2"/>
  <c r="U4175" i="2"/>
  <c r="U4207" i="2"/>
  <c r="U4239" i="2"/>
  <c r="U4259" i="2"/>
  <c r="U4270" i="2"/>
  <c r="T4280" i="2"/>
  <c r="U4291" i="2"/>
  <c r="U4302" i="2"/>
  <c r="T4312" i="2"/>
  <c r="U4323" i="2"/>
  <c r="U4334" i="2"/>
  <c r="T4344" i="2"/>
  <c r="U4355" i="2"/>
  <c r="U4366" i="2"/>
  <c r="T4376" i="2"/>
  <c r="T4384" i="2"/>
  <c r="U4390" i="2"/>
  <c r="U4396" i="2"/>
  <c r="T4402" i="2"/>
  <c r="U4407" i="2"/>
  <c r="T4412" i="2"/>
  <c r="T4416" i="2"/>
  <c r="T4420" i="2"/>
  <c r="T4424" i="2"/>
  <c r="T4428" i="2"/>
  <c r="T4432" i="2"/>
  <c r="T4436" i="2"/>
  <c r="T4440" i="2"/>
  <c r="T4444" i="2"/>
  <c r="T4448" i="2"/>
  <c r="T4452" i="2"/>
  <c r="T4456" i="2"/>
  <c r="T4460" i="2"/>
  <c r="T4464" i="2"/>
  <c r="T4468" i="2"/>
  <c r="T4472" i="2"/>
  <c r="T4476" i="2"/>
  <c r="T4480" i="2"/>
  <c r="T4484" i="2"/>
  <c r="T4488" i="2"/>
  <c r="T4492" i="2"/>
  <c r="T4496" i="2"/>
  <c r="T4500" i="2"/>
  <c r="T4504" i="2"/>
  <c r="T4508" i="2"/>
  <c r="T4512" i="2"/>
  <c r="T4516" i="2"/>
  <c r="T4520" i="2"/>
  <c r="T4524" i="2"/>
  <c r="T4528" i="2"/>
  <c r="T4532" i="2"/>
  <c r="T4536" i="2"/>
  <c r="T4540" i="2"/>
  <c r="T4544" i="2"/>
  <c r="T4548" i="2"/>
  <c r="T4552" i="2"/>
  <c r="T4556" i="2"/>
  <c r="T4560" i="2"/>
  <c r="T4564" i="2"/>
  <c r="T4568" i="2"/>
  <c r="T4572" i="2"/>
  <c r="T4576" i="2"/>
  <c r="T4580" i="2"/>
  <c r="T4584" i="2"/>
  <c r="T4588" i="2"/>
  <c r="T4592" i="2"/>
  <c r="T4596" i="2"/>
  <c r="T4600" i="2"/>
  <c r="T4604" i="2"/>
  <c r="T4608" i="2"/>
  <c r="T4612" i="2"/>
  <c r="T4616" i="2"/>
  <c r="T4620" i="2"/>
  <c r="T4624" i="2"/>
  <c r="T4628" i="2"/>
  <c r="T4632" i="2"/>
  <c r="T4636" i="2"/>
  <c r="T4640" i="2"/>
  <c r="T4644" i="2"/>
  <c r="T4648" i="2"/>
  <c r="T4652" i="2"/>
  <c r="T4656" i="2"/>
  <c r="T4660" i="2"/>
  <c r="T4664" i="2"/>
  <c r="T4668" i="2"/>
  <c r="T4672" i="2"/>
  <c r="T4676" i="2"/>
  <c r="T4680" i="2"/>
  <c r="T4684" i="2"/>
  <c r="T4688" i="2"/>
  <c r="T4692" i="2"/>
  <c r="T4696" i="2"/>
  <c r="T4700" i="2"/>
  <c r="T4704" i="2"/>
  <c r="T4708" i="2"/>
  <c r="T4712" i="2"/>
  <c r="T4716" i="2"/>
  <c r="T4720" i="2"/>
  <c r="T4724" i="2"/>
  <c r="T4728" i="2"/>
  <c r="T4732" i="2"/>
  <c r="T4736" i="2"/>
  <c r="T4740" i="2"/>
  <c r="T4744" i="2"/>
  <c r="T4748" i="2"/>
  <c r="T4752" i="2"/>
  <c r="T4756" i="2"/>
  <c r="T4760" i="2"/>
  <c r="T4764" i="2"/>
  <c r="T4768" i="2"/>
  <c r="T4772" i="2"/>
  <c r="T4776" i="2"/>
  <c r="T4780" i="2"/>
  <c r="T4784" i="2"/>
  <c r="T4788" i="2"/>
  <c r="T4792" i="2"/>
  <c r="T4796" i="2"/>
  <c r="T4800" i="2"/>
  <c r="T4804" i="2"/>
  <c r="U3620" i="2"/>
  <c r="U3876" i="2"/>
  <c r="U3987" i="2"/>
  <c r="U4019" i="2"/>
  <c r="U4051" i="2"/>
  <c r="U4083" i="2"/>
  <c r="U4115" i="2"/>
  <c r="U4147" i="2"/>
  <c r="U4179" i="2"/>
  <c r="U4211" i="2"/>
  <c r="U4243" i="2"/>
  <c r="T4260" i="2"/>
  <c r="U4271" i="2"/>
  <c r="U4282" i="2"/>
  <c r="T4292" i="2"/>
  <c r="U4303" i="2"/>
  <c r="U4314" i="2"/>
  <c r="T4324" i="2"/>
  <c r="U4335" i="2"/>
  <c r="U4346" i="2"/>
  <c r="T4356" i="2"/>
  <c r="U4367" i="2"/>
  <c r="U4378" i="2"/>
  <c r="T4385" i="2"/>
  <c r="U4391" i="2"/>
  <c r="T4397" i="2"/>
  <c r="U4402" i="2"/>
  <c r="T4408" i="2"/>
  <c r="U4412" i="2"/>
  <c r="U4416" i="2"/>
  <c r="U4420" i="2"/>
  <c r="U4424" i="2"/>
  <c r="U4428" i="2"/>
  <c r="U4432" i="2"/>
  <c r="U4436" i="2"/>
  <c r="U4440" i="2"/>
  <c r="U4444" i="2"/>
  <c r="U4448" i="2"/>
  <c r="U4452" i="2"/>
  <c r="U4456" i="2"/>
  <c r="U4460" i="2"/>
  <c r="U4464" i="2"/>
  <c r="U4468" i="2"/>
  <c r="U4472" i="2"/>
  <c r="U4476" i="2"/>
  <c r="U4480" i="2"/>
  <c r="U4484" i="2"/>
  <c r="U4488" i="2"/>
  <c r="U4492" i="2"/>
  <c r="U4496" i="2"/>
  <c r="U4500" i="2"/>
  <c r="U4504" i="2"/>
  <c r="U4508" i="2"/>
  <c r="U4512" i="2"/>
  <c r="U4516" i="2"/>
  <c r="U4520" i="2"/>
  <c r="U4524" i="2"/>
  <c r="U4528" i="2"/>
  <c r="U4532" i="2"/>
  <c r="U4536" i="2"/>
  <c r="U4540" i="2"/>
  <c r="U4544" i="2"/>
  <c r="U4548" i="2"/>
  <c r="U4552" i="2"/>
  <c r="U4556" i="2"/>
  <c r="U4560" i="2"/>
  <c r="U4564" i="2"/>
  <c r="U4568" i="2"/>
  <c r="U4572" i="2"/>
  <c r="U4576" i="2"/>
  <c r="U4580" i="2"/>
  <c r="U4584" i="2"/>
  <c r="U4588" i="2"/>
  <c r="U4592" i="2"/>
  <c r="U4596" i="2"/>
  <c r="U4600" i="2"/>
  <c r="U4604" i="2"/>
  <c r="U4608" i="2"/>
  <c r="U4612" i="2"/>
  <c r="U4616" i="2"/>
  <c r="U4620" i="2"/>
  <c r="U4624" i="2"/>
  <c r="U3652" i="2"/>
  <c r="U3908" i="2"/>
  <c r="U3991" i="2"/>
  <c r="U4023" i="2"/>
  <c r="U4055" i="2"/>
  <c r="U4087" i="2"/>
  <c r="U4119" i="2"/>
  <c r="U4151" i="2"/>
  <c r="U4183" i="2"/>
  <c r="U4215" i="2"/>
  <c r="U4247" i="2"/>
  <c r="U4262" i="2"/>
  <c r="T4272" i="2"/>
  <c r="U4283" i="2"/>
  <c r="U4294" i="2"/>
  <c r="T4304" i="2"/>
  <c r="U4315" i="2"/>
  <c r="U4326" i="2"/>
  <c r="T4336" i="2"/>
  <c r="U4347" i="2"/>
  <c r="U4358" i="2"/>
  <c r="T4368" i="2"/>
  <c r="U4379" i="2"/>
  <c r="T4386" i="2"/>
  <c r="T4392" i="2"/>
  <c r="T4398" i="2"/>
  <c r="U4403" i="2"/>
  <c r="U4408" i="2"/>
  <c r="T4413" i="2"/>
  <c r="T4417" i="2"/>
  <c r="T4421" i="2"/>
  <c r="T4425" i="2"/>
  <c r="T4429" i="2"/>
  <c r="T4433" i="2"/>
  <c r="T4437" i="2"/>
  <c r="T4441" i="2"/>
  <c r="T4445" i="2"/>
  <c r="T4449" i="2"/>
  <c r="T4453" i="2"/>
  <c r="T4457" i="2"/>
  <c r="T4461" i="2"/>
  <c r="T4465" i="2"/>
  <c r="T4469" i="2"/>
  <c r="T4473" i="2"/>
  <c r="T4477" i="2"/>
  <c r="T4481" i="2"/>
  <c r="T4485" i="2"/>
  <c r="T4489" i="2"/>
  <c r="T4493" i="2"/>
  <c r="T4497" i="2"/>
  <c r="T4501" i="2"/>
  <c r="T4505" i="2"/>
  <c r="T4509" i="2"/>
  <c r="T4513" i="2"/>
  <c r="T4517" i="2"/>
  <c r="T4521" i="2"/>
  <c r="T4525" i="2"/>
  <c r="T4529" i="2"/>
  <c r="T4533" i="2"/>
  <c r="T4537" i="2"/>
  <c r="T4541" i="2"/>
  <c r="T4545" i="2"/>
  <c r="T4549" i="2"/>
  <c r="T4553" i="2"/>
  <c r="T4557" i="2"/>
  <c r="T4561" i="2"/>
  <c r="T4565" i="2"/>
  <c r="T4569" i="2"/>
  <c r="T4573" i="2"/>
  <c r="T4577" i="2"/>
  <c r="T4581" i="2"/>
  <c r="T4585" i="2"/>
  <c r="T4589" i="2"/>
  <c r="T4593" i="2"/>
  <c r="T4597" i="2"/>
  <c r="T4601" i="2"/>
  <c r="T4605" i="2"/>
  <c r="T4609" i="2"/>
  <c r="T4613" i="2"/>
  <c r="T4617" i="2"/>
  <c r="T4621" i="2"/>
  <c r="T4625" i="2"/>
  <c r="T4629" i="2"/>
  <c r="T4633" i="2"/>
  <c r="T4637" i="2"/>
  <c r="T4641" i="2"/>
  <c r="T4645" i="2"/>
  <c r="T4649" i="2"/>
  <c r="T4653" i="2"/>
  <c r="T4657" i="2"/>
  <c r="T4661" i="2"/>
  <c r="T4665" i="2"/>
  <c r="T4669" i="2"/>
  <c r="T4673" i="2"/>
  <c r="T4677" i="2"/>
  <c r="T4681" i="2"/>
  <c r="T4685" i="2"/>
  <c r="T4689" i="2"/>
  <c r="T4693" i="2"/>
  <c r="T4697" i="2"/>
  <c r="T4701" i="2"/>
  <c r="T4705" i="2"/>
  <c r="T4709" i="2"/>
  <c r="T4713" i="2"/>
  <c r="T4717" i="2"/>
  <c r="T4721" i="2"/>
  <c r="T4725" i="2"/>
  <c r="T4729" i="2"/>
  <c r="T4733" i="2"/>
  <c r="T4737" i="2"/>
  <c r="T4741" i="2"/>
  <c r="T4745" i="2"/>
  <c r="T4749" i="2"/>
  <c r="T4753" i="2"/>
  <c r="T4757" i="2"/>
  <c r="T4761" i="2"/>
  <c r="T4765" i="2"/>
  <c r="T4769" i="2"/>
  <c r="T4773" i="2"/>
  <c r="T4777" i="2"/>
  <c r="U3684" i="2"/>
  <c r="U3940" i="2"/>
  <c r="U3995" i="2"/>
  <c r="U4027" i="2"/>
  <c r="U4059" i="2"/>
  <c r="U4091" i="2"/>
  <c r="U4123" i="2"/>
  <c r="U4155" i="2"/>
  <c r="U4187" i="2"/>
  <c r="U4219" i="2"/>
  <c r="U4251" i="2"/>
  <c r="U4263" i="2"/>
  <c r="U4274" i="2"/>
  <c r="T4284" i="2"/>
  <c r="U4295" i="2"/>
  <c r="U4306" i="2"/>
  <c r="T4316" i="2"/>
  <c r="U4327" i="2"/>
  <c r="U4338" i="2"/>
  <c r="T4348" i="2"/>
  <c r="U4359" i="2"/>
  <c r="U4370" i="2"/>
  <c r="T4380" i="2"/>
  <c r="U4386" i="2"/>
  <c r="T4393" i="2"/>
  <c r="U4398" i="2"/>
  <c r="T4404" i="2"/>
  <c r="T4409" i="2"/>
  <c r="U4413" i="2"/>
  <c r="U4417" i="2"/>
  <c r="U4421" i="2"/>
  <c r="U4425" i="2"/>
  <c r="U4429" i="2"/>
  <c r="U4433" i="2"/>
  <c r="U4437" i="2"/>
  <c r="U4441" i="2"/>
  <c r="U4445" i="2"/>
  <c r="U4449" i="2"/>
  <c r="U4453" i="2"/>
  <c r="U4457" i="2"/>
  <c r="U4461" i="2"/>
  <c r="U4465" i="2"/>
  <c r="U4469" i="2"/>
  <c r="U4473" i="2"/>
  <c r="U4477" i="2"/>
  <c r="U4481" i="2"/>
  <c r="U4485" i="2"/>
  <c r="U4489" i="2"/>
  <c r="U4493" i="2"/>
  <c r="U4497" i="2"/>
  <c r="U4501" i="2"/>
  <c r="U4505" i="2"/>
  <c r="U4509" i="2"/>
  <c r="U4513" i="2"/>
  <c r="U4517" i="2"/>
  <c r="U4521" i="2"/>
  <c r="U4525" i="2"/>
  <c r="U4529" i="2"/>
  <c r="U4533" i="2"/>
  <c r="U4537" i="2"/>
  <c r="U4541" i="2"/>
  <c r="U4545" i="2"/>
  <c r="U4549" i="2"/>
  <c r="U4553" i="2"/>
  <c r="U4557" i="2"/>
  <c r="U4561" i="2"/>
  <c r="U4565" i="2"/>
  <c r="U4569" i="2"/>
  <c r="U4573" i="2"/>
  <c r="U4577" i="2"/>
  <c r="U4581" i="2"/>
  <c r="U4585" i="2"/>
  <c r="U4589" i="2"/>
  <c r="U4593" i="2"/>
  <c r="U4597" i="2"/>
  <c r="U4601" i="2"/>
  <c r="U4605" i="2"/>
  <c r="U4609" i="2"/>
  <c r="U4613" i="2"/>
  <c r="U4617" i="2"/>
  <c r="U4621" i="2"/>
  <c r="U4625" i="2"/>
  <c r="U4629" i="2"/>
  <c r="U4633" i="2"/>
  <c r="U4637" i="2"/>
  <c r="U4641" i="2"/>
  <c r="U4645" i="2"/>
  <c r="U4649" i="2"/>
  <c r="U4653" i="2"/>
  <c r="U4657" i="2"/>
  <c r="U4661" i="2"/>
  <c r="U4665" i="2"/>
  <c r="U4669" i="2"/>
  <c r="U4673" i="2"/>
  <c r="U4677" i="2"/>
  <c r="U4681" i="2"/>
  <c r="U4685" i="2"/>
  <c r="U4689" i="2"/>
  <c r="U4693" i="2"/>
  <c r="U4697" i="2"/>
  <c r="U4701" i="2"/>
  <c r="U4705" i="2"/>
  <c r="U4709" i="2"/>
  <c r="U4713" i="2"/>
  <c r="U4717" i="2"/>
  <c r="U4721" i="2"/>
  <c r="U4725" i="2"/>
  <c r="U4729" i="2"/>
  <c r="U4733" i="2"/>
  <c r="U4737" i="2"/>
  <c r="U4741" i="2"/>
  <c r="U4745" i="2"/>
  <c r="U4749" i="2"/>
  <c r="U4753" i="2"/>
  <c r="U4757" i="2"/>
  <c r="U4761" i="2"/>
  <c r="U4765" i="2"/>
  <c r="U4769" i="2"/>
  <c r="U4773" i="2"/>
  <c r="U4777" i="2"/>
  <c r="U4781" i="2"/>
  <c r="U4785" i="2"/>
  <c r="U4789" i="2"/>
  <c r="U4793" i="2"/>
  <c r="U4797" i="2"/>
  <c r="U4801" i="2"/>
  <c r="U4805" i="2"/>
  <c r="U3716" i="2"/>
  <c r="U4191" i="2"/>
  <c r="U4318" i="2"/>
  <c r="T4394" i="2"/>
  <c r="T4430" i="2"/>
  <c r="T4462" i="2"/>
  <c r="T4494" i="2"/>
  <c r="T4526" i="2"/>
  <c r="T4558" i="2"/>
  <c r="T4590" i="2"/>
  <c r="T4622" i="2"/>
  <c r="U4636" i="2"/>
  <c r="U4646" i="2"/>
  <c r="T4658" i="2"/>
  <c r="U4668" i="2"/>
  <c r="U4678" i="2"/>
  <c r="T4690" i="2"/>
  <c r="U4700" i="2"/>
  <c r="U4710" i="2"/>
  <c r="T4722" i="2"/>
  <c r="U4732" i="2"/>
  <c r="U4742" i="2"/>
  <c r="T4754" i="2"/>
  <c r="U4764" i="2"/>
  <c r="U4774" i="2"/>
  <c r="T4783" i="2"/>
  <c r="T4790" i="2"/>
  <c r="T4795" i="2"/>
  <c r="U4800" i="2"/>
  <c r="T4806" i="2"/>
  <c r="T4810" i="2"/>
  <c r="T4814" i="2"/>
  <c r="T4818" i="2"/>
  <c r="T4822" i="2"/>
  <c r="T4826" i="2"/>
  <c r="T4830" i="2"/>
  <c r="T4834" i="2"/>
  <c r="T4838" i="2"/>
  <c r="T4842" i="2"/>
  <c r="T4846" i="2"/>
  <c r="T4850" i="2"/>
  <c r="T4854" i="2"/>
  <c r="T4858" i="2"/>
  <c r="T4862" i="2"/>
  <c r="T4866" i="2"/>
  <c r="T4870" i="2"/>
  <c r="T4874" i="2"/>
  <c r="T4878" i="2"/>
  <c r="T4882" i="2"/>
  <c r="T4886" i="2"/>
  <c r="T4890" i="2"/>
  <c r="T4894" i="2"/>
  <c r="T4898" i="2"/>
  <c r="T4902" i="2"/>
  <c r="T4906" i="2"/>
  <c r="T4910" i="2"/>
  <c r="T4914" i="2"/>
  <c r="T4918" i="2"/>
  <c r="T4922" i="2"/>
  <c r="T4926" i="2"/>
  <c r="T4930" i="2"/>
  <c r="T4934" i="2"/>
  <c r="T4938" i="2"/>
  <c r="T4942" i="2"/>
  <c r="T4946" i="2"/>
  <c r="T4950" i="2"/>
  <c r="T4954" i="2"/>
  <c r="T4958" i="2"/>
  <c r="T4962" i="2"/>
  <c r="T4966" i="2"/>
  <c r="U3967" i="2"/>
  <c r="U4223" i="2"/>
  <c r="T4328" i="2"/>
  <c r="U4399" i="2"/>
  <c r="T4434" i="2"/>
  <c r="T4466" i="2"/>
  <c r="T4498" i="2"/>
  <c r="T4530" i="2"/>
  <c r="T4562" i="2"/>
  <c r="T4594" i="2"/>
  <c r="T4626" i="2"/>
  <c r="T4638" i="2"/>
  <c r="U4648" i="2"/>
  <c r="U4658" i="2"/>
  <c r="T4670" i="2"/>
  <c r="U4680" i="2"/>
  <c r="U4690" i="2"/>
  <c r="T4702" i="2"/>
  <c r="U4712" i="2"/>
  <c r="U4722" i="2"/>
  <c r="T4734" i="2"/>
  <c r="U4744" i="2"/>
  <c r="U4754" i="2"/>
  <c r="T4766" i="2"/>
  <c r="U4776" i="2"/>
  <c r="U4784" i="2"/>
  <c r="U4790" i="2"/>
  <c r="U4795" i="2"/>
  <c r="T4801" i="2"/>
  <c r="U4806" i="2"/>
  <c r="U4810" i="2"/>
  <c r="U4814" i="2"/>
  <c r="U4818" i="2"/>
  <c r="U4822" i="2"/>
  <c r="U4826" i="2"/>
  <c r="U4830" i="2"/>
  <c r="U4834" i="2"/>
  <c r="U4838" i="2"/>
  <c r="U4842" i="2"/>
  <c r="U4846" i="2"/>
  <c r="U4850" i="2"/>
  <c r="U4854" i="2"/>
  <c r="U4858" i="2"/>
  <c r="U4862" i="2"/>
  <c r="U4866" i="2"/>
  <c r="U4870" i="2"/>
  <c r="U4874" i="2"/>
  <c r="U4878" i="2"/>
  <c r="U4882" i="2"/>
  <c r="U4886" i="2"/>
  <c r="U4890" i="2"/>
  <c r="U4894" i="2"/>
  <c r="U4898" i="2"/>
  <c r="U4902" i="2"/>
  <c r="U4906" i="2"/>
  <c r="U4910" i="2"/>
  <c r="U4914" i="2"/>
  <c r="U4918" i="2"/>
  <c r="U4922" i="2"/>
  <c r="U4926" i="2"/>
  <c r="U4930" i="2"/>
  <c r="U4934" i="2"/>
  <c r="U4938" i="2"/>
  <c r="U4942" i="2"/>
  <c r="U4946" i="2"/>
  <c r="U4950" i="2"/>
  <c r="U4954" i="2"/>
  <c r="U4958" i="2"/>
  <c r="U4962" i="2"/>
  <c r="U4966" i="2"/>
  <c r="U4970" i="2"/>
  <c r="U4974" i="2"/>
  <c r="U4978" i="2"/>
  <c r="U4982" i="2"/>
  <c r="U4986" i="2"/>
  <c r="U4990" i="2"/>
  <c r="U4994" i="2"/>
  <c r="U4998" i="2"/>
  <c r="U5002" i="2"/>
  <c r="U5006" i="2"/>
  <c r="U5010" i="2"/>
  <c r="U5014" i="2"/>
  <c r="U5018" i="2"/>
  <c r="U5022" i="2"/>
  <c r="U5026" i="2"/>
  <c r="U5030" i="2"/>
  <c r="U5034" i="2"/>
  <c r="U5038" i="2"/>
  <c r="U5042" i="2"/>
  <c r="U5046" i="2"/>
  <c r="U5050" i="2"/>
  <c r="U5054" i="2"/>
  <c r="U5058" i="2"/>
  <c r="U5062" i="2"/>
  <c r="U5066" i="2"/>
  <c r="U5070" i="2"/>
  <c r="U5074" i="2"/>
  <c r="U5078" i="2"/>
  <c r="U5082" i="2"/>
  <c r="U5086" i="2"/>
  <c r="U5090" i="2"/>
  <c r="U5094" i="2"/>
  <c r="U5098" i="2"/>
  <c r="U5102" i="2"/>
  <c r="U5106" i="2"/>
  <c r="U5110" i="2"/>
  <c r="U5114" i="2"/>
  <c r="U5118" i="2"/>
  <c r="U5122" i="2"/>
  <c r="U5126" i="2"/>
  <c r="U5130" i="2"/>
  <c r="U5134" i="2"/>
  <c r="U5138" i="2"/>
  <c r="U5142" i="2"/>
  <c r="U5146" i="2"/>
  <c r="U5150" i="2"/>
  <c r="U5154" i="2"/>
  <c r="U5158" i="2"/>
  <c r="U5162" i="2"/>
  <c r="U5166" i="2"/>
  <c r="U5170" i="2"/>
  <c r="U5174" i="2"/>
  <c r="U5178" i="2"/>
  <c r="U5182" i="2"/>
  <c r="U5186" i="2"/>
  <c r="U5190" i="2"/>
  <c r="U5194" i="2"/>
  <c r="U3999" i="2"/>
  <c r="U4254" i="2"/>
  <c r="U4339" i="2"/>
  <c r="U4404" i="2"/>
  <c r="T4438" i="2"/>
  <c r="T4470" i="2"/>
  <c r="T4502" i="2"/>
  <c r="T4534" i="2"/>
  <c r="T4566" i="2"/>
  <c r="T4598" i="2"/>
  <c r="U4628" i="2"/>
  <c r="U4638" i="2"/>
  <c r="T4650" i="2"/>
  <c r="U4660" i="2"/>
  <c r="U4670" i="2"/>
  <c r="T4682" i="2"/>
  <c r="U4692" i="2"/>
  <c r="U4702" i="2"/>
  <c r="T4714" i="2"/>
  <c r="U4724" i="2"/>
  <c r="U4734" i="2"/>
  <c r="T4746" i="2"/>
  <c r="U4756" i="2"/>
  <c r="U4766" i="2"/>
  <c r="T4778" i="2"/>
  <c r="T4785" i="2"/>
  <c r="T4791" i="2"/>
  <c r="U4796" i="2"/>
  <c r="T4802" i="2"/>
  <c r="T4807" i="2"/>
  <c r="T4811" i="2"/>
  <c r="T4815" i="2"/>
  <c r="T4819" i="2"/>
  <c r="T4823" i="2"/>
  <c r="T4827" i="2"/>
  <c r="T4831" i="2"/>
  <c r="T4835" i="2"/>
  <c r="T4839" i="2"/>
  <c r="T4843" i="2"/>
  <c r="T4847" i="2"/>
  <c r="T4851" i="2"/>
  <c r="T4855" i="2"/>
  <c r="T4859" i="2"/>
  <c r="T4863" i="2"/>
  <c r="T4867" i="2"/>
  <c r="T4871" i="2"/>
  <c r="T4875" i="2"/>
  <c r="T4879" i="2"/>
  <c r="T4883" i="2"/>
  <c r="T4887" i="2"/>
  <c r="T4891" i="2"/>
  <c r="T4895" i="2"/>
  <c r="T4899" i="2"/>
  <c r="T4903" i="2"/>
  <c r="T4907" i="2"/>
  <c r="T4911" i="2"/>
  <c r="T4915" i="2"/>
  <c r="T4919" i="2"/>
  <c r="T4923" i="2"/>
  <c r="T4927" i="2"/>
  <c r="T4931" i="2"/>
  <c r="T4935" i="2"/>
  <c r="T4939" i="2"/>
  <c r="T4943" i="2"/>
  <c r="T4947" i="2"/>
  <c r="T4951" i="2"/>
  <c r="T4955" i="2"/>
  <c r="T4959" i="2"/>
  <c r="T4963" i="2"/>
  <c r="T4967" i="2"/>
  <c r="T4971" i="2"/>
  <c r="T4975" i="2"/>
  <c r="T4979" i="2"/>
  <c r="T4983" i="2"/>
  <c r="T4987" i="2"/>
  <c r="T4991" i="2"/>
  <c r="T4995" i="2"/>
  <c r="T4999" i="2"/>
  <c r="T5003" i="2"/>
  <c r="T5007" i="2"/>
  <c r="T5011" i="2"/>
  <c r="T5015" i="2"/>
  <c r="T5019" i="2"/>
  <c r="T5023" i="2"/>
  <c r="T5027" i="2"/>
  <c r="T5031" i="2"/>
  <c r="T5035" i="2"/>
  <c r="T5039" i="2"/>
  <c r="T5043" i="2"/>
  <c r="T5047" i="2"/>
  <c r="T5051" i="2"/>
  <c r="T5055" i="2"/>
  <c r="T5059" i="2"/>
  <c r="T5063" i="2"/>
  <c r="T5067" i="2"/>
  <c r="T5071" i="2"/>
  <c r="T5075" i="2"/>
  <c r="T5079" i="2"/>
  <c r="T5083" i="2"/>
  <c r="T5087" i="2"/>
  <c r="T5091" i="2"/>
  <c r="T5095" i="2"/>
  <c r="T5099" i="2"/>
  <c r="T5103" i="2"/>
  <c r="T5107" i="2"/>
  <c r="T5111" i="2"/>
  <c r="T5115" i="2"/>
  <c r="T5119" i="2"/>
  <c r="T5123" i="2"/>
  <c r="T5127" i="2"/>
  <c r="T5131" i="2"/>
  <c r="T5135" i="2"/>
  <c r="T5139" i="2"/>
  <c r="T5143" i="2"/>
  <c r="T5147" i="2"/>
  <c r="T5151" i="2"/>
  <c r="T5155" i="2"/>
  <c r="T5159" i="2"/>
  <c r="T5163" i="2"/>
  <c r="T5167" i="2"/>
  <c r="T5171" i="2"/>
  <c r="T5175" i="2"/>
  <c r="T5179" i="2"/>
  <c r="T5183" i="2"/>
  <c r="U4031" i="2"/>
  <c r="T4264" i="2"/>
  <c r="U4350" i="2"/>
  <c r="U4409" i="2"/>
  <c r="T4442" i="2"/>
  <c r="T4474" i="2"/>
  <c r="T4506" i="2"/>
  <c r="T4538" i="2"/>
  <c r="T4570" i="2"/>
  <c r="T4602" i="2"/>
  <c r="T4630" i="2"/>
  <c r="U4640" i="2"/>
  <c r="U4650" i="2"/>
  <c r="T4662" i="2"/>
  <c r="U4672" i="2"/>
  <c r="U4682" i="2"/>
  <c r="T4694" i="2"/>
  <c r="U4704" i="2"/>
  <c r="U4714" i="2"/>
  <c r="T4726" i="2"/>
  <c r="U4736" i="2"/>
  <c r="U4746" i="2"/>
  <c r="T4758" i="2"/>
  <c r="U4768" i="2"/>
  <c r="U4778" i="2"/>
  <c r="T4786" i="2"/>
  <c r="U4791" i="2"/>
  <c r="T4797" i="2"/>
  <c r="U4802" i="2"/>
  <c r="U4807" i="2"/>
  <c r="U4811" i="2"/>
  <c r="U4815" i="2"/>
  <c r="U4819" i="2"/>
  <c r="U4823" i="2"/>
  <c r="U4827" i="2"/>
  <c r="U4831" i="2"/>
  <c r="U4835" i="2"/>
  <c r="U4839" i="2"/>
  <c r="U4843" i="2"/>
  <c r="U4847" i="2"/>
  <c r="U4851" i="2"/>
  <c r="U4855" i="2"/>
  <c r="U4859" i="2"/>
  <c r="U4863" i="2"/>
  <c r="U4867" i="2"/>
  <c r="U4871" i="2"/>
  <c r="U4875" i="2"/>
  <c r="U4879" i="2"/>
  <c r="U4883" i="2"/>
  <c r="U4887" i="2"/>
  <c r="U4891" i="2"/>
  <c r="U4895" i="2"/>
  <c r="U4899" i="2"/>
  <c r="U4903" i="2"/>
  <c r="U4907" i="2"/>
  <c r="U4911" i="2"/>
  <c r="U4915" i="2"/>
  <c r="U4919" i="2"/>
  <c r="U4923" i="2"/>
  <c r="U4927" i="2"/>
  <c r="U4931" i="2"/>
  <c r="U4935" i="2"/>
  <c r="U4939" i="2"/>
  <c r="U4943" i="2"/>
  <c r="U4947" i="2"/>
  <c r="U4951" i="2"/>
  <c r="U4955" i="2"/>
  <c r="U4959" i="2"/>
  <c r="U4963" i="2"/>
  <c r="U4967" i="2"/>
  <c r="U4971" i="2"/>
  <c r="U4975" i="2"/>
  <c r="U4979" i="2"/>
  <c r="U4983" i="2"/>
  <c r="U4987" i="2"/>
  <c r="U4991" i="2"/>
  <c r="U4995" i="2"/>
  <c r="U4999" i="2"/>
  <c r="U5003" i="2"/>
  <c r="U5007" i="2"/>
  <c r="U5011" i="2"/>
  <c r="U5015" i="2"/>
  <c r="U5019" i="2"/>
  <c r="U5023" i="2"/>
  <c r="U5027" i="2"/>
  <c r="U5031" i="2"/>
  <c r="U5035" i="2"/>
  <c r="U5039" i="2"/>
  <c r="U5043" i="2"/>
  <c r="U5047" i="2"/>
  <c r="U5051" i="2"/>
  <c r="U5055" i="2"/>
  <c r="U5059" i="2"/>
  <c r="U5063" i="2"/>
  <c r="U5067" i="2"/>
  <c r="U5071" i="2"/>
  <c r="U5075" i="2"/>
  <c r="U5079" i="2"/>
  <c r="U5083" i="2"/>
  <c r="U5087" i="2"/>
  <c r="U5091" i="2"/>
  <c r="U5095" i="2"/>
  <c r="U5099" i="2"/>
  <c r="U5103" i="2"/>
  <c r="U5107" i="2"/>
  <c r="U5111" i="2"/>
  <c r="U5115" i="2"/>
  <c r="U5119" i="2"/>
  <c r="U5123" i="2"/>
  <c r="U5127" i="2"/>
  <c r="U5131" i="2"/>
  <c r="U5135" i="2"/>
  <c r="U5139" i="2"/>
  <c r="U5143" i="2"/>
  <c r="U5147" i="2"/>
  <c r="U5151" i="2"/>
  <c r="U5155" i="2"/>
  <c r="U5159" i="2"/>
  <c r="U5163" i="2"/>
  <c r="U5167" i="2"/>
  <c r="U5171" i="2"/>
  <c r="U5175" i="2"/>
  <c r="U5179" i="2"/>
  <c r="U5183" i="2"/>
  <c r="U5187" i="2"/>
  <c r="U5191" i="2"/>
  <c r="U5195" i="2"/>
  <c r="U5199" i="2"/>
  <c r="U5203" i="2"/>
  <c r="U5207" i="2"/>
  <c r="U5211" i="2"/>
  <c r="U5215" i="2"/>
  <c r="U5219" i="2"/>
  <c r="U5223" i="2"/>
  <c r="U4063" i="2"/>
  <c r="U4275" i="2"/>
  <c r="T4360" i="2"/>
  <c r="T4414" i="2"/>
  <c r="T4446" i="2"/>
  <c r="T4478" i="2"/>
  <c r="T4510" i="2"/>
  <c r="T4542" i="2"/>
  <c r="T4574" i="2"/>
  <c r="T4606" i="2"/>
  <c r="U4630" i="2"/>
  <c r="T4642" i="2"/>
  <c r="U4652" i="2"/>
  <c r="U4662" i="2"/>
  <c r="T4674" i="2"/>
  <c r="U4684" i="2"/>
  <c r="U4694" i="2"/>
  <c r="T4706" i="2"/>
  <c r="U4716" i="2"/>
  <c r="U4726" i="2"/>
  <c r="T4738" i="2"/>
  <c r="U4748" i="2"/>
  <c r="U4758" i="2"/>
  <c r="T4770" i="2"/>
  <c r="U4780" i="2"/>
  <c r="U4786" i="2"/>
  <c r="U4792" i="2"/>
  <c r="T4798" i="2"/>
  <c r="T4803" i="2"/>
  <c r="T4808" i="2"/>
  <c r="T4812" i="2"/>
  <c r="T4816" i="2"/>
  <c r="T4820" i="2"/>
  <c r="T4824" i="2"/>
  <c r="T4828" i="2"/>
  <c r="T4832" i="2"/>
  <c r="T4836" i="2"/>
  <c r="T4840" i="2"/>
  <c r="T4844" i="2"/>
  <c r="T4848" i="2"/>
  <c r="T4852" i="2"/>
  <c r="T4856" i="2"/>
  <c r="T4860" i="2"/>
  <c r="T4864" i="2"/>
  <c r="T4868" i="2"/>
  <c r="T4872" i="2"/>
  <c r="T4876" i="2"/>
  <c r="T4880" i="2"/>
  <c r="T4884" i="2"/>
  <c r="T4888" i="2"/>
  <c r="T4892" i="2"/>
  <c r="T4896" i="2"/>
  <c r="T4900" i="2"/>
  <c r="T4904" i="2"/>
  <c r="T4908" i="2"/>
  <c r="T4912" i="2"/>
  <c r="T4916" i="2"/>
  <c r="T4920" i="2"/>
  <c r="T4924" i="2"/>
  <c r="T4928" i="2"/>
  <c r="T4932" i="2"/>
  <c r="T4936" i="2"/>
  <c r="T4940" i="2"/>
  <c r="T4944" i="2"/>
  <c r="T4948" i="2"/>
  <c r="T4952" i="2"/>
  <c r="T4956" i="2"/>
  <c r="T4960" i="2"/>
  <c r="T4964" i="2"/>
  <c r="T4968" i="2"/>
  <c r="T4972" i="2"/>
  <c r="T4976" i="2"/>
  <c r="T4980" i="2"/>
  <c r="T4984" i="2"/>
  <c r="T4988" i="2"/>
  <c r="T4992" i="2"/>
  <c r="T4996" i="2"/>
  <c r="T5000" i="2"/>
  <c r="T5004" i="2"/>
  <c r="T5008" i="2"/>
  <c r="T5012" i="2"/>
  <c r="T5016" i="2"/>
  <c r="T5020" i="2"/>
  <c r="T5024" i="2"/>
  <c r="T5028" i="2"/>
  <c r="T5032" i="2"/>
  <c r="T5036" i="2"/>
  <c r="T5040" i="2"/>
  <c r="T5044" i="2"/>
  <c r="T5048" i="2"/>
  <c r="T5052" i="2"/>
  <c r="T5056" i="2"/>
  <c r="T5060" i="2"/>
  <c r="T5064" i="2"/>
  <c r="T5068" i="2"/>
  <c r="T5072" i="2"/>
  <c r="T5076" i="2"/>
  <c r="T5080" i="2"/>
  <c r="T5084" i="2"/>
  <c r="T5088" i="2"/>
  <c r="T5092" i="2"/>
  <c r="T5096" i="2"/>
  <c r="T5100" i="2"/>
  <c r="T5104" i="2"/>
  <c r="T5108" i="2"/>
  <c r="T5112" i="2"/>
  <c r="T5116" i="2"/>
  <c r="T5120" i="2"/>
  <c r="T5124" i="2"/>
  <c r="T5128" i="2"/>
  <c r="T5132" i="2"/>
  <c r="T5136" i="2"/>
  <c r="T5140" i="2"/>
  <c r="T5144" i="2"/>
  <c r="T5148" i="2"/>
  <c r="T5152" i="2"/>
  <c r="T5156" i="2"/>
  <c r="T5160" i="2"/>
  <c r="T5164" i="2"/>
  <c r="T5168" i="2"/>
  <c r="T5172" i="2"/>
  <c r="T5176" i="2"/>
  <c r="T5180" i="2"/>
  <c r="T5184" i="2"/>
  <c r="T5188" i="2"/>
  <c r="T5192" i="2"/>
  <c r="T5196" i="2"/>
  <c r="T5200" i="2"/>
  <c r="T5204" i="2"/>
  <c r="T5208" i="2"/>
  <c r="T5212" i="2"/>
  <c r="U4095" i="2"/>
  <c r="U4286" i="2"/>
  <c r="U4371" i="2"/>
  <c r="T4418" i="2"/>
  <c r="T4450" i="2"/>
  <c r="T4482" i="2"/>
  <c r="T4514" i="2"/>
  <c r="T4546" i="2"/>
  <c r="T4578" i="2"/>
  <c r="T4610" i="2"/>
  <c r="U4632" i="2"/>
  <c r="U4642" i="2"/>
  <c r="T4654" i="2"/>
  <c r="U4664" i="2"/>
  <c r="U4674" i="2"/>
  <c r="T4686" i="2"/>
  <c r="U4696" i="2"/>
  <c r="U4706" i="2"/>
  <c r="T4718" i="2"/>
  <c r="U4728" i="2"/>
  <c r="U4738" i="2"/>
  <c r="T4750" i="2"/>
  <c r="U4760" i="2"/>
  <c r="U4770" i="2"/>
  <c r="T4781" i="2"/>
  <c r="T4787" i="2"/>
  <c r="T4793" i="2"/>
  <c r="U4798" i="2"/>
  <c r="U4803" i="2"/>
  <c r="U4808" i="2"/>
  <c r="U4812" i="2"/>
  <c r="U4816" i="2"/>
  <c r="U4820" i="2"/>
  <c r="U4824" i="2"/>
  <c r="U4828" i="2"/>
  <c r="U4832" i="2"/>
  <c r="U4836" i="2"/>
  <c r="U4840" i="2"/>
  <c r="U4844" i="2"/>
  <c r="U4848" i="2"/>
  <c r="U4852" i="2"/>
  <c r="U4856" i="2"/>
  <c r="U4860" i="2"/>
  <c r="U4864" i="2"/>
  <c r="U4868" i="2"/>
  <c r="U4872" i="2"/>
  <c r="U4876" i="2"/>
  <c r="U4880" i="2"/>
  <c r="U4884" i="2"/>
  <c r="U4888" i="2"/>
  <c r="U4892" i="2"/>
  <c r="U4896" i="2"/>
  <c r="U4900" i="2"/>
  <c r="U4904" i="2"/>
  <c r="U4908" i="2"/>
  <c r="U4912" i="2"/>
  <c r="U4916" i="2"/>
  <c r="U4920" i="2"/>
  <c r="U4924" i="2"/>
  <c r="U4928" i="2"/>
  <c r="U4932" i="2"/>
  <c r="U4936" i="2"/>
  <c r="U4940" i="2"/>
  <c r="U4944" i="2"/>
  <c r="U4948" i="2"/>
  <c r="U4952" i="2"/>
  <c r="U4956" i="2"/>
  <c r="U4960" i="2"/>
  <c r="U4964" i="2"/>
  <c r="U4127" i="2"/>
  <c r="T4296" i="2"/>
  <c r="T4381" i="2"/>
  <c r="T4422" i="2"/>
  <c r="T4454" i="2"/>
  <c r="T4486" i="2"/>
  <c r="T4518" i="2"/>
  <c r="T4550" i="2"/>
  <c r="T4582" i="2"/>
  <c r="T4614" i="2"/>
  <c r="T4634" i="2"/>
  <c r="U4644" i="2"/>
  <c r="U4654" i="2"/>
  <c r="T4666" i="2"/>
  <c r="U4676" i="2"/>
  <c r="U4686" i="2"/>
  <c r="T4698" i="2"/>
  <c r="U4708" i="2"/>
  <c r="U4718" i="2"/>
  <c r="T4730" i="2"/>
  <c r="U4740" i="2"/>
  <c r="U4750" i="2"/>
  <c r="T4762" i="2"/>
  <c r="U4772" i="2"/>
  <c r="T4782" i="2"/>
  <c r="U4788" i="2"/>
  <c r="T4794" i="2"/>
  <c r="T4799" i="2"/>
  <c r="U4804" i="2"/>
  <c r="T4809" i="2"/>
  <c r="T4813" i="2"/>
  <c r="T4817" i="2"/>
  <c r="T4821" i="2"/>
  <c r="T4825" i="2"/>
  <c r="T4829" i="2"/>
  <c r="T4833" i="2"/>
  <c r="T4837" i="2"/>
  <c r="T4841" i="2"/>
  <c r="T4845" i="2"/>
  <c r="T4849" i="2"/>
  <c r="T4853" i="2"/>
  <c r="T4857" i="2"/>
  <c r="T4861" i="2"/>
  <c r="T4865" i="2"/>
  <c r="T4869" i="2"/>
  <c r="T4873" i="2"/>
  <c r="T4877" i="2"/>
  <c r="T4881" i="2"/>
  <c r="T4885" i="2"/>
  <c r="T4889" i="2"/>
  <c r="T4893" i="2"/>
  <c r="T4897" i="2"/>
  <c r="T4901" i="2"/>
  <c r="T4905" i="2"/>
  <c r="T4909" i="2"/>
  <c r="T4913" i="2"/>
  <c r="T4917" i="2"/>
  <c r="T4921" i="2"/>
  <c r="T4925" i="2"/>
  <c r="T4929" i="2"/>
  <c r="T4933" i="2"/>
  <c r="T4937" i="2"/>
  <c r="T4941" i="2"/>
  <c r="T4945" i="2"/>
  <c r="T4949" i="2"/>
  <c r="T4953" i="2"/>
  <c r="T4957" i="2"/>
  <c r="T4961" i="2"/>
  <c r="T4965" i="2"/>
  <c r="T4969" i="2"/>
  <c r="T4973" i="2"/>
  <c r="T4977" i="2"/>
  <c r="T4981" i="2"/>
  <c r="T4985" i="2"/>
  <c r="T4989" i="2"/>
  <c r="T4993" i="2"/>
  <c r="T4997" i="2"/>
  <c r="T5001" i="2"/>
  <c r="T5005" i="2"/>
  <c r="T5009" i="2"/>
  <c r="T5013" i="2"/>
  <c r="T5017" i="2"/>
  <c r="T5021" i="2"/>
  <c r="T5025" i="2"/>
  <c r="T5029" i="2"/>
  <c r="T5033" i="2"/>
  <c r="T5037" i="2"/>
  <c r="T5041" i="2"/>
  <c r="T5045" i="2"/>
  <c r="T5049" i="2"/>
  <c r="T5053" i="2"/>
  <c r="T5057" i="2"/>
  <c r="T5061" i="2"/>
  <c r="T5065" i="2"/>
  <c r="T5069" i="2"/>
  <c r="T5073" i="2"/>
  <c r="T5077" i="2"/>
  <c r="T5081" i="2"/>
  <c r="T5085" i="2"/>
  <c r="T5089" i="2"/>
  <c r="T5093" i="2"/>
  <c r="T5097" i="2"/>
  <c r="T5101" i="2"/>
  <c r="T5105" i="2"/>
  <c r="T5109" i="2"/>
  <c r="T5113" i="2"/>
  <c r="T5117" i="2"/>
  <c r="T5121" i="2"/>
  <c r="T5125" i="2"/>
  <c r="T5129" i="2"/>
  <c r="T5133" i="2"/>
  <c r="T5137" i="2"/>
  <c r="T5141" i="2"/>
  <c r="T5145" i="2"/>
  <c r="T5149" i="2"/>
  <c r="T5153" i="2"/>
  <c r="T5157" i="2"/>
  <c r="T5161" i="2"/>
  <c r="T5165" i="2"/>
  <c r="T5169" i="2"/>
  <c r="T5173" i="2"/>
  <c r="T5177" i="2"/>
  <c r="T5181" i="2"/>
  <c r="T5185" i="2"/>
  <c r="T5189" i="2"/>
  <c r="T5193" i="2"/>
  <c r="T5197" i="2"/>
  <c r="T5201" i="2"/>
  <c r="T5205" i="2"/>
  <c r="T5209" i="2"/>
  <c r="T5213" i="2"/>
  <c r="T5217" i="2"/>
  <c r="T5221" i="2"/>
  <c r="T5225" i="2"/>
  <c r="T5229" i="2"/>
  <c r="T5233" i="2"/>
  <c r="T5237" i="2"/>
  <c r="T5241" i="2"/>
  <c r="T5245" i="2"/>
  <c r="T5249" i="2"/>
  <c r="T5253" i="2"/>
  <c r="T5257" i="2"/>
  <c r="T5261" i="2"/>
  <c r="T5265" i="2"/>
  <c r="T5269" i="2"/>
  <c r="T5273" i="2"/>
  <c r="T5277" i="2"/>
  <c r="U4159" i="2"/>
  <c r="T4586" i="2"/>
  <c r="U4698" i="2"/>
  <c r="U4782" i="2"/>
  <c r="U4821" i="2"/>
  <c r="U4853" i="2"/>
  <c r="U4885" i="2"/>
  <c r="U4917" i="2"/>
  <c r="U4949" i="2"/>
  <c r="U4972" i="2"/>
  <c r="T4982" i="2"/>
  <c r="U4993" i="2"/>
  <c r="U5004" i="2"/>
  <c r="T5014" i="2"/>
  <c r="U5025" i="2"/>
  <c r="U5036" i="2"/>
  <c r="T5046" i="2"/>
  <c r="U5057" i="2"/>
  <c r="U5068" i="2"/>
  <c r="T5078" i="2"/>
  <c r="U5089" i="2"/>
  <c r="U5100" i="2"/>
  <c r="T5110" i="2"/>
  <c r="U5121" i="2"/>
  <c r="U5132" i="2"/>
  <c r="T5142" i="2"/>
  <c r="U5153" i="2"/>
  <c r="U5164" i="2"/>
  <c r="T5174" i="2"/>
  <c r="U5185" i="2"/>
  <c r="U5193" i="2"/>
  <c r="U5200" i="2"/>
  <c r="U5206" i="2"/>
  <c r="U5213" i="2"/>
  <c r="U5218" i="2"/>
  <c r="T5224" i="2"/>
  <c r="U5228" i="2"/>
  <c r="U5233" i="2"/>
  <c r="T5238" i="2"/>
  <c r="U5242" i="2"/>
  <c r="T5247" i="2"/>
  <c r="U5251" i="2"/>
  <c r="T5256" i="2"/>
  <c r="U5260" i="2"/>
  <c r="U5265" i="2"/>
  <c r="T5270" i="2"/>
  <c r="U5274" i="2"/>
  <c r="T5279" i="2"/>
  <c r="T5283" i="2"/>
  <c r="T5287" i="2"/>
  <c r="T5291" i="2"/>
  <c r="T5295" i="2"/>
  <c r="T5299" i="2"/>
  <c r="T5303" i="2"/>
  <c r="T5307" i="2"/>
  <c r="T5311" i="2"/>
  <c r="T5315" i="2"/>
  <c r="T5319" i="2"/>
  <c r="T5323" i="2"/>
  <c r="T5327" i="2"/>
  <c r="T5331" i="2"/>
  <c r="T5335" i="2"/>
  <c r="T5339" i="2"/>
  <c r="T5343" i="2"/>
  <c r="T5347" i="2"/>
  <c r="T5351" i="2"/>
  <c r="T5355" i="2"/>
  <c r="T5359" i="2"/>
  <c r="T5363" i="2"/>
  <c r="T5367" i="2"/>
  <c r="T5371" i="2"/>
  <c r="T5375" i="2"/>
  <c r="T5379" i="2"/>
  <c r="T5383" i="2"/>
  <c r="T5387" i="2"/>
  <c r="T5391" i="2"/>
  <c r="T5395" i="2"/>
  <c r="T5399" i="2"/>
  <c r="T5403" i="2"/>
  <c r="T5407" i="2"/>
  <c r="T5411" i="2"/>
  <c r="T5415" i="2"/>
  <c r="T5419" i="2"/>
  <c r="T5423" i="2"/>
  <c r="T5427" i="2"/>
  <c r="T5431" i="2"/>
  <c r="T5435" i="2"/>
  <c r="T5439" i="2"/>
  <c r="T5443" i="2"/>
  <c r="T5447" i="2"/>
  <c r="T5451" i="2"/>
  <c r="T5455" i="2"/>
  <c r="T5459" i="2"/>
  <c r="T5463" i="2"/>
  <c r="T5467" i="2"/>
  <c r="T5471" i="2"/>
  <c r="T5475" i="2"/>
  <c r="T5479" i="2"/>
  <c r="T5483" i="2"/>
  <c r="T5487" i="2"/>
  <c r="T5491" i="2"/>
  <c r="T5495" i="2"/>
  <c r="T5499" i="2"/>
  <c r="T5503" i="2"/>
  <c r="T5507" i="2"/>
  <c r="T5511" i="2"/>
  <c r="U4913" i="2"/>
  <c r="U5120" i="2"/>
  <c r="U5173" i="2"/>
  <c r="U5212" i="2"/>
  <c r="T5242" i="2"/>
  <c r="T5274" i="2"/>
  <c r="U5302" i="2"/>
  <c r="U5330" i="2"/>
  <c r="U5354" i="2"/>
  <c r="U5382" i="2"/>
  <c r="U5410" i="2"/>
  <c r="U5438" i="2"/>
  <c r="U5470" i="2"/>
  <c r="U5494" i="2"/>
  <c r="U4307" i="2"/>
  <c r="T4618" i="2"/>
  <c r="T4710" i="2"/>
  <c r="T4789" i="2"/>
  <c r="U4825" i="2"/>
  <c r="U4857" i="2"/>
  <c r="U4889" i="2"/>
  <c r="U4921" i="2"/>
  <c r="U4953" i="2"/>
  <c r="U4973" i="2"/>
  <c r="U4984" i="2"/>
  <c r="T4994" i="2"/>
  <c r="U5005" i="2"/>
  <c r="U5016" i="2"/>
  <c r="T5026" i="2"/>
  <c r="U5037" i="2"/>
  <c r="U5048" i="2"/>
  <c r="T5058" i="2"/>
  <c r="U5069" i="2"/>
  <c r="U5080" i="2"/>
  <c r="T5090" i="2"/>
  <c r="U5101" i="2"/>
  <c r="U5112" i="2"/>
  <c r="T5122" i="2"/>
  <c r="U5133" i="2"/>
  <c r="U5144" i="2"/>
  <c r="T5154" i="2"/>
  <c r="U5165" i="2"/>
  <c r="U5176" i="2"/>
  <c r="T5186" i="2"/>
  <c r="T5194" i="2"/>
  <c r="U5201" i="2"/>
  <c r="T5207" i="2"/>
  <c r="T5214" i="2"/>
  <c r="T5219" i="2"/>
  <c r="U5224" i="2"/>
  <c r="U5229" i="2"/>
  <c r="T5234" i="2"/>
  <c r="U5238" i="2"/>
  <c r="T5243" i="2"/>
  <c r="U5247" i="2"/>
  <c r="T5252" i="2"/>
  <c r="U5256" i="2"/>
  <c r="U5261" i="2"/>
  <c r="T5266" i="2"/>
  <c r="U5270" i="2"/>
  <c r="T5275" i="2"/>
  <c r="U5279" i="2"/>
  <c r="U5283" i="2"/>
  <c r="U5287" i="2"/>
  <c r="U5291" i="2"/>
  <c r="U5295" i="2"/>
  <c r="U5299" i="2"/>
  <c r="U5303" i="2"/>
  <c r="U5307" i="2"/>
  <c r="U5311" i="2"/>
  <c r="U5315" i="2"/>
  <c r="U5319" i="2"/>
  <c r="U5323" i="2"/>
  <c r="U5327" i="2"/>
  <c r="U5331" i="2"/>
  <c r="U5335" i="2"/>
  <c r="U5339" i="2"/>
  <c r="U5343" i="2"/>
  <c r="U5347" i="2"/>
  <c r="U5351" i="2"/>
  <c r="U5355" i="2"/>
  <c r="U5359" i="2"/>
  <c r="U5363" i="2"/>
  <c r="U5367" i="2"/>
  <c r="U5371" i="2"/>
  <c r="U5375" i="2"/>
  <c r="U5379" i="2"/>
  <c r="U5383" i="2"/>
  <c r="U5387" i="2"/>
  <c r="U5391" i="2"/>
  <c r="U5395" i="2"/>
  <c r="U5399" i="2"/>
  <c r="U5403" i="2"/>
  <c r="U5407" i="2"/>
  <c r="U5411" i="2"/>
  <c r="U5415" i="2"/>
  <c r="U5419" i="2"/>
  <c r="U5423" i="2"/>
  <c r="U5427" i="2"/>
  <c r="U5431" i="2"/>
  <c r="U5435" i="2"/>
  <c r="U5439" i="2"/>
  <c r="U5443" i="2"/>
  <c r="U5447" i="2"/>
  <c r="U5451" i="2"/>
  <c r="U5455" i="2"/>
  <c r="U5459" i="2"/>
  <c r="U5463" i="2"/>
  <c r="U5467" i="2"/>
  <c r="U5471" i="2"/>
  <c r="U5475" i="2"/>
  <c r="U5479" i="2"/>
  <c r="U5483" i="2"/>
  <c r="U5487" i="2"/>
  <c r="U5491" i="2"/>
  <c r="U5495" i="2"/>
  <c r="U5499" i="2"/>
  <c r="U5503" i="2"/>
  <c r="U5507" i="2"/>
  <c r="U5511" i="2"/>
  <c r="U4881" i="2"/>
  <c r="T5098" i="2"/>
  <c r="T5199" i="2"/>
  <c r="U5237" i="2"/>
  <c r="T5260" i="2"/>
  <c r="U5290" i="2"/>
  <c r="U5310" i="2"/>
  <c r="U5334" i="2"/>
  <c r="U5362" i="2"/>
  <c r="U5386" i="2"/>
  <c r="U5414" i="2"/>
  <c r="U5446" i="2"/>
  <c r="U5478" i="2"/>
  <c r="U5506" i="2"/>
  <c r="U4387" i="2"/>
  <c r="U4634" i="2"/>
  <c r="U4720" i="2"/>
  <c r="U4794" i="2"/>
  <c r="U4829" i="2"/>
  <c r="U4861" i="2"/>
  <c r="U4893" i="2"/>
  <c r="U4925" i="2"/>
  <c r="U4957" i="2"/>
  <c r="T4974" i="2"/>
  <c r="U4985" i="2"/>
  <c r="U4996" i="2"/>
  <c r="T5006" i="2"/>
  <c r="U5017" i="2"/>
  <c r="U5028" i="2"/>
  <c r="T5038" i="2"/>
  <c r="U5049" i="2"/>
  <c r="U5060" i="2"/>
  <c r="T5070" i="2"/>
  <c r="U5081" i="2"/>
  <c r="U5092" i="2"/>
  <c r="T5102" i="2"/>
  <c r="U5113" i="2"/>
  <c r="U5124" i="2"/>
  <c r="T5134" i="2"/>
  <c r="U5145" i="2"/>
  <c r="U5156" i="2"/>
  <c r="T5166" i="2"/>
  <c r="U5177" i="2"/>
  <c r="T5187" i="2"/>
  <c r="T5195" i="2"/>
  <c r="T5202" i="2"/>
  <c r="U5208" i="2"/>
  <c r="U5214" i="2"/>
  <c r="T5220" i="2"/>
  <c r="U5225" i="2"/>
  <c r="T5230" i="2"/>
  <c r="U5234" i="2"/>
  <c r="T5239" i="2"/>
  <c r="U5243" i="2"/>
  <c r="T5248" i="2"/>
  <c r="U5252" i="2"/>
  <c r="U5257" i="2"/>
  <c r="T5262" i="2"/>
  <c r="U5266" i="2"/>
  <c r="T5271" i="2"/>
  <c r="U5275" i="2"/>
  <c r="T5280" i="2"/>
  <c r="T5284" i="2"/>
  <c r="T5288" i="2"/>
  <c r="T5292" i="2"/>
  <c r="T5296" i="2"/>
  <c r="T5300" i="2"/>
  <c r="T5304" i="2"/>
  <c r="T5308" i="2"/>
  <c r="T5312" i="2"/>
  <c r="T5316" i="2"/>
  <c r="T5320" i="2"/>
  <c r="T5324" i="2"/>
  <c r="T5328" i="2"/>
  <c r="T5332" i="2"/>
  <c r="T5336" i="2"/>
  <c r="T5340" i="2"/>
  <c r="T5344" i="2"/>
  <c r="T5348" i="2"/>
  <c r="T5352" i="2"/>
  <c r="T5356" i="2"/>
  <c r="T5360" i="2"/>
  <c r="T5364" i="2"/>
  <c r="T5368" i="2"/>
  <c r="T5372" i="2"/>
  <c r="T5376" i="2"/>
  <c r="T5380" i="2"/>
  <c r="T5384" i="2"/>
  <c r="T5388" i="2"/>
  <c r="T5392" i="2"/>
  <c r="T5396" i="2"/>
  <c r="T5400" i="2"/>
  <c r="T5404" i="2"/>
  <c r="T5408" i="2"/>
  <c r="T5412" i="2"/>
  <c r="T5416" i="2"/>
  <c r="T5420" i="2"/>
  <c r="T5424" i="2"/>
  <c r="T5428" i="2"/>
  <c r="T5432" i="2"/>
  <c r="T5436" i="2"/>
  <c r="T5440" i="2"/>
  <c r="T5444" i="2"/>
  <c r="T5448" i="2"/>
  <c r="T5452" i="2"/>
  <c r="T5456" i="2"/>
  <c r="T5460" i="2"/>
  <c r="T5464" i="2"/>
  <c r="T5468" i="2"/>
  <c r="T5472" i="2"/>
  <c r="T5476" i="2"/>
  <c r="T5480" i="2"/>
  <c r="T5484" i="2"/>
  <c r="T5488" i="2"/>
  <c r="T5492" i="2"/>
  <c r="T5496" i="2"/>
  <c r="T5500" i="2"/>
  <c r="T5504" i="2"/>
  <c r="T5508" i="2"/>
  <c r="T5512" i="2"/>
  <c r="T4774" i="2"/>
  <c r="T5002" i="2"/>
  <c r="T5034" i="2"/>
  <c r="T5066" i="2"/>
  <c r="T5130" i="2"/>
  <c r="T5162" i="2"/>
  <c r="T5223" i="2"/>
  <c r="T5251" i="2"/>
  <c r="U5278" i="2"/>
  <c r="U5306" i="2"/>
  <c r="U5326" i="2"/>
  <c r="U5350" i="2"/>
  <c r="U5378" i="2"/>
  <c r="U5406" i="2"/>
  <c r="U5434" i="2"/>
  <c r="U5462" i="2"/>
  <c r="U5490" i="2"/>
  <c r="T4426" i="2"/>
  <c r="T4646" i="2"/>
  <c r="U4730" i="2"/>
  <c r="U4799" i="2"/>
  <c r="U4833" i="2"/>
  <c r="U4865" i="2"/>
  <c r="U4897" i="2"/>
  <c r="U4929" i="2"/>
  <c r="U4961" i="2"/>
  <c r="U4976" i="2"/>
  <c r="T4986" i="2"/>
  <c r="U4997" i="2"/>
  <c r="U5008" i="2"/>
  <c r="T5018" i="2"/>
  <c r="U5029" i="2"/>
  <c r="U5040" i="2"/>
  <c r="T5050" i="2"/>
  <c r="U5061" i="2"/>
  <c r="U5072" i="2"/>
  <c r="T5082" i="2"/>
  <c r="U5093" i="2"/>
  <c r="U5104" i="2"/>
  <c r="T5114" i="2"/>
  <c r="U5125" i="2"/>
  <c r="U5136" i="2"/>
  <c r="T5146" i="2"/>
  <c r="U5157" i="2"/>
  <c r="U5168" i="2"/>
  <c r="T5178" i="2"/>
  <c r="U5188" i="2"/>
  <c r="U5196" i="2"/>
  <c r="U5202" i="2"/>
  <c r="U5209" i="2"/>
  <c r="T5215" i="2"/>
  <c r="U5220" i="2"/>
  <c r="T5226" i="2"/>
  <c r="U5230" i="2"/>
  <c r="T5235" i="2"/>
  <c r="U5239" i="2"/>
  <c r="T5244" i="2"/>
  <c r="U5248" i="2"/>
  <c r="U5253" i="2"/>
  <c r="T5258" i="2"/>
  <c r="U5262" i="2"/>
  <c r="T5267" i="2"/>
  <c r="U5271" i="2"/>
  <c r="T5276" i="2"/>
  <c r="U5280" i="2"/>
  <c r="U5284" i="2"/>
  <c r="U5288" i="2"/>
  <c r="U5292" i="2"/>
  <c r="U5296" i="2"/>
  <c r="U5300" i="2"/>
  <c r="U5304" i="2"/>
  <c r="U5308" i="2"/>
  <c r="U5312" i="2"/>
  <c r="U5316" i="2"/>
  <c r="U5320" i="2"/>
  <c r="U5324" i="2"/>
  <c r="U5328" i="2"/>
  <c r="U5332" i="2"/>
  <c r="U5336" i="2"/>
  <c r="U5340" i="2"/>
  <c r="U5344" i="2"/>
  <c r="U5348" i="2"/>
  <c r="U5352" i="2"/>
  <c r="U5356" i="2"/>
  <c r="U5360" i="2"/>
  <c r="U5364" i="2"/>
  <c r="U5368" i="2"/>
  <c r="U5372" i="2"/>
  <c r="U5376" i="2"/>
  <c r="U5380" i="2"/>
  <c r="U5384" i="2"/>
  <c r="U5388" i="2"/>
  <c r="U5392" i="2"/>
  <c r="U5396" i="2"/>
  <c r="U5400" i="2"/>
  <c r="U5404" i="2"/>
  <c r="U5408" i="2"/>
  <c r="U5412" i="2"/>
  <c r="U5416" i="2"/>
  <c r="U5420" i="2"/>
  <c r="U5424" i="2"/>
  <c r="U5428" i="2"/>
  <c r="U5432" i="2"/>
  <c r="U5436" i="2"/>
  <c r="U5440" i="2"/>
  <c r="U5444" i="2"/>
  <c r="U5448" i="2"/>
  <c r="U5452" i="2"/>
  <c r="U5456" i="2"/>
  <c r="U5460" i="2"/>
  <c r="U5464" i="2"/>
  <c r="U5468" i="2"/>
  <c r="U5472" i="2"/>
  <c r="U5476" i="2"/>
  <c r="U5480" i="2"/>
  <c r="U5484" i="2"/>
  <c r="U5488" i="2"/>
  <c r="U5492" i="2"/>
  <c r="U5496" i="2"/>
  <c r="U5500" i="2"/>
  <c r="U5504" i="2"/>
  <c r="U5508" i="2"/>
  <c r="U5512" i="2"/>
  <c r="U4817" i="2"/>
  <c r="U5109" i="2"/>
  <c r="U5192" i="2"/>
  <c r="U5232" i="2"/>
  <c r="U5255" i="2"/>
  <c r="U5286" i="2"/>
  <c r="U5314" i="2"/>
  <c r="U5338" i="2"/>
  <c r="U5366" i="2"/>
  <c r="U5390" i="2"/>
  <c r="U5418" i="2"/>
  <c r="U5442" i="2"/>
  <c r="U5466" i="2"/>
  <c r="U5498" i="2"/>
  <c r="T4458" i="2"/>
  <c r="U4656" i="2"/>
  <c r="T4742" i="2"/>
  <c r="T4805" i="2"/>
  <c r="U4837" i="2"/>
  <c r="U4869" i="2"/>
  <c r="U4901" i="2"/>
  <c r="U4933" i="2"/>
  <c r="U4965" i="2"/>
  <c r="U4977" i="2"/>
  <c r="U4988" i="2"/>
  <c r="T4998" i="2"/>
  <c r="U5009" i="2"/>
  <c r="U5020" i="2"/>
  <c r="T5030" i="2"/>
  <c r="U5041" i="2"/>
  <c r="U5052" i="2"/>
  <c r="T5062" i="2"/>
  <c r="U5073" i="2"/>
  <c r="U5084" i="2"/>
  <c r="T5094" i="2"/>
  <c r="U5105" i="2"/>
  <c r="U5116" i="2"/>
  <c r="T5126" i="2"/>
  <c r="U5137" i="2"/>
  <c r="U5148" i="2"/>
  <c r="T5158" i="2"/>
  <c r="U5169" i="2"/>
  <c r="U5180" i="2"/>
  <c r="U5189" i="2"/>
  <c r="U5197" i="2"/>
  <c r="T5203" i="2"/>
  <c r="T5210" i="2"/>
  <c r="T5216" i="2"/>
  <c r="U5221" i="2"/>
  <c r="U5226" i="2"/>
  <c r="T5231" i="2"/>
  <c r="U5235" i="2"/>
  <c r="T5240" i="2"/>
  <c r="U5244" i="2"/>
  <c r="U5249" i="2"/>
  <c r="T5254" i="2"/>
  <c r="U5258" i="2"/>
  <c r="T5263" i="2"/>
  <c r="U5267" i="2"/>
  <c r="T5272" i="2"/>
  <c r="U5276" i="2"/>
  <c r="T5281" i="2"/>
  <c r="T5285" i="2"/>
  <c r="T5289" i="2"/>
  <c r="T5293" i="2"/>
  <c r="T5297" i="2"/>
  <c r="T5301" i="2"/>
  <c r="T5305" i="2"/>
  <c r="T5309" i="2"/>
  <c r="T5313" i="2"/>
  <c r="T5317" i="2"/>
  <c r="T5321" i="2"/>
  <c r="T5325" i="2"/>
  <c r="T5329" i="2"/>
  <c r="T5333" i="2"/>
  <c r="T5337" i="2"/>
  <c r="T5341" i="2"/>
  <c r="T5345" i="2"/>
  <c r="T5349" i="2"/>
  <c r="T5353" i="2"/>
  <c r="T5357" i="2"/>
  <c r="T5361" i="2"/>
  <c r="T5365" i="2"/>
  <c r="T5369" i="2"/>
  <c r="T5373" i="2"/>
  <c r="T5377" i="2"/>
  <c r="T5381" i="2"/>
  <c r="T5385" i="2"/>
  <c r="T5389" i="2"/>
  <c r="T5393" i="2"/>
  <c r="T5397" i="2"/>
  <c r="T5401" i="2"/>
  <c r="T5405" i="2"/>
  <c r="T5409" i="2"/>
  <c r="T5413" i="2"/>
  <c r="T5417" i="2"/>
  <c r="T5421" i="2"/>
  <c r="T5425" i="2"/>
  <c r="T5429" i="2"/>
  <c r="T5433" i="2"/>
  <c r="T5437" i="2"/>
  <c r="T5441" i="2"/>
  <c r="T5445" i="2"/>
  <c r="T5449" i="2"/>
  <c r="T5453" i="2"/>
  <c r="T5457" i="2"/>
  <c r="T5461" i="2"/>
  <c r="T5465" i="2"/>
  <c r="T5469" i="2"/>
  <c r="T5473" i="2"/>
  <c r="T5477" i="2"/>
  <c r="T5481" i="2"/>
  <c r="T5485" i="2"/>
  <c r="T5489" i="2"/>
  <c r="T5493" i="2"/>
  <c r="T5497" i="2"/>
  <c r="T5501" i="2"/>
  <c r="T5505" i="2"/>
  <c r="T5509" i="2"/>
  <c r="U4849" i="2"/>
  <c r="U5282" i="2"/>
  <c r="U5358" i="2"/>
  <c r="U5394" i="2"/>
  <c r="U5426" i="2"/>
  <c r="U5458" i="2"/>
  <c r="U5486" i="2"/>
  <c r="T4490" i="2"/>
  <c r="U4666" i="2"/>
  <c r="U4752" i="2"/>
  <c r="U4809" i="2"/>
  <c r="U4841" i="2"/>
  <c r="U4873" i="2"/>
  <c r="U4905" i="2"/>
  <c r="U4937" i="2"/>
  <c r="U4968" i="2"/>
  <c r="T4978" i="2"/>
  <c r="U4989" i="2"/>
  <c r="U5000" i="2"/>
  <c r="T5010" i="2"/>
  <c r="U5021" i="2"/>
  <c r="U5032" i="2"/>
  <c r="T5042" i="2"/>
  <c r="U5053" i="2"/>
  <c r="U5064" i="2"/>
  <c r="T5074" i="2"/>
  <c r="U5085" i="2"/>
  <c r="U5096" i="2"/>
  <c r="T5106" i="2"/>
  <c r="U5117" i="2"/>
  <c r="U5128" i="2"/>
  <c r="T5138" i="2"/>
  <c r="U5149" i="2"/>
  <c r="U5160" i="2"/>
  <c r="T5170" i="2"/>
  <c r="U5181" i="2"/>
  <c r="T5190" i="2"/>
  <c r="T5198" i="2"/>
  <c r="U5204" i="2"/>
  <c r="U5210" i="2"/>
  <c r="U5216" i="2"/>
  <c r="T5222" i="2"/>
  <c r="T5227" i="2"/>
  <c r="U5231" i="2"/>
  <c r="T5236" i="2"/>
  <c r="U5240" i="2"/>
  <c r="U5245" i="2"/>
  <c r="T5250" i="2"/>
  <c r="U5254" i="2"/>
  <c r="T5259" i="2"/>
  <c r="U5263" i="2"/>
  <c r="T5268" i="2"/>
  <c r="U5272" i="2"/>
  <c r="U5277" i="2"/>
  <c r="U5281" i="2"/>
  <c r="U5285" i="2"/>
  <c r="U5289" i="2"/>
  <c r="U5293" i="2"/>
  <c r="U5297" i="2"/>
  <c r="U5301" i="2"/>
  <c r="U5305" i="2"/>
  <c r="U5309" i="2"/>
  <c r="U5313" i="2"/>
  <c r="U5317" i="2"/>
  <c r="U5321" i="2"/>
  <c r="U5325" i="2"/>
  <c r="U5329" i="2"/>
  <c r="U5333" i="2"/>
  <c r="U5337" i="2"/>
  <c r="U5341" i="2"/>
  <c r="U5345" i="2"/>
  <c r="U5349" i="2"/>
  <c r="U5353" i="2"/>
  <c r="U5357" i="2"/>
  <c r="U5361" i="2"/>
  <c r="U5365" i="2"/>
  <c r="U5369" i="2"/>
  <c r="U5373" i="2"/>
  <c r="U5377" i="2"/>
  <c r="U5381" i="2"/>
  <c r="U5385" i="2"/>
  <c r="U5389" i="2"/>
  <c r="U5393" i="2"/>
  <c r="U5397" i="2"/>
  <c r="U5401" i="2"/>
  <c r="U5405" i="2"/>
  <c r="U5409" i="2"/>
  <c r="U5413" i="2"/>
  <c r="U5417" i="2"/>
  <c r="U5421" i="2"/>
  <c r="U5425" i="2"/>
  <c r="U5429" i="2"/>
  <c r="U5433" i="2"/>
  <c r="U5437" i="2"/>
  <c r="U5441" i="2"/>
  <c r="U5445" i="2"/>
  <c r="U5449" i="2"/>
  <c r="U5453" i="2"/>
  <c r="U5457" i="2"/>
  <c r="U5461" i="2"/>
  <c r="U5465" i="2"/>
  <c r="U5469" i="2"/>
  <c r="U5473" i="2"/>
  <c r="U5477" i="2"/>
  <c r="U5481" i="2"/>
  <c r="U5485" i="2"/>
  <c r="U5489" i="2"/>
  <c r="U5493" i="2"/>
  <c r="U5497" i="2"/>
  <c r="U5501" i="2"/>
  <c r="U5505" i="2"/>
  <c r="U5509" i="2"/>
  <c r="U4688" i="2"/>
  <c r="U4945" i="2"/>
  <c r="T4970" i="2"/>
  <c r="U4981" i="2"/>
  <c r="U4992" i="2"/>
  <c r="U5024" i="2"/>
  <c r="U5056" i="2"/>
  <c r="U5088" i="2"/>
  <c r="U5152" i="2"/>
  <c r="T5206" i="2"/>
  <c r="T5228" i="2"/>
  <c r="U5264" i="2"/>
  <c r="U5294" i="2"/>
  <c r="U5318" i="2"/>
  <c r="U5342" i="2"/>
  <c r="U5370" i="2"/>
  <c r="U5398" i="2"/>
  <c r="U5430" i="2"/>
  <c r="U5454" i="2"/>
  <c r="U5482" i="2"/>
  <c r="U5510" i="2"/>
  <c r="T4522" i="2"/>
  <c r="T4678" i="2"/>
  <c r="U4762" i="2"/>
  <c r="U4813" i="2"/>
  <c r="U4845" i="2"/>
  <c r="U4877" i="2"/>
  <c r="U4909" i="2"/>
  <c r="U4941" i="2"/>
  <c r="U4969" i="2"/>
  <c r="U4980" i="2"/>
  <c r="T4990" i="2"/>
  <c r="U5001" i="2"/>
  <c r="U5012" i="2"/>
  <c r="T5022" i="2"/>
  <c r="U5033" i="2"/>
  <c r="U5044" i="2"/>
  <c r="T5054" i="2"/>
  <c r="U5065" i="2"/>
  <c r="U5076" i="2"/>
  <c r="T5086" i="2"/>
  <c r="U5097" i="2"/>
  <c r="U5108" i="2"/>
  <c r="T5118" i="2"/>
  <c r="U5129" i="2"/>
  <c r="U5140" i="2"/>
  <c r="T5150" i="2"/>
  <c r="U5161" i="2"/>
  <c r="U5172" i="2"/>
  <c r="T5182" i="2"/>
  <c r="T5191" i="2"/>
  <c r="U5198" i="2"/>
  <c r="U5205" i="2"/>
  <c r="T5211" i="2"/>
  <c r="U5217" i="2"/>
  <c r="U5222" i="2"/>
  <c r="U5227" i="2"/>
  <c r="T5232" i="2"/>
  <c r="U5236" i="2"/>
  <c r="U5241" i="2"/>
  <c r="T5246" i="2"/>
  <c r="U5250" i="2"/>
  <c r="T5255" i="2"/>
  <c r="U5259" i="2"/>
  <c r="T5264" i="2"/>
  <c r="U5268" i="2"/>
  <c r="U5273" i="2"/>
  <c r="T5278" i="2"/>
  <c r="T5282" i="2"/>
  <c r="T5286" i="2"/>
  <c r="T5290" i="2"/>
  <c r="T5294" i="2"/>
  <c r="T5298" i="2"/>
  <c r="T5302" i="2"/>
  <c r="T5306" i="2"/>
  <c r="T5310" i="2"/>
  <c r="T5314" i="2"/>
  <c r="T5318" i="2"/>
  <c r="T5322" i="2"/>
  <c r="T5326" i="2"/>
  <c r="T5330" i="2"/>
  <c r="T5334" i="2"/>
  <c r="T5338" i="2"/>
  <c r="T5342" i="2"/>
  <c r="T5346" i="2"/>
  <c r="T5350" i="2"/>
  <c r="T5354" i="2"/>
  <c r="T5358" i="2"/>
  <c r="T5362" i="2"/>
  <c r="T5366" i="2"/>
  <c r="T5370" i="2"/>
  <c r="T5374" i="2"/>
  <c r="T5378" i="2"/>
  <c r="T5382" i="2"/>
  <c r="T5386" i="2"/>
  <c r="T5390" i="2"/>
  <c r="T5394" i="2"/>
  <c r="T5398" i="2"/>
  <c r="T5402" i="2"/>
  <c r="T5406" i="2"/>
  <c r="T5410" i="2"/>
  <c r="T5414" i="2"/>
  <c r="T5418" i="2"/>
  <c r="T5422" i="2"/>
  <c r="T5426" i="2"/>
  <c r="T5430" i="2"/>
  <c r="T5434" i="2"/>
  <c r="T5438" i="2"/>
  <c r="T5442" i="2"/>
  <c r="T5446" i="2"/>
  <c r="T5450" i="2"/>
  <c r="T5454" i="2"/>
  <c r="T5458" i="2"/>
  <c r="T5462" i="2"/>
  <c r="T5466" i="2"/>
  <c r="T5470" i="2"/>
  <c r="T5474" i="2"/>
  <c r="T5478" i="2"/>
  <c r="T5482" i="2"/>
  <c r="T5486" i="2"/>
  <c r="T5490" i="2"/>
  <c r="T5494" i="2"/>
  <c r="T5498" i="2"/>
  <c r="T5502" i="2"/>
  <c r="T5506" i="2"/>
  <c r="T5510" i="2"/>
  <c r="T4554" i="2"/>
  <c r="U5013" i="2"/>
  <c r="U5045" i="2"/>
  <c r="U5077" i="2"/>
  <c r="U5141" i="2"/>
  <c r="U5184" i="2"/>
  <c r="T5218" i="2"/>
  <c r="U5246" i="2"/>
  <c r="U5269" i="2"/>
  <c r="U5298" i="2"/>
  <c r="U5322" i="2"/>
  <c r="U5346" i="2"/>
  <c r="U5374" i="2"/>
  <c r="U5402" i="2"/>
  <c r="U5422" i="2"/>
  <c r="U5450" i="2"/>
  <c r="U5474" i="2"/>
  <c r="U5502" i="2"/>
  <c r="U2804" i="2"/>
  <c r="T2803" i="2"/>
  <c r="U2803" i="2"/>
  <c r="T2804" i="2"/>
  <c r="T1698" i="2"/>
  <c r="U1698" i="2"/>
  <c r="U872" i="2"/>
  <c r="U871" i="2"/>
  <c r="T873" i="2"/>
  <c r="U873" i="2"/>
  <c r="T872" i="2"/>
  <c r="T871" i="2"/>
  <c r="T370" i="2"/>
  <c r="U373" i="2"/>
  <c r="T378" i="2"/>
  <c r="U381" i="2"/>
  <c r="T386" i="2"/>
  <c r="U389" i="2"/>
  <c r="T394" i="2"/>
  <c r="U397" i="2"/>
  <c r="T402" i="2"/>
  <c r="U405" i="2"/>
  <c r="T410" i="2"/>
  <c r="U413" i="2"/>
  <c r="T418" i="2"/>
  <c r="U421" i="2"/>
  <c r="T426" i="2"/>
  <c r="U429" i="2"/>
  <c r="T434" i="2"/>
  <c r="U437" i="2"/>
  <c r="T442" i="2"/>
  <c r="U445" i="2"/>
  <c r="T450" i="2"/>
  <c r="U453" i="2"/>
  <c r="T458" i="2"/>
  <c r="U461" i="2"/>
  <c r="T466" i="2"/>
  <c r="U469" i="2"/>
  <c r="T474" i="2"/>
  <c r="U477" i="2"/>
  <c r="T482" i="2"/>
  <c r="U485" i="2"/>
  <c r="T490" i="2"/>
  <c r="U493" i="2"/>
  <c r="T498" i="2"/>
  <c r="U501" i="2"/>
  <c r="T506" i="2"/>
  <c r="U509" i="2"/>
  <c r="T514" i="2"/>
  <c r="U517" i="2"/>
  <c r="T522" i="2"/>
  <c r="U525" i="2"/>
  <c r="T530" i="2"/>
  <c r="U533" i="2"/>
  <c r="T538" i="2"/>
  <c r="U541" i="2"/>
  <c r="T546" i="2"/>
  <c r="U549" i="2"/>
  <c r="T554" i="2"/>
  <c r="U557" i="2"/>
  <c r="T562" i="2"/>
  <c r="U565" i="2"/>
  <c r="T570" i="2"/>
  <c r="U370" i="2"/>
  <c r="T375" i="2"/>
  <c r="U378" i="2"/>
  <c r="T383" i="2"/>
  <c r="U386" i="2"/>
  <c r="T391" i="2"/>
  <c r="U394" i="2"/>
  <c r="T399" i="2"/>
  <c r="U402" i="2"/>
  <c r="T407" i="2"/>
  <c r="U410" i="2"/>
  <c r="T415" i="2"/>
  <c r="U418" i="2"/>
  <c r="T423" i="2"/>
  <c r="U426" i="2"/>
  <c r="T431" i="2"/>
  <c r="U434" i="2"/>
  <c r="T439" i="2"/>
  <c r="U442" i="2"/>
  <c r="T447" i="2"/>
  <c r="U450" i="2"/>
  <c r="T455" i="2"/>
  <c r="U458" i="2"/>
  <c r="T463" i="2"/>
  <c r="U466" i="2"/>
  <c r="T471" i="2"/>
  <c r="U474" i="2"/>
  <c r="T479" i="2"/>
  <c r="U482" i="2"/>
  <c r="T487" i="2"/>
  <c r="U490" i="2"/>
  <c r="T495" i="2"/>
  <c r="U498" i="2"/>
  <c r="T503" i="2"/>
  <c r="U506" i="2"/>
  <c r="T511" i="2"/>
  <c r="U514" i="2"/>
  <c r="T519" i="2"/>
  <c r="U522" i="2"/>
  <c r="T527" i="2"/>
  <c r="U530" i="2"/>
  <c r="T535" i="2"/>
  <c r="U538" i="2"/>
  <c r="T543" i="2"/>
  <c r="U546" i="2"/>
  <c r="T551" i="2"/>
  <c r="U554" i="2"/>
  <c r="T559" i="2"/>
  <c r="U562" i="2"/>
  <c r="T567" i="2"/>
  <c r="U570" i="2"/>
  <c r="U372" i="2"/>
  <c r="T377" i="2"/>
  <c r="U380" i="2"/>
  <c r="T385" i="2"/>
  <c r="U388" i="2"/>
  <c r="T393" i="2"/>
  <c r="U396" i="2"/>
  <c r="T401" i="2"/>
  <c r="U404" i="2"/>
  <c r="T409" i="2"/>
  <c r="U412" i="2"/>
  <c r="T417" i="2"/>
  <c r="U420" i="2"/>
  <c r="T425" i="2"/>
  <c r="U428" i="2"/>
  <c r="T433" i="2"/>
  <c r="U436" i="2"/>
  <c r="T441" i="2"/>
  <c r="U444" i="2"/>
  <c r="T449" i="2"/>
  <c r="U452" i="2"/>
  <c r="T457" i="2"/>
  <c r="U460" i="2"/>
  <c r="T465" i="2"/>
  <c r="U468" i="2"/>
  <c r="T473" i="2"/>
  <c r="U476" i="2"/>
  <c r="T481" i="2"/>
  <c r="U484" i="2"/>
  <c r="T489" i="2"/>
  <c r="U492" i="2"/>
  <c r="T497" i="2"/>
  <c r="U500" i="2"/>
  <c r="T505" i="2"/>
  <c r="U508" i="2"/>
  <c r="T513" i="2"/>
  <c r="U516" i="2"/>
  <c r="T521" i="2"/>
  <c r="U524" i="2"/>
  <c r="T529" i="2"/>
  <c r="U532" i="2"/>
  <c r="T537" i="2"/>
  <c r="U540" i="2"/>
  <c r="T545" i="2"/>
  <c r="U548" i="2"/>
  <c r="T553" i="2"/>
  <c r="U556" i="2"/>
  <c r="T561" i="2"/>
  <c r="U564" i="2"/>
  <c r="T569" i="2"/>
  <c r="T374" i="2"/>
  <c r="U377" i="2"/>
  <c r="T382" i="2"/>
  <c r="U385" i="2"/>
  <c r="T390" i="2"/>
  <c r="U393" i="2"/>
  <c r="T398" i="2"/>
  <c r="U401" i="2"/>
  <c r="T406" i="2"/>
  <c r="U409" i="2"/>
  <c r="T414" i="2"/>
  <c r="U417" i="2"/>
  <c r="T422" i="2"/>
  <c r="U425" i="2"/>
  <c r="T430" i="2"/>
  <c r="U433" i="2"/>
  <c r="T438" i="2"/>
  <c r="U441" i="2"/>
  <c r="T446" i="2"/>
  <c r="U449" i="2"/>
  <c r="T454" i="2"/>
  <c r="U457" i="2"/>
  <c r="T462" i="2"/>
  <c r="U465" i="2"/>
  <c r="T470" i="2"/>
  <c r="U473" i="2"/>
  <c r="T478" i="2"/>
  <c r="U481" i="2"/>
  <c r="T486" i="2"/>
  <c r="U489" i="2"/>
  <c r="T494" i="2"/>
  <c r="U497" i="2"/>
  <c r="T502" i="2"/>
  <c r="U505" i="2"/>
  <c r="T510" i="2"/>
  <c r="U513" i="2"/>
  <c r="T518" i="2"/>
  <c r="U521" i="2"/>
  <c r="T526" i="2"/>
  <c r="U529" i="2"/>
  <c r="T534" i="2"/>
  <c r="U537" i="2"/>
  <c r="T542" i="2"/>
  <c r="U545" i="2"/>
  <c r="T550" i="2"/>
  <c r="U553" i="2"/>
  <c r="T558" i="2"/>
  <c r="U561" i="2"/>
  <c r="T566" i="2"/>
  <c r="U569" i="2"/>
  <c r="T371" i="2"/>
  <c r="U374" i="2"/>
  <c r="T379" i="2"/>
  <c r="U382" i="2"/>
  <c r="T387" i="2"/>
  <c r="U390" i="2"/>
  <c r="T395" i="2"/>
  <c r="U398" i="2"/>
  <c r="T403" i="2"/>
  <c r="U406" i="2"/>
  <c r="T411" i="2"/>
  <c r="U414" i="2"/>
  <c r="T419" i="2"/>
  <c r="U422" i="2"/>
  <c r="T427" i="2"/>
  <c r="U430" i="2"/>
  <c r="T435" i="2"/>
  <c r="U438" i="2"/>
  <c r="T443" i="2"/>
  <c r="U446" i="2"/>
  <c r="T451" i="2"/>
  <c r="U454" i="2"/>
  <c r="T459" i="2"/>
  <c r="U462" i="2"/>
  <c r="T467" i="2"/>
  <c r="U470" i="2"/>
  <c r="T475" i="2"/>
  <c r="U478" i="2"/>
  <c r="T483" i="2"/>
  <c r="U486" i="2"/>
  <c r="T491" i="2"/>
  <c r="U494" i="2"/>
  <c r="T499" i="2"/>
  <c r="U502" i="2"/>
  <c r="T507" i="2"/>
  <c r="U510" i="2"/>
  <c r="T515" i="2"/>
  <c r="U518" i="2"/>
  <c r="T523" i="2"/>
  <c r="U526" i="2"/>
  <c r="T531" i="2"/>
  <c r="U534" i="2"/>
  <c r="T539" i="2"/>
  <c r="U542" i="2"/>
  <c r="T547" i="2"/>
  <c r="U550" i="2"/>
  <c r="T555" i="2"/>
  <c r="U558" i="2"/>
  <c r="T563" i="2"/>
  <c r="U566" i="2"/>
  <c r="T571" i="2"/>
  <c r="U371" i="2"/>
  <c r="T376" i="2"/>
  <c r="U379" i="2"/>
  <c r="T384" i="2"/>
  <c r="U387" i="2"/>
  <c r="T392" i="2"/>
  <c r="U395" i="2"/>
  <c r="T400" i="2"/>
  <c r="U403" i="2"/>
  <c r="T408" i="2"/>
  <c r="U411" i="2"/>
  <c r="T416" i="2"/>
  <c r="U419" i="2"/>
  <c r="T424" i="2"/>
  <c r="U427" i="2"/>
  <c r="T432" i="2"/>
  <c r="U435" i="2"/>
  <c r="T440" i="2"/>
  <c r="U443" i="2"/>
  <c r="T448" i="2"/>
  <c r="U451" i="2"/>
  <c r="T456" i="2"/>
  <c r="U459" i="2"/>
  <c r="T464" i="2"/>
  <c r="U467" i="2"/>
  <c r="T472" i="2"/>
  <c r="U475" i="2"/>
  <c r="T480" i="2"/>
  <c r="U483" i="2"/>
  <c r="T488" i="2"/>
  <c r="U491" i="2"/>
  <c r="T496" i="2"/>
  <c r="U499" i="2"/>
  <c r="T504" i="2"/>
  <c r="U507" i="2"/>
  <c r="T512" i="2"/>
  <c r="U515" i="2"/>
  <c r="T520" i="2"/>
  <c r="U523" i="2"/>
  <c r="T528" i="2"/>
  <c r="U531" i="2"/>
  <c r="T536" i="2"/>
  <c r="U539" i="2"/>
  <c r="T544" i="2"/>
  <c r="U547" i="2"/>
  <c r="T552" i="2"/>
  <c r="U555" i="2"/>
  <c r="T560" i="2"/>
  <c r="U563" i="2"/>
  <c r="T568" i="2"/>
  <c r="T373" i="2"/>
  <c r="U376" i="2"/>
  <c r="T381" i="2"/>
  <c r="U384" i="2"/>
  <c r="T389" i="2"/>
  <c r="U392" i="2"/>
  <c r="T397" i="2"/>
  <c r="U400" i="2"/>
  <c r="T405" i="2"/>
  <c r="U408" i="2"/>
  <c r="T413" i="2"/>
  <c r="U416" i="2"/>
  <c r="T421" i="2"/>
  <c r="U424" i="2"/>
  <c r="T429" i="2"/>
  <c r="U432" i="2"/>
  <c r="T437" i="2"/>
  <c r="U440" i="2"/>
  <c r="T445" i="2"/>
  <c r="U448" i="2"/>
  <c r="T453" i="2"/>
  <c r="U456" i="2"/>
  <c r="T461" i="2"/>
  <c r="T572" i="2"/>
  <c r="U575" i="2"/>
  <c r="T580" i="2"/>
  <c r="U583" i="2"/>
  <c r="T588" i="2"/>
  <c r="U591" i="2"/>
  <c r="T596" i="2"/>
  <c r="U599" i="2"/>
  <c r="T604" i="2"/>
  <c r="U607" i="2"/>
  <c r="U572" i="2"/>
  <c r="T577" i="2"/>
  <c r="U580" i="2"/>
  <c r="T585" i="2"/>
  <c r="U588" i="2"/>
  <c r="T593" i="2"/>
  <c r="U596" i="2"/>
  <c r="T601" i="2"/>
  <c r="U604" i="2"/>
  <c r="T609" i="2"/>
  <c r="U612" i="2"/>
  <c r="U383" i="2"/>
  <c r="U399" i="2"/>
  <c r="U415" i="2"/>
  <c r="U431" i="2"/>
  <c r="U447" i="2"/>
  <c r="U574" i="2"/>
  <c r="T579" i="2"/>
  <c r="U582" i="2"/>
  <c r="T587" i="2"/>
  <c r="U590" i="2"/>
  <c r="T595" i="2"/>
  <c r="U598" i="2"/>
  <c r="T603" i="2"/>
  <c r="U606" i="2"/>
  <c r="T611" i="2"/>
  <c r="U614" i="2"/>
  <c r="T619" i="2"/>
  <c r="U622" i="2"/>
  <c r="T627" i="2"/>
  <c r="U630" i="2"/>
  <c r="T635" i="2"/>
  <c r="U638" i="2"/>
  <c r="T643" i="2"/>
  <c r="U646" i="2"/>
  <c r="T651" i="2"/>
  <c r="U654" i="2"/>
  <c r="T659" i="2"/>
  <c r="U662" i="2"/>
  <c r="T667" i="2"/>
  <c r="U670" i="2"/>
  <c r="T675" i="2"/>
  <c r="U678" i="2"/>
  <c r="T683" i="2"/>
  <c r="U463" i="2"/>
  <c r="U471" i="2"/>
  <c r="U479" i="2"/>
  <c r="U487" i="2"/>
  <c r="U495" i="2"/>
  <c r="U503" i="2"/>
  <c r="U511" i="2"/>
  <c r="U519" i="2"/>
  <c r="U527" i="2"/>
  <c r="U535" i="2"/>
  <c r="U543" i="2"/>
  <c r="U551" i="2"/>
  <c r="U559" i="2"/>
  <c r="U567" i="2"/>
  <c r="T576" i="2"/>
  <c r="U579" i="2"/>
  <c r="T584" i="2"/>
  <c r="U587" i="2"/>
  <c r="T592" i="2"/>
  <c r="U595" i="2"/>
  <c r="T600" i="2"/>
  <c r="U603" i="2"/>
  <c r="T608" i="2"/>
  <c r="U611" i="2"/>
  <c r="T616" i="2"/>
  <c r="U619" i="2"/>
  <c r="T624" i="2"/>
  <c r="U627" i="2"/>
  <c r="T632" i="2"/>
  <c r="U635" i="2"/>
  <c r="T640" i="2"/>
  <c r="U643" i="2"/>
  <c r="T648" i="2"/>
  <c r="U651" i="2"/>
  <c r="T656" i="2"/>
  <c r="U659" i="2"/>
  <c r="T664" i="2"/>
  <c r="U667" i="2"/>
  <c r="T468" i="2"/>
  <c r="T476" i="2"/>
  <c r="T484" i="2"/>
  <c r="T492" i="2"/>
  <c r="T500" i="2"/>
  <c r="T508" i="2"/>
  <c r="T516" i="2"/>
  <c r="T524" i="2"/>
  <c r="T532" i="2"/>
  <c r="T540" i="2"/>
  <c r="T548" i="2"/>
  <c r="T556" i="2"/>
  <c r="T564" i="2"/>
  <c r="U571" i="2"/>
  <c r="T573" i="2"/>
  <c r="U576" i="2"/>
  <c r="T581" i="2"/>
  <c r="U584" i="2"/>
  <c r="T589" i="2"/>
  <c r="U592" i="2"/>
  <c r="T597" i="2"/>
  <c r="U600" i="2"/>
  <c r="T605" i="2"/>
  <c r="U608" i="2"/>
  <c r="T613" i="2"/>
  <c r="U616" i="2"/>
  <c r="T621" i="2"/>
  <c r="U624" i="2"/>
  <c r="T629" i="2"/>
  <c r="U632" i="2"/>
  <c r="T637" i="2"/>
  <c r="U640" i="2"/>
  <c r="T645" i="2"/>
  <c r="U648" i="2"/>
  <c r="T653" i="2"/>
  <c r="U656" i="2"/>
  <c r="T661" i="2"/>
  <c r="U664" i="2"/>
  <c r="T669" i="2"/>
  <c r="U672" i="2"/>
  <c r="T677" i="2"/>
  <c r="U680" i="2"/>
  <c r="T380" i="2"/>
  <c r="T396" i="2"/>
  <c r="T412" i="2"/>
  <c r="T428" i="2"/>
  <c r="T444" i="2"/>
  <c r="T460" i="2"/>
  <c r="U464" i="2"/>
  <c r="U472" i="2"/>
  <c r="U480" i="2"/>
  <c r="U488" i="2"/>
  <c r="U496" i="2"/>
  <c r="U504" i="2"/>
  <c r="U512" i="2"/>
  <c r="U520" i="2"/>
  <c r="U528" i="2"/>
  <c r="U536" i="2"/>
  <c r="U544" i="2"/>
  <c r="U552" i="2"/>
  <c r="U560" i="2"/>
  <c r="U568" i="2"/>
  <c r="U573" i="2"/>
  <c r="T578" i="2"/>
  <c r="U581" i="2"/>
  <c r="T586" i="2"/>
  <c r="U589" i="2"/>
  <c r="T594" i="2"/>
  <c r="U597" i="2"/>
  <c r="T602" i="2"/>
  <c r="U605" i="2"/>
  <c r="T610" i="2"/>
  <c r="U613" i="2"/>
  <c r="T618" i="2"/>
  <c r="U621" i="2"/>
  <c r="T626" i="2"/>
  <c r="U629" i="2"/>
  <c r="T634" i="2"/>
  <c r="U637" i="2"/>
  <c r="T642" i="2"/>
  <c r="U645" i="2"/>
  <c r="T650" i="2"/>
  <c r="U653" i="2"/>
  <c r="T658" i="2"/>
  <c r="U661" i="2"/>
  <c r="T666" i="2"/>
  <c r="U669" i="2"/>
  <c r="T674" i="2"/>
  <c r="U677" i="2"/>
  <c r="T682" i="2"/>
  <c r="U685" i="2"/>
  <c r="U375" i="2"/>
  <c r="U391" i="2"/>
  <c r="U407" i="2"/>
  <c r="U423" i="2"/>
  <c r="U439" i="2"/>
  <c r="U455" i="2"/>
  <c r="T469" i="2"/>
  <c r="T477" i="2"/>
  <c r="T485" i="2"/>
  <c r="T493" i="2"/>
  <c r="T501" i="2"/>
  <c r="T509" i="2"/>
  <c r="T517" i="2"/>
  <c r="T525" i="2"/>
  <c r="T533" i="2"/>
  <c r="T541" i="2"/>
  <c r="T549" i="2"/>
  <c r="T557" i="2"/>
  <c r="T565" i="2"/>
  <c r="T575" i="2"/>
  <c r="U578" i="2"/>
  <c r="T583" i="2"/>
  <c r="U586" i="2"/>
  <c r="T591" i="2"/>
  <c r="U594" i="2"/>
  <c r="T599" i="2"/>
  <c r="U602" i="2"/>
  <c r="T607" i="2"/>
  <c r="U610" i="2"/>
  <c r="T615" i="2"/>
  <c r="U618" i="2"/>
  <c r="T623" i="2"/>
  <c r="U626" i="2"/>
  <c r="T631" i="2"/>
  <c r="U634" i="2"/>
  <c r="T639" i="2"/>
  <c r="U642" i="2"/>
  <c r="T647" i="2"/>
  <c r="U650" i="2"/>
  <c r="T655" i="2"/>
  <c r="U658" i="2"/>
  <c r="T663" i="2"/>
  <c r="U666" i="2"/>
  <c r="T671" i="2"/>
  <c r="U674" i="2"/>
  <c r="T679" i="2"/>
  <c r="U682" i="2"/>
  <c r="T420" i="2"/>
  <c r="T612" i="2"/>
  <c r="T622" i="2"/>
  <c r="U625" i="2"/>
  <c r="T638" i="2"/>
  <c r="U641" i="2"/>
  <c r="T654" i="2"/>
  <c r="U657" i="2"/>
  <c r="T670" i="2"/>
  <c r="T673" i="2"/>
  <c r="T678" i="2"/>
  <c r="T681" i="2"/>
  <c r="T689" i="2"/>
  <c r="U692" i="2"/>
  <c r="T697" i="2"/>
  <c r="U700" i="2"/>
  <c r="T705" i="2"/>
  <c r="U708" i="2"/>
  <c r="T713" i="2"/>
  <c r="U716" i="2"/>
  <c r="T721" i="2"/>
  <c r="U724" i="2"/>
  <c r="T729" i="2"/>
  <c r="U732" i="2"/>
  <c r="T737" i="2"/>
  <c r="U673" i="2"/>
  <c r="T676" i="2"/>
  <c r="U681" i="2"/>
  <c r="T684" i="2"/>
  <c r="T686" i="2"/>
  <c r="U689" i="2"/>
  <c r="T694" i="2"/>
  <c r="U697" i="2"/>
  <c r="T702" i="2"/>
  <c r="U705" i="2"/>
  <c r="T710" i="2"/>
  <c r="U713" i="2"/>
  <c r="T718" i="2"/>
  <c r="U721" i="2"/>
  <c r="T726" i="2"/>
  <c r="U729" i="2"/>
  <c r="T734" i="2"/>
  <c r="U737" i="2"/>
  <c r="T742" i="2"/>
  <c r="U745" i="2"/>
  <c r="T750" i="2"/>
  <c r="U753" i="2"/>
  <c r="U577" i="2"/>
  <c r="U593" i="2"/>
  <c r="U609" i="2"/>
  <c r="T617" i="2"/>
  <c r="U620" i="2"/>
  <c r="T633" i="2"/>
  <c r="U636" i="2"/>
  <c r="T649" i="2"/>
  <c r="U652" i="2"/>
  <c r="T665" i="2"/>
  <c r="U668" i="2"/>
  <c r="T688" i="2"/>
  <c r="U691" i="2"/>
  <c r="T696" i="2"/>
  <c r="U699" i="2"/>
  <c r="T704" i="2"/>
  <c r="U707" i="2"/>
  <c r="T712" i="2"/>
  <c r="U715" i="2"/>
  <c r="T720" i="2"/>
  <c r="U723" i="2"/>
  <c r="T728" i="2"/>
  <c r="U731" i="2"/>
  <c r="T736" i="2"/>
  <c r="U739" i="2"/>
  <c r="T744" i="2"/>
  <c r="U747" i="2"/>
  <c r="T752" i="2"/>
  <c r="U755" i="2"/>
  <c r="T760" i="2"/>
  <c r="U763" i="2"/>
  <c r="T768" i="2"/>
  <c r="U771" i="2"/>
  <c r="T776" i="2"/>
  <c r="U779" i="2"/>
  <c r="T784" i="2"/>
  <c r="U787" i="2"/>
  <c r="T792" i="2"/>
  <c r="U795" i="2"/>
  <c r="T800" i="2"/>
  <c r="U803" i="2"/>
  <c r="T388" i="2"/>
  <c r="T452" i="2"/>
  <c r="T614" i="2"/>
  <c r="U617" i="2"/>
  <c r="T630" i="2"/>
  <c r="U633" i="2"/>
  <c r="T646" i="2"/>
  <c r="U649" i="2"/>
  <c r="T662" i="2"/>
  <c r="U665" i="2"/>
  <c r="U688" i="2"/>
  <c r="T693" i="2"/>
  <c r="U696" i="2"/>
  <c r="T701" i="2"/>
  <c r="U704" i="2"/>
  <c r="T709" i="2"/>
  <c r="U712" i="2"/>
  <c r="T717" i="2"/>
  <c r="U720" i="2"/>
  <c r="T725" i="2"/>
  <c r="U728" i="2"/>
  <c r="T733" i="2"/>
  <c r="U736" i="2"/>
  <c r="T741" i="2"/>
  <c r="U744" i="2"/>
  <c r="T749" i="2"/>
  <c r="U752" i="2"/>
  <c r="T757" i="2"/>
  <c r="U760" i="2"/>
  <c r="T765" i="2"/>
  <c r="U768" i="2"/>
  <c r="T773" i="2"/>
  <c r="U776" i="2"/>
  <c r="T781" i="2"/>
  <c r="U784" i="2"/>
  <c r="T789" i="2"/>
  <c r="U792" i="2"/>
  <c r="T797" i="2"/>
  <c r="U800" i="2"/>
  <c r="T805" i="2"/>
  <c r="T672" i="2"/>
  <c r="T680" i="2"/>
  <c r="T685" i="2"/>
  <c r="T690" i="2"/>
  <c r="U693" i="2"/>
  <c r="T698" i="2"/>
  <c r="U701" i="2"/>
  <c r="T706" i="2"/>
  <c r="U709" i="2"/>
  <c r="T714" i="2"/>
  <c r="U717" i="2"/>
  <c r="T722" i="2"/>
  <c r="U725" i="2"/>
  <c r="T730" i="2"/>
  <c r="U733" i="2"/>
  <c r="T738" i="2"/>
  <c r="U741" i="2"/>
  <c r="T746" i="2"/>
  <c r="U749" i="2"/>
  <c r="T754" i="2"/>
  <c r="U757" i="2"/>
  <c r="T762" i="2"/>
  <c r="U765" i="2"/>
  <c r="T770" i="2"/>
  <c r="U773" i="2"/>
  <c r="T778" i="2"/>
  <c r="U781" i="2"/>
  <c r="T786" i="2"/>
  <c r="U789" i="2"/>
  <c r="T794" i="2"/>
  <c r="U797" i="2"/>
  <c r="T802" i="2"/>
  <c r="U805" i="2"/>
  <c r="T404" i="2"/>
  <c r="T574" i="2"/>
  <c r="T590" i="2"/>
  <c r="T606" i="2"/>
  <c r="U615" i="2"/>
  <c r="T628" i="2"/>
  <c r="U631" i="2"/>
  <c r="T644" i="2"/>
  <c r="U647" i="2"/>
  <c r="T660" i="2"/>
  <c r="U663" i="2"/>
  <c r="T687" i="2"/>
  <c r="U690" i="2"/>
  <c r="T695" i="2"/>
  <c r="U698" i="2"/>
  <c r="T703" i="2"/>
  <c r="U706" i="2"/>
  <c r="T711" i="2"/>
  <c r="U714" i="2"/>
  <c r="T719" i="2"/>
  <c r="U722" i="2"/>
  <c r="T727" i="2"/>
  <c r="U730" i="2"/>
  <c r="T735" i="2"/>
  <c r="U738" i="2"/>
  <c r="T743" i="2"/>
  <c r="U746" i="2"/>
  <c r="T751" i="2"/>
  <c r="U754" i="2"/>
  <c r="T759" i="2"/>
  <c r="U762" i="2"/>
  <c r="T767" i="2"/>
  <c r="U770" i="2"/>
  <c r="T775" i="2"/>
  <c r="U778" i="2"/>
  <c r="T783" i="2"/>
  <c r="U786" i="2"/>
  <c r="T791" i="2"/>
  <c r="U794" i="2"/>
  <c r="T799" i="2"/>
  <c r="U802" i="2"/>
  <c r="U585" i="2"/>
  <c r="U601" i="2"/>
  <c r="T625" i="2"/>
  <c r="U628" i="2"/>
  <c r="T641" i="2"/>
  <c r="U644" i="2"/>
  <c r="T657" i="2"/>
  <c r="U660" i="2"/>
  <c r="U675" i="2"/>
  <c r="U683" i="2"/>
  <c r="U687" i="2"/>
  <c r="T692" i="2"/>
  <c r="U695" i="2"/>
  <c r="T700" i="2"/>
  <c r="U703" i="2"/>
  <c r="T708" i="2"/>
  <c r="U711" i="2"/>
  <c r="T716" i="2"/>
  <c r="U719" i="2"/>
  <c r="T724" i="2"/>
  <c r="U727" i="2"/>
  <c r="T732" i="2"/>
  <c r="U735" i="2"/>
  <c r="T740" i="2"/>
  <c r="U743" i="2"/>
  <c r="T748" i="2"/>
  <c r="U751" i="2"/>
  <c r="T756" i="2"/>
  <c r="U759" i="2"/>
  <c r="T764" i="2"/>
  <c r="U767" i="2"/>
  <c r="T772" i="2"/>
  <c r="U775" i="2"/>
  <c r="T780" i="2"/>
  <c r="U783" i="2"/>
  <c r="T788" i="2"/>
  <c r="U791" i="2"/>
  <c r="T796" i="2"/>
  <c r="U799" i="2"/>
  <c r="T804" i="2"/>
  <c r="U623" i="2"/>
  <c r="T636" i="2"/>
  <c r="U655" i="2"/>
  <c r="T668" i="2"/>
  <c r="U740" i="2"/>
  <c r="U748" i="2"/>
  <c r="U756" i="2"/>
  <c r="T769" i="2"/>
  <c r="U772" i="2"/>
  <c r="T785" i="2"/>
  <c r="U788" i="2"/>
  <c r="T801" i="2"/>
  <c r="U804" i="2"/>
  <c r="T810" i="2"/>
  <c r="U813" i="2"/>
  <c r="T818" i="2"/>
  <c r="U821" i="2"/>
  <c r="T826" i="2"/>
  <c r="U829" i="2"/>
  <c r="T834" i="2"/>
  <c r="U837" i="2"/>
  <c r="U845" i="2"/>
  <c r="U853" i="2"/>
  <c r="T795" i="2"/>
  <c r="T598" i="2"/>
  <c r="T817" i="2"/>
  <c r="U828" i="2"/>
  <c r="U852" i="2"/>
  <c r="U868" i="2"/>
  <c r="T582" i="2"/>
  <c r="T766" i="2"/>
  <c r="U769" i="2"/>
  <c r="T782" i="2"/>
  <c r="U785" i="2"/>
  <c r="T798" i="2"/>
  <c r="U801" i="2"/>
  <c r="T807" i="2"/>
  <c r="U810" i="2"/>
  <c r="T815" i="2"/>
  <c r="U818" i="2"/>
  <c r="T823" i="2"/>
  <c r="U826" i="2"/>
  <c r="T831" i="2"/>
  <c r="U834" i="2"/>
  <c r="T839" i="2"/>
  <c r="U842" i="2"/>
  <c r="T847" i="2"/>
  <c r="U850" i="2"/>
  <c r="T855" i="2"/>
  <c r="U858" i="2"/>
  <c r="T863" i="2"/>
  <c r="U866" i="2"/>
  <c r="T372" i="2"/>
  <c r="U676" i="2"/>
  <c r="T699" i="2"/>
  <c r="T715" i="2"/>
  <c r="T731" i="2"/>
  <c r="T745" i="2"/>
  <c r="T753" i="2"/>
  <c r="T763" i="2"/>
  <c r="U766" i="2"/>
  <c r="T779" i="2"/>
  <c r="U782" i="2"/>
  <c r="U807" i="2"/>
  <c r="T812" i="2"/>
  <c r="U815" i="2"/>
  <c r="U823" i="2"/>
  <c r="U839" i="2"/>
  <c r="U847" i="2"/>
  <c r="U855" i="2"/>
  <c r="U844" i="2"/>
  <c r="T436" i="2"/>
  <c r="T620" i="2"/>
  <c r="U639" i="2"/>
  <c r="T652" i="2"/>
  <c r="U671" i="2"/>
  <c r="U684" i="2"/>
  <c r="T761" i="2"/>
  <c r="U764" i="2"/>
  <c r="T777" i="2"/>
  <c r="U780" i="2"/>
  <c r="T793" i="2"/>
  <c r="U796" i="2"/>
  <c r="U809" i="2"/>
  <c r="T814" i="2"/>
  <c r="U817" i="2"/>
  <c r="T822" i="2"/>
  <c r="U825" i="2"/>
  <c r="T830" i="2"/>
  <c r="U833" i="2"/>
  <c r="T838" i="2"/>
  <c r="U841" i="2"/>
  <c r="T846" i="2"/>
  <c r="U849" i="2"/>
  <c r="T854" i="2"/>
  <c r="U857" i="2"/>
  <c r="T862" i="2"/>
  <c r="U865" i="2"/>
  <c r="T870" i="2"/>
  <c r="T813" i="2"/>
  <c r="T829" i="2"/>
  <c r="T837" i="2"/>
  <c r="U848" i="2"/>
  <c r="U831" i="2"/>
  <c r="T868" i="2"/>
  <c r="U812" i="2"/>
  <c r="U820" i="2"/>
  <c r="U836" i="2"/>
  <c r="T849" i="2"/>
  <c r="T857" i="2"/>
  <c r="T865" i="2"/>
  <c r="U742" i="2"/>
  <c r="U750" i="2"/>
  <c r="T758" i="2"/>
  <c r="U761" i="2"/>
  <c r="T774" i="2"/>
  <c r="U777" i="2"/>
  <c r="T790" i="2"/>
  <c r="U793" i="2"/>
  <c r="T806" i="2"/>
  <c r="T811" i="2"/>
  <c r="U814" i="2"/>
  <c r="T819" i="2"/>
  <c r="U822" i="2"/>
  <c r="T827" i="2"/>
  <c r="U830" i="2"/>
  <c r="T835" i="2"/>
  <c r="U838" i="2"/>
  <c r="T843" i="2"/>
  <c r="U846" i="2"/>
  <c r="T851" i="2"/>
  <c r="U854" i="2"/>
  <c r="T859" i="2"/>
  <c r="U862" i="2"/>
  <c r="T867" i="2"/>
  <c r="U870" i="2"/>
  <c r="U856" i="2"/>
  <c r="T869" i="2"/>
  <c r="T842" i="2"/>
  <c r="T850" i="2"/>
  <c r="T858" i="2"/>
  <c r="T820" i="2"/>
  <c r="T844" i="2"/>
  <c r="T860" i="2"/>
  <c r="U726" i="2"/>
  <c r="T841" i="2"/>
  <c r="U679" i="2"/>
  <c r="T691" i="2"/>
  <c r="T707" i="2"/>
  <c r="T723" i="2"/>
  <c r="T739" i="2"/>
  <c r="T747" i="2"/>
  <c r="T755" i="2"/>
  <c r="U758" i="2"/>
  <c r="T771" i="2"/>
  <c r="U774" i="2"/>
  <c r="T787" i="2"/>
  <c r="U790" i="2"/>
  <c r="T803" i="2"/>
  <c r="U806" i="2"/>
  <c r="T808" i="2"/>
  <c r="U811" i="2"/>
  <c r="T816" i="2"/>
  <c r="U819" i="2"/>
  <c r="T824" i="2"/>
  <c r="U827" i="2"/>
  <c r="T832" i="2"/>
  <c r="U835" i="2"/>
  <c r="T840" i="2"/>
  <c r="U843" i="2"/>
  <c r="T848" i="2"/>
  <c r="U851" i="2"/>
  <c r="T856" i="2"/>
  <c r="U859" i="2"/>
  <c r="T864" i="2"/>
  <c r="U867" i="2"/>
  <c r="U840" i="2"/>
  <c r="U864" i="2"/>
  <c r="U861" i="2"/>
  <c r="U869" i="2"/>
  <c r="T836" i="2"/>
  <c r="U710" i="2"/>
  <c r="T809" i="2"/>
  <c r="T833" i="2"/>
  <c r="U686" i="2"/>
  <c r="U702" i="2"/>
  <c r="U718" i="2"/>
  <c r="U734" i="2"/>
  <c r="U808" i="2"/>
  <c r="U816" i="2"/>
  <c r="T821" i="2"/>
  <c r="U824" i="2"/>
  <c r="U832" i="2"/>
  <c r="T845" i="2"/>
  <c r="T853" i="2"/>
  <c r="T861" i="2"/>
  <c r="T866" i="2"/>
  <c r="U798" i="2"/>
  <c r="T828" i="2"/>
  <c r="T852" i="2"/>
  <c r="U863" i="2"/>
  <c r="U694" i="2"/>
  <c r="T825" i="2"/>
  <c r="U860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X5507" i="2" l="1"/>
  <c r="X5506" i="2"/>
  <c r="X5498" i="2"/>
  <c r="X5490" i="2"/>
  <c r="X5482" i="2"/>
  <c r="X5474" i="2"/>
  <c r="X5466" i="2"/>
  <c r="X5458" i="2"/>
  <c r="X5450" i="2"/>
  <c r="X5442" i="2"/>
  <c r="X5434" i="2"/>
  <c r="X5426" i="2"/>
  <c r="X5418" i="2"/>
  <c r="X5410" i="2"/>
  <c r="X5402" i="2"/>
  <c r="X5394" i="2"/>
  <c r="X5386" i="2"/>
  <c r="X5378" i="2"/>
  <c r="X5370" i="2"/>
  <c r="X5362" i="2"/>
  <c r="X5354" i="2"/>
  <c r="X5346" i="2"/>
  <c r="X5338" i="2"/>
  <c r="X5330" i="2"/>
  <c r="X5322" i="2"/>
  <c r="X5314" i="2"/>
  <c r="X5306" i="2"/>
  <c r="X5298" i="2"/>
  <c r="X5290" i="2"/>
  <c r="X5282" i="2"/>
  <c r="X5274" i="2"/>
  <c r="X5266" i="2"/>
  <c r="X5258" i="2"/>
  <c r="X5250" i="2"/>
  <c r="X5242" i="2"/>
  <c r="X5234" i="2"/>
  <c r="X5226" i="2"/>
  <c r="X5218" i="2"/>
  <c r="X5210" i="2"/>
  <c r="X5202" i="2"/>
  <c r="X5194" i="2"/>
  <c r="X5186" i="2"/>
  <c r="X5178" i="2"/>
  <c r="X5170" i="2"/>
  <c r="X5162" i="2"/>
  <c r="X5154" i="2"/>
  <c r="X5146" i="2"/>
  <c r="X5138" i="2"/>
  <c r="X5130" i="2"/>
  <c r="X5122" i="2"/>
  <c r="X5114" i="2"/>
  <c r="X5106" i="2"/>
  <c r="X5098" i="2"/>
  <c r="X5090" i="2"/>
  <c r="X5082" i="2"/>
  <c r="X5074" i="2"/>
  <c r="X5066" i="2"/>
  <c r="X5058" i="2"/>
  <c r="X5050" i="2"/>
  <c r="X5042" i="2"/>
  <c r="X5034" i="2"/>
  <c r="X5026" i="2"/>
  <c r="X5018" i="2"/>
  <c r="X5010" i="2"/>
  <c r="X5002" i="2"/>
  <c r="X4994" i="2"/>
  <c r="X4986" i="2"/>
  <c r="X4978" i="2"/>
  <c r="X4970" i="2"/>
  <c r="X4962" i="2"/>
  <c r="X4954" i="2"/>
  <c r="X4946" i="2"/>
  <c r="X4938" i="2"/>
  <c r="X4930" i="2"/>
  <c r="X4922" i="2"/>
  <c r="X4914" i="2"/>
  <c r="X4906" i="2"/>
  <c r="X4898" i="2"/>
  <c r="X4890" i="2"/>
  <c r="X4882" i="2"/>
  <c r="X4874" i="2"/>
  <c r="X4866" i="2"/>
  <c r="X4858" i="2"/>
  <c r="X4850" i="2"/>
  <c r="X4842" i="2"/>
  <c r="X4834" i="2"/>
  <c r="X4826" i="2"/>
  <c r="X4818" i="2"/>
  <c r="X4810" i="2"/>
  <c r="X4802" i="2"/>
  <c r="X4794" i="2"/>
  <c r="X4786" i="2"/>
  <c r="X4778" i="2"/>
  <c r="X4770" i="2"/>
  <c r="X4762" i="2"/>
  <c r="X4754" i="2"/>
  <c r="X4746" i="2"/>
  <c r="X4738" i="2"/>
  <c r="X4730" i="2"/>
  <c r="X4722" i="2"/>
  <c r="X4714" i="2"/>
  <c r="X4706" i="2"/>
  <c r="X4698" i="2"/>
  <c r="X4690" i="2"/>
  <c r="X4682" i="2"/>
  <c r="X4674" i="2"/>
  <c r="X4666" i="2"/>
  <c r="X4658" i="2"/>
  <c r="X4650" i="2"/>
  <c r="X4642" i="2"/>
  <c r="X4634" i="2"/>
  <c r="X4626" i="2"/>
  <c r="X4618" i="2"/>
  <c r="X4610" i="2"/>
  <c r="X4602" i="2"/>
  <c r="X4594" i="2"/>
  <c r="X4586" i="2"/>
  <c r="X4578" i="2"/>
  <c r="X4570" i="2"/>
  <c r="X4562" i="2"/>
  <c r="X4554" i="2"/>
  <c r="X4546" i="2"/>
  <c r="X4538" i="2"/>
  <c r="X5505" i="2"/>
  <c r="X5497" i="2"/>
  <c r="X5489" i="2"/>
  <c r="X5481" i="2"/>
  <c r="X5473" i="2"/>
  <c r="X5465" i="2"/>
  <c r="X5457" i="2"/>
  <c r="X5449" i="2"/>
  <c r="X5441" i="2"/>
  <c r="X5433" i="2"/>
  <c r="X5425" i="2"/>
  <c r="X5417" i="2"/>
  <c r="X5409" i="2"/>
  <c r="X5401" i="2"/>
  <c r="X5393" i="2"/>
  <c r="X5385" i="2"/>
  <c r="X5377" i="2"/>
  <c r="X5369" i="2"/>
  <c r="X5361" i="2"/>
  <c r="X5353" i="2"/>
  <c r="X5345" i="2"/>
  <c r="X5337" i="2"/>
  <c r="X5329" i="2"/>
  <c r="X5321" i="2"/>
  <c r="X5313" i="2"/>
  <c r="X5305" i="2"/>
  <c r="X5297" i="2"/>
  <c r="X5289" i="2"/>
  <c r="X5281" i="2"/>
  <c r="X5273" i="2"/>
  <c r="X5265" i="2"/>
  <c r="X5257" i="2"/>
  <c r="X5249" i="2"/>
  <c r="X5241" i="2"/>
  <c r="X5233" i="2"/>
  <c r="X5225" i="2"/>
  <c r="X5217" i="2"/>
  <c r="X5209" i="2"/>
  <c r="X5201" i="2"/>
  <c r="X5193" i="2"/>
  <c r="X5185" i="2"/>
  <c r="X5177" i="2"/>
  <c r="X5169" i="2"/>
  <c r="X5161" i="2"/>
  <c r="X5153" i="2"/>
  <c r="X5145" i="2"/>
  <c r="X5137" i="2"/>
  <c r="X5129" i="2"/>
  <c r="X5121" i="2"/>
  <c r="X5113" i="2"/>
  <c r="X5105" i="2"/>
  <c r="X5097" i="2"/>
  <c r="X5089" i="2"/>
  <c r="X5081" i="2"/>
  <c r="X5073" i="2"/>
  <c r="X5065" i="2"/>
  <c r="X5057" i="2"/>
  <c r="X5049" i="2"/>
  <c r="X5041" i="2"/>
  <c r="X5033" i="2"/>
  <c r="X5025" i="2"/>
  <c r="X5017" i="2"/>
  <c r="X5009" i="2"/>
  <c r="X5001" i="2"/>
  <c r="X4993" i="2"/>
  <c r="X4985" i="2"/>
  <c r="X4977" i="2"/>
  <c r="X4969" i="2"/>
  <c r="X4961" i="2"/>
  <c r="X4953" i="2"/>
  <c r="X4945" i="2"/>
  <c r="X4937" i="2"/>
  <c r="X4929" i="2"/>
  <c r="X4921" i="2"/>
  <c r="X4913" i="2"/>
  <c r="X4905" i="2"/>
  <c r="X4897" i="2"/>
  <c r="X4889" i="2"/>
  <c r="X4881" i="2"/>
  <c r="X4873" i="2"/>
  <c r="X4865" i="2"/>
  <c r="X4857" i="2"/>
  <c r="X4849" i="2"/>
  <c r="X4841" i="2"/>
  <c r="X4833" i="2"/>
  <c r="X4825" i="2"/>
  <c r="X4817" i="2"/>
  <c r="X4809" i="2"/>
  <c r="X4801" i="2"/>
  <c r="X4793" i="2"/>
  <c r="X4785" i="2"/>
  <c r="X4777" i="2"/>
  <c r="X4769" i="2"/>
  <c r="X4761" i="2"/>
  <c r="X4753" i="2"/>
  <c r="X4745" i="2"/>
  <c r="X4737" i="2"/>
  <c r="X4729" i="2"/>
  <c r="X4721" i="2"/>
  <c r="X4713" i="2"/>
  <c r="X4705" i="2"/>
  <c r="X4697" i="2"/>
  <c r="X4689" i="2"/>
  <c r="X5512" i="2"/>
  <c r="X5504" i="2"/>
  <c r="X5496" i="2"/>
  <c r="X5488" i="2"/>
  <c r="X5480" i="2"/>
  <c r="X5472" i="2"/>
  <c r="X5464" i="2"/>
  <c r="X5456" i="2"/>
  <c r="X5448" i="2"/>
  <c r="X5440" i="2"/>
  <c r="X5432" i="2"/>
  <c r="X5424" i="2"/>
  <c r="X5416" i="2"/>
  <c r="X5408" i="2"/>
  <c r="X5400" i="2"/>
  <c r="X5392" i="2"/>
  <c r="X5384" i="2"/>
  <c r="X5376" i="2"/>
  <c r="X5368" i="2"/>
  <c r="X5360" i="2"/>
  <c r="X5352" i="2"/>
  <c r="X5344" i="2"/>
  <c r="X5336" i="2"/>
  <c r="X5328" i="2"/>
  <c r="X5320" i="2"/>
  <c r="X5312" i="2"/>
  <c r="X5304" i="2"/>
  <c r="X5296" i="2"/>
  <c r="X5288" i="2"/>
  <c r="X5280" i="2"/>
  <c r="X5272" i="2"/>
  <c r="X5264" i="2"/>
  <c r="X5256" i="2"/>
  <c r="X5248" i="2"/>
  <c r="X5240" i="2"/>
  <c r="X5232" i="2"/>
  <c r="X5224" i="2"/>
  <c r="X5216" i="2"/>
  <c r="X5208" i="2"/>
  <c r="X5200" i="2"/>
  <c r="X5192" i="2"/>
  <c r="X5184" i="2"/>
  <c r="X5176" i="2"/>
  <c r="X5168" i="2"/>
  <c r="X5160" i="2"/>
  <c r="X5152" i="2"/>
  <c r="X5144" i="2"/>
  <c r="X5136" i="2"/>
  <c r="X5128" i="2"/>
  <c r="X5120" i="2"/>
  <c r="X5511" i="2"/>
  <c r="X5503" i="2"/>
  <c r="X5495" i="2"/>
  <c r="X5487" i="2"/>
  <c r="X5479" i="2"/>
  <c r="X5471" i="2"/>
  <c r="X5463" i="2"/>
  <c r="X5455" i="2"/>
  <c r="X5447" i="2"/>
  <c r="X5439" i="2"/>
  <c r="X5431" i="2"/>
  <c r="X5423" i="2"/>
  <c r="X5415" i="2"/>
  <c r="X5407" i="2"/>
  <c r="X5399" i="2"/>
  <c r="X5391" i="2"/>
  <c r="X5383" i="2"/>
  <c r="X5375" i="2"/>
  <c r="X5367" i="2"/>
  <c r="X5359" i="2"/>
  <c r="X5351" i="2"/>
  <c r="X5343" i="2"/>
  <c r="X5335" i="2"/>
  <c r="X5327" i="2"/>
  <c r="X5319" i="2"/>
  <c r="X5311" i="2"/>
  <c r="X5303" i="2"/>
  <c r="X5295" i="2"/>
  <c r="X5287" i="2"/>
  <c r="X5279" i="2"/>
  <c r="X5271" i="2"/>
  <c r="X5263" i="2"/>
  <c r="X5255" i="2"/>
  <c r="X5247" i="2"/>
  <c r="X5239" i="2"/>
  <c r="X5510" i="2"/>
  <c r="X5502" i="2"/>
  <c r="X5494" i="2"/>
  <c r="X5486" i="2"/>
  <c r="X5478" i="2"/>
  <c r="X5470" i="2"/>
  <c r="X5462" i="2"/>
  <c r="X5454" i="2"/>
  <c r="X5446" i="2"/>
  <c r="X5438" i="2"/>
  <c r="X5430" i="2"/>
  <c r="X5422" i="2"/>
  <c r="X5414" i="2"/>
  <c r="X5406" i="2"/>
  <c r="X5398" i="2"/>
  <c r="X5390" i="2"/>
  <c r="X5382" i="2"/>
  <c r="X5374" i="2"/>
  <c r="X5366" i="2"/>
  <c r="X5358" i="2"/>
  <c r="X5350" i="2"/>
  <c r="X5342" i="2"/>
  <c r="X5334" i="2"/>
  <c r="X5326" i="2"/>
  <c r="X5318" i="2"/>
  <c r="X5310" i="2"/>
  <c r="X5302" i="2"/>
  <c r="X5294" i="2"/>
  <c r="X5286" i="2"/>
  <c r="X5278" i="2"/>
  <c r="X5270" i="2"/>
  <c r="X5262" i="2"/>
  <c r="X5254" i="2"/>
  <c r="X5246" i="2"/>
  <c r="X5238" i="2"/>
  <c r="X5230" i="2"/>
  <c r="X5222" i="2"/>
  <c r="X5214" i="2"/>
  <c r="X5206" i="2"/>
  <c r="X5198" i="2"/>
  <c r="X5190" i="2"/>
  <c r="X5182" i="2"/>
  <c r="X5174" i="2"/>
  <c r="X5166" i="2"/>
  <c r="X5158" i="2"/>
  <c r="X5150" i="2"/>
  <c r="X5142" i="2"/>
  <c r="X5134" i="2"/>
  <c r="X5126" i="2"/>
  <c r="X5118" i="2"/>
  <c r="X5110" i="2"/>
  <c r="X5102" i="2"/>
  <c r="X5094" i="2"/>
  <c r="X5086" i="2"/>
  <c r="X5078" i="2"/>
  <c r="X5070" i="2"/>
  <c r="X5062" i="2"/>
  <c r="X5054" i="2"/>
  <c r="X5046" i="2"/>
  <c r="X5038" i="2"/>
  <c r="X5030" i="2"/>
  <c r="X5022" i="2"/>
  <c r="X5014" i="2"/>
  <c r="X5006" i="2"/>
  <c r="X4998" i="2"/>
  <c r="X4990" i="2"/>
  <c r="X4982" i="2"/>
  <c r="X4974" i="2"/>
  <c r="X4966" i="2"/>
  <c r="X4958" i="2"/>
  <c r="X4950" i="2"/>
  <c r="X4942" i="2"/>
  <c r="X4934" i="2"/>
  <c r="X4926" i="2"/>
  <c r="X4918" i="2"/>
  <c r="X4910" i="2"/>
  <c r="X4902" i="2"/>
  <c r="X4894" i="2"/>
  <c r="X4886" i="2"/>
  <c r="X4878" i="2"/>
  <c r="X4870" i="2"/>
  <c r="X4862" i="2"/>
  <c r="X4854" i="2"/>
  <c r="X4846" i="2"/>
  <c r="X4838" i="2"/>
  <c r="X4830" i="2"/>
  <c r="X4822" i="2"/>
  <c r="X4814" i="2"/>
  <c r="X4806" i="2"/>
  <c r="X4798" i="2"/>
  <c r="X4790" i="2"/>
  <c r="X4782" i="2"/>
  <c r="X4774" i="2"/>
  <c r="X4766" i="2"/>
  <c r="X4758" i="2"/>
  <c r="X4750" i="2"/>
  <c r="X4742" i="2"/>
  <c r="X4734" i="2"/>
  <c r="X4726" i="2"/>
  <c r="X4718" i="2"/>
  <c r="X4710" i="2"/>
  <c r="X4702" i="2"/>
  <c r="X4694" i="2"/>
  <c r="X4686" i="2"/>
  <c r="X4678" i="2"/>
  <c r="X4670" i="2"/>
  <c r="X4662" i="2"/>
  <c r="X4654" i="2"/>
  <c r="X4646" i="2"/>
  <c r="X4638" i="2"/>
  <c r="X4630" i="2"/>
  <c r="X4622" i="2"/>
  <c r="X4614" i="2"/>
  <c r="X4606" i="2"/>
  <c r="X4598" i="2"/>
  <c r="X4590" i="2"/>
  <c r="X5509" i="2"/>
  <c r="X5501" i="2"/>
  <c r="X5493" i="2"/>
  <c r="X5485" i="2"/>
  <c r="X5477" i="2"/>
  <c r="X5469" i="2"/>
  <c r="X5461" i="2"/>
  <c r="X5453" i="2"/>
  <c r="X5445" i="2"/>
  <c r="X5437" i="2"/>
  <c r="X5429" i="2"/>
  <c r="X5421" i="2"/>
  <c r="X5413" i="2"/>
  <c r="X5405" i="2"/>
  <c r="X5397" i="2"/>
  <c r="X5389" i="2"/>
  <c r="X5381" i="2"/>
  <c r="X5373" i="2"/>
  <c r="X5365" i="2"/>
  <c r="X5357" i="2"/>
  <c r="X5349" i="2"/>
  <c r="X5341" i="2"/>
  <c r="X5333" i="2"/>
  <c r="X5325" i="2"/>
  <c r="X5317" i="2"/>
  <c r="X5309" i="2"/>
  <c r="X5301" i="2"/>
  <c r="X5293" i="2"/>
  <c r="X5285" i="2"/>
  <c r="X5277" i="2"/>
  <c r="X5269" i="2"/>
  <c r="X5261" i="2"/>
  <c r="X5253" i="2"/>
  <c r="X5245" i="2"/>
  <c r="X5237" i="2"/>
  <c r="X5229" i="2"/>
  <c r="X5221" i="2"/>
  <c r="X5213" i="2"/>
  <c r="X5205" i="2"/>
  <c r="X5197" i="2"/>
  <c r="X5189" i="2"/>
  <c r="X5181" i="2"/>
  <c r="X5173" i="2"/>
  <c r="X5165" i="2"/>
  <c r="X5157" i="2"/>
  <c r="X5149" i="2"/>
  <c r="X5141" i="2"/>
  <c r="X5133" i="2"/>
  <c r="X5125" i="2"/>
  <c r="X5117" i="2"/>
  <c r="X5109" i="2"/>
  <c r="X5101" i="2"/>
  <c r="X5093" i="2"/>
  <c r="X5085" i="2"/>
  <c r="X5077" i="2"/>
  <c r="X5069" i="2"/>
  <c r="X5061" i="2"/>
  <c r="X5053" i="2"/>
  <c r="X5045" i="2"/>
  <c r="X5037" i="2"/>
  <c r="X5029" i="2"/>
  <c r="X5021" i="2"/>
  <c r="X5013" i="2"/>
  <c r="X5005" i="2"/>
  <c r="X4997" i="2"/>
  <c r="X4989" i="2"/>
  <c r="X4981" i="2"/>
  <c r="X4973" i="2"/>
  <c r="X4965" i="2"/>
  <c r="X4957" i="2"/>
  <c r="X4949" i="2"/>
  <c r="X4941" i="2"/>
  <c r="X4933" i="2"/>
  <c r="X4925" i="2"/>
  <c r="X4917" i="2"/>
  <c r="X4909" i="2"/>
  <c r="X4901" i="2"/>
  <c r="X4893" i="2"/>
  <c r="X4885" i="2"/>
  <c r="X4877" i="2"/>
  <c r="X4869" i="2"/>
  <c r="X4861" i="2"/>
  <c r="X4853" i="2"/>
  <c r="X4845" i="2"/>
  <c r="X4837" i="2"/>
  <c r="X4829" i="2"/>
  <c r="X4821" i="2"/>
  <c r="X4813" i="2"/>
  <c r="X4805" i="2"/>
  <c r="X4797" i="2"/>
  <c r="X4789" i="2"/>
  <c r="X4781" i="2"/>
  <c r="X4773" i="2"/>
  <c r="X4765" i="2"/>
  <c r="X4757" i="2"/>
  <c r="X4749" i="2"/>
  <c r="X4741" i="2"/>
  <c r="X4733" i="2"/>
  <c r="X4725" i="2"/>
  <c r="X4717" i="2"/>
  <c r="X4709" i="2"/>
  <c r="X4701" i="2"/>
  <c r="X4693" i="2"/>
  <c r="X5508" i="2"/>
  <c r="X5500" i="2"/>
  <c r="X5492" i="2"/>
  <c r="X5484" i="2"/>
  <c r="X5476" i="2"/>
  <c r="X5468" i="2"/>
  <c r="X5460" i="2"/>
  <c r="X5452" i="2"/>
  <c r="X5444" i="2"/>
  <c r="X5436" i="2"/>
  <c r="X5428" i="2"/>
  <c r="X5420" i="2"/>
  <c r="X5412" i="2"/>
  <c r="X5404" i="2"/>
  <c r="X5396" i="2"/>
  <c r="X5388" i="2"/>
  <c r="X5380" i="2"/>
  <c r="X5372" i="2"/>
  <c r="X5364" i="2"/>
  <c r="X5356" i="2"/>
  <c r="X5348" i="2"/>
  <c r="X5340" i="2"/>
  <c r="X5332" i="2"/>
  <c r="X5324" i="2"/>
  <c r="X5316" i="2"/>
  <c r="X5308" i="2"/>
  <c r="X5300" i="2"/>
  <c r="X5292" i="2"/>
  <c r="X5284" i="2"/>
  <c r="X5276" i="2"/>
  <c r="X5268" i="2"/>
  <c r="X5260" i="2"/>
  <c r="X5252" i="2"/>
  <c r="X5244" i="2"/>
  <c r="X5236" i="2"/>
  <c r="X5228" i="2"/>
  <c r="X5220" i="2"/>
  <c r="X5212" i="2"/>
  <c r="X5204" i="2"/>
  <c r="X5196" i="2"/>
  <c r="X5188" i="2"/>
  <c r="X5180" i="2"/>
  <c r="X5172" i="2"/>
  <c r="X5164" i="2"/>
  <c r="X5156" i="2"/>
  <c r="X5499" i="2"/>
  <c r="X5491" i="2"/>
  <c r="X5483" i="2"/>
  <c r="X5475" i="2"/>
  <c r="X5467" i="2"/>
  <c r="X5459" i="2"/>
  <c r="X5451" i="2"/>
  <c r="X5443" i="2"/>
  <c r="X5435" i="2"/>
  <c r="X5427" i="2"/>
  <c r="X5419" i="2"/>
  <c r="X5411" i="2"/>
  <c r="X5403" i="2"/>
  <c r="X5395" i="2"/>
  <c r="X5387" i="2"/>
  <c r="X5379" i="2"/>
  <c r="X5371" i="2"/>
  <c r="X5363" i="2"/>
  <c r="X5355" i="2"/>
  <c r="X5347" i="2"/>
  <c r="X5339" i="2"/>
  <c r="X5331" i="2"/>
  <c r="X5323" i="2"/>
  <c r="X5315" i="2"/>
  <c r="X5307" i="2"/>
  <c r="X5299" i="2"/>
  <c r="X5291" i="2"/>
  <c r="X5283" i="2"/>
  <c r="X5275" i="2"/>
  <c r="X5267" i="2"/>
  <c r="X5259" i="2"/>
  <c r="X5251" i="2"/>
  <c r="X5243" i="2"/>
  <c r="X5235" i="2"/>
  <c r="X5227" i="2"/>
  <c r="X5219" i="2"/>
  <c r="X5211" i="2"/>
  <c r="X5203" i="2"/>
  <c r="X5195" i="2"/>
  <c r="X5187" i="2"/>
  <c r="X5179" i="2"/>
  <c r="X5171" i="2"/>
  <c r="X5163" i="2"/>
  <c r="X5155" i="2"/>
  <c r="X5147" i="2"/>
  <c r="X5139" i="2"/>
  <c r="X5131" i="2"/>
  <c r="X5123" i="2"/>
  <c r="X5115" i="2"/>
  <c r="X5107" i="2"/>
  <c r="X5099" i="2"/>
  <c r="X5091" i="2"/>
  <c r="X5083" i="2"/>
  <c r="X5075" i="2"/>
  <c r="X5067" i="2"/>
  <c r="X5059" i="2"/>
  <c r="X5051" i="2"/>
  <c r="X5043" i="2"/>
  <c r="X5035" i="2"/>
  <c r="X5027" i="2"/>
  <c r="X5019" i="2"/>
  <c r="X5011" i="2"/>
  <c r="X5003" i="2"/>
  <c r="X4995" i="2"/>
  <c r="X4987" i="2"/>
  <c r="X4979" i="2"/>
  <c r="X4971" i="2"/>
  <c r="X4963" i="2"/>
  <c r="X4955" i="2"/>
  <c r="X4947" i="2"/>
  <c r="X4939" i="2"/>
  <c r="X4931" i="2"/>
  <c r="X4923" i="2"/>
  <c r="X4915" i="2"/>
  <c r="X4907" i="2"/>
  <c r="X4899" i="2"/>
  <c r="X4891" i="2"/>
  <c r="X4883" i="2"/>
  <c r="X4875" i="2"/>
  <c r="X4867" i="2"/>
  <c r="X4859" i="2"/>
  <c r="X4851" i="2"/>
  <c r="X4843" i="2"/>
  <c r="X4835" i="2"/>
  <c r="X4827" i="2"/>
  <c r="X4819" i="2"/>
  <c r="X4811" i="2"/>
  <c r="X4803" i="2"/>
  <c r="X4795" i="2"/>
  <c r="X4787" i="2"/>
  <c r="X4779" i="2"/>
  <c r="X4771" i="2"/>
  <c r="X4763" i="2"/>
  <c r="X4755" i="2"/>
  <c r="X4747" i="2"/>
  <c r="X4739" i="2"/>
  <c r="X4731" i="2"/>
  <c r="X4723" i="2"/>
  <c r="X4715" i="2"/>
  <c r="X4707" i="2"/>
  <c r="X4699" i="2"/>
  <c r="X4691" i="2"/>
  <c r="X4683" i="2"/>
  <c r="X4675" i="2"/>
  <c r="X4667" i="2"/>
  <c r="X4659" i="2"/>
  <c r="X4651" i="2"/>
  <c r="X4643" i="2"/>
  <c r="X4635" i="2"/>
  <c r="X4627" i="2"/>
  <c r="X4619" i="2"/>
  <c r="X4611" i="2"/>
  <c r="X4603" i="2"/>
  <c r="X4595" i="2"/>
  <c r="X4587" i="2"/>
  <c r="X4579" i="2"/>
  <c r="X4571" i="2"/>
  <c r="X4563" i="2"/>
  <c r="X4555" i="2"/>
  <c r="X4547" i="2"/>
  <c r="X4539" i="2"/>
  <c r="X4531" i="2"/>
  <c r="X4523" i="2"/>
  <c r="X4515" i="2"/>
  <c r="X4507" i="2"/>
  <c r="X4499" i="2"/>
  <c r="X4491" i="2"/>
  <c r="X4483" i="2"/>
  <c r="X4475" i="2"/>
  <c r="X4467" i="2"/>
  <c r="X4459" i="2"/>
  <c r="X4451" i="2"/>
  <c r="X4443" i="2"/>
  <c r="X4435" i="2"/>
  <c r="X4427" i="2"/>
  <c r="X4419" i="2"/>
  <c r="X4411" i="2"/>
  <c r="X4403" i="2"/>
  <c r="X4395" i="2"/>
  <c r="X4387" i="2"/>
  <c r="X4379" i="2"/>
  <c r="X4371" i="2"/>
  <c r="X4363" i="2"/>
  <c r="X4355" i="2"/>
  <c r="X4347" i="2"/>
  <c r="X4339" i="2"/>
  <c r="X4331" i="2"/>
  <c r="X4323" i="2"/>
  <c r="X4315" i="2"/>
  <c r="X4307" i="2"/>
  <c r="X4299" i="2"/>
  <c r="X4291" i="2"/>
  <c r="X4283" i="2"/>
  <c r="X4275" i="2"/>
  <c r="X4267" i="2"/>
  <c r="X4259" i="2"/>
  <c r="X4251" i="2"/>
  <c r="X4243" i="2"/>
  <c r="X4235" i="2"/>
  <c r="X4227" i="2"/>
  <c r="X4219" i="2"/>
  <c r="X4211" i="2"/>
  <c r="X4203" i="2"/>
  <c r="X4195" i="2"/>
  <c r="X4187" i="2"/>
  <c r="X4179" i="2"/>
  <c r="X4171" i="2"/>
  <c r="X4163" i="2"/>
  <c r="X4155" i="2"/>
  <c r="X4147" i="2"/>
  <c r="X4139" i="2"/>
  <c r="X4131" i="2"/>
  <c r="X4123" i="2"/>
  <c r="X4115" i="2"/>
  <c r="X4107" i="2"/>
  <c r="X4099" i="2"/>
  <c r="X4091" i="2"/>
  <c r="X4083" i="2"/>
  <c r="X4075" i="2"/>
  <c r="X4067" i="2"/>
  <c r="X4059" i="2"/>
  <c r="X4051" i="2"/>
  <c r="X4043" i="2"/>
  <c r="X4035" i="2"/>
  <c r="X4027" i="2"/>
  <c r="X4019" i="2"/>
  <c r="X4011" i="2"/>
  <c r="X4003" i="2"/>
  <c r="X3995" i="2"/>
  <c r="X3987" i="2"/>
  <c r="X3979" i="2"/>
  <c r="X3971" i="2"/>
  <c r="X3963" i="2"/>
  <c r="X3955" i="2"/>
  <c r="X3947" i="2"/>
  <c r="X3939" i="2"/>
  <c r="X3931" i="2"/>
  <c r="X3923" i="2"/>
  <c r="X3915" i="2"/>
  <c r="X3907" i="2"/>
  <c r="X3899" i="2"/>
  <c r="X3891" i="2"/>
  <c r="X3883" i="2"/>
  <c r="X3875" i="2"/>
  <c r="X3867" i="2"/>
  <c r="X3859" i="2"/>
  <c r="X3851" i="2"/>
  <c r="X3843" i="2"/>
  <c r="X3835" i="2"/>
  <c r="X3827" i="2"/>
  <c r="X3819" i="2"/>
  <c r="X3811" i="2"/>
  <c r="X3803" i="2"/>
  <c r="X3795" i="2"/>
  <c r="X3787" i="2"/>
  <c r="X3779" i="2"/>
  <c r="X3771" i="2"/>
  <c r="X3763" i="2"/>
  <c r="X3755" i="2"/>
  <c r="X3747" i="2"/>
  <c r="X3739" i="2"/>
  <c r="X3731" i="2"/>
  <c r="X3723" i="2"/>
  <c r="X3715" i="2"/>
  <c r="X3707" i="2"/>
  <c r="X3699" i="2"/>
  <c r="X3691" i="2"/>
  <c r="X3683" i="2"/>
  <c r="X3675" i="2"/>
  <c r="X3667" i="2"/>
  <c r="X3659" i="2"/>
  <c r="X3651" i="2"/>
  <c r="X3643" i="2"/>
  <c r="X3635" i="2"/>
  <c r="X3627" i="2"/>
  <c r="X4530" i="2"/>
  <c r="X4522" i="2"/>
  <c r="X4514" i="2"/>
  <c r="X4506" i="2"/>
  <c r="X4498" i="2"/>
  <c r="X4490" i="2"/>
  <c r="X4482" i="2"/>
  <c r="X4474" i="2"/>
  <c r="X4466" i="2"/>
  <c r="X4458" i="2"/>
  <c r="X4450" i="2"/>
  <c r="X4442" i="2"/>
  <c r="X4434" i="2"/>
  <c r="X4426" i="2"/>
  <c r="X4418" i="2"/>
  <c r="X4410" i="2"/>
  <c r="X4402" i="2"/>
  <c r="X4394" i="2"/>
  <c r="X4386" i="2"/>
  <c r="X4378" i="2"/>
  <c r="X4370" i="2"/>
  <c r="X4362" i="2"/>
  <c r="X4354" i="2"/>
  <c r="X4346" i="2"/>
  <c r="X4338" i="2"/>
  <c r="X4330" i="2"/>
  <c r="X4322" i="2"/>
  <c r="X4314" i="2"/>
  <c r="X4306" i="2"/>
  <c r="X4298" i="2"/>
  <c r="X4290" i="2"/>
  <c r="X4282" i="2"/>
  <c r="X4274" i="2"/>
  <c r="X4266" i="2"/>
  <c r="X4258" i="2"/>
  <c r="X4250" i="2"/>
  <c r="X4242" i="2"/>
  <c r="X4234" i="2"/>
  <c r="X4226" i="2"/>
  <c r="X4218" i="2"/>
  <c r="X4210" i="2"/>
  <c r="X4202" i="2"/>
  <c r="X4194" i="2"/>
  <c r="X4186" i="2"/>
  <c r="X4178" i="2"/>
  <c r="X4170" i="2"/>
  <c r="X4162" i="2"/>
  <c r="X4154" i="2"/>
  <c r="X4146" i="2"/>
  <c r="X4138" i="2"/>
  <c r="X4130" i="2"/>
  <c r="X4122" i="2"/>
  <c r="X4114" i="2"/>
  <c r="X4106" i="2"/>
  <c r="X4098" i="2"/>
  <c r="X4090" i="2"/>
  <c r="X4082" i="2"/>
  <c r="X4074" i="2"/>
  <c r="X4066" i="2"/>
  <c r="X4058" i="2"/>
  <c r="X4050" i="2"/>
  <c r="X4042" i="2"/>
  <c r="X4034" i="2"/>
  <c r="X4026" i="2"/>
  <c r="X4018" i="2"/>
  <c r="X4010" i="2"/>
  <c r="X4002" i="2"/>
  <c r="X3994" i="2"/>
  <c r="X3986" i="2"/>
  <c r="X3978" i="2"/>
  <c r="X3970" i="2"/>
  <c r="X3962" i="2"/>
  <c r="X3954" i="2"/>
  <c r="X3946" i="2"/>
  <c r="X3938" i="2"/>
  <c r="X3930" i="2"/>
  <c r="X3922" i="2"/>
  <c r="X3914" i="2"/>
  <c r="X3906" i="2"/>
  <c r="X3898" i="2"/>
  <c r="X3890" i="2"/>
  <c r="X3882" i="2"/>
  <c r="X3874" i="2"/>
  <c r="X3866" i="2"/>
  <c r="X3858" i="2"/>
  <c r="X3850" i="2"/>
  <c r="X3842" i="2"/>
  <c r="X3834" i="2"/>
  <c r="X3826" i="2"/>
  <c r="X3818" i="2"/>
  <c r="X3810" i="2"/>
  <c r="X3802" i="2"/>
  <c r="X3794" i="2"/>
  <c r="X3786" i="2"/>
  <c r="X3778" i="2"/>
  <c r="X3770" i="2"/>
  <c r="X3762" i="2"/>
  <c r="X3754" i="2"/>
  <c r="X3746" i="2"/>
  <c r="X3738" i="2"/>
  <c r="X3730" i="2"/>
  <c r="X3722" i="2"/>
  <c r="X3714" i="2"/>
  <c r="X3706" i="2"/>
  <c r="X3698" i="2"/>
  <c r="X3690" i="2"/>
  <c r="X3682" i="2"/>
  <c r="X3674" i="2"/>
  <c r="X3666" i="2"/>
  <c r="X3658" i="2"/>
  <c r="X3650" i="2"/>
  <c r="X3642" i="2"/>
  <c r="X3634" i="2"/>
  <c r="X3626" i="2"/>
  <c r="X3618" i="2"/>
  <c r="X3610" i="2"/>
  <c r="X3602" i="2"/>
  <c r="X3594" i="2"/>
  <c r="X3586" i="2"/>
  <c r="X3578" i="2"/>
  <c r="X3570" i="2"/>
  <c r="X3562" i="2"/>
  <c r="X3554" i="2"/>
  <c r="X3546" i="2"/>
  <c r="X3538" i="2"/>
  <c r="X3530" i="2"/>
  <c r="X3522" i="2"/>
  <c r="X3514" i="2"/>
  <c r="X3506" i="2"/>
  <c r="X3498" i="2"/>
  <c r="X3490" i="2"/>
  <c r="X3482" i="2"/>
  <c r="X3474" i="2"/>
  <c r="X3466" i="2"/>
  <c r="X4681" i="2"/>
  <c r="X4673" i="2"/>
  <c r="X4665" i="2"/>
  <c r="X4657" i="2"/>
  <c r="X4649" i="2"/>
  <c r="X4641" i="2"/>
  <c r="X4633" i="2"/>
  <c r="X4625" i="2"/>
  <c r="X4617" i="2"/>
  <c r="X4609" i="2"/>
  <c r="X4601" i="2"/>
  <c r="X4593" i="2"/>
  <c r="X4585" i="2"/>
  <c r="X4577" i="2"/>
  <c r="X4569" i="2"/>
  <c r="X4561" i="2"/>
  <c r="X4553" i="2"/>
  <c r="X4545" i="2"/>
  <c r="X4537" i="2"/>
  <c r="X4529" i="2"/>
  <c r="X4521" i="2"/>
  <c r="X4513" i="2"/>
  <c r="X4505" i="2"/>
  <c r="X4497" i="2"/>
  <c r="X4489" i="2"/>
  <c r="X4481" i="2"/>
  <c r="X4473" i="2"/>
  <c r="X4465" i="2"/>
  <c r="X4457" i="2"/>
  <c r="X4449" i="2"/>
  <c r="X4441" i="2"/>
  <c r="X4433" i="2"/>
  <c r="X4425" i="2"/>
  <c r="X4417" i="2"/>
  <c r="X4409" i="2"/>
  <c r="X4401" i="2"/>
  <c r="X4393" i="2"/>
  <c r="X4385" i="2"/>
  <c r="X4377" i="2"/>
  <c r="X4369" i="2"/>
  <c r="X4361" i="2"/>
  <c r="X4353" i="2"/>
  <c r="X4345" i="2"/>
  <c r="X4337" i="2"/>
  <c r="X4329" i="2"/>
  <c r="X4321" i="2"/>
  <c r="X4313" i="2"/>
  <c r="X4305" i="2"/>
  <c r="X4297" i="2"/>
  <c r="X4289" i="2"/>
  <c r="X4281" i="2"/>
  <c r="X4273" i="2"/>
  <c r="X4265" i="2"/>
  <c r="X4257" i="2"/>
  <c r="X4249" i="2"/>
  <c r="X4241" i="2"/>
  <c r="X4233" i="2"/>
  <c r="X4225" i="2"/>
  <c r="X4217" i="2"/>
  <c r="X4209" i="2"/>
  <c r="X4201" i="2"/>
  <c r="X4193" i="2"/>
  <c r="X4185" i="2"/>
  <c r="X4177" i="2"/>
  <c r="X4169" i="2"/>
  <c r="X4161" i="2"/>
  <c r="X4153" i="2"/>
  <c r="X4145" i="2"/>
  <c r="X4137" i="2"/>
  <c r="X4129" i="2"/>
  <c r="X4121" i="2"/>
  <c r="X4113" i="2"/>
  <c r="X4105" i="2"/>
  <c r="X4097" i="2"/>
  <c r="X4089" i="2"/>
  <c r="X4081" i="2"/>
  <c r="X4073" i="2"/>
  <c r="X4065" i="2"/>
  <c r="X4057" i="2"/>
  <c r="X4049" i="2"/>
  <c r="X4041" i="2"/>
  <c r="X4033" i="2"/>
  <c r="X4025" i="2"/>
  <c r="X4017" i="2"/>
  <c r="X4009" i="2"/>
  <c r="X4001" i="2"/>
  <c r="X3993" i="2"/>
  <c r="X3985" i="2"/>
  <c r="X3977" i="2"/>
  <c r="X3969" i="2"/>
  <c r="X3961" i="2"/>
  <c r="X3953" i="2"/>
  <c r="X3945" i="2"/>
  <c r="X3937" i="2"/>
  <c r="X3929" i="2"/>
  <c r="X3921" i="2"/>
  <c r="X3913" i="2"/>
  <c r="X3905" i="2"/>
  <c r="X3897" i="2"/>
  <c r="X3889" i="2"/>
  <c r="X3881" i="2"/>
  <c r="X3873" i="2"/>
  <c r="X3865" i="2"/>
  <c r="X3857" i="2"/>
  <c r="X3849" i="2"/>
  <c r="X3841" i="2"/>
  <c r="X3833" i="2"/>
  <c r="X3825" i="2"/>
  <c r="X3817" i="2"/>
  <c r="X3809" i="2"/>
  <c r="X3801" i="2"/>
  <c r="X3793" i="2"/>
  <c r="X3785" i="2"/>
  <c r="X3777" i="2"/>
  <c r="X3769" i="2"/>
  <c r="X3761" i="2"/>
  <c r="X3753" i="2"/>
  <c r="X3745" i="2"/>
  <c r="X3737" i="2"/>
  <c r="X3729" i="2"/>
  <c r="X3721" i="2"/>
  <c r="X3713" i="2"/>
  <c r="X3705" i="2"/>
  <c r="X3697" i="2"/>
  <c r="X3689" i="2"/>
  <c r="X3681" i="2"/>
  <c r="X3673" i="2"/>
  <c r="X3665" i="2"/>
  <c r="X3657" i="2"/>
  <c r="X3649" i="2"/>
  <c r="X3641" i="2"/>
  <c r="X3633" i="2"/>
  <c r="X3625" i="2"/>
  <c r="X3617" i="2"/>
  <c r="X3609" i="2"/>
  <c r="X3601" i="2"/>
  <c r="X3593" i="2"/>
  <c r="X3585" i="2"/>
  <c r="X3577" i="2"/>
  <c r="X3569" i="2"/>
  <c r="X3561" i="2"/>
  <c r="X3553" i="2"/>
  <c r="X3545" i="2"/>
  <c r="X3537" i="2"/>
  <c r="X3529" i="2"/>
  <c r="X3521" i="2"/>
  <c r="X3513" i="2"/>
  <c r="X3505" i="2"/>
  <c r="X3497" i="2"/>
  <c r="X3489" i="2"/>
  <c r="X3481" i="2"/>
  <c r="X3473" i="2"/>
  <c r="X3465" i="2"/>
  <c r="X5112" i="2"/>
  <c r="X5104" i="2"/>
  <c r="X5096" i="2"/>
  <c r="X5088" i="2"/>
  <c r="X5080" i="2"/>
  <c r="X5072" i="2"/>
  <c r="X5064" i="2"/>
  <c r="X5056" i="2"/>
  <c r="X5048" i="2"/>
  <c r="X5040" i="2"/>
  <c r="X5032" i="2"/>
  <c r="X5024" i="2"/>
  <c r="X5016" i="2"/>
  <c r="X5008" i="2"/>
  <c r="X5000" i="2"/>
  <c r="X4992" i="2"/>
  <c r="X4984" i="2"/>
  <c r="X4976" i="2"/>
  <c r="X4968" i="2"/>
  <c r="X4960" i="2"/>
  <c r="X4952" i="2"/>
  <c r="X4944" i="2"/>
  <c r="X4936" i="2"/>
  <c r="X4928" i="2"/>
  <c r="X4920" i="2"/>
  <c r="X4912" i="2"/>
  <c r="X4904" i="2"/>
  <c r="X4896" i="2"/>
  <c r="X4888" i="2"/>
  <c r="X4880" i="2"/>
  <c r="X4872" i="2"/>
  <c r="X4864" i="2"/>
  <c r="X4856" i="2"/>
  <c r="X4848" i="2"/>
  <c r="X4840" i="2"/>
  <c r="X4832" i="2"/>
  <c r="X4824" i="2"/>
  <c r="X4816" i="2"/>
  <c r="X4808" i="2"/>
  <c r="X4800" i="2"/>
  <c r="X4792" i="2"/>
  <c r="X4784" i="2"/>
  <c r="X4776" i="2"/>
  <c r="X4768" i="2"/>
  <c r="X4760" i="2"/>
  <c r="X4752" i="2"/>
  <c r="X4744" i="2"/>
  <c r="X4736" i="2"/>
  <c r="X4728" i="2"/>
  <c r="X4720" i="2"/>
  <c r="X4712" i="2"/>
  <c r="X4704" i="2"/>
  <c r="X4696" i="2"/>
  <c r="X4688" i="2"/>
  <c r="X4680" i="2"/>
  <c r="X4672" i="2"/>
  <c r="X4664" i="2"/>
  <c r="X4656" i="2"/>
  <c r="X4648" i="2"/>
  <c r="X4640" i="2"/>
  <c r="X4632" i="2"/>
  <c r="X4624" i="2"/>
  <c r="X4616" i="2"/>
  <c r="X4608" i="2"/>
  <c r="X4600" i="2"/>
  <c r="X4592" i="2"/>
  <c r="X4584" i="2"/>
  <c r="X4576" i="2"/>
  <c r="X4568" i="2"/>
  <c r="X4560" i="2"/>
  <c r="X4552" i="2"/>
  <c r="X4544" i="2"/>
  <c r="X4536" i="2"/>
  <c r="X4528" i="2"/>
  <c r="X4520" i="2"/>
  <c r="X4512" i="2"/>
  <c r="X4504" i="2"/>
  <c r="X4496" i="2"/>
  <c r="X4488" i="2"/>
  <c r="X4480" i="2"/>
  <c r="X4472" i="2"/>
  <c r="X4464" i="2"/>
  <c r="X4456" i="2"/>
  <c r="X4448" i="2"/>
  <c r="X4440" i="2"/>
  <c r="X4432" i="2"/>
  <c r="X4424" i="2"/>
  <c r="X4416" i="2"/>
  <c r="X4408" i="2"/>
  <c r="X4400" i="2"/>
  <c r="X4392" i="2"/>
  <c r="X4384" i="2"/>
  <c r="X4376" i="2"/>
  <c r="X4368" i="2"/>
  <c r="X4360" i="2"/>
  <c r="X4352" i="2"/>
  <c r="X4344" i="2"/>
  <c r="X4336" i="2"/>
  <c r="X4328" i="2"/>
  <c r="X4320" i="2"/>
  <c r="X4312" i="2"/>
  <c r="X4304" i="2"/>
  <c r="X4296" i="2"/>
  <c r="X4288" i="2"/>
  <c r="X4280" i="2"/>
  <c r="X4272" i="2"/>
  <c r="X4264" i="2"/>
  <c r="X4256" i="2"/>
  <c r="X4248" i="2"/>
  <c r="X4240" i="2"/>
  <c r="X4232" i="2"/>
  <c r="X4224" i="2"/>
  <c r="X4216" i="2"/>
  <c r="X4208" i="2"/>
  <c r="X4200" i="2"/>
  <c r="X4192" i="2"/>
  <c r="X4184" i="2"/>
  <c r="X4176" i="2"/>
  <c r="X4168" i="2"/>
  <c r="X4160" i="2"/>
  <c r="X4152" i="2"/>
  <c r="X4144" i="2"/>
  <c r="X4136" i="2"/>
  <c r="X4128" i="2"/>
  <c r="X4120" i="2"/>
  <c r="X4112" i="2"/>
  <c r="X4104" i="2"/>
  <c r="X4096" i="2"/>
  <c r="X4088" i="2"/>
  <c r="X4080" i="2"/>
  <c r="X4072" i="2"/>
  <c r="X4064" i="2"/>
  <c r="X4056" i="2"/>
  <c r="X4048" i="2"/>
  <c r="X4040" i="2"/>
  <c r="X4032" i="2"/>
  <c r="X4024" i="2"/>
  <c r="X4016" i="2"/>
  <c r="X4008" i="2"/>
  <c r="X4000" i="2"/>
  <c r="X3992" i="2"/>
  <c r="X3984" i="2"/>
  <c r="X3976" i="2"/>
  <c r="X3968" i="2"/>
  <c r="X3960" i="2"/>
  <c r="X3952" i="2"/>
  <c r="X3944" i="2"/>
  <c r="X3936" i="2"/>
  <c r="X3928" i="2"/>
  <c r="X3920" i="2"/>
  <c r="X3912" i="2"/>
  <c r="X3904" i="2"/>
  <c r="X3896" i="2"/>
  <c r="X3888" i="2"/>
  <c r="X3880" i="2"/>
  <c r="X3872" i="2"/>
  <c r="X3864" i="2"/>
  <c r="X3856" i="2"/>
  <c r="X3848" i="2"/>
  <c r="X3840" i="2"/>
  <c r="X3832" i="2"/>
  <c r="X3824" i="2"/>
  <c r="X3816" i="2"/>
  <c r="X3808" i="2"/>
  <c r="X3800" i="2"/>
  <c r="X3792" i="2"/>
  <c r="X3784" i="2"/>
  <c r="X3776" i="2"/>
  <c r="X3768" i="2"/>
  <c r="X3760" i="2"/>
  <c r="X3752" i="2"/>
  <c r="X3744" i="2"/>
  <c r="X3736" i="2"/>
  <c r="X3728" i="2"/>
  <c r="X3720" i="2"/>
  <c r="X3712" i="2"/>
  <c r="X3704" i="2"/>
  <c r="X3696" i="2"/>
  <c r="X3688" i="2"/>
  <c r="X3680" i="2"/>
  <c r="X3672" i="2"/>
  <c r="X3664" i="2"/>
  <c r="X3656" i="2"/>
  <c r="X3648" i="2"/>
  <c r="X3640" i="2"/>
  <c r="X3632" i="2"/>
  <c r="X3624" i="2"/>
  <c r="X3616" i="2"/>
  <c r="X3608" i="2"/>
  <c r="X3600" i="2"/>
  <c r="X3592" i="2"/>
  <c r="X3584" i="2"/>
  <c r="X3576" i="2"/>
  <c r="X3568" i="2"/>
  <c r="X3560" i="2"/>
  <c r="X3552" i="2"/>
  <c r="X3544" i="2"/>
  <c r="X3536" i="2"/>
  <c r="X3528" i="2"/>
  <c r="X3520" i="2"/>
  <c r="X3512" i="2"/>
  <c r="X3504" i="2"/>
  <c r="X3496" i="2"/>
  <c r="X3488" i="2"/>
  <c r="X3480" i="2"/>
  <c r="X3472" i="2"/>
  <c r="X3464" i="2"/>
  <c r="X5231" i="2"/>
  <c r="X5223" i="2"/>
  <c r="X5215" i="2"/>
  <c r="X5207" i="2"/>
  <c r="X5199" i="2"/>
  <c r="X5191" i="2"/>
  <c r="X5183" i="2"/>
  <c r="X5175" i="2"/>
  <c r="X5167" i="2"/>
  <c r="X5159" i="2"/>
  <c r="X5151" i="2"/>
  <c r="X5143" i="2"/>
  <c r="X5135" i="2"/>
  <c r="X5127" i="2"/>
  <c r="X5119" i="2"/>
  <c r="X5111" i="2"/>
  <c r="X5103" i="2"/>
  <c r="X5095" i="2"/>
  <c r="X5087" i="2"/>
  <c r="X5079" i="2"/>
  <c r="X5071" i="2"/>
  <c r="X5063" i="2"/>
  <c r="X5055" i="2"/>
  <c r="X5047" i="2"/>
  <c r="X5039" i="2"/>
  <c r="X5031" i="2"/>
  <c r="X5023" i="2"/>
  <c r="X5015" i="2"/>
  <c r="X5007" i="2"/>
  <c r="X4999" i="2"/>
  <c r="X4991" i="2"/>
  <c r="X4983" i="2"/>
  <c r="X4975" i="2"/>
  <c r="X4967" i="2"/>
  <c r="X4959" i="2"/>
  <c r="X4951" i="2"/>
  <c r="X4943" i="2"/>
  <c r="X4935" i="2"/>
  <c r="X4927" i="2"/>
  <c r="X4919" i="2"/>
  <c r="X4911" i="2"/>
  <c r="X4903" i="2"/>
  <c r="X4895" i="2"/>
  <c r="X4887" i="2"/>
  <c r="X4879" i="2"/>
  <c r="X4871" i="2"/>
  <c r="X4863" i="2"/>
  <c r="X4855" i="2"/>
  <c r="X4847" i="2"/>
  <c r="X4839" i="2"/>
  <c r="X4831" i="2"/>
  <c r="X4823" i="2"/>
  <c r="X4815" i="2"/>
  <c r="X4807" i="2"/>
  <c r="X4799" i="2"/>
  <c r="X4791" i="2"/>
  <c r="X4783" i="2"/>
  <c r="X4775" i="2"/>
  <c r="X4767" i="2"/>
  <c r="X4759" i="2"/>
  <c r="X4751" i="2"/>
  <c r="X4743" i="2"/>
  <c r="X4735" i="2"/>
  <c r="X4727" i="2"/>
  <c r="X4719" i="2"/>
  <c r="X4711" i="2"/>
  <c r="X4703" i="2"/>
  <c r="X4695" i="2"/>
  <c r="X4687" i="2"/>
  <c r="X4679" i="2"/>
  <c r="X4671" i="2"/>
  <c r="X4663" i="2"/>
  <c r="X4655" i="2"/>
  <c r="X4647" i="2"/>
  <c r="X4639" i="2"/>
  <c r="X4631" i="2"/>
  <c r="X4623" i="2"/>
  <c r="X4615" i="2"/>
  <c r="X4607" i="2"/>
  <c r="X4599" i="2"/>
  <c r="X4591" i="2"/>
  <c r="X4583" i="2"/>
  <c r="X4575" i="2"/>
  <c r="X4567" i="2"/>
  <c r="X4559" i="2"/>
  <c r="X4551" i="2"/>
  <c r="X4543" i="2"/>
  <c r="X4535" i="2"/>
  <c r="X4527" i="2"/>
  <c r="X4519" i="2"/>
  <c r="X4511" i="2"/>
  <c r="X4503" i="2"/>
  <c r="X4495" i="2"/>
  <c r="X4487" i="2"/>
  <c r="X4479" i="2"/>
  <c r="X4471" i="2"/>
  <c r="X4463" i="2"/>
  <c r="X4455" i="2"/>
  <c r="X4447" i="2"/>
  <c r="X4439" i="2"/>
  <c r="X4431" i="2"/>
  <c r="X4423" i="2"/>
  <c r="X4415" i="2"/>
  <c r="X4407" i="2"/>
  <c r="X4399" i="2"/>
  <c r="X4391" i="2"/>
  <c r="X4383" i="2"/>
  <c r="X4375" i="2"/>
  <c r="X4367" i="2"/>
  <c r="X4359" i="2"/>
  <c r="X4351" i="2"/>
  <c r="X4343" i="2"/>
  <c r="X4335" i="2"/>
  <c r="X4327" i="2"/>
  <c r="X4319" i="2"/>
  <c r="X4311" i="2"/>
  <c r="X4303" i="2"/>
  <c r="X4295" i="2"/>
  <c r="X4287" i="2"/>
  <c r="X4279" i="2"/>
  <c r="X4271" i="2"/>
  <c r="X4263" i="2"/>
  <c r="X4255" i="2"/>
  <c r="X4247" i="2"/>
  <c r="X4239" i="2"/>
  <c r="X4231" i="2"/>
  <c r="X4223" i="2"/>
  <c r="X4215" i="2"/>
  <c r="X4207" i="2"/>
  <c r="X4199" i="2"/>
  <c r="X4191" i="2"/>
  <c r="X4183" i="2"/>
  <c r="X4175" i="2"/>
  <c r="X4167" i="2"/>
  <c r="X4159" i="2"/>
  <c r="X4151" i="2"/>
  <c r="X4143" i="2"/>
  <c r="X4135" i="2"/>
  <c r="X4127" i="2"/>
  <c r="X4119" i="2"/>
  <c r="X4111" i="2"/>
  <c r="X4103" i="2"/>
  <c r="X4095" i="2"/>
  <c r="X4087" i="2"/>
  <c r="X4079" i="2"/>
  <c r="X4071" i="2"/>
  <c r="X4063" i="2"/>
  <c r="X4055" i="2"/>
  <c r="X4047" i="2"/>
  <c r="X4039" i="2"/>
  <c r="X4031" i="2"/>
  <c r="X4023" i="2"/>
  <c r="X4015" i="2"/>
  <c r="X4007" i="2"/>
  <c r="X3999" i="2"/>
  <c r="X3991" i="2"/>
  <c r="X3983" i="2"/>
  <c r="X3975" i="2"/>
  <c r="X3967" i="2"/>
  <c r="X3959" i="2"/>
  <c r="X3951" i="2"/>
  <c r="X3943" i="2"/>
  <c r="X3935" i="2"/>
  <c r="X3927" i="2"/>
  <c r="X3919" i="2"/>
  <c r="X3911" i="2"/>
  <c r="X3903" i="2"/>
  <c r="X3895" i="2"/>
  <c r="X3887" i="2"/>
  <c r="X3879" i="2"/>
  <c r="X3871" i="2"/>
  <c r="X3863" i="2"/>
  <c r="X3855" i="2"/>
  <c r="X3847" i="2"/>
  <c r="X3839" i="2"/>
  <c r="X3831" i="2"/>
  <c r="X3823" i="2"/>
  <c r="X3815" i="2"/>
  <c r="X3807" i="2"/>
  <c r="X3799" i="2"/>
  <c r="X3791" i="2"/>
  <c r="X3783" i="2"/>
  <c r="X3775" i="2"/>
  <c r="X3767" i="2"/>
  <c r="X3759" i="2"/>
  <c r="X3751" i="2"/>
  <c r="X3743" i="2"/>
  <c r="X3735" i="2"/>
  <c r="X3727" i="2"/>
  <c r="X3719" i="2"/>
  <c r="X3711" i="2"/>
  <c r="X3703" i="2"/>
  <c r="X3695" i="2"/>
  <c r="X3687" i="2"/>
  <c r="X3679" i="2"/>
  <c r="X3671" i="2"/>
  <c r="X3663" i="2"/>
  <c r="X3655" i="2"/>
  <c r="X3647" i="2"/>
  <c r="X3639" i="2"/>
  <c r="X3631" i="2"/>
  <c r="X3623" i="2"/>
  <c r="X3615" i="2"/>
  <c r="X3607" i="2"/>
  <c r="X3599" i="2"/>
  <c r="X3591" i="2"/>
  <c r="X3583" i="2"/>
  <c r="X3575" i="2"/>
  <c r="X3567" i="2"/>
  <c r="X3559" i="2"/>
  <c r="X3551" i="2"/>
  <c r="X3543" i="2"/>
  <c r="X3535" i="2"/>
  <c r="X3527" i="2"/>
  <c r="X3519" i="2"/>
  <c r="X3511" i="2"/>
  <c r="X3503" i="2"/>
  <c r="X3495" i="2"/>
  <c r="X3487" i="2"/>
  <c r="X3479" i="2"/>
  <c r="X3471" i="2"/>
  <c r="X3463" i="2"/>
  <c r="X4582" i="2"/>
  <c r="X4574" i="2"/>
  <c r="X4566" i="2"/>
  <c r="X4558" i="2"/>
  <c r="X4550" i="2"/>
  <c r="X4542" i="2"/>
  <c r="X4534" i="2"/>
  <c r="X4526" i="2"/>
  <c r="X4518" i="2"/>
  <c r="X4510" i="2"/>
  <c r="X4502" i="2"/>
  <c r="X4494" i="2"/>
  <c r="X4486" i="2"/>
  <c r="X4478" i="2"/>
  <c r="X4470" i="2"/>
  <c r="X4462" i="2"/>
  <c r="X4454" i="2"/>
  <c r="X4446" i="2"/>
  <c r="X4438" i="2"/>
  <c r="X4430" i="2"/>
  <c r="X4422" i="2"/>
  <c r="X4414" i="2"/>
  <c r="X4406" i="2"/>
  <c r="X4398" i="2"/>
  <c r="X4390" i="2"/>
  <c r="X4382" i="2"/>
  <c r="X4374" i="2"/>
  <c r="X4366" i="2"/>
  <c r="X4358" i="2"/>
  <c r="X4350" i="2"/>
  <c r="X4342" i="2"/>
  <c r="X4334" i="2"/>
  <c r="X4326" i="2"/>
  <c r="X4318" i="2"/>
  <c r="X4310" i="2"/>
  <c r="X4302" i="2"/>
  <c r="X4294" i="2"/>
  <c r="X4286" i="2"/>
  <c r="X4278" i="2"/>
  <c r="X4270" i="2"/>
  <c r="X4262" i="2"/>
  <c r="X4254" i="2"/>
  <c r="X4246" i="2"/>
  <c r="X4238" i="2"/>
  <c r="X4230" i="2"/>
  <c r="X4222" i="2"/>
  <c r="X4214" i="2"/>
  <c r="X4206" i="2"/>
  <c r="X4198" i="2"/>
  <c r="X4190" i="2"/>
  <c r="X4182" i="2"/>
  <c r="X4174" i="2"/>
  <c r="X4166" i="2"/>
  <c r="X4158" i="2"/>
  <c r="X4150" i="2"/>
  <c r="X4142" i="2"/>
  <c r="X4134" i="2"/>
  <c r="X4126" i="2"/>
  <c r="X4118" i="2"/>
  <c r="X4110" i="2"/>
  <c r="X4102" i="2"/>
  <c r="X4094" i="2"/>
  <c r="X4086" i="2"/>
  <c r="X4078" i="2"/>
  <c r="X4070" i="2"/>
  <c r="X4062" i="2"/>
  <c r="X4054" i="2"/>
  <c r="X4046" i="2"/>
  <c r="X4038" i="2"/>
  <c r="X4030" i="2"/>
  <c r="X4022" i="2"/>
  <c r="X4014" i="2"/>
  <c r="X4006" i="2"/>
  <c r="X3998" i="2"/>
  <c r="X3990" i="2"/>
  <c r="X3982" i="2"/>
  <c r="X3974" i="2"/>
  <c r="X3966" i="2"/>
  <c r="X3958" i="2"/>
  <c r="X3950" i="2"/>
  <c r="X3942" i="2"/>
  <c r="X3934" i="2"/>
  <c r="X3926" i="2"/>
  <c r="X3918" i="2"/>
  <c r="X3910" i="2"/>
  <c r="X3902" i="2"/>
  <c r="X3894" i="2"/>
  <c r="X3886" i="2"/>
  <c r="X3878" i="2"/>
  <c r="X3870" i="2"/>
  <c r="X3862" i="2"/>
  <c r="X3854" i="2"/>
  <c r="X3846" i="2"/>
  <c r="X3838" i="2"/>
  <c r="X3830" i="2"/>
  <c r="X3822" i="2"/>
  <c r="X3814" i="2"/>
  <c r="X3806" i="2"/>
  <c r="X3798" i="2"/>
  <c r="X3790" i="2"/>
  <c r="X3782" i="2"/>
  <c r="X3774" i="2"/>
  <c r="X3766" i="2"/>
  <c r="X3758" i="2"/>
  <c r="X3750" i="2"/>
  <c r="X3742" i="2"/>
  <c r="X3734" i="2"/>
  <c r="X3726" i="2"/>
  <c r="X3718" i="2"/>
  <c r="X3710" i="2"/>
  <c r="X3702" i="2"/>
  <c r="X3694" i="2"/>
  <c r="X3686" i="2"/>
  <c r="X3678" i="2"/>
  <c r="X3670" i="2"/>
  <c r="X3662" i="2"/>
  <c r="X3654" i="2"/>
  <c r="X3646" i="2"/>
  <c r="X3638" i="2"/>
  <c r="X3630" i="2"/>
  <c r="X3622" i="2"/>
  <c r="X3614" i="2"/>
  <c r="X3606" i="2"/>
  <c r="X3598" i="2"/>
  <c r="X3590" i="2"/>
  <c r="X3582" i="2"/>
  <c r="X3574" i="2"/>
  <c r="X3566" i="2"/>
  <c r="X3558" i="2"/>
  <c r="X3550" i="2"/>
  <c r="X3542" i="2"/>
  <c r="X3534" i="2"/>
  <c r="X3526" i="2"/>
  <c r="X3518" i="2"/>
  <c r="X3510" i="2"/>
  <c r="X3502" i="2"/>
  <c r="X3494" i="2"/>
  <c r="X3486" i="2"/>
  <c r="X3478" i="2"/>
  <c r="X3470" i="2"/>
  <c r="X3462" i="2"/>
  <c r="X4685" i="2"/>
  <c r="X4677" i="2"/>
  <c r="X4669" i="2"/>
  <c r="X4661" i="2"/>
  <c r="X4653" i="2"/>
  <c r="X4645" i="2"/>
  <c r="X4637" i="2"/>
  <c r="X4629" i="2"/>
  <c r="X4621" i="2"/>
  <c r="X4613" i="2"/>
  <c r="X4605" i="2"/>
  <c r="X4597" i="2"/>
  <c r="X4589" i="2"/>
  <c r="X4581" i="2"/>
  <c r="X4573" i="2"/>
  <c r="X4565" i="2"/>
  <c r="X4557" i="2"/>
  <c r="X4549" i="2"/>
  <c r="X4541" i="2"/>
  <c r="X4533" i="2"/>
  <c r="X4525" i="2"/>
  <c r="X4517" i="2"/>
  <c r="X4509" i="2"/>
  <c r="X4501" i="2"/>
  <c r="X4493" i="2"/>
  <c r="X4485" i="2"/>
  <c r="X4477" i="2"/>
  <c r="X4469" i="2"/>
  <c r="X4461" i="2"/>
  <c r="X4453" i="2"/>
  <c r="X4445" i="2"/>
  <c r="X4437" i="2"/>
  <c r="X4429" i="2"/>
  <c r="X4421" i="2"/>
  <c r="X4413" i="2"/>
  <c r="X4405" i="2"/>
  <c r="X4397" i="2"/>
  <c r="X4389" i="2"/>
  <c r="X4381" i="2"/>
  <c r="X4373" i="2"/>
  <c r="X4365" i="2"/>
  <c r="X4357" i="2"/>
  <c r="X4349" i="2"/>
  <c r="X4341" i="2"/>
  <c r="X4333" i="2"/>
  <c r="X4325" i="2"/>
  <c r="X4317" i="2"/>
  <c r="X4309" i="2"/>
  <c r="X4301" i="2"/>
  <c r="X4293" i="2"/>
  <c r="X4285" i="2"/>
  <c r="X4277" i="2"/>
  <c r="X4269" i="2"/>
  <c r="X4261" i="2"/>
  <c r="X4253" i="2"/>
  <c r="X4245" i="2"/>
  <c r="X4237" i="2"/>
  <c r="X4229" i="2"/>
  <c r="X4221" i="2"/>
  <c r="X4213" i="2"/>
  <c r="X4205" i="2"/>
  <c r="X4197" i="2"/>
  <c r="X4189" i="2"/>
  <c r="X4181" i="2"/>
  <c r="X4173" i="2"/>
  <c r="X4165" i="2"/>
  <c r="X4157" i="2"/>
  <c r="X4149" i="2"/>
  <c r="X4141" i="2"/>
  <c r="X4133" i="2"/>
  <c r="X4125" i="2"/>
  <c r="X4117" i="2"/>
  <c r="X4109" i="2"/>
  <c r="X4101" i="2"/>
  <c r="X4093" i="2"/>
  <c r="X4085" i="2"/>
  <c r="X4077" i="2"/>
  <c r="X4069" i="2"/>
  <c r="X4061" i="2"/>
  <c r="X4053" i="2"/>
  <c r="X4045" i="2"/>
  <c r="X4037" i="2"/>
  <c r="X4029" i="2"/>
  <c r="X4021" i="2"/>
  <c r="X4013" i="2"/>
  <c r="X4005" i="2"/>
  <c r="X3997" i="2"/>
  <c r="X3989" i="2"/>
  <c r="X3981" i="2"/>
  <c r="X3973" i="2"/>
  <c r="X3965" i="2"/>
  <c r="X3957" i="2"/>
  <c r="X3949" i="2"/>
  <c r="X3941" i="2"/>
  <c r="X3933" i="2"/>
  <c r="X3925" i="2"/>
  <c r="X3917" i="2"/>
  <c r="X3909" i="2"/>
  <c r="X3901" i="2"/>
  <c r="X3893" i="2"/>
  <c r="X3885" i="2"/>
  <c r="X3877" i="2"/>
  <c r="X3869" i="2"/>
  <c r="X3861" i="2"/>
  <c r="X3853" i="2"/>
  <c r="X3845" i="2"/>
  <c r="X3837" i="2"/>
  <c r="X3829" i="2"/>
  <c r="X3821" i="2"/>
  <c r="X3813" i="2"/>
  <c r="X3805" i="2"/>
  <c r="X3797" i="2"/>
  <c r="X3789" i="2"/>
  <c r="X3781" i="2"/>
  <c r="X3773" i="2"/>
  <c r="X3765" i="2"/>
  <c r="X3757" i="2"/>
  <c r="X3749" i="2"/>
  <c r="X3741" i="2"/>
  <c r="X3733" i="2"/>
  <c r="X3725" i="2"/>
  <c r="X3717" i="2"/>
  <c r="X3709" i="2"/>
  <c r="X3701" i="2"/>
  <c r="X3693" i="2"/>
  <c r="X3685" i="2"/>
  <c r="X3677" i="2"/>
  <c r="X3669" i="2"/>
  <c r="X3661" i="2"/>
  <c r="X3653" i="2"/>
  <c r="X3645" i="2"/>
  <c r="X3637" i="2"/>
  <c r="X3629" i="2"/>
  <c r="X3621" i="2"/>
  <c r="X3613" i="2"/>
  <c r="X3605" i="2"/>
  <c r="X3597" i="2"/>
  <c r="X3589" i="2"/>
  <c r="X3581" i="2"/>
  <c r="X3573" i="2"/>
  <c r="X3565" i="2"/>
  <c r="X3557" i="2"/>
  <c r="X3549" i="2"/>
  <c r="X3541" i="2"/>
  <c r="X3533" i="2"/>
  <c r="X3525" i="2"/>
  <c r="X3517" i="2"/>
  <c r="X3509" i="2"/>
  <c r="X3501" i="2"/>
  <c r="X3493" i="2"/>
  <c r="X3485" i="2"/>
  <c r="X3477" i="2"/>
  <c r="X3469" i="2"/>
  <c r="X3461" i="2"/>
  <c r="X5148" i="2"/>
  <c r="X5140" i="2"/>
  <c r="X5132" i="2"/>
  <c r="X5124" i="2"/>
  <c r="X5116" i="2"/>
  <c r="X5108" i="2"/>
  <c r="X5100" i="2"/>
  <c r="X5092" i="2"/>
  <c r="X5084" i="2"/>
  <c r="X5076" i="2"/>
  <c r="X5068" i="2"/>
  <c r="X5060" i="2"/>
  <c r="X5052" i="2"/>
  <c r="X5044" i="2"/>
  <c r="X5036" i="2"/>
  <c r="X5028" i="2"/>
  <c r="X5020" i="2"/>
  <c r="X5012" i="2"/>
  <c r="X5004" i="2"/>
  <c r="X4996" i="2"/>
  <c r="X4988" i="2"/>
  <c r="X4980" i="2"/>
  <c r="X4972" i="2"/>
  <c r="X4964" i="2"/>
  <c r="X4956" i="2"/>
  <c r="X4948" i="2"/>
  <c r="X4940" i="2"/>
  <c r="X4932" i="2"/>
  <c r="X4924" i="2"/>
  <c r="X4916" i="2"/>
  <c r="X4908" i="2"/>
  <c r="X4900" i="2"/>
  <c r="X4892" i="2"/>
  <c r="X4884" i="2"/>
  <c r="X4876" i="2"/>
  <c r="X4868" i="2"/>
  <c r="X4860" i="2"/>
  <c r="X4852" i="2"/>
  <c r="X4844" i="2"/>
  <c r="X4836" i="2"/>
  <c r="X4828" i="2"/>
  <c r="X4820" i="2"/>
  <c r="X4812" i="2"/>
  <c r="X4804" i="2"/>
  <c r="X4796" i="2"/>
  <c r="X4788" i="2"/>
  <c r="X4780" i="2"/>
  <c r="X4772" i="2"/>
  <c r="X4764" i="2"/>
  <c r="X4756" i="2"/>
  <c r="X4748" i="2"/>
  <c r="X4740" i="2"/>
  <c r="X4732" i="2"/>
  <c r="X4724" i="2"/>
  <c r="X4716" i="2"/>
  <c r="X4708" i="2"/>
  <c r="X4700" i="2"/>
  <c r="X4692" i="2"/>
  <c r="X4684" i="2"/>
  <c r="X4676" i="2"/>
  <c r="X4668" i="2"/>
  <c r="X4660" i="2"/>
  <c r="X4652" i="2"/>
  <c r="X4644" i="2"/>
  <c r="X4636" i="2"/>
  <c r="X4628" i="2"/>
  <c r="X4620" i="2"/>
  <c r="X4612" i="2"/>
  <c r="X4604" i="2"/>
  <c r="X4596" i="2"/>
  <c r="X4588" i="2"/>
  <c r="X4580" i="2"/>
  <c r="X4572" i="2"/>
  <c r="X4564" i="2"/>
  <c r="X4556" i="2"/>
  <c r="X4548" i="2"/>
  <c r="X4540" i="2"/>
  <c r="X4532" i="2"/>
  <c r="X4524" i="2"/>
  <c r="X4516" i="2"/>
  <c r="X4508" i="2"/>
  <c r="X4500" i="2"/>
  <c r="X4492" i="2"/>
  <c r="X4484" i="2"/>
  <c r="X4476" i="2"/>
  <c r="X4468" i="2"/>
  <c r="X4460" i="2"/>
  <c r="X4452" i="2"/>
  <c r="X4444" i="2"/>
  <c r="X4436" i="2"/>
  <c r="X4428" i="2"/>
  <c r="X4420" i="2"/>
  <c r="X4412" i="2"/>
  <c r="X4404" i="2"/>
  <c r="X4396" i="2"/>
  <c r="X4388" i="2"/>
  <c r="X4380" i="2"/>
  <c r="X4372" i="2"/>
  <c r="X4364" i="2"/>
  <c r="X4356" i="2"/>
  <c r="X4348" i="2"/>
  <c r="X4340" i="2"/>
  <c r="X4332" i="2"/>
  <c r="X4324" i="2"/>
  <c r="X4316" i="2"/>
  <c r="X4308" i="2"/>
  <c r="X4300" i="2"/>
  <c r="X4292" i="2"/>
  <c r="X4284" i="2"/>
  <c r="X4276" i="2"/>
  <c r="X4268" i="2"/>
  <c r="X4260" i="2"/>
  <c r="X4252" i="2"/>
  <c r="X4244" i="2"/>
  <c r="X4236" i="2"/>
  <c r="X4228" i="2"/>
  <c r="X4220" i="2"/>
  <c r="X4212" i="2"/>
  <c r="X4204" i="2"/>
  <c r="X4196" i="2"/>
  <c r="X4188" i="2"/>
  <c r="X4180" i="2"/>
  <c r="X4172" i="2"/>
  <c r="X4164" i="2"/>
  <c r="X4156" i="2"/>
  <c r="X4148" i="2"/>
  <c r="X4140" i="2"/>
  <c r="X4132" i="2"/>
  <c r="X4124" i="2"/>
  <c r="X4116" i="2"/>
  <c r="X4108" i="2"/>
  <c r="X4100" i="2"/>
  <c r="X4092" i="2"/>
  <c r="X4084" i="2"/>
  <c r="X4076" i="2"/>
  <c r="X4068" i="2"/>
  <c r="X4060" i="2"/>
  <c r="X4052" i="2"/>
  <c r="X4044" i="2"/>
  <c r="X4036" i="2"/>
  <c r="X4028" i="2"/>
  <c r="X4020" i="2"/>
  <c r="X4012" i="2"/>
  <c r="X4004" i="2"/>
  <c r="X3996" i="2"/>
  <c r="X3988" i="2"/>
  <c r="X3980" i="2"/>
  <c r="X3972" i="2"/>
  <c r="X3964" i="2"/>
  <c r="X3956" i="2"/>
  <c r="X3948" i="2"/>
  <c r="X3940" i="2"/>
  <c r="X3932" i="2"/>
  <c r="X3924" i="2"/>
  <c r="X3916" i="2"/>
  <c r="X3908" i="2"/>
  <c r="X3900" i="2"/>
  <c r="X3892" i="2"/>
  <c r="X3884" i="2"/>
  <c r="X3876" i="2"/>
  <c r="X3868" i="2"/>
  <c r="X3860" i="2"/>
  <c r="X3852" i="2"/>
  <c r="X3844" i="2"/>
  <c r="X3836" i="2"/>
  <c r="X3828" i="2"/>
  <c r="X3820" i="2"/>
  <c r="X3812" i="2"/>
  <c r="X3804" i="2"/>
  <c r="X3796" i="2"/>
  <c r="X3788" i="2"/>
  <c r="X3780" i="2"/>
  <c r="X3772" i="2"/>
  <c r="X3764" i="2"/>
  <c r="X3756" i="2"/>
  <c r="X3748" i="2"/>
  <c r="X3740" i="2"/>
  <c r="X3732" i="2"/>
  <c r="X3724" i="2"/>
  <c r="X3716" i="2"/>
  <c r="X3708" i="2"/>
  <c r="X3700" i="2"/>
  <c r="X3692" i="2"/>
  <c r="X3684" i="2"/>
  <c r="X3676" i="2"/>
  <c r="X3668" i="2"/>
  <c r="X3660" i="2"/>
  <c r="X3652" i="2"/>
  <c r="X3644" i="2"/>
  <c r="X3636" i="2"/>
  <c r="X3628" i="2"/>
  <c r="X3620" i="2"/>
  <c r="X3612" i="2"/>
  <c r="X3604" i="2"/>
  <c r="X3596" i="2"/>
  <c r="X3588" i="2"/>
  <c r="X3580" i="2"/>
  <c r="X3619" i="2"/>
  <c r="X3611" i="2"/>
  <c r="X3603" i="2"/>
  <c r="X3595" i="2"/>
  <c r="X3587" i="2"/>
  <c r="X3579" i="2"/>
  <c r="X3571" i="2"/>
  <c r="X3563" i="2"/>
  <c r="X3555" i="2"/>
  <c r="X3547" i="2"/>
  <c r="X3539" i="2"/>
  <c r="X3531" i="2"/>
  <c r="X3523" i="2"/>
  <c r="X3515" i="2"/>
  <c r="X3507" i="2"/>
  <c r="X3499" i="2"/>
  <c r="X3491" i="2"/>
  <c r="X3483" i="2"/>
  <c r="X3475" i="2"/>
  <c r="X3467" i="2"/>
  <c r="X3572" i="2"/>
  <c r="X3564" i="2"/>
  <c r="X3556" i="2"/>
  <c r="X3548" i="2"/>
  <c r="X3540" i="2"/>
  <c r="X3532" i="2"/>
  <c r="X3524" i="2"/>
  <c r="X3516" i="2"/>
  <c r="X3508" i="2"/>
  <c r="X3500" i="2"/>
  <c r="X3492" i="2"/>
  <c r="X3484" i="2"/>
  <c r="X3476" i="2"/>
  <c r="X3468" i="2"/>
  <c r="X783" i="2"/>
  <c r="X527" i="2"/>
  <c r="X367" i="2"/>
  <c r="X359" i="2"/>
  <c r="X351" i="2"/>
  <c r="X343" i="2"/>
  <c r="X335" i="2"/>
  <c r="X327" i="2"/>
  <c r="X319" i="2"/>
  <c r="X311" i="2"/>
  <c r="X303" i="2"/>
  <c r="X295" i="2"/>
  <c r="X287" i="2"/>
  <c r="X279" i="2"/>
  <c r="X271" i="2"/>
  <c r="X263" i="2"/>
  <c r="X255" i="2"/>
  <c r="X247" i="2"/>
  <c r="X239" i="2"/>
  <c r="X231" i="2"/>
  <c r="X223" i="2"/>
  <c r="X215" i="2"/>
  <c r="X207" i="2"/>
  <c r="X199" i="2"/>
  <c r="X191" i="2"/>
  <c r="X183" i="2"/>
  <c r="X175" i="2"/>
  <c r="X167" i="2"/>
  <c r="X159" i="2"/>
  <c r="X151" i="2"/>
  <c r="X143" i="2"/>
  <c r="X135" i="2"/>
  <c r="X127" i="2"/>
  <c r="X119" i="2"/>
  <c r="X111" i="2"/>
  <c r="X103" i="2"/>
  <c r="X95" i="2"/>
  <c r="X87" i="2"/>
  <c r="X79" i="2"/>
  <c r="X71" i="2"/>
  <c r="X63" i="2"/>
  <c r="X55" i="2"/>
  <c r="X47" i="2"/>
  <c r="X39" i="2"/>
  <c r="X31" i="2"/>
  <c r="X23" i="2"/>
  <c r="X15" i="2"/>
  <c r="X7" i="2"/>
  <c r="X841" i="2"/>
  <c r="X734" i="2"/>
  <c r="X366" i="2"/>
  <c r="X358" i="2"/>
  <c r="X350" i="2"/>
  <c r="X342" i="2"/>
  <c r="X334" i="2"/>
  <c r="X326" i="2"/>
  <c r="X318" i="2"/>
  <c r="X310" i="2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22" i="2"/>
  <c r="X14" i="2"/>
  <c r="X6" i="2"/>
  <c r="X65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21" i="2"/>
  <c r="X13" i="2"/>
  <c r="X5" i="2"/>
  <c r="X756" i="2"/>
  <c r="X372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36" i="2"/>
  <c r="X228" i="2"/>
  <c r="X220" i="2"/>
  <c r="X212" i="2"/>
  <c r="X204" i="2"/>
  <c r="X196" i="2"/>
  <c r="X188" i="2"/>
  <c r="X180" i="2"/>
  <c r="X172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X20" i="2"/>
  <c r="X12" i="2"/>
  <c r="X667" i="2"/>
  <c r="X539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27" i="2"/>
  <c r="X19" i="2"/>
  <c r="X11" i="2"/>
  <c r="X762" i="2"/>
  <c r="X378" i="2"/>
  <c r="X362" i="2"/>
  <c r="X354" i="2"/>
  <c r="X346" i="2"/>
  <c r="X338" i="2"/>
  <c r="X330" i="2"/>
  <c r="X322" i="2"/>
  <c r="X314" i="2"/>
  <c r="X306" i="2"/>
  <c r="X298" i="2"/>
  <c r="X290" i="2"/>
  <c r="X282" i="2"/>
  <c r="X274" i="2"/>
  <c r="X266" i="2"/>
  <c r="X258" i="2"/>
  <c r="X250" i="2"/>
  <c r="X242" i="2"/>
  <c r="X234" i="2"/>
  <c r="X226" i="2"/>
  <c r="X218" i="2"/>
  <c r="X210" i="2"/>
  <c r="X202" i="2"/>
  <c r="X194" i="2"/>
  <c r="X186" i="2"/>
  <c r="X178" i="2"/>
  <c r="X170" i="2"/>
  <c r="X162" i="2"/>
  <c r="X154" i="2"/>
  <c r="X146" i="2"/>
  <c r="X138" i="2"/>
  <c r="X130" i="2"/>
  <c r="X122" i="2"/>
  <c r="X114" i="2"/>
  <c r="X106" i="2"/>
  <c r="X98" i="2"/>
  <c r="X90" i="2"/>
  <c r="X82" i="2"/>
  <c r="X74" i="2"/>
  <c r="X66" i="2"/>
  <c r="X58" i="2"/>
  <c r="X50" i="2"/>
  <c r="X42" i="2"/>
  <c r="X34" i="2"/>
  <c r="X26" i="2"/>
  <c r="X18" i="2"/>
  <c r="X10" i="2"/>
  <c r="X673" i="2"/>
  <c r="X545" i="2"/>
  <c r="X369" i="2"/>
  <c r="X361" i="2"/>
  <c r="X353" i="2"/>
  <c r="X345" i="2"/>
  <c r="X337" i="2"/>
  <c r="X329" i="2"/>
  <c r="X321" i="2"/>
  <c r="X313" i="2"/>
  <c r="X305" i="2"/>
  <c r="X297" i="2"/>
  <c r="X289" i="2"/>
  <c r="X281" i="2"/>
  <c r="X273" i="2"/>
  <c r="X265" i="2"/>
  <c r="X257" i="2"/>
  <c r="X249" i="2"/>
  <c r="X241" i="2"/>
  <c r="X233" i="2"/>
  <c r="X225" i="2"/>
  <c r="X217" i="2"/>
  <c r="X209" i="2"/>
  <c r="X201" i="2"/>
  <c r="X193" i="2"/>
  <c r="X185" i="2"/>
  <c r="X177" i="2"/>
  <c r="X169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25" i="2"/>
  <c r="X17" i="2"/>
  <c r="X9" i="2"/>
  <c r="X45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24" i="2"/>
  <c r="X16" i="2"/>
  <c r="X8" i="2"/>
  <c r="W2804" i="2"/>
  <c r="X2804" i="2" s="1"/>
  <c r="W2803" i="2"/>
  <c r="X2803" i="2" s="1"/>
  <c r="S2805" i="2"/>
  <c r="W1698" i="2"/>
  <c r="X1698" i="2" s="1"/>
  <c r="S1699" i="2"/>
  <c r="W871" i="2"/>
  <c r="X871" i="2" s="1"/>
  <c r="W872" i="2"/>
  <c r="X872" i="2" s="1"/>
  <c r="W873" i="2"/>
  <c r="X873" i="2" s="1"/>
  <c r="S874" i="2"/>
  <c r="W825" i="2"/>
  <c r="X825" i="2" s="1"/>
  <c r="W852" i="2"/>
  <c r="X852" i="2" s="1"/>
  <c r="W828" i="2"/>
  <c r="X828" i="2" s="1"/>
  <c r="W866" i="2"/>
  <c r="X866" i="2" s="1"/>
  <c r="W861" i="2"/>
  <c r="X861" i="2" s="1"/>
  <c r="W853" i="2"/>
  <c r="X853" i="2" s="1"/>
  <c r="W845" i="2"/>
  <c r="X845" i="2" s="1"/>
  <c r="W821" i="2"/>
  <c r="X821" i="2" s="1"/>
  <c r="W833" i="2"/>
  <c r="X833" i="2" s="1"/>
  <c r="W809" i="2"/>
  <c r="X809" i="2" s="1"/>
  <c r="W836" i="2"/>
  <c r="X836" i="2" s="1"/>
  <c r="W864" i="2"/>
  <c r="X864" i="2" s="1"/>
  <c r="W856" i="2"/>
  <c r="X856" i="2" s="1"/>
  <c r="W848" i="2"/>
  <c r="X848" i="2" s="1"/>
  <c r="W840" i="2"/>
  <c r="X840" i="2" s="1"/>
  <c r="W832" i="2"/>
  <c r="X832" i="2" s="1"/>
  <c r="W824" i="2"/>
  <c r="X824" i="2" s="1"/>
  <c r="W816" i="2"/>
  <c r="X816" i="2" s="1"/>
  <c r="W808" i="2"/>
  <c r="X808" i="2" s="1"/>
  <c r="W803" i="2"/>
  <c r="X803" i="2" s="1"/>
  <c r="W787" i="2"/>
  <c r="X787" i="2" s="1"/>
  <c r="W771" i="2"/>
  <c r="X771" i="2" s="1"/>
  <c r="W755" i="2"/>
  <c r="X755" i="2" s="1"/>
  <c r="W747" i="2"/>
  <c r="X747" i="2" s="1"/>
  <c r="W739" i="2"/>
  <c r="X739" i="2" s="1"/>
  <c r="W723" i="2"/>
  <c r="X723" i="2" s="1"/>
  <c r="W707" i="2"/>
  <c r="X707" i="2" s="1"/>
  <c r="W691" i="2"/>
  <c r="X691" i="2" s="1"/>
  <c r="W841" i="2"/>
  <c r="W860" i="2"/>
  <c r="X860" i="2" s="1"/>
  <c r="W844" i="2"/>
  <c r="X844" i="2" s="1"/>
  <c r="W820" i="2"/>
  <c r="X820" i="2" s="1"/>
  <c r="W858" i="2"/>
  <c r="X858" i="2" s="1"/>
  <c r="W850" i="2"/>
  <c r="X850" i="2" s="1"/>
  <c r="W842" i="2"/>
  <c r="X842" i="2" s="1"/>
  <c r="W869" i="2"/>
  <c r="X869" i="2" s="1"/>
  <c r="W867" i="2"/>
  <c r="X867" i="2" s="1"/>
  <c r="W859" i="2"/>
  <c r="X859" i="2" s="1"/>
  <c r="W851" i="2"/>
  <c r="X851" i="2" s="1"/>
  <c r="W843" i="2"/>
  <c r="X843" i="2" s="1"/>
  <c r="W835" i="2"/>
  <c r="X835" i="2" s="1"/>
  <c r="W827" i="2"/>
  <c r="X827" i="2" s="1"/>
  <c r="W819" i="2"/>
  <c r="X819" i="2" s="1"/>
  <c r="W811" i="2"/>
  <c r="X811" i="2" s="1"/>
  <c r="W806" i="2"/>
  <c r="X806" i="2" s="1"/>
  <c r="W790" i="2"/>
  <c r="X790" i="2" s="1"/>
  <c r="W774" i="2"/>
  <c r="X774" i="2" s="1"/>
  <c r="W758" i="2"/>
  <c r="X758" i="2" s="1"/>
  <c r="W865" i="2"/>
  <c r="X865" i="2" s="1"/>
  <c r="W857" i="2"/>
  <c r="X857" i="2" s="1"/>
  <c r="W849" i="2"/>
  <c r="X849" i="2" s="1"/>
  <c r="W868" i="2"/>
  <c r="X868" i="2" s="1"/>
  <c r="W837" i="2"/>
  <c r="X837" i="2" s="1"/>
  <c r="W829" i="2"/>
  <c r="X829" i="2" s="1"/>
  <c r="W813" i="2"/>
  <c r="X813" i="2" s="1"/>
  <c r="W870" i="2"/>
  <c r="X870" i="2" s="1"/>
  <c r="W862" i="2"/>
  <c r="X862" i="2" s="1"/>
  <c r="W854" i="2"/>
  <c r="X854" i="2" s="1"/>
  <c r="W846" i="2"/>
  <c r="X846" i="2" s="1"/>
  <c r="W838" i="2"/>
  <c r="X838" i="2" s="1"/>
  <c r="W830" i="2"/>
  <c r="X830" i="2" s="1"/>
  <c r="W822" i="2"/>
  <c r="X822" i="2" s="1"/>
  <c r="W814" i="2"/>
  <c r="X814" i="2" s="1"/>
  <c r="W793" i="2"/>
  <c r="X793" i="2" s="1"/>
  <c r="W777" i="2"/>
  <c r="X777" i="2" s="1"/>
  <c r="W761" i="2"/>
  <c r="X761" i="2" s="1"/>
  <c r="W652" i="2"/>
  <c r="X652" i="2" s="1"/>
  <c r="W620" i="2"/>
  <c r="X620" i="2" s="1"/>
  <c r="W436" i="2"/>
  <c r="X436" i="2" s="1"/>
  <c r="W812" i="2"/>
  <c r="X812" i="2" s="1"/>
  <c r="W779" i="2"/>
  <c r="X779" i="2" s="1"/>
  <c r="W763" i="2"/>
  <c r="X763" i="2" s="1"/>
  <c r="W753" i="2"/>
  <c r="X753" i="2" s="1"/>
  <c r="W745" i="2"/>
  <c r="X745" i="2" s="1"/>
  <c r="W731" i="2"/>
  <c r="X731" i="2" s="1"/>
  <c r="W715" i="2"/>
  <c r="X715" i="2" s="1"/>
  <c r="W699" i="2"/>
  <c r="X699" i="2" s="1"/>
  <c r="W372" i="2"/>
  <c r="W863" i="2"/>
  <c r="X863" i="2" s="1"/>
  <c r="W855" i="2"/>
  <c r="X855" i="2" s="1"/>
  <c r="W847" i="2"/>
  <c r="X847" i="2" s="1"/>
  <c r="W839" i="2"/>
  <c r="X839" i="2" s="1"/>
  <c r="W831" i="2"/>
  <c r="X831" i="2" s="1"/>
  <c r="W823" i="2"/>
  <c r="X823" i="2" s="1"/>
  <c r="W815" i="2"/>
  <c r="X815" i="2" s="1"/>
  <c r="W807" i="2"/>
  <c r="X807" i="2" s="1"/>
  <c r="W798" i="2"/>
  <c r="X798" i="2" s="1"/>
  <c r="W782" i="2"/>
  <c r="X782" i="2" s="1"/>
  <c r="W766" i="2"/>
  <c r="X766" i="2" s="1"/>
  <c r="W582" i="2"/>
  <c r="X582" i="2" s="1"/>
  <c r="W817" i="2"/>
  <c r="X817" i="2" s="1"/>
  <c r="W598" i="2"/>
  <c r="X598" i="2" s="1"/>
  <c r="W795" i="2"/>
  <c r="X795" i="2" s="1"/>
  <c r="W834" i="2"/>
  <c r="X834" i="2" s="1"/>
  <c r="W826" i="2"/>
  <c r="X826" i="2" s="1"/>
  <c r="W818" i="2"/>
  <c r="X818" i="2" s="1"/>
  <c r="W810" i="2"/>
  <c r="X810" i="2" s="1"/>
  <c r="W801" i="2"/>
  <c r="X801" i="2" s="1"/>
  <c r="W785" i="2"/>
  <c r="X785" i="2" s="1"/>
  <c r="W769" i="2"/>
  <c r="X769" i="2" s="1"/>
  <c r="W668" i="2"/>
  <c r="X668" i="2" s="1"/>
  <c r="W636" i="2"/>
  <c r="X636" i="2" s="1"/>
  <c r="W804" i="2"/>
  <c r="X804" i="2" s="1"/>
  <c r="W796" i="2"/>
  <c r="X796" i="2" s="1"/>
  <c r="W788" i="2"/>
  <c r="X788" i="2" s="1"/>
  <c r="W780" i="2"/>
  <c r="X780" i="2" s="1"/>
  <c r="W772" i="2"/>
  <c r="X772" i="2" s="1"/>
  <c r="W764" i="2"/>
  <c r="X764" i="2" s="1"/>
  <c r="W756" i="2"/>
  <c r="W748" i="2"/>
  <c r="X748" i="2" s="1"/>
  <c r="W740" i="2"/>
  <c r="X740" i="2" s="1"/>
  <c r="W732" i="2"/>
  <c r="X732" i="2" s="1"/>
  <c r="W724" i="2"/>
  <c r="X724" i="2" s="1"/>
  <c r="W716" i="2"/>
  <c r="X716" i="2" s="1"/>
  <c r="W708" i="2"/>
  <c r="X708" i="2" s="1"/>
  <c r="W700" i="2"/>
  <c r="X700" i="2" s="1"/>
  <c r="W692" i="2"/>
  <c r="X692" i="2" s="1"/>
  <c r="W657" i="2"/>
  <c r="X657" i="2" s="1"/>
  <c r="W641" i="2"/>
  <c r="X641" i="2" s="1"/>
  <c r="W625" i="2"/>
  <c r="X625" i="2" s="1"/>
  <c r="W799" i="2"/>
  <c r="X799" i="2" s="1"/>
  <c r="W791" i="2"/>
  <c r="X791" i="2" s="1"/>
  <c r="W783" i="2"/>
  <c r="W775" i="2"/>
  <c r="X775" i="2" s="1"/>
  <c r="W767" i="2"/>
  <c r="X767" i="2" s="1"/>
  <c r="W759" i="2"/>
  <c r="X759" i="2" s="1"/>
  <c r="W751" i="2"/>
  <c r="X751" i="2" s="1"/>
  <c r="W743" i="2"/>
  <c r="X743" i="2" s="1"/>
  <c r="W735" i="2"/>
  <c r="X735" i="2" s="1"/>
  <c r="W727" i="2"/>
  <c r="X727" i="2" s="1"/>
  <c r="W719" i="2"/>
  <c r="X719" i="2" s="1"/>
  <c r="W711" i="2"/>
  <c r="X711" i="2" s="1"/>
  <c r="W703" i="2"/>
  <c r="X703" i="2" s="1"/>
  <c r="W695" i="2"/>
  <c r="X695" i="2" s="1"/>
  <c r="W687" i="2"/>
  <c r="X687" i="2" s="1"/>
  <c r="W660" i="2"/>
  <c r="X660" i="2" s="1"/>
  <c r="W644" i="2"/>
  <c r="X644" i="2" s="1"/>
  <c r="W628" i="2"/>
  <c r="X628" i="2" s="1"/>
  <c r="W606" i="2"/>
  <c r="X606" i="2" s="1"/>
  <c r="W590" i="2"/>
  <c r="X590" i="2" s="1"/>
  <c r="W574" i="2"/>
  <c r="X574" i="2" s="1"/>
  <c r="W404" i="2"/>
  <c r="X404" i="2" s="1"/>
  <c r="W802" i="2"/>
  <c r="X802" i="2" s="1"/>
  <c r="W794" i="2"/>
  <c r="X794" i="2" s="1"/>
  <c r="W786" i="2"/>
  <c r="X786" i="2" s="1"/>
  <c r="W778" i="2"/>
  <c r="X778" i="2" s="1"/>
  <c r="W770" i="2"/>
  <c r="X770" i="2" s="1"/>
  <c r="W762" i="2"/>
  <c r="W754" i="2"/>
  <c r="X754" i="2" s="1"/>
  <c r="W746" i="2"/>
  <c r="X746" i="2" s="1"/>
  <c r="W738" i="2"/>
  <c r="X738" i="2" s="1"/>
  <c r="W730" i="2"/>
  <c r="X730" i="2" s="1"/>
  <c r="W722" i="2"/>
  <c r="X722" i="2" s="1"/>
  <c r="W714" i="2"/>
  <c r="X714" i="2" s="1"/>
  <c r="W706" i="2"/>
  <c r="X706" i="2" s="1"/>
  <c r="W698" i="2"/>
  <c r="X698" i="2" s="1"/>
  <c r="W690" i="2"/>
  <c r="X690" i="2" s="1"/>
  <c r="W685" i="2"/>
  <c r="X685" i="2" s="1"/>
  <c r="W680" i="2"/>
  <c r="X680" i="2" s="1"/>
  <c r="W672" i="2"/>
  <c r="X672" i="2" s="1"/>
  <c r="W805" i="2"/>
  <c r="X805" i="2" s="1"/>
  <c r="W797" i="2"/>
  <c r="X797" i="2" s="1"/>
  <c r="W789" i="2"/>
  <c r="X789" i="2" s="1"/>
  <c r="W781" i="2"/>
  <c r="X781" i="2" s="1"/>
  <c r="W773" i="2"/>
  <c r="X773" i="2" s="1"/>
  <c r="W765" i="2"/>
  <c r="X765" i="2" s="1"/>
  <c r="W757" i="2"/>
  <c r="X757" i="2" s="1"/>
  <c r="W749" i="2"/>
  <c r="X749" i="2" s="1"/>
  <c r="W741" i="2"/>
  <c r="X741" i="2" s="1"/>
  <c r="W733" i="2"/>
  <c r="X733" i="2" s="1"/>
  <c r="W725" i="2"/>
  <c r="X725" i="2" s="1"/>
  <c r="W717" i="2"/>
  <c r="X717" i="2" s="1"/>
  <c r="W709" i="2"/>
  <c r="X709" i="2" s="1"/>
  <c r="W701" i="2"/>
  <c r="X701" i="2" s="1"/>
  <c r="W693" i="2"/>
  <c r="X693" i="2" s="1"/>
  <c r="W662" i="2"/>
  <c r="X662" i="2" s="1"/>
  <c r="W646" i="2"/>
  <c r="X646" i="2" s="1"/>
  <c r="W630" i="2"/>
  <c r="X630" i="2" s="1"/>
  <c r="W614" i="2"/>
  <c r="X614" i="2" s="1"/>
  <c r="W452" i="2"/>
  <c r="X452" i="2" s="1"/>
  <c r="W388" i="2"/>
  <c r="X388" i="2" s="1"/>
  <c r="W800" i="2"/>
  <c r="X800" i="2" s="1"/>
  <c r="W792" i="2"/>
  <c r="X792" i="2" s="1"/>
  <c r="W784" i="2"/>
  <c r="X784" i="2" s="1"/>
  <c r="W776" i="2"/>
  <c r="X776" i="2" s="1"/>
  <c r="W768" i="2"/>
  <c r="X768" i="2" s="1"/>
  <c r="W760" i="2"/>
  <c r="X760" i="2" s="1"/>
  <c r="W752" i="2"/>
  <c r="X752" i="2" s="1"/>
  <c r="W744" i="2"/>
  <c r="X744" i="2" s="1"/>
  <c r="W736" i="2"/>
  <c r="X736" i="2" s="1"/>
  <c r="W728" i="2"/>
  <c r="X728" i="2" s="1"/>
  <c r="W720" i="2"/>
  <c r="X720" i="2" s="1"/>
  <c r="W712" i="2"/>
  <c r="X712" i="2" s="1"/>
  <c r="W704" i="2"/>
  <c r="X704" i="2" s="1"/>
  <c r="W696" i="2"/>
  <c r="X696" i="2" s="1"/>
  <c r="W688" i="2"/>
  <c r="X688" i="2" s="1"/>
  <c r="W665" i="2"/>
  <c r="X665" i="2" s="1"/>
  <c r="W649" i="2"/>
  <c r="X649" i="2" s="1"/>
  <c r="W633" i="2"/>
  <c r="X633" i="2" s="1"/>
  <c r="W617" i="2"/>
  <c r="X617" i="2" s="1"/>
  <c r="W750" i="2"/>
  <c r="X750" i="2" s="1"/>
  <c r="W742" i="2"/>
  <c r="X742" i="2" s="1"/>
  <c r="W734" i="2"/>
  <c r="W726" i="2"/>
  <c r="X726" i="2" s="1"/>
  <c r="W718" i="2"/>
  <c r="X718" i="2" s="1"/>
  <c r="W710" i="2"/>
  <c r="X710" i="2" s="1"/>
  <c r="W702" i="2"/>
  <c r="X702" i="2" s="1"/>
  <c r="W694" i="2"/>
  <c r="X694" i="2" s="1"/>
  <c r="W686" i="2"/>
  <c r="X686" i="2" s="1"/>
  <c r="W684" i="2"/>
  <c r="X684" i="2" s="1"/>
  <c r="W676" i="2"/>
  <c r="X676" i="2" s="1"/>
  <c r="W737" i="2"/>
  <c r="X737" i="2" s="1"/>
  <c r="W729" i="2"/>
  <c r="X729" i="2" s="1"/>
  <c r="W721" i="2"/>
  <c r="X721" i="2" s="1"/>
  <c r="W713" i="2"/>
  <c r="X713" i="2" s="1"/>
  <c r="W705" i="2"/>
  <c r="X705" i="2" s="1"/>
  <c r="W697" i="2"/>
  <c r="X697" i="2" s="1"/>
  <c r="W689" i="2"/>
  <c r="X689" i="2" s="1"/>
  <c r="W681" i="2"/>
  <c r="X681" i="2" s="1"/>
  <c r="W678" i="2"/>
  <c r="X678" i="2" s="1"/>
  <c r="W673" i="2"/>
  <c r="W670" i="2"/>
  <c r="X670" i="2" s="1"/>
  <c r="W654" i="2"/>
  <c r="X654" i="2" s="1"/>
  <c r="W638" i="2"/>
  <c r="X638" i="2" s="1"/>
  <c r="W622" i="2"/>
  <c r="X622" i="2" s="1"/>
  <c r="W612" i="2"/>
  <c r="X612" i="2" s="1"/>
  <c r="W420" i="2"/>
  <c r="X420" i="2" s="1"/>
  <c r="W679" i="2"/>
  <c r="X679" i="2" s="1"/>
  <c r="W671" i="2"/>
  <c r="X671" i="2" s="1"/>
  <c r="W663" i="2"/>
  <c r="X663" i="2" s="1"/>
  <c r="W655" i="2"/>
  <c r="X655" i="2" s="1"/>
  <c r="W647" i="2"/>
  <c r="X647" i="2" s="1"/>
  <c r="W639" i="2"/>
  <c r="X639" i="2" s="1"/>
  <c r="W631" i="2"/>
  <c r="X631" i="2" s="1"/>
  <c r="W623" i="2"/>
  <c r="X623" i="2" s="1"/>
  <c r="W615" i="2"/>
  <c r="X615" i="2" s="1"/>
  <c r="W607" i="2"/>
  <c r="X607" i="2" s="1"/>
  <c r="W599" i="2"/>
  <c r="X599" i="2" s="1"/>
  <c r="W591" i="2"/>
  <c r="X591" i="2" s="1"/>
  <c r="W583" i="2"/>
  <c r="X583" i="2" s="1"/>
  <c r="W575" i="2"/>
  <c r="X575" i="2" s="1"/>
  <c r="W565" i="2"/>
  <c r="X565" i="2" s="1"/>
  <c r="W557" i="2"/>
  <c r="X557" i="2" s="1"/>
  <c r="W549" i="2"/>
  <c r="X549" i="2" s="1"/>
  <c r="W541" i="2"/>
  <c r="X541" i="2" s="1"/>
  <c r="W533" i="2"/>
  <c r="X533" i="2" s="1"/>
  <c r="W525" i="2"/>
  <c r="X525" i="2" s="1"/>
  <c r="W517" i="2"/>
  <c r="X517" i="2" s="1"/>
  <c r="W509" i="2"/>
  <c r="X509" i="2" s="1"/>
  <c r="W501" i="2"/>
  <c r="X501" i="2" s="1"/>
  <c r="W493" i="2"/>
  <c r="X493" i="2" s="1"/>
  <c r="W485" i="2"/>
  <c r="X485" i="2" s="1"/>
  <c r="W477" i="2"/>
  <c r="X477" i="2" s="1"/>
  <c r="W469" i="2"/>
  <c r="X469" i="2" s="1"/>
  <c r="W682" i="2"/>
  <c r="X682" i="2" s="1"/>
  <c r="W674" i="2"/>
  <c r="X674" i="2" s="1"/>
  <c r="W666" i="2"/>
  <c r="X666" i="2" s="1"/>
  <c r="W658" i="2"/>
  <c r="X658" i="2" s="1"/>
  <c r="W650" i="2"/>
  <c r="X650" i="2" s="1"/>
  <c r="W642" i="2"/>
  <c r="X642" i="2" s="1"/>
  <c r="W634" i="2"/>
  <c r="X634" i="2" s="1"/>
  <c r="W626" i="2"/>
  <c r="X626" i="2" s="1"/>
  <c r="W618" i="2"/>
  <c r="X618" i="2" s="1"/>
  <c r="W610" i="2"/>
  <c r="X610" i="2" s="1"/>
  <c r="W602" i="2"/>
  <c r="X602" i="2" s="1"/>
  <c r="W594" i="2"/>
  <c r="X594" i="2" s="1"/>
  <c r="W586" i="2"/>
  <c r="X586" i="2" s="1"/>
  <c r="W578" i="2"/>
  <c r="X578" i="2" s="1"/>
  <c r="W460" i="2"/>
  <c r="X460" i="2" s="1"/>
  <c r="W444" i="2"/>
  <c r="X444" i="2" s="1"/>
  <c r="W428" i="2"/>
  <c r="X428" i="2" s="1"/>
  <c r="W412" i="2"/>
  <c r="X412" i="2" s="1"/>
  <c r="W396" i="2"/>
  <c r="X396" i="2" s="1"/>
  <c r="W380" i="2"/>
  <c r="X380" i="2" s="1"/>
  <c r="W677" i="2"/>
  <c r="X677" i="2" s="1"/>
  <c r="W669" i="2"/>
  <c r="X669" i="2" s="1"/>
  <c r="W661" i="2"/>
  <c r="X661" i="2" s="1"/>
  <c r="W653" i="2"/>
  <c r="W645" i="2"/>
  <c r="X645" i="2" s="1"/>
  <c r="W637" i="2"/>
  <c r="X637" i="2" s="1"/>
  <c r="W629" i="2"/>
  <c r="X629" i="2" s="1"/>
  <c r="W621" i="2"/>
  <c r="X621" i="2" s="1"/>
  <c r="W613" i="2"/>
  <c r="X613" i="2" s="1"/>
  <c r="W605" i="2"/>
  <c r="X605" i="2" s="1"/>
  <c r="W597" i="2"/>
  <c r="X597" i="2" s="1"/>
  <c r="W589" i="2"/>
  <c r="X589" i="2" s="1"/>
  <c r="W581" i="2"/>
  <c r="X581" i="2" s="1"/>
  <c r="W573" i="2"/>
  <c r="X573" i="2" s="1"/>
  <c r="W564" i="2"/>
  <c r="X564" i="2" s="1"/>
  <c r="W556" i="2"/>
  <c r="X556" i="2" s="1"/>
  <c r="W548" i="2"/>
  <c r="X548" i="2" s="1"/>
  <c r="W540" i="2"/>
  <c r="X540" i="2" s="1"/>
  <c r="W532" i="2"/>
  <c r="X532" i="2" s="1"/>
  <c r="W524" i="2"/>
  <c r="X524" i="2" s="1"/>
  <c r="W516" i="2"/>
  <c r="X516" i="2" s="1"/>
  <c r="W508" i="2"/>
  <c r="X508" i="2" s="1"/>
  <c r="W500" i="2"/>
  <c r="X500" i="2" s="1"/>
  <c r="W492" i="2"/>
  <c r="X492" i="2" s="1"/>
  <c r="W484" i="2"/>
  <c r="X484" i="2" s="1"/>
  <c r="W476" i="2"/>
  <c r="X476" i="2" s="1"/>
  <c r="W468" i="2"/>
  <c r="X468" i="2" s="1"/>
  <c r="W664" i="2"/>
  <c r="X664" i="2" s="1"/>
  <c r="W656" i="2"/>
  <c r="X656" i="2" s="1"/>
  <c r="W648" i="2"/>
  <c r="X648" i="2" s="1"/>
  <c r="W640" i="2"/>
  <c r="X640" i="2" s="1"/>
  <c r="W632" i="2"/>
  <c r="X632" i="2" s="1"/>
  <c r="W624" i="2"/>
  <c r="X624" i="2" s="1"/>
  <c r="W616" i="2"/>
  <c r="X616" i="2" s="1"/>
  <c r="W608" i="2"/>
  <c r="X608" i="2" s="1"/>
  <c r="W600" i="2"/>
  <c r="X600" i="2" s="1"/>
  <c r="W592" i="2"/>
  <c r="X592" i="2" s="1"/>
  <c r="W584" i="2"/>
  <c r="X584" i="2" s="1"/>
  <c r="W576" i="2"/>
  <c r="X576" i="2" s="1"/>
  <c r="W683" i="2"/>
  <c r="X683" i="2" s="1"/>
  <c r="W675" i="2"/>
  <c r="X675" i="2" s="1"/>
  <c r="W667" i="2"/>
  <c r="W659" i="2"/>
  <c r="X659" i="2" s="1"/>
  <c r="W651" i="2"/>
  <c r="X651" i="2" s="1"/>
  <c r="W643" i="2"/>
  <c r="X643" i="2" s="1"/>
  <c r="W635" i="2"/>
  <c r="X635" i="2" s="1"/>
  <c r="W627" i="2"/>
  <c r="X627" i="2" s="1"/>
  <c r="W619" i="2"/>
  <c r="X619" i="2" s="1"/>
  <c r="W611" i="2"/>
  <c r="X611" i="2" s="1"/>
  <c r="W603" i="2"/>
  <c r="X603" i="2" s="1"/>
  <c r="W595" i="2"/>
  <c r="X595" i="2" s="1"/>
  <c r="W587" i="2"/>
  <c r="X587" i="2" s="1"/>
  <c r="W579" i="2"/>
  <c r="X579" i="2" s="1"/>
  <c r="W609" i="2"/>
  <c r="X609" i="2" s="1"/>
  <c r="W601" i="2"/>
  <c r="X601" i="2" s="1"/>
  <c r="W593" i="2"/>
  <c r="X593" i="2" s="1"/>
  <c r="W585" i="2"/>
  <c r="X585" i="2" s="1"/>
  <c r="W577" i="2"/>
  <c r="X577" i="2" s="1"/>
  <c r="W604" i="2"/>
  <c r="X604" i="2" s="1"/>
  <c r="W596" i="2"/>
  <c r="X596" i="2" s="1"/>
  <c r="W588" i="2"/>
  <c r="X588" i="2" s="1"/>
  <c r="W580" i="2"/>
  <c r="X580" i="2" s="1"/>
  <c r="W572" i="2"/>
  <c r="X572" i="2" s="1"/>
  <c r="W461" i="2"/>
  <c r="X461" i="2" s="1"/>
  <c r="W453" i="2"/>
  <c r="X453" i="2" s="1"/>
  <c r="W445" i="2"/>
  <c r="X445" i="2" s="1"/>
  <c r="W437" i="2"/>
  <c r="X437" i="2" s="1"/>
  <c r="W429" i="2"/>
  <c r="X429" i="2" s="1"/>
  <c r="W421" i="2"/>
  <c r="X421" i="2" s="1"/>
  <c r="W413" i="2"/>
  <c r="X413" i="2" s="1"/>
  <c r="W405" i="2"/>
  <c r="X405" i="2" s="1"/>
  <c r="W397" i="2"/>
  <c r="X397" i="2" s="1"/>
  <c r="W389" i="2"/>
  <c r="X389" i="2" s="1"/>
  <c r="W381" i="2"/>
  <c r="X381" i="2" s="1"/>
  <c r="W373" i="2"/>
  <c r="X373" i="2" s="1"/>
  <c r="W568" i="2"/>
  <c r="X568" i="2" s="1"/>
  <c r="W560" i="2"/>
  <c r="X560" i="2" s="1"/>
  <c r="W552" i="2"/>
  <c r="X552" i="2" s="1"/>
  <c r="W544" i="2"/>
  <c r="X544" i="2" s="1"/>
  <c r="W536" i="2"/>
  <c r="X536" i="2" s="1"/>
  <c r="W528" i="2"/>
  <c r="X528" i="2" s="1"/>
  <c r="W520" i="2"/>
  <c r="X520" i="2" s="1"/>
  <c r="W512" i="2"/>
  <c r="X512" i="2" s="1"/>
  <c r="W504" i="2"/>
  <c r="X504" i="2" s="1"/>
  <c r="W496" i="2"/>
  <c r="X496" i="2" s="1"/>
  <c r="W488" i="2"/>
  <c r="X488" i="2" s="1"/>
  <c r="W480" i="2"/>
  <c r="X480" i="2" s="1"/>
  <c r="W472" i="2"/>
  <c r="X472" i="2" s="1"/>
  <c r="W464" i="2"/>
  <c r="X464" i="2" s="1"/>
  <c r="W456" i="2"/>
  <c r="W448" i="2"/>
  <c r="X448" i="2" s="1"/>
  <c r="W440" i="2"/>
  <c r="X440" i="2" s="1"/>
  <c r="W432" i="2"/>
  <c r="X432" i="2" s="1"/>
  <c r="W424" i="2"/>
  <c r="X424" i="2" s="1"/>
  <c r="W416" i="2"/>
  <c r="X416" i="2" s="1"/>
  <c r="W408" i="2"/>
  <c r="X408" i="2" s="1"/>
  <c r="W400" i="2"/>
  <c r="X400" i="2" s="1"/>
  <c r="W392" i="2"/>
  <c r="X392" i="2" s="1"/>
  <c r="W384" i="2"/>
  <c r="X384" i="2" s="1"/>
  <c r="W376" i="2"/>
  <c r="X376" i="2" s="1"/>
  <c r="W571" i="2"/>
  <c r="X571" i="2" s="1"/>
  <c r="W563" i="2"/>
  <c r="X563" i="2" s="1"/>
  <c r="W555" i="2"/>
  <c r="X555" i="2" s="1"/>
  <c r="W547" i="2"/>
  <c r="X547" i="2" s="1"/>
  <c r="W539" i="2"/>
  <c r="W531" i="2"/>
  <c r="X531" i="2" s="1"/>
  <c r="W523" i="2"/>
  <c r="X523" i="2" s="1"/>
  <c r="W515" i="2"/>
  <c r="X515" i="2" s="1"/>
  <c r="W507" i="2"/>
  <c r="X507" i="2" s="1"/>
  <c r="W499" i="2"/>
  <c r="X499" i="2" s="1"/>
  <c r="W491" i="2"/>
  <c r="X491" i="2" s="1"/>
  <c r="W483" i="2"/>
  <c r="X483" i="2" s="1"/>
  <c r="W475" i="2"/>
  <c r="X475" i="2" s="1"/>
  <c r="W467" i="2"/>
  <c r="X467" i="2" s="1"/>
  <c r="W459" i="2"/>
  <c r="X459" i="2" s="1"/>
  <c r="W451" i="2"/>
  <c r="X451" i="2" s="1"/>
  <c r="W443" i="2"/>
  <c r="X443" i="2" s="1"/>
  <c r="W435" i="2"/>
  <c r="X435" i="2" s="1"/>
  <c r="W427" i="2"/>
  <c r="X427" i="2" s="1"/>
  <c r="W419" i="2"/>
  <c r="X419" i="2" s="1"/>
  <c r="W411" i="2"/>
  <c r="X411" i="2" s="1"/>
  <c r="W403" i="2"/>
  <c r="X403" i="2" s="1"/>
  <c r="W395" i="2"/>
  <c r="X395" i="2" s="1"/>
  <c r="W387" i="2"/>
  <c r="X387" i="2" s="1"/>
  <c r="W379" i="2"/>
  <c r="X379" i="2" s="1"/>
  <c r="W371" i="2"/>
  <c r="X371" i="2" s="1"/>
  <c r="W566" i="2"/>
  <c r="X566" i="2" s="1"/>
  <c r="W558" i="2"/>
  <c r="X558" i="2" s="1"/>
  <c r="W550" i="2"/>
  <c r="X550" i="2" s="1"/>
  <c r="W542" i="2"/>
  <c r="X542" i="2" s="1"/>
  <c r="W534" i="2"/>
  <c r="X534" i="2" s="1"/>
  <c r="W526" i="2"/>
  <c r="X526" i="2" s="1"/>
  <c r="W518" i="2"/>
  <c r="X518" i="2" s="1"/>
  <c r="W510" i="2"/>
  <c r="X510" i="2" s="1"/>
  <c r="W502" i="2"/>
  <c r="X502" i="2" s="1"/>
  <c r="W494" i="2"/>
  <c r="X494" i="2" s="1"/>
  <c r="W486" i="2"/>
  <c r="X486" i="2" s="1"/>
  <c r="W478" i="2"/>
  <c r="X478" i="2" s="1"/>
  <c r="W470" i="2"/>
  <c r="X470" i="2" s="1"/>
  <c r="W462" i="2"/>
  <c r="X462" i="2" s="1"/>
  <c r="W454" i="2"/>
  <c r="X454" i="2" s="1"/>
  <c r="W446" i="2"/>
  <c r="X446" i="2" s="1"/>
  <c r="W438" i="2"/>
  <c r="X438" i="2" s="1"/>
  <c r="W430" i="2"/>
  <c r="X430" i="2" s="1"/>
  <c r="W422" i="2"/>
  <c r="X422" i="2" s="1"/>
  <c r="W414" i="2"/>
  <c r="X414" i="2" s="1"/>
  <c r="W406" i="2"/>
  <c r="X406" i="2" s="1"/>
  <c r="W398" i="2"/>
  <c r="X398" i="2" s="1"/>
  <c r="W390" i="2"/>
  <c r="X390" i="2" s="1"/>
  <c r="W382" i="2"/>
  <c r="X382" i="2" s="1"/>
  <c r="W374" i="2"/>
  <c r="X374" i="2" s="1"/>
  <c r="W569" i="2"/>
  <c r="X569" i="2" s="1"/>
  <c r="W561" i="2"/>
  <c r="X561" i="2" s="1"/>
  <c r="W553" i="2"/>
  <c r="X553" i="2" s="1"/>
  <c r="W545" i="2"/>
  <c r="W537" i="2"/>
  <c r="X537" i="2" s="1"/>
  <c r="W529" i="2"/>
  <c r="X529" i="2" s="1"/>
  <c r="W521" i="2"/>
  <c r="X521" i="2" s="1"/>
  <c r="W513" i="2"/>
  <c r="X513" i="2" s="1"/>
  <c r="W505" i="2"/>
  <c r="X505" i="2" s="1"/>
  <c r="W497" i="2"/>
  <c r="X497" i="2" s="1"/>
  <c r="W489" i="2"/>
  <c r="X489" i="2" s="1"/>
  <c r="W481" i="2"/>
  <c r="X481" i="2" s="1"/>
  <c r="W473" i="2"/>
  <c r="X473" i="2" s="1"/>
  <c r="W465" i="2"/>
  <c r="X465" i="2" s="1"/>
  <c r="W457" i="2"/>
  <c r="X457" i="2" s="1"/>
  <c r="W449" i="2"/>
  <c r="X449" i="2" s="1"/>
  <c r="W441" i="2"/>
  <c r="X441" i="2" s="1"/>
  <c r="W433" i="2"/>
  <c r="X433" i="2" s="1"/>
  <c r="W425" i="2"/>
  <c r="X425" i="2" s="1"/>
  <c r="W417" i="2"/>
  <c r="X417" i="2" s="1"/>
  <c r="W409" i="2"/>
  <c r="X409" i="2" s="1"/>
  <c r="W401" i="2"/>
  <c r="X401" i="2" s="1"/>
  <c r="W393" i="2"/>
  <c r="X393" i="2" s="1"/>
  <c r="W385" i="2"/>
  <c r="X385" i="2" s="1"/>
  <c r="W377" i="2"/>
  <c r="X377" i="2" s="1"/>
  <c r="W567" i="2"/>
  <c r="X567" i="2" s="1"/>
  <c r="W559" i="2"/>
  <c r="X559" i="2" s="1"/>
  <c r="W551" i="2"/>
  <c r="X551" i="2" s="1"/>
  <c r="W543" i="2"/>
  <c r="X543" i="2" s="1"/>
  <c r="W535" i="2"/>
  <c r="X535" i="2" s="1"/>
  <c r="W527" i="2"/>
  <c r="W519" i="2"/>
  <c r="X519" i="2" s="1"/>
  <c r="W511" i="2"/>
  <c r="X511" i="2" s="1"/>
  <c r="W503" i="2"/>
  <c r="X503" i="2" s="1"/>
  <c r="W495" i="2"/>
  <c r="X495" i="2" s="1"/>
  <c r="W487" i="2"/>
  <c r="X487" i="2" s="1"/>
  <c r="W479" i="2"/>
  <c r="X479" i="2" s="1"/>
  <c r="W471" i="2"/>
  <c r="X471" i="2" s="1"/>
  <c r="W463" i="2"/>
  <c r="X463" i="2" s="1"/>
  <c r="W455" i="2"/>
  <c r="X455" i="2" s="1"/>
  <c r="W447" i="2"/>
  <c r="X447" i="2" s="1"/>
  <c r="W439" i="2"/>
  <c r="X439" i="2" s="1"/>
  <c r="W431" i="2"/>
  <c r="X431" i="2" s="1"/>
  <c r="W423" i="2"/>
  <c r="X423" i="2" s="1"/>
  <c r="W415" i="2"/>
  <c r="X415" i="2" s="1"/>
  <c r="W407" i="2"/>
  <c r="X407" i="2" s="1"/>
  <c r="W399" i="2"/>
  <c r="X399" i="2" s="1"/>
  <c r="W391" i="2"/>
  <c r="X391" i="2" s="1"/>
  <c r="W383" i="2"/>
  <c r="X383" i="2" s="1"/>
  <c r="W375" i="2"/>
  <c r="X375" i="2" s="1"/>
  <c r="W570" i="2"/>
  <c r="X570" i="2" s="1"/>
  <c r="W562" i="2"/>
  <c r="X562" i="2" s="1"/>
  <c r="W554" i="2"/>
  <c r="X554" i="2" s="1"/>
  <c r="W546" i="2"/>
  <c r="X546" i="2" s="1"/>
  <c r="W538" i="2"/>
  <c r="X538" i="2" s="1"/>
  <c r="W530" i="2"/>
  <c r="X530" i="2" s="1"/>
  <c r="W522" i="2"/>
  <c r="X522" i="2" s="1"/>
  <c r="W514" i="2"/>
  <c r="X514" i="2" s="1"/>
  <c r="W506" i="2"/>
  <c r="X506" i="2" s="1"/>
  <c r="W498" i="2"/>
  <c r="X498" i="2" s="1"/>
  <c r="W490" i="2"/>
  <c r="X490" i="2" s="1"/>
  <c r="W482" i="2"/>
  <c r="X482" i="2" s="1"/>
  <c r="W474" i="2"/>
  <c r="X474" i="2" s="1"/>
  <c r="W466" i="2"/>
  <c r="X466" i="2" s="1"/>
  <c r="W458" i="2"/>
  <c r="X458" i="2" s="1"/>
  <c r="W450" i="2"/>
  <c r="X450" i="2" s="1"/>
  <c r="W442" i="2"/>
  <c r="X442" i="2" s="1"/>
  <c r="W434" i="2"/>
  <c r="X434" i="2" s="1"/>
  <c r="W426" i="2"/>
  <c r="X426" i="2" s="1"/>
  <c r="W418" i="2"/>
  <c r="X418" i="2" s="1"/>
  <c r="W410" i="2"/>
  <c r="X410" i="2" s="1"/>
  <c r="W402" i="2"/>
  <c r="X402" i="2" s="1"/>
  <c r="W394" i="2"/>
  <c r="X394" i="2" s="1"/>
  <c r="W386" i="2"/>
  <c r="X386" i="2" s="1"/>
  <c r="W378" i="2"/>
  <c r="W370" i="2"/>
  <c r="X370" i="2" s="1"/>
  <c r="S4" i="2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7" i="2"/>
  <c r="P15" i="2"/>
  <c r="P16" i="2"/>
  <c r="P17" i="2"/>
  <c r="L12" i="3"/>
  <c r="L13" i="3"/>
  <c r="U2805" i="2"/>
  <c r="T2805" i="2"/>
  <c r="T1699" i="2"/>
  <c r="U1699" i="2"/>
  <c r="U874" i="2"/>
  <c r="T874" i="2"/>
  <c r="T4" i="2"/>
  <c r="T29" i="2"/>
  <c r="T93" i="2"/>
  <c r="T157" i="2"/>
  <c r="T221" i="2"/>
  <c r="T285" i="2"/>
  <c r="T349" i="2"/>
  <c r="T54" i="2"/>
  <c r="T118" i="2"/>
  <c r="T182" i="2"/>
  <c r="T246" i="2"/>
  <c r="T310" i="2"/>
  <c r="T55" i="2"/>
  <c r="T119" i="2"/>
  <c r="T183" i="2"/>
  <c r="T247" i="2"/>
  <c r="T311" i="2"/>
  <c r="T64" i="2"/>
  <c r="T128" i="2"/>
  <c r="T192" i="2"/>
  <c r="T256" i="2"/>
  <c r="T320" i="2"/>
  <c r="T49" i="2"/>
  <c r="T113" i="2"/>
  <c r="T177" i="2"/>
  <c r="T241" i="2"/>
  <c r="T305" i="2"/>
  <c r="T369" i="2"/>
  <c r="T37" i="2"/>
  <c r="T101" i="2"/>
  <c r="T165" i="2"/>
  <c r="T229" i="2"/>
  <c r="T293" i="2"/>
  <c r="T357" i="2"/>
  <c r="T62" i="2"/>
  <c r="T126" i="2"/>
  <c r="T190" i="2"/>
  <c r="T254" i="2"/>
  <c r="T318" i="2"/>
  <c r="T63" i="2"/>
  <c r="T127" i="2"/>
  <c r="T191" i="2"/>
  <c r="T255" i="2"/>
  <c r="T319" i="2"/>
  <c r="T8" i="2"/>
  <c r="T72" i="2"/>
  <c r="T136" i="2"/>
  <c r="T200" i="2"/>
  <c r="T264" i="2"/>
  <c r="T328" i="2"/>
  <c r="T57" i="2"/>
  <c r="T121" i="2"/>
  <c r="T185" i="2"/>
  <c r="T249" i="2"/>
  <c r="T313" i="2"/>
  <c r="T66" i="2"/>
  <c r="T130" i="2"/>
  <c r="T194" i="2"/>
  <c r="T258" i="2"/>
  <c r="T322" i="2"/>
  <c r="T107" i="2"/>
  <c r="T363" i="2"/>
  <c r="T140" i="2"/>
  <c r="T211" i="2"/>
  <c r="T45" i="2"/>
  <c r="T109" i="2"/>
  <c r="T173" i="2"/>
  <c r="T237" i="2"/>
  <c r="T301" i="2"/>
  <c r="T365" i="2"/>
  <c r="T6" i="2"/>
  <c r="T70" i="2"/>
  <c r="T134" i="2"/>
  <c r="T198" i="2"/>
  <c r="T262" i="2"/>
  <c r="T326" i="2"/>
  <c r="T7" i="2"/>
  <c r="T71" i="2"/>
  <c r="T135" i="2"/>
  <c r="T199" i="2"/>
  <c r="T263" i="2"/>
  <c r="T327" i="2"/>
  <c r="T16" i="2"/>
  <c r="T80" i="2"/>
  <c r="T144" i="2"/>
  <c r="T208" i="2"/>
  <c r="T272" i="2"/>
  <c r="T336" i="2"/>
  <c r="T65" i="2"/>
  <c r="T129" i="2"/>
  <c r="T193" i="2"/>
  <c r="T257" i="2"/>
  <c r="T321" i="2"/>
  <c r="T10" i="2"/>
  <c r="T74" i="2"/>
  <c r="T138" i="2"/>
  <c r="T202" i="2"/>
  <c r="T266" i="2"/>
  <c r="T330" i="2"/>
  <c r="T139" i="2"/>
  <c r="T172" i="2"/>
  <c r="T243" i="2"/>
  <c r="T244" i="2"/>
  <c r="T53" i="2"/>
  <c r="T117" i="2"/>
  <c r="T181" i="2"/>
  <c r="T245" i="2"/>
  <c r="T309" i="2"/>
  <c r="T14" i="2"/>
  <c r="T78" i="2"/>
  <c r="T142" i="2"/>
  <c r="T206" i="2"/>
  <c r="T270" i="2"/>
  <c r="T334" i="2"/>
  <c r="T15" i="2"/>
  <c r="T79" i="2"/>
  <c r="T143" i="2"/>
  <c r="T207" i="2"/>
  <c r="T271" i="2"/>
  <c r="T335" i="2"/>
  <c r="T24" i="2"/>
  <c r="T88" i="2"/>
  <c r="T152" i="2"/>
  <c r="T216" i="2"/>
  <c r="T280" i="2"/>
  <c r="T344" i="2"/>
  <c r="T9" i="2"/>
  <c r="T73" i="2"/>
  <c r="T137" i="2"/>
  <c r="T201" i="2"/>
  <c r="T265" i="2"/>
  <c r="T329" i="2"/>
  <c r="T18" i="2"/>
  <c r="T82" i="2"/>
  <c r="T146" i="2"/>
  <c r="T210" i="2"/>
  <c r="T274" i="2"/>
  <c r="T338" i="2"/>
  <c r="T171" i="2"/>
  <c r="T204" i="2"/>
  <c r="T19" i="2"/>
  <c r="T275" i="2"/>
  <c r="T20" i="2"/>
  <c r="T276" i="2"/>
  <c r="T61" i="2"/>
  <c r="T125" i="2"/>
  <c r="T189" i="2"/>
  <c r="T253" i="2"/>
  <c r="T317" i="2"/>
  <c r="T22" i="2"/>
  <c r="T86" i="2"/>
  <c r="T150" i="2"/>
  <c r="T214" i="2"/>
  <c r="T278" i="2"/>
  <c r="T342" i="2"/>
  <c r="T23" i="2"/>
  <c r="T87" i="2"/>
  <c r="T151" i="2"/>
  <c r="T215" i="2"/>
  <c r="T279" i="2"/>
  <c r="T343" i="2"/>
  <c r="T32" i="2"/>
  <c r="T96" i="2"/>
  <c r="T160" i="2"/>
  <c r="T224" i="2"/>
  <c r="T288" i="2"/>
  <c r="T352" i="2"/>
  <c r="T17" i="2"/>
  <c r="T81" i="2"/>
  <c r="T145" i="2"/>
  <c r="T209" i="2"/>
  <c r="T273" i="2"/>
  <c r="T337" i="2"/>
  <c r="T26" i="2"/>
  <c r="T90" i="2"/>
  <c r="T154" i="2"/>
  <c r="T218" i="2"/>
  <c r="T282" i="2"/>
  <c r="T346" i="2"/>
  <c r="T203" i="2"/>
  <c r="T236" i="2"/>
  <c r="T51" i="2"/>
  <c r="T307" i="2"/>
  <c r="T52" i="2"/>
  <c r="T308" i="2"/>
  <c r="T5" i="2"/>
  <c r="T69" i="2"/>
  <c r="T133" i="2"/>
  <c r="T197" i="2"/>
  <c r="T261" i="2"/>
  <c r="T325" i="2"/>
  <c r="T30" i="2"/>
  <c r="T94" i="2"/>
  <c r="T158" i="2"/>
  <c r="T222" i="2"/>
  <c r="T286" i="2"/>
  <c r="T350" i="2"/>
  <c r="T31" i="2"/>
  <c r="T95" i="2"/>
  <c r="T159" i="2"/>
  <c r="T223" i="2"/>
  <c r="T287" i="2"/>
  <c r="T351" i="2"/>
  <c r="T40" i="2"/>
  <c r="T104" i="2"/>
  <c r="T168" i="2"/>
  <c r="T232" i="2"/>
  <c r="T296" i="2"/>
  <c r="T360" i="2"/>
  <c r="T25" i="2"/>
  <c r="T89" i="2"/>
  <c r="T153" i="2"/>
  <c r="T217" i="2"/>
  <c r="T281" i="2"/>
  <c r="T345" i="2"/>
  <c r="T34" i="2"/>
  <c r="T98" i="2"/>
  <c r="T162" i="2"/>
  <c r="T226" i="2"/>
  <c r="T290" i="2"/>
  <c r="T354" i="2"/>
  <c r="T235" i="2"/>
  <c r="T12" i="2"/>
  <c r="T268" i="2"/>
  <c r="T83" i="2"/>
  <c r="T339" i="2"/>
  <c r="T13" i="2"/>
  <c r="T77" i="2"/>
  <c r="T141" i="2"/>
  <c r="T205" i="2"/>
  <c r="T269" i="2"/>
  <c r="T333" i="2"/>
  <c r="T38" i="2"/>
  <c r="T102" i="2"/>
  <c r="T166" i="2"/>
  <c r="T230" i="2"/>
  <c r="T294" i="2"/>
  <c r="T358" i="2"/>
  <c r="T39" i="2"/>
  <c r="T103" i="2"/>
  <c r="T167" i="2"/>
  <c r="T231" i="2"/>
  <c r="T295" i="2"/>
  <c r="T359" i="2"/>
  <c r="T48" i="2"/>
  <c r="T112" i="2"/>
  <c r="T176" i="2"/>
  <c r="T240" i="2"/>
  <c r="T304" i="2"/>
  <c r="T368" i="2"/>
  <c r="T33" i="2"/>
  <c r="T97" i="2"/>
  <c r="T161" i="2"/>
  <c r="T225" i="2"/>
  <c r="T289" i="2"/>
  <c r="T353" i="2"/>
  <c r="T42" i="2"/>
  <c r="T106" i="2"/>
  <c r="T170" i="2"/>
  <c r="T234" i="2"/>
  <c r="T298" i="2"/>
  <c r="T362" i="2"/>
  <c r="T11" i="2"/>
  <c r="T267" i="2"/>
  <c r="T44" i="2"/>
  <c r="T300" i="2"/>
  <c r="T115" i="2"/>
  <c r="T116" i="2"/>
  <c r="T149" i="2"/>
  <c r="T366" i="2"/>
  <c r="T47" i="2"/>
  <c r="T120" i="2"/>
  <c r="T361" i="2"/>
  <c r="T250" i="2"/>
  <c r="T340" i="2"/>
  <c r="T187" i="2"/>
  <c r="T35" i="2"/>
  <c r="T291" i="2"/>
  <c r="T60" i="2"/>
  <c r="T252" i="2"/>
  <c r="T100" i="2"/>
  <c r="T195" i="2"/>
  <c r="T213" i="2"/>
  <c r="T111" i="2"/>
  <c r="T184" i="2"/>
  <c r="T50" i="2"/>
  <c r="T306" i="2"/>
  <c r="T219" i="2"/>
  <c r="T67" i="2"/>
  <c r="T323" i="2"/>
  <c r="T188" i="2"/>
  <c r="T260" i="2"/>
  <c r="T228" i="2"/>
  <c r="T174" i="2"/>
  <c r="T169" i="2"/>
  <c r="T347" i="2"/>
  <c r="T156" i="2"/>
  <c r="T36" i="2"/>
  <c r="T277" i="2"/>
  <c r="T175" i="2"/>
  <c r="T248" i="2"/>
  <c r="T58" i="2"/>
  <c r="T314" i="2"/>
  <c r="T251" i="2"/>
  <c r="T99" i="2"/>
  <c r="T355" i="2"/>
  <c r="T316" i="2"/>
  <c r="T68" i="2"/>
  <c r="T356" i="2"/>
  <c r="T367" i="2"/>
  <c r="T299" i="2"/>
  <c r="T332" i="2"/>
  <c r="T91" i="2"/>
  <c r="T341" i="2"/>
  <c r="T46" i="2"/>
  <c r="T239" i="2"/>
  <c r="T312" i="2"/>
  <c r="T41" i="2"/>
  <c r="T114" i="2"/>
  <c r="T43" i="2"/>
  <c r="T76" i="2"/>
  <c r="T147" i="2"/>
  <c r="T27" i="2"/>
  <c r="T283" i="2"/>
  <c r="T131" i="2"/>
  <c r="T196" i="2"/>
  <c r="T132" i="2"/>
  <c r="T92" i="2"/>
  <c r="T110" i="2"/>
  <c r="T303" i="2"/>
  <c r="T105" i="2"/>
  <c r="T122" i="2"/>
  <c r="T75" i="2"/>
  <c r="T108" i="2"/>
  <c r="T179" i="2"/>
  <c r="T84" i="2"/>
  <c r="T59" i="2"/>
  <c r="T315" i="2"/>
  <c r="T163" i="2"/>
  <c r="T28" i="2"/>
  <c r="T124" i="2"/>
  <c r="T324" i="2"/>
  <c r="T220" i="2"/>
  <c r="T178" i="2"/>
  <c r="T148" i="2"/>
  <c r="T21" i="2"/>
  <c r="T238" i="2"/>
  <c r="T233" i="2"/>
  <c r="T186" i="2"/>
  <c r="T331" i="2"/>
  <c r="T364" i="2"/>
  <c r="T180" i="2"/>
  <c r="T123" i="2"/>
  <c r="T227" i="2"/>
  <c r="T284" i="2"/>
  <c r="T164" i="2"/>
  <c r="T85" i="2"/>
  <c r="T302" i="2"/>
  <c r="T56" i="2"/>
  <c r="T297" i="2"/>
  <c r="T242" i="2"/>
  <c r="T155" i="2"/>
  <c r="T212" i="2"/>
  <c r="T348" i="2"/>
  <c r="T292" i="2"/>
  <c r="T259" i="2"/>
  <c r="D3" i="3"/>
  <c r="L21" i="2"/>
  <c r="B28" i="5" a="1"/>
  <c r="B5" i="4"/>
  <c r="C7" i="1"/>
  <c r="W2805" i="2" l="1"/>
  <c r="X2805" i="2" s="1"/>
  <c r="S2806" i="2"/>
  <c r="W1699" i="2"/>
  <c r="X1699" i="2" s="1"/>
  <c r="S1700" i="2"/>
  <c r="W874" i="2"/>
  <c r="X874" i="2" s="1"/>
  <c r="S875" i="2"/>
  <c r="D28" i="5"/>
  <c r="B29" i="5"/>
  <c r="F29" i="5"/>
  <c r="D30" i="5"/>
  <c r="B31" i="5"/>
  <c r="F31" i="5"/>
  <c r="D32" i="5"/>
  <c r="B33" i="5"/>
  <c r="F33" i="5"/>
  <c r="D34" i="5"/>
  <c r="B35" i="5"/>
  <c r="F35" i="5"/>
  <c r="D36" i="5"/>
  <c r="B37" i="5"/>
  <c r="F37" i="5"/>
  <c r="D38" i="5"/>
  <c r="B39" i="5"/>
  <c r="F39" i="5"/>
  <c r="D40" i="5"/>
  <c r="B41" i="5"/>
  <c r="F41" i="5"/>
  <c r="D42" i="5"/>
  <c r="B43" i="5"/>
  <c r="F43" i="5"/>
  <c r="D44" i="5"/>
  <c r="B45" i="5"/>
  <c r="F45" i="5"/>
  <c r="D46" i="5"/>
  <c r="B47" i="5"/>
  <c r="F47" i="5"/>
  <c r="D48" i="5"/>
  <c r="B49" i="5"/>
  <c r="F49" i="5"/>
  <c r="D50" i="5"/>
  <c r="B51" i="5"/>
  <c r="F51" i="5"/>
  <c r="D52" i="5"/>
  <c r="B53" i="5"/>
  <c r="F53" i="5"/>
  <c r="D54" i="5"/>
  <c r="B55" i="5"/>
  <c r="F55" i="5"/>
  <c r="D56" i="5"/>
  <c r="B57" i="5"/>
  <c r="F57" i="5"/>
  <c r="C28" i="5"/>
  <c r="G28" i="5"/>
  <c r="E29" i="5"/>
  <c r="C30" i="5"/>
  <c r="G30" i="5"/>
  <c r="E31" i="5"/>
  <c r="C32" i="5"/>
  <c r="G32" i="5"/>
  <c r="E33" i="5"/>
  <c r="C34" i="5"/>
  <c r="G34" i="5"/>
  <c r="E35" i="5"/>
  <c r="C36" i="5"/>
  <c r="G36" i="5"/>
  <c r="E37" i="5"/>
  <c r="C38" i="5"/>
  <c r="G38" i="5"/>
  <c r="E39" i="5"/>
  <c r="C40" i="5"/>
  <c r="G40" i="5"/>
  <c r="E41" i="5"/>
  <c r="C42" i="5"/>
  <c r="G42" i="5"/>
  <c r="E43" i="5"/>
  <c r="C44" i="5"/>
  <c r="G44" i="5"/>
  <c r="E45" i="5"/>
  <c r="C46" i="5"/>
  <c r="G46" i="5"/>
  <c r="E47" i="5"/>
  <c r="C48" i="5"/>
  <c r="G48" i="5"/>
  <c r="E49" i="5"/>
  <c r="C50" i="5"/>
  <c r="G50" i="5"/>
  <c r="E51" i="5"/>
  <c r="C52" i="5"/>
  <c r="G52" i="5"/>
  <c r="E53" i="5"/>
  <c r="C54" i="5"/>
  <c r="G54" i="5"/>
  <c r="E55" i="5"/>
  <c r="C56" i="5"/>
  <c r="G56" i="5"/>
  <c r="E57" i="5"/>
  <c r="B28" i="5"/>
  <c r="F28" i="5"/>
  <c r="D29" i="5"/>
  <c r="B30" i="5"/>
  <c r="F30" i="5"/>
  <c r="D31" i="5"/>
  <c r="B32" i="5"/>
  <c r="F32" i="5"/>
  <c r="D33" i="5"/>
  <c r="B34" i="5"/>
  <c r="F34" i="5"/>
  <c r="D35" i="5"/>
  <c r="B36" i="5"/>
  <c r="F36" i="5"/>
  <c r="D37" i="5"/>
  <c r="B38" i="5"/>
  <c r="F38" i="5"/>
  <c r="D39" i="5"/>
  <c r="B40" i="5"/>
  <c r="F40" i="5"/>
  <c r="D41" i="5"/>
  <c r="B42" i="5"/>
  <c r="F42" i="5"/>
  <c r="D43" i="5"/>
  <c r="B44" i="5"/>
  <c r="F44" i="5"/>
  <c r="D45" i="5"/>
  <c r="B46" i="5"/>
  <c r="F46" i="5"/>
  <c r="D47" i="5"/>
  <c r="B48" i="5"/>
  <c r="F48" i="5"/>
  <c r="D49" i="5"/>
  <c r="B50" i="5"/>
  <c r="F50" i="5"/>
  <c r="D51" i="5"/>
  <c r="B52" i="5"/>
  <c r="F52" i="5"/>
  <c r="D53" i="5"/>
  <c r="B54" i="5"/>
  <c r="F54" i="5"/>
  <c r="D55" i="5"/>
  <c r="B56" i="5"/>
  <c r="F56" i="5"/>
  <c r="D57" i="5"/>
  <c r="G39" i="5"/>
  <c r="E40" i="5"/>
  <c r="C41" i="5"/>
  <c r="G41" i="5"/>
  <c r="E42" i="5"/>
  <c r="C43" i="5"/>
  <c r="G43" i="5"/>
  <c r="E44" i="5"/>
  <c r="C45" i="5"/>
  <c r="G45" i="5"/>
  <c r="C47" i="5"/>
  <c r="G47" i="5"/>
  <c r="E48" i="5"/>
  <c r="G49" i="5"/>
  <c r="E50" i="5"/>
  <c r="G51" i="5"/>
  <c r="E52" i="5"/>
  <c r="G53" i="5"/>
  <c r="E54" i="5"/>
  <c r="G55" i="5"/>
  <c r="E56" i="5"/>
  <c r="C57" i="5"/>
  <c r="E28" i="5"/>
  <c r="C29" i="5"/>
  <c r="G29" i="5"/>
  <c r="E30" i="5"/>
  <c r="C31" i="5"/>
  <c r="G31" i="5"/>
  <c r="E32" i="5"/>
  <c r="C33" i="5"/>
  <c r="G33" i="5"/>
  <c r="E34" i="5"/>
  <c r="C35" i="5"/>
  <c r="G35" i="5"/>
  <c r="E36" i="5"/>
  <c r="C37" i="5"/>
  <c r="G37" i="5"/>
  <c r="E38" i="5"/>
  <c r="C39" i="5"/>
  <c r="E46" i="5"/>
  <c r="C49" i="5"/>
  <c r="C51" i="5"/>
  <c r="C53" i="5"/>
  <c r="C55" i="5"/>
  <c r="G57" i="5"/>
  <c r="U2806" i="2"/>
  <c r="T2806" i="2"/>
  <c r="T1700" i="2"/>
  <c r="U1700" i="2"/>
  <c r="T875" i="2"/>
  <c r="U875" i="2"/>
  <c r="B6" i="4"/>
  <c r="W2806" i="2" l="1"/>
  <c r="X2806" i="2" s="1"/>
  <c r="S2807" i="2"/>
  <c r="W1700" i="2"/>
  <c r="X1700" i="2" s="1"/>
  <c r="S1701" i="2"/>
  <c r="W875" i="2"/>
  <c r="X875" i="2" s="1"/>
  <c r="S876" i="2"/>
  <c r="U2807" i="2"/>
  <c r="T2807" i="2"/>
  <c r="U1701" i="2"/>
  <c r="T1701" i="2"/>
  <c r="T876" i="2"/>
  <c r="U876" i="2"/>
  <c r="W2807" i="2" l="1"/>
  <c r="X2807" i="2" s="1"/>
  <c r="S2808" i="2"/>
  <c r="W1701" i="2"/>
  <c r="X1701" i="2" s="1"/>
  <c r="S1702" i="2"/>
  <c r="W876" i="2"/>
  <c r="X876" i="2" s="1"/>
  <c r="S877" i="2"/>
  <c r="T2808" i="2"/>
  <c r="U2808" i="2"/>
  <c r="U1702" i="2"/>
  <c r="T1702" i="2"/>
  <c r="U877" i="2"/>
  <c r="T877" i="2"/>
  <c r="W2808" i="2" l="1"/>
  <c r="X2808" i="2" s="1"/>
  <c r="S2809" i="2"/>
  <c r="W1702" i="2"/>
  <c r="X1702" i="2" s="1"/>
  <c r="S1703" i="2"/>
  <c r="W877" i="2"/>
  <c r="X877" i="2" s="1"/>
  <c r="S878" i="2"/>
  <c r="U2809" i="2"/>
  <c r="T2809" i="2"/>
  <c r="T1703" i="2"/>
  <c r="U1703" i="2"/>
  <c r="U878" i="2"/>
  <c r="T878" i="2"/>
  <c r="W2809" i="2" l="1"/>
  <c r="X2809" i="2" s="1"/>
  <c r="S2810" i="2"/>
  <c r="W1703" i="2"/>
  <c r="X1703" i="2" s="1"/>
  <c r="S1704" i="2"/>
  <c r="W878" i="2"/>
  <c r="X878" i="2" s="1"/>
  <c r="S879" i="2"/>
  <c r="U2810" i="2"/>
  <c r="T2810" i="2"/>
  <c r="T1704" i="2"/>
  <c r="U1704" i="2"/>
  <c r="T879" i="2"/>
  <c r="U879" i="2"/>
  <c r="W2810" i="2" l="1"/>
  <c r="X2810" i="2" s="1"/>
  <c r="S2811" i="2"/>
  <c r="W1704" i="2"/>
  <c r="X1704" i="2" s="1"/>
  <c r="S1705" i="2"/>
  <c r="W879" i="2"/>
  <c r="X879" i="2" s="1"/>
  <c r="S880" i="2"/>
  <c r="U2811" i="2"/>
  <c r="T2811" i="2"/>
  <c r="U1705" i="2"/>
  <c r="T1705" i="2"/>
  <c r="T880" i="2"/>
  <c r="U880" i="2"/>
  <c r="W2811" i="2" l="1"/>
  <c r="X2811" i="2" s="1"/>
  <c r="S2812" i="2"/>
  <c r="W1705" i="2"/>
  <c r="X1705" i="2" s="1"/>
  <c r="S1706" i="2"/>
  <c r="W880" i="2"/>
  <c r="X880" i="2" s="1"/>
  <c r="S881" i="2"/>
  <c r="T2812" i="2"/>
  <c r="U2812" i="2"/>
  <c r="U1706" i="2"/>
  <c r="T1706" i="2"/>
  <c r="U881" i="2"/>
  <c r="T881" i="2"/>
  <c r="W2812" i="2" l="1"/>
  <c r="X2812" i="2" s="1"/>
  <c r="S2813" i="2"/>
  <c r="W1706" i="2"/>
  <c r="X1706" i="2" s="1"/>
  <c r="S1707" i="2"/>
  <c r="W881" i="2"/>
  <c r="X881" i="2" s="1"/>
  <c r="S882" i="2"/>
  <c r="U2813" i="2"/>
  <c r="T2813" i="2"/>
  <c r="T1707" i="2"/>
  <c r="U1707" i="2"/>
  <c r="U882" i="2"/>
  <c r="T882" i="2"/>
  <c r="W2813" i="2" l="1"/>
  <c r="X2813" i="2" s="1"/>
  <c r="S2814" i="2"/>
  <c r="W1707" i="2"/>
  <c r="X1707" i="2" s="1"/>
  <c r="S1708" i="2"/>
  <c r="W882" i="2"/>
  <c r="X882" i="2" s="1"/>
  <c r="S883" i="2"/>
  <c r="U2814" i="2"/>
  <c r="T2814" i="2"/>
  <c r="T1708" i="2"/>
  <c r="U1708" i="2"/>
  <c r="T883" i="2"/>
  <c r="U883" i="2"/>
  <c r="W2814" i="2" l="1"/>
  <c r="X2814" i="2" s="1"/>
  <c r="S2815" i="2"/>
  <c r="W1708" i="2"/>
  <c r="X1708" i="2" s="1"/>
  <c r="S1709" i="2"/>
  <c r="W883" i="2"/>
  <c r="X883" i="2" s="1"/>
  <c r="S884" i="2"/>
  <c r="U2815" i="2"/>
  <c r="T2815" i="2"/>
  <c r="U1709" i="2"/>
  <c r="T1709" i="2"/>
  <c r="T884" i="2"/>
  <c r="U884" i="2"/>
  <c r="W2815" i="2" l="1"/>
  <c r="X2815" i="2" s="1"/>
  <c r="S2816" i="2"/>
  <c r="W1709" i="2"/>
  <c r="X1709" i="2" s="1"/>
  <c r="S1710" i="2"/>
  <c r="W884" i="2"/>
  <c r="X884" i="2" s="1"/>
  <c r="S885" i="2"/>
  <c r="T2816" i="2"/>
  <c r="U2816" i="2"/>
  <c r="U1710" i="2"/>
  <c r="T1710" i="2"/>
  <c r="U885" i="2"/>
  <c r="T885" i="2"/>
  <c r="W2816" i="2" l="1"/>
  <c r="X2816" i="2" s="1"/>
  <c r="S2817" i="2"/>
  <c r="W1710" i="2"/>
  <c r="X1710" i="2" s="1"/>
  <c r="S1711" i="2"/>
  <c r="W885" i="2"/>
  <c r="X885" i="2" s="1"/>
  <c r="S886" i="2"/>
  <c r="U2817" i="2"/>
  <c r="T2817" i="2"/>
  <c r="T1711" i="2"/>
  <c r="U1711" i="2"/>
  <c r="U886" i="2"/>
  <c r="T886" i="2"/>
  <c r="W2817" i="2" l="1"/>
  <c r="X2817" i="2" s="1"/>
  <c r="S2818" i="2"/>
  <c r="W1711" i="2"/>
  <c r="X1711" i="2" s="1"/>
  <c r="S1712" i="2"/>
  <c r="W886" i="2"/>
  <c r="X886" i="2" s="1"/>
  <c r="S887" i="2"/>
  <c r="U2818" i="2"/>
  <c r="T2818" i="2"/>
  <c r="T1712" i="2"/>
  <c r="U1712" i="2"/>
  <c r="T887" i="2"/>
  <c r="U887" i="2"/>
  <c r="W2818" i="2" l="1"/>
  <c r="X2818" i="2" s="1"/>
  <c r="S2819" i="2"/>
  <c r="W1712" i="2"/>
  <c r="X1712" i="2" s="1"/>
  <c r="S1713" i="2"/>
  <c r="W887" i="2"/>
  <c r="X887" i="2" s="1"/>
  <c r="S888" i="2"/>
  <c r="U2819" i="2"/>
  <c r="T2819" i="2"/>
  <c r="U1713" i="2"/>
  <c r="T1713" i="2"/>
  <c r="T888" i="2"/>
  <c r="U888" i="2"/>
  <c r="W2819" i="2" l="1"/>
  <c r="X2819" i="2" s="1"/>
  <c r="S2820" i="2"/>
  <c r="W1713" i="2"/>
  <c r="X1713" i="2" s="1"/>
  <c r="S1714" i="2"/>
  <c r="W888" i="2"/>
  <c r="X888" i="2" s="1"/>
  <c r="S889" i="2"/>
  <c r="T2820" i="2"/>
  <c r="U2820" i="2"/>
  <c r="U1714" i="2"/>
  <c r="T1714" i="2"/>
  <c r="U889" i="2"/>
  <c r="T889" i="2"/>
  <c r="W2820" i="2" l="1"/>
  <c r="X2820" i="2" s="1"/>
  <c r="S2821" i="2"/>
  <c r="W1714" i="2"/>
  <c r="X1714" i="2" s="1"/>
  <c r="S1715" i="2"/>
  <c r="W889" i="2"/>
  <c r="X889" i="2" s="1"/>
  <c r="S890" i="2"/>
  <c r="U2821" i="2"/>
  <c r="T2821" i="2"/>
  <c r="T1715" i="2"/>
  <c r="U1715" i="2"/>
  <c r="U890" i="2"/>
  <c r="T890" i="2"/>
  <c r="W2821" i="2" l="1"/>
  <c r="X2821" i="2" s="1"/>
  <c r="S2822" i="2"/>
  <c r="W1715" i="2"/>
  <c r="X1715" i="2" s="1"/>
  <c r="S1716" i="2"/>
  <c r="W890" i="2"/>
  <c r="X890" i="2" s="1"/>
  <c r="S891" i="2"/>
  <c r="U2822" i="2"/>
  <c r="T2822" i="2"/>
  <c r="T1716" i="2"/>
  <c r="U1716" i="2"/>
  <c r="T891" i="2"/>
  <c r="U891" i="2"/>
  <c r="W2822" i="2" l="1"/>
  <c r="X2822" i="2" s="1"/>
  <c r="S2823" i="2"/>
  <c r="W1716" i="2"/>
  <c r="X1716" i="2" s="1"/>
  <c r="S1717" i="2"/>
  <c r="W891" i="2"/>
  <c r="X891" i="2" s="1"/>
  <c r="S892" i="2"/>
  <c r="U2823" i="2"/>
  <c r="T2823" i="2"/>
  <c r="U1717" i="2"/>
  <c r="T1717" i="2"/>
  <c r="T892" i="2"/>
  <c r="U892" i="2"/>
  <c r="W2823" i="2" l="1"/>
  <c r="X2823" i="2" s="1"/>
  <c r="S2824" i="2"/>
  <c r="W1717" i="2"/>
  <c r="X1717" i="2" s="1"/>
  <c r="S1718" i="2"/>
  <c r="W892" i="2"/>
  <c r="X892" i="2" s="1"/>
  <c r="S893" i="2"/>
  <c r="T2824" i="2"/>
  <c r="U2824" i="2"/>
  <c r="U1718" i="2"/>
  <c r="T1718" i="2"/>
  <c r="U893" i="2"/>
  <c r="T893" i="2"/>
  <c r="W2824" i="2" l="1"/>
  <c r="X2824" i="2" s="1"/>
  <c r="S2825" i="2"/>
  <c r="W1718" i="2"/>
  <c r="X1718" i="2" s="1"/>
  <c r="S1719" i="2"/>
  <c r="W893" i="2"/>
  <c r="X893" i="2" s="1"/>
  <c r="S894" i="2"/>
  <c r="U2825" i="2"/>
  <c r="T2825" i="2"/>
  <c r="T1719" i="2"/>
  <c r="U1719" i="2"/>
  <c r="U894" i="2"/>
  <c r="T894" i="2"/>
  <c r="W2825" i="2" l="1"/>
  <c r="X2825" i="2" s="1"/>
  <c r="S2826" i="2"/>
  <c r="W1719" i="2"/>
  <c r="X1719" i="2" s="1"/>
  <c r="S1720" i="2"/>
  <c r="W894" i="2"/>
  <c r="X894" i="2" s="1"/>
  <c r="S895" i="2"/>
  <c r="U2826" i="2"/>
  <c r="T2826" i="2"/>
  <c r="T1720" i="2"/>
  <c r="U1720" i="2"/>
  <c r="T895" i="2"/>
  <c r="U895" i="2"/>
  <c r="W2826" i="2" l="1"/>
  <c r="X2826" i="2" s="1"/>
  <c r="S2827" i="2"/>
  <c r="W1720" i="2"/>
  <c r="X1720" i="2" s="1"/>
  <c r="S1721" i="2"/>
  <c r="W895" i="2"/>
  <c r="X895" i="2" s="1"/>
  <c r="S896" i="2"/>
  <c r="U2827" i="2"/>
  <c r="T2827" i="2"/>
  <c r="U1721" i="2"/>
  <c r="T1721" i="2"/>
  <c r="T896" i="2"/>
  <c r="U896" i="2"/>
  <c r="W2827" i="2" l="1"/>
  <c r="X2827" i="2" s="1"/>
  <c r="S2828" i="2"/>
  <c r="W1721" i="2"/>
  <c r="X1721" i="2" s="1"/>
  <c r="S1722" i="2"/>
  <c r="W896" i="2"/>
  <c r="X896" i="2" s="1"/>
  <c r="S897" i="2"/>
  <c r="T2828" i="2"/>
  <c r="U2828" i="2"/>
  <c r="U1722" i="2"/>
  <c r="T1722" i="2"/>
  <c r="U897" i="2"/>
  <c r="T897" i="2"/>
  <c r="W2828" i="2" l="1"/>
  <c r="X2828" i="2" s="1"/>
  <c r="S2829" i="2"/>
  <c r="W1722" i="2"/>
  <c r="X1722" i="2" s="1"/>
  <c r="S1723" i="2"/>
  <c r="W897" i="2"/>
  <c r="X897" i="2" s="1"/>
  <c r="S898" i="2"/>
  <c r="U2829" i="2"/>
  <c r="T2829" i="2"/>
  <c r="T1723" i="2"/>
  <c r="U1723" i="2"/>
  <c r="U898" i="2"/>
  <c r="T898" i="2"/>
  <c r="W2829" i="2" l="1"/>
  <c r="X2829" i="2" s="1"/>
  <c r="S2830" i="2"/>
  <c r="W1723" i="2"/>
  <c r="X1723" i="2" s="1"/>
  <c r="S1724" i="2"/>
  <c r="W898" i="2"/>
  <c r="X898" i="2" s="1"/>
  <c r="S899" i="2"/>
  <c r="U2830" i="2"/>
  <c r="T2830" i="2"/>
  <c r="T1724" i="2"/>
  <c r="U1724" i="2"/>
  <c r="T899" i="2"/>
  <c r="U899" i="2"/>
  <c r="W2830" i="2" l="1"/>
  <c r="X2830" i="2" s="1"/>
  <c r="S2831" i="2"/>
  <c r="W1724" i="2"/>
  <c r="X1724" i="2" s="1"/>
  <c r="S1725" i="2"/>
  <c r="W899" i="2"/>
  <c r="X899" i="2" s="1"/>
  <c r="S900" i="2"/>
  <c r="U2831" i="2"/>
  <c r="T2831" i="2"/>
  <c r="U1725" i="2"/>
  <c r="T1725" i="2"/>
  <c r="T900" i="2"/>
  <c r="U900" i="2"/>
  <c r="W2831" i="2" l="1"/>
  <c r="X2831" i="2" s="1"/>
  <c r="S2832" i="2"/>
  <c r="W1725" i="2"/>
  <c r="X1725" i="2" s="1"/>
  <c r="S1726" i="2"/>
  <c r="W900" i="2"/>
  <c r="X900" i="2" s="1"/>
  <c r="S901" i="2"/>
  <c r="T2832" i="2"/>
  <c r="U2832" i="2"/>
  <c r="U1726" i="2"/>
  <c r="T1726" i="2"/>
  <c r="U901" i="2"/>
  <c r="T901" i="2"/>
  <c r="W2832" i="2" l="1"/>
  <c r="X2832" i="2" s="1"/>
  <c r="S2833" i="2"/>
  <c r="W1726" i="2"/>
  <c r="X1726" i="2" s="1"/>
  <c r="S1727" i="2"/>
  <c r="W901" i="2"/>
  <c r="X901" i="2" s="1"/>
  <c r="S902" i="2"/>
  <c r="U2833" i="2"/>
  <c r="T2833" i="2"/>
  <c r="T1727" i="2"/>
  <c r="U1727" i="2"/>
  <c r="U902" i="2"/>
  <c r="T902" i="2"/>
  <c r="W2833" i="2" l="1"/>
  <c r="X2833" i="2" s="1"/>
  <c r="S2834" i="2"/>
  <c r="W1727" i="2"/>
  <c r="X1727" i="2" s="1"/>
  <c r="S1728" i="2"/>
  <c r="W902" i="2"/>
  <c r="X902" i="2" s="1"/>
  <c r="S903" i="2"/>
  <c r="U2834" i="2"/>
  <c r="T2834" i="2"/>
  <c r="T1728" i="2"/>
  <c r="U1728" i="2"/>
  <c r="T903" i="2"/>
  <c r="U903" i="2"/>
  <c r="W2834" i="2" l="1"/>
  <c r="X2834" i="2" s="1"/>
  <c r="S2835" i="2"/>
  <c r="W1728" i="2"/>
  <c r="X1728" i="2" s="1"/>
  <c r="S1729" i="2"/>
  <c r="W903" i="2"/>
  <c r="X903" i="2" s="1"/>
  <c r="S904" i="2"/>
  <c r="U2835" i="2"/>
  <c r="T2835" i="2"/>
  <c r="U1729" i="2"/>
  <c r="T1729" i="2"/>
  <c r="T904" i="2"/>
  <c r="U904" i="2"/>
  <c r="W2835" i="2" l="1"/>
  <c r="X2835" i="2" s="1"/>
  <c r="S2836" i="2"/>
  <c r="W1729" i="2"/>
  <c r="X1729" i="2" s="1"/>
  <c r="S1730" i="2"/>
  <c r="W904" i="2"/>
  <c r="X904" i="2" s="1"/>
  <c r="S905" i="2"/>
  <c r="T2836" i="2"/>
  <c r="U2836" i="2"/>
  <c r="U1730" i="2"/>
  <c r="T1730" i="2"/>
  <c r="U905" i="2"/>
  <c r="T905" i="2"/>
  <c r="W2836" i="2" l="1"/>
  <c r="X2836" i="2" s="1"/>
  <c r="S2837" i="2"/>
  <c r="W1730" i="2"/>
  <c r="X1730" i="2" s="1"/>
  <c r="S1731" i="2"/>
  <c r="W905" i="2"/>
  <c r="X905" i="2" s="1"/>
  <c r="S906" i="2"/>
  <c r="U2837" i="2"/>
  <c r="T2837" i="2"/>
  <c r="T1731" i="2"/>
  <c r="U1731" i="2"/>
  <c r="U906" i="2"/>
  <c r="T906" i="2"/>
  <c r="W2837" i="2" l="1"/>
  <c r="X2837" i="2" s="1"/>
  <c r="S2838" i="2"/>
  <c r="W1731" i="2"/>
  <c r="X1731" i="2" s="1"/>
  <c r="S1732" i="2"/>
  <c r="W906" i="2"/>
  <c r="X906" i="2" s="1"/>
  <c r="S907" i="2"/>
  <c r="U2838" i="2"/>
  <c r="T2838" i="2"/>
  <c r="T1732" i="2"/>
  <c r="U1732" i="2"/>
  <c r="T907" i="2"/>
  <c r="U907" i="2"/>
  <c r="W2838" i="2" l="1"/>
  <c r="X2838" i="2" s="1"/>
  <c r="S2839" i="2"/>
  <c r="W1732" i="2"/>
  <c r="X1732" i="2" s="1"/>
  <c r="S1733" i="2"/>
  <c r="W907" i="2"/>
  <c r="X907" i="2" s="1"/>
  <c r="S908" i="2"/>
  <c r="U2839" i="2"/>
  <c r="T2839" i="2"/>
  <c r="U1733" i="2"/>
  <c r="T1733" i="2"/>
  <c r="T908" i="2"/>
  <c r="U908" i="2"/>
  <c r="W2839" i="2" l="1"/>
  <c r="X2839" i="2" s="1"/>
  <c r="S2840" i="2"/>
  <c r="W1733" i="2"/>
  <c r="X1733" i="2" s="1"/>
  <c r="S1734" i="2"/>
  <c r="W908" i="2"/>
  <c r="X908" i="2" s="1"/>
  <c r="S909" i="2"/>
  <c r="T2840" i="2"/>
  <c r="U2840" i="2"/>
  <c r="U1734" i="2"/>
  <c r="T1734" i="2"/>
  <c r="U909" i="2"/>
  <c r="T909" i="2"/>
  <c r="W2840" i="2" l="1"/>
  <c r="X2840" i="2" s="1"/>
  <c r="S2841" i="2"/>
  <c r="W1734" i="2"/>
  <c r="X1734" i="2" s="1"/>
  <c r="S1735" i="2"/>
  <c r="W909" i="2"/>
  <c r="X909" i="2" s="1"/>
  <c r="S910" i="2"/>
  <c r="U2841" i="2"/>
  <c r="T2841" i="2"/>
  <c r="T1735" i="2"/>
  <c r="U1735" i="2"/>
  <c r="U910" i="2"/>
  <c r="T910" i="2"/>
  <c r="W2841" i="2" l="1"/>
  <c r="X2841" i="2" s="1"/>
  <c r="S2842" i="2"/>
  <c r="W1735" i="2"/>
  <c r="X1735" i="2" s="1"/>
  <c r="S1736" i="2"/>
  <c r="W910" i="2"/>
  <c r="X910" i="2" s="1"/>
  <c r="S911" i="2"/>
  <c r="U2842" i="2"/>
  <c r="T2842" i="2"/>
  <c r="T1736" i="2"/>
  <c r="U1736" i="2"/>
  <c r="T911" i="2"/>
  <c r="U911" i="2"/>
  <c r="W2842" i="2" l="1"/>
  <c r="X2842" i="2" s="1"/>
  <c r="S2843" i="2"/>
  <c r="W1736" i="2"/>
  <c r="X1736" i="2" s="1"/>
  <c r="S1737" i="2"/>
  <c r="W911" i="2"/>
  <c r="X911" i="2" s="1"/>
  <c r="S912" i="2"/>
  <c r="U2843" i="2"/>
  <c r="T2843" i="2"/>
  <c r="U1737" i="2"/>
  <c r="T1737" i="2"/>
  <c r="T912" i="2"/>
  <c r="U912" i="2"/>
  <c r="W2843" i="2" l="1"/>
  <c r="X2843" i="2" s="1"/>
  <c r="S2844" i="2"/>
  <c r="W1737" i="2"/>
  <c r="X1737" i="2" s="1"/>
  <c r="S1738" i="2"/>
  <c r="W912" i="2"/>
  <c r="X912" i="2" s="1"/>
  <c r="S913" i="2"/>
  <c r="T2844" i="2"/>
  <c r="U2844" i="2"/>
  <c r="U1738" i="2"/>
  <c r="T1738" i="2"/>
  <c r="U913" i="2"/>
  <c r="T913" i="2"/>
  <c r="W2844" i="2" l="1"/>
  <c r="X2844" i="2" s="1"/>
  <c r="S2845" i="2"/>
  <c r="W1738" i="2"/>
  <c r="X1738" i="2" s="1"/>
  <c r="S1739" i="2"/>
  <c r="W913" i="2"/>
  <c r="X913" i="2" s="1"/>
  <c r="S914" i="2"/>
  <c r="U2845" i="2"/>
  <c r="T2845" i="2"/>
  <c r="T1739" i="2"/>
  <c r="U1739" i="2"/>
  <c r="U914" i="2"/>
  <c r="T914" i="2"/>
  <c r="W2845" i="2" l="1"/>
  <c r="X2845" i="2" s="1"/>
  <c r="S2846" i="2"/>
  <c r="W1739" i="2"/>
  <c r="X1739" i="2" s="1"/>
  <c r="S1740" i="2"/>
  <c r="W914" i="2"/>
  <c r="X914" i="2" s="1"/>
  <c r="S915" i="2"/>
  <c r="U2846" i="2"/>
  <c r="T2846" i="2"/>
  <c r="T1740" i="2"/>
  <c r="U1740" i="2"/>
  <c r="T915" i="2"/>
  <c r="U915" i="2"/>
  <c r="W2846" i="2" l="1"/>
  <c r="X2846" i="2" s="1"/>
  <c r="S2847" i="2"/>
  <c r="W1740" i="2"/>
  <c r="X1740" i="2" s="1"/>
  <c r="S1741" i="2"/>
  <c r="W915" i="2"/>
  <c r="X915" i="2" s="1"/>
  <c r="S916" i="2"/>
  <c r="U2847" i="2"/>
  <c r="T2847" i="2"/>
  <c r="U1741" i="2"/>
  <c r="T1741" i="2"/>
  <c r="T916" i="2"/>
  <c r="U916" i="2"/>
  <c r="W2847" i="2" l="1"/>
  <c r="X2847" i="2" s="1"/>
  <c r="S2848" i="2"/>
  <c r="W1741" i="2"/>
  <c r="X1741" i="2" s="1"/>
  <c r="S1742" i="2"/>
  <c r="W916" i="2"/>
  <c r="X916" i="2" s="1"/>
  <c r="S917" i="2"/>
  <c r="T2848" i="2"/>
  <c r="U2848" i="2"/>
  <c r="U1742" i="2"/>
  <c r="T1742" i="2"/>
  <c r="U917" i="2"/>
  <c r="T917" i="2"/>
  <c r="W2848" i="2" l="1"/>
  <c r="X2848" i="2" s="1"/>
  <c r="S2849" i="2"/>
  <c r="W1742" i="2"/>
  <c r="X1742" i="2" s="1"/>
  <c r="S1743" i="2"/>
  <c r="W917" i="2"/>
  <c r="X917" i="2" s="1"/>
  <c r="S918" i="2"/>
  <c r="U2849" i="2"/>
  <c r="T2849" i="2"/>
  <c r="T1743" i="2"/>
  <c r="U1743" i="2"/>
  <c r="U918" i="2"/>
  <c r="T918" i="2"/>
  <c r="W2849" i="2" l="1"/>
  <c r="X2849" i="2" s="1"/>
  <c r="S2850" i="2"/>
  <c r="W1743" i="2"/>
  <c r="X1743" i="2" s="1"/>
  <c r="S1744" i="2"/>
  <c r="W918" i="2"/>
  <c r="X918" i="2" s="1"/>
  <c r="S919" i="2"/>
  <c r="U2850" i="2"/>
  <c r="T2850" i="2"/>
  <c r="T1744" i="2"/>
  <c r="U1744" i="2"/>
  <c r="T919" i="2"/>
  <c r="U919" i="2"/>
  <c r="W2850" i="2" l="1"/>
  <c r="X2850" i="2" s="1"/>
  <c r="S2851" i="2"/>
  <c r="W1744" i="2"/>
  <c r="X1744" i="2" s="1"/>
  <c r="S1745" i="2"/>
  <c r="W919" i="2"/>
  <c r="X919" i="2" s="1"/>
  <c r="S920" i="2"/>
  <c r="U2851" i="2"/>
  <c r="T2851" i="2"/>
  <c r="U1745" i="2"/>
  <c r="T1745" i="2"/>
  <c r="T920" i="2"/>
  <c r="U920" i="2"/>
  <c r="W2851" i="2" l="1"/>
  <c r="X2851" i="2" s="1"/>
  <c r="S2852" i="2"/>
  <c r="W1745" i="2"/>
  <c r="X1745" i="2" s="1"/>
  <c r="S1746" i="2"/>
  <c r="W920" i="2"/>
  <c r="X920" i="2" s="1"/>
  <c r="S921" i="2"/>
  <c r="T2852" i="2"/>
  <c r="U2852" i="2"/>
  <c r="U1746" i="2"/>
  <c r="T1746" i="2"/>
  <c r="U921" i="2"/>
  <c r="T921" i="2"/>
  <c r="W2852" i="2" l="1"/>
  <c r="X2852" i="2" s="1"/>
  <c r="S2853" i="2"/>
  <c r="W1746" i="2"/>
  <c r="X1746" i="2" s="1"/>
  <c r="S1747" i="2"/>
  <c r="W921" i="2"/>
  <c r="X921" i="2" s="1"/>
  <c r="S922" i="2"/>
  <c r="U2853" i="2"/>
  <c r="T2853" i="2"/>
  <c r="T1747" i="2"/>
  <c r="U1747" i="2"/>
  <c r="U922" i="2"/>
  <c r="T922" i="2"/>
  <c r="W2853" i="2" l="1"/>
  <c r="X2853" i="2" s="1"/>
  <c r="S2854" i="2"/>
  <c r="W1747" i="2"/>
  <c r="X1747" i="2" s="1"/>
  <c r="S1748" i="2"/>
  <c r="W922" i="2"/>
  <c r="X922" i="2" s="1"/>
  <c r="S923" i="2"/>
  <c r="U2854" i="2"/>
  <c r="T2854" i="2"/>
  <c r="T1748" i="2"/>
  <c r="U1748" i="2"/>
  <c r="T923" i="2"/>
  <c r="U923" i="2"/>
  <c r="W2854" i="2" l="1"/>
  <c r="X2854" i="2" s="1"/>
  <c r="S2855" i="2"/>
  <c r="W1748" i="2"/>
  <c r="X1748" i="2" s="1"/>
  <c r="S1749" i="2"/>
  <c r="W923" i="2"/>
  <c r="X923" i="2" s="1"/>
  <c r="S924" i="2"/>
  <c r="U2855" i="2"/>
  <c r="T2855" i="2"/>
  <c r="U1749" i="2"/>
  <c r="T1749" i="2"/>
  <c r="T924" i="2"/>
  <c r="U924" i="2"/>
  <c r="W2855" i="2" l="1"/>
  <c r="X2855" i="2" s="1"/>
  <c r="S2856" i="2"/>
  <c r="W1749" i="2"/>
  <c r="X1749" i="2" s="1"/>
  <c r="S1750" i="2"/>
  <c r="W924" i="2"/>
  <c r="X924" i="2" s="1"/>
  <c r="S925" i="2"/>
  <c r="T2856" i="2"/>
  <c r="U2856" i="2"/>
  <c r="U1750" i="2"/>
  <c r="T1750" i="2"/>
  <c r="U925" i="2"/>
  <c r="T925" i="2"/>
  <c r="W2856" i="2" l="1"/>
  <c r="X2856" i="2" s="1"/>
  <c r="S2857" i="2"/>
  <c r="W1750" i="2"/>
  <c r="X1750" i="2" s="1"/>
  <c r="S1751" i="2"/>
  <c r="W925" i="2"/>
  <c r="X925" i="2" s="1"/>
  <c r="S926" i="2"/>
  <c r="U2857" i="2"/>
  <c r="T2857" i="2"/>
  <c r="T1751" i="2"/>
  <c r="U1751" i="2"/>
  <c r="U926" i="2"/>
  <c r="T926" i="2"/>
  <c r="W2857" i="2" l="1"/>
  <c r="X2857" i="2" s="1"/>
  <c r="S2858" i="2"/>
  <c r="W1751" i="2"/>
  <c r="X1751" i="2" s="1"/>
  <c r="S1752" i="2"/>
  <c r="W926" i="2"/>
  <c r="X926" i="2" s="1"/>
  <c r="S927" i="2"/>
  <c r="U2858" i="2"/>
  <c r="T2858" i="2"/>
  <c r="T1752" i="2"/>
  <c r="U1752" i="2"/>
  <c r="T927" i="2"/>
  <c r="U927" i="2"/>
  <c r="W2858" i="2" l="1"/>
  <c r="X2858" i="2" s="1"/>
  <c r="S2859" i="2"/>
  <c r="W1752" i="2"/>
  <c r="X1752" i="2" s="1"/>
  <c r="S1753" i="2"/>
  <c r="W927" i="2"/>
  <c r="X927" i="2" s="1"/>
  <c r="S928" i="2"/>
  <c r="U2859" i="2"/>
  <c r="T2859" i="2"/>
  <c r="U1753" i="2"/>
  <c r="T1753" i="2"/>
  <c r="T928" i="2"/>
  <c r="U928" i="2"/>
  <c r="W2859" i="2" l="1"/>
  <c r="X2859" i="2" s="1"/>
  <c r="S2860" i="2"/>
  <c r="W1753" i="2"/>
  <c r="X1753" i="2" s="1"/>
  <c r="S1754" i="2"/>
  <c r="W928" i="2"/>
  <c r="X928" i="2" s="1"/>
  <c r="S929" i="2"/>
  <c r="T2860" i="2"/>
  <c r="U2860" i="2"/>
  <c r="U1754" i="2"/>
  <c r="T1754" i="2"/>
  <c r="U929" i="2"/>
  <c r="T929" i="2"/>
  <c r="W2860" i="2" l="1"/>
  <c r="X2860" i="2" s="1"/>
  <c r="S2861" i="2"/>
  <c r="W1754" i="2"/>
  <c r="X1754" i="2" s="1"/>
  <c r="S1755" i="2"/>
  <c r="W929" i="2"/>
  <c r="X929" i="2" s="1"/>
  <c r="S930" i="2"/>
  <c r="U2861" i="2"/>
  <c r="T2861" i="2"/>
  <c r="T1755" i="2"/>
  <c r="U1755" i="2"/>
  <c r="U930" i="2"/>
  <c r="T930" i="2"/>
  <c r="W2861" i="2" l="1"/>
  <c r="X2861" i="2" s="1"/>
  <c r="S2862" i="2"/>
  <c r="W1755" i="2"/>
  <c r="X1755" i="2" s="1"/>
  <c r="S1756" i="2"/>
  <c r="W930" i="2"/>
  <c r="X930" i="2" s="1"/>
  <c r="S931" i="2"/>
  <c r="U2862" i="2"/>
  <c r="T2862" i="2"/>
  <c r="T1756" i="2"/>
  <c r="U1756" i="2"/>
  <c r="T931" i="2"/>
  <c r="U931" i="2"/>
  <c r="W2862" i="2" l="1"/>
  <c r="X2862" i="2" s="1"/>
  <c r="S2863" i="2"/>
  <c r="W1756" i="2"/>
  <c r="X1756" i="2" s="1"/>
  <c r="S1757" i="2"/>
  <c r="W931" i="2"/>
  <c r="X931" i="2" s="1"/>
  <c r="S932" i="2"/>
  <c r="U2863" i="2"/>
  <c r="T2863" i="2"/>
  <c r="U1757" i="2"/>
  <c r="T1757" i="2"/>
  <c r="T932" i="2"/>
  <c r="U932" i="2"/>
  <c r="W2863" i="2" l="1"/>
  <c r="X2863" i="2" s="1"/>
  <c r="S2864" i="2"/>
  <c r="W1757" i="2"/>
  <c r="X1757" i="2" s="1"/>
  <c r="S1758" i="2"/>
  <c r="W932" i="2"/>
  <c r="X932" i="2" s="1"/>
  <c r="S933" i="2"/>
  <c r="T2864" i="2"/>
  <c r="U2864" i="2"/>
  <c r="U1758" i="2"/>
  <c r="T1758" i="2"/>
  <c r="U933" i="2"/>
  <c r="T933" i="2"/>
  <c r="W2864" i="2" l="1"/>
  <c r="X2864" i="2" s="1"/>
  <c r="S2865" i="2"/>
  <c r="W1758" i="2"/>
  <c r="X1758" i="2" s="1"/>
  <c r="S1759" i="2"/>
  <c r="W933" i="2"/>
  <c r="X933" i="2" s="1"/>
  <c r="S934" i="2"/>
  <c r="U2865" i="2"/>
  <c r="T2865" i="2"/>
  <c r="T1759" i="2"/>
  <c r="U1759" i="2"/>
  <c r="U934" i="2"/>
  <c r="T934" i="2"/>
  <c r="W2865" i="2" l="1"/>
  <c r="X2865" i="2" s="1"/>
  <c r="S2866" i="2"/>
  <c r="W1759" i="2"/>
  <c r="X1759" i="2" s="1"/>
  <c r="S1760" i="2"/>
  <c r="W934" i="2"/>
  <c r="X934" i="2" s="1"/>
  <c r="S935" i="2"/>
  <c r="U2866" i="2"/>
  <c r="T2866" i="2"/>
  <c r="T1760" i="2"/>
  <c r="U1760" i="2"/>
  <c r="T935" i="2"/>
  <c r="U935" i="2"/>
  <c r="W2866" i="2" l="1"/>
  <c r="X2866" i="2" s="1"/>
  <c r="S2867" i="2"/>
  <c r="W1760" i="2"/>
  <c r="X1760" i="2" s="1"/>
  <c r="S1761" i="2"/>
  <c r="W935" i="2"/>
  <c r="X935" i="2" s="1"/>
  <c r="S936" i="2"/>
  <c r="U2867" i="2"/>
  <c r="T2867" i="2"/>
  <c r="U1761" i="2"/>
  <c r="T1761" i="2"/>
  <c r="T936" i="2"/>
  <c r="U936" i="2"/>
  <c r="W2867" i="2" l="1"/>
  <c r="X2867" i="2" s="1"/>
  <c r="S2868" i="2"/>
  <c r="W1761" i="2"/>
  <c r="X1761" i="2" s="1"/>
  <c r="S1762" i="2"/>
  <c r="W936" i="2"/>
  <c r="X936" i="2" s="1"/>
  <c r="S937" i="2"/>
  <c r="T2868" i="2"/>
  <c r="U2868" i="2"/>
  <c r="U1762" i="2"/>
  <c r="T1762" i="2"/>
  <c r="U937" i="2"/>
  <c r="T937" i="2"/>
  <c r="W2868" i="2" l="1"/>
  <c r="X2868" i="2" s="1"/>
  <c r="S2869" i="2"/>
  <c r="W1762" i="2"/>
  <c r="X1762" i="2" s="1"/>
  <c r="S1763" i="2"/>
  <c r="W937" i="2"/>
  <c r="X937" i="2" s="1"/>
  <c r="S938" i="2"/>
  <c r="U2869" i="2"/>
  <c r="T2869" i="2"/>
  <c r="T1763" i="2"/>
  <c r="U1763" i="2"/>
  <c r="U938" i="2"/>
  <c r="T938" i="2"/>
  <c r="W2869" i="2" l="1"/>
  <c r="X2869" i="2" s="1"/>
  <c r="S2870" i="2"/>
  <c r="W1763" i="2"/>
  <c r="X1763" i="2" s="1"/>
  <c r="S1764" i="2"/>
  <c r="W938" i="2"/>
  <c r="X938" i="2" s="1"/>
  <c r="S939" i="2"/>
  <c r="U2870" i="2"/>
  <c r="T2870" i="2"/>
  <c r="T1764" i="2"/>
  <c r="U1764" i="2"/>
  <c r="T939" i="2"/>
  <c r="U939" i="2"/>
  <c r="W2870" i="2" l="1"/>
  <c r="X2870" i="2" s="1"/>
  <c r="S2871" i="2"/>
  <c r="W1764" i="2"/>
  <c r="X1764" i="2" s="1"/>
  <c r="S1765" i="2"/>
  <c r="W939" i="2"/>
  <c r="X939" i="2" s="1"/>
  <c r="S940" i="2"/>
  <c r="U2871" i="2"/>
  <c r="T2871" i="2"/>
  <c r="U1765" i="2"/>
  <c r="T1765" i="2"/>
  <c r="T940" i="2"/>
  <c r="U940" i="2"/>
  <c r="W2871" i="2" l="1"/>
  <c r="X2871" i="2" s="1"/>
  <c r="S2872" i="2"/>
  <c r="W1765" i="2"/>
  <c r="X1765" i="2" s="1"/>
  <c r="S1766" i="2"/>
  <c r="W940" i="2"/>
  <c r="X940" i="2" s="1"/>
  <c r="S941" i="2"/>
  <c r="T2872" i="2"/>
  <c r="U2872" i="2"/>
  <c r="U1766" i="2"/>
  <c r="T1766" i="2"/>
  <c r="U941" i="2"/>
  <c r="T941" i="2"/>
  <c r="W2872" i="2" l="1"/>
  <c r="X2872" i="2" s="1"/>
  <c r="S2873" i="2"/>
  <c r="W1766" i="2"/>
  <c r="X1766" i="2" s="1"/>
  <c r="S1767" i="2"/>
  <c r="W941" i="2"/>
  <c r="X941" i="2" s="1"/>
  <c r="S942" i="2"/>
  <c r="U2873" i="2"/>
  <c r="T2873" i="2"/>
  <c r="T1767" i="2"/>
  <c r="U1767" i="2"/>
  <c r="U942" i="2"/>
  <c r="T942" i="2"/>
  <c r="W2873" i="2" l="1"/>
  <c r="X2873" i="2" s="1"/>
  <c r="S2874" i="2"/>
  <c r="W1767" i="2"/>
  <c r="X1767" i="2" s="1"/>
  <c r="S1768" i="2"/>
  <c r="W942" i="2"/>
  <c r="X942" i="2" s="1"/>
  <c r="S943" i="2"/>
  <c r="U2874" i="2"/>
  <c r="T2874" i="2"/>
  <c r="T1768" i="2"/>
  <c r="U1768" i="2"/>
  <c r="T943" i="2"/>
  <c r="U943" i="2"/>
  <c r="W2874" i="2" l="1"/>
  <c r="X2874" i="2" s="1"/>
  <c r="S2875" i="2"/>
  <c r="W1768" i="2"/>
  <c r="X1768" i="2" s="1"/>
  <c r="S1769" i="2"/>
  <c r="W943" i="2"/>
  <c r="X943" i="2" s="1"/>
  <c r="S944" i="2"/>
  <c r="U2875" i="2"/>
  <c r="T2875" i="2"/>
  <c r="U1769" i="2"/>
  <c r="T1769" i="2"/>
  <c r="T944" i="2"/>
  <c r="U944" i="2"/>
  <c r="W2875" i="2" l="1"/>
  <c r="X2875" i="2" s="1"/>
  <c r="S2876" i="2"/>
  <c r="W1769" i="2"/>
  <c r="X1769" i="2" s="1"/>
  <c r="S1770" i="2"/>
  <c r="W944" i="2"/>
  <c r="X944" i="2" s="1"/>
  <c r="S945" i="2"/>
  <c r="T2876" i="2"/>
  <c r="U2876" i="2"/>
  <c r="U1770" i="2"/>
  <c r="T1770" i="2"/>
  <c r="U945" i="2"/>
  <c r="T945" i="2"/>
  <c r="W2876" i="2" l="1"/>
  <c r="X2876" i="2" s="1"/>
  <c r="S2877" i="2"/>
  <c r="W1770" i="2"/>
  <c r="X1770" i="2" s="1"/>
  <c r="S1771" i="2"/>
  <c r="W945" i="2"/>
  <c r="X945" i="2" s="1"/>
  <c r="S946" i="2"/>
  <c r="U2877" i="2"/>
  <c r="T2877" i="2"/>
  <c r="T1771" i="2"/>
  <c r="U1771" i="2"/>
  <c r="U946" i="2"/>
  <c r="T946" i="2"/>
  <c r="W2877" i="2" l="1"/>
  <c r="X2877" i="2" s="1"/>
  <c r="S2878" i="2"/>
  <c r="W1771" i="2"/>
  <c r="X1771" i="2" s="1"/>
  <c r="S1772" i="2"/>
  <c r="W946" i="2"/>
  <c r="X946" i="2" s="1"/>
  <c r="S947" i="2"/>
  <c r="U2878" i="2"/>
  <c r="T2878" i="2"/>
  <c r="T1772" i="2"/>
  <c r="U1772" i="2"/>
  <c r="T947" i="2"/>
  <c r="U947" i="2"/>
  <c r="W2878" i="2" l="1"/>
  <c r="X2878" i="2" s="1"/>
  <c r="S2879" i="2"/>
  <c r="W1772" i="2"/>
  <c r="X1772" i="2" s="1"/>
  <c r="S1773" i="2"/>
  <c r="W947" i="2"/>
  <c r="X947" i="2" s="1"/>
  <c r="S948" i="2"/>
  <c r="U2879" i="2"/>
  <c r="T2879" i="2"/>
  <c r="U1773" i="2"/>
  <c r="T1773" i="2"/>
  <c r="T948" i="2"/>
  <c r="U948" i="2"/>
  <c r="W2879" i="2" l="1"/>
  <c r="X2879" i="2" s="1"/>
  <c r="S2880" i="2"/>
  <c r="W1773" i="2"/>
  <c r="X1773" i="2" s="1"/>
  <c r="S1774" i="2"/>
  <c r="W948" i="2"/>
  <c r="X948" i="2" s="1"/>
  <c r="S949" i="2"/>
  <c r="T2880" i="2"/>
  <c r="U2880" i="2"/>
  <c r="U1774" i="2"/>
  <c r="T1774" i="2"/>
  <c r="U949" i="2"/>
  <c r="T949" i="2"/>
  <c r="W2880" i="2" l="1"/>
  <c r="X2880" i="2" s="1"/>
  <c r="S2881" i="2"/>
  <c r="W1774" i="2"/>
  <c r="X1774" i="2" s="1"/>
  <c r="S1775" i="2"/>
  <c r="W949" i="2"/>
  <c r="X949" i="2" s="1"/>
  <c r="S950" i="2"/>
  <c r="U2881" i="2"/>
  <c r="T2881" i="2"/>
  <c r="T1775" i="2"/>
  <c r="U1775" i="2"/>
  <c r="U950" i="2"/>
  <c r="T950" i="2"/>
  <c r="W2881" i="2" l="1"/>
  <c r="X2881" i="2" s="1"/>
  <c r="S2882" i="2"/>
  <c r="W1775" i="2"/>
  <c r="X1775" i="2" s="1"/>
  <c r="S1776" i="2"/>
  <c r="W950" i="2"/>
  <c r="X950" i="2" s="1"/>
  <c r="S951" i="2"/>
  <c r="U2882" i="2"/>
  <c r="T2882" i="2"/>
  <c r="T1776" i="2"/>
  <c r="U1776" i="2"/>
  <c r="T951" i="2"/>
  <c r="U951" i="2"/>
  <c r="W2882" i="2" l="1"/>
  <c r="X2882" i="2" s="1"/>
  <c r="S2883" i="2"/>
  <c r="W1776" i="2"/>
  <c r="X1776" i="2" s="1"/>
  <c r="S1777" i="2"/>
  <c r="W951" i="2"/>
  <c r="X951" i="2" s="1"/>
  <c r="S952" i="2"/>
  <c r="U2883" i="2"/>
  <c r="T2883" i="2"/>
  <c r="U1777" i="2"/>
  <c r="T1777" i="2"/>
  <c r="T952" i="2"/>
  <c r="U952" i="2"/>
  <c r="W2883" i="2" l="1"/>
  <c r="X2883" i="2" s="1"/>
  <c r="S2884" i="2"/>
  <c r="W1777" i="2"/>
  <c r="X1777" i="2" s="1"/>
  <c r="S1778" i="2"/>
  <c r="W952" i="2"/>
  <c r="X952" i="2" s="1"/>
  <c r="S953" i="2"/>
  <c r="T2884" i="2"/>
  <c r="U2884" i="2"/>
  <c r="U1778" i="2"/>
  <c r="T1778" i="2"/>
  <c r="U953" i="2"/>
  <c r="T953" i="2"/>
  <c r="W2884" i="2" l="1"/>
  <c r="X2884" i="2" s="1"/>
  <c r="S2885" i="2"/>
  <c r="W1778" i="2"/>
  <c r="X1778" i="2" s="1"/>
  <c r="S1779" i="2"/>
  <c r="W953" i="2"/>
  <c r="X953" i="2" s="1"/>
  <c r="S954" i="2"/>
  <c r="U2885" i="2"/>
  <c r="T2885" i="2"/>
  <c r="T1779" i="2"/>
  <c r="U1779" i="2"/>
  <c r="U954" i="2"/>
  <c r="T954" i="2"/>
  <c r="W2885" i="2" l="1"/>
  <c r="X2885" i="2" s="1"/>
  <c r="S2886" i="2"/>
  <c r="W1779" i="2"/>
  <c r="X1779" i="2" s="1"/>
  <c r="S1780" i="2"/>
  <c r="W954" i="2"/>
  <c r="X954" i="2" s="1"/>
  <c r="S955" i="2"/>
  <c r="U2886" i="2"/>
  <c r="T2886" i="2"/>
  <c r="T1780" i="2"/>
  <c r="U1780" i="2"/>
  <c r="T955" i="2"/>
  <c r="U955" i="2"/>
  <c r="W2886" i="2" l="1"/>
  <c r="X2886" i="2" s="1"/>
  <c r="S2887" i="2"/>
  <c r="W1780" i="2"/>
  <c r="X1780" i="2" s="1"/>
  <c r="S1781" i="2"/>
  <c r="W955" i="2"/>
  <c r="X955" i="2" s="1"/>
  <c r="S956" i="2"/>
  <c r="U2887" i="2"/>
  <c r="T2887" i="2"/>
  <c r="U1781" i="2"/>
  <c r="T1781" i="2"/>
  <c r="T956" i="2"/>
  <c r="U956" i="2"/>
  <c r="W2887" i="2" l="1"/>
  <c r="X2887" i="2" s="1"/>
  <c r="S2888" i="2"/>
  <c r="W1781" i="2"/>
  <c r="X1781" i="2" s="1"/>
  <c r="S1782" i="2"/>
  <c r="W956" i="2"/>
  <c r="X956" i="2" s="1"/>
  <c r="S957" i="2"/>
  <c r="T2888" i="2"/>
  <c r="U2888" i="2"/>
  <c r="U1782" i="2"/>
  <c r="T1782" i="2"/>
  <c r="U957" i="2"/>
  <c r="T957" i="2"/>
  <c r="W2888" i="2" l="1"/>
  <c r="X2888" i="2" s="1"/>
  <c r="S2889" i="2"/>
  <c r="W1782" i="2"/>
  <c r="X1782" i="2" s="1"/>
  <c r="S1783" i="2"/>
  <c r="W957" i="2"/>
  <c r="X957" i="2" s="1"/>
  <c r="S958" i="2"/>
  <c r="U2889" i="2"/>
  <c r="T2889" i="2"/>
  <c r="T1783" i="2"/>
  <c r="U1783" i="2"/>
  <c r="U958" i="2"/>
  <c r="T958" i="2"/>
  <c r="W2889" i="2" l="1"/>
  <c r="X2889" i="2" s="1"/>
  <c r="S2890" i="2"/>
  <c r="W1783" i="2"/>
  <c r="X1783" i="2" s="1"/>
  <c r="S1784" i="2"/>
  <c r="W958" i="2"/>
  <c r="X958" i="2" s="1"/>
  <c r="S959" i="2"/>
  <c r="U2890" i="2"/>
  <c r="T2890" i="2"/>
  <c r="T1784" i="2"/>
  <c r="U1784" i="2"/>
  <c r="T959" i="2"/>
  <c r="U959" i="2"/>
  <c r="W2890" i="2" l="1"/>
  <c r="X2890" i="2" s="1"/>
  <c r="S2891" i="2"/>
  <c r="W1784" i="2"/>
  <c r="X1784" i="2" s="1"/>
  <c r="S1785" i="2"/>
  <c r="W959" i="2"/>
  <c r="X959" i="2" s="1"/>
  <c r="S960" i="2"/>
  <c r="U2891" i="2"/>
  <c r="T2891" i="2"/>
  <c r="U1785" i="2"/>
  <c r="T1785" i="2"/>
  <c r="T960" i="2"/>
  <c r="U960" i="2"/>
  <c r="W2891" i="2" l="1"/>
  <c r="X2891" i="2" s="1"/>
  <c r="S2892" i="2"/>
  <c r="W1785" i="2"/>
  <c r="X1785" i="2" s="1"/>
  <c r="S1786" i="2"/>
  <c r="W960" i="2"/>
  <c r="X960" i="2" s="1"/>
  <c r="S961" i="2"/>
  <c r="T2892" i="2"/>
  <c r="U2892" i="2"/>
  <c r="U1786" i="2"/>
  <c r="T1786" i="2"/>
  <c r="U961" i="2"/>
  <c r="T961" i="2"/>
  <c r="W2892" i="2" l="1"/>
  <c r="X2892" i="2" s="1"/>
  <c r="S2893" i="2"/>
  <c r="W1786" i="2"/>
  <c r="X1786" i="2" s="1"/>
  <c r="S1787" i="2"/>
  <c r="W961" i="2"/>
  <c r="X961" i="2" s="1"/>
  <c r="S962" i="2"/>
  <c r="U2893" i="2"/>
  <c r="T2893" i="2"/>
  <c r="T1787" i="2"/>
  <c r="U1787" i="2"/>
  <c r="U962" i="2"/>
  <c r="T962" i="2"/>
  <c r="W2893" i="2" l="1"/>
  <c r="X2893" i="2" s="1"/>
  <c r="S2894" i="2"/>
  <c r="W1787" i="2"/>
  <c r="X1787" i="2" s="1"/>
  <c r="S1788" i="2"/>
  <c r="W962" i="2"/>
  <c r="X962" i="2" s="1"/>
  <c r="S963" i="2"/>
  <c r="U2894" i="2"/>
  <c r="T2894" i="2"/>
  <c r="T1788" i="2"/>
  <c r="U1788" i="2"/>
  <c r="T963" i="2"/>
  <c r="U963" i="2"/>
  <c r="W2894" i="2" l="1"/>
  <c r="X2894" i="2" s="1"/>
  <c r="S2895" i="2"/>
  <c r="W1788" i="2"/>
  <c r="X1788" i="2" s="1"/>
  <c r="S1789" i="2"/>
  <c r="W963" i="2"/>
  <c r="X963" i="2" s="1"/>
  <c r="S964" i="2"/>
  <c r="U2895" i="2"/>
  <c r="T2895" i="2"/>
  <c r="U1789" i="2"/>
  <c r="T1789" i="2"/>
  <c r="T964" i="2"/>
  <c r="U964" i="2"/>
  <c r="W2895" i="2" l="1"/>
  <c r="X2895" i="2" s="1"/>
  <c r="S2896" i="2"/>
  <c r="W1789" i="2"/>
  <c r="X1789" i="2" s="1"/>
  <c r="S1790" i="2"/>
  <c r="W964" i="2"/>
  <c r="X964" i="2" s="1"/>
  <c r="S965" i="2"/>
  <c r="T2896" i="2"/>
  <c r="U2896" i="2"/>
  <c r="U1790" i="2"/>
  <c r="T1790" i="2"/>
  <c r="U965" i="2"/>
  <c r="T965" i="2"/>
  <c r="W2896" i="2" l="1"/>
  <c r="X2896" i="2" s="1"/>
  <c r="S2897" i="2"/>
  <c r="W1790" i="2"/>
  <c r="X1790" i="2" s="1"/>
  <c r="S1791" i="2"/>
  <c r="W965" i="2"/>
  <c r="X965" i="2" s="1"/>
  <c r="S966" i="2"/>
  <c r="U2897" i="2"/>
  <c r="T2897" i="2"/>
  <c r="T1791" i="2"/>
  <c r="U1791" i="2"/>
  <c r="U966" i="2"/>
  <c r="T966" i="2"/>
  <c r="W2897" i="2" l="1"/>
  <c r="X2897" i="2" s="1"/>
  <c r="S2898" i="2"/>
  <c r="W1791" i="2"/>
  <c r="X1791" i="2" s="1"/>
  <c r="S1792" i="2"/>
  <c r="W966" i="2"/>
  <c r="X966" i="2" s="1"/>
  <c r="S967" i="2"/>
  <c r="U2898" i="2"/>
  <c r="T2898" i="2"/>
  <c r="T1792" i="2"/>
  <c r="U1792" i="2"/>
  <c r="T967" i="2"/>
  <c r="U967" i="2"/>
  <c r="W2898" i="2" l="1"/>
  <c r="X2898" i="2" s="1"/>
  <c r="S2899" i="2"/>
  <c r="W1792" i="2"/>
  <c r="X1792" i="2" s="1"/>
  <c r="S1793" i="2"/>
  <c r="W967" i="2"/>
  <c r="X967" i="2" s="1"/>
  <c r="S968" i="2"/>
  <c r="U2899" i="2"/>
  <c r="T2899" i="2"/>
  <c r="U1793" i="2"/>
  <c r="T1793" i="2"/>
  <c r="T968" i="2"/>
  <c r="U968" i="2"/>
  <c r="W2899" i="2" l="1"/>
  <c r="X2899" i="2" s="1"/>
  <c r="S2900" i="2"/>
  <c r="W1793" i="2"/>
  <c r="X1793" i="2" s="1"/>
  <c r="S1794" i="2"/>
  <c r="W968" i="2"/>
  <c r="X968" i="2" s="1"/>
  <c r="S969" i="2"/>
  <c r="T2900" i="2"/>
  <c r="U2900" i="2"/>
  <c r="U1794" i="2"/>
  <c r="T1794" i="2"/>
  <c r="U969" i="2"/>
  <c r="T969" i="2"/>
  <c r="W2900" i="2" l="1"/>
  <c r="X2900" i="2" s="1"/>
  <c r="S2901" i="2"/>
  <c r="W1794" i="2"/>
  <c r="X1794" i="2" s="1"/>
  <c r="S1795" i="2"/>
  <c r="W969" i="2"/>
  <c r="X969" i="2" s="1"/>
  <c r="S970" i="2"/>
  <c r="U2901" i="2"/>
  <c r="T2901" i="2"/>
  <c r="T1795" i="2"/>
  <c r="U1795" i="2"/>
  <c r="U970" i="2"/>
  <c r="T970" i="2"/>
  <c r="W2901" i="2" l="1"/>
  <c r="X2901" i="2" s="1"/>
  <c r="S2902" i="2"/>
  <c r="W1795" i="2"/>
  <c r="X1795" i="2" s="1"/>
  <c r="S1796" i="2"/>
  <c r="W970" i="2"/>
  <c r="X970" i="2" s="1"/>
  <c r="S971" i="2"/>
  <c r="U2902" i="2"/>
  <c r="T2902" i="2"/>
  <c r="T1796" i="2"/>
  <c r="U1796" i="2"/>
  <c r="T971" i="2"/>
  <c r="U971" i="2"/>
  <c r="W2902" i="2" l="1"/>
  <c r="X2902" i="2" s="1"/>
  <c r="S2903" i="2"/>
  <c r="W1796" i="2"/>
  <c r="X1796" i="2" s="1"/>
  <c r="S1797" i="2"/>
  <c r="W971" i="2"/>
  <c r="X971" i="2" s="1"/>
  <c r="S972" i="2"/>
  <c r="U2903" i="2"/>
  <c r="T2903" i="2"/>
  <c r="U1797" i="2"/>
  <c r="T1797" i="2"/>
  <c r="T972" i="2"/>
  <c r="U972" i="2"/>
  <c r="W2903" i="2" l="1"/>
  <c r="X2903" i="2" s="1"/>
  <c r="S2904" i="2"/>
  <c r="W1797" i="2"/>
  <c r="X1797" i="2" s="1"/>
  <c r="S1798" i="2"/>
  <c r="W972" i="2"/>
  <c r="X972" i="2" s="1"/>
  <c r="S973" i="2"/>
  <c r="T2904" i="2"/>
  <c r="U2904" i="2"/>
  <c r="U1798" i="2"/>
  <c r="T1798" i="2"/>
  <c r="U973" i="2"/>
  <c r="T973" i="2"/>
  <c r="W2904" i="2" l="1"/>
  <c r="X2904" i="2" s="1"/>
  <c r="S2905" i="2"/>
  <c r="W1798" i="2"/>
  <c r="X1798" i="2" s="1"/>
  <c r="S1799" i="2"/>
  <c r="W973" i="2"/>
  <c r="X973" i="2" s="1"/>
  <c r="S974" i="2"/>
  <c r="U2905" i="2"/>
  <c r="T2905" i="2"/>
  <c r="T1799" i="2"/>
  <c r="U1799" i="2"/>
  <c r="U974" i="2"/>
  <c r="T974" i="2"/>
  <c r="W2905" i="2" l="1"/>
  <c r="X2905" i="2" s="1"/>
  <c r="S2906" i="2"/>
  <c r="W1799" i="2"/>
  <c r="X1799" i="2" s="1"/>
  <c r="S1800" i="2"/>
  <c r="W974" i="2"/>
  <c r="X974" i="2" s="1"/>
  <c r="S975" i="2"/>
  <c r="U2906" i="2"/>
  <c r="T2906" i="2"/>
  <c r="T1800" i="2"/>
  <c r="U1800" i="2"/>
  <c r="T975" i="2"/>
  <c r="U975" i="2"/>
  <c r="W2906" i="2" l="1"/>
  <c r="X2906" i="2" s="1"/>
  <c r="S2907" i="2"/>
  <c r="W1800" i="2"/>
  <c r="X1800" i="2" s="1"/>
  <c r="S1801" i="2"/>
  <c r="W975" i="2"/>
  <c r="X975" i="2" s="1"/>
  <c r="S976" i="2"/>
  <c r="U2907" i="2"/>
  <c r="T2907" i="2"/>
  <c r="U1801" i="2"/>
  <c r="T1801" i="2"/>
  <c r="T976" i="2"/>
  <c r="U976" i="2"/>
  <c r="W2907" i="2" l="1"/>
  <c r="X2907" i="2" s="1"/>
  <c r="S2908" i="2"/>
  <c r="W1801" i="2"/>
  <c r="X1801" i="2" s="1"/>
  <c r="S1802" i="2"/>
  <c r="W976" i="2"/>
  <c r="X976" i="2" s="1"/>
  <c r="S977" i="2"/>
  <c r="T2908" i="2"/>
  <c r="U2908" i="2"/>
  <c r="U1802" i="2"/>
  <c r="T1802" i="2"/>
  <c r="U977" i="2"/>
  <c r="T977" i="2"/>
  <c r="W2908" i="2" l="1"/>
  <c r="X2908" i="2" s="1"/>
  <c r="S2909" i="2"/>
  <c r="W1802" i="2"/>
  <c r="X1802" i="2" s="1"/>
  <c r="S1803" i="2"/>
  <c r="W977" i="2"/>
  <c r="X977" i="2" s="1"/>
  <c r="S978" i="2"/>
  <c r="U2909" i="2"/>
  <c r="T2909" i="2"/>
  <c r="T1803" i="2"/>
  <c r="U1803" i="2"/>
  <c r="U978" i="2"/>
  <c r="T978" i="2"/>
  <c r="W2909" i="2" l="1"/>
  <c r="X2909" i="2" s="1"/>
  <c r="S2910" i="2"/>
  <c r="W1803" i="2"/>
  <c r="X1803" i="2" s="1"/>
  <c r="S1804" i="2"/>
  <c r="W978" i="2"/>
  <c r="X978" i="2" s="1"/>
  <c r="S979" i="2"/>
  <c r="U2910" i="2"/>
  <c r="T2910" i="2"/>
  <c r="T1804" i="2"/>
  <c r="U1804" i="2"/>
  <c r="T979" i="2"/>
  <c r="U979" i="2"/>
  <c r="W2910" i="2" l="1"/>
  <c r="X2910" i="2" s="1"/>
  <c r="S2911" i="2"/>
  <c r="W1804" i="2"/>
  <c r="X1804" i="2" s="1"/>
  <c r="S1805" i="2"/>
  <c r="W979" i="2"/>
  <c r="X979" i="2" s="1"/>
  <c r="S980" i="2"/>
  <c r="U2911" i="2"/>
  <c r="T2911" i="2"/>
  <c r="U1805" i="2"/>
  <c r="T1805" i="2"/>
  <c r="T980" i="2"/>
  <c r="U980" i="2"/>
  <c r="W2911" i="2" l="1"/>
  <c r="X2911" i="2" s="1"/>
  <c r="S2912" i="2"/>
  <c r="W1805" i="2"/>
  <c r="X1805" i="2" s="1"/>
  <c r="S1806" i="2"/>
  <c r="W980" i="2"/>
  <c r="X980" i="2" s="1"/>
  <c r="S981" i="2"/>
  <c r="T2912" i="2"/>
  <c r="U2912" i="2"/>
  <c r="U1806" i="2"/>
  <c r="T1806" i="2"/>
  <c r="U981" i="2"/>
  <c r="T981" i="2"/>
  <c r="W2912" i="2" l="1"/>
  <c r="X2912" i="2" s="1"/>
  <c r="S2913" i="2"/>
  <c r="W1806" i="2"/>
  <c r="X1806" i="2" s="1"/>
  <c r="S1807" i="2"/>
  <c r="W981" i="2"/>
  <c r="X981" i="2" s="1"/>
  <c r="S982" i="2"/>
  <c r="U2913" i="2"/>
  <c r="T2913" i="2"/>
  <c r="T1807" i="2"/>
  <c r="U1807" i="2"/>
  <c r="U982" i="2"/>
  <c r="T982" i="2"/>
  <c r="W2913" i="2" l="1"/>
  <c r="X2913" i="2" s="1"/>
  <c r="S2914" i="2"/>
  <c r="W1807" i="2"/>
  <c r="X1807" i="2" s="1"/>
  <c r="S1808" i="2"/>
  <c r="W982" i="2"/>
  <c r="X982" i="2" s="1"/>
  <c r="S983" i="2"/>
  <c r="U2914" i="2"/>
  <c r="T2914" i="2"/>
  <c r="T1808" i="2"/>
  <c r="U1808" i="2"/>
  <c r="T983" i="2"/>
  <c r="U983" i="2"/>
  <c r="W2914" i="2" l="1"/>
  <c r="X2914" i="2" s="1"/>
  <c r="S2915" i="2"/>
  <c r="W1808" i="2"/>
  <c r="X1808" i="2" s="1"/>
  <c r="S1809" i="2"/>
  <c r="W983" i="2"/>
  <c r="X983" i="2" s="1"/>
  <c r="S984" i="2"/>
  <c r="U2915" i="2"/>
  <c r="T2915" i="2"/>
  <c r="U1809" i="2"/>
  <c r="T1809" i="2"/>
  <c r="T984" i="2"/>
  <c r="U984" i="2"/>
  <c r="W2915" i="2" l="1"/>
  <c r="X2915" i="2" s="1"/>
  <c r="S2916" i="2"/>
  <c r="W1809" i="2"/>
  <c r="X1809" i="2" s="1"/>
  <c r="S1810" i="2"/>
  <c r="W984" i="2"/>
  <c r="X984" i="2" s="1"/>
  <c r="S985" i="2"/>
  <c r="T2916" i="2"/>
  <c r="U2916" i="2"/>
  <c r="U1810" i="2"/>
  <c r="T1810" i="2"/>
  <c r="U985" i="2"/>
  <c r="T985" i="2"/>
  <c r="W2916" i="2" l="1"/>
  <c r="X2916" i="2" s="1"/>
  <c r="S2917" i="2"/>
  <c r="W1810" i="2"/>
  <c r="X1810" i="2" s="1"/>
  <c r="S1811" i="2"/>
  <c r="W985" i="2"/>
  <c r="X985" i="2" s="1"/>
  <c r="S986" i="2"/>
  <c r="U2917" i="2"/>
  <c r="T2917" i="2"/>
  <c r="T1811" i="2"/>
  <c r="U1811" i="2"/>
  <c r="U986" i="2"/>
  <c r="T986" i="2"/>
  <c r="W2917" i="2" l="1"/>
  <c r="X2917" i="2" s="1"/>
  <c r="S2918" i="2"/>
  <c r="W1811" i="2"/>
  <c r="X1811" i="2" s="1"/>
  <c r="S1812" i="2"/>
  <c r="W986" i="2"/>
  <c r="X986" i="2" s="1"/>
  <c r="S987" i="2"/>
  <c r="U2918" i="2"/>
  <c r="T2918" i="2"/>
  <c r="T1812" i="2"/>
  <c r="U1812" i="2"/>
  <c r="T987" i="2"/>
  <c r="U987" i="2"/>
  <c r="W2918" i="2" l="1"/>
  <c r="X2918" i="2" s="1"/>
  <c r="S2919" i="2"/>
  <c r="W1812" i="2"/>
  <c r="X1812" i="2" s="1"/>
  <c r="S1813" i="2"/>
  <c r="W987" i="2"/>
  <c r="X987" i="2" s="1"/>
  <c r="S988" i="2"/>
  <c r="U2919" i="2"/>
  <c r="T2919" i="2"/>
  <c r="U1813" i="2"/>
  <c r="T1813" i="2"/>
  <c r="T988" i="2"/>
  <c r="U988" i="2"/>
  <c r="W2919" i="2" l="1"/>
  <c r="X2919" i="2" s="1"/>
  <c r="S2920" i="2"/>
  <c r="W1813" i="2"/>
  <c r="X1813" i="2" s="1"/>
  <c r="S1814" i="2"/>
  <c r="W988" i="2"/>
  <c r="X988" i="2" s="1"/>
  <c r="S989" i="2"/>
  <c r="T2920" i="2"/>
  <c r="U2920" i="2"/>
  <c r="T1814" i="2"/>
  <c r="U1814" i="2"/>
  <c r="T989" i="2"/>
  <c r="U989" i="2"/>
  <c r="W2920" i="2" l="1"/>
  <c r="X2920" i="2" s="1"/>
  <c r="S2921" i="2"/>
  <c r="W1814" i="2"/>
  <c r="X1814" i="2" s="1"/>
  <c r="S1815" i="2"/>
  <c r="W989" i="2"/>
  <c r="X989" i="2" s="1"/>
  <c r="S990" i="2"/>
  <c r="U2921" i="2"/>
  <c r="T2921" i="2"/>
  <c r="T1815" i="2"/>
  <c r="U1815" i="2"/>
  <c r="T990" i="2"/>
  <c r="U990" i="2"/>
  <c r="W2921" i="2" l="1"/>
  <c r="X2921" i="2" s="1"/>
  <c r="S2922" i="2"/>
  <c r="W1815" i="2"/>
  <c r="X1815" i="2" s="1"/>
  <c r="S1816" i="2"/>
  <c r="W990" i="2"/>
  <c r="X990" i="2" s="1"/>
  <c r="S991" i="2"/>
  <c r="U2922" i="2"/>
  <c r="T2922" i="2"/>
  <c r="T1816" i="2"/>
  <c r="U1816" i="2"/>
  <c r="U991" i="2"/>
  <c r="T991" i="2"/>
  <c r="W2922" i="2" l="1"/>
  <c r="X2922" i="2" s="1"/>
  <c r="S2923" i="2"/>
  <c r="W1816" i="2"/>
  <c r="X1816" i="2" s="1"/>
  <c r="S1817" i="2"/>
  <c r="W991" i="2"/>
  <c r="X991" i="2" s="1"/>
  <c r="S992" i="2"/>
  <c r="U2923" i="2"/>
  <c r="T2923" i="2"/>
  <c r="U1817" i="2"/>
  <c r="T1817" i="2"/>
  <c r="T992" i="2"/>
  <c r="U992" i="2"/>
  <c r="W2923" i="2" l="1"/>
  <c r="X2923" i="2" s="1"/>
  <c r="S2924" i="2"/>
  <c r="W1817" i="2"/>
  <c r="X1817" i="2" s="1"/>
  <c r="S1818" i="2"/>
  <c r="W992" i="2"/>
  <c r="X992" i="2" s="1"/>
  <c r="S993" i="2"/>
  <c r="T2924" i="2"/>
  <c r="U2924" i="2"/>
  <c r="T1818" i="2"/>
  <c r="U1818" i="2"/>
  <c r="U993" i="2"/>
  <c r="T993" i="2"/>
  <c r="W2924" i="2" l="1"/>
  <c r="X2924" i="2" s="1"/>
  <c r="S2925" i="2"/>
  <c r="W1818" i="2"/>
  <c r="X1818" i="2" s="1"/>
  <c r="S1819" i="2"/>
  <c r="W993" i="2"/>
  <c r="X993" i="2" s="1"/>
  <c r="S994" i="2"/>
  <c r="U2925" i="2"/>
  <c r="T2925" i="2"/>
  <c r="T1819" i="2"/>
  <c r="U1819" i="2"/>
  <c r="T994" i="2"/>
  <c r="U994" i="2"/>
  <c r="W2925" i="2" l="1"/>
  <c r="X2925" i="2" s="1"/>
  <c r="S2926" i="2"/>
  <c r="W1819" i="2"/>
  <c r="X1819" i="2" s="1"/>
  <c r="S1820" i="2"/>
  <c r="W994" i="2"/>
  <c r="X994" i="2" s="1"/>
  <c r="S995" i="2"/>
  <c r="U2926" i="2"/>
  <c r="T2926" i="2"/>
  <c r="T1820" i="2"/>
  <c r="U1820" i="2"/>
  <c r="U995" i="2"/>
  <c r="T995" i="2"/>
  <c r="W2926" i="2" l="1"/>
  <c r="X2926" i="2" s="1"/>
  <c r="S2927" i="2"/>
  <c r="W1820" i="2"/>
  <c r="X1820" i="2" s="1"/>
  <c r="S1821" i="2"/>
  <c r="W995" i="2"/>
  <c r="X995" i="2" s="1"/>
  <c r="S996" i="2"/>
  <c r="U2927" i="2"/>
  <c r="T2927" i="2"/>
  <c r="U1821" i="2"/>
  <c r="T1821" i="2"/>
  <c r="T996" i="2"/>
  <c r="U996" i="2"/>
  <c r="W2927" i="2" l="1"/>
  <c r="X2927" i="2" s="1"/>
  <c r="S2928" i="2"/>
  <c r="W1821" i="2"/>
  <c r="X1821" i="2" s="1"/>
  <c r="S1822" i="2"/>
  <c r="W996" i="2"/>
  <c r="X996" i="2" s="1"/>
  <c r="S997" i="2"/>
  <c r="T2928" i="2"/>
  <c r="U2928" i="2"/>
  <c r="T1822" i="2"/>
  <c r="U1822" i="2"/>
  <c r="T997" i="2"/>
  <c r="U997" i="2"/>
  <c r="W2928" i="2" l="1"/>
  <c r="X2928" i="2" s="1"/>
  <c r="S2929" i="2"/>
  <c r="W1822" i="2"/>
  <c r="X1822" i="2" s="1"/>
  <c r="S1823" i="2"/>
  <c r="W997" i="2"/>
  <c r="X997" i="2" s="1"/>
  <c r="S998" i="2"/>
  <c r="U2929" i="2"/>
  <c r="T2929" i="2"/>
  <c r="T1823" i="2"/>
  <c r="U1823" i="2"/>
  <c r="U998" i="2"/>
  <c r="T998" i="2"/>
  <c r="W2929" i="2" l="1"/>
  <c r="X2929" i="2" s="1"/>
  <c r="S2930" i="2"/>
  <c r="W1823" i="2"/>
  <c r="X1823" i="2" s="1"/>
  <c r="S1824" i="2"/>
  <c r="W998" i="2"/>
  <c r="X998" i="2" s="1"/>
  <c r="S999" i="2"/>
  <c r="U2930" i="2"/>
  <c r="T2930" i="2"/>
  <c r="T1824" i="2"/>
  <c r="U1824" i="2"/>
  <c r="T999" i="2"/>
  <c r="U999" i="2"/>
  <c r="W2930" i="2" l="1"/>
  <c r="X2930" i="2" s="1"/>
  <c r="S2931" i="2"/>
  <c r="W1824" i="2"/>
  <c r="X1824" i="2" s="1"/>
  <c r="S1825" i="2"/>
  <c r="W999" i="2"/>
  <c r="X999" i="2" s="1"/>
  <c r="S1000" i="2"/>
  <c r="U2931" i="2"/>
  <c r="T2931" i="2"/>
  <c r="T1825" i="2"/>
  <c r="U1825" i="2"/>
  <c r="U1000" i="2"/>
  <c r="T1000" i="2"/>
  <c r="W2931" i="2" l="1"/>
  <c r="X2931" i="2" s="1"/>
  <c r="S2932" i="2"/>
  <c r="W1825" i="2"/>
  <c r="X1825" i="2" s="1"/>
  <c r="S1826" i="2"/>
  <c r="W1000" i="2"/>
  <c r="X1000" i="2" s="1"/>
  <c r="S1001" i="2"/>
  <c r="U2932" i="2"/>
  <c r="T2932" i="2"/>
  <c r="U1826" i="2"/>
  <c r="T1826" i="2"/>
  <c r="U1001" i="2"/>
  <c r="T1001" i="2"/>
  <c r="W2932" i="2" l="1"/>
  <c r="X2932" i="2" s="1"/>
  <c r="S2933" i="2"/>
  <c r="W1826" i="2"/>
  <c r="X1826" i="2" s="1"/>
  <c r="S1827" i="2"/>
  <c r="W1001" i="2"/>
  <c r="X1001" i="2" s="1"/>
  <c r="S1002" i="2"/>
  <c r="U2933" i="2"/>
  <c r="T2933" i="2"/>
  <c r="U1827" i="2"/>
  <c r="T1827" i="2"/>
  <c r="U1002" i="2"/>
  <c r="T1002" i="2"/>
  <c r="W2933" i="2" l="1"/>
  <c r="X2933" i="2" s="1"/>
  <c r="S2934" i="2"/>
  <c r="W1827" i="2"/>
  <c r="X1827" i="2" s="1"/>
  <c r="S1828" i="2"/>
  <c r="W1002" i="2"/>
  <c r="X1002" i="2" s="1"/>
  <c r="S1003" i="2"/>
  <c r="U2934" i="2"/>
  <c r="T2934" i="2"/>
  <c r="T1828" i="2"/>
  <c r="U1828" i="2"/>
  <c r="T1003" i="2"/>
  <c r="U1003" i="2"/>
  <c r="W2934" i="2" l="1"/>
  <c r="X2934" i="2" s="1"/>
  <c r="S2935" i="2"/>
  <c r="W1828" i="2"/>
  <c r="X1828" i="2" s="1"/>
  <c r="S1829" i="2"/>
  <c r="W1003" i="2"/>
  <c r="X1003" i="2" s="1"/>
  <c r="S1004" i="2"/>
  <c r="U2935" i="2"/>
  <c r="T2935" i="2"/>
  <c r="T1829" i="2"/>
  <c r="U1829" i="2"/>
  <c r="U1004" i="2"/>
  <c r="T1004" i="2"/>
  <c r="W2935" i="2" l="1"/>
  <c r="X2935" i="2" s="1"/>
  <c r="S2936" i="2"/>
  <c r="W1829" i="2"/>
  <c r="X1829" i="2" s="1"/>
  <c r="S1830" i="2"/>
  <c r="W1004" i="2"/>
  <c r="X1004" i="2" s="1"/>
  <c r="S1005" i="2"/>
  <c r="U2936" i="2"/>
  <c r="T2936" i="2"/>
  <c r="U1830" i="2"/>
  <c r="T1830" i="2"/>
  <c r="U1005" i="2"/>
  <c r="T1005" i="2"/>
  <c r="W2936" i="2" l="1"/>
  <c r="X2936" i="2" s="1"/>
  <c r="S2937" i="2"/>
  <c r="W1830" i="2"/>
  <c r="X1830" i="2" s="1"/>
  <c r="S1831" i="2"/>
  <c r="W1005" i="2"/>
  <c r="X1005" i="2" s="1"/>
  <c r="S1006" i="2"/>
  <c r="U2937" i="2"/>
  <c r="T2937" i="2"/>
  <c r="U1831" i="2"/>
  <c r="T1831" i="2"/>
  <c r="U1006" i="2"/>
  <c r="T1006" i="2"/>
  <c r="W2937" i="2" l="1"/>
  <c r="X2937" i="2" s="1"/>
  <c r="S2938" i="2"/>
  <c r="W1831" i="2"/>
  <c r="X1831" i="2" s="1"/>
  <c r="S1832" i="2"/>
  <c r="W1006" i="2"/>
  <c r="X1006" i="2" s="1"/>
  <c r="S1007" i="2"/>
  <c r="U2938" i="2"/>
  <c r="T2938" i="2"/>
  <c r="T1832" i="2"/>
  <c r="U1832" i="2"/>
  <c r="T1007" i="2"/>
  <c r="U1007" i="2"/>
  <c r="W2938" i="2" l="1"/>
  <c r="X2938" i="2" s="1"/>
  <c r="S2939" i="2"/>
  <c r="W1832" i="2"/>
  <c r="X1832" i="2" s="1"/>
  <c r="S1833" i="2"/>
  <c r="W1007" i="2"/>
  <c r="X1007" i="2" s="1"/>
  <c r="S1008" i="2"/>
  <c r="U2939" i="2"/>
  <c r="T2939" i="2"/>
  <c r="T1833" i="2"/>
  <c r="U1833" i="2"/>
  <c r="U1008" i="2"/>
  <c r="T1008" i="2"/>
  <c r="W2939" i="2" l="1"/>
  <c r="X2939" i="2" s="1"/>
  <c r="S2940" i="2"/>
  <c r="W1833" i="2"/>
  <c r="X1833" i="2" s="1"/>
  <c r="S1834" i="2"/>
  <c r="W1008" i="2"/>
  <c r="X1008" i="2" s="1"/>
  <c r="S1009" i="2"/>
  <c r="U2940" i="2"/>
  <c r="T2940" i="2"/>
  <c r="U1834" i="2"/>
  <c r="T1834" i="2"/>
  <c r="T1009" i="2"/>
  <c r="U1009" i="2"/>
  <c r="W2940" i="2" l="1"/>
  <c r="X2940" i="2" s="1"/>
  <c r="S2941" i="2"/>
  <c r="W1834" i="2"/>
  <c r="X1834" i="2" s="1"/>
  <c r="S1835" i="2"/>
  <c r="W1009" i="2"/>
  <c r="X1009" i="2" s="1"/>
  <c r="S1010" i="2"/>
  <c r="U2941" i="2"/>
  <c r="T2941" i="2"/>
  <c r="U1835" i="2"/>
  <c r="T1835" i="2"/>
  <c r="U1010" i="2"/>
  <c r="T1010" i="2"/>
  <c r="W2941" i="2" l="1"/>
  <c r="X2941" i="2" s="1"/>
  <c r="S2942" i="2"/>
  <c r="W1835" i="2"/>
  <c r="X1835" i="2" s="1"/>
  <c r="S1836" i="2"/>
  <c r="W1010" i="2"/>
  <c r="X1010" i="2" s="1"/>
  <c r="S1011" i="2"/>
  <c r="U2942" i="2"/>
  <c r="T2942" i="2"/>
  <c r="T1836" i="2"/>
  <c r="U1836" i="2"/>
  <c r="T1011" i="2"/>
  <c r="U1011" i="2"/>
  <c r="W2942" i="2" l="1"/>
  <c r="X2942" i="2" s="1"/>
  <c r="S2943" i="2"/>
  <c r="W1836" i="2"/>
  <c r="X1836" i="2" s="1"/>
  <c r="S1837" i="2"/>
  <c r="W1011" i="2"/>
  <c r="X1011" i="2" s="1"/>
  <c r="S1012" i="2"/>
  <c r="U2943" i="2"/>
  <c r="T2943" i="2"/>
  <c r="T1837" i="2"/>
  <c r="U1837" i="2"/>
  <c r="U1012" i="2"/>
  <c r="T1012" i="2"/>
  <c r="W2943" i="2" l="1"/>
  <c r="X2943" i="2" s="1"/>
  <c r="S2944" i="2"/>
  <c r="W1837" i="2"/>
  <c r="X1837" i="2" s="1"/>
  <c r="S1838" i="2"/>
  <c r="W1012" i="2"/>
  <c r="X1012" i="2" s="1"/>
  <c r="S1013" i="2"/>
  <c r="U2944" i="2"/>
  <c r="T2944" i="2"/>
  <c r="U1838" i="2"/>
  <c r="T1838" i="2"/>
  <c r="U1013" i="2"/>
  <c r="T1013" i="2"/>
  <c r="W2944" i="2" l="1"/>
  <c r="X2944" i="2" s="1"/>
  <c r="S2945" i="2"/>
  <c r="W1838" i="2"/>
  <c r="X1838" i="2" s="1"/>
  <c r="S1839" i="2"/>
  <c r="W1013" i="2"/>
  <c r="X1013" i="2" s="1"/>
  <c r="S1014" i="2"/>
  <c r="U2945" i="2"/>
  <c r="T2945" i="2"/>
  <c r="U1839" i="2"/>
  <c r="T1839" i="2"/>
  <c r="U1014" i="2"/>
  <c r="T1014" i="2"/>
  <c r="W2945" i="2" l="1"/>
  <c r="X2945" i="2" s="1"/>
  <c r="S2946" i="2"/>
  <c r="W1839" i="2"/>
  <c r="X1839" i="2" s="1"/>
  <c r="S1840" i="2"/>
  <c r="W1014" i="2"/>
  <c r="X1014" i="2" s="1"/>
  <c r="S1015" i="2"/>
  <c r="U2946" i="2"/>
  <c r="T2946" i="2"/>
  <c r="T1840" i="2"/>
  <c r="U1840" i="2"/>
  <c r="T1015" i="2"/>
  <c r="U1015" i="2"/>
  <c r="W2946" i="2" l="1"/>
  <c r="X2946" i="2" s="1"/>
  <c r="S2947" i="2"/>
  <c r="W1840" i="2"/>
  <c r="X1840" i="2" s="1"/>
  <c r="S1841" i="2"/>
  <c r="W1015" i="2"/>
  <c r="X1015" i="2" s="1"/>
  <c r="S1016" i="2"/>
  <c r="U2947" i="2"/>
  <c r="T2947" i="2"/>
  <c r="T1841" i="2"/>
  <c r="U1841" i="2"/>
  <c r="U1016" i="2"/>
  <c r="T1016" i="2"/>
  <c r="W2947" i="2" l="1"/>
  <c r="X2947" i="2" s="1"/>
  <c r="S2948" i="2"/>
  <c r="W1841" i="2"/>
  <c r="X1841" i="2" s="1"/>
  <c r="S1842" i="2"/>
  <c r="W1016" i="2"/>
  <c r="X1016" i="2" s="1"/>
  <c r="S1017" i="2"/>
  <c r="U2948" i="2"/>
  <c r="T2948" i="2"/>
  <c r="U1842" i="2"/>
  <c r="T1842" i="2"/>
  <c r="U1017" i="2"/>
  <c r="T1017" i="2"/>
  <c r="W2948" i="2" l="1"/>
  <c r="X2948" i="2" s="1"/>
  <c r="S2949" i="2"/>
  <c r="W1842" i="2"/>
  <c r="X1842" i="2" s="1"/>
  <c r="S1843" i="2"/>
  <c r="W1017" i="2"/>
  <c r="X1017" i="2" s="1"/>
  <c r="S1018" i="2"/>
  <c r="U2949" i="2"/>
  <c r="T2949" i="2"/>
  <c r="U1843" i="2"/>
  <c r="T1843" i="2"/>
  <c r="U1018" i="2"/>
  <c r="T1018" i="2"/>
  <c r="W2949" i="2" l="1"/>
  <c r="X2949" i="2" s="1"/>
  <c r="S2950" i="2"/>
  <c r="W1843" i="2"/>
  <c r="X1843" i="2" s="1"/>
  <c r="S1844" i="2"/>
  <c r="W1018" i="2"/>
  <c r="X1018" i="2" s="1"/>
  <c r="S1019" i="2"/>
  <c r="U2950" i="2"/>
  <c r="T2950" i="2"/>
  <c r="T1844" i="2"/>
  <c r="U1844" i="2"/>
  <c r="T1019" i="2"/>
  <c r="U1019" i="2"/>
  <c r="W2950" i="2" l="1"/>
  <c r="X2950" i="2" s="1"/>
  <c r="S2951" i="2"/>
  <c r="W1844" i="2"/>
  <c r="X1844" i="2" s="1"/>
  <c r="S1845" i="2"/>
  <c r="W1019" i="2"/>
  <c r="X1019" i="2" s="1"/>
  <c r="S1020" i="2"/>
  <c r="U2951" i="2"/>
  <c r="T2951" i="2"/>
  <c r="T1845" i="2"/>
  <c r="U1845" i="2"/>
  <c r="U1020" i="2"/>
  <c r="T1020" i="2"/>
  <c r="W2951" i="2" l="1"/>
  <c r="X2951" i="2" s="1"/>
  <c r="S2952" i="2"/>
  <c r="W1845" i="2"/>
  <c r="X1845" i="2" s="1"/>
  <c r="S1846" i="2"/>
  <c r="W1020" i="2"/>
  <c r="X1020" i="2" s="1"/>
  <c r="S1021" i="2"/>
  <c r="U2952" i="2"/>
  <c r="T2952" i="2"/>
  <c r="T1846" i="2"/>
  <c r="U1846" i="2"/>
  <c r="U1021" i="2"/>
  <c r="T1021" i="2"/>
  <c r="W2952" i="2" l="1"/>
  <c r="X2952" i="2" s="1"/>
  <c r="S2953" i="2"/>
  <c r="W1846" i="2"/>
  <c r="X1846" i="2" s="1"/>
  <c r="S1847" i="2"/>
  <c r="W1021" i="2"/>
  <c r="X1021" i="2" s="1"/>
  <c r="S1022" i="2"/>
  <c r="U2953" i="2"/>
  <c r="T2953" i="2"/>
  <c r="U1847" i="2"/>
  <c r="T1847" i="2"/>
  <c r="U1022" i="2"/>
  <c r="T1022" i="2"/>
  <c r="W2953" i="2" l="1"/>
  <c r="X2953" i="2" s="1"/>
  <c r="S2954" i="2"/>
  <c r="W1847" i="2"/>
  <c r="X1847" i="2" s="1"/>
  <c r="S1848" i="2"/>
  <c r="W1022" i="2"/>
  <c r="X1022" i="2" s="1"/>
  <c r="S1023" i="2"/>
  <c r="U2954" i="2"/>
  <c r="T2954" i="2"/>
  <c r="T1848" i="2"/>
  <c r="U1848" i="2"/>
  <c r="T1023" i="2"/>
  <c r="U1023" i="2"/>
  <c r="W2954" i="2" l="1"/>
  <c r="X2954" i="2" s="1"/>
  <c r="S2955" i="2"/>
  <c r="W1848" i="2"/>
  <c r="X1848" i="2" s="1"/>
  <c r="S1849" i="2"/>
  <c r="W1023" i="2"/>
  <c r="X1023" i="2" s="1"/>
  <c r="S1024" i="2"/>
  <c r="U2955" i="2"/>
  <c r="T2955" i="2"/>
  <c r="T1849" i="2"/>
  <c r="U1849" i="2"/>
  <c r="U1024" i="2"/>
  <c r="T1024" i="2"/>
  <c r="W2955" i="2" l="1"/>
  <c r="X2955" i="2" s="1"/>
  <c r="S2956" i="2"/>
  <c r="W1849" i="2"/>
  <c r="X1849" i="2" s="1"/>
  <c r="S1850" i="2"/>
  <c r="W1024" i="2"/>
  <c r="X1024" i="2" s="1"/>
  <c r="S1025" i="2"/>
  <c r="U2956" i="2"/>
  <c r="T2956" i="2"/>
  <c r="T1850" i="2"/>
  <c r="U1850" i="2"/>
  <c r="T1025" i="2"/>
  <c r="U1025" i="2"/>
  <c r="W2956" i="2" l="1"/>
  <c r="X2956" i="2" s="1"/>
  <c r="S2957" i="2"/>
  <c r="W1850" i="2"/>
  <c r="X1850" i="2" s="1"/>
  <c r="S1851" i="2"/>
  <c r="W1025" i="2"/>
  <c r="X1025" i="2" s="1"/>
  <c r="S1026" i="2"/>
  <c r="U2957" i="2"/>
  <c r="T2957" i="2"/>
  <c r="U1851" i="2"/>
  <c r="T1851" i="2"/>
  <c r="U1026" i="2"/>
  <c r="T1026" i="2"/>
  <c r="W2957" i="2" l="1"/>
  <c r="X2957" i="2" s="1"/>
  <c r="S2958" i="2"/>
  <c r="W1851" i="2"/>
  <c r="X1851" i="2" s="1"/>
  <c r="S1852" i="2"/>
  <c r="W1026" i="2"/>
  <c r="X1026" i="2" s="1"/>
  <c r="S1027" i="2"/>
  <c r="U2958" i="2"/>
  <c r="T2958" i="2"/>
  <c r="U1852" i="2"/>
  <c r="T1852" i="2"/>
  <c r="T1027" i="2"/>
  <c r="U1027" i="2"/>
  <c r="W2958" i="2" l="1"/>
  <c r="X2958" i="2" s="1"/>
  <c r="S2959" i="2"/>
  <c r="W1852" i="2"/>
  <c r="X1852" i="2" s="1"/>
  <c r="S1853" i="2"/>
  <c r="W1027" i="2"/>
  <c r="X1027" i="2" s="1"/>
  <c r="S1028" i="2"/>
  <c r="U2959" i="2"/>
  <c r="T2959" i="2"/>
  <c r="T1853" i="2"/>
  <c r="U1853" i="2"/>
  <c r="U1028" i="2"/>
  <c r="T1028" i="2"/>
  <c r="W2959" i="2" l="1"/>
  <c r="X2959" i="2" s="1"/>
  <c r="S2960" i="2"/>
  <c r="W1853" i="2"/>
  <c r="X1853" i="2" s="1"/>
  <c r="S1854" i="2"/>
  <c r="W1028" i="2"/>
  <c r="X1028" i="2" s="1"/>
  <c r="S1029" i="2"/>
  <c r="U2960" i="2"/>
  <c r="T2960" i="2"/>
  <c r="T1854" i="2"/>
  <c r="U1854" i="2"/>
  <c r="U1029" i="2"/>
  <c r="T1029" i="2"/>
  <c r="W2960" i="2" l="1"/>
  <c r="X2960" i="2" s="1"/>
  <c r="S2961" i="2"/>
  <c r="W1854" i="2"/>
  <c r="X1854" i="2" s="1"/>
  <c r="S1855" i="2"/>
  <c r="W1029" i="2"/>
  <c r="X1029" i="2" s="1"/>
  <c r="S1030" i="2"/>
  <c r="U2961" i="2"/>
  <c r="T2961" i="2"/>
  <c r="U1855" i="2"/>
  <c r="T1855" i="2"/>
  <c r="U1030" i="2"/>
  <c r="T1030" i="2"/>
  <c r="W2961" i="2" l="1"/>
  <c r="X2961" i="2" s="1"/>
  <c r="S2962" i="2"/>
  <c r="W1855" i="2"/>
  <c r="X1855" i="2" s="1"/>
  <c r="S1856" i="2"/>
  <c r="W1030" i="2"/>
  <c r="X1030" i="2" s="1"/>
  <c r="S1031" i="2"/>
  <c r="U2962" i="2"/>
  <c r="T2962" i="2"/>
  <c r="U1856" i="2"/>
  <c r="T1856" i="2"/>
  <c r="T1031" i="2"/>
  <c r="U1031" i="2"/>
  <c r="W2962" i="2" l="1"/>
  <c r="X2962" i="2" s="1"/>
  <c r="S2963" i="2"/>
  <c r="W1856" i="2"/>
  <c r="X1856" i="2" s="1"/>
  <c r="S1857" i="2"/>
  <c r="W1031" i="2"/>
  <c r="X1031" i="2" s="1"/>
  <c r="S1032" i="2"/>
  <c r="U2963" i="2"/>
  <c r="T2963" i="2"/>
  <c r="T1857" i="2"/>
  <c r="U1857" i="2"/>
  <c r="U1032" i="2"/>
  <c r="T1032" i="2"/>
  <c r="W2963" i="2" l="1"/>
  <c r="X2963" i="2" s="1"/>
  <c r="S2964" i="2"/>
  <c r="W1857" i="2"/>
  <c r="X1857" i="2" s="1"/>
  <c r="S1858" i="2"/>
  <c r="W1032" i="2"/>
  <c r="X1032" i="2" s="1"/>
  <c r="S1033" i="2"/>
  <c r="U2964" i="2"/>
  <c r="T2964" i="2"/>
  <c r="T1858" i="2"/>
  <c r="U1858" i="2"/>
  <c r="U1033" i="2"/>
  <c r="T1033" i="2"/>
  <c r="W2964" i="2" l="1"/>
  <c r="X2964" i="2" s="1"/>
  <c r="S2965" i="2"/>
  <c r="W1858" i="2"/>
  <c r="X1858" i="2" s="1"/>
  <c r="S1859" i="2"/>
  <c r="W1033" i="2"/>
  <c r="X1033" i="2" s="1"/>
  <c r="S1034" i="2"/>
  <c r="U2965" i="2"/>
  <c r="T2965" i="2"/>
  <c r="U1859" i="2"/>
  <c r="T1859" i="2"/>
  <c r="U1034" i="2"/>
  <c r="T1034" i="2"/>
  <c r="W2965" i="2" l="1"/>
  <c r="X2965" i="2" s="1"/>
  <c r="S2966" i="2"/>
  <c r="W1859" i="2"/>
  <c r="X1859" i="2" s="1"/>
  <c r="S1860" i="2"/>
  <c r="W1034" i="2"/>
  <c r="X1034" i="2" s="1"/>
  <c r="S1035" i="2"/>
  <c r="U2966" i="2"/>
  <c r="T2966" i="2"/>
  <c r="U1860" i="2"/>
  <c r="T1860" i="2"/>
  <c r="T1035" i="2"/>
  <c r="U1035" i="2"/>
  <c r="W2966" i="2" l="1"/>
  <c r="X2966" i="2" s="1"/>
  <c r="S2967" i="2"/>
  <c r="W1860" i="2"/>
  <c r="X1860" i="2" s="1"/>
  <c r="S1861" i="2"/>
  <c r="W1035" i="2"/>
  <c r="X1035" i="2" s="1"/>
  <c r="S1036" i="2"/>
  <c r="U2967" i="2"/>
  <c r="T2967" i="2"/>
  <c r="T1861" i="2"/>
  <c r="U1861" i="2"/>
  <c r="U1036" i="2"/>
  <c r="T1036" i="2"/>
  <c r="W2967" i="2" l="1"/>
  <c r="X2967" i="2" s="1"/>
  <c r="S2968" i="2"/>
  <c r="W1861" i="2"/>
  <c r="X1861" i="2" s="1"/>
  <c r="S1862" i="2"/>
  <c r="W1036" i="2"/>
  <c r="X1036" i="2" s="1"/>
  <c r="S1037" i="2"/>
  <c r="U2968" i="2"/>
  <c r="T2968" i="2"/>
  <c r="T1862" i="2"/>
  <c r="U1862" i="2"/>
  <c r="T1037" i="2"/>
  <c r="U1037" i="2"/>
  <c r="W2968" i="2" l="1"/>
  <c r="X2968" i="2" s="1"/>
  <c r="S2969" i="2"/>
  <c r="W1862" i="2"/>
  <c r="X1862" i="2" s="1"/>
  <c r="S1863" i="2"/>
  <c r="W1037" i="2"/>
  <c r="X1037" i="2" s="1"/>
  <c r="S1038" i="2"/>
  <c r="U2969" i="2"/>
  <c r="T2969" i="2"/>
  <c r="U1863" i="2"/>
  <c r="T1863" i="2"/>
  <c r="U1038" i="2"/>
  <c r="T1038" i="2"/>
  <c r="W2969" i="2" l="1"/>
  <c r="X2969" i="2" s="1"/>
  <c r="S2970" i="2"/>
  <c r="W1863" i="2"/>
  <c r="X1863" i="2" s="1"/>
  <c r="S1864" i="2"/>
  <c r="W1038" i="2"/>
  <c r="X1038" i="2" s="1"/>
  <c r="S1039" i="2"/>
  <c r="U2970" i="2"/>
  <c r="T2970" i="2"/>
  <c r="U1864" i="2"/>
  <c r="T1864" i="2"/>
  <c r="T1039" i="2"/>
  <c r="U1039" i="2"/>
  <c r="W2970" i="2" l="1"/>
  <c r="X2970" i="2" s="1"/>
  <c r="S2971" i="2"/>
  <c r="W1864" i="2"/>
  <c r="X1864" i="2" s="1"/>
  <c r="S1865" i="2"/>
  <c r="W1039" i="2"/>
  <c r="X1039" i="2" s="1"/>
  <c r="S1040" i="2"/>
  <c r="U2971" i="2"/>
  <c r="T2971" i="2"/>
  <c r="T1865" i="2"/>
  <c r="U1865" i="2"/>
  <c r="U1040" i="2"/>
  <c r="T1040" i="2"/>
  <c r="W2971" i="2" l="1"/>
  <c r="X2971" i="2" s="1"/>
  <c r="S2972" i="2"/>
  <c r="W1865" i="2"/>
  <c r="X1865" i="2" s="1"/>
  <c r="S1866" i="2"/>
  <c r="W1040" i="2"/>
  <c r="X1040" i="2" s="1"/>
  <c r="S1041" i="2"/>
  <c r="U2972" i="2"/>
  <c r="T2972" i="2"/>
  <c r="T1866" i="2"/>
  <c r="U1866" i="2"/>
  <c r="T1041" i="2"/>
  <c r="U1041" i="2"/>
  <c r="W2972" i="2" l="1"/>
  <c r="X2972" i="2" s="1"/>
  <c r="S2973" i="2"/>
  <c r="W1866" i="2"/>
  <c r="X1866" i="2" s="1"/>
  <c r="S1867" i="2"/>
  <c r="W1041" i="2"/>
  <c r="X1041" i="2" s="1"/>
  <c r="S1042" i="2"/>
  <c r="U2973" i="2"/>
  <c r="T2973" i="2"/>
  <c r="U1867" i="2"/>
  <c r="T1867" i="2"/>
  <c r="U1042" i="2"/>
  <c r="T1042" i="2"/>
  <c r="W2973" i="2" l="1"/>
  <c r="X2973" i="2" s="1"/>
  <c r="S2974" i="2"/>
  <c r="W1867" i="2"/>
  <c r="X1867" i="2" s="1"/>
  <c r="S1868" i="2"/>
  <c r="W1042" i="2"/>
  <c r="X1042" i="2" s="1"/>
  <c r="S1043" i="2"/>
  <c r="U2974" i="2"/>
  <c r="T2974" i="2"/>
  <c r="U1868" i="2"/>
  <c r="T1868" i="2"/>
  <c r="T1043" i="2"/>
  <c r="U1043" i="2"/>
  <c r="W2974" i="2" l="1"/>
  <c r="X2974" i="2" s="1"/>
  <c r="S2975" i="2"/>
  <c r="W1868" i="2"/>
  <c r="X1868" i="2" s="1"/>
  <c r="S1869" i="2"/>
  <c r="W1043" i="2"/>
  <c r="X1043" i="2" s="1"/>
  <c r="S1044" i="2"/>
  <c r="U2975" i="2"/>
  <c r="T2975" i="2"/>
  <c r="T1869" i="2"/>
  <c r="U1869" i="2"/>
  <c r="U1044" i="2"/>
  <c r="T1044" i="2"/>
  <c r="W2975" i="2" l="1"/>
  <c r="X2975" i="2" s="1"/>
  <c r="S2976" i="2"/>
  <c r="W1869" i="2"/>
  <c r="X1869" i="2" s="1"/>
  <c r="S1870" i="2"/>
  <c r="W1044" i="2"/>
  <c r="X1044" i="2" s="1"/>
  <c r="S1045" i="2"/>
  <c r="U2976" i="2"/>
  <c r="T2976" i="2"/>
  <c r="T1870" i="2"/>
  <c r="U1870" i="2"/>
  <c r="U1045" i="2"/>
  <c r="T1045" i="2"/>
  <c r="W2976" i="2" l="1"/>
  <c r="X2976" i="2" s="1"/>
  <c r="S2977" i="2"/>
  <c r="W1870" i="2"/>
  <c r="X1870" i="2" s="1"/>
  <c r="S1871" i="2"/>
  <c r="W1045" i="2"/>
  <c r="X1045" i="2" s="1"/>
  <c r="S1046" i="2"/>
  <c r="U2977" i="2"/>
  <c r="T2977" i="2"/>
  <c r="U1871" i="2"/>
  <c r="T1871" i="2"/>
  <c r="U1046" i="2"/>
  <c r="T1046" i="2"/>
  <c r="W2977" i="2" l="1"/>
  <c r="X2977" i="2" s="1"/>
  <c r="S2978" i="2"/>
  <c r="W1871" i="2"/>
  <c r="X1871" i="2" s="1"/>
  <c r="S1872" i="2"/>
  <c r="W1046" i="2"/>
  <c r="X1046" i="2" s="1"/>
  <c r="S1047" i="2"/>
  <c r="U2978" i="2"/>
  <c r="T2978" i="2"/>
  <c r="U1872" i="2"/>
  <c r="T1872" i="2"/>
  <c r="T1047" i="2"/>
  <c r="U1047" i="2"/>
  <c r="W2978" i="2" l="1"/>
  <c r="X2978" i="2" s="1"/>
  <c r="S2979" i="2"/>
  <c r="W1872" i="2"/>
  <c r="X1872" i="2" s="1"/>
  <c r="S1873" i="2"/>
  <c r="W1047" i="2"/>
  <c r="X1047" i="2" s="1"/>
  <c r="S1048" i="2"/>
  <c r="U2979" i="2"/>
  <c r="T2979" i="2"/>
  <c r="T1873" i="2"/>
  <c r="U1873" i="2"/>
  <c r="U1048" i="2"/>
  <c r="T1048" i="2"/>
  <c r="W2979" i="2" l="1"/>
  <c r="X2979" i="2" s="1"/>
  <c r="S2980" i="2"/>
  <c r="W1873" i="2"/>
  <c r="X1873" i="2" s="1"/>
  <c r="S1874" i="2"/>
  <c r="W1048" i="2"/>
  <c r="X1048" i="2" s="1"/>
  <c r="S1049" i="2"/>
  <c r="U2980" i="2"/>
  <c r="T2980" i="2"/>
  <c r="T1874" i="2"/>
  <c r="U1874" i="2"/>
  <c r="U1049" i="2"/>
  <c r="T1049" i="2"/>
  <c r="W2980" i="2" l="1"/>
  <c r="X2980" i="2" s="1"/>
  <c r="S2981" i="2"/>
  <c r="W1874" i="2"/>
  <c r="X1874" i="2" s="1"/>
  <c r="S1875" i="2"/>
  <c r="W1049" i="2"/>
  <c r="X1049" i="2" s="1"/>
  <c r="S1050" i="2"/>
  <c r="U2981" i="2"/>
  <c r="T2981" i="2"/>
  <c r="U1875" i="2"/>
  <c r="T1875" i="2"/>
  <c r="U1050" i="2"/>
  <c r="T1050" i="2"/>
  <c r="W2981" i="2" l="1"/>
  <c r="X2981" i="2" s="1"/>
  <c r="S2982" i="2"/>
  <c r="W1875" i="2"/>
  <c r="X1875" i="2" s="1"/>
  <c r="S1876" i="2"/>
  <c r="W1050" i="2"/>
  <c r="X1050" i="2" s="1"/>
  <c r="S1051" i="2"/>
  <c r="U2982" i="2"/>
  <c r="T2982" i="2"/>
  <c r="U1876" i="2"/>
  <c r="T1876" i="2"/>
  <c r="T1051" i="2"/>
  <c r="U1051" i="2"/>
  <c r="W2982" i="2" l="1"/>
  <c r="X2982" i="2" s="1"/>
  <c r="S2983" i="2"/>
  <c r="W1876" i="2"/>
  <c r="X1876" i="2" s="1"/>
  <c r="S1877" i="2"/>
  <c r="W1051" i="2"/>
  <c r="X1051" i="2" s="1"/>
  <c r="S1052" i="2"/>
  <c r="U2983" i="2"/>
  <c r="T2983" i="2"/>
  <c r="T1877" i="2"/>
  <c r="U1877" i="2"/>
  <c r="U1052" i="2"/>
  <c r="T1052" i="2"/>
  <c r="W2983" i="2" l="1"/>
  <c r="X2983" i="2" s="1"/>
  <c r="S2984" i="2"/>
  <c r="W1877" i="2"/>
  <c r="X1877" i="2" s="1"/>
  <c r="S1878" i="2"/>
  <c r="W1052" i="2"/>
  <c r="X1052" i="2" s="1"/>
  <c r="S1053" i="2"/>
  <c r="U2984" i="2"/>
  <c r="T2984" i="2"/>
  <c r="T1878" i="2"/>
  <c r="U1878" i="2"/>
  <c r="U1053" i="2"/>
  <c r="T1053" i="2"/>
  <c r="W2984" i="2" l="1"/>
  <c r="X2984" i="2" s="1"/>
  <c r="S2985" i="2"/>
  <c r="W1878" i="2"/>
  <c r="X1878" i="2" s="1"/>
  <c r="S1879" i="2"/>
  <c r="W1053" i="2"/>
  <c r="X1053" i="2" s="1"/>
  <c r="S1054" i="2"/>
  <c r="U2985" i="2"/>
  <c r="T2985" i="2"/>
  <c r="U1879" i="2"/>
  <c r="T1879" i="2"/>
  <c r="U1054" i="2"/>
  <c r="T1054" i="2"/>
  <c r="W2985" i="2" l="1"/>
  <c r="X2985" i="2" s="1"/>
  <c r="S2986" i="2"/>
  <c r="W1879" i="2"/>
  <c r="X1879" i="2" s="1"/>
  <c r="S1880" i="2"/>
  <c r="W1054" i="2"/>
  <c r="X1054" i="2" s="1"/>
  <c r="S1055" i="2"/>
  <c r="U2986" i="2"/>
  <c r="T2986" i="2"/>
  <c r="U1880" i="2"/>
  <c r="T1880" i="2"/>
  <c r="T1055" i="2"/>
  <c r="U1055" i="2"/>
  <c r="W2986" i="2" l="1"/>
  <c r="X2986" i="2" s="1"/>
  <c r="S2987" i="2"/>
  <c r="W1880" i="2"/>
  <c r="X1880" i="2" s="1"/>
  <c r="S1881" i="2"/>
  <c r="W1055" i="2"/>
  <c r="X1055" i="2" s="1"/>
  <c r="S1056" i="2"/>
  <c r="U2987" i="2"/>
  <c r="T2987" i="2"/>
  <c r="T1881" i="2"/>
  <c r="U1881" i="2"/>
  <c r="U1056" i="2"/>
  <c r="T1056" i="2"/>
  <c r="W2987" i="2" l="1"/>
  <c r="X2987" i="2" s="1"/>
  <c r="S2988" i="2"/>
  <c r="W1881" i="2"/>
  <c r="X1881" i="2" s="1"/>
  <c r="S1882" i="2"/>
  <c r="W1056" i="2"/>
  <c r="X1056" i="2" s="1"/>
  <c r="S1057" i="2"/>
  <c r="U2988" i="2"/>
  <c r="T2988" i="2"/>
  <c r="T1882" i="2"/>
  <c r="U1882" i="2"/>
  <c r="T1057" i="2"/>
  <c r="U1057" i="2"/>
  <c r="W2988" i="2" l="1"/>
  <c r="X2988" i="2" s="1"/>
  <c r="S2989" i="2"/>
  <c r="W1882" i="2"/>
  <c r="X1882" i="2" s="1"/>
  <c r="S1883" i="2"/>
  <c r="W1057" i="2"/>
  <c r="X1057" i="2" s="1"/>
  <c r="S1058" i="2"/>
  <c r="U2989" i="2"/>
  <c r="T2989" i="2"/>
  <c r="U1883" i="2"/>
  <c r="T1883" i="2"/>
  <c r="U1058" i="2"/>
  <c r="T1058" i="2"/>
  <c r="W2989" i="2" l="1"/>
  <c r="X2989" i="2" s="1"/>
  <c r="S2990" i="2"/>
  <c r="W1883" i="2"/>
  <c r="X1883" i="2" s="1"/>
  <c r="S1884" i="2"/>
  <c r="W1058" i="2"/>
  <c r="X1058" i="2" s="1"/>
  <c r="S1059" i="2"/>
  <c r="U2990" i="2"/>
  <c r="T2990" i="2"/>
  <c r="U1884" i="2"/>
  <c r="T1884" i="2"/>
  <c r="T1059" i="2"/>
  <c r="U1059" i="2"/>
  <c r="W2990" i="2" l="1"/>
  <c r="X2990" i="2" s="1"/>
  <c r="S2991" i="2"/>
  <c r="W1884" i="2"/>
  <c r="X1884" i="2" s="1"/>
  <c r="S1885" i="2"/>
  <c r="W1059" i="2"/>
  <c r="X1059" i="2" s="1"/>
  <c r="S1060" i="2"/>
  <c r="U2991" i="2"/>
  <c r="T2991" i="2"/>
  <c r="T1885" i="2"/>
  <c r="U1885" i="2"/>
  <c r="U1060" i="2"/>
  <c r="T1060" i="2"/>
  <c r="W2991" i="2" l="1"/>
  <c r="X2991" i="2" s="1"/>
  <c r="S2992" i="2"/>
  <c r="W1885" i="2"/>
  <c r="X1885" i="2" s="1"/>
  <c r="S1886" i="2"/>
  <c r="W1060" i="2"/>
  <c r="X1060" i="2" s="1"/>
  <c r="S1061" i="2"/>
  <c r="U2992" i="2"/>
  <c r="T2992" i="2"/>
  <c r="T1886" i="2"/>
  <c r="U1886" i="2"/>
  <c r="T1061" i="2"/>
  <c r="U1061" i="2"/>
  <c r="W2992" i="2" l="1"/>
  <c r="X2992" i="2" s="1"/>
  <c r="S2993" i="2"/>
  <c r="W1886" i="2"/>
  <c r="X1886" i="2" s="1"/>
  <c r="S1887" i="2"/>
  <c r="W1061" i="2"/>
  <c r="X1061" i="2" s="1"/>
  <c r="S1062" i="2"/>
  <c r="U2993" i="2"/>
  <c r="T2993" i="2"/>
  <c r="U1887" i="2"/>
  <c r="T1887" i="2"/>
  <c r="U1062" i="2"/>
  <c r="T1062" i="2"/>
  <c r="W2993" i="2" l="1"/>
  <c r="X2993" i="2" s="1"/>
  <c r="S2994" i="2"/>
  <c r="W1887" i="2"/>
  <c r="X1887" i="2" s="1"/>
  <c r="S1888" i="2"/>
  <c r="W1062" i="2"/>
  <c r="X1062" i="2" s="1"/>
  <c r="S1063" i="2"/>
  <c r="U2994" i="2"/>
  <c r="T2994" i="2"/>
  <c r="U1888" i="2"/>
  <c r="T1888" i="2"/>
  <c r="T1063" i="2"/>
  <c r="U1063" i="2"/>
  <c r="W2994" i="2" l="1"/>
  <c r="X2994" i="2" s="1"/>
  <c r="S2995" i="2"/>
  <c r="W1888" i="2"/>
  <c r="X1888" i="2" s="1"/>
  <c r="S1889" i="2"/>
  <c r="W1063" i="2"/>
  <c r="X1063" i="2" s="1"/>
  <c r="S1064" i="2"/>
  <c r="U2995" i="2"/>
  <c r="T2995" i="2"/>
  <c r="T1889" i="2"/>
  <c r="U1889" i="2"/>
  <c r="U1064" i="2"/>
  <c r="T1064" i="2"/>
  <c r="W2995" i="2" l="1"/>
  <c r="X2995" i="2" s="1"/>
  <c r="S2996" i="2"/>
  <c r="W1889" i="2"/>
  <c r="X1889" i="2" s="1"/>
  <c r="S1890" i="2"/>
  <c r="W1064" i="2"/>
  <c r="X1064" i="2" s="1"/>
  <c r="S1065" i="2"/>
  <c r="U2996" i="2"/>
  <c r="T2996" i="2"/>
  <c r="T1890" i="2"/>
  <c r="U1890" i="2"/>
  <c r="U1065" i="2"/>
  <c r="T1065" i="2"/>
  <c r="W2996" i="2" l="1"/>
  <c r="X2996" i="2" s="1"/>
  <c r="S2997" i="2"/>
  <c r="W1890" i="2"/>
  <c r="X1890" i="2" s="1"/>
  <c r="S1891" i="2"/>
  <c r="W1065" i="2"/>
  <c r="X1065" i="2" s="1"/>
  <c r="S1066" i="2"/>
  <c r="U2997" i="2"/>
  <c r="T2997" i="2"/>
  <c r="U1891" i="2"/>
  <c r="T1891" i="2"/>
  <c r="U1066" i="2"/>
  <c r="T1066" i="2"/>
  <c r="W2997" i="2" l="1"/>
  <c r="X2997" i="2" s="1"/>
  <c r="S2998" i="2"/>
  <c r="W1891" i="2"/>
  <c r="X1891" i="2" s="1"/>
  <c r="S1892" i="2"/>
  <c r="W1066" i="2"/>
  <c r="X1066" i="2" s="1"/>
  <c r="S1067" i="2"/>
  <c r="U2998" i="2"/>
  <c r="T2998" i="2"/>
  <c r="U1892" i="2"/>
  <c r="T1892" i="2"/>
  <c r="T1067" i="2"/>
  <c r="U1067" i="2"/>
  <c r="W2998" i="2" l="1"/>
  <c r="X2998" i="2" s="1"/>
  <c r="S2999" i="2"/>
  <c r="W1892" i="2"/>
  <c r="X1892" i="2" s="1"/>
  <c r="S1893" i="2"/>
  <c r="W1067" i="2"/>
  <c r="X1067" i="2" s="1"/>
  <c r="S1068" i="2"/>
  <c r="U2999" i="2"/>
  <c r="T2999" i="2"/>
  <c r="T1893" i="2"/>
  <c r="U1893" i="2"/>
  <c r="U1068" i="2"/>
  <c r="T1068" i="2"/>
  <c r="W2999" i="2" l="1"/>
  <c r="X2999" i="2" s="1"/>
  <c r="S3000" i="2"/>
  <c r="W1893" i="2"/>
  <c r="X1893" i="2" s="1"/>
  <c r="S1894" i="2"/>
  <c r="W1068" i="2"/>
  <c r="X1068" i="2" s="1"/>
  <c r="S1069" i="2"/>
  <c r="U3000" i="2"/>
  <c r="T3000" i="2"/>
  <c r="T1894" i="2"/>
  <c r="U1894" i="2"/>
  <c r="T1069" i="2"/>
  <c r="U1069" i="2"/>
  <c r="W3000" i="2" l="1"/>
  <c r="X3000" i="2" s="1"/>
  <c r="S3001" i="2"/>
  <c r="W1894" i="2"/>
  <c r="X1894" i="2" s="1"/>
  <c r="S1895" i="2"/>
  <c r="W1069" i="2"/>
  <c r="X1069" i="2" s="1"/>
  <c r="S1070" i="2"/>
  <c r="U3001" i="2"/>
  <c r="T3001" i="2"/>
  <c r="U1895" i="2"/>
  <c r="T1895" i="2"/>
  <c r="U1070" i="2"/>
  <c r="T1070" i="2"/>
  <c r="W3001" i="2" l="1"/>
  <c r="X3001" i="2" s="1"/>
  <c r="S3002" i="2"/>
  <c r="W1895" i="2"/>
  <c r="X1895" i="2" s="1"/>
  <c r="S1896" i="2"/>
  <c r="W1070" i="2"/>
  <c r="X1070" i="2" s="1"/>
  <c r="S1071" i="2"/>
  <c r="U3002" i="2"/>
  <c r="T3002" i="2"/>
  <c r="U1896" i="2"/>
  <c r="T1896" i="2"/>
  <c r="T1071" i="2"/>
  <c r="U1071" i="2"/>
  <c r="W3002" i="2" l="1"/>
  <c r="X3002" i="2" s="1"/>
  <c r="S3003" i="2"/>
  <c r="W1896" i="2"/>
  <c r="X1896" i="2" s="1"/>
  <c r="S1897" i="2"/>
  <c r="W1071" i="2"/>
  <c r="X1071" i="2" s="1"/>
  <c r="S1072" i="2"/>
  <c r="T3003" i="2"/>
  <c r="U3003" i="2"/>
  <c r="T1897" i="2"/>
  <c r="U1897" i="2"/>
  <c r="U1072" i="2"/>
  <c r="T1072" i="2"/>
  <c r="W3003" i="2" l="1"/>
  <c r="X3003" i="2" s="1"/>
  <c r="S3004" i="2"/>
  <c r="W1897" i="2"/>
  <c r="X1897" i="2" s="1"/>
  <c r="S1898" i="2"/>
  <c r="W1072" i="2"/>
  <c r="X1072" i="2" s="1"/>
  <c r="S1073" i="2"/>
  <c r="U3004" i="2"/>
  <c r="T3004" i="2"/>
  <c r="T1898" i="2"/>
  <c r="U1898" i="2"/>
  <c r="T1073" i="2"/>
  <c r="U1073" i="2"/>
  <c r="W3004" i="2" l="1"/>
  <c r="X3004" i="2" s="1"/>
  <c r="S3005" i="2"/>
  <c r="W1898" i="2"/>
  <c r="X1898" i="2" s="1"/>
  <c r="S1899" i="2"/>
  <c r="W1073" i="2"/>
  <c r="X1073" i="2" s="1"/>
  <c r="S1074" i="2"/>
  <c r="U3005" i="2"/>
  <c r="T3005" i="2"/>
  <c r="U1899" i="2"/>
  <c r="T1899" i="2"/>
  <c r="U1074" i="2"/>
  <c r="T1074" i="2"/>
  <c r="W3005" i="2" l="1"/>
  <c r="X3005" i="2" s="1"/>
  <c r="S3006" i="2"/>
  <c r="W1899" i="2"/>
  <c r="X1899" i="2" s="1"/>
  <c r="S1900" i="2"/>
  <c r="W1074" i="2"/>
  <c r="X1074" i="2" s="1"/>
  <c r="S1075" i="2"/>
  <c r="U3006" i="2"/>
  <c r="T3006" i="2"/>
  <c r="U1900" i="2"/>
  <c r="T1900" i="2"/>
  <c r="T1075" i="2"/>
  <c r="U1075" i="2"/>
  <c r="W3006" i="2" l="1"/>
  <c r="X3006" i="2" s="1"/>
  <c r="S3007" i="2"/>
  <c r="W1900" i="2"/>
  <c r="X1900" i="2" s="1"/>
  <c r="S1901" i="2"/>
  <c r="W1075" i="2"/>
  <c r="X1075" i="2" s="1"/>
  <c r="S1076" i="2"/>
  <c r="U3007" i="2"/>
  <c r="T3007" i="2"/>
  <c r="T1901" i="2"/>
  <c r="U1901" i="2"/>
  <c r="U1076" i="2"/>
  <c r="T1076" i="2"/>
  <c r="W3007" i="2" l="1"/>
  <c r="X3007" i="2" s="1"/>
  <c r="S3008" i="2"/>
  <c r="W1901" i="2"/>
  <c r="X1901" i="2" s="1"/>
  <c r="S1902" i="2"/>
  <c r="W1076" i="2"/>
  <c r="X1076" i="2" s="1"/>
  <c r="S1077" i="2"/>
  <c r="U3008" i="2"/>
  <c r="T3008" i="2"/>
  <c r="T1902" i="2"/>
  <c r="U1902" i="2"/>
  <c r="U1077" i="2"/>
  <c r="T1077" i="2"/>
  <c r="W3008" i="2" l="1"/>
  <c r="X3008" i="2" s="1"/>
  <c r="S3009" i="2"/>
  <c r="W1902" i="2"/>
  <c r="X1902" i="2" s="1"/>
  <c r="S1903" i="2"/>
  <c r="W1077" i="2"/>
  <c r="X1077" i="2" s="1"/>
  <c r="S1078" i="2"/>
  <c r="U3009" i="2"/>
  <c r="T3009" i="2"/>
  <c r="U1903" i="2"/>
  <c r="T1903" i="2"/>
  <c r="U1078" i="2"/>
  <c r="T1078" i="2"/>
  <c r="W3009" i="2" l="1"/>
  <c r="X3009" i="2" s="1"/>
  <c r="S3010" i="2"/>
  <c r="W1903" i="2"/>
  <c r="X1903" i="2" s="1"/>
  <c r="S1904" i="2"/>
  <c r="W1078" i="2"/>
  <c r="X1078" i="2" s="1"/>
  <c r="S1079" i="2"/>
  <c r="U3010" i="2"/>
  <c r="T3010" i="2"/>
  <c r="U1904" i="2"/>
  <c r="T1904" i="2"/>
  <c r="T1079" i="2"/>
  <c r="U1079" i="2"/>
  <c r="W3010" i="2" l="1"/>
  <c r="X3010" i="2" s="1"/>
  <c r="S3011" i="2"/>
  <c r="W1904" i="2"/>
  <c r="X1904" i="2" s="1"/>
  <c r="S1905" i="2"/>
  <c r="W1079" i="2"/>
  <c r="X1079" i="2" s="1"/>
  <c r="S1080" i="2"/>
  <c r="U3011" i="2"/>
  <c r="T3011" i="2"/>
  <c r="T1905" i="2"/>
  <c r="U1905" i="2"/>
  <c r="U1080" i="2"/>
  <c r="T1080" i="2"/>
  <c r="W3011" i="2" l="1"/>
  <c r="X3011" i="2" s="1"/>
  <c r="S3012" i="2"/>
  <c r="W1905" i="2"/>
  <c r="X1905" i="2" s="1"/>
  <c r="S1906" i="2"/>
  <c r="W1080" i="2"/>
  <c r="X1080" i="2" s="1"/>
  <c r="S1081" i="2"/>
  <c r="U3012" i="2"/>
  <c r="T3012" i="2"/>
  <c r="T1906" i="2"/>
  <c r="U1906" i="2"/>
  <c r="U1081" i="2"/>
  <c r="T1081" i="2"/>
  <c r="W3012" i="2" l="1"/>
  <c r="X3012" i="2" s="1"/>
  <c r="S3013" i="2"/>
  <c r="W1906" i="2"/>
  <c r="X1906" i="2" s="1"/>
  <c r="S1907" i="2"/>
  <c r="W1081" i="2"/>
  <c r="X1081" i="2" s="1"/>
  <c r="S1082" i="2"/>
  <c r="U3013" i="2"/>
  <c r="T3013" i="2"/>
  <c r="U1907" i="2"/>
  <c r="T1907" i="2"/>
  <c r="U1082" i="2"/>
  <c r="T1082" i="2"/>
  <c r="W3013" i="2" l="1"/>
  <c r="X3013" i="2" s="1"/>
  <c r="S3014" i="2"/>
  <c r="W1907" i="2"/>
  <c r="X1907" i="2" s="1"/>
  <c r="S1908" i="2"/>
  <c r="W1082" i="2"/>
  <c r="X1082" i="2" s="1"/>
  <c r="S1083" i="2"/>
  <c r="U3014" i="2"/>
  <c r="T3014" i="2"/>
  <c r="U1908" i="2"/>
  <c r="T1908" i="2"/>
  <c r="T1083" i="2"/>
  <c r="U1083" i="2"/>
  <c r="W3014" i="2" l="1"/>
  <c r="X3014" i="2" s="1"/>
  <c r="S3015" i="2"/>
  <c r="W1908" i="2"/>
  <c r="X1908" i="2" s="1"/>
  <c r="S1909" i="2"/>
  <c r="W1083" i="2"/>
  <c r="X1083" i="2" s="1"/>
  <c r="S1084" i="2"/>
  <c r="U3015" i="2"/>
  <c r="T3015" i="2"/>
  <c r="T1909" i="2"/>
  <c r="U1909" i="2"/>
  <c r="U1084" i="2"/>
  <c r="T1084" i="2"/>
  <c r="W3015" i="2" l="1"/>
  <c r="X3015" i="2" s="1"/>
  <c r="S3016" i="2"/>
  <c r="W1909" i="2"/>
  <c r="X1909" i="2" s="1"/>
  <c r="S1910" i="2"/>
  <c r="W1084" i="2"/>
  <c r="X1084" i="2" s="1"/>
  <c r="S1085" i="2"/>
  <c r="U3016" i="2"/>
  <c r="T3016" i="2"/>
  <c r="T1910" i="2"/>
  <c r="U1910" i="2"/>
  <c r="U1085" i="2"/>
  <c r="T1085" i="2"/>
  <c r="W3016" i="2" l="1"/>
  <c r="X3016" i="2" s="1"/>
  <c r="S3017" i="2"/>
  <c r="W1910" i="2"/>
  <c r="X1910" i="2" s="1"/>
  <c r="S1911" i="2"/>
  <c r="W1085" i="2"/>
  <c r="X1085" i="2" s="1"/>
  <c r="S1086" i="2"/>
  <c r="U3017" i="2"/>
  <c r="T3017" i="2"/>
  <c r="U1911" i="2"/>
  <c r="T1911" i="2"/>
  <c r="U1086" i="2"/>
  <c r="T1086" i="2"/>
  <c r="W3017" i="2" l="1"/>
  <c r="X3017" i="2" s="1"/>
  <c r="S3018" i="2"/>
  <c r="W1911" i="2"/>
  <c r="X1911" i="2" s="1"/>
  <c r="S1912" i="2"/>
  <c r="W1086" i="2"/>
  <c r="X1086" i="2" s="1"/>
  <c r="S1087" i="2"/>
  <c r="U3018" i="2"/>
  <c r="T3018" i="2"/>
  <c r="U1912" i="2"/>
  <c r="T1912" i="2"/>
  <c r="T1087" i="2"/>
  <c r="U1087" i="2"/>
  <c r="W3018" i="2" l="1"/>
  <c r="X3018" i="2" s="1"/>
  <c r="S3019" i="2"/>
  <c r="W1912" i="2"/>
  <c r="X1912" i="2" s="1"/>
  <c r="S1913" i="2"/>
  <c r="W1087" i="2"/>
  <c r="X1087" i="2" s="1"/>
  <c r="S1088" i="2"/>
  <c r="U3019" i="2"/>
  <c r="T3019" i="2"/>
  <c r="T1913" i="2"/>
  <c r="U1913" i="2"/>
  <c r="U1088" i="2"/>
  <c r="T1088" i="2"/>
  <c r="W3019" i="2" l="1"/>
  <c r="X3019" i="2" s="1"/>
  <c r="S3020" i="2"/>
  <c r="W1913" i="2"/>
  <c r="X1913" i="2" s="1"/>
  <c r="S1914" i="2"/>
  <c r="W1088" i="2"/>
  <c r="X1088" i="2" s="1"/>
  <c r="S1089" i="2"/>
  <c r="U3020" i="2"/>
  <c r="T3020" i="2"/>
  <c r="T1914" i="2"/>
  <c r="U1914" i="2"/>
  <c r="T1089" i="2"/>
  <c r="U1089" i="2"/>
  <c r="W3020" i="2" l="1"/>
  <c r="X3020" i="2" s="1"/>
  <c r="S3021" i="2"/>
  <c r="W1914" i="2"/>
  <c r="X1914" i="2" s="1"/>
  <c r="S1915" i="2"/>
  <c r="W1089" i="2"/>
  <c r="X1089" i="2" s="1"/>
  <c r="S1090" i="2"/>
  <c r="U3021" i="2"/>
  <c r="T3021" i="2"/>
  <c r="U1915" i="2"/>
  <c r="T1915" i="2"/>
  <c r="U1090" i="2"/>
  <c r="T1090" i="2"/>
  <c r="W3021" i="2" l="1"/>
  <c r="X3021" i="2" s="1"/>
  <c r="S3022" i="2"/>
  <c r="W1915" i="2"/>
  <c r="X1915" i="2" s="1"/>
  <c r="S1916" i="2"/>
  <c r="W1090" i="2"/>
  <c r="X1090" i="2" s="1"/>
  <c r="S1091" i="2"/>
  <c r="U3022" i="2"/>
  <c r="T3022" i="2"/>
  <c r="U1916" i="2"/>
  <c r="T1916" i="2"/>
  <c r="T1091" i="2"/>
  <c r="U1091" i="2"/>
  <c r="W3022" i="2" l="1"/>
  <c r="X3022" i="2" s="1"/>
  <c r="S3023" i="2"/>
  <c r="W1916" i="2"/>
  <c r="X1916" i="2" s="1"/>
  <c r="S1917" i="2"/>
  <c r="W1091" i="2"/>
  <c r="X1091" i="2" s="1"/>
  <c r="S1092" i="2"/>
  <c r="U3023" i="2"/>
  <c r="T3023" i="2"/>
  <c r="T1917" i="2"/>
  <c r="U1917" i="2"/>
  <c r="U1092" i="2"/>
  <c r="T1092" i="2"/>
  <c r="W3023" i="2" l="1"/>
  <c r="X3023" i="2" s="1"/>
  <c r="S3024" i="2"/>
  <c r="W1917" i="2"/>
  <c r="X1917" i="2" s="1"/>
  <c r="S1918" i="2"/>
  <c r="W1092" i="2"/>
  <c r="X1092" i="2" s="1"/>
  <c r="S1093" i="2"/>
  <c r="U3024" i="2"/>
  <c r="T3024" i="2"/>
  <c r="T1918" i="2"/>
  <c r="U1918" i="2"/>
  <c r="U1093" i="2"/>
  <c r="T1093" i="2"/>
  <c r="W3024" i="2" l="1"/>
  <c r="X3024" i="2" s="1"/>
  <c r="S3025" i="2"/>
  <c r="W1918" i="2"/>
  <c r="X1918" i="2" s="1"/>
  <c r="S1919" i="2"/>
  <c r="W1093" i="2"/>
  <c r="X1093" i="2" s="1"/>
  <c r="S1094" i="2"/>
  <c r="U3025" i="2"/>
  <c r="T3025" i="2"/>
  <c r="U1919" i="2"/>
  <c r="T1919" i="2"/>
  <c r="U1094" i="2"/>
  <c r="T1094" i="2"/>
  <c r="W3025" i="2" l="1"/>
  <c r="X3025" i="2" s="1"/>
  <c r="S3026" i="2"/>
  <c r="W1919" i="2"/>
  <c r="X1919" i="2" s="1"/>
  <c r="S1920" i="2"/>
  <c r="W1094" i="2"/>
  <c r="X1094" i="2" s="1"/>
  <c r="S1095" i="2"/>
  <c r="T3026" i="2"/>
  <c r="U3026" i="2"/>
  <c r="U1920" i="2"/>
  <c r="T1920" i="2"/>
  <c r="T1095" i="2"/>
  <c r="U1095" i="2"/>
  <c r="W3026" i="2" l="1"/>
  <c r="X3026" i="2" s="1"/>
  <c r="S3027" i="2"/>
  <c r="W1920" i="2"/>
  <c r="X1920" i="2" s="1"/>
  <c r="S1921" i="2"/>
  <c r="W1095" i="2"/>
  <c r="X1095" i="2" s="1"/>
  <c r="S1096" i="2"/>
  <c r="U3027" i="2"/>
  <c r="T3027" i="2"/>
  <c r="T1921" i="2"/>
  <c r="U1921" i="2"/>
  <c r="U1096" i="2"/>
  <c r="T1096" i="2"/>
  <c r="W3027" i="2" l="1"/>
  <c r="X3027" i="2" s="1"/>
  <c r="S3028" i="2"/>
  <c r="W1921" i="2"/>
  <c r="X1921" i="2" s="1"/>
  <c r="S1922" i="2"/>
  <c r="W1096" i="2"/>
  <c r="X1096" i="2" s="1"/>
  <c r="S1097" i="2"/>
  <c r="T3028" i="2"/>
  <c r="U3028" i="2"/>
  <c r="T1922" i="2"/>
  <c r="U1922" i="2"/>
  <c r="T1097" i="2"/>
  <c r="U1097" i="2"/>
  <c r="W3028" i="2" l="1"/>
  <c r="X3028" i="2" s="1"/>
  <c r="S3029" i="2"/>
  <c r="W1922" i="2"/>
  <c r="X1922" i="2" s="1"/>
  <c r="S1923" i="2"/>
  <c r="W1097" i="2"/>
  <c r="X1097" i="2" s="1"/>
  <c r="S1098" i="2"/>
  <c r="T3029" i="2"/>
  <c r="U3029" i="2"/>
  <c r="U1923" i="2"/>
  <c r="T1923" i="2"/>
  <c r="U1098" i="2"/>
  <c r="T1098" i="2"/>
  <c r="W3029" i="2" l="1"/>
  <c r="X3029" i="2" s="1"/>
  <c r="S3030" i="2"/>
  <c r="W1923" i="2"/>
  <c r="X1923" i="2" s="1"/>
  <c r="S1924" i="2"/>
  <c r="W1098" i="2"/>
  <c r="X1098" i="2" s="1"/>
  <c r="S1099" i="2"/>
  <c r="U3030" i="2"/>
  <c r="T3030" i="2"/>
  <c r="U1924" i="2"/>
  <c r="T1924" i="2"/>
  <c r="T1099" i="2"/>
  <c r="U1099" i="2"/>
  <c r="W3030" i="2" l="1"/>
  <c r="X3030" i="2" s="1"/>
  <c r="S3031" i="2"/>
  <c r="W1924" i="2"/>
  <c r="X1924" i="2" s="1"/>
  <c r="S1925" i="2"/>
  <c r="W1099" i="2"/>
  <c r="X1099" i="2" s="1"/>
  <c r="S1100" i="2"/>
  <c r="U3031" i="2"/>
  <c r="T3031" i="2"/>
  <c r="T1925" i="2"/>
  <c r="U1925" i="2"/>
  <c r="U1100" i="2"/>
  <c r="T1100" i="2"/>
  <c r="W3031" i="2" l="1"/>
  <c r="X3031" i="2" s="1"/>
  <c r="S3032" i="2"/>
  <c r="W1925" i="2"/>
  <c r="X1925" i="2" s="1"/>
  <c r="S1926" i="2"/>
  <c r="W1100" i="2"/>
  <c r="X1100" i="2" s="1"/>
  <c r="S1101" i="2"/>
  <c r="T3032" i="2"/>
  <c r="U3032" i="2"/>
  <c r="T1926" i="2"/>
  <c r="U1926" i="2"/>
  <c r="U1101" i="2"/>
  <c r="T1101" i="2"/>
  <c r="W3032" i="2" l="1"/>
  <c r="X3032" i="2" s="1"/>
  <c r="S3033" i="2"/>
  <c r="W1926" i="2"/>
  <c r="X1926" i="2" s="1"/>
  <c r="S1927" i="2"/>
  <c r="W1101" i="2"/>
  <c r="X1101" i="2" s="1"/>
  <c r="S1102" i="2"/>
  <c r="T3033" i="2"/>
  <c r="U3033" i="2"/>
  <c r="U1927" i="2"/>
  <c r="T1927" i="2"/>
  <c r="T1102" i="2"/>
  <c r="U1102" i="2"/>
  <c r="W3033" i="2" l="1"/>
  <c r="X3033" i="2" s="1"/>
  <c r="S3034" i="2"/>
  <c r="W1927" i="2"/>
  <c r="X1927" i="2" s="1"/>
  <c r="S1928" i="2"/>
  <c r="W1102" i="2"/>
  <c r="X1102" i="2" s="1"/>
  <c r="S1103" i="2"/>
  <c r="U3034" i="2"/>
  <c r="T3034" i="2"/>
  <c r="U1928" i="2"/>
  <c r="T1928" i="2"/>
  <c r="U1103" i="2"/>
  <c r="T1103" i="2"/>
  <c r="W3034" i="2" l="1"/>
  <c r="X3034" i="2" s="1"/>
  <c r="S3035" i="2"/>
  <c r="W1928" i="2"/>
  <c r="X1928" i="2" s="1"/>
  <c r="S1929" i="2"/>
  <c r="W1103" i="2"/>
  <c r="X1103" i="2" s="1"/>
  <c r="S1104" i="2"/>
  <c r="U3035" i="2"/>
  <c r="T3035" i="2"/>
  <c r="T1929" i="2"/>
  <c r="U1929" i="2"/>
  <c r="T1104" i="2"/>
  <c r="U1104" i="2"/>
  <c r="W3035" i="2" l="1"/>
  <c r="X3035" i="2" s="1"/>
  <c r="S3036" i="2"/>
  <c r="W1929" i="2"/>
  <c r="X1929" i="2" s="1"/>
  <c r="S1930" i="2"/>
  <c r="W1104" i="2"/>
  <c r="X1104" i="2" s="1"/>
  <c r="S1105" i="2"/>
  <c r="T3036" i="2"/>
  <c r="U3036" i="2"/>
  <c r="T1930" i="2"/>
  <c r="U1930" i="2"/>
  <c r="U1105" i="2"/>
  <c r="T1105" i="2"/>
  <c r="W3036" i="2" l="1"/>
  <c r="X3036" i="2" s="1"/>
  <c r="S3037" i="2"/>
  <c r="W1930" i="2"/>
  <c r="X1930" i="2" s="1"/>
  <c r="S1931" i="2"/>
  <c r="W1105" i="2"/>
  <c r="X1105" i="2" s="1"/>
  <c r="S1106" i="2"/>
  <c r="T3037" i="2"/>
  <c r="U3037" i="2"/>
  <c r="U1931" i="2"/>
  <c r="T1931" i="2"/>
  <c r="T1106" i="2"/>
  <c r="U1106" i="2"/>
  <c r="W3037" i="2" l="1"/>
  <c r="X3037" i="2" s="1"/>
  <c r="S3038" i="2"/>
  <c r="W1931" i="2"/>
  <c r="X1931" i="2" s="1"/>
  <c r="S1932" i="2"/>
  <c r="W1106" i="2"/>
  <c r="X1106" i="2" s="1"/>
  <c r="S1107" i="2"/>
  <c r="U3038" i="2"/>
  <c r="T3038" i="2"/>
  <c r="U1932" i="2"/>
  <c r="T1932" i="2"/>
  <c r="U1107" i="2"/>
  <c r="T1107" i="2"/>
  <c r="W3038" i="2" l="1"/>
  <c r="X3038" i="2" s="1"/>
  <c r="S3039" i="2"/>
  <c r="W1932" i="2"/>
  <c r="X1932" i="2" s="1"/>
  <c r="S1933" i="2"/>
  <c r="W1107" i="2"/>
  <c r="X1107" i="2" s="1"/>
  <c r="S1108" i="2"/>
  <c r="U3039" i="2"/>
  <c r="T3039" i="2"/>
  <c r="T1933" i="2"/>
  <c r="U1933" i="2"/>
  <c r="U1108" i="2"/>
  <c r="T1108" i="2"/>
  <c r="W3039" i="2" l="1"/>
  <c r="X3039" i="2" s="1"/>
  <c r="S3040" i="2"/>
  <c r="W1933" i="2"/>
  <c r="X1933" i="2" s="1"/>
  <c r="S1934" i="2"/>
  <c r="W1108" i="2"/>
  <c r="X1108" i="2" s="1"/>
  <c r="S1109" i="2"/>
  <c r="T3040" i="2"/>
  <c r="U3040" i="2"/>
  <c r="T1934" i="2"/>
  <c r="U1934" i="2"/>
  <c r="U1109" i="2"/>
  <c r="T1109" i="2"/>
  <c r="W3040" i="2" l="1"/>
  <c r="X3040" i="2" s="1"/>
  <c r="S3041" i="2"/>
  <c r="W1934" i="2"/>
  <c r="X1934" i="2" s="1"/>
  <c r="S1935" i="2"/>
  <c r="W1109" i="2"/>
  <c r="X1109" i="2" s="1"/>
  <c r="S1110" i="2"/>
  <c r="T3041" i="2"/>
  <c r="U3041" i="2"/>
  <c r="U1935" i="2"/>
  <c r="T1935" i="2"/>
  <c r="T1110" i="2"/>
  <c r="U1110" i="2"/>
  <c r="W3041" i="2" l="1"/>
  <c r="X3041" i="2" s="1"/>
  <c r="S3042" i="2"/>
  <c r="W1935" i="2"/>
  <c r="X1935" i="2" s="1"/>
  <c r="S1936" i="2"/>
  <c r="W1110" i="2"/>
  <c r="X1110" i="2" s="1"/>
  <c r="S1111" i="2"/>
  <c r="U3042" i="2"/>
  <c r="T3042" i="2"/>
  <c r="U1936" i="2"/>
  <c r="T1936" i="2"/>
  <c r="U1111" i="2"/>
  <c r="T1111" i="2"/>
  <c r="W3042" i="2" l="1"/>
  <c r="X3042" i="2" s="1"/>
  <c r="S3043" i="2"/>
  <c r="W1936" i="2"/>
  <c r="X1936" i="2" s="1"/>
  <c r="S1937" i="2"/>
  <c r="W1111" i="2"/>
  <c r="X1111" i="2" s="1"/>
  <c r="S1112" i="2"/>
  <c r="U3043" i="2"/>
  <c r="T3043" i="2"/>
  <c r="T1937" i="2"/>
  <c r="U1937" i="2"/>
  <c r="U1112" i="2"/>
  <c r="T1112" i="2"/>
  <c r="W3043" i="2" l="1"/>
  <c r="X3043" i="2" s="1"/>
  <c r="S3044" i="2"/>
  <c r="W1937" i="2"/>
  <c r="X1937" i="2" s="1"/>
  <c r="S1938" i="2"/>
  <c r="W1112" i="2"/>
  <c r="X1112" i="2" s="1"/>
  <c r="S1113" i="2"/>
  <c r="T3044" i="2"/>
  <c r="U3044" i="2"/>
  <c r="T1938" i="2"/>
  <c r="U1938" i="2"/>
  <c r="U1113" i="2"/>
  <c r="T1113" i="2"/>
  <c r="W3044" i="2" l="1"/>
  <c r="X3044" i="2" s="1"/>
  <c r="S3045" i="2"/>
  <c r="W1938" i="2"/>
  <c r="X1938" i="2" s="1"/>
  <c r="S1939" i="2"/>
  <c r="W1113" i="2"/>
  <c r="X1113" i="2" s="1"/>
  <c r="S1114" i="2"/>
  <c r="T3045" i="2"/>
  <c r="U3045" i="2"/>
  <c r="U1939" i="2"/>
  <c r="T1939" i="2"/>
  <c r="T1114" i="2"/>
  <c r="U1114" i="2"/>
  <c r="W3045" i="2" l="1"/>
  <c r="X3045" i="2" s="1"/>
  <c r="S3046" i="2"/>
  <c r="W1939" i="2"/>
  <c r="X1939" i="2" s="1"/>
  <c r="S1940" i="2"/>
  <c r="W1114" i="2"/>
  <c r="X1114" i="2" s="1"/>
  <c r="S1115" i="2"/>
  <c r="U3046" i="2"/>
  <c r="T3046" i="2"/>
  <c r="U1940" i="2"/>
  <c r="T1940" i="2"/>
  <c r="U1115" i="2"/>
  <c r="T1115" i="2"/>
  <c r="W3046" i="2" l="1"/>
  <c r="X3046" i="2" s="1"/>
  <c r="S3047" i="2"/>
  <c r="W1940" i="2"/>
  <c r="X1940" i="2" s="1"/>
  <c r="S1941" i="2"/>
  <c r="W1115" i="2"/>
  <c r="X1115" i="2" s="1"/>
  <c r="S1116" i="2"/>
  <c r="U3047" i="2"/>
  <c r="T3047" i="2"/>
  <c r="T1941" i="2"/>
  <c r="U1941" i="2"/>
  <c r="T1116" i="2"/>
  <c r="U1116" i="2"/>
  <c r="W3047" i="2" l="1"/>
  <c r="X3047" i="2" s="1"/>
  <c r="S3048" i="2"/>
  <c r="W1941" i="2"/>
  <c r="X1941" i="2" s="1"/>
  <c r="S1942" i="2"/>
  <c r="W1116" i="2"/>
  <c r="X1116" i="2" s="1"/>
  <c r="S1117" i="2"/>
  <c r="T3048" i="2"/>
  <c r="U3048" i="2"/>
  <c r="T1942" i="2"/>
  <c r="U1942" i="2"/>
  <c r="U1117" i="2"/>
  <c r="T1117" i="2"/>
  <c r="W3048" i="2" l="1"/>
  <c r="X3048" i="2" s="1"/>
  <c r="S3049" i="2"/>
  <c r="W1942" i="2"/>
  <c r="X1942" i="2" s="1"/>
  <c r="S1943" i="2"/>
  <c r="W1117" i="2"/>
  <c r="X1117" i="2" s="1"/>
  <c r="S1118" i="2"/>
  <c r="T3049" i="2"/>
  <c r="U3049" i="2"/>
  <c r="U1943" i="2"/>
  <c r="T1943" i="2"/>
  <c r="T1118" i="2"/>
  <c r="U1118" i="2"/>
  <c r="W3049" i="2" l="1"/>
  <c r="X3049" i="2" s="1"/>
  <c r="S3050" i="2"/>
  <c r="W1943" i="2"/>
  <c r="X1943" i="2" s="1"/>
  <c r="S1944" i="2"/>
  <c r="W1118" i="2"/>
  <c r="X1118" i="2" s="1"/>
  <c r="S1119" i="2"/>
  <c r="U3050" i="2"/>
  <c r="T3050" i="2"/>
  <c r="U1944" i="2"/>
  <c r="T1944" i="2"/>
  <c r="U1119" i="2"/>
  <c r="T1119" i="2"/>
  <c r="W3050" i="2" l="1"/>
  <c r="X3050" i="2" s="1"/>
  <c r="S3051" i="2"/>
  <c r="W1944" i="2"/>
  <c r="X1944" i="2" s="1"/>
  <c r="S1945" i="2"/>
  <c r="W1119" i="2"/>
  <c r="X1119" i="2" s="1"/>
  <c r="S1120" i="2"/>
  <c r="U3051" i="2"/>
  <c r="T3051" i="2"/>
  <c r="T1945" i="2"/>
  <c r="U1945" i="2"/>
  <c r="U1120" i="2"/>
  <c r="T1120" i="2"/>
  <c r="W3051" i="2" l="1"/>
  <c r="X3051" i="2" s="1"/>
  <c r="S3052" i="2"/>
  <c r="W1945" i="2"/>
  <c r="X1945" i="2" s="1"/>
  <c r="S1946" i="2"/>
  <c r="W1120" i="2"/>
  <c r="X1120" i="2" s="1"/>
  <c r="S1121" i="2"/>
  <c r="T3052" i="2"/>
  <c r="U3052" i="2"/>
  <c r="T1946" i="2"/>
  <c r="U1946" i="2"/>
  <c r="U1121" i="2"/>
  <c r="T1121" i="2"/>
  <c r="W3052" i="2" l="1"/>
  <c r="X3052" i="2" s="1"/>
  <c r="S3053" i="2"/>
  <c r="W1946" i="2"/>
  <c r="X1946" i="2" s="1"/>
  <c r="S1947" i="2"/>
  <c r="W1121" i="2"/>
  <c r="X1121" i="2" s="1"/>
  <c r="S1122" i="2"/>
  <c r="T3053" i="2"/>
  <c r="U3053" i="2"/>
  <c r="U1947" i="2"/>
  <c r="T1947" i="2"/>
  <c r="T1122" i="2"/>
  <c r="U1122" i="2"/>
  <c r="W3053" i="2" l="1"/>
  <c r="X3053" i="2" s="1"/>
  <c r="S3054" i="2"/>
  <c r="W1947" i="2"/>
  <c r="X1947" i="2" s="1"/>
  <c r="S1948" i="2"/>
  <c r="W1122" i="2"/>
  <c r="X1122" i="2" s="1"/>
  <c r="S1123" i="2"/>
  <c r="U3054" i="2"/>
  <c r="T3054" i="2"/>
  <c r="U1948" i="2"/>
  <c r="T1948" i="2"/>
  <c r="U1123" i="2"/>
  <c r="T1123" i="2"/>
  <c r="W3054" i="2" l="1"/>
  <c r="X3054" i="2" s="1"/>
  <c r="S3055" i="2"/>
  <c r="W1948" i="2"/>
  <c r="X1948" i="2" s="1"/>
  <c r="S1949" i="2"/>
  <c r="W1123" i="2"/>
  <c r="X1123" i="2" s="1"/>
  <c r="S1124" i="2"/>
  <c r="U3055" i="2"/>
  <c r="T3055" i="2"/>
  <c r="T1949" i="2"/>
  <c r="U1949" i="2"/>
  <c r="U1124" i="2"/>
  <c r="T1124" i="2"/>
  <c r="W3055" i="2" l="1"/>
  <c r="X3055" i="2" s="1"/>
  <c r="S3056" i="2"/>
  <c r="W1949" i="2"/>
  <c r="X1949" i="2" s="1"/>
  <c r="S1950" i="2"/>
  <c r="W1124" i="2"/>
  <c r="X1124" i="2" s="1"/>
  <c r="S1125" i="2"/>
  <c r="T3056" i="2"/>
  <c r="U3056" i="2"/>
  <c r="T1950" i="2"/>
  <c r="U1950" i="2"/>
  <c r="U1125" i="2"/>
  <c r="T1125" i="2"/>
  <c r="W3056" i="2" l="1"/>
  <c r="X3056" i="2" s="1"/>
  <c r="S3057" i="2"/>
  <c r="W1950" i="2"/>
  <c r="X1950" i="2" s="1"/>
  <c r="S1951" i="2"/>
  <c r="W1125" i="2"/>
  <c r="X1125" i="2" s="1"/>
  <c r="S1126" i="2"/>
  <c r="T3057" i="2"/>
  <c r="U3057" i="2"/>
  <c r="U1951" i="2"/>
  <c r="T1951" i="2"/>
  <c r="T1126" i="2"/>
  <c r="U1126" i="2"/>
  <c r="W3057" i="2" l="1"/>
  <c r="X3057" i="2" s="1"/>
  <c r="S3058" i="2"/>
  <c r="W1951" i="2"/>
  <c r="X1951" i="2" s="1"/>
  <c r="S1952" i="2"/>
  <c r="W1126" i="2"/>
  <c r="X1126" i="2" s="1"/>
  <c r="S1127" i="2"/>
  <c r="U3058" i="2"/>
  <c r="T3058" i="2"/>
  <c r="U1952" i="2"/>
  <c r="T1952" i="2"/>
  <c r="U1127" i="2"/>
  <c r="T1127" i="2"/>
  <c r="W3058" i="2" l="1"/>
  <c r="X3058" i="2" s="1"/>
  <c r="S3059" i="2"/>
  <c r="W1952" i="2"/>
  <c r="X1952" i="2" s="1"/>
  <c r="S1953" i="2"/>
  <c r="W1127" i="2"/>
  <c r="X1127" i="2" s="1"/>
  <c r="S1128" i="2"/>
  <c r="U3059" i="2"/>
  <c r="T3059" i="2"/>
  <c r="T1953" i="2"/>
  <c r="U1953" i="2"/>
  <c r="U1128" i="2"/>
  <c r="T1128" i="2"/>
  <c r="W3059" i="2" l="1"/>
  <c r="X3059" i="2" s="1"/>
  <c r="S3060" i="2"/>
  <c r="W1953" i="2"/>
  <c r="X1953" i="2" s="1"/>
  <c r="S1954" i="2"/>
  <c r="W1128" i="2"/>
  <c r="X1128" i="2" s="1"/>
  <c r="S1129" i="2"/>
  <c r="T3060" i="2"/>
  <c r="U3060" i="2"/>
  <c r="T1954" i="2"/>
  <c r="U1954" i="2"/>
  <c r="U1129" i="2"/>
  <c r="T1129" i="2"/>
  <c r="W3060" i="2" l="1"/>
  <c r="X3060" i="2" s="1"/>
  <c r="S3061" i="2"/>
  <c r="W1954" i="2"/>
  <c r="X1954" i="2" s="1"/>
  <c r="S1955" i="2"/>
  <c r="W1129" i="2"/>
  <c r="X1129" i="2" s="1"/>
  <c r="S1130" i="2"/>
  <c r="T3061" i="2"/>
  <c r="U3061" i="2"/>
  <c r="U1955" i="2"/>
  <c r="T1955" i="2"/>
  <c r="T1130" i="2"/>
  <c r="U1130" i="2"/>
  <c r="W3061" i="2" l="1"/>
  <c r="X3061" i="2" s="1"/>
  <c r="S3062" i="2"/>
  <c r="W1955" i="2"/>
  <c r="X1955" i="2" s="1"/>
  <c r="S1956" i="2"/>
  <c r="W1130" i="2"/>
  <c r="X1130" i="2" s="1"/>
  <c r="S1131" i="2"/>
  <c r="U3062" i="2"/>
  <c r="T3062" i="2"/>
  <c r="U1956" i="2"/>
  <c r="T1956" i="2"/>
  <c r="U1131" i="2"/>
  <c r="T1131" i="2"/>
  <c r="W3062" i="2" l="1"/>
  <c r="X3062" i="2" s="1"/>
  <c r="S3063" i="2"/>
  <c r="W1956" i="2"/>
  <c r="X1956" i="2" s="1"/>
  <c r="S1957" i="2"/>
  <c r="W1131" i="2"/>
  <c r="X1131" i="2" s="1"/>
  <c r="S1132" i="2"/>
  <c r="U3063" i="2"/>
  <c r="T3063" i="2"/>
  <c r="T1957" i="2"/>
  <c r="U1957" i="2"/>
  <c r="U1132" i="2"/>
  <c r="T1132" i="2"/>
  <c r="W3063" i="2" l="1"/>
  <c r="X3063" i="2" s="1"/>
  <c r="S3064" i="2"/>
  <c r="W1957" i="2"/>
  <c r="X1957" i="2" s="1"/>
  <c r="S1958" i="2"/>
  <c r="W1132" i="2"/>
  <c r="X1132" i="2" s="1"/>
  <c r="S1133" i="2"/>
  <c r="T3064" i="2"/>
  <c r="U3064" i="2"/>
  <c r="T1958" i="2"/>
  <c r="U1958" i="2"/>
  <c r="U1133" i="2"/>
  <c r="T1133" i="2"/>
  <c r="W3064" i="2" l="1"/>
  <c r="X3064" i="2" s="1"/>
  <c r="S3065" i="2"/>
  <c r="W1958" i="2"/>
  <c r="X1958" i="2" s="1"/>
  <c r="S1959" i="2"/>
  <c r="W1133" i="2"/>
  <c r="X1133" i="2" s="1"/>
  <c r="S1134" i="2"/>
  <c r="T3065" i="2"/>
  <c r="U3065" i="2"/>
  <c r="U1959" i="2"/>
  <c r="T1959" i="2"/>
  <c r="T1134" i="2"/>
  <c r="U1134" i="2"/>
  <c r="W3065" i="2" l="1"/>
  <c r="X3065" i="2" s="1"/>
  <c r="S3066" i="2"/>
  <c r="W1959" i="2"/>
  <c r="X1959" i="2" s="1"/>
  <c r="S1960" i="2"/>
  <c r="W1134" i="2"/>
  <c r="X1134" i="2" s="1"/>
  <c r="S1135" i="2"/>
  <c r="U3066" i="2"/>
  <c r="T3066" i="2"/>
  <c r="U1960" i="2"/>
  <c r="T1960" i="2"/>
  <c r="U1135" i="2"/>
  <c r="T1135" i="2"/>
  <c r="W3066" i="2" l="1"/>
  <c r="X3066" i="2" s="1"/>
  <c r="S3067" i="2"/>
  <c r="W1960" i="2"/>
  <c r="X1960" i="2" s="1"/>
  <c r="S1961" i="2"/>
  <c r="W1135" i="2"/>
  <c r="X1135" i="2" s="1"/>
  <c r="S1136" i="2"/>
  <c r="U3067" i="2"/>
  <c r="T3067" i="2"/>
  <c r="T1961" i="2"/>
  <c r="U1961" i="2"/>
  <c r="T1136" i="2"/>
  <c r="U1136" i="2"/>
  <c r="W3067" i="2" l="1"/>
  <c r="X3067" i="2" s="1"/>
  <c r="S3068" i="2"/>
  <c r="W1961" i="2"/>
  <c r="X1961" i="2" s="1"/>
  <c r="S1962" i="2"/>
  <c r="W1136" i="2"/>
  <c r="X1136" i="2" s="1"/>
  <c r="S1137" i="2"/>
  <c r="T3068" i="2"/>
  <c r="U3068" i="2"/>
  <c r="T1962" i="2"/>
  <c r="U1962" i="2"/>
  <c r="U1137" i="2"/>
  <c r="T1137" i="2"/>
  <c r="W3068" i="2" l="1"/>
  <c r="X3068" i="2" s="1"/>
  <c r="S3069" i="2"/>
  <c r="W1962" i="2"/>
  <c r="X1962" i="2" s="1"/>
  <c r="S1963" i="2"/>
  <c r="W1137" i="2"/>
  <c r="X1137" i="2" s="1"/>
  <c r="S1138" i="2"/>
  <c r="T3069" i="2"/>
  <c r="U3069" i="2"/>
  <c r="U1963" i="2"/>
  <c r="T1963" i="2"/>
  <c r="T1138" i="2"/>
  <c r="U1138" i="2"/>
  <c r="W3069" i="2" l="1"/>
  <c r="X3069" i="2" s="1"/>
  <c r="S3070" i="2"/>
  <c r="W1963" i="2"/>
  <c r="X1963" i="2" s="1"/>
  <c r="S1964" i="2"/>
  <c r="W1138" i="2"/>
  <c r="X1138" i="2" s="1"/>
  <c r="S1139" i="2"/>
  <c r="U3070" i="2"/>
  <c r="T3070" i="2"/>
  <c r="U1964" i="2"/>
  <c r="T1964" i="2"/>
  <c r="U1139" i="2"/>
  <c r="T1139" i="2"/>
  <c r="W3070" i="2" l="1"/>
  <c r="X3070" i="2" s="1"/>
  <c r="S3071" i="2"/>
  <c r="W1964" i="2"/>
  <c r="X1964" i="2" s="1"/>
  <c r="S1965" i="2"/>
  <c r="W1139" i="2"/>
  <c r="X1139" i="2" s="1"/>
  <c r="S1140" i="2"/>
  <c r="U3071" i="2"/>
  <c r="T3071" i="2"/>
  <c r="T1965" i="2"/>
  <c r="U1965" i="2"/>
  <c r="U1140" i="2"/>
  <c r="T1140" i="2"/>
  <c r="W3071" i="2" l="1"/>
  <c r="X3071" i="2" s="1"/>
  <c r="S3072" i="2"/>
  <c r="W1965" i="2"/>
  <c r="X1965" i="2" s="1"/>
  <c r="S1966" i="2"/>
  <c r="W1140" i="2"/>
  <c r="X1140" i="2" s="1"/>
  <c r="S1141" i="2"/>
  <c r="T3072" i="2"/>
  <c r="U3072" i="2"/>
  <c r="T1966" i="2"/>
  <c r="U1966" i="2"/>
  <c r="U1141" i="2"/>
  <c r="T1141" i="2"/>
  <c r="W3072" i="2" l="1"/>
  <c r="X3072" i="2" s="1"/>
  <c r="S3073" i="2"/>
  <c r="W1966" i="2"/>
  <c r="X1966" i="2" s="1"/>
  <c r="S1967" i="2"/>
  <c r="W1141" i="2"/>
  <c r="X1141" i="2" s="1"/>
  <c r="S1142" i="2"/>
  <c r="T3073" i="2"/>
  <c r="U3073" i="2"/>
  <c r="U1967" i="2"/>
  <c r="T1967" i="2"/>
  <c r="T1142" i="2"/>
  <c r="U1142" i="2"/>
  <c r="W3073" i="2" l="1"/>
  <c r="X3073" i="2" s="1"/>
  <c r="S3074" i="2"/>
  <c r="W1967" i="2"/>
  <c r="X1967" i="2" s="1"/>
  <c r="S1968" i="2"/>
  <c r="W1142" i="2"/>
  <c r="X1142" i="2" s="1"/>
  <c r="S1143" i="2"/>
  <c r="U3074" i="2"/>
  <c r="T3074" i="2"/>
  <c r="U1968" i="2"/>
  <c r="T1968" i="2"/>
  <c r="U1143" i="2"/>
  <c r="T1143" i="2"/>
  <c r="W3074" i="2" l="1"/>
  <c r="X3074" i="2" s="1"/>
  <c r="S3075" i="2"/>
  <c r="W1968" i="2"/>
  <c r="X1968" i="2" s="1"/>
  <c r="S1969" i="2"/>
  <c r="W1143" i="2"/>
  <c r="X1143" i="2" s="1"/>
  <c r="S1144" i="2"/>
  <c r="U3075" i="2"/>
  <c r="T3075" i="2"/>
  <c r="T1969" i="2"/>
  <c r="U1969" i="2"/>
  <c r="U1144" i="2"/>
  <c r="T1144" i="2"/>
  <c r="W3075" i="2" l="1"/>
  <c r="X3075" i="2" s="1"/>
  <c r="S3076" i="2"/>
  <c r="W1969" i="2"/>
  <c r="X1969" i="2" s="1"/>
  <c r="S1970" i="2"/>
  <c r="W1144" i="2"/>
  <c r="X1144" i="2" s="1"/>
  <c r="S1145" i="2"/>
  <c r="T3076" i="2"/>
  <c r="U3076" i="2"/>
  <c r="T1970" i="2"/>
  <c r="U1970" i="2"/>
  <c r="U1145" i="2"/>
  <c r="T1145" i="2"/>
  <c r="W3076" i="2" l="1"/>
  <c r="X3076" i="2" s="1"/>
  <c r="S3077" i="2"/>
  <c r="W1970" i="2"/>
  <c r="X1970" i="2" s="1"/>
  <c r="S1971" i="2"/>
  <c r="W1145" i="2"/>
  <c r="X1145" i="2" s="1"/>
  <c r="S1146" i="2"/>
  <c r="T3077" i="2"/>
  <c r="U3077" i="2"/>
  <c r="U1971" i="2"/>
  <c r="T1971" i="2"/>
  <c r="T1146" i="2"/>
  <c r="U1146" i="2"/>
  <c r="W3077" i="2" l="1"/>
  <c r="X3077" i="2" s="1"/>
  <c r="S3078" i="2"/>
  <c r="W1971" i="2"/>
  <c r="X1971" i="2" s="1"/>
  <c r="S1972" i="2"/>
  <c r="W1146" i="2"/>
  <c r="X1146" i="2" s="1"/>
  <c r="S1147" i="2"/>
  <c r="U3078" i="2"/>
  <c r="T3078" i="2"/>
  <c r="U1972" i="2"/>
  <c r="T1972" i="2"/>
  <c r="U1147" i="2"/>
  <c r="T1147" i="2"/>
  <c r="W3078" i="2" l="1"/>
  <c r="X3078" i="2" s="1"/>
  <c r="S3079" i="2"/>
  <c r="W1972" i="2"/>
  <c r="X1972" i="2" s="1"/>
  <c r="S1973" i="2"/>
  <c r="W1147" i="2"/>
  <c r="X1147" i="2" s="1"/>
  <c r="S1148" i="2"/>
  <c r="U3079" i="2"/>
  <c r="T3079" i="2"/>
  <c r="T1973" i="2"/>
  <c r="U1973" i="2"/>
  <c r="T1148" i="2"/>
  <c r="U1148" i="2"/>
  <c r="W3079" i="2" l="1"/>
  <c r="X3079" i="2" s="1"/>
  <c r="S3080" i="2"/>
  <c r="W1973" i="2"/>
  <c r="X1973" i="2" s="1"/>
  <c r="S1974" i="2"/>
  <c r="W1148" i="2"/>
  <c r="X1148" i="2" s="1"/>
  <c r="S1149" i="2"/>
  <c r="U3080" i="2"/>
  <c r="T3080" i="2"/>
  <c r="T1974" i="2"/>
  <c r="U1974" i="2"/>
  <c r="U1149" i="2"/>
  <c r="T1149" i="2"/>
  <c r="W3080" i="2" l="1"/>
  <c r="X3080" i="2" s="1"/>
  <c r="S3081" i="2"/>
  <c r="W1974" i="2"/>
  <c r="X1974" i="2" s="1"/>
  <c r="S1975" i="2"/>
  <c r="W1149" i="2"/>
  <c r="X1149" i="2" s="1"/>
  <c r="S1150" i="2"/>
  <c r="T3081" i="2"/>
  <c r="U3081" i="2"/>
  <c r="U1975" i="2"/>
  <c r="T1975" i="2"/>
  <c r="T1150" i="2"/>
  <c r="U1150" i="2"/>
  <c r="W3081" i="2" l="1"/>
  <c r="X3081" i="2" s="1"/>
  <c r="S3082" i="2"/>
  <c r="W1975" i="2"/>
  <c r="X1975" i="2" s="1"/>
  <c r="S1976" i="2"/>
  <c r="W1150" i="2"/>
  <c r="X1150" i="2" s="1"/>
  <c r="S1151" i="2"/>
  <c r="U3082" i="2"/>
  <c r="T3082" i="2"/>
  <c r="U1976" i="2"/>
  <c r="T1976" i="2"/>
  <c r="U1151" i="2"/>
  <c r="T1151" i="2"/>
  <c r="W3082" i="2" l="1"/>
  <c r="X3082" i="2" s="1"/>
  <c r="S3083" i="2"/>
  <c r="W1976" i="2"/>
  <c r="X1976" i="2" s="1"/>
  <c r="S1977" i="2"/>
  <c r="W1151" i="2"/>
  <c r="X1151" i="2" s="1"/>
  <c r="S1152" i="2"/>
  <c r="U3083" i="2"/>
  <c r="T3083" i="2"/>
  <c r="T1977" i="2"/>
  <c r="U1977" i="2"/>
  <c r="U1152" i="2"/>
  <c r="T1152" i="2"/>
  <c r="W3083" i="2" l="1"/>
  <c r="X3083" i="2" s="1"/>
  <c r="S3084" i="2"/>
  <c r="W1977" i="2"/>
  <c r="X1977" i="2" s="1"/>
  <c r="S1978" i="2"/>
  <c r="W1152" i="2"/>
  <c r="X1152" i="2" s="1"/>
  <c r="S1153" i="2"/>
  <c r="U3084" i="2"/>
  <c r="T3084" i="2"/>
  <c r="T1978" i="2"/>
  <c r="U1978" i="2"/>
  <c r="U1153" i="2"/>
  <c r="T1153" i="2"/>
  <c r="W3084" i="2" l="1"/>
  <c r="X3084" i="2" s="1"/>
  <c r="S3085" i="2"/>
  <c r="W1978" i="2"/>
  <c r="X1978" i="2" s="1"/>
  <c r="S1979" i="2"/>
  <c r="W1153" i="2"/>
  <c r="X1153" i="2" s="1"/>
  <c r="S1154" i="2"/>
  <c r="T3085" i="2"/>
  <c r="U3085" i="2"/>
  <c r="U1979" i="2"/>
  <c r="T1979" i="2"/>
  <c r="U1154" i="2"/>
  <c r="T1154" i="2"/>
  <c r="W3085" i="2" l="1"/>
  <c r="X3085" i="2" s="1"/>
  <c r="S3086" i="2"/>
  <c r="W1979" i="2"/>
  <c r="X1979" i="2" s="1"/>
  <c r="S1980" i="2"/>
  <c r="W1154" i="2"/>
  <c r="X1154" i="2" s="1"/>
  <c r="S1155" i="2"/>
  <c r="U3086" i="2"/>
  <c r="T3086" i="2"/>
  <c r="U1980" i="2"/>
  <c r="T1980" i="2"/>
  <c r="T1155" i="2"/>
  <c r="U1155" i="2"/>
  <c r="W3086" i="2" l="1"/>
  <c r="X3086" i="2" s="1"/>
  <c r="S3087" i="2"/>
  <c r="W1980" i="2"/>
  <c r="X1980" i="2" s="1"/>
  <c r="S1981" i="2"/>
  <c r="W1155" i="2"/>
  <c r="X1155" i="2" s="1"/>
  <c r="S1156" i="2"/>
  <c r="U3087" i="2"/>
  <c r="T3087" i="2"/>
  <c r="T1981" i="2"/>
  <c r="U1981" i="2"/>
  <c r="U1156" i="2"/>
  <c r="T1156" i="2"/>
  <c r="W3087" i="2" l="1"/>
  <c r="X3087" i="2" s="1"/>
  <c r="S3088" i="2"/>
  <c r="W1981" i="2"/>
  <c r="X1981" i="2" s="1"/>
  <c r="S1982" i="2"/>
  <c r="W1156" i="2"/>
  <c r="X1156" i="2" s="1"/>
  <c r="S1157" i="2"/>
  <c r="U3088" i="2"/>
  <c r="T3088" i="2"/>
  <c r="T1982" i="2"/>
  <c r="U1982" i="2"/>
  <c r="T1157" i="2"/>
  <c r="U1157" i="2"/>
  <c r="W3088" i="2" l="1"/>
  <c r="X3088" i="2" s="1"/>
  <c r="S3089" i="2"/>
  <c r="W1982" i="2"/>
  <c r="X1982" i="2" s="1"/>
  <c r="S1983" i="2"/>
  <c r="W1157" i="2"/>
  <c r="X1157" i="2" s="1"/>
  <c r="S1158" i="2"/>
  <c r="T3089" i="2"/>
  <c r="U3089" i="2"/>
  <c r="U1983" i="2"/>
  <c r="T1983" i="2"/>
  <c r="U1158" i="2"/>
  <c r="T1158" i="2"/>
  <c r="W3089" i="2" l="1"/>
  <c r="X3089" i="2" s="1"/>
  <c r="S3090" i="2"/>
  <c r="W1983" i="2"/>
  <c r="X1983" i="2" s="1"/>
  <c r="S1984" i="2"/>
  <c r="W1158" i="2"/>
  <c r="X1158" i="2" s="1"/>
  <c r="S1159" i="2"/>
  <c r="T3090" i="2"/>
  <c r="U3090" i="2"/>
  <c r="U1984" i="2"/>
  <c r="T1984" i="2"/>
  <c r="T1159" i="2"/>
  <c r="U1159" i="2"/>
  <c r="W3090" i="2" l="1"/>
  <c r="X3090" i="2" s="1"/>
  <c r="S3091" i="2"/>
  <c r="W1984" i="2"/>
  <c r="X1984" i="2" s="1"/>
  <c r="S1985" i="2"/>
  <c r="W1159" i="2"/>
  <c r="X1159" i="2" s="1"/>
  <c r="S1160" i="2"/>
  <c r="U3091" i="2"/>
  <c r="T3091" i="2"/>
  <c r="T1985" i="2"/>
  <c r="U1985" i="2"/>
  <c r="U1160" i="2"/>
  <c r="T1160" i="2"/>
  <c r="W3091" i="2" l="1"/>
  <c r="X3091" i="2" s="1"/>
  <c r="S3092" i="2"/>
  <c r="W1985" i="2"/>
  <c r="X1985" i="2" s="1"/>
  <c r="S1986" i="2"/>
  <c r="W1160" i="2"/>
  <c r="X1160" i="2" s="1"/>
  <c r="S1161" i="2"/>
  <c r="T3092" i="2"/>
  <c r="U3092" i="2"/>
  <c r="T1986" i="2"/>
  <c r="U1986" i="2"/>
  <c r="U1161" i="2"/>
  <c r="T1161" i="2"/>
  <c r="W3092" i="2" l="1"/>
  <c r="X3092" i="2" s="1"/>
  <c r="S3093" i="2"/>
  <c r="W1986" i="2"/>
  <c r="X1986" i="2" s="1"/>
  <c r="S1987" i="2"/>
  <c r="W1161" i="2"/>
  <c r="X1161" i="2" s="1"/>
  <c r="S1162" i="2"/>
  <c r="T3093" i="2"/>
  <c r="U3093" i="2"/>
  <c r="U1987" i="2"/>
  <c r="T1987" i="2"/>
  <c r="U1162" i="2"/>
  <c r="T1162" i="2"/>
  <c r="W3093" i="2" l="1"/>
  <c r="X3093" i="2" s="1"/>
  <c r="S3094" i="2"/>
  <c r="W1987" i="2"/>
  <c r="X1987" i="2" s="1"/>
  <c r="S1988" i="2"/>
  <c r="W1162" i="2"/>
  <c r="X1162" i="2" s="1"/>
  <c r="S1163" i="2"/>
  <c r="U3094" i="2"/>
  <c r="T3094" i="2"/>
  <c r="U1988" i="2"/>
  <c r="T1988" i="2"/>
  <c r="T1163" i="2"/>
  <c r="U1163" i="2"/>
  <c r="W3094" i="2" l="1"/>
  <c r="X3094" i="2" s="1"/>
  <c r="S3095" i="2"/>
  <c r="W1988" i="2"/>
  <c r="X1988" i="2" s="1"/>
  <c r="S1989" i="2"/>
  <c r="W1163" i="2"/>
  <c r="X1163" i="2" s="1"/>
  <c r="S1164" i="2"/>
  <c r="U3095" i="2"/>
  <c r="T3095" i="2"/>
  <c r="T1989" i="2"/>
  <c r="U1989" i="2"/>
  <c r="U1164" i="2"/>
  <c r="T1164" i="2"/>
  <c r="W3095" i="2" l="1"/>
  <c r="X3095" i="2" s="1"/>
  <c r="S3096" i="2"/>
  <c r="W1989" i="2"/>
  <c r="X1989" i="2" s="1"/>
  <c r="S1990" i="2"/>
  <c r="W1164" i="2"/>
  <c r="X1164" i="2" s="1"/>
  <c r="S1165" i="2"/>
  <c r="U3096" i="2"/>
  <c r="T3096" i="2"/>
  <c r="T1990" i="2"/>
  <c r="U1990" i="2"/>
  <c r="U1165" i="2"/>
  <c r="T1165" i="2"/>
  <c r="W3096" i="2" l="1"/>
  <c r="X3096" i="2" s="1"/>
  <c r="S3097" i="2"/>
  <c r="W1990" i="2"/>
  <c r="X1990" i="2" s="1"/>
  <c r="S1991" i="2"/>
  <c r="W1165" i="2"/>
  <c r="X1165" i="2" s="1"/>
  <c r="S1166" i="2"/>
  <c r="T3097" i="2"/>
  <c r="U3097" i="2"/>
  <c r="U1991" i="2"/>
  <c r="T1991" i="2"/>
  <c r="U1166" i="2"/>
  <c r="T1166" i="2"/>
  <c r="W3097" i="2" l="1"/>
  <c r="X3097" i="2" s="1"/>
  <c r="S3098" i="2"/>
  <c r="W1991" i="2"/>
  <c r="X1991" i="2" s="1"/>
  <c r="S1992" i="2"/>
  <c r="W1166" i="2"/>
  <c r="X1166" i="2" s="1"/>
  <c r="S1167" i="2"/>
  <c r="T3098" i="2"/>
  <c r="U3098" i="2"/>
  <c r="U1992" i="2"/>
  <c r="T1992" i="2"/>
  <c r="T1167" i="2"/>
  <c r="U1167" i="2"/>
  <c r="W3098" i="2" l="1"/>
  <c r="X3098" i="2" s="1"/>
  <c r="S3099" i="2"/>
  <c r="W1992" i="2"/>
  <c r="X1992" i="2" s="1"/>
  <c r="S1993" i="2"/>
  <c r="W1167" i="2"/>
  <c r="X1167" i="2" s="1"/>
  <c r="S1168" i="2"/>
  <c r="U3099" i="2"/>
  <c r="T3099" i="2"/>
  <c r="T1993" i="2"/>
  <c r="U1993" i="2"/>
  <c r="U1168" i="2"/>
  <c r="T1168" i="2"/>
  <c r="W3099" i="2" l="1"/>
  <c r="X3099" i="2" s="1"/>
  <c r="S3100" i="2"/>
  <c r="W1993" i="2"/>
  <c r="X1993" i="2" s="1"/>
  <c r="S1994" i="2"/>
  <c r="W1168" i="2"/>
  <c r="X1168" i="2" s="1"/>
  <c r="S1169" i="2"/>
  <c r="T3100" i="2"/>
  <c r="U3100" i="2"/>
  <c r="T1994" i="2"/>
  <c r="U1994" i="2"/>
  <c r="T1169" i="2"/>
  <c r="U1169" i="2"/>
  <c r="W3100" i="2" l="1"/>
  <c r="X3100" i="2" s="1"/>
  <c r="S3101" i="2"/>
  <c r="W1994" i="2"/>
  <c r="X1994" i="2" s="1"/>
  <c r="S1995" i="2"/>
  <c r="W1169" i="2"/>
  <c r="X1169" i="2" s="1"/>
  <c r="S1170" i="2"/>
  <c r="T3101" i="2"/>
  <c r="U3101" i="2"/>
  <c r="U1995" i="2"/>
  <c r="T1995" i="2"/>
  <c r="T1170" i="2"/>
  <c r="U1170" i="2"/>
  <c r="W3101" i="2" l="1"/>
  <c r="X3101" i="2" s="1"/>
  <c r="S3102" i="2"/>
  <c r="W1995" i="2"/>
  <c r="X1995" i="2" s="1"/>
  <c r="S1996" i="2"/>
  <c r="W1170" i="2"/>
  <c r="X1170" i="2" s="1"/>
  <c r="S1171" i="2"/>
  <c r="T3102" i="2"/>
  <c r="U3102" i="2"/>
  <c r="U1996" i="2"/>
  <c r="T1996" i="2"/>
  <c r="T1171" i="2"/>
  <c r="U1171" i="2"/>
  <c r="W3102" i="2" l="1"/>
  <c r="X3102" i="2" s="1"/>
  <c r="S3103" i="2"/>
  <c r="W1996" i="2"/>
  <c r="X1996" i="2" s="1"/>
  <c r="S1997" i="2"/>
  <c r="W1171" i="2"/>
  <c r="X1171" i="2" s="1"/>
  <c r="S1172" i="2"/>
  <c r="U3103" i="2"/>
  <c r="T3103" i="2"/>
  <c r="T1997" i="2"/>
  <c r="U1997" i="2"/>
  <c r="U1172" i="2"/>
  <c r="T1172" i="2"/>
  <c r="W3103" i="2" l="1"/>
  <c r="X3103" i="2" s="1"/>
  <c r="S3104" i="2"/>
  <c r="W1997" i="2"/>
  <c r="X1997" i="2" s="1"/>
  <c r="S1998" i="2"/>
  <c r="W1172" i="2"/>
  <c r="X1172" i="2" s="1"/>
  <c r="S1173" i="2"/>
  <c r="U3104" i="2"/>
  <c r="T3104" i="2"/>
  <c r="T1998" i="2"/>
  <c r="U1998" i="2"/>
  <c r="U1173" i="2"/>
  <c r="T1173" i="2"/>
  <c r="W3104" i="2" l="1"/>
  <c r="X3104" i="2" s="1"/>
  <c r="S3105" i="2"/>
  <c r="W1998" i="2"/>
  <c r="X1998" i="2" s="1"/>
  <c r="S1999" i="2"/>
  <c r="W1173" i="2"/>
  <c r="X1173" i="2" s="1"/>
  <c r="S1174" i="2"/>
  <c r="U3105" i="2"/>
  <c r="T3105" i="2"/>
  <c r="U1999" i="2"/>
  <c r="T1999" i="2"/>
  <c r="U1174" i="2"/>
  <c r="T1174" i="2"/>
  <c r="W3105" i="2" l="1"/>
  <c r="X3105" i="2" s="1"/>
  <c r="S3106" i="2"/>
  <c r="W1999" i="2"/>
  <c r="X1999" i="2" s="1"/>
  <c r="S2000" i="2"/>
  <c r="W1174" i="2"/>
  <c r="X1174" i="2" s="1"/>
  <c r="S1175" i="2"/>
  <c r="U3106" i="2"/>
  <c r="T3106" i="2"/>
  <c r="U2000" i="2"/>
  <c r="T2000" i="2"/>
  <c r="T1175" i="2"/>
  <c r="U1175" i="2"/>
  <c r="W3106" i="2" l="1"/>
  <c r="X3106" i="2" s="1"/>
  <c r="S3107" i="2"/>
  <c r="W2000" i="2"/>
  <c r="X2000" i="2" s="1"/>
  <c r="S2001" i="2"/>
  <c r="W1175" i="2"/>
  <c r="X1175" i="2" s="1"/>
  <c r="S1176" i="2"/>
  <c r="U3107" i="2"/>
  <c r="T3107" i="2"/>
  <c r="T2001" i="2"/>
  <c r="U2001" i="2"/>
  <c r="U1176" i="2"/>
  <c r="T1176" i="2"/>
  <c r="W3107" i="2" l="1"/>
  <c r="X3107" i="2" s="1"/>
  <c r="S3108" i="2"/>
  <c r="W2001" i="2"/>
  <c r="X2001" i="2" s="1"/>
  <c r="S2002" i="2"/>
  <c r="W1176" i="2"/>
  <c r="X1176" i="2" s="1"/>
  <c r="S1177" i="2"/>
  <c r="U3108" i="2"/>
  <c r="T3108" i="2"/>
  <c r="T2002" i="2"/>
  <c r="U2002" i="2"/>
  <c r="U1177" i="2"/>
  <c r="T1177" i="2"/>
  <c r="W3108" i="2" l="1"/>
  <c r="X3108" i="2" s="1"/>
  <c r="S3109" i="2"/>
  <c r="W2002" i="2"/>
  <c r="X2002" i="2" s="1"/>
  <c r="S2003" i="2"/>
  <c r="W1177" i="2"/>
  <c r="X1177" i="2" s="1"/>
  <c r="S1178" i="2"/>
  <c r="U3109" i="2"/>
  <c r="T3109" i="2"/>
  <c r="U2003" i="2"/>
  <c r="T2003" i="2"/>
  <c r="U1178" i="2"/>
  <c r="T1178" i="2"/>
  <c r="W3109" i="2" l="1"/>
  <c r="X3109" i="2" s="1"/>
  <c r="S3110" i="2"/>
  <c r="W2003" i="2"/>
  <c r="X2003" i="2" s="1"/>
  <c r="S2004" i="2"/>
  <c r="W1178" i="2"/>
  <c r="X1178" i="2" s="1"/>
  <c r="S1179" i="2"/>
  <c r="U3110" i="2"/>
  <c r="T3110" i="2"/>
  <c r="U2004" i="2"/>
  <c r="T2004" i="2"/>
  <c r="T1179" i="2"/>
  <c r="U1179" i="2"/>
  <c r="W3110" i="2" l="1"/>
  <c r="X3110" i="2" s="1"/>
  <c r="S3111" i="2"/>
  <c r="W2004" i="2"/>
  <c r="X2004" i="2" s="1"/>
  <c r="S2005" i="2"/>
  <c r="W1179" i="2"/>
  <c r="X1179" i="2" s="1"/>
  <c r="S1180" i="2"/>
  <c r="U3111" i="2"/>
  <c r="T3111" i="2"/>
  <c r="T2005" i="2"/>
  <c r="U2005" i="2"/>
  <c r="U1180" i="2"/>
  <c r="T1180" i="2"/>
  <c r="W3111" i="2" l="1"/>
  <c r="X3111" i="2" s="1"/>
  <c r="S3112" i="2"/>
  <c r="W2005" i="2"/>
  <c r="X2005" i="2" s="1"/>
  <c r="S2006" i="2"/>
  <c r="W1180" i="2"/>
  <c r="X1180" i="2" s="1"/>
  <c r="S1181" i="2"/>
  <c r="U3112" i="2"/>
  <c r="T3112" i="2"/>
  <c r="T2006" i="2"/>
  <c r="U2006" i="2"/>
  <c r="U1181" i="2"/>
  <c r="T1181" i="2"/>
  <c r="W3112" i="2" l="1"/>
  <c r="X3112" i="2" s="1"/>
  <c r="S3113" i="2"/>
  <c r="W2006" i="2"/>
  <c r="X2006" i="2" s="1"/>
  <c r="S2007" i="2"/>
  <c r="W1181" i="2"/>
  <c r="X1181" i="2" s="1"/>
  <c r="S1182" i="2"/>
  <c r="U3113" i="2"/>
  <c r="T3113" i="2"/>
  <c r="U2007" i="2"/>
  <c r="T2007" i="2"/>
  <c r="T1182" i="2"/>
  <c r="U1182" i="2"/>
  <c r="W3113" i="2" l="1"/>
  <c r="X3113" i="2" s="1"/>
  <c r="S3114" i="2"/>
  <c r="W2007" i="2"/>
  <c r="X2007" i="2" s="1"/>
  <c r="S2008" i="2"/>
  <c r="W1182" i="2"/>
  <c r="X1182" i="2" s="1"/>
  <c r="S1183" i="2"/>
  <c r="U3114" i="2"/>
  <c r="T3114" i="2"/>
  <c r="U2008" i="2"/>
  <c r="T2008" i="2"/>
  <c r="T1183" i="2"/>
  <c r="U1183" i="2"/>
  <c r="W3114" i="2" l="1"/>
  <c r="X3114" i="2" s="1"/>
  <c r="S3115" i="2"/>
  <c r="W2008" i="2"/>
  <c r="X2008" i="2" s="1"/>
  <c r="S2009" i="2"/>
  <c r="W1183" i="2"/>
  <c r="X1183" i="2" s="1"/>
  <c r="S1184" i="2"/>
  <c r="U3115" i="2"/>
  <c r="T3115" i="2"/>
  <c r="T2009" i="2"/>
  <c r="U2009" i="2"/>
  <c r="U1184" i="2"/>
  <c r="T1184" i="2"/>
  <c r="W3115" i="2" l="1"/>
  <c r="X3115" i="2" s="1"/>
  <c r="S3116" i="2"/>
  <c r="W2009" i="2"/>
  <c r="X2009" i="2" s="1"/>
  <c r="S2010" i="2"/>
  <c r="W1184" i="2"/>
  <c r="X1184" i="2" s="1"/>
  <c r="S1185" i="2"/>
  <c r="U3116" i="2"/>
  <c r="T3116" i="2"/>
  <c r="T2010" i="2"/>
  <c r="U2010" i="2"/>
  <c r="U1185" i="2"/>
  <c r="T1185" i="2"/>
  <c r="W3116" i="2" l="1"/>
  <c r="X3116" i="2" s="1"/>
  <c r="S3117" i="2"/>
  <c r="W2010" i="2"/>
  <c r="X2010" i="2" s="1"/>
  <c r="S2011" i="2"/>
  <c r="W1185" i="2"/>
  <c r="X1185" i="2" s="1"/>
  <c r="S1186" i="2"/>
  <c r="U3117" i="2"/>
  <c r="T3117" i="2"/>
  <c r="U2011" i="2"/>
  <c r="T2011" i="2"/>
  <c r="U1186" i="2"/>
  <c r="T1186" i="2"/>
  <c r="W3117" i="2" l="1"/>
  <c r="X3117" i="2" s="1"/>
  <c r="S3118" i="2"/>
  <c r="W2011" i="2"/>
  <c r="X2011" i="2" s="1"/>
  <c r="S2012" i="2"/>
  <c r="W1186" i="2"/>
  <c r="X1186" i="2" s="1"/>
  <c r="S1187" i="2"/>
  <c r="U3118" i="2"/>
  <c r="T3118" i="2"/>
  <c r="U2012" i="2"/>
  <c r="T2012" i="2"/>
  <c r="T1187" i="2"/>
  <c r="U1187" i="2"/>
  <c r="W3118" i="2" l="1"/>
  <c r="X3118" i="2" s="1"/>
  <c r="S3119" i="2"/>
  <c r="W2012" i="2"/>
  <c r="X2012" i="2" s="1"/>
  <c r="S2013" i="2"/>
  <c r="W1187" i="2"/>
  <c r="X1187" i="2" s="1"/>
  <c r="S1188" i="2"/>
  <c r="U3119" i="2"/>
  <c r="T3119" i="2"/>
  <c r="T2013" i="2"/>
  <c r="U2013" i="2"/>
  <c r="U1188" i="2"/>
  <c r="T1188" i="2"/>
  <c r="W3119" i="2" l="1"/>
  <c r="X3119" i="2" s="1"/>
  <c r="S3120" i="2"/>
  <c r="W2013" i="2"/>
  <c r="X2013" i="2" s="1"/>
  <c r="S2014" i="2"/>
  <c r="W1188" i="2"/>
  <c r="X1188" i="2" s="1"/>
  <c r="S1189" i="2"/>
  <c r="U3120" i="2"/>
  <c r="T3120" i="2"/>
  <c r="T2014" i="2"/>
  <c r="U2014" i="2"/>
  <c r="T1189" i="2"/>
  <c r="U1189" i="2"/>
  <c r="W3120" i="2" l="1"/>
  <c r="X3120" i="2" s="1"/>
  <c r="S3121" i="2"/>
  <c r="W2014" i="2"/>
  <c r="X2014" i="2" s="1"/>
  <c r="S2015" i="2"/>
  <c r="W1189" i="2"/>
  <c r="X1189" i="2" s="1"/>
  <c r="S1190" i="2"/>
  <c r="U3121" i="2"/>
  <c r="T3121" i="2"/>
  <c r="U2015" i="2"/>
  <c r="T2015" i="2"/>
  <c r="U1190" i="2"/>
  <c r="T1190" i="2"/>
  <c r="W3121" i="2" l="1"/>
  <c r="X3121" i="2" s="1"/>
  <c r="S3122" i="2"/>
  <c r="W2015" i="2"/>
  <c r="X2015" i="2" s="1"/>
  <c r="S2016" i="2"/>
  <c r="W1190" i="2"/>
  <c r="X1190" i="2" s="1"/>
  <c r="S1191" i="2"/>
  <c r="U3122" i="2"/>
  <c r="T3122" i="2"/>
  <c r="U2016" i="2"/>
  <c r="T2016" i="2"/>
  <c r="T1191" i="2"/>
  <c r="U1191" i="2"/>
  <c r="W3122" i="2" l="1"/>
  <c r="X3122" i="2" s="1"/>
  <c r="S3123" i="2"/>
  <c r="W2016" i="2"/>
  <c r="X2016" i="2" s="1"/>
  <c r="S2017" i="2"/>
  <c r="W1191" i="2"/>
  <c r="X1191" i="2" s="1"/>
  <c r="S1192" i="2"/>
  <c r="U3123" i="2"/>
  <c r="T3123" i="2"/>
  <c r="T2017" i="2"/>
  <c r="U2017" i="2"/>
  <c r="U1192" i="2"/>
  <c r="T1192" i="2"/>
  <c r="W3123" i="2" l="1"/>
  <c r="X3123" i="2" s="1"/>
  <c r="S3124" i="2"/>
  <c r="W2017" i="2"/>
  <c r="X2017" i="2" s="1"/>
  <c r="S2018" i="2"/>
  <c r="W1192" i="2"/>
  <c r="X1192" i="2" s="1"/>
  <c r="S1193" i="2"/>
  <c r="U3124" i="2"/>
  <c r="T3124" i="2"/>
  <c r="T2018" i="2"/>
  <c r="U2018" i="2"/>
  <c r="T1193" i="2"/>
  <c r="U1193" i="2"/>
  <c r="W3124" i="2" l="1"/>
  <c r="X3124" i="2" s="1"/>
  <c r="S3125" i="2"/>
  <c r="W2018" i="2"/>
  <c r="X2018" i="2" s="1"/>
  <c r="S2019" i="2"/>
  <c r="W1193" i="2"/>
  <c r="X1193" i="2" s="1"/>
  <c r="S1194" i="2"/>
  <c r="U3125" i="2"/>
  <c r="T3125" i="2"/>
  <c r="U2019" i="2"/>
  <c r="T2019" i="2"/>
  <c r="U1194" i="2"/>
  <c r="T1194" i="2"/>
  <c r="W3125" i="2" l="1"/>
  <c r="X3125" i="2" s="1"/>
  <c r="S3126" i="2"/>
  <c r="W2019" i="2"/>
  <c r="X2019" i="2" s="1"/>
  <c r="S2020" i="2"/>
  <c r="W1194" i="2"/>
  <c r="X1194" i="2" s="1"/>
  <c r="S1195" i="2"/>
  <c r="U3126" i="2"/>
  <c r="T3126" i="2"/>
  <c r="U2020" i="2"/>
  <c r="T2020" i="2"/>
  <c r="T1195" i="2"/>
  <c r="U1195" i="2"/>
  <c r="W3126" i="2" l="1"/>
  <c r="X3126" i="2" s="1"/>
  <c r="S3127" i="2"/>
  <c r="W2020" i="2"/>
  <c r="X2020" i="2" s="1"/>
  <c r="S2021" i="2"/>
  <c r="W1195" i="2"/>
  <c r="X1195" i="2" s="1"/>
  <c r="S1196" i="2"/>
  <c r="U3127" i="2"/>
  <c r="T3127" i="2"/>
  <c r="T2021" i="2"/>
  <c r="U2021" i="2"/>
  <c r="U1196" i="2"/>
  <c r="T1196" i="2"/>
  <c r="W3127" i="2" l="1"/>
  <c r="X3127" i="2" s="1"/>
  <c r="S3128" i="2"/>
  <c r="W2021" i="2"/>
  <c r="X2021" i="2" s="1"/>
  <c r="S2022" i="2"/>
  <c r="W1196" i="2"/>
  <c r="X1196" i="2" s="1"/>
  <c r="S1197" i="2"/>
  <c r="U3128" i="2"/>
  <c r="T3128" i="2"/>
  <c r="T2022" i="2"/>
  <c r="U2022" i="2"/>
  <c r="U1197" i="2"/>
  <c r="T1197" i="2"/>
  <c r="W3128" i="2" l="1"/>
  <c r="X3128" i="2" s="1"/>
  <c r="S3129" i="2"/>
  <c r="W2022" i="2"/>
  <c r="X2022" i="2" s="1"/>
  <c r="S2023" i="2"/>
  <c r="W1197" i="2"/>
  <c r="X1197" i="2" s="1"/>
  <c r="S1198" i="2"/>
  <c r="U3129" i="2"/>
  <c r="T3129" i="2"/>
  <c r="U2023" i="2"/>
  <c r="T2023" i="2"/>
  <c r="U1198" i="2"/>
  <c r="T1198" i="2"/>
  <c r="W3129" i="2" l="1"/>
  <c r="X3129" i="2" s="1"/>
  <c r="S3130" i="2"/>
  <c r="W2023" i="2"/>
  <c r="X2023" i="2" s="1"/>
  <c r="S2024" i="2"/>
  <c r="W1198" i="2"/>
  <c r="X1198" i="2" s="1"/>
  <c r="S1199" i="2"/>
  <c r="U3130" i="2"/>
  <c r="T3130" i="2"/>
  <c r="U2024" i="2"/>
  <c r="T2024" i="2"/>
  <c r="U1199" i="2"/>
  <c r="T1199" i="2"/>
  <c r="W3130" i="2" l="1"/>
  <c r="X3130" i="2" s="1"/>
  <c r="S3131" i="2"/>
  <c r="W2024" i="2"/>
  <c r="X2024" i="2" s="1"/>
  <c r="S2025" i="2"/>
  <c r="W1199" i="2"/>
  <c r="X1199" i="2" s="1"/>
  <c r="S1200" i="2"/>
  <c r="U3131" i="2"/>
  <c r="T3131" i="2"/>
  <c r="U2025" i="2"/>
  <c r="T2025" i="2"/>
  <c r="U1200" i="2"/>
  <c r="T1200" i="2"/>
  <c r="W3131" i="2" l="1"/>
  <c r="X3131" i="2" s="1"/>
  <c r="S3132" i="2"/>
  <c r="W2025" i="2"/>
  <c r="X2025" i="2" s="1"/>
  <c r="S2026" i="2"/>
  <c r="W1200" i="2"/>
  <c r="X1200" i="2" s="1"/>
  <c r="S1201" i="2"/>
  <c r="U3132" i="2"/>
  <c r="T3132" i="2"/>
  <c r="U2026" i="2"/>
  <c r="T2026" i="2"/>
  <c r="U1201" i="2"/>
  <c r="T1201" i="2"/>
  <c r="W3132" i="2" l="1"/>
  <c r="X3132" i="2" s="1"/>
  <c r="S3133" i="2"/>
  <c r="W2026" i="2"/>
  <c r="X2026" i="2" s="1"/>
  <c r="S2027" i="2"/>
  <c r="W1201" i="2"/>
  <c r="X1201" i="2" s="1"/>
  <c r="S1202" i="2"/>
  <c r="U3133" i="2"/>
  <c r="T3133" i="2"/>
  <c r="U2027" i="2"/>
  <c r="T2027" i="2"/>
  <c r="U1202" i="2"/>
  <c r="T1202" i="2"/>
  <c r="W3133" i="2" l="1"/>
  <c r="X3133" i="2" s="1"/>
  <c r="S3134" i="2"/>
  <c r="W2027" i="2"/>
  <c r="X2027" i="2" s="1"/>
  <c r="S2028" i="2"/>
  <c r="W1202" i="2"/>
  <c r="X1202" i="2" s="1"/>
  <c r="S1203" i="2"/>
  <c r="U3134" i="2"/>
  <c r="T3134" i="2"/>
  <c r="T2028" i="2"/>
  <c r="U2028" i="2"/>
  <c r="U1203" i="2"/>
  <c r="T1203" i="2"/>
  <c r="W3134" i="2" l="1"/>
  <c r="X3134" i="2" s="1"/>
  <c r="S3135" i="2"/>
  <c r="W2028" i="2"/>
  <c r="X2028" i="2" s="1"/>
  <c r="S2029" i="2"/>
  <c r="W1203" i="2"/>
  <c r="X1203" i="2" s="1"/>
  <c r="S1204" i="2"/>
  <c r="U3135" i="2"/>
  <c r="T3135" i="2"/>
  <c r="U2029" i="2"/>
  <c r="T2029" i="2"/>
  <c r="U1204" i="2"/>
  <c r="T1204" i="2"/>
  <c r="W3135" i="2" l="1"/>
  <c r="X3135" i="2" s="1"/>
  <c r="S3136" i="2"/>
  <c r="W2029" i="2"/>
  <c r="X2029" i="2" s="1"/>
  <c r="S2030" i="2"/>
  <c r="W1204" i="2"/>
  <c r="X1204" i="2" s="1"/>
  <c r="S1205" i="2"/>
  <c r="U3136" i="2"/>
  <c r="T3136" i="2"/>
  <c r="U2030" i="2"/>
  <c r="T2030" i="2"/>
  <c r="U1205" i="2"/>
  <c r="T1205" i="2"/>
  <c r="W3136" i="2" l="1"/>
  <c r="X3136" i="2" s="1"/>
  <c r="S3137" i="2"/>
  <c r="W2030" i="2"/>
  <c r="X2030" i="2" s="1"/>
  <c r="S2031" i="2"/>
  <c r="W1205" i="2"/>
  <c r="X1205" i="2" s="1"/>
  <c r="S1206" i="2"/>
  <c r="U3137" i="2"/>
  <c r="T3137" i="2"/>
  <c r="U2031" i="2"/>
  <c r="T2031" i="2"/>
  <c r="U1206" i="2"/>
  <c r="T1206" i="2"/>
  <c r="W3137" i="2" l="1"/>
  <c r="X3137" i="2" s="1"/>
  <c r="S3138" i="2"/>
  <c r="W2031" i="2"/>
  <c r="X2031" i="2" s="1"/>
  <c r="S2032" i="2"/>
  <c r="W1206" i="2"/>
  <c r="X1206" i="2" s="1"/>
  <c r="S1207" i="2"/>
  <c r="U3138" i="2"/>
  <c r="T3138" i="2"/>
  <c r="T2032" i="2"/>
  <c r="U2032" i="2"/>
  <c r="T1207" i="2"/>
  <c r="U1207" i="2"/>
  <c r="W3138" i="2" l="1"/>
  <c r="X3138" i="2" s="1"/>
  <c r="S3139" i="2"/>
  <c r="W2032" i="2"/>
  <c r="X2032" i="2" s="1"/>
  <c r="S2033" i="2"/>
  <c r="W1207" i="2"/>
  <c r="X1207" i="2" s="1"/>
  <c r="S1208" i="2"/>
  <c r="U3139" i="2"/>
  <c r="T3139" i="2"/>
  <c r="U2033" i="2"/>
  <c r="T2033" i="2"/>
  <c r="U1208" i="2"/>
  <c r="T1208" i="2"/>
  <c r="W3139" i="2" l="1"/>
  <c r="X3139" i="2" s="1"/>
  <c r="S3140" i="2"/>
  <c r="W2033" i="2"/>
  <c r="X2033" i="2" s="1"/>
  <c r="S2034" i="2"/>
  <c r="W1208" i="2"/>
  <c r="X1208" i="2" s="1"/>
  <c r="S1209" i="2"/>
  <c r="U3140" i="2"/>
  <c r="T3140" i="2"/>
  <c r="U2034" i="2"/>
  <c r="T2034" i="2"/>
  <c r="T1209" i="2"/>
  <c r="U1209" i="2"/>
  <c r="W3140" i="2" l="1"/>
  <c r="X3140" i="2" s="1"/>
  <c r="S3141" i="2"/>
  <c r="W2034" i="2"/>
  <c r="X2034" i="2" s="1"/>
  <c r="S2035" i="2"/>
  <c r="W1209" i="2"/>
  <c r="X1209" i="2" s="1"/>
  <c r="S1210" i="2"/>
  <c r="U3141" i="2"/>
  <c r="T3141" i="2"/>
  <c r="U2035" i="2"/>
  <c r="T2035" i="2"/>
  <c r="U1210" i="2"/>
  <c r="T1210" i="2"/>
  <c r="W3141" i="2" l="1"/>
  <c r="X3141" i="2" s="1"/>
  <c r="S3142" i="2"/>
  <c r="W2035" i="2"/>
  <c r="X2035" i="2" s="1"/>
  <c r="S2036" i="2"/>
  <c r="W1210" i="2"/>
  <c r="X1210" i="2" s="1"/>
  <c r="S1211" i="2"/>
  <c r="U3142" i="2"/>
  <c r="T3142" i="2"/>
  <c r="T2036" i="2"/>
  <c r="U2036" i="2"/>
  <c r="U1211" i="2"/>
  <c r="T1211" i="2"/>
  <c r="W3142" i="2" l="1"/>
  <c r="X3142" i="2" s="1"/>
  <c r="S3143" i="2"/>
  <c r="W2036" i="2"/>
  <c r="X2036" i="2" s="1"/>
  <c r="S2037" i="2"/>
  <c r="W1211" i="2"/>
  <c r="X1211" i="2" s="1"/>
  <c r="S1212" i="2"/>
  <c r="U3143" i="2"/>
  <c r="T3143" i="2"/>
  <c r="U2037" i="2"/>
  <c r="T2037" i="2"/>
  <c r="U1212" i="2"/>
  <c r="T1212" i="2"/>
  <c r="W3143" i="2" l="1"/>
  <c r="X3143" i="2" s="1"/>
  <c r="S3144" i="2"/>
  <c r="W2037" i="2"/>
  <c r="X2037" i="2" s="1"/>
  <c r="S2038" i="2"/>
  <c r="W1212" i="2"/>
  <c r="X1212" i="2" s="1"/>
  <c r="S1213" i="2"/>
  <c r="U3144" i="2"/>
  <c r="T3144" i="2"/>
  <c r="U2038" i="2"/>
  <c r="T2038" i="2"/>
  <c r="T1213" i="2"/>
  <c r="U1213" i="2"/>
  <c r="W3144" i="2" l="1"/>
  <c r="X3144" i="2" s="1"/>
  <c r="S3145" i="2"/>
  <c r="W2038" i="2"/>
  <c r="X2038" i="2" s="1"/>
  <c r="S2039" i="2"/>
  <c r="W1213" i="2"/>
  <c r="X1213" i="2" s="1"/>
  <c r="S1214" i="2"/>
  <c r="U3145" i="2"/>
  <c r="T3145" i="2"/>
  <c r="U2039" i="2"/>
  <c r="T2039" i="2"/>
  <c r="U1214" i="2"/>
  <c r="T1214" i="2"/>
  <c r="W3145" i="2" l="1"/>
  <c r="X3145" i="2" s="1"/>
  <c r="S3146" i="2"/>
  <c r="W2039" i="2"/>
  <c r="X2039" i="2" s="1"/>
  <c r="S2040" i="2"/>
  <c r="W1214" i="2"/>
  <c r="X1214" i="2" s="1"/>
  <c r="S1215" i="2"/>
  <c r="U3146" i="2"/>
  <c r="T3146" i="2"/>
  <c r="T2040" i="2"/>
  <c r="U2040" i="2"/>
  <c r="U1215" i="2"/>
  <c r="T1215" i="2"/>
  <c r="W3146" i="2" l="1"/>
  <c r="X3146" i="2" s="1"/>
  <c r="S3147" i="2"/>
  <c r="W2040" i="2"/>
  <c r="X2040" i="2" s="1"/>
  <c r="S2041" i="2"/>
  <c r="W1215" i="2"/>
  <c r="X1215" i="2" s="1"/>
  <c r="S1216" i="2"/>
  <c r="U3147" i="2"/>
  <c r="T3147" i="2"/>
  <c r="U2041" i="2"/>
  <c r="T2041" i="2"/>
  <c r="U1216" i="2"/>
  <c r="T1216" i="2"/>
  <c r="W3147" i="2" l="1"/>
  <c r="X3147" i="2" s="1"/>
  <c r="S3148" i="2"/>
  <c r="W2041" i="2"/>
  <c r="X2041" i="2" s="1"/>
  <c r="S2042" i="2"/>
  <c r="W1216" i="2"/>
  <c r="X1216" i="2" s="1"/>
  <c r="S1217" i="2"/>
  <c r="U3148" i="2"/>
  <c r="T3148" i="2"/>
  <c r="U2042" i="2"/>
  <c r="T2042" i="2"/>
  <c r="T1217" i="2"/>
  <c r="U1217" i="2"/>
  <c r="W3148" i="2" l="1"/>
  <c r="X3148" i="2" s="1"/>
  <c r="S3149" i="2"/>
  <c r="W2042" i="2"/>
  <c r="X2042" i="2" s="1"/>
  <c r="S2043" i="2"/>
  <c r="W1217" i="2"/>
  <c r="X1217" i="2" s="1"/>
  <c r="S1218" i="2"/>
  <c r="U3149" i="2"/>
  <c r="T3149" i="2"/>
  <c r="U2043" i="2"/>
  <c r="T2043" i="2"/>
  <c r="U1218" i="2"/>
  <c r="T1218" i="2"/>
  <c r="W3149" i="2" l="1"/>
  <c r="X3149" i="2" s="1"/>
  <c r="S3150" i="2"/>
  <c r="W2043" i="2"/>
  <c r="X2043" i="2" s="1"/>
  <c r="S2044" i="2"/>
  <c r="W1218" i="2"/>
  <c r="X1218" i="2" s="1"/>
  <c r="S1219" i="2"/>
  <c r="U3150" i="2"/>
  <c r="T3150" i="2"/>
  <c r="T2044" i="2"/>
  <c r="U2044" i="2"/>
  <c r="U1219" i="2"/>
  <c r="T1219" i="2"/>
  <c r="W3150" i="2" l="1"/>
  <c r="X3150" i="2" s="1"/>
  <c r="S3151" i="2"/>
  <c r="W2044" i="2"/>
  <c r="X2044" i="2" s="1"/>
  <c r="S2045" i="2"/>
  <c r="W1219" i="2"/>
  <c r="X1219" i="2" s="1"/>
  <c r="S1220" i="2"/>
  <c r="U3151" i="2"/>
  <c r="T3151" i="2"/>
  <c r="U2045" i="2"/>
  <c r="T2045" i="2"/>
  <c r="U1220" i="2"/>
  <c r="T1220" i="2"/>
  <c r="W3151" i="2" l="1"/>
  <c r="X3151" i="2" s="1"/>
  <c r="S3152" i="2"/>
  <c r="W2045" i="2"/>
  <c r="X2045" i="2" s="1"/>
  <c r="S2046" i="2"/>
  <c r="W1220" i="2"/>
  <c r="X1220" i="2" s="1"/>
  <c r="S1221" i="2"/>
  <c r="U3152" i="2"/>
  <c r="T3152" i="2"/>
  <c r="U2046" i="2"/>
  <c r="T2046" i="2"/>
  <c r="T1221" i="2"/>
  <c r="U1221" i="2"/>
  <c r="W3152" i="2" l="1"/>
  <c r="X3152" i="2" s="1"/>
  <c r="S3153" i="2"/>
  <c r="W2046" i="2"/>
  <c r="X2046" i="2" s="1"/>
  <c r="S2047" i="2"/>
  <c r="W1221" i="2"/>
  <c r="X1221" i="2" s="1"/>
  <c r="S1222" i="2"/>
  <c r="U3153" i="2"/>
  <c r="T3153" i="2"/>
  <c r="U2047" i="2"/>
  <c r="T2047" i="2"/>
  <c r="U1222" i="2"/>
  <c r="T1222" i="2"/>
  <c r="W3153" i="2" l="1"/>
  <c r="X3153" i="2" s="1"/>
  <c r="S3154" i="2"/>
  <c r="W2047" i="2"/>
  <c r="X2047" i="2" s="1"/>
  <c r="S2048" i="2"/>
  <c r="W1222" i="2"/>
  <c r="X1222" i="2" s="1"/>
  <c r="S1223" i="2"/>
  <c r="U3154" i="2"/>
  <c r="T3154" i="2"/>
  <c r="T2048" i="2"/>
  <c r="U2048" i="2"/>
  <c r="U1223" i="2"/>
  <c r="T1223" i="2"/>
  <c r="W3154" i="2" l="1"/>
  <c r="X3154" i="2" s="1"/>
  <c r="S3155" i="2"/>
  <c r="W2048" i="2"/>
  <c r="X2048" i="2" s="1"/>
  <c r="S2049" i="2"/>
  <c r="W1223" i="2"/>
  <c r="X1223" i="2" s="1"/>
  <c r="S1224" i="2"/>
  <c r="U3155" i="2"/>
  <c r="T3155" i="2"/>
  <c r="U2049" i="2"/>
  <c r="T2049" i="2"/>
  <c r="U1224" i="2"/>
  <c r="T1224" i="2"/>
  <c r="W3155" i="2" l="1"/>
  <c r="X3155" i="2" s="1"/>
  <c r="S3156" i="2"/>
  <c r="W2049" i="2"/>
  <c r="X2049" i="2" s="1"/>
  <c r="S2050" i="2"/>
  <c r="W1224" i="2"/>
  <c r="X1224" i="2" s="1"/>
  <c r="S1225" i="2"/>
  <c r="U3156" i="2"/>
  <c r="T3156" i="2"/>
  <c r="U2050" i="2"/>
  <c r="T2050" i="2"/>
  <c r="T1225" i="2"/>
  <c r="U1225" i="2"/>
  <c r="W3156" i="2" l="1"/>
  <c r="X3156" i="2" s="1"/>
  <c r="S3157" i="2"/>
  <c r="W2050" i="2"/>
  <c r="X2050" i="2" s="1"/>
  <c r="S2051" i="2"/>
  <c r="W1225" i="2"/>
  <c r="X1225" i="2" s="1"/>
  <c r="S1226" i="2"/>
  <c r="U3157" i="2"/>
  <c r="T3157" i="2"/>
  <c r="U2051" i="2"/>
  <c r="T2051" i="2"/>
  <c r="U1226" i="2"/>
  <c r="T1226" i="2"/>
  <c r="W3157" i="2" l="1"/>
  <c r="X3157" i="2" s="1"/>
  <c r="S3158" i="2"/>
  <c r="W2051" i="2"/>
  <c r="X2051" i="2" s="1"/>
  <c r="S2052" i="2"/>
  <c r="W1226" i="2"/>
  <c r="X1226" i="2" s="1"/>
  <c r="S1227" i="2"/>
  <c r="U3158" i="2"/>
  <c r="T3158" i="2"/>
  <c r="T2052" i="2"/>
  <c r="U2052" i="2"/>
  <c r="U1227" i="2"/>
  <c r="T1227" i="2"/>
  <c r="W3158" i="2" l="1"/>
  <c r="X3158" i="2" s="1"/>
  <c r="S3159" i="2"/>
  <c r="W2052" i="2"/>
  <c r="X2052" i="2" s="1"/>
  <c r="S2053" i="2"/>
  <c r="W1227" i="2"/>
  <c r="X1227" i="2" s="1"/>
  <c r="S1228" i="2"/>
  <c r="U3159" i="2"/>
  <c r="T3159" i="2"/>
  <c r="U2053" i="2"/>
  <c r="T2053" i="2"/>
  <c r="U1228" i="2"/>
  <c r="T1228" i="2"/>
  <c r="W3159" i="2" l="1"/>
  <c r="X3159" i="2" s="1"/>
  <c r="S3160" i="2"/>
  <c r="W2053" i="2"/>
  <c r="X2053" i="2" s="1"/>
  <c r="S2054" i="2"/>
  <c r="W1228" i="2"/>
  <c r="X1228" i="2" s="1"/>
  <c r="S1229" i="2"/>
  <c r="U3160" i="2"/>
  <c r="T3160" i="2"/>
  <c r="U2054" i="2"/>
  <c r="T2054" i="2"/>
  <c r="T1229" i="2"/>
  <c r="U1229" i="2"/>
  <c r="W3160" i="2" l="1"/>
  <c r="X3160" i="2" s="1"/>
  <c r="S3161" i="2"/>
  <c r="W2054" i="2"/>
  <c r="X2054" i="2" s="1"/>
  <c r="S2055" i="2"/>
  <c r="W1229" i="2"/>
  <c r="X1229" i="2" s="1"/>
  <c r="S1230" i="2"/>
  <c r="U3161" i="2"/>
  <c r="T3161" i="2"/>
  <c r="U2055" i="2"/>
  <c r="T2055" i="2"/>
  <c r="U1230" i="2"/>
  <c r="T1230" i="2"/>
  <c r="W3161" i="2" l="1"/>
  <c r="X3161" i="2" s="1"/>
  <c r="S3162" i="2"/>
  <c r="W2055" i="2"/>
  <c r="X2055" i="2" s="1"/>
  <c r="S2056" i="2"/>
  <c r="W1230" i="2"/>
  <c r="X1230" i="2" s="1"/>
  <c r="S1231" i="2"/>
  <c r="U3162" i="2"/>
  <c r="T3162" i="2"/>
  <c r="T2056" i="2"/>
  <c r="U2056" i="2"/>
  <c r="U1231" i="2"/>
  <c r="T1231" i="2"/>
  <c r="W3162" i="2" l="1"/>
  <c r="X3162" i="2" s="1"/>
  <c r="S3163" i="2"/>
  <c r="W2056" i="2"/>
  <c r="X2056" i="2" s="1"/>
  <c r="S2057" i="2"/>
  <c r="W1231" i="2"/>
  <c r="X1231" i="2" s="1"/>
  <c r="S1232" i="2"/>
  <c r="U3163" i="2"/>
  <c r="T3163" i="2"/>
  <c r="U2057" i="2"/>
  <c r="T2057" i="2"/>
  <c r="U1232" i="2"/>
  <c r="T1232" i="2"/>
  <c r="W3163" i="2" l="1"/>
  <c r="X3163" i="2" s="1"/>
  <c r="S3164" i="2"/>
  <c r="W2057" i="2"/>
  <c r="X2057" i="2" s="1"/>
  <c r="S2058" i="2"/>
  <c r="W1232" i="2"/>
  <c r="X1232" i="2" s="1"/>
  <c r="S1233" i="2"/>
  <c r="U3164" i="2"/>
  <c r="T3164" i="2"/>
  <c r="U2058" i="2"/>
  <c r="T2058" i="2"/>
  <c r="T1233" i="2"/>
  <c r="U1233" i="2"/>
  <c r="W3164" i="2" l="1"/>
  <c r="X3164" i="2" s="1"/>
  <c r="S3165" i="2"/>
  <c r="W2058" i="2"/>
  <c r="X2058" i="2" s="1"/>
  <c r="S2059" i="2"/>
  <c r="W1233" i="2"/>
  <c r="X1233" i="2" s="1"/>
  <c r="S1234" i="2"/>
  <c r="U3165" i="2"/>
  <c r="T3165" i="2"/>
  <c r="U2059" i="2"/>
  <c r="T2059" i="2"/>
  <c r="U1234" i="2"/>
  <c r="T1234" i="2"/>
  <c r="W3165" i="2" l="1"/>
  <c r="X3165" i="2" s="1"/>
  <c r="S3166" i="2"/>
  <c r="W2059" i="2"/>
  <c r="X2059" i="2" s="1"/>
  <c r="S2060" i="2"/>
  <c r="W1234" i="2"/>
  <c r="X1234" i="2" s="1"/>
  <c r="S1235" i="2"/>
  <c r="U3166" i="2"/>
  <c r="T3166" i="2"/>
  <c r="T2060" i="2"/>
  <c r="U2060" i="2"/>
  <c r="U1235" i="2"/>
  <c r="T1235" i="2"/>
  <c r="W3166" i="2" l="1"/>
  <c r="X3166" i="2" s="1"/>
  <c r="S3167" i="2"/>
  <c r="W2060" i="2"/>
  <c r="X2060" i="2" s="1"/>
  <c r="S2061" i="2"/>
  <c r="W1235" i="2"/>
  <c r="X1235" i="2" s="1"/>
  <c r="S1236" i="2"/>
  <c r="U3167" i="2"/>
  <c r="T3167" i="2"/>
  <c r="U2061" i="2"/>
  <c r="T2061" i="2"/>
  <c r="U1236" i="2"/>
  <c r="T1236" i="2"/>
  <c r="W3167" i="2" l="1"/>
  <c r="X3167" i="2" s="1"/>
  <c r="S3168" i="2"/>
  <c r="W2061" i="2"/>
  <c r="X2061" i="2" s="1"/>
  <c r="S2062" i="2"/>
  <c r="W1236" i="2"/>
  <c r="X1236" i="2" s="1"/>
  <c r="S1237" i="2"/>
  <c r="U3168" i="2"/>
  <c r="T3168" i="2"/>
  <c r="U2062" i="2"/>
  <c r="T2062" i="2"/>
  <c r="T1237" i="2"/>
  <c r="U1237" i="2"/>
  <c r="W3168" i="2" l="1"/>
  <c r="X3168" i="2" s="1"/>
  <c r="S3169" i="2"/>
  <c r="W2062" i="2"/>
  <c r="X2062" i="2" s="1"/>
  <c r="S2063" i="2"/>
  <c r="W1237" i="2"/>
  <c r="X1237" i="2" s="1"/>
  <c r="S1238" i="2"/>
  <c r="U3169" i="2"/>
  <c r="T3169" i="2"/>
  <c r="U2063" i="2"/>
  <c r="T2063" i="2"/>
  <c r="U1238" i="2"/>
  <c r="T1238" i="2"/>
  <c r="W3169" i="2" l="1"/>
  <c r="X3169" i="2" s="1"/>
  <c r="S3170" i="2"/>
  <c r="W2063" i="2"/>
  <c r="X2063" i="2" s="1"/>
  <c r="S2064" i="2"/>
  <c r="W1238" i="2"/>
  <c r="X1238" i="2" s="1"/>
  <c r="S1239" i="2"/>
  <c r="U3170" i="2"/>
  <c r="T3170" i="2"/>
  <c r="T2064" i="2"/>
  <c r="U2064" i="2"/>
  <c r="U1239" i="2"/>
  <c r="T1239" i="2"/>
  <c r="W3170" i="2" l="1"/>
  <c r="X3170" i="2" s="1"/>
  <c r="S3171" i="2"/>
  <c r="W2064" i="2"/>
  <c r="X2064" i="2" s="1"/>
  <c r="S2065" i="2"/>
  <c r="W1239" i="2"/>
  <c r="X1239" i="2" s="1"/>
  <c r="S1240" i="2"/>
  <c r="U3171" i="2"/>
  <c r="T3171" i="2"/>
  <c r="U2065" i="2"/>
  <c r="T2065" i="2"/>
  <c r="U1240" i="2"/>
  <c r="T1240" i="2"/>
  <c r="W3171" i="2" l="1"/>
  <c r="X3171" i="2" s="1"/>
  <c r="S3172" i="2"/>
  <c r="W2065" i="2"/>
  <c r="X2065" i="2" s="1"/>
  <c r="S2066" i="2"/>
  <c r="W1240" i="2"/>
  <c r="X1240" i="2" s="1"/>
  <c r="S1241" i="2"/>
  <c r="U3172" i="2"/>
  <c r="T3172" i="2"/>
  <c r="U2066" i="2"/>
  <c r="T2066" i="2"/>
  <c r="T1241" i="2"/>
  <c r="U1241" i="2"/>
  <c r="W3172" i="2" l="1"/>
  <c r="X3172" i="2" s="1"/>
  <c r="S3173" i="2"/>
  <c r="W2066" i="2"/>
  <c r="X2066" i="2" s="1"/>
  <c r="S2067" i="2"/>
  <c r="W1241" i="2"/>
  <c r="X1241" i="2" s="1"/>
  <c r="S1242" i="2"/>
  <c r="U3173" i="2"/>
  <c r="T3173" i="2"/>
  <c r="U2067" i="2"/>
  <c r="T2067" i="2"/>
  <c r="U1242" i="2"/>
  <c r="T1242" i="2"/>
  <c r="W3173" i="2" l="1"/>
  <c r="X3173" i="2" s="1"/>
  <c r="S3174" i="2"/>
  <c r="W2067" i="2"/>
  <c r="X2067" i="2" s="1"/>
  <c r="S2068" i="2"/>
  <c r="W1242" i="2"/>
  <c r="X1242" i="2" s="1"/>
  <c r="S1243" i="2"/>
  <c r="U3174" i="2"/>
  <c r="T3174" i="2"/>
  <c r="T2068" i="2"/>
  <c r="U2068" i="2"/>
  <c r="U1243" i="2"/>
  <c r="T1243" i="2"/>
  <c r="W3174" i="2" l="1"/>
  <c r="X3174" i="2" s="1"/>
  <c r="S3175" i="2"/>
  <c r="W2068" i="2"/>
  <c r="X2068" i="2" s="1"/>
  <c r="S2069" i="2"/>
  <c r="W1243" i="2"/>
  <c r="X1243" i="2" s="1"/>
  <c r="S1244" i="2"/>
  <c r="U3175" i="2"/>
  <c r="T3175" i="2"/>
  <c r="U2069" i="2"/>
  <c r="T2069" i="2"/>
  <c r="U1244" i="2"/>
  <c r="T1244" i="2"/>
  <c r="W3175" i="2" l="1"/>
  <c r="X3175" i="2" s="1"/>
  <c r="S3176" i="2"/>
  <c r="W2069" i="2"/>
  <c r="X2069" i="2" s="1"/>
  <c r="S2070" i="2"/>
  <c r="W1244" i="2"/>
  <c r="X1244" i="2" s="1"/>
  <c r="S1245" i="2"/>
  <c r="T3176" i="2"/>
  <c r="U3176" i="2"/>
  <c r="U2070" i="2"/>
  <c r="T2070" i="2"/>
  <c r="T1245" i="2"/>
  <c r="U1245" i="2"/>
  <c r="W3176" i="2" l="1"/>
  <c r="X3176" i="2" s="1"/>
  <c r="S3177" i="2"/>
  <c r="W2070" i="2"/>
  <c r="X2070" i="2" s="1"/>
  <c r="S2071" i="2"/>
  <c r="W1245" i="2"/>
  <c r="X1245" i="2" s="1"/>
  <c r="S1246" i="2"/>
  <c r="U3177" i="2"/>
  <c r="T3177" i="2"/>
  <c r="U2071" i="2"/>
  <c r="T2071" i="2"/>
  <c r="U1246" i="2"/>
  <c r="T1246" i="2"/>
  <c r="W3177" i="2" l="1"/>
  <c r="X3177" i="2" s="1"/>
  <c r="S3178" i="2"/>
  <c r="W2071" i="2"/>
  <c r="X2071" i="2" s="1"/>
  <c r="S2072" i="2"/>
  <c r="W1246" i="2"/>
  <c r="X1246" i="2" s="1"/>
  <c r="S1247" i="2"/>
  <c r="T3178" i="2"/>
  <c r="U3178" i="2"/>
  <c r="T2072" i="2"/>
  <c r="U2072" i="2"/>
  <c r="U1247" i="2"/>
  <c r="T1247" i="2"/>
  <c r="W3178" i="2" l="1"/>
  <c r="X3178" i="2" s="1"/>
  <c r="S3179" i="2"/>
  <c r="W2072" i="2"/>
  <c r="X2072" i="2" s="1"/>
  <c r="S2073" i="2"/>
  <c r="W1247" i="2"/>
  <c r="X1247" i="2" s="1"/>
  <c r="S1248" i="2"/>
  <c r="U3179" i="2"/>
  <c r="T3179" i="2"/>
  <c r="U2073" i="2"/>
  <c r="T2073" i="2"/>
  <c r="U1248" i="2"/>
  <c r="T1248" i="2"/>
  <c r="W3179" i="2" l="1"/>
  <c r="X3179" i="2" s="1"/>
  <c r="S3180" i="2"/>
  <c r="W2073" i="2"/>
  <c r="X2073" i="2" s="1"/>
  <c r="S2074" i="2"/>
  <c r="W1248" i="2"/>
  <c r="X1248" i="2" s="1"/>
  <c r="S1249" i="2"/>
  <c r="T3180" i="2"/>
  <c r="U3180" i="2"/>
  <c r="U2074" i="2"/>
  <c r="T2074" i="2"/>
  <c r="T1249" i="2"/>
  <c r="U1249" i="2"/>
  <c r="W3180" i="2" l="1"/>
  <c r="X3180" i="2" s="1"/>
  <c r="S3181" i="2"/>
  <c r="W2074" i="2"/>
  <c r="X2074" i="2" s="1"/>
  <c r="S2075" i="2"/>
  <c r="W1249" i="2"/>
  <c r="X1249" i="2" s="1"/>
  <c r="S1250" i="2"/>
  <c r="U3181" i="2"/>
  <c r="T3181" i="2"/>
  <c r="U2075" i="2"/>
  <c r="T2075" i="2"/>
  <c r="U1250" i="2"/>
  <c r="T1250" i="2"/>
  <c r="W3181" i="2" l="1"/>
  <c r="X3181" i="2" s="1"/>
  <c r="S3182" i="2"/>
  <c r="W2075" i="2"/>
  <c r="X2075" i="2" s="1"/>
  <c r="S2076" i="2"/>
  <c r="W1250" i="2"/>
  <c r="X1250" i="2" s="1"/>
  <c r="S1251" i="2"/>
  <c r="T3182" i="2"/>
  <c r="U3182" i="2"/>
  <c r="T2076" i="2"/>
  <c r="U2076" i="2"/>
  <c r="U1251" i="2"/>
  <c r="T1251" i="2"/>
  <c r="W3182" i="2" l="1"/>
  <c r="X3182" i="2" s="1"/>
  <c r="S3183" i="2"/>
  <c r="W2076" i="2"/>
  <c r="X2076" i="2" s="1"/>
  <c r="S2077" i="2"/>
  <c r="W1251" i="2"/>
  <c r="X1251" i="2" s="1"/>
  <c r="S1252" i="2"/>
  <c r="U3183" i="2"/>
  <c r="T3183" i="2"/>
  <c r="U2077" i="2"/>
  <c r="T2077" i="2"/>
  <c r="U1252" i="2"/>
  <c r="T1252" i="2"/>
  <c r="W3183" i="2" l="1"/>
  <c r="X3183" i="2" s="1"/>
  <c r="S3184" i="2"/>
  <c r="W2077" i="2"/>
  <c r="X2077" i="2" s="1"/>
  <c r="S2078" i="2"/>
  <c r="W1252" i="2"/>
  <c r="X1252" i="2" s="1"/>
  <c r="S1253" i="2"/>
  <c r="T3184" i="2"/>
  <c r="U3184" i="2"/>
  <c r="U2078" i="2"/>
  <c r="T2078" i="2"/>
  <c r="T1253" i="2"/>
  <c r="U1253" i="2"/>
  <c r="W3184" i="2" l="1"/>
  <c r="X3184" i="2" s="1"/>
  <c r="S3185" i="2"/>
  <c r="W2078" i="2"/>
  <c r="X2078" i="2" s="1"/>
  <c r="S2079" i="2"/>
  <c r="W1253" i="2"/>
  <c r="X1253" i="2" s="1"/>
  <c r="S1254" i="2"/>
  <c r="U3185" i="2"/>
  <c r="T3185" i="2"/>
  <c r="U2079" i="2"/>
  <c r="T2079" i="2"/>
  <c r="U1254" i="2"/>
  <c r="T1254" i="2"/>
  <c r="W3185" i="2" l="1"/>
  <c r="X3185" i="2" s="1"/>
  <c r="S3186" i="2"/>
  <c r="W2079" i="2"/>
  <c r="X2079" i="2" s="1"/>
  <c r="S2080" i="2"/>
  <c r="W1254" i="2"/>
  <c r="X1254" i="2" s="1"/>
  <c r="S1255" i="2"/>
  <c r="T3186" i="2"/>
  <c r="U3186" i="2"/>
  <c r="T2080" i="2"/>
  <c r="U2080" i="2"/>
  <c r="T1255" i="2"/>
  <c r="U1255" i="2"/>
  <c r="W3186" i="2" l="1"/>
  <c r="X3186" i="2" s="1"/>
  <c r="S3187" i="2"/>
  <c r="W2080" i="2"/>
  <c r="X2080" i="2" s="1"/>
  <c r="S2081" i="2"/>
  <c r="W1255" i="2"/>
  <c r="X1255" i="2" s="1"/>
  <c r="S1256" i="2"/>
  <c r="U3187" i="2"/>
  <c r="T3187" i="2"/>
  <c r="U2081" i="2"/>
  <c r="T2081" i="2"/>
  <c r="U1256" i="2"/>
  <c r="T1256" i="2"/>
  <c r="W3187" i="2" l="1"/>
  <c r="X3187" i="2" s="1"/>
  <c r="S3188" i="2"/>
  <c r="W2081" i="2"/>
  <c r="X2081" i="2" s="1"/>
  <c r="S2082" i="2"/>
  <c r="W1256" i="2"/>
  <c r="X1256" i="2" s="1"/>
  <c r="S1257" i="2"/>
  <c r="T3188" i="2"/>
  <c r="U3188" i="2"/>
  <c r="U2082" i="2"/>
  <c r="T2082" i="2"/>
  <c r="T1257" i="2"/>
  <c r="U1257" i="2"/>
  <c r="W3188" i="2" l="1"/>
  <c r="X3188" i="2" s="1"/>
  <c r="S3189" i="2"/>
  <c r="W2082" i="2"/>
  <c r="X2082" i="2" s="1"/>
  <c r="S2083" i="2"/>
  <c r="W1257" i="2"/>
  <c r="X1257" i="2" s="1"/>
  <c r="S1258" i="2"/>
  <c r="U3189" i="2"/>
  <c r="T3189" i="2"/>
  <c r="U2083" i="2"/>
  <c r="T2083" i="2"/>
  <c r="U1258" i="2"/>
  <c r="T1258" i="2"/>
  <c r="W3189" i="2" l="1"/>
  <c r="X3189" i="2" s="1"/>
  <c r="S3190" i="2"/>
  <c r="W2083" i="2"/>
  <c r="X2083" i="2" s="1"/>
  <c r="S2084" i="2"/>
  <c r="W1258" i="2"/>
  <c r="X1258" i="2" s="1"/>
  <c r="S1259" i="2"/>
  <c r="T3190" i="2"/>
  <c r="U3190" i="2"/>
  <c r="T2084" i="2"/>
  <c r="U2084" i="2"/>
  <c r="U1259" i="2"/>
  <c r="T1259" i="2"/>
  <c r="W3190" i="2" l="1"/>
  <c r="X3190" i="2" s="1"/>
  <c r="S3191" i="2"/>
  <c r="W2084" i="2"/>
  <c r="X2084" i="2" s="1"/>
  <c r="S2085" i="2"/>
  <c r="W1259" i="2"/>
  <c r="X1259" i="2" s="1"/>
  <c r="S1260" i="2"/>
  <c r="U3191" i="2"/>
  <c r="T3191" i="2"/>
  <c r="U2085" i="2"/>
  <c r="T2085" i="2"/>
  <c r="U1260" i="2"/>
  <c r="T1260" i="2"/>
  <c r="W3191" i="2" l="1"/>
  <c r="X3191" i="2" s="1"/>
  <c r="S3192" i="2"/>
  <c r="W2085" i="2"/>
  <c r="X2085" i="2" s="1"/>
  <c r="S2086" i="2"/>
  <c r="W1260" i="2"/>
  <c r="X1260" i="2" s="1"/>
  <c r="S1261" i="2"/>
  <c r="U3192" i="2"/>
  <c r="T3192" i="2"/>
  <c r="U2086" i="2"/>
  <c r="T2086" i="2"/>
  <c r="T1261" i="2"/>
  <c r="U1261" i="2"/>
  <c r="W3192" i="2" l="1"/>
  <c r="X3192" i="2" s="1"/>
  <c r="S3193" i="2"/>
  <c r="W2086" i="2"/>
  <c r="X2086" i="2" s="1"/>
  <c r="S2087" i="2"/>
  <c r="W1261" i="2"/>
  <c r="X1261" i="2" s="1"/>
  <c r="S1262" i="2"/>
  <c r="U3193" i="2"/>
  <c r="T3193" i="2"/>
  <c r="U2087" i="2"/>
  <c r="T2087" i="2"/>
  <c r="U1262" i="2"/>
  <c r="T1262" i="2"/>
  <c r="W3193" i="2" l="1"/>
  <c r="X3193" i="2" s="1"/>
  <c r="S3194" i="2"/>
  <c r="W2087" i="2"/>
  <c r="X2087" i="2" s="1"/>
  <c r="S2088" i="2"/>
  <c r="W1262" i="2"/>
  <c r="X1262" i="2" s="1"/>
  <c r="S1263" i="2"/>
  <c r="T3194" i="2"/>
  <c r="U3194" i="2"/>
  <c r="T2088" i="2"/>
  <c r="U2088" i="2"/>
  <c r="U1263" i="2"/>
  <c r="T1263" i="2"/>
  <c r="W3194" i="2" l="1"/>
  <c r="X3194" i="2" s="1"/>
  <c r="S3195" i="2"/>
  <c r="W2088" i="2"/>
  <c r="X2088" i="2" s="1"/>
  <c r="S2089" i="2"/>
  <c r="W1263" i="2"/>
  <c r="X1263" i="2" s="1"/>
  <c r="S1264" i="2"/>
  <c r="U3195" i="2"/>
  <c r="T3195" i="2"/>
  <c r="U2089" i="2"/>
  <c r="T2089" i="2"/>
  <c r="U1264" i="2"/>
  <c r="T1264" i="2"/>
  <c r="W3195" i="2" l="1"/>
  <c r="X3195" i="2" s="1"/>
  <c r="S3196" i="2"/>
  <c r="W2089" i="2"/>
  <c r="X2089" i="2" s="1"/>
  <c r="S2090" i="2"/>
  <c r="W1264" i="2"/>
  <c r="X1264" i="2" s="1"/>
  <c r="S1265" i="2"/>
  <c r="U3196" i="2"/>
  <c r="T3196" i="2"/>
  <c r="U2090" i="2"/>
  <c r="T2090" i="2"/>
  <c r="T1265" i="2"/>
  <c r="U1265" i="2"/>
  <c r="W3196" i="2" l="1"/>
  <c r="X3196" i="2" s="1"/>
  <c r="S3197" i="2"/>
  <c r="W2090" i="2"/>
  <c r="X2090" i="2" s="1"/>
  <c r="S2091" i="2"/>
  <c r="W1265" i="2"/>
  <c r="X1265" i="2" s="1"/>
  <c r="S1266" i="2"/>
  <c r="U3197" i="2"/>
  <c r="T3197" i="2"/>
  <c r="U2091" i="2"/>
  <c r="T2091" i="2"/>
  <c r="U1266" i="2"/>
  <c r="T1266" i="2"/>
  <c r="W3197" i="2" l="1"/>
  <c r="X3197" i="2" s="1"/>
  <c r="S3198" i="2"/>
  <c r="W2091" i="2"/>
  <c r="X2091" i="2" s="1"/>
  <c r="S2092" i="2"/>
  <c r="W1266" i="2"/>
  <c r="X1266" i="2" s="1"/>
  <c r="S1267" i="2"/>
  <c r="T3198" i="2"/>
  <c r="U3198" i="2"/>
  <c r="T2092" i="2"/>
  <c r="U2092" i="2"/>
  <c r="U1267" i="2"/>
  <c r="T1267" i="2"/>
  <c r="W3198" i="2" l="1"/>
  <c r="X3198" i="2" s="1"/>
  <c r="S3199" i="2"/>
  <c r="W2092" i="2"/>
  <c r="X2092" i="2" s="1"/>
  <c r="S2093" i="2"/>
  <c r="W1267" i="2"/>
  <c r="X1267" i="2" s="1"/>
  <c r="S1268" i="2"/>
  <c r="U3199" i="2"/>
  <c r="T3199" i="2"/>
  <c r="U2093" i="2"/>
  <c r="T2093" i="2"/>
  <c r="U1268" i="2"/>
  <c r="T1268" i="2"/>
  <c r="W3199" i="2" l="1"/>
  <c r="X3199" i="2" s="1"/>
  <c r="S3200" i="2"/>
  <c r="W2093" i="2"/>
  <c r="X2093" i="2" s="1"/>
  <c r="S2094" i="2"/>
  <c r="W1268" i="2"/>
  <c r="X1268" i="2" s="1"/>
  <c r="S1269" i="2"/>
  <c r="U3200" i="2"/>
  <c r="T3200" i="2"/>
  <c r="U2094" i="2"/>
  <c r="T2094" i="2"/>
  <c r="T1269" i="2"/>
  <c r="U1269" i="2"/>
  <c r="W3200" i="2" l="1"/>
  <c r="X3200" i="2" s="1"/>
  <c r="S3201" i="2"/>
  <c r="W2094" i="2"/>
  <c r="X2094" i="2" s="1"/>
  <c r="S2095" i="2"/>
  <c r="W1269" i="2"/>
  <c r="X1269" i="2" s="1"/>
  <c r="S1270" i="2"/>
  <c r="U3201" i="2"/>
  <c r="T3201" i="2"/>
  <c r="T2095" i="2"/>
  <c r="U2095" i="2"/>
  <c r="U1270" i="2"/>
  <c r="T1270" i="2"/>
  <c r="W3201" i="2" l="1"/>
  <c r="X3201" i="2" s="1"/>
  <c r="S3202" i="2"/>
  <c r="W2095" i="2"/>
  <c r="X2095" i="2" s="1"/>
  <c r="S2096" i="2"/>
  <c r="W1270" i="2"/>
  <c r="X1270" i="2" s="1"/>
  <c r="S1271" i="2"/>
  <c r="T3202" i="2"/>
  <c r="U3202" i="2"/>
  <c r="T2096" i="2"/>
  <c r="U2096" i="2"/>
  <c r="T1271" i="2"/>
  <c r="U1271" i="2"/>
  <c r="W3202" i="2" l="1"/>
  <c r="X3202" i="2" s="1"/>
  <c r="S3203" i="2"/>
  <c r="W2096" i="2"/>
  <c r="X2096" i="2" s="1"/>
  <c r="S2097" i="2"/>
  <c r="W1271" i="2"/>
  <c r="X1271" i="2" s="1"/>
  <c r="S1272" i="2"/>
  <c r="U3203" i="2"/>
  <c r="T3203" i="2"/>
  <c r="U2097" i="2"/>
  <c r="T2097" i="2"/>
  <c r="U1272" i="2"/>
  <c r="T1272" i="2"/>
  <c r="W3203" i="2" l="1"/>
  <c r="X3203" i="2" s="1"/>
  <c r="S3204" i="2"/>
  <c r="W2097" i="2"/>
  <c r="X2097" i="2" s="1"/>
  <c r="S2098" i="2"/>
  <c r="W1272" i="2"/>
  <c r="X1272" i="2" s="1"/>
  <c r="S1273" i="2"/>
  <c r="U3204" i="2"/>
  <c r="T3204" i="2"/>
  <c r="U2098" i="2"/>
  <c r="T2098" i="2"/>
  <c r="T1273" i="2"/>
  <c r="U1273" i="2"/>
  <c r="W3204" i="2" l="1"/>
  <c r="X3204" i="2" s="1"/>
  <c r="S3205" i="2"/>
  <c r="W2098" i="2"/>
  <c r="X2098" i="2" s="1"/>
  <c r="S2099" i="2"/>
  <c r="W1273" i="2"/>
  <c r="X1273" i="2" s="1"/>
  <c r="S1274" i="2"/>
  <c r="U3205" i="2"/>
  <c r="T3205" i="2"/>
  <c r="U2099" i="2"/>
  <c r="T2099" i="2"/>
  <c r="U1274" i="2"/>
  <c r="T1274" i="2"/>
  <c r="W3205" i="2" l="1"/>
  <c r="X3205" i="2" s="1"/>
  <c r="S3206" i="2"/>
  <c r="W2099" i="2"/>
  <c r="X2099" i="2" s="1"/>
  <c r="S2100" i="2"/>
  <c r="W1274" i="2"/>
  <c r="X1274" i="2" s="1"/>
  <c r="S1275" i="2"/>
  <c r="T3206" i="2"/>
  <c r="U3206" i="2"/>
  <c r="U2100" i="2"/>
  <c r="T2100" i="2"/>
  <c r="U1275" i="2"/>
  <c r="T1275" i="2"/>
  <c r="W3206" i="2" l="1"/>
  <c r="X3206" i="2" s="1"/>
  <c r="S3207" i="2"/>
  <c r="W2100" i="2"/>
  <c r="X2100" i="2" s="1"/>
  <c r="S2101" i="2"/>
  <c r="W1275" i="2"/>
  <c r="X1275" i="2" s="1"/>
  <c r="S1276" i="2"/>
  <c r="U3207" i="2"/>
  <c r="T3207" i="2"/>
  <c r="U2101" i="2"/>
  <c r="T2101" i="2"/>
  <c r="U1276" i="2"/>
  <c r="T1276" i="2"/>
  <c r="W3207" i="2" l="1"/>
  <c r="X3207" i="2" s="1"/>
  <c r="S3208" i="2"/>
  <c r="W2101" i="2"/>
  <c r="X2101" i="2" s="1"/>
  <c r="S2102" i="2"/>
  <c r="W1276" i="2"/>
  <c r="X1276" i="2" s="1"/>
  <c r="S1277" i="2"/>
  <c r="U3208" i="2"/>
  <c r="T3208" i="2"/>
  <c r="U2102" i="2"/>
  <c r="T2102" i="2"/>
  <c r="T1277" i="2"/>
  <c r="U1277" i="2"/>
  <c r="W3208" i="2" l="1"/>
  <c r="X3208" i="2" s="1"/>
  <c r="S3209" i="2"/>
  <c r="W2102" i="2"/>
  <c r="X2102" i="2" s="1"/>
  <c r="S2103" i="2"/>
  <c r="W1277" i="2"/>
  <c r="X1277" i="2" s="1"/>
  <c r="S1278" i="2"/>
  <c r="U3209" i="2"/>
  <c r="T3209" i="2"/>
  <c r="U2103" i="2"/>
  <c r="T2103" i="2"/>
  <c r="U1278" i="2"/>
  <c r="T1278" i="2"/>
  <c r="W3209" i="2" l="1"/>
  <c r="X3209" i="2" s="1"/>
  <c r="S3210" i="2"/>
  <c r="W2103" i="2"/>
  <c r="X2103" i="2" s="1"/>
  <c r="S2104" i="2"/>
  <c r="W1278" i="2"/>
  <c r="X1278" i="2" s="1"/>
  <c r="S1279" i="2"/>
  <c r="T3210" i="2"/>
  <c r="U3210" i="2"/>
  <c r="T2104" i="2"/>
  <c r="U2104" i="2"/>
  <c r="U1279" i="2"/>
  <c r="T1279" i="2"/>
  <c r="W3210" i="2" l="1"/>
  <c r="X3210" i="2" s="1"/>
  <c r="S3211" i="2"/>
  <c r="W2104" i="2"/>
  <c r="X2104" i="2" s="1"/>
  <c r="S2105" i="2"/>
  <c r="W1279" i="2"/>
  <c r="X1279" i="2" s="1"/>
  <c r="S1280" i="2"/>
  <c r="U3211" i="2"/>
  <c r="T3211" i="2"/>
  <c r="T2105" i="2"/>
  <c r="U2105" i="2"/>
  <c r="U1280" i="2"/>
  <c r="T1280" i="2"/>
  <c r="W3211" i="2" l="1"/>
  <c r="X3211" i="2" s="1"/>
  <c r="S3212" i="2"/>
  <c r="W2105" i="2"/>
  <c r="X2105" i="2" s="1"/>
  <c r="S2106" i="2"/>
  <c r="W1280" i="2"/>
  <c r="X1280" i="2" s="1"/>
  <c r="S1281" i="2"/>
  <c r="T3212" i="2"/>
  <c r="U3212" i="2"/>
  <c r="U2106" i="2"/>
  <c r="T2106" i="2"/>
  <c r="T1281" i="2"/>
  <c r="U1281" i="2"/>
  <c r="W3212" i="2" l="1"/>
  <c r="X3212" i="2" s="1"/>
  <c r="S3213" i="2"/>
  <c r="W2106" i="2"/>
  <c r="X2106" i="2" s="1"/>
  <c r="S2107" i="2"/>
  <c r="W1281" i="2"/>
  <c r="X1281" i="2" s="1"/>
  <c r="S1282" i="2"/>
  <c r="U3213" i="2"/>
  <c r="T3213" i="2"/>
  <c r="U2107" i="2"/>
  <c r="T2107" i="2"/>
  <c r="U1282" i="2"/>
  <c r="T1282" i="2"/>
  <c r="W3213" i="2" l="1"/>
  <c r="X3213" i="2" s="1"/>
  <c r="S3214" i="2"/>
  <c r="W2107" i="2"/>
  <c r="X2107" i="2" s="1"/>
  <c r="S2108" i="2"/>
  <c r="W1282" i="2"/>
  <c r="X1282" i="2" s="1"/>
  <c r="S1283" i="2"/>
  <c r="T3214" i="2"/>
  <c r="U3214" i="2"/>
  <c r="T2108" i="2"/>
  <c r="U2108" i="2"/>
  <c r="U1283" i="2"/>
  <c r="T1283" i="2"/>
  <c r="W3214" i="2" l="1"/>
  <c r="X3214" i="2" s="1"/>
  <c r="S3215" i="2"/>
  <c r="W2108" i="2"/>
  <c r="X2108" i="2" s="1"/>
  <c r="S2109" i="2"/>
  <c r="W1283" i="2"/>
  <c r="X1283" i="2" s="1"/>
  <c r="S1284" i="2"/>
  <c r="U3215" i="2"/>
  <c r="T3215" i="2"/>
  <c r="T2109" i="2"/>
  <c r="U2109" i="2"/>
  <c r="U1284" i="2"/>
  <c r="T1284" i="2"/>
  <c r="W3215" i="2" l="1"/>
  <c r="X3215" i="2" s="1"/>
  <c r="S3216" i="2"/>
  <c r="W2109" i="2"/>
  <c r="X2109" i="2" s="1"/>
  <c r="S2110" i="2"/>
  <c r="W1284" i="2"/>
  <c r="X1284" i="2" s="1"/>
  <c r="S1285" i="2"/>
  <c r="U3216" i="2"/>
  <c r="T3216" i="2"/>
  <c r="U2110" i="2"/>
  <c r="T2110" i="2"/>
  <c r="T1285" i="2"/>
  <c r="U1285" i="2"/>
  <c r="W3216" i="2" l="1"/>
  <c r="X3216" i="2" s="1"/>
  <c r="S3217" i="2"/>
  <c r="W2110" i="2"/>
  <c r="X2110" i="2" s="1"/>
  <c r="S2111" i="2"/>
  <c r="W1285" i="2"/>
  <c r="X1285" i="2" s="1"/>
  <c r="S1286" i="2"/>
  <c r="U3217" i="2"/>
  <c r="T3217" i="2"/>
  <c r="U2111" i="2"/>
  <c r="T2111" i="2"/>
  <c r="U1286" i="2"/>
  <c r="T1286" i="2"/>
  <c r="W3217" i="2" l="1"/>
  <c r="X3217" i="2" s="1"/>
  <c r="S3218" i="2"/>
  <c r="W2111" i="2"/>
  <c r="X2111" i="2" s="1"/>
  <c r="S2112" i="2"/>
  <c r="W1286" i="2"/>
  <c r="X1286" i="2" s="1"/>
  <c r="S1287" i="2"/>
  <c r="T3218" i="2"/>
  <c r="U3218" i="2"/>
  <c r="T2112" i="2"/>
  <c r="U2112" i="2"/>
  <c r="T1287" i="2"/>
  <c r="U1287" i="2"/>
  <c r="W3218" i="2" l="1"/>
  <c r="X3218" i="2" s="1"/>
  <c r="S3219" i="2"/>
  <c r="W2112" i="2"/>
  <c r="X2112" i="2" s="1"/>
  <c r="S2113" i="2"/>
  <c r="W1287" i="2"/>
  <c r="X1287" i="2" s="1"/>
  <c r="S1288" i="2"/>
  <c r="U3219" i="2"/>
  <c r="T3219" i="2"/>
  <c r="T2113" i="2"/>
  <c r="U2113" i="2"/>
  <c r="U1288" i="2"/>
  <c r="T1288" i="2"/>
  <c r="W3219" i="2" l="1"/>
  <c r="X3219" i="2" s="1"/>
  <c r="S3220" i="2"/>
  <c r="W2113" i="2"/>
  <c r="X2113" i="2" s="1"/>
  <c r="S2114" i="2"/>
  <c r="W1288" i="2"/>
  <c r="X1288" i="2" s="1"/>
  <c r="S1289" i="2"/>
  <c r="T3220" i="2"/>
  <c r="U3220" i="2"/>
  <c r="U2114" i="2"/>
  <c r="T2114" i="2"/>
  <c r="T1289" i="2"/>
  <c r="U1289" i="2"/>
  <c r="W3220" i="2" l="1"/>
  <c r="X3220" i="2" s="1"/>
  <c r="S3221" i="2"/>
  <c r="W2114" i="2"/>
  <c r="X2114" i="2" s="1"/>
  <c r="S2115" i="2"/>
  <c r="W1289" i="2"/>
  <c r="X1289" i="2" s="1"/>
  <c r="S1290" i="2"/>
  <c r="U3221" i="2"/>
  <c r="T3221" i="2"/>
  <c r="U2115" i="2"/>
  <c r="T2115" i="2"/>
  <c r="U1290" i="2"/>
  <c r="T1290" i="2"/>
  <c r="W3221" i="2" l="1"/>
  <c r="X3221" i="2" s="1"/>
  <c r="S3222" i="2"/>
  <c r="W2115" i="2"/>
  <c r="X2115" i="2" s="1"/>
  <c r="S2116" i="2"/>
  <c r="W1290" i="2"/>
  <c r="X1290" i="2" s="1"/>
  <c r="S1291" i="2"/>
  <c r="T3222" i="2"/>
  <c r="U3222" i="2"/>
  <c r="T2116" i="2"/>
  <c r="U2116" i="2"/>
  <c r="U1291" i="2"/>
  <c r="T1291" i="2"/>
  <c r="W3222" i="2" l="1"/>
  <c r="X3222" i="2" s="1"/>
  <c r="S3223" i="2"/>
  <c r="W2116" i="2"/>
  <c r="X2116" i="2" s="1"/>
  <c r="S2117" i="2"/>
  <c r="W1291" i="2"/>
  <c r="X1291" i="2" s="1"/>
  <c r="S1292" i="2"/>
  <c r="U3223" i="2"/>
  <c r="T3223" i="2"/>
  <c r="T2117" i="2"/>
  <c r="U2117" i="2"/>
  <c r="U1292" i="2"/>
  <c r="T1292" i="2"/>
  <c r="W3223" i="2" l="1"/>
  <c r="X3223" i="2" s="1"/>
  <c r="S3224" i="2"/>
  <c r="W2117" i="2"/>
  <c r="X2117" i="2" s="1"/>
  <c r="S2118" i="2"/>
  <c r="W1292" i="2"/>
  <c r="X1292" i="2" s="1"/>
  <c r="S1293" i="2"/>
  <c r="U3224" i="2"/>
  <c r="T3224" i="2"/>
  <c r="U2118" i="2"/>
  <c r="T2118" i="2"/>
  <c r="T1293" i="2"/>
  <c r="U1293" i="2"/>
  <c r="W3224" i="2" l="1"/>
  <c r="X3224" i="2" s="1"/>
  <c r="S3225" i="2"/>
  <c r="W2118" i="2"/>
  <c r="X2118" i="2" s="1"/>
  <c r="S2119" i="2"/>
  <c r="W1293" i="2"/>
  <c r="X1293" i="2" s="1"/>
  <c r="S1294" i="2"/>
  <c r="U3225" i="2"/>
  <c r="T3225" i="2"/>
  <c r="U2119" i="2"/>
  <c r="T2119" i="2"/>
  <c r="U1294" i="2"/>
  <c r="T1294" i="2"/>
  <c r="W3225" i="2" l="1"/>
  <c r="X3225" i="2" s="1"/>
  <c r="S3226" i="2"/>
  <c r="W2119" i="2"/>
  <c r="X2119" i="2" s="1"/>
  <c r="S2120" i="2"/>
  <c r="W1294" i="2"/>
  <c r="X1294" i="2" s="1"/>
  <c r="S1295" i="2"/>
  <c r="T3226" i="2"/>
  <c r="U3226" i="2"/>
  <c r="U2120" i="2"/>
  <c r="T2120" i="2"/>
  <c r="U1295" i="2"/>
  <c r="T1295" i="2"/>
  <c r="W3226" i="2" l="1"/>
  <c r="X3226" i="2" s="1"/>
  <c r="S3227" i="2"/>
  <c r="W2120" i="2"/>
  <c r="X2120" i="2" s="1"/>
  <c r="S2121" i="2"/>
  <c r="W1295" i="2"/>
  <c r="X1295" i="2" s="1"/>
  <c r="S1296" i="2"/>
  <c r="U3227" i="2"/>
  <c r="T3227" i="2"/>
  <c r="T2121" i="2"/>
  <c r="U2121" i="2"/>
  <c r="U1296" i="2"/>
  <c r="T1296" i="2"/>
  <c r="W3227" i="2" l="1"/>
  <c r="X3227" i="2" s="1"/>
  <c r="S3228" i="2"/>
  <c r="W2121" i="2"/>
  <c r="X2121" i="2" s="1"/>
  <c r="S2122" i="2"/>
  <c r="W1296" i="2"/>
  <c r="X1296" i="2" s="1"/>
  <c r="S1297" i="2"/>
  <c r="U3228" i="2"/>
  <c r="T3228" i="2"/>
  <c r="T2122" i="2"/>
  <c r="U2122" i="2"/>
  <c r="T1297" i="2"/>
  <c r="U1297" i="2"/>
  <c r="W3228" i="2" l="1"/>
  <c r="X3228" i="2" s="1"/>
  <c r="S3229" i="2"/>
  <c r="W2122" i="2"/>
  <c r="X2122" i="2" s="1"/>
  <c r="S2123" i="2"/>
  <c r="W1297" i="2"/>
  <c r="X1297" i="2" s="1"/>
  <c r="S1298" i="2"/>
  <c r="U3229" i="2"/>
  <c r="T3229" i="2"/>
  <c r="U2123" i="2"/>
  <c r="T2123" i="2"/>
  <c r="U1298" i="2"/>
  <c r="T1298" i="2"/>
  <c r="W3229" i="2" l="1"/>
  <c r="X3229" i="2" s="1"/>
  <c r="S3230" i="2"/>
  <c r="W2123" i="2"/>
  <c r="X2123" i="2" s="1"/>
  <c r="S2124" i="2"/>
  <c r="W1298" i="2"/>
  <c r="X1298" i="2" s="1"/>
  <c r="S1299" i="2"/>
  <c r="T3230" i="2"/>
  <c r="U3230" i="2"/>
  <c r="U2124" i="2"/>
  <c r="T2124" i="2"/>
  <c r="U1299" i="2"/>
  <c r="T1299" i="2"/>
  <c r="W3230" i="2" l="1"/>
  <c r="X3230" i="2" s="1"/>
  <c r="S3231" i="2"/>
  <c r="W2124" i="2"/>
  <c r="X2124" i="2" s="1"/>
  <c r="S2125" i="2"/>
  <c r="W1299" i="2"/>
  <c r="X1299" i="2" s="1"/>
  <c r="S1300" i="2"/>
  <c r="U3231" i="2"/>
  <c r="T3231" i="2"/>
  <c r="T2125" i="2"/>
  <c r="U2125" i="2"/>
  <c r="U1300" i="2"/>
  <c r="T1300" i="2"/>
  <c r="W3231" i="2" l="1"/>
  <c r="X3231" i="2" s="1"/>
  <c r="S3232" i="2"/>
  <c r="W2125" i="2"/>
  <c r="X2125" i="2" s="1"/>
  <c r="S2126" i="2"/>
  <c r="W1300" i="2"/>
  <c r="X1300" i="2" s="1"/>
  <c r="S1301" i="2"/>
  <c r="U3232" i="2"/>
  <c r="T3232" i="2"/>
  <c r="U2126" i="2"/>
  <c r="T2126" i="2"/>
  <c r="T1301" i="2"/>
  <c r="U1301" i="2"/>
  <c r="W3232" i="2" l="1"/>
  <c r="X3232" i="2" s="1"/>
  <c r="S3233" i="2"/>
  <c r="W2126" i="2"/>
  <c r="X2126" i="2" s="1"/>
  <c r="S2127" i="2"/>
  <c r="W1301" i="2"/>
  <c r="X1301" i="2" s="1"/>
  <c r="S1302" i="2"/>
  <c r="U3233" i="2"/>
  <c r="T3233" i="2"/>
  <c r="U2127" i="2"/>
  <c r="T2127" i="2"/>
  <c r="U1302" i="2"/>
  <c r="T1302" i="2"/>
  <c r="W3233" i="2" l="1"/>
  <c r="X3233" i="2" s="1"/>
  <c r="S3234" i="2"/>
  <c r="W2127" i="2"/>
  <c r="X2127" i="2" s="1"/>
  <c r="S2128" i="2"/>
  <c r="W1302" i="2"/>
  <c r="X1302" i="2" s="1"/>
  <c r="S1303" i="2"/>
  <c r="T3234" i="2"/>
  <c r="U3234" i="2"/>
  <c r="U2128" i="2"/>
  <c r="T2128" i="2"/>
  <c r="T1303" i="2"/>
  <c r="U1303" i="2"/>
  <c r="W3234" i="2" l="1"/>
  <c r="X3234" i="2" s="1"/>
  <c r="S3235" i="2"/>
  <c r="W2128" i="2"/>
  <c r="X2128" i="2" s="1"/>
  <c r="S2129" i="2"/>
  <c r="W1303" i="2"/>
  <c r="X1303" i="2" s="1"/>
  <c r="S1304" i="2"/>
  <c r="U3235" i="2"/>
  <c r="T3235" i="2"/>
  <c r="T2129" i="2"/>
  <c r="U2129" i="2"/>
  <c r="U1304" i="2"/>
  <c r="T1304" i="2"/>
  <c r="W3235" i="2" l="1"/>
  <c r="X3235" i="2" s="1"/>
  <c r="S3236" i="2"/>
  <c r="W2129" i="2"/>
  <c r="X2129" i="2" s="1"/>
  <c r="S2130" i="2"/>
  <c r="W1304" i="2"/>
  <c r="X1304" i="2" s="1"/>
  <c r="S1305" i="2"/>
  <c r="U3236" i="2"/>
  <c r="T3236" i="2"/>
  <c r="T2130" i="2"/>
  <c r="U2130" i="2"/>
  <c r="T1305" i="2"/>
  <c r="U1305" i="2"/>
  <c r="W3236" i="2" l="1"/>
  <c r="X3236" i="2" s="1"/>
  <c r="S3237" i="2"/>
  <c r="W2130" i="2"/>
  <c r="X2130" i="2" s="1"/>
  <c r="S2131" i="2"/>
  <c r="W1305" i="2"/>
  <c r="X1305" i="2" s="1"/>
  <c r="S1306" i="2"/>
  <c r="U3237" i="2"/>
  <c r="T3237" i="2"/>
  <c r="U2131" i="2"/>
  <c r="T2131" i="2"/>
  <c r="U1306" i="2"/>
  <c r="T1306" i="2"/>
  <c r="W3237" i="2" l="1"/>
  <c r="X3237" i="2" s="1"/>
  <c r="S3238" i="2"/>
  <c r="W2131" i="2"/>
  <c r="X2131" i="2" s="1"/>
  <c r="S2132" i="2"/>
  <c r="W1306" i="2"/>
  <c r="X1306" i="2" s="1"/>
  <c r="S1307" i="2"/>
  <c r="T3238" i="2"/>
  <c r="U3238" i="2"/>
  <c r="U2132" i="2"/>
  <c r="T2132" i="2"/>
  <c r="U1307" i="2"/>
  <c r="T1307" i="2"/>
  <c r="W3238" i="2" l="1"/>
  <c r="X3238" i="2" s="1"/>
  <c r="S3239" i="2"/>
  <c r="W2132" i="2"/>
  <c r="X2132" i="2" s="1"/>
  <c r="S2133" i="2"/>
  <c r="W1307" i="2"/>
  <c r="X1307" i="2" s="1"/>
  <c r="S1308" i="2"/>
  <c r="U3239" i="2"/>
  <c r="T3239" i="2"/>
  <c r="T2133" i="2"/>
  <c r="U2133" i="2"/>
  <c r="U1308" i="2"/>
  <c r="T1308" i="2"/>
  <c r="W3239" i="2" l="1"/>
  <c r="X3239" i="2" s="1"/>
  <c r="S3240" i="2"/>
  <c r="W2133" i="2"/>
  <c r="X2133" i="2" s="1"/>
  <c r="S2134" i="2"/>
  <c r="W1308" i="2"/>
  <c r="X1308" i="2" s="1"/>
  <c r="S1309" i="2"/>
  <c r="U3240" i="2"/>
  <c r="T3240" i="2"/>
  <c r="U2134" i="2"/>
  <c r="T2134" i="2"/>
  <c r="T1309" i="2"/>
  <c r="U1309" i="2"/>
  <c r="W3240" i="2" l="1"/>
  <c r="X3240" i="2" s="1"/>
  <c r="S3241" i="2"/>
  <c r="W2134" i="2"/>
  <c r="X2134" i="2" s="1"/>
  <c r="S2135" i="2"/>
  <c r="W1309" i="2"/>
  <c r="X1309" i="2" s="1"/>
  <c r="S1310" i="2"/>
  <c r="U3241" i="2"/>
  <c r="T3241" i="2"/>
  <c r="U2135" i="2"/>
  <c r="T2135" i="2"/>
  <c r="U1310" i="2"/>
  <c r="T1310" i="2"/>
  <c r="W3241" i="2" l="1"/>
  <c r="X3241" i="2" s="1"/>
  <c r="S3242" i="2"/>
  <c r="W2135" i="2"/>
  <c r="X2135" i="2" s="1"/>
  <c r="S2136" i="2"/>
  <c r="W1310" i="2"/>
  <c r="X1310" i="2" s="1"/>
  <c r="S1311" i="2"/>
  <c r="T3242" i="2"/>
  <c r="U3242" i="2"/>
  <c r="U2136" i="2"/>
  <c r="T2136" i="2"/>
  <c r="U1311" i="2"/>
  <c r="T1311" i="2"/>
  <c r="W3242" i="2" l="1"/>
  <c r="X3242" i="2" s="1"/>
  <c r="S3243" i="2"/>
  <c r="W2136" i="2"/>
  <c r="X2136" i="2" s="1"/>
  <c r="S2137" i="2"/>
  <c r="W1311" i="2"/>
  <c r="X1311" i="2" s="1"/>
  <c r="S1312" i="2"/>
  <c r="U3243" i="2"/>
  <c r="T3243" i="2"/>
  <c r="T2137" i="2"/>
  <c r="U2137" i="2"/>
  <c r="U1312" i="2"/>
  <c r="T1312" i="2"/>
  <c r="W3243" i="2" l="1"/>
  <c r="X3243" i="2" s="1"/>
  <c r="S3244" i="2"/>
  <c r="W2137" i="2"/>
  <c r="X2137" i="2" s="1"/>
  <c r="S2138" i="2"/>
  <c r="W1312" i="2"/>
  <c r="X1312" i="2" s="1"/>
  <c r="S1313" i="2"/>
  <c r="T3244" i="2"/>
  <c r="U3244" i="2"/>
  <c r="T2138" i="2"/>
  <c r="U2138" i="2"/>
  <c r="U1313" i="2"/>
  <c r="T1313" i="2"/>
  <c r="W3244" i="2" l="1"/>
  <c r="X3244" i="2" s="1"/>
  <c r="S3245" i="2"/>
  <c r="W2138" i="2"/>
  <c r="X2138" i="2" s="1"/>
  <c r="S2139" i="2"/>
  <c r="W1313" i="2"/>
  <c r="X1313" i="2" s="1"/>
  <c r="S1314" i="2"/>
  <c r="U3245" i="2"/>
  <c r="T3245" i="2"/>
  <c r="U2139" i="2"/>
  <c r="T2139" i="2"/>
  <c r="U1314" i="2"/>
  <c r="T1314" i="2"/>
  <c r="W3245" i="2" l="1"/>
  <c r="X3245" i="2" s="1"/>
  <c r="S3246" i="2"/>
  <c r="W2139" i="2"/>
  <c r="X2139" i="2" s="1"/>
  <c r="S2140" i="2"/>
  <c r="W1314" i="2"/>
  <c r="X1314" i="2" s="1"/>
  <c r="S1315" i="2"/>
  <c r="T3246" i="2"/>
  <c r="U3246" i="2"/>
  <c r="U2140" i="2"/>
  <c r="T2140" i="2"/>
  <c r="U1315" i="2"/>
  <c r="T1315" i="2"/>
  <c r="W3246" i="2" l="1"/>
  <c r="X3246" i="2" s="1"/>
  <c r="S3247" i="2"/>
  <c r="W2140" i="2"/>
  <c r="X2140" i="2" s="1"/>
  <c r="S2141" i="2"/>
  <c r="W1315" i="2"/>
  <c r="X1315" i="2" s="1"/>
  <c r="S1316" i="2"/>
  <c r="U3247" i="2"/>
  <c r="T3247" i="2"/>
  <c r="T2141" i="2"/>
  <c r="U2141" i="2"/>
  <c r="U1316" i="2"/>
  <c r="T1316" i="2"/>
  <c r="W3247" i="2" l="1"/>
  <c r="X3247" i="2" s="1"/>
  <c r="S3248" i="2"/>
  <c r="W2141" i="2"/>
  <c r="X2141" i="2" s="1"/>
  <c r="S2142" i="2"/>
  <c r="W1316" i="2"/>
  <c r="X1316" i="2" s="1"/>
  <c r="S1317" i="2"/>
  <c r="U3248" i="2"/>
  <c r="T3248" i="2"/>
  <c r="U2142" i="2"/>
  <c r="T2142" i="2"/>
  <c r="T1317" i="2"/>
  <c r="U1317" i="2"/>
  <c r="W3248" i="2" l="1"/>
  <c r="X3248" i="2" s="1"/>
  <c r="S3249" i="2"/>
  <c r="W2142" i="2"/>
  <c r="X2142" i="2" s="1"/>
  <c r="S2143" i="2"/>
  <c r="W1317" i="2"/>
  <c r="X1317" i="2" s="1"/>
  <c r="S1318" i="2"/>
  <c r="U3249" i="2"/>
  <c r="T3249" i="2"/>
  <c r="U2143" i="2"/>
  <c r="T2143" i="2"/>
  <c r="U1318" i="2"/>
  <c r="T1318" i="2"/>
  <c r="W3249" i="2" l="1"/>
  <c r="X3249" i="2" s="1"/>
  <c r="S3250" i="2"/>
  <c r="W2143" i="2"/>
  <c r="X2143" i="2" s="1"/>
  <c r="S2144" i="2"/>
  <c r="W1318" i="2"/>
  <c r="X1318" i="2" s="1"/>
  <c r="S1319" i="2"/>
  <c r="T3250" i="2"/>
  <c r="U3250" i="2"/>
  <c r="U2144" i="2"/>
  <c r="T2144" i="2"/>
  <c r="T1319" i="2"/>
  <c r="U1319" i="2"/>
  <c r="W3250" i="2" l="1"/>
  <c r="X3250" i="2" s="1"/>
  <c r="S3251" i="2"/>
  <c r="W2144" i="2"/>
  <c r="X2144" i="2" s="1"/>
  <c r="S2145" i="2"/>
  <c r="W1319" i="2"/>
  <c r="X1319" i="2" s="1"/>
  <c r="S1320" i="2"/>
  <c r="U3251" i="2"/>
  <c r="T3251" i="2"/>
  <c r="T2145" i="2"/>
  <c r="U2145" i="2"/>
  <c r="U1320" i="2"/>
  <c r="T1320" i="2"/>
  <c r="W3251" i="2" l="1"/>
  <c r="X3251" i="2" s="1"/>
  <c r="S3252" i="2"/>
  <c r="W2145" i="2"/>
  <c r="X2145" i="2" s="1"/>
  <c r="S2146" i="2"/>
  <c r="W1320" i="2"/>
  <c r="X1320" i="2" s="1"/>
  <c r="S1321" i="2"/>
  <c r="T3252" i="2"/>
  <c r="U3252" i="2"/>
  <c r="T2146" i="2"/>
  <c r="U2146" i="2"/>
  <c r="U1321" i="2"/>
  <c r="T1321" i="2"/>
  <c r="W3252" i="2" l="1"/>
  <c r="X3252" i="2" s="1"/>
  <c r="S3253" i="2"/>
  <c r="W2146" i="2"/>
  <c r="X2146" i="2" s="1"/>
  <c r="S2147" i="2"/>
  <c r="W1321" i="2"/>
  <c r="X1321" i="2" s="1"/>
  <c r="S1322" i="2"/>
  <c r="U3253" i="2"/>
  <c r="T3253" i="2"/>
  <c r="U2147" i="2"/>
  <c r="T2147" i="2"/>
  <c r="T1322" i="2"/>
  <c r="U1322" i="2"/>
  <c r="W3253" i="2" l="1"/>
  <c r="X3253" i="2" s="1"/>
  <c r="S3254" i="2"/>
  <c r="W2147" i="2"/>
  <c r="X2147" i="2" s="1"/>
  <c r="S2148" i="2"/>
  <c r="W1322" i="2"/>
  <c r="X1322" i="2" s="1"/>
  <c r="S1323" i="2"/>
  <c r="T3254" i="2"/>
  <c r="U3254" i="2"/>
  <c r="U2148" i="2"/>
  <c r="T2148" i="2"/>
  <c r="U1323" i="2"/>
  <c r="T1323" i="2"/>
  <c r="W3254" i="2" l="1"/>
  <c r="X3254" i="2" s="1"/>
  <c r="S3255" i="2"/>
  <c r="W2148" i="2"/>
  <c r="X2148" i="2" s="1"/>
  <c r="S2149" i="2"/>
  <c r="W1323" i="2"/>
  <c r="X1323" i="2" s="1"/>
  <c r="S1324" i="2"/>
  <c r="U3255" i="2"/>
  <c r="T3255" i="2"/>
  <c r="T2149" i="2"/>
  <c r="U2149" i="2"/>
  <c r="U1324" i="2"/>
  <c r="T1324" i="2"/>
  <c r="W3255" i="2" l="1"/>
  <c r="X3255" i="2" s="1"/>
  <c r="S3256" i="2"/>
  <c r="W2149" i="2"/>
  <c r="X2149" i="2" s="1"/>
  <c r="S2150" i="2"/>
  <c r="W1324" i="2"/>
  <c r="X1324" i="2" s="1"/>
  <c r="S1325" i="2"/>
  <c r="T3256" i="2"/>
  <c r="U3256" i="2"/>
  <c r="U2150" i="2"/>
  <c r="T2150" i="2"/>
  <c r="T1325" i="2"/>
  <c r="U1325" i="2"/>
  <c r="W3256" i="2" l="1"/>
  <c r="X3256" i="2" s="1"/>
  <c r="S3257" i="2"/>
  <c r="W2150" i="2"/>
  <c r="X2150" i="2" s="1"/>
  <c r="S2151" i="2"/>
  <c r="W1325" i="2"/>
  <c r="X1325" i="2" s="1"/>
  <c r="S1326" i="2"/>
  <c r="U3257" i="2"/>
  <c r="T3257" i="2"/>
  <c r="U2151" i="2"/>
  <c r="T2151" i="2"/>
  <c r="U1326" i="2"/>
  <c r="T1326" i="2"/>
  <c r="W3257" i="2" l="1"/>
  <c r="X3257" i="2" s="1"/>
  <c r="S3258" i="2"/>
  <c r="W2151" i="2"/>
  <c r="X2151" i="2" s="1"/>
  <c r="S2152" i="2"/>
  <c r="W1326" i="2"/>
  <c r="X1326" i="2" s="1"/>
  <c r="S1327" i="2"/>
  <c r="U3258" i="2"/>
  <c r="T3258" i="2"/>
  <c r="U2152" i="2"/>
  <c r="T2152" i="2"/>
  <c r="T1327" i="2"/>
  <c r="U1327" i="2"/>
  <c r="W3258" i="2" l="1"/>
  <c r="X3258" i="2" s="1"/>
  <c r="S3259" i="2"/>
  <c r="W2152" i="2"/>
  <c r="X2152" i="2" s="1"/>
  <c r="S2153" i="2"/>
  <c r="W1327" i="2"/>
  <c r="X1327" i="2" s="1"/>
  <c r="S1328" i="2"/>
  <c r="U3259" i="2"/>
  <c r="T3259" i="2"/>
  <c r="T2153" i="2"/>
  <c r="U2153" i="2"/>
  <c r="U1328" i="2"/>
  <c r="T1328" i="2"/>
  <c r="W3259" i="2" l="1"/>
  <c r="X3259" i="2" s="1"/>
  <c r="S3260" i="2"/>
  <c r="W2153" i="2"/>
  <c r="X2153" i="2" s="1"/>
  <c r="S2154" i="2"/>
  <c r="W1328" i="2"/>
  <c r="X1328" i="2" s="1"/>
  <c r="S1329" i="2"/>
  <c r="T3260" i="2"/>
  <c r="U3260" i="2"/>
  <c r="T2154" i="2"/>
  <c r="U2154" i="2"/>
  <c r="T1329" i="2"/>
  <c r="U1329" i="2"/>
  <c r="W3260" i="2" l="1"/>
  <c r="X3260" i="2" s="1"/>
  <c r="S3261" i="2"/>
  <c r="W2154" i="2"/>
  <c r="X2154" i="2" s="1"/>
  <c r="S2155" i="2"/>
  <c r="W1329" i="2"/>
  <c r="X1329" i="2" s="1"/>
  <c r="S1330" i="2"/>
  <c r="U3261" i="2"/>
  <c r="T3261" i="2"/>
  <c r="U2155" i="2"/>
  <c r="T2155" i="2"/>
  <c r="U1330" i="2"/>
  <c r="T1330" i="2"/>
  <c r="W3261" i="2" l="1"/>
  <c r="X3261" i="2" s="1"/>
  <c r="S3262" i="2"/>
  <c r="W2155" i="2"/>
  <c r="X2155" i="2" s="1"/>
  <c r="S2156" i="2"/>
  <c r="W1330" i="2"/>
  <c r="X1330" i="2" s="1"/>
  <c r="S1331" i="2"/>
  <c r="T3262" i="2"/>
  <c r="U3262" i="2"/>
  <c r="U2156" i="2"/>
  <c r="T2156" i="2"/>
  <c r="T1331" i="2"/>
  <c r="U1331" i="2"/>
  <c r="W3262" i="2" l="1"/>
  <c r="X3262" i="2" s="1"/>
  <c r="S3263" i="2"/>
  <c r="W2156" i="2"/>
  <c r="X2156" i="2" s="1"/>
  <c r="S2157" i="2"/>
  <c r="W1331" i="2"/>
  <c r="X1331" i="2" s="1"/>
  <c r="S1332" i="2"/>
  <c r="U3263" i="2"/>
  <c r="T3263" i="2"/>
  <c r="T2157" i="2"/>
  <c r="U2157" i="2"/>
  <c r="U1332" i="2"/>
  <c r="T1332" i="2"/>
  <c r="W3263" i="2" l="1"/>
  <c r="X3263" i="2" s="1"/>
  <c r="S3264" i="2"/>
  <c r="W2157" i="2"/>
  <c r="X2157" i="2" s="1"/>
  <c r="S2158" i="2"/>
  <c r="W1332" i="2"/>
  <c r="X1332" i="2" s="1"/>
  <c r="S1333" i="2"/>
  <c r="T3264" i="2"/>
  <c r="U3264" i="2"/>
  <c r="U2158" i="2"/>
  <c r="T2158" i="2"/>
  <c r="T1333" i="2"/>
  <c r="U1333" i="2"/>
  <c r="W3264" i="2" l="1"/>
  <c r="X3264" i="2" s="1"/>
  <c r="S3265" i="2"/>
  <c r="W2158" i="2"/>
  <c r="X2158" i="2" s="1"/>
  <c r="S2159" i="2"/>
  <c r="W1333" i="2"/>
  <c r="X1333" i="2" s="1"/>
  <c r="S1334" i="2"/>
  <c r="U3265" i="2"/>
  <c r="T3265" i="2"/>
  <c r="U2159" i="2"/>
  <c r="T2159" i="2"/>
  <c r="U1334" i="2"/>
  <c r="T1334" i="2"/>
  <c r="W3265" i="2" l="1"/>
  <c r="X3265" i="2" s="1"/>
  <c r="S3266" i="2"/>
  <c r="W2159" i="2"/>
  <c r="X2159" i="2" s="1"/>
  <c r="S2160" i="2"/>
  <c r="W1334" i="2"/>
  <c r="X1334" i="2" s="1"/>
  <c r="S1335" i="2"/>
  <c r="U3266" i="2"/>
  <c r="T3266" i="2"/>
  <c r="U2160" i="2"/>
  <c r="T2160" i="2"/>
  <c r="T1335" i="2"/>
  <c r="U1335" i="2"/>
  <c r="W3266" i="2" l="1"/>
  <c r="X3266" i="2" s="1"/>
  <c r="S3267" i="2"/>
  <c r="W2160" i="2"/>
  <c r="X2160" i="2" s="1"/>
  <c r="S2161" i="2"/>
  <c r="W1335" i="2"/>
  <c r="X1335" i="2" s="1"/>
  <c r="S1336" i="2"/>
  <c r="U3267" i="2"/>
  <c r="T3267" i="2"/>
  <c r="T2161" i="2"/>
  <c r="U2161" i="2"/>
  <c r="U1336" i="2"/>
  <c r="T1336" i="2"/>
  <c r="W3267" i="2" l="1"/>
  <c r="X3267" i="2" s="1"/>
  <c r="S3268" i="2"/>
  <c r="W2161" i="2"/>
  <c r="X2161" i="2" s="1"/>
  <c r="S2162" i="2"/>
  <c r="W1336" i="2"/>
  <c r="X1336" i="2" s="1"/>
  <c r="S1337" i="2"/>
  <c r="T3268" i="2"/>
  <c r="U3268" i="2"/>
  <c r="T2162" i="2"/>
  <c r="U2162" i="2"/>
  <c r="T1337" i="2"/>
  <c r="U1337" i="2"/>
  <c r="W3268" i="2" l="1"/>
  <c r="X3268" i="2" s="1"/>
  <c r="S3269" i="2"/>
  <c r="W2162" i="2"/>
  <c r="X2162" i="2" s="1"/>
  <c r="S2163" i="2"/>
  <c r="W1337" i="2"/>
  <c r="X1337" i="2" s="1"/>
  <c r="S1338" i="2"/>
  <c r="U3269" i="2"/>
  <c r="T3269" i="2"/>
  <c r="U2163" i="2"/>
  <c r="T2163" i="2"/>
  <c r="T1338" i="2"/>
  <c r="U1338" i="2"/>
  <c r="W3269" i="2" l="1"/>
  <c r="X3269" i="2" s="1"/>
  <c r="S3270" i="2"/>
  <c r="W2163" i="2"/>
  <c r="X2163" i="2" s="1"/>
  <c r="S2164" i="2"/>
  <c r="W1338" i="2"/>
  <c r="X1338" i="2" s="1"/>
  <c r="S1339" i="2"/>
  <c r="T3270" i="2"/>
  <c r="U3270" i="2"/>
  <c r="U2164" i="2"/>
  <c r="T2164" i="2"/>
  <c r="T1339" i="2"/>
  <c r="U1339" i="2"/>
  <c r="W3270" i="2" l="1"/>
  <c r="X3270" i="2" s="1"/>
  <c r="S3271" i="2"/>
  <c r="W2164" i="2"/>
  <c r="X2164" i="2" s="1"/>
  <c r="S2165" i="2"/>
  <c r="W1339" i="2"/>
  <c r="X1339" i="2" s="1"/>
  <c r="S1340" i="2"/>
  <c r="U3271" i="2"/>
  <c r="T3271" i="2"/>
  <c r="T2165" i="2"/>
  <c r="U2165" i="2"/>
  <c r="U1340" i="2"/>
  <c r="T1340" i="2"/>
  <c r="W3271" i="2" l="1"/>
  <c r="X3271" i="2" s="1"/>
  <c r="S3272" i="2"/>
  <c r="W2165" i="2"/>
  <c r="X2165" i="2" s="1"/>
  <c r="S2166" i="2"/>
  <c r="W1340" i="2"/>
  <c r="X1340" i="2" s="1"/>
  <c r="S1341" i="2"/>
  <c r="T3272" i="2"/>
  <c r="U3272" i="2"/>
  <c r="U2166" i="2"/>
  <c r="T2166" i="2"/>
  <c r="T1341" i="2"/>
  <c r="U1341" i="2"/>
  <c r="W3272" i="2" l="1"/>
  <c r="X3272" i="2" s="1"/>
  <c r="S3273" i="2"/>
  <c r="W2166" i="2"/>
  <c r="X2166" i="2" s="1"/>
  <c r="S2167" i="2"/>
  <c r="W1341" i="2"/>
  <c r="X1341" i="2" s="1"/>
  <c r="S1342" i="2"/>
  <c r="U3273" i="2"/>
  <c r="T3273" i="2"/>
  <c r="U2167" i="2"/>
  <c r="T2167" i="2"/>
  <c r="U1342" i="2"/>
  <c r="T1342" i="2"/>
  <c r="W3273" i="2" l="1"/>
  <c r="X3273" i="2" s="1"/>
  <c r="S3274" i="2"/>
  <c r="W2167" i="2"/>
  <c r="X2167" i="2" s="1"/>
  <c r="S2168" i="2"/>
  <c r="W1342" i="2"/>
  <c r="X1342" i="2" s="1"/>
  <c r="S1343" i="2"/>
  <c r="U3274" i="2"/>
  <c r="T3274" i="2"/>
  <c r="U2168" i="2"/>
  <c r="T2168" i="2"/>
  <c r="T1343" i="2"/>
  <c r="U1343" i="2"/>
  <c r="W3274" i="2" l="1"/>
  <c r="X3274" i="2" s="1"/>
  <c r="S3275" i="2"/>
  <c r="W2168" i="2"/>
  <c r="X2168" i="2" s="1"/>
  <c r="S2169" i="2"/>
  <c r="W1343" i="2"/>
  <c r="X1343" i="2" s="1"/>
  <c r="S1344" i="2"/>
  <c r="T3275" i="2"/>
  <c r="U3275" i="2"/>
  <c r="T2169" i="2"/>
  <c r="U2169" i="2"/>
  <c r="U1344" i="2"/>
  <c r="T1344" i="2"/>
  <c r="W3275" i="2" l="1"/>
  <c r="X3275" i="2" s="1"/>
  <c r="S3276" i="2"/>
  <c r="W2169" i="2"/>
  <c r="X2169" i="2" s="1"/>
  <c r="S2170" i="2"/>
  <c r="W1344" i="2"/>
  <c r="X1344" i="2" s="1"/>
  <c r="S1345" i="2"/>
  <c r="T3276" i="2"/>
  <c r="U3276" i="2"/>
  <c r="U2170" i="2"/>
  <c r="T2170" i="2"/>
  <c r="T1345" i="2"/>
  <c r="U1345" i="2"/>
  <c r="W3276" i="2" l="1"/>
  <c r="X3276" i="2" s="1"/>
  <c r="S3277" i="2"/>
  <c r="W2170" i="2"/>
  <c r="X2170" i="2" s="1"/>
  <c r="S2171" i="2"/>
  <c r="W1345" i="2"/>
  <c r="X1345" i="2" s="1"/>
  <c r="S1346" i="2"/>
  <c r="U3277" i="2"/>
  <c r="T3277" i="2"/>
  <c r="U2171" i="2"/>
  <c r="T2171" i="2"/>
  <c r="U1346" i="2"/>
  <c r="T1346" i="2"/>
  <c r="W3277" i="2" l="1"/>
  <c r="X3277" i="2" s="1"/>
  <c r="S3278" i="2"/>
  <c r="W2171" i="2"/>
  <c r="X2171" i="2" s="1"/>
  <c r="S2172" i="2"/>
  <c r="W1346" i="2"/>
  <c r="X1346" i="2" s="1"/>
  <c r="S1347" i="2"/>
  <c r="U3278" i="2"/>
  <c r="T3278" i="2"/>
  <c r="U2172" i="2"/>
  <c r="T2172" i="2"/>
  <c r="T1347" i="2"/>
  <c r="U1347" i="2"/>
  <c r="W3278" i="2" l="1"/>
  <c r="X3278" i="2" s="1"/>
  <c r="S3279" i="2"/>
  <c r="W2172" i="2"/>
  <c r="X2172" i="2" s="1"/>
  <c r="S2173" i="2"/>
  <c r="W1347" i="2"/>
  <c r="X1347" i="2" s="1"/>
  <c r="S1348" i="2"/>
  <c r="T3279" i="2"/>
  <c r="U3279" i="2"/>
  <c r="T2173" i="2"/>
  <c r="U2173" i="2"/>
  <c r="U1348" i="2"/>
  <c r="T1348" i="2"/>
  <c r="W3279" i="2" l="1"/>
  <c r="X3279" i="2" s="1"/>
  <c r="S3280" i="2"/>
  <c r="W2173" i="2"/>
  <c r="X2173" i="2" s="1"/>
  <c r="S2174" i="2"/>
  <c r="W1348" i="2"/>
  <c r="X1348" i="2" s="1"/>
  <c r="S1349" i="2"/>
  <c r="T3280" i="2"/>
  <c r="U3280" i="2"/>
  <c r="U2174" i="2"/>
  <c r="T2174" i="2"/>
  <c r="T1349" i="2"/>
  <c r="U1349" i="2"/>
  <c r="W3280" i="2" l="1"/>
  <c r="X3280" i="2" s="1"/>
  <c r="S3281" i="2"/>
  <c r="W2174" i="2"/>
  <c r="X2174" i="2" s="1"/>
  <c r="S2175" i="2"/>
  <c r="W1349" i="2"/>
  <c r="X1349" i="2" s="1"/>
  <c r="S1350" i="2"/>
  <c r="U3281" i="2"/>
  <c r="T3281" i="2"/>
  <c r="U2175" i="2"/>
  <c r="T2175" i="2"/>
  <c r="T1350" i="2"/>
  <c r="U1350" i="2"/>
  <c r="W3281" i="2" l="1"/>
  <c r="X3281" i="2" s="1"/>
  <c r="S3282" i="2"/>
  <c r="W2175" i="2"/>
  <c r="X2175" i="2" s="1"/>
  <c r="S2176" i="2"/>
  <c r="W1350" i="2"/>
  <c r="X1350" i="2" s="1"/>
  <c r="S1351" i="2"/>
  <c r="T3282" i="2"/>
  <c r="U3282" i="2"/>
  <c r="U2176" i="2"/>
  <c r="T2176" i="2"/>
  <c r="T1351" i="2"/>
  <c r="U1351" i="2"/>
  <c r="W3282" i="2" l="1"/>
  <c r="X3282" i="2" s="1"/>
  <c r="S3283" i="2"/>
  <c r="W2176" i="2"/>
  <c r="X2176" i="2" s="1"/>
  <c r="S2177" i="2"/>
  <c r="W1351" i="2"/>
  <c r="X1351" i="2" s="1"/>
  <c r="S1352" i="2"/>
  <c r="T3283" i="2"/>
  <c r="U3283" i="2"/>
  <c r="T2177" i="2"/>
  <c r="U2177" i="2"/>
  <c r="U1352" i="2"/>
  <c r="T1352" i="2"/>
  <c r="W3283" i="2" l="1"/>
  <c r="X3283" i="2" s="1"/>
  <c r="S3284" i="2"/>
  <c r="W2177" i="2"/>
  <c r="X2177" i="2" s="1"/>
  <c r="S2178" i="2"/>
  <c r="W1352" i="2"/>
  <c r="X1352" i="2" s="1"/>
  <c r="S1353" i="2"/>
  <c r="T3284" i="2"/>
  <c r="U3284" i="2"/>
  <c r="U2178" i="2"/>
  <c r="T2178" i="2"/>
  <c r="T1353" i="2"/>
  <c r="U1353" i="2"/>
  <c r="W3284" i="2" l="1"/>
  <c r="X3284" i="2" s="1"/>
  <c r="S3285" i="2"/>
  <c r="W2178" i="2"/>
  <c r="X2178" i="2" s="1"/>
  <c r="S2179" i="2"/>
  <c r="W1353" i="2"/>
  <c r="X1353" i="2" s="1"/>
  <c r="S1354" i="2"/>
  <c r="U3285" i="2"/>
  <c r="T3285" i="2"/>
  <c r="U2179" i="2"/>
  <c r="T2179" i="2"/>
  <c r="U1354" i="2"/>
  <c r="T1354" i="2"/>
  <c r="W3285" i="2" l="1"/>
  <c r="X3285" i="2" s="1"/>
  <c r="S3286" i="2"/>
  <c r="W2179" i="2"/>
  <c r="X2179" i="2" s="1"/>
  <c r="S2180" i="2"/>
  <c r="W1354" i="2"/>
  <c r="X1354" i="2" s="1"/>
  <c r="S1355" i="2"/>
  <c r="U3286" i="2"/>
  <c r="T3286" i="2"/>
  <c r="U2180" i="2"/>
  <c r="T2180" i="2"/>
  <c r="T1355" i="2"/>
  <c r="U1355" i="2"/>
  <c r="W3286" i="2" l="1"/>
  <c r="X3286" i="2" s="1"/>
  <c r="S3287" i="2"/>
  <c r="W2180" i="2"/>
  <c r="X2180" i="2" s="1"/>
  <c r="S2181" i="2"/>
  <c r="W1355" i="2"/>
  <c r="X1355" i="2" s="1"/>
  <c r="S1356" i="2"/>
  <c r="T3287" i="2"/>
  <c r="U3287" i="2"/>
  <c r="T2181" i="2"/>
  <c r="U2181" i="2"/>
  <c r="U1356" i="2"/>
  <c r="T1356" i="2"/>
  <c r="W3287" i="2" l="1"/>
  <c r="X3287" i="2" s="1"/>
  <c r="S3288" i="2"/>
  <c r="W2181" i="2"/>
  <c r="X2181" i="2" s="1"/>
  <c r="S2182" i="2"/>
  <c r="W1356" i="2"/>
  <c r="X1356" i="2" s="1"/>
  <c r="S1357" i="2"/>
  <c r="T3288" i="2"/>
  <c r="U3288" i="2"/>
  <c r="U2182" i="2"/>
  <c r="T2182" i="2"/>
  <c r="T1357" i="2"/>
  <c r="U1357" i="2"/>
  <c r="W3288" i="2" l="1"/>
  <c r="X3288" i="2" s="1"/>
  <c r="S3289" i="2"/>
  <c r="W2182" i="2"/>
  <c r="X2182" i="2" s="1"/>
  <c r="S2183" i="2"/>
  <c r="W1357" i="2"/>
  <c r="X1357" i="2" s="1"/>
  <c r="S1358" i="2"/>
  <c r="U3289" i="2"/>
  <c r="T3289" i="2"/>
  <c r="U2183" i="2"/>
  <c r="T2183" i="2"/>
  <c r="U1358" i="2"/>
  <c r="T1358" i="2"/>
  <c r="W3289" i="2" l="1"/>
  <c r="X3289" i="2" s="1"/>
  <c r="S3290" i="2"/>
  <c r="W2183" i="2"/>
  <c r="X2183" i="2" s="1"/>
  <c r="S2184" i="2"/>
  <c r="W1358" i="2"/>
  <c r="X1358" i="2" s="1"/>
  <c r="S1359" i="2"/>
  <c r="T3290" i="2"/>
  <c r="U3290" i="2"/>
  <c r="U2184" i="2"/>
  <c r="T2184" i="2"/>
  <c r="T1359" i="2"/>
  <c r="U1359" i="2"/>
  <c r="W3290" i="2" l="1"/>
  <c r="X3290" i="2" s="1"/>
  <c r="S3291" i="2"/>
  <c r="W2184" i="2"/>
  <c r="X2184" i="2" s="1"/>
  <c r="S2185" i="2"/>
  <c r="W1359" i="2"/>
  <c r="X1359" i="2" s="1"/>
  <c r="S1360" i="2"/>
  <c r="T3291" i="2"/>
  <c r="U3291" i="2"/>
  <c r="T2185" i="2"/>
  <c r="U2185" i="2"/>
  <c r="U1360" i="2"/>
  <c r="T1360" i="2"/>
  <c r="W3291" i="2" l="1"/>
  <c r="X3291" i="2" s="1"/>
  <c r="S3292" i="2"/>
  <c r="W2185" i="2"/>
  <c r="X2185" i="2" s="1"/>
  <c r="S2186" i="2"/>
  <c r="W1360" i="2"/>
  <c r="X1360" i="2" s="1"/>
  <c r="S1361" i="2"/>
  <c r="T3292" i="2"/>
  <c r="U3292" i="2"/>
  <c r="U2186" i="2"/>
  <c r="T2186" i="2"/>
  <c r="T1361" i="2"/>
  <c r="U1361" i="2"/>
  <c r="W3292" i="2" l="1"/>
  <c r="X3292" i="2" s="1"/>
  <c r="S3293" i="2"/>
  <c r="W2186" i="2"/>
  <c r="X2186" i="2" s="1"/>
  <c r="S2187" i="2"/>
  <c r="W1361" i="2"/>
  <c r="X1361" i="2" s="1"/>
  <c r="S1362" i="2"/>
  <c r="U3293" i="2"/>
  <c r="T3293" i="2"/>
  <c r="U2187" i="2"/>
  <c r="T2187" i="2"/>
  <c r="T1362" i="2"/>
  <c r="U1362" i="2"/>
  <c r="W3293" i="2" l="1"/>
  <c r="X3293" i="2" s="1"/>
  <c r="S3294" i="2"/>
  <c r="W2187" i="2"/>
  <c r="X2187" i="2" s="1"/>
  <c r="S2188" i="2"/>
  <c r="W1362" i="2"/>
  <c r="X1362" i="2" s="1"/>
  <c r="S1363" i="2"/>
  <c r="U3294" i="2"/>
  <c r="T3294" i="2"/>
  <c r="U2188" i="2"/>
  <c r="T2188" i="2"/>
  <c r="T1363" i="2"/>
  <c r="U1363" i="2"/>
  <c r="W3294" i="2" l="1"/>
  <c r="X3294" i="2" s="1"/>
  <c r="S3295" i="2"/>
  <c r="W2188" i="2"/>
  <c r="X2188" i="2" s="1"/>
  <c r="S2189" i="2"/>
  <c r="W1363" i="2"/>
  <c r="X1363" i="2" s="1"/>
  <c r="S1364" i="2"/>
  <c r="T3295" i="2"/>
  <c r="U3295" i="2"/>
  <c r="T2189" i="2"/>
  <c r="U2189" i="2"/>
  <c r="U1364" i="2"/>
  <c r="T1364" i="2"/>
  <c r="W3295" i="2" l="1"/>
  <c r="X3295" i="2" s="1"/>
  <c r="S3296" i="2"/>
  <c r="W2189" i="2"/>
  <c r="X2189" i="2" s="1"/>
  <c r="S2190" i="2"/>
  <c r="W1364" i="2"/>
  <c r="X1364" i="2" s="1"/>
  <c r="S1365" i="2"/>
  <c r="T3296" i="2"/>
  <c r="U3296" i="2"/>
  <c r="U2190" i="2"/>
  <c r="T2190" i="2"/>
  <c r="U1365" i="2"/>
  <c r="T1365" i="2"/>
  <c r="W3296" i="2" l="1"/>
  <c r="X3296" i="2" s="1"/>
  <c r="S3297" i="2"/>
  <c r="W2190" i="2"/>
  <c r="X2190" i="2" s="1"/>
  <c r="S2191" i="2"/>
  <c r="W1365" i="2"/>
  <c r="X1365" i="2" s="1"/>
  <c r="S1366" i="2"/>
  <c r="U3297" i="2"/>
  <c r="T3297" i="2"/>
  <c r="T2191" i="2"/>
  <c r="U2191" i="2"/>
  <c r="U1366" i="2"/>
  <c r="T1366" i="2"/>
  <c r="W3297" i="2" l="1"/>
  <c r="X3297" i="2" s="1"/>
  <c r="S3298" i="2"/>
  <c r="W2191" i="2"/>
  <c r="X2191" i="2" s="1"/>
  <c r="S2192" i="2"/>
  <c r="W1366" i="2"/>
  <c r="X1366" i="2" s="1"/>
  <c r="S1367" i="2"/>
  <c r="U3298" i="2"/>
  <c r="T3298" i="2"/>
  <c r="U2192" i="2"/>
  <c r="T2192" i="2"/>
  <c r="T1367" i="2"/>
  <c r="U1367" i="2"/>
  <c r="W3298" i="2" l="1"/>
  <c r="X3298" i="2" s="1"/>
  <c r="S3299" i="2"/>
  <c r="W2192" i="2"/>
  <c r="X2192" i="2" s="1"/>
  <c r="S2193" i="2"/>
  <c r="W1367" i="2"/>
  <c r="X1367" i="2" s="1"/>
  <c r="S1368" i="2"/>
  <c r="T3299" i="2"/>
  <c r="U3299" i="2"/>
  <c r="T2193" i="2"/>
  <c r="U2193" i="2"/>
  <c r="U1368" i="2"/>
  <c r="T1368" i="2"/>
  <c r="W3299" i="2" l="1"/>
  <c r="X3299" i="2" s="1"/>
  <c r="S3300" i="2"/>
  <c r="W2193" i="2"/>
  <c r="X2193" i="2" s="1"/>
  <c r="S2194" i="2"/>
  <c r="W1368" i="2"/>
  <c r="X1368" i="2" s="1"/>
  <c r="S1369" i="2"/>
  <c r="T3300" i="2"/>
  <c r="U3300" i="2"/>
  <c r="T2194" i="2"/>
  <c r="U2194" i="2"/>
  <c r="U1369" i="2"/>
  <c r="T1369" i="2"/>
  <c r="W3300" i="2" l="1"/>
  <c r="X3300" i="2" s="1"/>
  <c r="S3301" i="2"/>
  <c r="W2194" i="2"/>
  <c r="X2194" i="2" s="1"/>
  <c r="S2195" i="2"/>
  <c r="W1369" i="2"/>
  <c r="X1369" i="2" s="1"/>
  <c r="S1370" i="2"/>
  <c r="U3301" i="2"/>
  <c r="T3301" i="2"/>
  <c r="U2195" i="2"/>
  <c r="T2195" i="2"/>
  <c r="U1370" i="2"/>
  <c r="T1370" i="2"/>
  <c r="W3301" i="2" l="1"/>
  <c r="X3301" i="2" s="1"/>
  <c r="S3302" i="2"/>
  <c r="W2195" i="2"/>
  <c r="X2195" i="2" s="1"/>
  <c r="S2196" i="2"/>
  <c r="W1370" i="2"/>
  <c r="X1370" i="2" s="1"/>
  <c r="S1371" i="2"/>
  <c r="U3302" i="2"/>
  <c r="T3302" i="2"/>
  <c r="U2196" i="2"/>
  <c r="T2196" i="2"/>
  <c r="T1371" i="2"/>
  <c r="U1371" i="2"/>
  <c r="W3302" i="2" l="1"/>
  <c r="X3302" i="2" s="1"/>
  <c r="S3303" i="2"/>
  <c r="W2196" i="2"/>
  <c r="X2196" i="2" s="1"/>
  <c r="S2197" i="2"/>
  <c r="W1371" i="2"/>
  <c r="X1371" i="2" s="1"/>
  <c r="S1372" i="2"/>
  <c r="T3303" i="2"/>
  <c r="U3303" i="2"/>
  <c r="U2197" i="2"/>
  <c r="T2197" i="2"/>
  <c r="U1372" i="2"/>
  <c r="T1372" i="2"/>
  <c r="W3303" i="2" l="1"/>
  <c r="X3303" i="2" s="1"/>
  <c r="S3304" i="2"/>
  <c r="W2197" i="2"/>
  <c r="X2197" i="2" s="1"/>
  <c r="S2198" i="2"/>
  <c r="W1372" i="2"/>
  <c r="X1372" i="2" s="1"/>
  <c r="S1373" i="2"/>
  <c r="T3304" i="2"/>
  <c r="U3304" i="2"/>
  <c r="T2198" i="2"/>
  <c r="U2198" i="2"/>
  <c r="T1373" i="2"/>
  <c r="U1373" i="2"/>
  <c r="W3304" i="2" l="1"/>
  <c r="X3304" i="2" s="1"/>
  <c r="S3305" i="2"/>
  <c r="W2198" i="2"/>
  <c r="X2198" i="2" s="1"/>
  <c r="S2199" i="2"/>
  <c r="W1373" i="2"/>
  <c r="X1373" i="2" s="1"/>
  <c r="S1374" i="2"/>
  <c r="U3305" i="2"/>
  <c r="T3305" i="2"/>
  <c r="U2199" i="2"/>
  <c r="T2199" i="2"/>
  <c r="T1374" i="2"/>
  <c r="U1374" i="2"/>
  <c r="W3305" i="2" l="1"/>
  <c r="X3305" i="2" s="1"/>
  <c r="S3306" i="2"/>
  <c r="W2199" i="2"/>
  <c r="X2199" i="2" s="1"/>
  <c r="S2200" i="2"/>
  <c r="W1374" i="2"/>
  <c r="X1374" i="2" s="1"/>
  <c r="S1375" i="2"/>
  <c r="U3306" i="2"/>
  <c r="T3306" i="2"/>
  <c r="U2200" i="2"/>
  <c r="T2200" i="2"/>
  <c r="T1375" i="2"/>
  <c r="U1375" i="2"/>
  <c r="W3306" i="2" l="1"/>
  <c r="X3306" i="2" s="1"/>
  <c r="S3307" i="2"/>
  <c r="W2200" i="2"/>
  <c r="X2200" i="2" s="1"/>
  <c r="S2201" i="2"/>
  <c r="W1375" i="2"/>
  <c r="X1375" i="2" s="1"/>
  <c r="S1376" i="2"/>
  <c r="T3307" i="2"/>
  <c r="U3307" i="2"/>
  <c r="U2201" i="2"/>
  <c r="T2201" i="2"/>
  <c r="U1376" i="2"/>
  <c r="T1376" i="2"/>
  <c r="W3307" i="2" l="1"/>
  <c r="X3307" i="2" s="1"/>
  <c r="S3308" i="2"/>
  <c r="W2201" i="2"/>
  <c r="X2201" i="2" s="1"/>
  <c r="S2202" i="2"/>
  <c r="W1376" i="2"/>
  <c r="X1376" i="2" s="1"/>
  <c r="S1377" i="2"/>
  <c r="T3308" i="2"/>
  <c r="U3308" i="2"/>
  <c r="U2202" i="2"/>
  <c r="T2202" i="2"/>
  <c r="U1377" i="2"/>
  <c r="T1377" i="2"/>
  <c r="W3308" i="2" l="1"/>
  <c r="X3308" i="2" s="1"/>
  <c r="S3309" i="2"/>
  <c r="W2202" i="2"/>
  <c r="X2202" i="2" s="1"/>
  <c r="S2203" i="2"/>
  <c r="W1377" i="2"/>
  <c r="X1377" i="2" s="1"/>
  <c r="S1378" i="2"/>
  <c r="U3309" i="2"/>
  <c r="T3309" i="2"/>
  <c r="U2203" i="2"/>
  <c r="T2203" i="2"/>
  <c r="U1378" i="2"/>
  <c r="T1378" i="2"/>
  <c r="W3309" i="2" l="1"/>
  <c r="X3309" i="2" s="1"/>
  <c r="S3310" i="2"/>
  <c r="W2203" i="2"/>
  <c r="X2203" i="2" s="1"/>
  <c r="S2204" i="2"/>
  <c r="W1378" i="2"/>
  <c r="X1378" i="2" s="1"/>
  <c r="S1379" i="2"/>
  <c r="U3310" i="2"/>
  <c r="T3310" i="2"/>
  <c r="U2204" i="2"/>
  <c r="T2204" i="2"/>
  <c r="T1379" i="2"/>
  <c r="U1379" i="2"/>
  <c r="W3310" i="2" l="1"/>
  <c r="X3310" i="2" s="1"/>
  <c r="S3311" i="2"/>
  <c r="W2204" i="2"/>
  <c r="X2204" i="2" s="1"/>
  <c r="S2205" i="2"/>
  <c r="W1379" i="2"/>
  <c r="X1379" i="2" s="1"/>
  <c r="S1380" i="2"/>
  <c r="T3311" i="2"/>
  <c r="U3311" i="2"/>
  <c r="U2205" i="2"/>
  <c r="T2205" i="2"/>
  <c r="U1380" i="2"/>
  <c r="T1380" i="2"/>
  <c r="W3311" i="2" l="1"/>
  <c r="X3311" i="2" s="1"/>
  <c r="S3312" i="2"/>
  <c r="W2205" i="2"/>
  <c r="X2205" i="2" s="1"/>
  <c r="S2206" i="2"/>
  <c r="W1380" i="2"/>
  <c r="X1380" i="2" s="1"/>
  <c r="S1381" i="2"/>
  <c r="T3312" i="2"/>
  <c r="U3312" i="2"/>
  <c r="U2206" i="2"/>
  <c r="T2206" i="2"/>
  <c r="U1381" i="2"/>
  <c r="T1381" i="2"/>
  <c r="W3312" i="2" l="1"/>
  <c r="X3312" i="2" s="1"/>
  <c r="S3313" i="2"/>
  <c r="W2206" i="2"/>
  <c r="X2206" i="2" s="1"/>
  <c r="S2207" i="2"/>
  <c r="W1381" i="2"/>
  <c r="X1381" i="2" s="1"/>
  <c r="S1382" i="2"/>
  <c r="U3313" i="2"/>
  <c r="T3313" i="2"/>
  <c r="U2207" i="2"/>
  <c r="T2207" i="2"/>
  <c r="U1382" i="2"/>
  <c r="T1382" i="2"/>
  <c r="W3313" i="2" l="1"/>
  <c r="X3313" i="2" s="1"/>
  <c r="S3314" i="2"/>
  <c r="W2207" i="2"/>
  <c r="X2207" i="2" s="1"/>
  <c r="S2208" i="2"/>
  <c r="W1382" i="2"/>
  <c r="X1382" i="2" s="1"/>
  <c r="S1383" i="2"/>
  <c r="T3314" i="2"/>
  <c r="U3314" i="2"/>
  <c r="U2208" i="2"/>
  <c r="T2208" i="2"/>
  <c r="T1383" i="2"/>
  <c r="U1383" i="2"/>
  <c r="W3314" i="2" l="1"/>
  <c r="X3314" i="2" s="1"/>
  <c r="S3315" i="2"/>
  <c r="W2208" i="2"/>
  <c r="X2208" i="2" s="1"/>
  <c r="S2209" i="2"/>
  <c r="W1383" i="2"/>
  <c r="X1383" i="2" s="1"/>
  <c r="S1384" i="2"/>
  <c r="T3315" i="2"/>
  <c r="U3315" i="2"/>
  <c r="U2209" i="2"/>
  <c r="T2209" i="2"/>
  <c r="U1384" i="2"/>
  <c r="T1384" i="2"/>
  <c r="W3315" i="2" l="1"/>
  <c r="X3315" i="2" s="1"/>
  <c r="S3316" i="2"/>
  <c r="W2209" i="2"/>
  <c r="X2209" i="2" s="1"/>
  <c r="S2210" i="2"/>
  <c r="W1384" i="2"/>
  <c r="X1384" i="2" s="1"/>
  <c r="S1385" i="2"/>
  <c r="T3316" i="2"/>
  <c r="U3316" i="2"/>
  <c r="U2210" i="2"/>
  <c r="T2210" i="2"/>
  <c r="U1385" i="2"/>
  <c r="T1385" i="2"/>
  <c r="W3316" i="2" l="1"/>
  <c r="X3316" i="2" s="1"/>
  <c r="S3317" i="2"/>
  <c r="W2210" i="2"/>
  <c r="X2210" i="2" s="1"/>
  <c r="S2211" i="2"/>
  <c r="W1385" i="2"/>
  <c r="X1385" i="2" s="1"/>
  <c r="S1386" i="2"/>
  <c r="U3317" i="2"/>
  <c r="T3317" i="2"/>
  <c r="U2211" i="2"/>
  <c r="T2211" i="2"/>
  <c r="T1386" i="2"/>
  <c r="U1386" i="2"/>
  <c r="W3317" i="2" l="1"/>
  <c r="X3317" i="2" s="1"/>
  <c r="S3318" i="2"/>
  <c r="W2211" i="2"/>
  <c r="X2211" i="2" s="1"/>
  <c r="S2212" i="2"/>
  <c r="W1386" i="2"/>
  <c r="X1386" i="2" s="1"/>
  <c r="S1387" i="2"/>
  <c r="U3318" i="2"/>
  <c r="T3318" i="2"/>
  <c r="U2212" i="2"/>
  <c r="T2212" i="2"/>
  <c r="T1387" i="2"/>
  <c r="U1387" i="2"/>
  <c r="W3318" i="2" l="1"/>
  <c r="X3318" i="2" s="1"/>
  <c r="S3319" i="2"/>
  <c r="W2212" i="2"/>
  <c r="X2212" i="2" s="1"/>
  <c r="S2213" i="2"/>
  <c r="W1387" i="2"/>
  <c r="X1387" i="2" s="1"/>
  <c r="S1388" i="2"/>
  <c r="T3319" i="2"/>
  <c r="U3319" i="2"/>
  <c r="U2213" i="2"/>
  <c r="T2213" i="2"/>
  <c r="U1388" i="2"/>
  <c r="T1388" i="2"/>
  <c r="W3319" i="2" l="1"/>
  <c r="X3319" i="2" s="1"/>
  <c r="S3320" i="2"/>
  <c r="W2213" i="2"/>
  <c r="X2213" i="2" s="1"/>
  <c r="S2214" i="2"/>
  <c r="W1388" i="2"/>
  <c r="X1388" i="2" s="1"/>
  <c r="S1389" i="2"/>
  <c r="T3320" i="2"/>
  <c r="U3320" i="2"/>
  <c r="U2214" i="2"/>
  <c r="T2214" i="2"/>
  <c r="U1389" i="2"/>
  <c r="T1389" i="2"/>
  <c r="W3320" i="2" l="1"/>
  <c r="X3320" i="2" s="1"/>
  <c r="S3321" i="2"/>
  <c r="W2214" i="2"/>
  <c r="X2214" i="2" s="1"/>
  <c r="S2215" i="2"/>
  <c r="W1389" i="2"/>
  <c r="X1389" i="2" s="1"/>
  <c r="S1390" i="2"/>
  <c r="U3321" i="2"/>
  <c r="T3321" i="2"/>
  <c r="U2215" i="2"/>
  <c r="T2215" i="2"/>
  <c r="U1390" i="2"/>
  <c r="T1390" i="2"/>
  <c r="W3321" i="2" l="1"/>
  <c r="X3321" i="2" s="1"/>
  <c r="S3322" i="2"/>
  <c r="W2215" i="2"/>
  <c r="X2215" i="2" s="1"/>
  <c r="S2216" i="2"/>
  <c r="W1390" i="2"/>
  <c r="X1390" i="2" s="1"/>
  <c r="S1391" i="2"/>
  <c r="T3322" i="2"/>
  <c r="U3322" i="2"/>
  <c r="U2216" i="2"/>
  <c r="T2216" i="2"/>
  <c r="T1391" i="2"/>
  <c r="U1391" i="2"/>
  <c r="W3322" i="2" l="1"/>
  <c r="X3322" i="2" s="1"/>
  <c r="S3323" i="2"/>
  <c r="W2216" i="2"/>
  <c r="X2216" i="2" s="1"/>
  <c r="S2217" i="2"/>
  <c r="W1391" i="2"/>
  <c r="X1391" i="2" s="1"/>
  <c r="S1392" i="2"/>
  <c r="T3323" i="2"/>
  <c r="U3323" i="2"/>
  <c r="U2217" i="2"/>
  <c r="T2217" i="2"/>
  <c r="U1392" i="2"/>
  <c r="T1392" i="2"/>
  <c r="W3323" i="2" l="1"/>
  <c r="X3323" i="2" s="1"/>
  <c r="S3324" i="2"/>
  <c r="W2217" i="2"/>
  <c r="X2217" i="2" s="1"/>
  <c r="S2218" i="2"/>
  <c r="W1392" i="2"/>
  <c r="X1392" i="2" s="1"/>
  <c r="S1393" i="2"/>
  <c r="U3324" i="2"/>
  <c r="T3324" i="2"/>
  <c r="U2218" i="2"/>
  <c r="T2218" i="2"/>
  <c r="T1393" i="2"/>
  <c r="U1393" i="2"/>
  <c r="W3324" i="2" l="1"/>
  <c r="X3324" i="2" s="1"/>
  <c r="S3325" i="2"/>
  <c r="W2218" i="2"/>
  <c r="X2218" i="2" s="1"/>
  <c r="S2219" i="2"/>
  <c r="W1393" i="2"/>
  <c r="X1393" i="2" s="1"/>
  <c r="S1394" i="2"/>
  <c r="U3325" i="2"/>
  <c r="T3325" i="2"/>
  <c r="U2219" i="2"/>
  <c r="T2219" i="2"/>
  <c r="U1394" i="2"/>
  <c r="T1394" i="2"/>
  <c r="W3325" i="2" l="1"/>
  <c r="X3325" i="2" s="1"/>
  <c r="S3326" i="2"/>
  <c r="W2219" i="2"/>
  <c r="X2219" i="2" s="1"/>
  <c r="S2220" i="2"/>
  <c r="W1394" i="2"/>
  <c r="X1394" i="2" s="1"/>
  <c r="S1395" i="2"/>
  <c r="T3326" i="2"/>
  <c r="U3326" i="2"/>
  <c r="U2220" i="2"/>
  <c r="T2220" i="2"/>
  <c r="T1395" i="2"/>
  <c r="U1395" i="2"/>
  <c r="W3326" i="2" l="1"/>
  <c r="X3326" i="2" s="1"/>
  <c r="S3327" i="2"/>
  <c r="W2220" i="2"/>
  <c r="X2220" i="2" s="1"/>
  <c r="S2221" i="2"/>
  <c r="W1395" i="2"/>
  <c r="X1395" i="2" s="1"/>
  <c r="S1396" i="2"/>
  <c r="T3327" i="2"/>
  <c r="U3327" i="2"/>
  <c r="U2221" i="2"/>
  <c r="T2221" i="2"/>
  <c r="U1396" i="2"/>
  <c r="T1396" i="2"/>
  <c r="W3327" i="2" l="1"/>
  <c r="X3327" i="2" s="1"/>
  <c r="S3328" i="2"/>
  <c r="W2221" i="2"/>
  <c r="X2221" i="2" s="1"/>
  <c r="S2222" i="2"/>
  <c r="W1396" i="2"/>
  <c r="X1396" i="2" s="1"/>
  <c r="S1397" i="2"/>
  <c r="U3328" i="2"/>
  <c r="T3328" i="2"/>
  <c r="U2222" i="2"/>
  <c r="T2222" i="2"/>
  <c r="U1397" i="2"/>
  <c r="T1397" i="2"/>
  <c r="W3328" i="2" l="1"/>
  <c r="X3328" i="2" s="1"/>
  <c r="S3329" i="2"/>
  <c r="W2222" i="2"/>
  <c r="X2222" i="2" s="1"/>
  <c r="S2223" i="2"/>
  <c r="W1397" i="2"/>
  <c r="X1397" i="2" s="1"/>
  <c r="S1398" i="2"/>
  <c r="U3329" i="2"/>
  <c r="T3329" i="2"/>
  <c r="U2223" i="2"/>
  <c r="T2223" i="2"/>
  <c r="U1398" i="2"/>
  <c r="T1398" i="2"/>
  <c r="W3329" i="2" l="1"/>
  <c r="X3329" i="2" s="1"/>
  <c r="S3330" i="2"/>
  <c r="W2223" i="2"/>
  <c r="X2223" i="2" s="1"/>
  <c r="S2224" i="2"/>
  <c r="W1398" i="2"/>
  <c r="X1398" i="2" s="1"/>
  <c r="S1399" i="2"/>
  <c r="T3330" i="2"/>
  <c r="U3330" i="2"/>
  <c r="U2224" i="2"/>
  <c r="T2224" i="2"/>
  <c r="T1399" i="2"/>
  <c r="U1399" i="2"/>
  <c r="W3330" i="2" l="1"/>
  <c r="X3330" i="2" s="1"/>
  <c r="S3331" i="2"/>
  <c r="W2224" i="2"/>
  <c r="X2224" i="2" s="1"/>
  <c r="S2225" i="2"/>
  <c r="W1399" i="2"/>
  <c r="X1399" i="2" s="1"/>
  <c r="S1400" i="2"/>
  <c r="T3331" i="2"/>
  <c r="U3331" i="2"/>
  <c r="U2225" i="2"/>
  <c r="T2225" i="2"/>
  <c r="U1400" i="2"/>
  <c r="T1400" i="2"/>
  <c r="W3331" i="2" l="1"/>
  <c r="X3331" i="2" s="1"/>
  <c r="S3332" i="2"/>
  <c r="W2225" i="2"/>
  <c r="X2225" i="2" s="1"/>
  <c r="S2226" i="2"/>
  <c r="W1400" i="2"/>
  <c r="X1400" i="2" s="1"/>
  <c r="S1401" i="2"/>
  <c r="U3332" i="2"/>
  <c r="T3332" i="2"/>
  <c r="T2226" i="2"/>
  <c r="U2226" i="2"/>
  <c r="U1401" i="2"/>
  <c r="T1401" i="2"/>
  <c r="W3332" i="2" l="1"/>
  <c r="X3332" i="2" s="1"/>
  <c r="S3333" i="2"/>
  <c r="W2226" i="2"/>
  <c r="X2226" i="2" s="1"/>
  <c r="S2227" i="2"/>
  <c r="W1401" i="2"/>
  <c r="X1401" i="2" s="1"/>
  <c r="S1402" i="2"/>
  <c r="U3333" i="2"/>
  <c r="T3333" i="2"/>
  <c r="U2227" i="2"/>
  <c r="T2227" i="2"/>
  <c r="U1402" i="2"/>
  <c r="T1402" i="2"/>
  <c r="W3333" i="2" l="1"/>
  <c r="X3333" i="2" s="1"/>
  <c r="S3334" i="2"/>
  <c r="W2227" i="2"/>
  <c r="X2227" i="2" s="1"/>
  <c r="S2228" i="2"/>
  <c r="W1402" i="2"/>
  <c r="X1402" i="2" s="1"/>
  <c r="S1403" i="2"/>
  <c r="T3334" i="2"/>
  <c r="U3334" i="2"/>
  <c r="U2228" i="2"/>
  <c r="T2228" i="2"/>
  <c r="T1403" i="2"/>
  <c r="U1403" i="2"/>
  <c r="W3334" i="2" l="1"/>
  <c r="X3334" i="2" s="1"/>
  <c r="S3335" i="2"/>
  <c r="W2228" i="2"/>
  <c r="X2228" i="2" s="1"/>
  <c r="S2229" i="2"/>
  <c r="W1403" i="2"/>
  <c r="X1403" i="2" s="1"/>
  <c r="S1404" i="2"/>
  <c r="T3335" i="2"/>
  <c r="U3335" i="2"/>
  <c r="U2229" i="2"/>
  <c r="T2229" i="2"/>
  <c r="U1404" i="2"/>
  <c r="T1404" i="2"/>
  <c r="W3335" i="2" l="1"/>
  <c r="X3335" i="2" s="1"/>
  <c r="S3336" i="2"/>
  <c r="W2229" i="2"/>
  <c r="X2229" i="2" s="1"/>
  <c r="S2230" i="2"/>
  <c r="W1404" i="2"/>
  <c r="X1404" i="2" s="1"/>
  <c r="S1405" i="2"/>
  <c r="U3336" i="2"/>
  <c r="T3336" i="2"/>
  <c r="T2230" i="2"/>
  <c r="U2230" i="2"/>
  <c r="T1405" i="2"/>
  <c r="U1405" i="2"/>
  <c r="W3336" i="2" l="1"/>
  <c r="X3336" i="2" s="1"/>
  <c r="S3337" i="2"/>
  <c r="W2230" i="2"/>
  <c r="X2230" i="2" s="1"/>
  <c r="S2231" i="2"/>
  <c r="W1405" i="2"/>
  <c r="X1405" i="2" s="1"/>
  <c r="S1406" i="2"/>
  <c r="U3337" i="2"/>
  <c r="T3337" i="2"/>
  <c r="U2231" i="2"/>
  <c r="T2231" i="2"/>
  <c r="T1406" i="2"/>
  <c r="U1406" i="2"/>
  <c r="W3337" i="2" l="1"/>
  <c r="X3337" i="2" s="1"/>
  <c r="S3338" i="2"/>
  <c r="W2231" i="2"/>
  <c r="X2231" i="2" s="1"/>
  <c r="S2232" i="2"/>
  <c r="W1406" i="2"/>
  <c r="X1406" i="2" s="1"/>
  <c r="S1407" i="2"/>
  <c r="T3338" i="2"/>
  <c r="U3338" i="2"/>
  <c r="U2232" i="2"/>
  <c r="T2232" i="2"/>
  <c r="T1407" i="2"/>
  <c r="U1407" i="2"/>
  <c r="W3338" i="2" l="1"/>
  <c r="X3338" i="2" s="1"/>
  <c r="S3339" i="2"/>
  <c r="W2232" i="2"/>
  <c r="X2232" i="2" s="1"/>
  <c r="S2233" i="2"/>
  <c r="W1407" i="2"/>
  <c r="X1407" i="2" s="1"/>
  <c r="S1408" i="2"/>
  <c r="T3339" i="2"/>
  <c r="U3339" i="2"/>
  <c r="U2233" i="2"/>
  <c r="T2233" i="2"/>
  <c r="U1408" i="2"/>
  <c r="T1408" i="2"/>
  <c r="W3339" i="2" l="1"/>
  <c r="X3339" i="2" s="1"/>
  <c r="S3340" i="2"/>
  <c r="W2233" i="2"/>
  <c r="X2233" i="2" s="1"/>
  <c r="S2234" i="2"/>
  <c r="W1408" i="2"/>
  <c r="X1408" i="2" s="1"/>
  <c r="S1409" i="2"/>
  <c r="U3340" i="2"/>
  <c r="T3340" i="2"/>
  <c r="U2234" i="2"/>
  <c r="T2234" i="2"/>
  <c r="U1409" i="2"/>
  <c r="T1409" i="2"/>
  <c r="W3340" i="2" l="1"/>
  <c r="X3340" i="2" s="1"/>
  <c r="S3341" i="2"/>
  <c r="W2234" i="2"/>
  <c r="X2234" i="2" s="1"/>
  <c r="S2235" i="2"/>
  <c r="W1409" i="2"/>
  <c r="X1409" i="2" s="1"/>
  <c r="S1410" i="2"/>
  <c r="U3341" i="2"/>
  <c r="T3341" i="2"/>
  <c r="U2235" i="2"/>
  <c r="T2235" i="2"/>
  <c r="U1410" i="2"/>
  <c r="T1410" i="2"/>
  <c r="W3341" i="2" l="1"/>
  <c r="X3341" i="2" s="1"/>
  <c r="S3342" i="2"/>
  <c r="W2235" i="2"/>
  <c r="X2235" i="2" s="1"/>
  <c r="S2236" i="2"/>
  <c r="W1410" i="2"/>
  <c r="X1410" i="2" s="1"/>
  <c r="S1411" i="2"/>
  <c r="T3342" i="2"/>
  <c r="U3342" i="2"/>
  <c r="U2236" i="2"/>
  <c r="T2236" i="2"/>
  <c r="T1411" i="2"/>
  <c r="U1411" i="2"/>
  <c r="W3342" i="2" l="1"/>
  <c r="X3342" i="2" s="1"/>
  <c r="S3343" i="2"/>
  <c r="W2236" i="2"/>
  <c r="X2236" i="2" s="1"/>
  <c r="S2237" i="2"/>
  <c r="W1411" i="2"/>
  <c r="X1411" i="2" s="1"/>
  <c r="S1412" i="2"/>
  <c r="T3343" i="2"/>
  <c r="U3343" i="2"/>
  <c r="U2237" i="2"/>
  <c r="T2237" i="2"/>
  <c r="U1412" i="2"/>
  <c r="T1412" i="2"/>
  <c r="W3343" i="2" l="1"/>
  <c r="X3343" i="2" s="1"/>
  <c r="S3344" i="2"/>
  <c r="W2237" i="2"/>
  <c r="X2237" i="2" s="1"/>
  <c r="S2238" i="2"/>
  <c r="W1412" i="2"/>
  <c r="X1412" i="2" s="1"/>
  <c r="S1413" i="2"/>
  <c r="U3344" i="2"/>
  <c r="T3344" i="2"/>
  <c r="U2238" i="2"/>
  <c r="T2238" i="2"/>
  <c r="U1413" i="2"/>
  <c r="T1413" i="2"/>
  <c r="W3344" i="2" l="1"/>
  <c r="X3344" i="2" s="1"/>
  <c r="S3345" i="2"/>
  <c r="W2238" i="2"/>
  <c r="X2238" i="2" s="1"/>
  <c r="S2239" i="2"/>
  <c r="W1413" i="2"/>
  <c r="X1413" i="2" s="1"/>
  <c r="S1414" i="2"/>
  <c r="U3345" i="2"/>
  <c r="T3345" i="2"/>
  <c r="U2239" i="2"/>
  <c r="T2239" i="2"/>
  <c r="U1414" i="2"/>
  <c r="T1414" i="2"/>
  <c r="W3345" i="2" l="1"/>
  <c r="X3345" i="2" s="1"/>
  <c r="S3346" i="2"/>
  <c r="W2239" i="2"/>
  <c r="X2239" i="2" s="1"/>
  <c r="S2240" i="2"/>
  <c r="W1414" i="2"/>
  <c r="X1414" i="2" s="1"/>
  <c r="S1415" i="2"/>
  <c r="T3346" i="2"/>
  <c r="U3346" i="2"/>
  <c r="U2240" i="2"/>
  <c r="T2240" i="2"/>
  <c r="T1415" i="2"/>
  <c r="U1415" i="2"/>
  <c r="W3346" i="2" l="1"/>
  <c r="X3346" i="2" s="1"/>
  <c r="S3347" i="2"/>
  <c r="W2240" i="2"/>
  <c r="X2240" i="2" s="1"/>
  <c r="S2241" i="2"/>
  <c r="W1415" i="2"/>
  <c r="X1415" i="2" s="1"/>
  <c r="S1416" i="2"/>
  <c r="T3347" i="2"/>
  <c r="U3347" i="2"/>
  <c r="U2241" i="2"/>
  <c r="T2241" i="2"/>
  <c r="U1416" i="2"/>
  <c r="T1416" i="2"/>
  <c r="W3347" i="2" l="1"/>
  <c r="X3347" i="2" s="1"/>
  <c r="S3348" i="2"/>
  <c r="W2241" i="2"/>
  <c r="X2241" i="2" s="1"/>
  <c r="S2242" i="2"/>
  <c r="W1416" i="2"/>
  <c r="X1416" i="2" s="1"/>
  <c r="S1417" i="2"/>
  <c r="U3348" i="2"/>
  <c r="T3348" i="2"/>
  <c r="U2242" i="2"/>
  <c r="T2242" i="2"/>
  <c r="U1417" i="2"/>
  <c r="T1417" i="2"/>
  <c r="W3348" i="2" l="1"/>
  <c r="X3348" i="2" s="1"/>
  <c r="S3349" i="2"/>
  <c r="W2242" i="2"/>
  <c r="X2242" i="2" s="1"/>
  <c r="S2243" i="2"/>
  <c r="W1417" i="2"/>
  <c r="X1417" i="2" s="1"/>
  <c r="S1418" i="2"/>
  <c r="U3349" i="2"/>
  <c r="T3349" i="2"/>
  <c r="U2243" i="2"/>
  <c r="T2243" i="2"/>
  <c r="T1418" i="2"/>
  <c r="U1418" i="2"/>
  <c r="W3349" i="2" l="1"/>
  <c r="X3349" i="2" s="1"/>
  <c r="S3350" i="2"/>
  <c r="W2243" i="2"/>
  <c r="X2243" i="2" s="1"/>
  <c r="S2244" i="2"/>
  <c r="W1418" i="2"/>
  <c r="X1418" i="2" s="1"/>
  <c r="S1419" i="2"/>
  <c r="T3350" i="2"/>
  <c r="U3350" i="2"/>
  <c r="U2244" i="2"/>
  <c r="T2244" i="2"/>
  <c r="T1419" i="2"/>
  <c r="U1419" i="2"/>
  <c r="W3350" i="2" l="1"/>
  <c r="X3350" i="2" s="1"/>
  <c r="S3351" i="2"/>
  <c r="W2244" i="2"/>
  <c r="X2244" i="2" s="1"/>
  <c r="S2245" i="2"/>
  <c r="W1419" i="2"/>
  <c r="X1419" i="2" s="1"/>
  <c r="S1420" i="2"/>
  <c r="T3351" i="2"/>
  <c r="U3351" i="2"/>
  <c r="U2245" i="2"/>
  <c r="T2245" i="2"/>
  <c r="U1420" i="2"/>
  <c r="T1420" i="2"/>
  <c r="W3351" i="2" l="1"/>
  <c r="X3351" i="2" s="1"/>
  <c r="S3352" i="2"/>
  <c r="W2245" i="2"/>
  <c r="X2245" i="2" s="1"/>
  <c r="S2246" i="2"/>
  <c r="W1420" i="2"/>
  <c r="X1420" i="2" s="1"/>
  <c r="S1421" i="2"/>
  <c r="U3352" i="2"/>
  <c r="T3352" i="2"/>
  <c r="U2246" i="2"/>
  <c r="T2246" i="2"/>
  <c r="U1421" i="2"/>
  <c r="T1421" i="2"/>
  <c r="W3352" i="2" l="1"/>
  <c r="X3352" i="2" s="1"/>
  <c r="S3353" i="2"/>
  <c r="W2246" i="2"/>
  <c r="X2246" i="2" s="1"/>
  <c r="S2247" i="2"/>
  <c r="W1421" i="2"/>
  <c r="X1421" i="2" s="1"/>
  <c r="S1422" i="2"/>
  <c r="U3353" i="2"/>
  <c r="T3353" i="2"/>
  <c r="U2247" i="2"/>
  <c r="T2247" i="2"/>
  <c r="U1422" i="2"/>
  <c r="T1422" i="2"/>
  <c r="W3353" i="2" l="1"/>
  <c r="X3353" i="2" s="1"/>
  <c r="S3354" i="2"/>
  <c r="W2247" i="2"/>
  <c r="X2247" i="2" s="1"/>
  <c r="S2248" i="2"/>
  <c r="W1422" i="2"/>
  <c r="X1422" i="2" s="1"/>
  <c r="S1423" i="2"/>
  <c r="T3354" i="2"/>
  <c r="U3354" i="2"/>
  <c r="U2248" i="2"/>
  <c r="T2248" i="2"/>
  <c r="T1423" i="2"/>
  <c r="U1423" i="2"/>
  <c r="W3354" i="2" l="1"/>
  <c r="X3354" i="2" s="1"/>
  <c r="S3355" i="2"/>
  <c r="W2248" i="2"/>
  <c r="X2248" i="2" s="1"/>
  <c r="S2249" i="2"/>
  <c r="W1423" i="2"/>
  <c r="X1423" i="2" s="1"/>
  <c r="S1424" i="2"/>
  <c r="T3355" i="2"/>
  <c r="U3355" i="2"/>
  <c r="U2249" i="2"/>
  <c r="T2249" i="2"/>
  <c r="U1424" i="2"/>
  <c r="T1424" i="2"/>
  <c r="W3355" i="2" l="1"/>
  <c r="X3355" i="2" s="1"/>
  <c r="S3356" i="2"/>
  <c r="W2249" i="2"/>
  <c r="X2249" i="2" s="1"/>
  <c r="S2250" i="2"/>
  <c r="W1424" i="2"/>
  <c r="X1424" i="2" s="1"/>
  <c r="S1425" i="2"/>
  <c r="U3356" i="2"/>
  <c r="T3356" i="2"/>
  <c r="U2250" i="2"/>
  <c r="T2250" i="2"/>
  <c r="T1425" i="2"/>
  <c r="U1425" i="2"/>
  <c r="W3356" i="2" l="1"/>
  <c r="X3356" i="2" s="1"/>
  <c r="S3357" i="2"/>
  <c r="W2250" i="2"/>
  <c r="X2250" i="2" s="1"/>
  <c r="S2251" i="2"/>
  <c r="W1425" i="2"/>
  <c r="X1425" i="2" s="1"/>
  <c r="S1426" i="2"/>
  <c r="U3357" i="2"/>
  <c r="T3357" i="2"/>
  <c r="U2251" i="2"/>
  <c r="T2251" i="2"/>
  <c r="U1426" i="2"/>
  <c r="T1426" i="2"/>
  <c r="W3357" i="2" l="1"/>
  <c r="X3357" i="2" s="1"/>
  <c r="S3358" i="2"/>
  <c r="W2251" i="2"/>
  <c r="X2251" i="2" s="1"/>
  <c r="S2252" i="2"/>
  <c r="W1426" i="2"/>
  <c r="X1426" i="2" s="1"/>
  <c r="S1427" i="2"/>
  <c r="T3358" i="2"/>
  <c r="U3358" i="2"/>
  <c r="U2252" i="2"/>
  <c r="T2252" i="2"/>
  <c r="T1427" i="2"/>
  <c r="U1427" i="2"/>
  <c r="W3358" i="2" l="1"/>
  <c r="X3358" i="2" s="1"/>
  <c r="S3359" i="2"/>
  <c r="W2252" i="2"/>
  <c r="X2252" i="2" s="1"/>
  <c r="S2253" i="2"/>
  <c r="W1427" i="2"/>
  <c r="X1427" i="2" s="1"/>
  <c r="S1428" i="2"/>
  <c r="T3359" i="2"/>
  <c r="U3359" i="2"/>
  <c r="U2253" i="2"/>
  <c r="T2253" i="2"/>
  <c r="U1428" i="2"/>
  <c r="T1428" i="2"/>
  <c r="W3359" i="2" l="1"/>
  <c r="X3359" i="2" s="1"/>
  <c r="S3360" i="2"/>
  <c r="W2253" i="2"/>
  <c r="X2253" i="2" s="1"/>
  <c r="S2254" i="2"/>
  <c r="W1428" i="2"/>
  <c r="X1428" i="2" s="1"/>
  <c r="S1429" i="2"/>
  <c r="U3360" i="2"/>
  <c r="T3360" i="2"/>
  <c r="U2254" i="2"/>
  <c r="T2254" i="2"/>
  <c r="U1429" i="2"/>
  <c r="T1429" i="2"/>
  <c r="W3360" i="2" l="1"/>
  <c r="X3360" i="2" s="1"/>
  <c r="S3361" i="2"/>
  <c r="W2254" i="2"/>
  <c r="X2254" i="2" s="1"/>
  <c r="S2255" i="2"/>
  <c r="W1429" i="2"/>
  <c r="X1429" i="2" s="1"/>
  <c r="S1430" i="2"/>
  <c r="U3361" i="2"/>
  <c r="T3361" i="2"/>
  <c r="U2255" i="2"/>
  <c r="T2255" i="2"/>
  <c r="U1430" i="2"/>
  <c r="T1430" i="2"/>
  <c r="W3361" i="2" l="1"/>
  <c r="X3361" i="2" s="1"/>
  <c r="S3362" i="2"/>
  <c r="W2255" i="2"/>
  <c r="X2255" i="2" s="1"/>
  <c r="S2256" i="2"/>
  <c r="W1430" i="2"/>
  <c r="X1430" i="2" s="1"/>
  <c r="S1431" i="2"/>
  <c r="T3362" i="2"/>
  <c r="U3362" i="2"/>
  <c r="U2256" i="2"/>
  <c r="T2256" i="2"/>
  <c r="T1431" i="2"/>
  <c r="U1431" i="2"/>
  <c r="W3362" i="2" l="1"/>
  <c r="X3362" i="2" s="1"/>
  <c r="S3363" i="2"/>
  <c r="W2256" i="2"/>
  <c r="X2256" i="2" s="1"/>
  <c r="S2257" i="2"/>
  <c r="W1431" i="2"/>
  <c r="X1431" i="2" s="1"/>
  <c r="S1432" i="2"/>
  <c r="T3363" i="2"/>
  <c r="U3363" i="2"/>
  <c r="U2257" i="2"/>
  <c r="T2257" i="2"/>
  <c r="U1432" i="2"/>
  <c r="T1432" i="2"/>
  <c r="W3363" i="2" l="1"/>
  <c r="X3363" i="2" s="1"/>
  <c r="S3364" i="2"/>
  <c r="W2257" i="2"/>
  <c r="X2257" i="2" s="1"/>
  <c r="S2258" i="2"/>
  <c r="W1432" i="2"/>
  <c r="X1432" i="2" s="1"/>
  <c r="S1433" i="2"/>
  <c r="U3364" i="2"/>
  <c r="T3364" i="2"/>
  <c r="T2258" i="2"/>
  <c r="U2258" i="2"/>
  <c r="U1433" i="2"/>
  <c r="T1433" i="2"/>
  <c r="W3364" i="2" l="1"/>
  <c r="X3364" i="2" s="1"/>
  <c r="S3365" i="2"/>
  <c r="W2258" i="2"/>
  <c r="X2258" i="2" s="1"/>
  <c r="S2259" i="2"/>
  <c r="W1433" i="2"/>
  <c r="X1433" i="2" s="1"/>
  <c r="S1434" i="2"/>
  <c r="U3365" i="2"/>
  <c r="T3365" i="2"/>
  <c r="U2259" i="2"/>
  <c r="T2259" i="2"/>
  <c r="U1434" i="2"/>
  <c r="T1434" i="2"/>
  <c r="W3365" i="2" l="1"/>
  <c r="X3365" i="2" s="1"/>
  <c r="S3366" i="2"/>
  <c r="W2259" i="2"/>
  <c r="X2259" i="2" s="1"/>
  <c r="S2260" i="2"/>
  <c r="W1434" i="2"/>
  <c r="X1434" i="2" s="1"/>
  <c r="S1435" i="2"/>
  <c r="T3366" i="2"/>
  <c r="U3366" i="2"/>
  <c r="U2260" i="2"/>
  <c r="T2260" i="2"/>
  <c r="T1435" i="2"/>
  <c r="U1435" i="2"/>
  <c r="W3366" i="2" l="1"/>
  <c r="X3366" i="2" s="1"/>
  <c r="S3367" i="2"/>
  <c r="W2260" i="2"/>
  <c r="X2260" i="2" s="1"/>
  <c r="S2261" i="2"/>
  <c r="W1435" i="2"/>
  <c r="X1435" i="2" s="1"/>
  <c r="S1436" i="2"/>
  <c r="T3367" i="2"/>
  <c r="U3367" i="2"/>
  <c r="U2261" i="2"/>
  <c r="T2261" i="2"/>
  <c r="U1436" i="2"/>
  <c r="T1436" i="2"/>
  <c r="W3367" i="2" l="1"/>
  <c r="X3367" i="2" s="1"/>
  <c r="S3368" i="2"/>
  <c r="W2261" i="2"/>
  <c r="X2261" i="2" s="1"/>
  <c r="S2262" i="2"/>
  <c r="W1436" i="2"/>
  <c r="X1436" i="2" s="1"/>
  <c r="S1437" i="2"/>
  <c r="U3368" i="2"/>
  <c r="T3368" i="2"/>
  <c r="T2262" i="2"/>
  <c r="U2262" i="2"/>
  <c r="T1437" i="2"/>
  <c r="U1437" i="2"/>
  <c r="W3368" i="2" l="1"/>
  <c r="X3368" i="2" s="1"/>
  <c r="S3369" i="2"/>
  <c r="W2262" i="2"/>
  <c r="X2262" i="2" s="1"/>
  <c r="S2263" i="2"/>
  <c r="W1437" i="2"/>
  <c r="X1437" i="2" s="1"/>
  <c r="S1438" i="2"/>
  <c r="U3369" i="2"/>
  <c r="T3369" i="2"/>
  <c r="U2263" i="2"/>
  <c r="T2263" i="2"/>
  <c r="T1438" i="2"/>
  <c r="U1438" i="2"/>
  <c r="W3369" i="2" l="1"/>
  <c r="X3369" i="2" s="1"/>
  <c r="S3370" i="2"/>
  <c r="W2263" i="2"/>
  <c r="X2263" i="2" s="1"/>
  <c r="S2264" i="2"/>
  <c r="W1438" i="2"/>
  <c r="X1438" i="2" s="1"/>
  <c r="S1439" i="2"/>
  <c r="T3370" i="2"/>
  <c r="U3370" i="2"/>
  <c r="U2264" i="2"/>
  <c r="T2264" i="2"/>
  <c r="T1439" i="2"/>
  <c r="U1439" i="2"/>
  <c r="W3370" i="2" l="1"/>
  <c r="X3370" i="2" s="1"/>
  <c r="S3371" i="2"/>
  <c r="W2264" i="2"/>
  <c r="X2264" i="2" s="1"/>
  <c r="S2265" i="2"/>
  <c r="W1439" i="2"/>
  <c r="X1439" i="2" s="1"/>
  <c r="S1440" i="2"/>
  <c r="T3371" i="2"/>
  <c r="U3371" i="2"/>
  <c r="U2265" i="2"/>
  <c r="T2265" i="2"/>
  <c r="U1440" i="2"/>
  <c r="T1440" i="2"/>
  <c r="W3371" i="2" l="1"/>
  <c r="X3371" i="2" s="1"/>
  <c r="S3372" i="2"/>
  <c r="W2265" i="2"/>
  <c r="X2265" i="2" s="1"/>
  <c r="S2266" i="2"/>
  <c r="W1440" i="2"/>
  <c r="X1440" i="2" s="1"/>
  <c r="S1441" i="2"/>
  <c r="U3372" i="2"/>
  <c r="T3372" i="2"/>
  <c r="U2266" i="2"/>
  <c r="T2266" i="2"/>
  <c r="U1441" i="2"/>
  <c r="T1441" i="2"/>
  <c r="W3372" i="2" l="1"/>
  <c r="X3372" i="2" s="1"/>
  <c r="S3373" i="2"/>
  <c r="W2266" i="2"/>
  <c r="X2266" i="2" s="1"/>
  <c r="S2267" i="2"/>
  <c r="W1441" i="2"/>
  <c r="X1441" i="2" s="1"/>
  <c r="S1442" i="2"/>
  <c r="U3373" i="2"/>
  <c r="T3373" i="2"/>
  <c r="U2267" i="2"/>
  <c r="T2267" i="2"/>
  <c r="U1442" i="2"/>
  <c r="T1442" i="2"/>
  <c r="W3373" i="2" l="1"/>
  <c r="X3373" i="2" s="1"/>
  <c r="S3374" i="2"/>
  <c r="W2267" i="2"/>
  <c r="X2267" i="2" s="1"/>
  <c r="S2268" i="2"/>
  <c r="W1442" i="2"/>
  <c r="X1442" i="2" s="1"/>
  <c r="S1443" i="2"/>
  <c r="T3374" i="2"/>
  <c r="U3374" i="2"/>
  <c r="U2268" i="2"/>
  <c r="T2268" i="2"/>
  <c r="T1443" i="2"/>
  <c r="U1443" i="2"/>
  <c r="W3374" i="2" l="1"/>
  <c r="X3374" i="2" s="1"/>
  <c r="S3375" i="2"/>
  <c r="W2268" i="2"/>
  <c r="X2268" i="2" s="1"/>
  <c r="S2269" i="2"/>
  <c r="W1443" i="2"/>
  <c r="X1443" i="2" s="1"/>
  <c r="S1444" i="2"/>
  <c r="T3375" i="2"/>
  <c r="U3375" i="2"/>
  <c r="U2269" i="2"/>
  <c r="T2269" i="2"/>
  <c r="U1444" i="2"/>
  <c r="T1444" i="2"/>
  <c r="W3375" i="2" l="1"/>
  <c r="X3375" i="2" s="1"/>
  <c r="S3376" i="2"/>
  <c r="W2269" i="2"/>
  <c r="X2269" i="2" s="1"/>
  <c r="S2270" i="2"/>
  <c r="W1444" i="2"/>
  <c r="X1444" i="2" s="1"/>
  <c r="S1445" i="2"/>
  <c r="U3376" i="2"/>
  <c r="T3376" i="2"/>
  <c r="U2270" i="2"/>
  <c r="T2270" i="2"/>
  <c r="U1445" i="2"/>
  <c r="T1445" i="2"/>
  <c r="W3376" i="2" l="1"/>
  <c r="X3376" i="2" s="1"/>
  <c r="S3377" i="2"/>
  <c r="W2270" i="2"/>
  <c r="X2270" i="2" s="1"/>
  <c r="S2271" i="2"/>
  <c r="W1445" i="2"/>
  <c r="X1445" i="2" s="1"/>
  <c r="S1446" i="2"/>
  <c r="U3377" i="2"/>
  <c r="T3377" i="2"/>
  <c r="T2271" i="2"/>
  <c r="U2271" i="2"/>
  <c r="U1446" i="2"/>
  <c r="T1446" i="2"/>
  <c r="W3377" i="2" l="1"/>
  <c r="X3377" i="2" s="1"/>
  <c r="S3378" i="2"/>
  <c r="W2271" i="2"/>
  <c r="X2271" i="2" s="1"/>
  <c r="S2272" i="2"/>
  <c r="W1446" i="2"/>
  <c r="X1446" i="2" s="1"/>
  <c r="S1447" i="2"/>
  <c r="T3378" i="2"/>
  <c r="U3378" i="2"/>
  <c r="U2272" i="2"/>
  <c r="T2272" i="2"/>
  <c r="T1447" i="2"/>
  <c r="U1447" i="2"/>
  <c r="W3378" i="2" l="1"/>
  <c r="X3378" i="2" s="1"/>
  <c r="S3379" i="2"/>
  <c r="W2272" i="2"/>
  <c r="X2272" i="2" s="1"/>
  <c r="S2273" i="2"/>
  <c r="W1447" i="2"/>
  <c r="X1447" i="2" s="1"/>
  <c r="S1448" i="2"/>
  <c r="T3379" i="2"/>
  <c r="U3379" i="2"/>
  <c r="U2273" i="2"/>
  <c r="T2273" i="2"/>
  <c r="U1448" i="2"/>
  <c r="T1448" i="2"/>
  <c r="W3379" i="2" l="1"/>
  <c r="X3379" i="2" s="1"/>
  <c r="S3380" i="2"/>
  <c r="W2273" i="2"/>
  <c r="X2273" i="2" s="1"/>
  <c r="S2274" i="2"/>
  <c r="W1448" i="2"/>
  <c r="X1448" i="2" s="1"/>
  <c r="S1449" i="2"/>
  <c r="U3380" i="2"/>
  <c r="T3380" i="2"/>
  <c r="U2274" i="2"/>
  <c r="T2274" i="2"/>
  <c r="T1449" i="2"/>
  <c r="U1449" i="2"/>
  <c r="W3380" i="2" l="1"/>
  <c r="X3380" i="2" s="1"/>
  <c r="S3381" i="2"/>
  <c r="W2274" i="2"/>
  <c r="X2274" i="2" s="1"/>
  <c r="S2275" i="2"/>
  <c r="W1449" i="2"/>
  <c r="X1449" i="2" s="1"/>
  <c r="S1450" i="2"/>
  <c r="U3381" i="2"/>
  <c r="T3381" i="2"/>
  <c r="T2275" i="2"/>
  <c r="U2275" i="2"/>
  <c r="T1450" i="2"/>
  <c r="U1450" i="2"/>
  <c r="W3381" i="2" l="1"/>
  <c r="X3381" i="2" s="1"/>
  <c r="S3382" i="2"/>
  <c r="W2275" i="2"/>
  <c r="X2275" i="2" s="1"/>
  <c r="S2276" i="2"/>
  <c r="W1450" i="2"/>
  <c r="X1450" i="2" s="1"/>
  <c r="S1451" i="2"/>
  <c r="T3382" i="2"/>
  <c r="U3382" i="2"/>
  <c r="U2276" i="2"/>
  <c r="T2276" i="2"/>
  <c r="T1451" i="2"/>
  <c r="U1451" i="2"/>
  <c r="W3382" i="2" l="1"/>
  <c r="X3382" i="2" s="1"/>
  <c r="S3383" i="2"/>
  <c r="W2276" i="2"/>
  <c r="X2276" i="2" s="1"/>
  <c r="S2277" i="2"/>
  <c r="W1451" i="2"/>
  <c r="X1451" i="2" s="1"/>
  <c r="S1452" i="2"/>
  <c r="T3383" i="2"/>
  <c r="U3383" i="2"/>
  <c r="U2277" i="2"/>
  <c r="T2277" i="2"/>
  <c r="U1452" i="2"/>
  <c r="T1452" i="2"/>
  <c r="W3383" i="2" l="1"/>
  <c r="X3383" i="2" s="1"/>
  <c r="S3384" i="2"/>
  <c r="W2277" i="2"/>
  <c r="X2277" i="2" s="1"/>
  <c r="S2278" i="2"/>
  <c r="W1452" i="2"/>
  <c r="X1452" i="2" s="1"/>
  <c r="S1453" i="2"/>
  <c r="U3384" i="2"/>
  <c r="T3384" i="2"/>
  <c r="U2278" i="2"/>
  <c r="T2278" i="2"/>
  <c r="U1453" i="2"/>
  <c r="T1453" i="2"/>
  <c r="W3384" i="2" l="1"/>
  <c r="X3384" i="2" s="1"/>
  <c r="S3385" i="2"/>
  <c r="W2278" i="2"/>
  <c r="X2278" i="2" s="1"/>
  <c r="S2279" i="2"/>
  <c r="W1453" i="2"/>
  <c r="X1453" i="2" s="1"/>
  <c r="S1454" i="2"/>
  <c r="U3385" i="2"/>
  <c r="T3385" i="2"/>
  <c r="T2279" i="2"/>
  <c r="U2279" i="2"/>
  <c r="U1454" i="2"/>
  <c r="T1454" i="2"/>
  <c r="W3385" i="2" l="1"/>
  <c r="X3385" i="2" s="1"/>
  <c r="S3386" i="2"/>
  <c r="W2279" i="2"/>
  <c r="X2279" i="2" s="1"/>
  <c r="S2280" i="2"/>
  <c r="W1454" i="2"/>
  <c r="X1454" i="2" s="1"/>
  <c r="S1455" i="2"/>
  <c r="T3386" i="2"/>
  <c r="U3386" i="2"/>
  <c r="U2280" i="2"/>
  <c r="T2280" i="2"/>
  <c r="T1455" i="2"/>
  <c r="U1455" i="2"/>
  <c r="W3386" i="2" l="1"/>
  <c r="X3386" i="2" s="1"/>
  <c r="S3387" i="2"/>
  <c r="W2280" i="2"/>
  <c r="X2280" i="2" s="1"/>
  <c r="S2281" i="2"/>
  <c r="W1455" i="2"/>
  <c r="X1455" i="2" s="1"/>
  <c r="S1456" i="2"/>
  <c r="T3387" i="2"/>
  <c r="U3387" i="2"/>
  <c r="U2281" i="2"/>
  <c r="T2281" i="2"/>
  <c r="U1456" i="2"/>
  <c r="T1456" i="2"/>
  <c r="W3387" i="2" l="1"/>
  <c r="X3387" i="2" s="1"/>
  <c r="S3388" i="2"/>
  <c r="W2281" i="2"/>
  <c r="X2281" i="2" s="1"/>
  <c r="S2282" i="2"/>
  <c r="W1456" i="2"/>
  <c r="X1456" i="2" s="1"/>
  <c r="S1457" i="2"/>
  <c r="U3388" i="2"/>
  <c r="T3388" i="2"/>
  <c r="U2282" i="2"/>
  <c r="T2282" i="2"/>
  <c r="T1457" i="2"/>
  <c r="U1457" i="2"/>
  <c r="W3388" i="2" l="1"/>
  <c r="X3388" i="2" s="1"/>
  <c r="S3389" i="2"/>
  <c r="W2282" i="2"/>
  <c r="X2282" i="2" s="1"/>
  <c r="S2283" i="2"/>
  <c r="W1457" i="2"/>
  <c r="X1457" i="2" s="1"/>
  <c r="S1458" i="2"/>
  <c r="U3389" i="2"/>
  <c r="T3389" i="2"/>
  <c r="T2283" i="2"/>
  <c r="U2283" i="2"/>
  <c r="U1458" i="2"/>
  <c r="T1458" i="2"/>
  <c r="W3389" i="2" l="1"/>
  <c r="X3389" i="2" s="1"/>
  <c r="S3390" i="2"/>
  <c r="W2283" i="2"/>
  <c r="X2283" i="2" s="1"/>
  <c r="S2284" i="2"/>
  <c r="W1458" i="2"/>
  <c r="X1458" i="2" s="1"/>
  <c r="S1459" i="2"/>
  <c r="T3390" i="2"/>
  <c r="U3390" i="2"/>
  <c r="U2284" i="2"/>
  <c r="T2284" i="2"/>
  <c r="T1459" i="2"/>
  <c r="U1459" i="2"/>
  <c r="W3390" i="2" l="1"/>
  <c r="X3390" i="2" s="1"/>
  <c r="S3391" i="2"/>
  <c r="W2284" i="2"/>
  <c r="X2284" i="2" s="1"/>
  <c r="S2285" i="2"/>
  <c r="W1459" i="2"/>
  <c r="X1459" i="2" s="1"/>
  <c r="S1460" i="2"/>
  <c r="T3391" i="2"/>
  <c r="U3391" i="2"/>
  <c r="U2285" i="2"/>
  <c r="T2285" i="2"/>
  <c r="U1460" i="2"/>
  <c r="T1460" i="2"/>
  <c r="W3391" i="2" l="1"/>
  <c r="X3391" i="2" s="1"/>
  <c r="S3392" i="2"/>
  <c r="W2285" i="2"/>
  <c r="X2285" i="2" s="1"/>
  <c r="S2286" i="2"/>
  <c r="W1460" i="2"/>
  <c r="X1460" i="2" s="1"/>
  <c r="S1461" i="2"/>
  <c r="U3392" i="2"/>
  <c r="T3392" i="2"/>
  <c r="U2286" i="2"/>
  <c r="T2286" i="2"/>
  <c r="U1461" i="2"/>
  <c r="T1461" i="2"/>
  <c r="W3392" i="2" l="1"/>
  <c r="X3392" i="2" s="1"/>
  <c r="S3393" i="2"/>
  <c r="W2286" i="2"/>
  <c r="X2286" i="2" s="1"/>
  <c r="S2287" i="2"/>
  <c r="W1461" i="2"/>
  <c r="X1461" i="2" s="1"/>
  <c r="S1462" i="2"/>
  <c r="U3393" i="2"/>
  <c r="T3393" i="2"/>
  <c r="T2287" i="2"/>
  <c r="U2287" i="2"/>
  <c r="T1462" i="2"/>
  <c r="U1462" i="2"/>
  <c r="W3393" i="2" l="1"/>
  <c r="X3393" i="2" s="1"/>
  <c r="S3394" i="2"/>
  <c r="W2287" i="2"/>
  <c r="X2287" i="2" s="1"/>
  <c r="S2288" i="2"/>
  <c r="W1462" i="2"/>
  <c r="X1462" i="2" s="1"/>
  <c r="S1463" i="2"/>
  <c r="U3394" i="2"/>
  <c r="T3394" i="2"/>
  <c r="U2288" i="2"/>
  <c r="T2288" i="2"/>
  <c r="T1463" i="2"/>
  <c r="U1463" i="2"/>
  <c r="W3394" i="2" l="1"/>
  <c r="X3394" i="2" s="1"/>
  <c r="S3395" i="2"/>
  <c r="W2288" i="2"/>
  <c r="X2288" i="2" s="1"/>
  <c r="S2289" i="2"/>
  <c r="W1463" i="2"/>
  <c r="X1463" i="2" s="1"/>
  <c r="S1464" i="2"/>
  <c r="T3395" i="2"/>
  <c r="U3395" i="2"/>
  <c r="U2289" i="2"/>
  <c r="T2289" i="2"/>
  <c r="U1464" i="2"/>
  <c r="T1464" i="2"/>
  <c r="W3395" i="2" l="1"/>
  <c r="X3395" i="2" s="1"/>
  <c r="S3396" i="2"/>
  <c r="W2289" i="2"/>
  <c r="X2289" i="2" s="1"/>
  <c r="S2290" i="2"/>
  <c r="W1464" i="2"/>
  <c r="X1464" i="2" s="1"/>
  <c r="S1465" i="2"/>
  <c r="U3396" i="2"/>
  <c r="T3396" i="2"/>
  <c r="U2290" i="2"/>
  <c r="T2290" i="2"/>
  <c r="U1465" i="2"/>
  <c r="T1465" i="2"/>
  <c r="W3396" i="2" l="1"/>
  <c r="X3396" i="2" s="1"/>
  <c r="S3397" i="2"/>
  <c r="W2290" i="2"/>
  <c r="X2290" i="2" s="1"/>
  <c r="S2291" i="2"/>
  <c r="W1465" i="2"/>
  <c r="X1465" i="2" s="1"/>
  <c r="S1466" i="2"/>
  <c r="U3397" i="2"/>
  <c r="T3397" i="2"/>
  <c r="T2291" i="2"/>
  <c r="U2291" i="2"/>
  <c r="U1466" i="2"/>
  <c r="T1466" i="2"/>
  <c r="W3397" i="2" l="1"/>
  <c r="X3397" i="2" s="1"/>
  <c r="S3398" i="2"/>
  <c r="W2291" i="2"/>
  <c r="X2291" i="2" s="1"/>
  <c r="S2292" i="2"/>
  <c r="W1466" i="2"/>
  <c r="X1466" i="2" s="1"/>
  <c r="S1467" i="2"/>
  <c r="U3398" i="2"/>
  <c r="T3398" i="2"/>
  <c r="U2292" i="2"/>
  <c r="T2292" i="2"/>
  <c r="T1467" i="2"/>
  <c r="U1467" i="2"/>
  <c r="W3398" i="2" l="1"/>
  <c r="X3398" i="2" s="1"/>
  <c r="S3399" i="2"/>
  <c r="W2292" i="2"/>
  <c r="X2292" i="2" s="1"/>
  <c r="S2293" i="2"/>
  <c r="W1467" i="2"/>
  <c r="X1467" i="2" s="1"/>
  <c r="S1468" i="2"/>
  <c r="T3399" i="2"/>
  <c r="U3399" i="2"/>
  <c r="U2293" i="2"/>
  <c r="T2293" i="2"/>
  <c r="U1468" i="2"/>
  <c r="T1468" i="2"/>
  <c r="W3399" i="2" l="1"/>
  <c r="X3399" i="2" s="1"/>
  <c r="S3400" i="2"/>
  <c r="W2293" i="2"/>
  <c r="X2293" i="2" s="1"/>
  <c r="S2294" i="2"/>
  <c r="W1468" i="2"/>
  <c r="X1468" i="2" s="1"/>
  <c r="S1469" i="2"/>
  <c r="U3400" i="2"/>
  <c r="T3400" i="2"/>
  <c r="U2294" i="2"/>
  <c r="T2294" i="2"/>
  <c r="T1469" i="2"/>
  <c r="U1469" i="2"/>
  <c r="W3400" i="2" l="1"/>
  <c r="X3400" i="2" s="1"/>
  <c r="S3401" i="2"/>
  <c r="W2294" i="2"/>
  <c r="X2294" i="2" s="1"/>
  <c r="S2295" i="2"/>
  <c r="W1469" i="2"/>
  <c r="X1469" i="2" s="1"/>
  <c r="S1470" i="2"/>
  <c r="U3401" i="2"/>
  <c r="T3401" i="2"/>
  <c r="T2295" i="2"/>
  <c r="U2295" i="2"/>
  <c r="T1470" i="2"/>
  <c r="U1470" i="2"/>
  <c r="W3401" i="2" l="1"/>
  <c r="X3401" i="2" s="1"/>
  <c r="S3402" i="2"/>
  <c r="W2295" i="2"/>
  <c r="X2295" i="2" s="1"/>
  <c r="S2296" i="2"/>
  <c r="W1470" i="2"/>
  <c r="X1470" i="2" s="1"/>
  <c r="S1471" i="2"/>
  <c r="T3402" i="2"/>
  <c r="U3402" i="2"/>
  <c r="U2296" i="2"/>
  <c r="T2296" i="2"/>
  <c r="T1471" i="2"/>
  <c r="U1471" i="2"/>
  <c r="W3402" i="2" l="1"/>
  <c r="X3402" i="2" s="1"/>
  <c r="S3403" i="2"/>
  <c r="W2296" i="2"/>
  <c r="X2296" i="2" s="1"/>
  <c r="S2297" i="2"/>
  <c r="W1471" i="2"/>
  <c r="X1471" i="2" s="1"/>
  <c r="S1472" i="2"/>
  <c r="T3403" i="2"/>
  <c r="U3403" i="2"/>
  <c r="U2297" i="2"/>
  <c r="T2297" i="2"/>
  <c r="U1472" i="2"/>
  <c r="T1472" i="2"/>
  <c r="W3403" i="2" l="1"/>
  <c r="X3403" i="2" s="1"/>
  <c r="S3404" i="2"/>
  <c r="W2297" i="2"/>
  <c r="X2297" i="2" s="1"/>
  <c r="S2298" i="2"/>
  <c r="W1472" i="2"/>
  <c r="X1472" i="2" s="1"/>
  <c r="S1473" i="2"/>
  <c r="U3404" i="2"/>
  <c r="T3404" i="2"/>
  <c r="U2298" i="2"/>
  <c r="T2298" i="2"/>
  <c r="U1473" i="2"/>
  <c r="T1473" i="2"/>
  <c r="W3404" i="2" l="1"/>
  <c r="X3404" i="2" s="1"/>
  <c r="S3405" i="2"/>
  <c r="W2298" i="2"/>
  <c r="X2298" i="2" s="1"/>
  <c r="S2299" i="2"/>
  <c r="W1473" i="2"/>
  <c r="X1473" i="2" s="1"/>
  <c r="S1474" i="2"/>
  <c r="U3405" i="2"/>
  <c r="T3405" i="2"/>
  <c r="T2299" i="2"/>
  <c r="U2299" i="2"/>
  <c r="U1474" i="2"/>
  <c r="T1474" i="2"/>
  <c r="W3405" i="2" l="1"/>
  <c r="X3405" i="2" s="1"/>
  <c r="S3406" i="2"/>
  <c r="W2299" i="2"/>
  <c r="X2299" i="2" s="1"/>
  <c r="S2300" i="2"/>
  <c r="W1474" i="2"/>
  <c r="X1474" i="2" s="1"/>
  <c r="S1475" i="2"/>
  <c r="T3406" i="2"/>
  <c r="U3406" i="2"/>
  <c r="U2300" i="2"/>
  <c r="T2300" i="2"/>
  <c r="T1475" i="2"/>
  <c r="U1475" i="2"/>
  <c r="W3406" i="2" l="1"/>
  <c r="X3406" i="2" s="1"/>
  <c r="S3407" i="2"/>
  <c r="W2300" i="2"/>
  <c r="X2300" i="2" s="1"/>
  <c r="S2301" i="2"/>
  <c r="W1475" i="2"/>
  <c r="X1475" i="2" s="1"/>
  <c r="S1476" i="2"/>
  <c r="T3407" i="2"/>
  <c r="U3407" i="2"/>
  <c r="U2301" i="2"/>
  <c r="T2301" i="2"/>
  <c r="U1476" i="2"/>
  <c r="T1476" i="2"/>
  <c r="W3407" i="2" l="1"/>
  <c r="X3407" i="2" s="1"/>
  <c r="S3408" i="2"/>
  <c r="W2301" i="2"/>
  <c r="X2301" i="2" s="1"/>
  <c r="S2302" i="2"/>
  <c r="W1476" i="2"/>
  <c r="X1476" i="2" s="1"/>
  <c r="S1477" i="2"/>
  <c r="U3408" i="2"/>
  <c r="T3408" i="2"/>
  <c r="U2302" i="2"/>
  <c r="T2302" i="2"/>
  <c r="U1477" i="2"/>
  <c r="T1477" i="2"/>
  <c r="W3408" i="2" l="1"/>
  <c r="X3408" i="2" s="1"/>
  <c r="S3409" i="2"/>
  <c r="W2302" i="2"/>
  <c r="X2302" i="2" s="1"/>
  <c r="S2303" i="2"/>
  <c r="W1477" i="2"/>
  <c r="X1477" i="2" s="1"/>
  <c r="S1478" i="2"/>
  <c r="U3409" i="2"/>
  <c r="T3409" i="2"/>
  <c r="T2303" i="2"/>
  <c r="U2303" i="2"/>
  <c r="U1478" i="2"/>
  <c r="T1478" i="2"/>
  <c r="W3409" i="2" l="1"/>
  <c r="X3409" i="2" s="1"/>
  <c r="S3410" i="2"/>
  <c r="W2303" i="2"/>
  <c r="X2303" i="2" s="1"/>
  <c r="S2304" i="2"/>
  <c r="W1478" i="2"/>
  <c r="X1478" i="2" s="1"/>
  <c r="S1479" i="2"/>
  <c r="U3410" i="2"/>
  <c r="T3410" i="2"/>
  <c r="U2304" i="2"/>
  <c r="T2304" i="2"/>
  <c r="T1479" i="2"/>
  <c r="U1479" i="2"/>
  <c r="W3410" i="2" l="1"/>
  <c r="X3410" i="2" s="1"/>
  <c r="S3411" i="2"/>
  <c r="W2304" i="2"/>
  <c r="X2304" i="2" s="1"/>
  <c r="S2305" i="2"/>
  <c r="W1479" i="2"/>
  <c r="X1479" i="2" s="1"/>
  <c r="S1480" i="2"/>
  <c r="T3411" i="2"/>
  <c r="U3411" i="2"/>
  <c r="U2305" i="2"/>
  <c r="T2305" i="2"/>
  <c r="U1480" i="2"/>
  <c r="T1480" i="2"/>
  <c r="W3411" i="2" l="1"/>
  <c r="X3411" i="2" s="1"/>
  <c r="S3412" i="2"/>
  <c r="W2305" i="2"/>
  <c r="X2305" i="2" s="1"/>
  <c r="S2306" i="2"/>
  <c r="W1480" i="2"/>
  <c r="X1480" i="2" s="1"/>
  <c r="S1481" i="2"/>
  <c r="U3412" i="2"/>
  <c r="T3412" i="2"/>
  <c r="U2306" i="2"/>
  <c r="T2306" i="2"/>
  <c r="T1481" i="2"/>
  <c r="U1481" i="2"/>
  <c r="W3412" i="2" l="1"/>
  <c r="X3412" i="2" s="1"/>
  <c r="S3413" i="2"/>
  <c r="W2306" i="2"/>
  <c r="X2306" i="2" s="1"/>
  <c r="S2307" i="2"/>
  <c r="W1481" i="2"/>
  <c r="X1481" i="2" s="1"/>
  <c r="S1482" i="2"/>
  <c r="U3413" i="2"/>
  <c r="T3413" i="2"/>
  <c r="T2307" i="2"/>
  <c r="U2307" i="2"/>
  <c r="T1482" i="2"/>
  <c r="U1482" i="2"/>
  <c r="W3413" i="2" l="1"/>
  <c r="X3413" i="2" s="1"/>
  <c r="S3414" i="2"/>
  <c r="W2307" i="2"/>
  <c r="X2307" i="2" s="1"/>
  <c r="S2308" i="2"/>
  <c r="W1482" i="2"/>
  <c r="X1482" i="2" s="1"/>
  <c r="S1483" i="2"/>
  <c r="U3414" i="2"/>
  <c r="T3414" i="2"/>
  <c r="U2308" i="2"/>
  <c r="T2308" i="2"/>
  <c r="T1483" i="2"/>
  <c r="U1483" i="2"/>
  <c r="W3414" i="2" l="1"/>
  <c r="X3414" i="2" s="1"/>
  <c r="S3415" i="2"/>
  <c r="W2308" i="2"/>
  <c r="X2308" i="2" s="1"/>
  <c r="S2309" i="2"/>
  <c r="W1483" i="2"/>
  <c r="X1483" i="2" s="1"/>
  <c r="S1484" i="2"/>
  <c r="T3415" i="2"/>
  <c r="U3415" i="2"/>
  <c r="U2309" i="2"/>
  <c r="T2309" i="2"/>
  <c r="U1484" i="2"/>
  <c r="T1484" i="2"/>
  <c r="W3415" i="2" l="1"/>
  <c r="X3415" i="2" s="1"/>
  <c r="S3416" i="2"/>
  <c r="W2309" i="2"/>
  <c r="X2309" i="2" s="1"/>
  <c r="S2310" i="2"/>
  <c r="W1484" i="2"/>
  <c r="X1484" i="2" s="1"/>
  <c r="S1485" i="2"/>
  <c r="U3416" i="2"/>
  <c r="T3416" i="2"/>
  <c r="U2310" i="2"/>
  <c r="T2310" i="2"/>
  <c r="U1485" i="2"/>
  <c r="T1485" i="2"/>
  <c r="W3416" i="2" l="1"/>
  <c r="X3416" i="2" s="1"/>
  <c r="S3417" i="2"/>
  <c r="W2310" i="2"/>
  <c r="X2310" i="2" s="1"/>
  <c r="S2311" i="2"/>
  <c r="W1485" i="2"/>
  <c r="X1485" i="2" s="1"/>
  <c r="S1486" i="2"/>
  <c r="U3417" i="2"/>
  <c r="T3417" i="2"/>
  <c r="T2311" i="2"/>
  <c r="U2311" i="2"/>
  <c r="U1486" i="2"/>
  <c r="T1486" i="2"/>
  <c r="W3417" i="2" l="1"/>
  <c r="X3417" i="2" s="1"/>
  <c r="S3418" i="2"/>
  <c r="W2311" i="2"/>
  <c r="X2311" i="2" s="1"/>
  <c r="S2312" i="2"/>
  <c r="W1486" i="2"/>
  <c r="X1486" i="2" s="1"/>
  <c r="S1487" i="2"/>
  <c r="U3418" i="2"/>
  <c r="T3418" i="2"/>
  <c r="U2312" i="2"/>
  <c r="T2312" i="2"/>
  <c r="T1487" i="2"/>
  <c r="U1487" i="2"/>
  <c r="W3418" i="2" l="1"/>
  <c r="X3418" i="2" s="1"/>
  <c r="S3419" i="2"/>
  <c r="W2312" i="2"/>
  <c r="X2312" i="2" s="1"/>
  <c r="S2313" i="2"/>
  <c r="W1487" i="2"/>
  <c r="X1487" i="2" s="1"/>
  <c r="S1488" i="2"/>
  <c r="U3419" i="2"/>
  <c r="T3419" i="2"/>
  <c r="U2313" i="2"/>
  <c r="T2313" i="2"/>
  <c r="U1488" i="2"/>
  <c r="T1488" i="2"/>
  <c r="W3419" i="2" l="1"/>
  <c r="X3419" i="2" s="1"/>
  <c r="S3420" i="2"/>
  <c r="W2313" i="2"/>
  <c r="X2313" i="2" s="1"/>
  <c r="S2314" i="2"/>
  <c r="W1488" i="2"/>
  <c r="X1488" i="2" s="1"/>
  <c r="S1489" i="2"/>
  <c r="T3420" i="2"/>
  <c r="U3420" i="2"/>
  <c r="U2314" i="2"/>
  <c r="T2314" i="2"/>
  <c r="T1489" i="2"/>
  <c r="U1489" i="2"/>
  <c r="W3420" i="2" l="1"/>
  <c r="X3420" i="2" s="1"/>
  <c r="S3421" i="2"/>
  <c r="W2314" i="2"/>
  <c r="X2314" i="2" s="1"/>
  <c r="S2315" i="2"/>
  <c r="W1489" i="2"/>
  <c r="X1489" i="2" s="1"/>
  <c r="S1490" i="2"/>
  <c r="U3421" i="2"/>
  <c r="T3421" i="2"/>
  <c r="T2315" i="2"/>
  <c r="U2315" i="2"/>
  <c r="U1490" i="2"/>
  <c r="T1490" i="2"/>
  <c r="W3421" i="2" l="1"/>
  <c r="X3421" i="2" s="1"/>
  <c r="S3422" i="2"/>
  <c r="W2315" i="2"/>
  <c r="X2315" i="2" s="1"/>
  <c r="S2316" i="2"/>
  <c r="W1490" i="2"/>
  <c r="X1490" i="2" s="1"/>
  <c r="S1491" i="2"/>
  <c r="U3422" i="2"/>
  <c r="T3422" i="2"/>
  <c r="U2316" i="2"/>
  <c r="T2316" i="2"/>
  <c r="T1491" i="2"/>
  <c r="U1491" i="2"/>
  <c r="W3422" i="2" l="1"/>
  <c r="X3422" i="2" s="1"/>
  <c r="S3423" i="2"/>
  <c r="W2316" i="2"/>
  <c r="X2316" i="2" s="1"/>
  <c r="S2317" i="2"/>
  <c r="W1491" i="2"/>
  <c r="X1491" i="2" s="1"/>
  <c r="S1492" i="2"/>
  <c r="U3423" i="2"/>
  <c r="T3423" i="2"/>
  <c r="U2317" i="2"/>
  <c r="T2317" i="2"/>
  <c r="U1492" i="2"/>
  <c r="T1492" i="2"/>
  <c r="W3423" i="2" l="1"/>
  <c r="X3423" i="2" s="1"/>
  <c r="S3424" i="2"/>
  <c r="W2317" i="2"/>
  <c r="X2317" i="2" s="1"/>
  <c r="S2318" i="2"/>
  <c r="W1492" i="2"/>
  <c r="X1492" i="2" s="1"/>
  <c r="S1493" i="2"/>
  <c r="T3424" i="2"/>
  <c r="U3424" i="2"/>
  <c r="U2318" i="2"/>
  <c r="T2318" i="2"/>
  <c r="U1493" i="2"/>
  <c r="T1493" i="2"/>
  <c r="W3424" i="2" l="1"/>
  <c r="X3424" i="2" s="1"/>
  <c r="S3425" i="2"/>
  <c r="W2318" i="2"/>
  <c r="X2318" i="2" s="1"/>
  <c r="S2319" i="2"/>
  <c r="W1493" i="2"/>
  <c r="X1493" i="2" s="1"/>
  <c r="S1494" i="2"/>
  <c r="T3425" i="2"/>
  <c r="U3425" i="2"/>
  <c r="T2319" i="2"/>
  <c r="U2319" i="2"/>
  <c r="U1494" i="2"/>
  <c r="T1494" i="2"/>
  <c r="W3425" i="2" l="1"/>
  <c r="X3425" i="2" s="1"/>
  <c r="S3426" i="2"/>
  <c r="W2319" i="2"/>
  <c r="X2319" i="2" s="1"/>
  <c r="S2320" i="2"/>
  <c r="W1494" i="2"/>
  <c r="X1494" i="2" s="1"/>
  <c r="S1495" i="2"/>
  <c r="U3426" i="2"/>
  <c r="T3426" i="2"/>
  <c r="U2320" i="2"/>
  <c r="T2320" i="2"/>
  <c r="U1495" i="2"/>
  <c r="T1495" i="2"/>
  <c r="W3426" i="2" l="1"/>
  <c r="X3426" i="2" s="1"/>
  <c r="S3427" i="2"/>
  <c r="W2320" i="2"/>
  <c r="X2320" i="2" s="1"/>
  <c r="S2321" i="2"/>
  <c r="W1495" i="2"/>
  <c r="X1495" i="2" s="1"/>
  <c r="S1496" i="2"/>
  <c r="U3427" i="2"/>
  <c r="T3427" i="2"/>
  <c r="U2321" i="2"/>
  <c r="T2321" i="2"/>
  <c r="U1496" i="2"/>
  <c r="T1496" i="2"/>
  <c r="W3427" i="2" l="1"/>
  <c r="X3427" i="2" s="1"/>
  <c r="S3428" i="2"/>
  <c r="W2321" i="2"/>
  <c r="X2321" i="2" s="1"/>
  <c r="S2322" i="2"/>
  <c r="W1496" i="2"/>
  <c r="X1496" i="2" s="1"/>
  <c r="S1497" i="2"/>
  <c r="T3428" i="2"/>
  <c r="U3428" i="2"/>
  <c r="U2322" i="2"/>
  <c r="T2322" i="2"/>
  <c r="U1497" i="2"/>
  <c r="T1497" i="2"/>
  <c r="W3428" i="2" l="1"/>
  <c r="X3428" i="2" s="1"/>
  <c r="S3429" i="2"/>
  <c r="W2322" i="2"/>
  <c r="X2322" i="2" s="1"/>
  <c r="S2323" i="2"/>
  <c r="W1497" i="2"/>
  <c r="X1497" i="2" s="1"/>
  <c r="S1498" i="2"/>
  <c r="T3429" i="2"/>
  <c r="U3429" i="2"/>
  <c r="T2323" i="2"/>
  <c r="U2323" i="2"/>
  <c r="T1498" i="2"/>
  <c r="U1498" i="2"/>
  <c r="W3429" i="2" l="1"/>
  <c r="X3429" i="2" s="1"/>
  <c r="S3430" i="2"/>
  <c r="W2323" i="2"/>
  <c r="X2323" i="2" s="1"/>
  <c r="S2324" i="2"/>
  <c r="W1498" i="2"/>
  <c r="X1498" i="2" s="1"/>
  <c r="S1499" i="2"/>
  <c r="U3430" i="2"/>
  <c r="T3430" i="2"/>
  <c r="U2324" i="2"/>
  <c r="T2324" i="2"/>
  <c r="T1499" i="2"/>
  <c r="U1499" i="2"/>
  <c r="W3430" i="2" l="1"/>
  <c r="X3430" i="2" s="1"/>
  <c r="S3431" i="2"/>
  <c r="W2324" i="2"/>
  <c r="X2324" i="2" s="1"/>
  <c r="S2325" i="2"/>
  <c r="W1499" i="2"/>
  <c r="X1499" i="2" s="1"/>
  <c r="S1500" i="2"/>
  <c r="U3431" i="2"/>
  <c r="T3431" i="2"/>
  <c r="U2325" i="2"/>
  <c r="T2325" i="2"/>
  <c r="T1500" i="2"/>
  <c r="U1500" i="2"/>
  <c r="W3431" i="2" l="1"/>
  <c r="X3431" i="2" s="1"/>
  <c r="S3432" i="2"/>
  <c r="W2325" i="2"/>
  <c r="X2325" i="2" s="1"/>
  <c r="S2326" i="2"/>
  <c r="W1500" i="2"/>
  <c r="X1500" i="2" s="1"/>
  <c r="S1501" i="2"/>
  <c r="T3432" i="2"/>
  <c r="U3432" i="2"/>
  <c r="U2326" i="2"/>
  <c r="T2326" i="2"/>
  <c r="T1501" i="2"/>
  <c r="U1501" i="2"/>
  <c r="W3432" i="2" l="1"/>
  <c r="X3432" i="2" s="1"/>
  <c r="S3433" i="2"/>
  <c r="W2326" i="2"/>
  <c r="X2326" i="2" s="1"/>
  <c r="S2327" i="2"/>
  <c r="W1501" i="2"/>
  <c r="X1501" i="2" s="1"/>
  <c r="S1502" i="2"/>
  <c r="T3433" i="2"/>
  <c r="U3433" i="2"/>
  <c r="T2327" i="2"/>
  <c r="U2327" i="2"/>
  <c r="T1502" i="2"/>
  <c r="U1502" i="2"/>
  <c r="W3433" i="2" l="1"/>
  <c r="X3433" i="2" s="1"/>
  <c r="S3434" i="2"/>
  <c r="W2327" i="2"/>
  <c r="X2327" i="2" s="1"/>
  <c r="S2328" i="2"/>
  <c r="W1502" i="2"/>
  <c r="X1502" i="2" s="1"/>
  <c r="S1503" i="2"/>
  <c r="U3434" i="2"/>
  <c r="T3434" i="2"/>
  <c r="U2328" i="2"/>
  <c r="T2328" i="2"/>
  <c r="U1503" i="2"/>
  <c r="T1503" i="2"/>
  <c r="W3434" i="2" l="1"/>
  <c r="X3434" i="2" s="1"/>
  <c r="S3435" i="2"/>
  <c r="W2328" i="2"/>
  <c r="X2328" i="2" s="1"/>
  <c r="S2329" i="2"/>
  <c r="W1503" i="2"/>
  <c r="X1503" i="2" s="1"/>
  <c r="S1504" i="2"/>
  <c r="U3435" i="2"/>
  <c r="T3435" i="2"/>
  <c r="U2329" i="2"/>
  <c r="T2329" i="2"/>
  <c r="T1504" i="2"/>
  <c r="U1504" i="2"/>
  <c r="W3435" i="2" l="1"/>
  <c r="X3435" i="2" s="1"/>
  <c r="S3436" i="2"/>
  <c r="W2329" i="2"/>
  <c r="X2329" i="2" s="1"/>
  <c r="S2330" i="2"/>
  <c r="W1504" i="2"/>
  <c r="X1504" i="2" s="1"/>
  <c r="S1505" i="2"/>
  <c r="T3436" i="2"/>
  <c r="U3436" i="2"/>
  <c r="U2330" i="2"/>
  <c r="T2330" i="2"/>
  <c r="U1505" i="2"/>
  <c r="T1505" i="2"/>
  <c r="W3436" i="2" l="1"/>
  <c r="X3436" i="2" s="1"/>
  <c r="S3437" i="2"/>
  <c r="W2330" i="2"/>
  <c r="X2330" i="2" s="1"/>
  <c r="S2331" i="2"/>
  <c r="W1505" i="2"/>
  <c r="X1505" i="2" s="1"/>
  <c r="S1506" i="2"/>
  <c r="T3437" i="2"/>
  <c r="U3437" i="2"/>
  <c r="T2331" i="2"/>
  <c r="U2331" i="2"/>
  <c r="U1506" i="2"/>
  <c r="T1506" i="2"/>
  <c r="W3437" i="2" l="1"/>
  <c r="X3437" i="2" s="1"/>
  <c r="S3438" i="2"/>
  <c r="W2331" i="2"/>
  <c r="X2331" i="2" s="1"/>
  <c r="S2332" i="2"/>
  <c r="W1506" i="2"/>
  <c r="X1506" i="2" s="1"/>
  <c r="S1507" i="2"/>
  <c r="U3438" i="2"/>
  <c r="T3438" i="2"/>
  <c r="U2332" i="2"/>
  <c r="T2332" i="2"/>
  <c r="U1507" i="2"/>
  <c r="T1507" i="2"/>
  <c r="W3438" i="2" l="1"/>
  <c r="X3438" i="2" s="1"/>
  <c r="S3439" i="2"/>
  <c r="W2332" i="2"/>
  <c r="X2332" i="2" s="1"/>
  <c r="S2333" i="2"/>
  <c r="W1507" i="2"/>
  <c r="X1507" i="2" s="1"/>
  <c r="S1508" i="2"/>
  <c r="U3439" i="2"/>
  <c r="T3439" i="2"/>
  <c r="U2333" i="2"/>
  <c r="T2333" i="2"/>
  <c r="T1508" i="2"/>
  <c r="U1508" i="2"/>
  <c r="W3439" i="2" l="1"/>
  <c r="X3439" i="2" s="1"/>
  <c r="S3440" i="2"/>
  <c r="W2333" i="2"/>
  <c r="X2333" i="2" s="1"/>
  <c r="S2334" i="2"/>
  <c r="W1508" i="2"/>
  <c r="X1508" i="2" s="1"/>
  <c r="S1509" i="2"/>
  <c r="T3440" i="2"/>
  <c r="U3440" i="2"/>
  <c r="U2334" i="2"/>
  <c r="T2334" i="2"/>
  <c r="U1509" i="2"/>
  <c r="T1509" i="2"/>
  <c r="W3440" i="2" l="1"/>
  <c r="X3440" i="2" s="1"/>
  <c r="S3441" i="2"/>
  <c r="W2334" i="2"/>
  <c r="X2334" i="2" s="1"/>
  <c r="S2335" i="2"/>
  <c r="W1509" i="2"/>
  <c r="X1509" i="2" s="1"/>
  <c r="S1510" i="2"/>
  <c r="U3441" i="2"/>
  <c r="T3441" i="2"/>
  <c r="T2335" i="2"/>
  <c r="U2335" i="2"/>
  <c r="U1510" i="2"/>
  <c r="T1510" i="2"/>
  <c r="W3441" i="2" l="1"/>
  <c r="X3441" i="2" s="1"/>
  <c r="S3442" i="2"/>
  <c r="W2335" i="2"/>
  <c r="X2335" i="2" s="1"/>
  <c r="S2336" i="2"/>
  <c r="W1510" i="2"/>
  <c r="X1510" i="2" s="1"/>
  <c r="S1511" i="2"/>
  <c r="U3442" i="2"/>
  <c r="T3442" i="2"/>
  <c r="U2336" i="2"/>
  <c r="T2336" i="2"/>
  <c r="U1511" i="2"/>
  <c r="T1511" i="2"/>
  <c r="W3442" i="2" l="1"/>
  <c r="X3442" i="2" s="1"/>
  <c r="S3443" i="2"/>
  <c r="W2336" i="2"/>
  <c r="X2336" i="2" s="1"/>
  <c r="S2337" i="2"/>
  <c r="W1511" i="2"/>
  <c r="X1511" i="2" s="1"/>
  <c r="S1512" i="2"/>
  <c r="U3443" i="2"/>
  <c r="T3443" i="2"/>
  <c r="U2337" i="2"/>
  <c r="T2337" i="2"/>
  <c r="T1512" i="2"/>
  <c r="U1512" i="2"/>
  <c r="W3443" i="2" l="1"/>
  <c r="X3443" i="2" s="1"/>
  <c r="S3444" i="2"/>
  <c r="W2337" i="2"/>
  <c r="X2337" i="2" s="1"/>
  <c r="S2338" i="2"/>
  <c r="W1512" i="2"/>
  <c r="X1512" i="2" s="1"/>
  <c r="S1513" i="2"/>
  <c r="T3444" i="2"/>
  <c r="U3444" i="2"/>
  <c r="U2338" i="2"/>
  <c r="T2338" i="2"/>
  <c r="U1513" i="2"/>
  <c r="T1513" i="2"/>
  <c r="W3444" i="2" l="1"/>
  <c r="X3444" i="2" s="1"/>
  <c r="S3445" i="2"/>
  <c r="W2338" i="2"/>
  <c r="X2338" i="2" s="1"/>
  <c r="S2339" i="2"/>
  <c r="W1513" i="2"/>
  <c r="X1513" i="2" s="1"/>
  <c r="S1514" i="2"/>
  <c r="T3445" i="2"/>
  <c r="U3445" i="2"/>
  <c r="T2339" i="2"/>
  <c r="U2339" i="2"/>
  <c r="U1514" i="2"/>
  <c r="T1514" i="2"/>
  <c r="W3445" i="2" l="1"/>
  <c r="X3445" i="2" s="1"/>
  <c r="S3446" i="2"/>
  <c r="W2339" i="2"/>
  <c r="X2339" i="2" s="1"/>
  <c r="S2340" i="2"/>
  <c r="W1514" i="2"/>
  <c r="X1514" i="2" s="1"/>
  <c r="S1515" i="2"/>
  <c r="U3446" i="2"/>
  <c r="T3446" i="2"/>
  <c r="U2340" i="2"/>
  <c r="T2340" i="2"/>
  <c r="U1515" i="2"/>
  <c r="T1515" i="2"/>
  <c r="W3446" i="2" l="1"/>
  <c r="X3446" i="2" s="1"/>
  <c r="S3447" i="2"/>
  <c r="W2340" i="2"/>
  <c r="X2340" i="2" s="1"/>
  <c r="S2341" i="2"/>
  <c r="W1515" i="2"/>
  <c r="X1515" i="2" s="1"/>
  <c r="S1516" i="2"/>
  <c r="U3447" i="2"/>
  <c r="T3447" i="2"/>
  <c r="U2341" i="2"/>
  <c r="T2341" i="2"/>
  <c r="T1516" i="2"/>
  <c r="U1516" i="2"/>
  <c r="W3447" i="2" l="1"/>
  <c r="X3447" i="2" s="1"/>
  <c r="S3448" i="2"/>
  <c r="W2341" i="2"/>
  <c r="X2341" i="2" s="1"/>
  <c r="S2342" i="2"/>
  <c r="W1516" i="2"/>
  <c r="X1516" i="2" s="1"/>
  <c r="S1517" i="2"/>
  <c r="T3448" i="2"/>
  <c r="U3448" i="2"/>
  <c r="U2342" i="2"/>
  <c r="T2342" i="2"/>
  <c r="U1517" i="2"/>
  <c r="T1517" i="2"/>
  <c r="W3448" i="2" l="1"/>
  <c r="X3448" i="2" s="1"/>
  <c r="S3449" i="2"/>
  <c r="W2342" i="2"/>
  <c r="X2342" i="2" s="1"/>
  <c r="S2343" i="2"/>
  <c r="W1517" i="2"/>
  <c r="X1517" i="2" s="1"/>
  <c r="S1518" i="2"/>
  <c r="T3449" i="2"/>
  <c r="U3449" i="2"/>
  <c r="T2343" i="2"/>
  <c r="U2343" i="2"/>
  <c r="T1518" i="2"/>
  <c r="U1518" i="2"/>
  <c r="W3449" i="2" l="1"/>
  <c r="X3449" i="2" s="1"/>
  <c r="S3450" i="2"/>
  <c r="W2343" i="2"/>
  <c r="X2343" i="2" s="1"/>
  <c r="S2344" i="2"/>
  <c r="W1518" i="2"/>
  <c r="X1518" i="2" s="1"/>
  <c r="S1519" i="2"/>
  <c r="U3450" i="2"/>
  <c r="T3450" i="2"/>
  <c r="U2344" i="2"/>
  <c r="T2344" i="2"/>
  <c r="U1519" i="2"/>
  <c r="T1519" i="2"/>
  <c r="W3450" i="2" l="1"/>
  <c r="X3450" i="2" s="1"/>
  <c r="S3451" i="2"/>
  <c r="W2344" i="2"/>
  <c r="X2344" i="2" s="1"/>
  <c r="S2345" i="2"/>
  <c r="W1519" i="2"/>
  <c r="X1519" i="2" s="1"/>
  <c r="S1520" i="2"/>
  <c r="U3451" i="2"/>
  <c r="T3451" i="2"/>
  <c r="U2345" i="2"/>
  <c r="T2345" i="2"/>
  <c r="T1520" i="2"/>
  <c r="U1520" i="2"/>
  <c r="W3451" i="2" l="1"/>
  <c r="X3451" i="2" s="1"/>
  <c r="S3452" i="2"/>
  <c r="W2345" i="2"/>
  <c r="X2345" i="2" s="1"/>
  <c r="S2346" i="2"/>
  <c r="W1520" i="2"/>
  <c r="X1520" i="2" s="1"/>
  <c r="S1521" i="2"/>
  <c r="T3452" i="2"/>
  <c r="U3452" i="2"/>
  <c r="U2346" i="2"/>
  <c r="T2346" i="2"/>
  <c r="U1521" i="2"/>
  <c r="T1521" i="2"/>
  <c r="W3452" i="2" l="1"/>
  <c r="X3452" i="2" s="1"/>
  <c r="S3453" i="2"/>
  <c r="W2346" i="2"/>
  <c r="X2346" i="2" s="1"/>
  <c r="S2347" i="2"/>
  <c r="W1521" i="2"/>
  <c r="X1521" i="2" s="1"/>
  <c r="S1522" i="2"/>
  <c r="T3453" i="2"/>
  <c r="U3453" i="2"/>
  <c r="T2347" i="2"/>
  <c r="U2347" i="2"/>
  <c r="U1522" i="2"/>
  <c r="T1522" i="2"/>
  <c r="W3453" i="2" l="1"/>
  <c r="X3453" i="2" s="1"/>
  <c r="S3454" i="2"/>
  <c r="W2347" i="2"/>
  <c r="X2347" i="2" s="1"/>
  <c r="S2348" i="2"/>
  <c r="W1522" i="2"/>
  <c r="X1522" i="2" s="1"/>
  <c r="S1523" i="2"/>
  <c r="U3454" i="2"/>
  <c r="T3454" i="2"/>
  <c r="U2348" i="2"/>
  <c r="T2348" i="2"/>
  <c r="U1523" i="2"/>
  <c r="T1523" i="2"/>
  <c r="W3454" i="2" l="1"/>
  <c r="X3454" i="2" s="1"/>
  <c r="S3455" i="2"/>
  <c r="W2348" i="2"/>
  <c r="X2348" i="2" s="1"/>
  <c r="S2349" i="2"/>
  <c r="W1523" i="2"/>
  <c r="X1523" i="2" s="1"/>
  <c r="S1524" i="2"/>
  <c r="U3455" i="2"/>
  <c r="T3455" i="2"/>
  <c r="T2349" i="2"/>
  <c r="U2349" i="2"/>
  <c r="T1524" i="2"/>
  <c r="U1524" i="2"/>
  <c r="W3455" i="2" l="1"/>
  <c r="X3455" i="2" s="1"/>
  <c r="S3456" i="2"/>
  <c r="W2349" i="2"/>
  <c r="X2349" i="2" s="1"/>
  <c r="S2350" i="2"/>
  <c r="W1524" i="2"/>
  <c r="X1524" i="2" s="1"/>
  <c r="S1525" i="2"/>
  <c r="T3456" i="2"/>
  <c r="U3456" i="2"/>
  <c r="U2350" i="2"/>
  <c r="T2350" i="2"/>
  <c r="U1525" i="2"/>
  <c r="T1525" i="2"/>
  <c r="W3456" i="2" l="1"/>
  <c r="X3456" i="2" s="1"/>
  <c r="S3457" i="2"/>
  <c r="W2350" i="2"/>
  <c r="X2350" i="2" s="1"/>
  <c r="S2351" i="2"/>
  <c r="W1525" i="2"/>
  <c r="X1525" i="2" s="1"/>
  <c r="S1526" i="2"/>
  <c r="T3457" i="2"/>
  <c r="U3457" i="2"/>
  <c r="T2351" i="2"/>
  <c r="U2351" i="2"/>
  <c r="U1526" i="2"/>
  <c r="T1526" i="2"/>
  <c r="W3457" i="2" l="1"/>
  <c r="X3457" i="2" s="1"/>
  <c r="S3458" i="2"/>
  <c r="W2351" i="2"/>
  <c r="X2351" i="2" s="1"/>
  <c r="S2352" i="2"/>
  <c r="W1526" i="2"/>
  <c r="X1526" i="2" s="1"/>
  <c r="S1527" i="2"/>
  <c r="U3458" i="2"/>
  <c r="T3458" i="2"/>
  <c r="U2352" i="2"/>
  <c r="T2352" i="2"/>
  <c r="U1527" i="2"/>
  <c r="T1527" i="2"/>
  <c r="W3458" i="2" l="1"/>
  <c r="X3458" i="2" s="1"/>
  <c r="S3459" i="2"/>
  <c r="W2352" i="2"/>
  <c r="X2352" i="2" s="1"/>
  <c r="S2353" i="2"/>
  <c r="W1527" i="2"/>
  <c r="X1527" i="2" s="1"/>
  <c r="S1528" i="2"/>
  <c r="U3459" i="2"/>
  <c r="T3459" i="2"/>
  <c r="T2353" i="2"/>
  <c r="U2353" i="2"/>
  <c r="T1528" i="2"/>
  <c r="U1528" i="2"/>
  <c r="W3459" i="2" l="1"/>
  <c r="X3459" i="2" s="1"/>
  <c r="S3460" i="2"/>
  <c r="W2353" i="2"/>
  <c r="X2353" i="2" s="1"/>
  <c r="S2354" i="2"/>
  <c r="W1528" i="2"/>
  <c r="X1528" i="2" s="1"/>
  <c r="S1529" i="2"/>
  <c r="T3460" i="2"/>
  <c r="U3460" i="2"/>
  <c r="U2354" i="2"/>
  <c r="T2354" i="2"/>
  <c r="U1529" i="2"/>
  <c r="T1529" i="2"/>
  <c r="W3460" i="2" l="1"/>
  <c r="X3460" i="2" s="1"/>
  <c r="W2354" i="2"/>
  <c r="X2354" i="2" s="1"/>
  <c r="S2355" i="2"/>
  <c r="W1529" i="2"/>
  <c r="X1529" i="2" s="1"/>
  <c r="S1530" i="2"/>
  <c r="T2355" i="2"/>
  <c r="U2355" i="2"/>
  <c r="T1530" i="2"/>
  <c r="U1530" i="2"/>
  <c r="W2355" i="2" l="1"/>
  <c r="X2355" i="2" s="1"/>
  <c r="S2356" i="2"/>
  <c r="W1530" i="2"/>
  <c r="X1530" i="2" s="1"/>
  <c r="S1531" i="2"/>
  <c r="U2356" i="2"/>
  <c r="T2356" i="2"/>
  <c r="U1531" i="2"/>
  <c r="T1531" i="2"/>
  <c r="W2356" i="2" l="1"/>
  <c r="X2356" i="2" s="1"/>
  <c r="S2357" i="2"/>
  <c r="W1531" i="2"/>
  <c r="X1531" i="2" s="1"/>
  <c r="S1532" i="2"/>
  <c r="T2357" i="2"/>
  <c r="U2357" i="2"/>
  <c r="T1532" i="2"/>
  <c r="U1532" i="2"/>
  <c r="W2357" i="2" l="1"/>
  <c r="X2357" i="2" s="1"/>
  <c r="S2358" i="2"/>
  <c r="W1532" i="2"/>
  <c r="X1532" i="2" s="1"/>
  <c r="S1533" i="2"/>
  <c r="U2358" i="2"/>
  <c r="T2358" i="2"/>
  <c r="U1533" i="2"/>
  <c r="T1533" i="2"/>
  <c r="W2358" i="2" l="1"/>
  <c r="X2358" i="2" s="1"/>
  <c r="S2359" i="2"/>
  <c r="W1533" i="2"/>
  <c r="X1533" i="2" s="1"/>
  <c r="S1534" i="2"/>
  <c r="U2359" i="2"/>
  <c r="T2359" i="2"/>
  <c r="U1534" i="2"/>
  <c r="T1534" i="2"/>
  <c r="W2359" i="2" l="1"/>
  <c r="X2359" i="2" s="1"/>
  <c r="S2360" i="2"/>
  <c r="W1534" i="2"/>
  <c r="X1534" i="2" s="1"/>
  <c r="S1535" i="2"/>
  <c r="U2360" i="2"/>
  <c r="T2360" i="2"/>
  <c r="U1535" i="2"/>
  <c r="T1535" i="2"/>
  <c r="W2360" i="2" l="1"/>
  <c r="X2360" i="2" s="1"/>
  <c r="S2361" i="2"/>
  <c r="W1535" i="2"/>
  <c r="X1535" i="2" s="1"/>
  <c r="S1536" i="2"/>
  <c r="T2361" i="2"/>
  <c r="U2361" i="2"/>
  <c r="T1536" i="2"/>
  <c r="U1536" i="2"/>
  <c r="W2361" i="2" l="1"/>
  <c r="X2361" i="2" s="1"/>
  <c r="S2362" i="2"/>
  <c r="W1536" i="2"/>
  <c r="X1536" i="2" s="1"/>
  <c r="S1537" i="2"/>
  <c r="U2362" i="2"/>
  <c r="T2362" i="2"/>
  <c r="U1537" i="2"/>
  <c r="T1537" i="2"/>
  <c r="W2362" i="2" l="1"/>
  <c r="X2362" i="2" s="1"/>
  <c r="S2363" i="2"/>
  <c r="W1537" i="2"/>
  <c r="X1537" i="2" s="1"/>
  <c r="S1538" i="2"/>
  <c r="U2363" i="2"/>
  <c r="T2363" i="2"/>
  <c r="T1538" i="2"/>
  <c r="U1538" i="2"/>
  <c r="W2363" i="2" l="1"/>
  <c r="X2363" i="2" s="1"/>
  <c r="S2364" i="2"/>
  <c r="W1538" i="2"/>
  <c r="X1538" i="2" s="1"/>
  <c r="S1539" i="2"/>
  <c r="U2364" i="2"/>
  <c r="T2364" i="2"/>
  <c r="U1539" i="2"/>
  <c r="T1539" i="2"/>
  <c r="W2364" i="2" l="1"/>
  <c r="X2364" i="2" s="1"/>
  <c r="S2365" i="2"/>
  <c r="W1539" i="2"/>
  <c r="X1539" i="2" s="1"/>
  <c r="S1540" i="2"/>
  <c r="T2365" i="2"/>
  <c r="U2365" i="2"/>
  <c r="T1540" i="2"/>
  <c r="U1540" i="2"/>
  <c r="W2365" i="2" l="1"/>
  <c r="X2365" i="2" s="1"/>
  <c r="S2366" i="2"/>
  <c r="W1540" i="2"/>
  <c r="X1540" i="2" s="1"/>
  <c r="S1541" i="2"/>
  <c r="U2366" i="2"/>
  <c r="T2366" i="2"/>
  <c r="U1541" i="2"/>
  <c r="T1541" i="2"/>
  <c r="W2366" i="2" l="1"/>
  <c r="X2366" i="2" s="1"/>
  <c r="S2367" i="2"/>
  <c r="W1541" i="2"/>
  <c r="X1541" i="2" s="1"/>
  <c r="S1542" i="2"/>
  <c r="U2367" i="2"/>
  <c r="T2367" i="2"/>
  <c r="U1542" i="2"/>
  <c r="T1542" i="2"/>
  <c r="W2367" i="2" l="1"/>
  <c r="X2367" i="2" s="1"/>
  <c r="S2368" i="2"/>
  <c r="W1542" i="2"/>
  <c r="X1542" i="2" s="1"/>
  <c r="S1543" i="2"/>
  <c r="U2368" i="2"/>
  <c r="T2368" i="2"/>
  <c r="U1543" i="2"/>
  <c r="T1543" i="2"/>
  <c r="W2368" i="2" l="1"/>
  <c r="X2368" i="2" s="1"/>
  <c r="S2369" i="2"/>
  <c r="W1543" i="2"/>
  <c r="X1543" i="2" s="1"/>
  <c r="S1544" i="2"/>
  <c r="T2369" i="2"/>
  <c r="U2369" i="2"/>
  <c r="T1544" i="2"/>
  <c r="U1544" i="2"/>
  <c r="W2369" i="2" l="1"/>
  <c r="X2369" i="2" s="1"/>
  <c r="S2370" i="2"/>
  <c r="W1544" i="2"/>
  <c r="X1544" i="2" s="1"/>
  <c r="S1545" i="2"/>
  <c r="U2370" i="2"/>
  <c r="T2370" i="2"/>
  <c r="U1545" i="2"/>
  <c r="T1545" i="2"/>
  <c r="W2370" i="2" l="1"/>
  <c r="X2370" i="2" s="1"/>
  <c r="S2371" i="2"/>
  <c r="W1545" i="2"/>
  <c r="X1545" i="2" s="1"/>
  <c r="S1546" i="2"/>
  <c r="U2371" i="2"/>
  <c r="T2371" i="2"/>
  <c r="U1546" i="2"/>
  <c r="T1546" i="2"/>
  <c r="W2371" i="2" l="1"/>
  <c r="X2371" i="2" s="1"/>
  <c r="S2372" i="2"/>
  <c r="W1546" i="2"/>
  <c r="X1546" i="2" s="1"/>
  <c r="S1547" i="2"/>
  <c r="U2372" i="2"/>
  <c r="T2372" i="2"/>
  <c r="U1547" i="2"/>
  <c r="T1547" i="2"/>
  <c r="W2372" i="2" l="1"/>
  <c r="X2372" i="2" s="1"/>
  <c r="S2373" i="2"/>
  <c r="W1547" i="2"/>
  <c r="X1547" i="2" s="1"/>
  <c r="S1548" i="2"/>
  <c r="T2373" i="2"/>
  <c r="U2373" i="2"/>
  <c r="T1548" i="2"/>
  <c r="U1548" i="2"/>
  <c r="W2373" i="2" l="1"/>
  <c r="X2373" i="2" s="1"/>
  <c r="S2374" i="2"/>
  <c r="W1548" i="2"/>
  <c r="X1548" i="2" s="1"/>
  <c r="S1549" i="2"/>
  <c r="U2374" i="2"/>
  <c r="T2374" i="2"/>
  <c r="U1549" i="2"/>
  <c r="T1549" i="2"/>
  <c r="W2374" i="2" l="1"/>
  <c r="X2374" i="2" s="1"/>
  <c r="S2375" i="2"/>
  <c r="W1549" i="2"/>
  <c r="X1549" i="2" s="1"/>
  <c r="S1550" i="2"/>
  <c r="U2375" i="2"/>
  <c r="T2375" i="2"/>
  <c r="T1550" i="2"/>
  <c r="U1550" i="2"/>
  <c r="W2375" i="2" l="1"/>
  <c r="X2375" i="2" s="1"/>
  <c r="S2376" i="2"/>
  <c r="W1550" i="2"/>
  <c r="X1550" i="2" s="1"/>
  <c r="S1551" i="2"/>
  <c r="U2376" i="2"/>
  <c r="T2376" i="2"/>
  <c r="U1551" i="2"/>
  <c r="T1551" i="2"/>
  <c r="W2376" i="2" l="1"/>
  <c r="X2376" i="2" s="1"/>
  <c r="S2377" i="2"/>
  <c r="W1551" i="2"/>
  <c r="X1551" i="2" s="1"/>
  <c r="S1552" i="2"/>
  <c r="T2377" i="2"/>
  <c r="U2377" i="2"/>
  <c r="T1552" i="2"/>
  <c r="U1552" i="2"/>
  <c r="W2377" i="2" l="1"/>
  <c r="X2377" i="2" s="1"/>
  <c r="S2378" i="2"/>
  <c r="W1552" i="2"/>
  <c r="X1552" i="2" s="1"/>
  <c r="S1553" i="2"/>
  <c r="U2378" i="2"/>
  <c r="T2378" i="2"/>
  <c r="U1553" i="2"/>
  <c r="T1553" i="2"/>
  <c r="W2378" i="2" l="1"/>
  <c r="X2378" i="2" s="1"/>
  <c r="S2379" i="2"/>
  <c r="W1553" i="2"/>
  <c r="X1553" i="2" s="1"/>
  <c r="S1554" i="2"/>
  <c r="U2379" i="2"/>
  <c r="T2379" i="2"/>
  <c r="U1554" i="2"/>
  <c r="T1554" i="2"/>
  <c r="W2379" i="2" l="1"/>
  <c r="X2379" i="2" s="1"/>
  <c r="S2380" i="2"/>
  <c r="W1554" i="2"/>
  <c r="X1554" i="2" s="1"/>
  <c r="S1555" i="2"/>
  <c r="U2380" i="2"/>
  <c r="T2380" i="2"/>
  <c r="U1555" i="2"/>
  <c r="T1555" i="2"/>
  <c r="W2380" i="2" l="1"/>
  <c r="X2380" i="2" s="1"/>
  <c r="S2381" i="2"/>
  <c r="W1555" i="2"/>
  <c r="X1555" i="2" s="1"/>
  <c r="S1556" i="2"/>
  <c r="T2381" i="2"/>
  <c r="U2381" i="2"/>
  <c r="T1556" i="2"/>
  <c r="U1556" i="2"/>
  <c r="W2381" i="2" l="1"/>
  <c r="X2381" i="2" s="1"/>
  <c r="S2382" i="2"/>
  <c r="W1556" i="2"/>
  <c r="X1556" i="2" s="1"/>
  <c r="S1557" i="2"/>
  <c r="U2382" i="2"/>
  <c r="T2382" i="2"/>
  <c r="U1557" i="2"/>
  <c r="T1557" i="2"/>
  <c r="W2382" i="2" l="1"/>
  <c r="X2382" i="2" s="1"/>
  <c r="S2383" i="2"/>
  <c r="W1557" i="2"/>
  <c r="X1557" i="2" s="1"/>
  <c r="S1558" i="2"/>
  <c r="U2383" i="2"/>
  <c r="T2383" i="2"/>
  <c r="U1558" i="2"/>
  <c r="T1558" i="2"/>
  <c r="W2383" i="2" l="1"/>
  <c r="X2383" i="2" s="1"/>
  <c r="S2384" i="2"/>
  <c r="W1558" i="2"/>
  <c r="X1558" i="2" s="1"/>
  <c r="S1559" i="2"/>
  <c r="U2384" i="2"/>
  <c r="T2384" i="2"/>
  <c r="U1559" i="2"/>
  <c r="T1559" i="2"/>
  <c r="W2384" i="2" l="1"/>
  <c r="X2384" i="2" s="1"/>
  <c r="S2385" i="2"/>
  <c r="W1559" i="2"/>
  <c r="X1559" i="2" s="1"/>
  <c r="S1560" i="2"/>
  <c r="T2385" i="2"/>
  <c r="U2385" i="2"/>
  <c r="T1560" i="2"/>
  <c r="U1560" i="2"/>
  <c r="W2385" i="2" l="1"/>
  <c r="X2385" i="2" s="1"/>
  <c r="S2386" i="2"/>
  <c r="W1560" i="2"/>
  <c r="X1560" i="2" s="1"/>
  <c r="S1561" i="2"/>
  <c r="U2386" i="2"/>
  <c r="T2386" i="2"/>
  <c r="U1561" i="2"/>
  <c r="T1561" i="2"/>
  <c r="W2386" i="2" l="1"/>
  <c r="X2386" i="2" s="1"/>
  <c r="S2387" i="2"/>
  <c r="W1561" i="2"/>
  <c r="X1561" i="2" s="1"/>
  <c r="S1562" i="2"/>
  <c r="U2387" i="2"/>
  <c r="T2387" i="2"/>
  <c r="T1562" i="2"/>
  <c r="U1562" i="2"/>
  <c r="W2387" i="2" l="1"/>
  <c r="X2387" i="2" s="1"/>
  <c r="S2388" i="2"/>
  <c r="W1562" i="2"/>
  <c r="X1562" i="2" s="1"/>
  <c r="S1563" i="2"/>
  <c r="U2388" i="2"/>
  <c r="T2388" i="2"/>
  <c r="U1563" i="2"/>
  <c r="T1563" i="2"/>
  <c r="W2388" i="2" l="1"/>
  <c r="X2388" i="2" s="1"/>
  <c r="S2389" i="2"/>
  <c r="W1563" i="2"/>
  <c r="X1563" i="2" s="1"/>
  <c r="S1564" i="2"/>
  <c r="T2389" i="2"/>
  <c r="U2389" i="2"/>
  <c r="T1564" i="2"/>
  <c r="U1564" i="2"/>
  <c r="W2389" i="2" l="1"/>
  <c r="X2389" i="2" s="1"/>
  <c r="S2390" i="2"/>
  <c r="W1564" i="2"/>
  <c r="X1564" i="2" s="1"/>
  <c r="S1565" i="2"/>
  <c r="U2390" i="2"/>
  <c r="T2390" i="2"/>
  <c r="U1565" i="2"/>
  <c r="T1565" i="2"/>
  <c r="W2390" i="2" l="1"/>
  <c r="X2390" i="2" s="1"/>
  <c r="S2391" i="2"/>
  <c r="W1565" i="2"/>
  <c r="X1565" i="2" s="1"/>
  <c r="S1566" i="2"/>
  <c r="U2391" i="2"/>
  <c r="T2391" i="2"/>
  <c r="U1566" i="2"/>
  <c r="T1566" i="2"/>
  <c r="W2391" i="2" l="1"/>
  <c r="X2391" i="2" s="1"/>
  <c r="S2392" i="2"/>
  <c r="W1566" i="2"/>
  <c r="X1566" i="2" s="1"/>
  <c r="S1567" i="2"/>
  <c r="U2392" i="2"/>
  <c r="T2392" i="2"/>
  <c r="U1567" i="2"/>
  <c r="T1567" i="2"/>
  <c r="W2392" i="2" l="1"/>
  <c r="X2392" i="2" s="1"/>
  <c r="S2393" i="2"/>
  <c r="W1567" i="2"/>
  <c r="X1567" i="2" s="1"/>
  <c r="S1568" i="2"/>
  <c r="T2393" i="2"/>
  <c r="U2393" i="2"/>
  <c r="T1568" i="2"/>
  <c r="U1568" i="2"/>
  <c r="W2393" i="2" l="1"/>
  <c r="X2393" i="2" s="1"/>
  <c r="S2394" i="2"/>
  <c r="W1568" i="2"/>
  <c r="X1568" i="2" s="1"/>
  <c r="S1569" i="2"/>
  <c r="U2394" i="2"/>
  <c r="T2394" i="2"/>
  <c r="U1569" i="2"/>
  <c r="T1569" i="2"/>
  <c r="W2394" i="2" l="1"/>
  <c r="X2394" i="2" s="1"/>
  <c r="S2395" i="2"/>
  <c r="W1569" i="2"/>
  <c r="X1569" i="2" s="1"/>
  <c r="S1570" i="2"/>
  <c r="U2395" i="2"/>
  <c r="T2395" i="2"/>
  <c r="T1570" i="2"/>
  <c r="U1570" i="2"/>
  <c r="W2395" i="2" l="1"/>
  <c r="X2395" i="2" s="1"/>
  <c r="S2396" i="2"/>
  <c r="W1570" i="2"/>
  <c r="X1570" i="2" s="1"/>
  <c r="S1571" i="2"/>
  <c r="U2396" i="2"/>
  <c r="T2396" i="2"/>
  <c r="U1571" i="2"/>
  <c r="T1571" i="2"/>
  <c r="W2396" i="2" l="1"/>
  <c r="X2396" i="2" s="1"/>
  <c r="S2397" i="2"/>
  <c r="W1571" i="2"/>
  <c r="X1571" i="2" s="1"/>
  <c r="S1572" i="2"/>
  <c r="T2397" i="2"/>
  <c r="U2397" i="2"/>
  <c r="U1572" i="2"/>
  <c r="T1572" i="2"/>
  <c r="W2397" i="2" l="1"/>
  <c r="X2397" i="2" s="1"/>
  <c r="S2398" i="2"/>
  <c r="W1572" i="2"/>
  <c r="X1572" i="2" s="1"/>
  <c r="S1573" i="2"/>
  <c r="U2398" i="2"/>
  <c r="T2398" i="2"/>
  <c r="U1573" i="2"/>
  <c r="T1573" i="2"/>
  <c r="W2398" i="2" l="1"/>
  <c r="X2398" i="2" s="1"/>
  <c r="S2399" i="2"/>
  <c r="W1573" i="2"/>
  <c r="X1573" i="2" s="1"/>
  <c r="S1574" i="2"/>
  <c r="U2399" i="2"/>
  <c r="T2399" i="2"/>
  <c r="T1574" i="2"/>
  <c r="U1574" i="2"/>
  <c r="W2399" i="2" l="1"/>
  <c r="X2399" i="2" s="1"/>
  <c r="S2400" i="2"/>
  <c r="W1574" i="2"/>
  <c r="X1574" i="2" s="1"/>
  <c r="S1575" i="2"/>
  <c r="U2400" i="2"/>
  <c r="T2400" i="2"/>
  <c r="U1575" i="2"/>
  <c r="T1575" i="2"/>
  <c r="W2400" i="2" l="1"/>
  <c r="X2400" i="2" s="1"/>
  <c r="S2401" i="2"/>
  <c r="W1575" i="2"/>
  <c r="X1575" i="2" s="1"/>
  <c r="S1576" i="2"/>
  <c r="T2401" i="2"/>
  <c r="U2401" i="2"/>
  <c r="U1576" i="2"/>
  <c r="T1576" i="2"/>
  <c r="W2401" i="2" l="1"/>
  <c r="X2401" i="2" s="1"/>
  <c r="S2402" i="2"/>
  <c r="W1576" i="2"/>
  <c r="X1576" i="2" s="1"/>
  <c r="S1577" i="2"/>
  <c r="U2402" i="2"/>
  <c r="T2402" i="2"/>
  <c r="U1577" i="2"/>
  <c r="T1577" i="2"/>
  <c r="W2402" i="2" l="1"/>
  <c r="X2402" i="2" s="1"/>
  <c r="S2403" i="2"/>
  <c r="W1577" i="2"/>
  <c r="X1577" i="2" s="1"/>
  <c r="S1578" i="2"/>
  <c r="U2403" i="2"/>
  <c r="T2403" i="2"/>
  <c r="T1578" i="2"/>
  <c r="U1578" i="2"/>
  <c r="W2403" i="2" l="1"/>
  <c r="X2403" i="2" s="1"/>
  <c r="S2404" i="2"/>
  <c r="W1578" i="2"/>
  <c r="X1578" i="2" s="1"/>
  <c r="S1579" i="2"/>
  <c r="U2404" i="2"/>
  <c r="T2404" i="2"/>
  <c r="U1579" i="2"/>
  <c r="T1579" i="2"/>
  <c r="W2404" i="2" l="1"/>
  <c r="X2404" i="2" s="1"/>
  <c r="S2405" i="2"/>
  <c r="W1579" i="2"/>
  <c r="X1579" i="2" s="1"/>
  <c r="S1580" i="2"/>
  <c r="T2405" i="2"/>
  <c r="U2405" i="2"/>
  <c r="U1580" i="2"/>
  <c r="T1580" i="2"/>
  <c r="W2405" i="2" l="1"/>
  <c r="X2405" i="2" s="1"/>
  <c r="S2406" i="2"/>
  <c r="W1580" i="2"/>
  <c r="X1580" i="2" s="1"/>
  <c r="S1581" i="2"/>
  <c r="U2406" i="2"/>
  <c r="T2406" i="2"/>
  <c r="U1581" i="2"/>
  <c r="T1581" i="2"/>
  <c r="W2406" i="2" l="1"/>
  <c r="X2406" i="2" s="1"/>
  <c r="S2407" i="2"/>
  <c r="W1581" i="2"/>
  <c r="X1581" i="2" s="1"/>
  <c r="S1582" i="2"/>
  <c r="U2407" i="2"/>
  <c r="T2407" i="2"/>
  <c r="T1582" i="2"/>
  <c r="U1582" i="2"/>
  <c r="W2407" i="2" l="1"/>
  <c r="X2407" i="2" s="1"/>
  <c r="S2408" i="2"/>
  <c r="W1582" i="2"/>
  <c r="X1582" i="2" s="1"/>
  <c r="S1583" i="2"/>
  <c r="U2408" i="2"/>
  <c r="T2408" i="2"/>
  <c r="U1583" i="2"/>
  <c r="T1583" i="2"/>
  <c r="W2408" i="2" l="1"/>
  <c r="X2408" i="2" s="1"/>
  <c r="S2409" i="2"/>
  <c r="W1583" i="2"/>
  <c r="X1583" i="2" s="1"/>
  <c r="S1584" i="2"/>
  <c r="T2409" i="2"/>
  <c r="U2409" i="2"/>
  <c r="U1584" i="2"/>
  <c r="T1584" i="2"/>
  <c r="W2409" i="2" l="1"/>
  <c r="X2409" i="2" s="1"/>
  <c r="S2410" i="2"/>
  <c r="W1584" i="2"/>
  <c r="X1584" i="2" s="1"/>
  <c r="S1585" i="2"/>
  <c r="U2410" i="2"/>
  <c r="T2410" i="2"/>
  <c r="T1585" i="2"/>
  <c r="U1585" i="2"/>
  <c r="W2410" i="2" l="1"/>
  <c r="X2410" i="2" s="1"/>
  <c r="S2411" i="2"/>
  <c r="W1585" i="2"/>
  <c r="X1585" i="2" s="1"/>
  <c r="S1586" i="2"/>
  <c r="U2411" i="2"/>
  <c r="T2411" i="2"/>
  <c r="T1586" i="2"/>
  <c r="U1586" i="2"/>
  <c r="W2411" i="2" l="1"/>
  <c r="X2411" i="2" s="1"/>
  <c r="S2412" i="2"/>
  <c r="W1586" i="2"/>
  <c r="X1586" i="2" s="1"/>
  <c r="S1587" i="2"/>
  <c r="U2412" i="2"/>
  <c r="T2412" i="2"/>
  <c r="T1587" i="2"/>
  <c r="U1587" i="2"/>
  <c r="W2412" i="2" l="1"/>
  <c r="X2412" i="2" s="1"/>
  <c r="S2413" i="2"/>
  <c r="W1587" i="2"/>
  <c r="X1587" i="2" s="1"/>
  <c r="S1588" i="2"/>
  <c r="T2413" i="2"/>
  <c r="U2413" i="2"/>
  <c r="U1588" i="2"/>
  <c r="T1588" i="2"/>
  <c r="W2413" i="2" l="1"/>
  <c r="X2413" i="2" s="1"/>
  <c r="S2414" i="2"/>
  <c r="W1588" i="2"/>
  <c r="X1588" i="2" s="1"/>
  <c r="S1589" i="2"/>
  <c r="U2414" i="2"/>
  <c r="T2414" i="2"/>
  <c r="U1589" i="2"/>
  <c r="T1589" i="2"/>
  <c r="W2414" i="2" l="1"/>
  <c r="X2414" i="2" s="1"/>
  <c r="S2415" i="2"/>
  <c r="W1589" i="2"/>
  <c r="X1589" i="2" s="1"/>
  <c r="S1590" i="2"/>
  <c r="U2415" i="2"/>
  <c r="T2415" i="2"/>
  <c r="T1590" i="2"/>
  <c r="U1590" i="2"/>
  <c r="W2415" i="2" l="1"/>
  <c r="X2415" i="2" s="1"/>
  <c r="S2416" i="2"/>
  <c r="W1590" i="2"/>
  <c r="X1590" i="2" s="1"/>
  <c r="S1591" i="2"/>
  <c r="U2416" i="2"/>
  <c r="T2416" i="2"/>
  <c r="T1591" i="2"/>
  <c r="U1591" i="2"/>
  <c r="W2416" i="2" l="1"/>
  <c r="X2416" i="2" s="1"/>
  <c r="S2417" i="2"/>
  <c r="W1591" i="2"/>
  <c r="X1591" i="2" s="1"/>
  <c r="S1592" i="2"/>
  <c r="T2417" i="2"/>
  <c r="U2417" i="2"/>
  <c r="T1592" i="2"/>
  <c r="U1592" i="2"/>
  <c r="W2417" i="2" l="1"/>
  <c r="X2417" i="2" s="1"/>
  <c r="S2418" i="2"/>
  <c r="W1592" i="2"/>
  <c r="X1592" i="2" s="1"/>
  <c r="S1593" i="2"/>
  <c r="U2418" i="2"/>
  <c r="T2418" i="2"/>
  <c r="T1593" i="2"/>
  <c r="U1593" i="2"/>
  <c r="W2418" i="2" l="1"/>
  <c r="X2418" i="2" s="1"/>
  <c r="S2419" i="2"/>
  <c r="W1593" i="2"/>
  <c r="X1593" i="2" s="1"/>
  <c r="S1594" i="2"/>
  <c r="U2419" i="2"/>
  <c r="T2419" i="2"/>
  <c r="T1594" i="2"/>
  <c r="U1594" i="2"/>
  <c r="W2419" i="2" l="1"/>
  <c r="X2419" i="2" s="1"/>
  <c r="S2420" i="2"/>
  <c r="W1594" i="2"/>
  <c r="X1594" i="2" s="1"/>
  <c r="S1595" i="2"/>
  <c r="U2420" i="2"/>
  <c r="T2420" i="2"/>
  <c r="T1595" i="2"/>
  <c r="U1595" i="2"/>
  <c r="W2420" i="2" l="1"/>
  <c r="X2420" i="2" s="1"/>
  <c r="S2421" i="2"/>
  <c r="W1595" i="2"/>
  <c r="X1595" i="2" s="1"/>
  <c r="S1596" i="2"/>
  <c r="T2421" i="2"/>
  <c r="U2421" i="2"/>
  <c r="U1596" i="2"/>
  <c r="T1596" i="2"/>
  <c r="W2421" i="2" l="1"/>
  <c r="X2421" i="2" s="1"/>
  <c r="S2422" i="2"/>
  <c r="W1596" i="2"/>
  <c r="X1596" i="2" s="1"/>
  <c r="S1597" i="2"/>
  <c r="U2422" i="2"/>
  <c r="T2422" i="2"/>
  <c r="U1597" i="2"/>
  <c r="T1597" i="2"/>
  <c r="W2422" i="2" l="1"/>
  <c r="X2422" i="2" s="1"/>
  <c r="S2423" i="2"/>
  <c r="W1597" i="2"/>
  <c r="X1597" i="2" s="1"/>
  <c r="S1598" i="2"/>
  <c r="U2423" i="2"/>
  <c r="T2423" i="2"/>
  <c r="T1598" i="2"/>
  <c r="U1598" i="2"/>
  <c r="W2423" i="2" l="1"/>
  <c r="X2423" i="2" s="1"/>
  <c r="S2424" i="2"/>
  <c r="W1598" i="2"/>
  <c r="X1598" i="2" s="1"/>
  <c r="S1599" i="2"/>
  <c r="U2424" i="2"/>
  <c r="T2424" i="2"/>
  <c r="T1599" i="2"/>
  <c r="U1599" i="2"/>
  <c r="W2424" i="2" l="1"/>
  <c r="X2424" i="2" s="1"/>
  <c r="S2425" i="2"/>
  <c r="W1599" i="2"/>
  <c r="X1599" i="2" s="1"/>
  <c r="S1600" i="2"/>
  <c r="T2425" i="2"/>
  <c r="U2425" i="2"/>
  <c r="T1600" i="2"/>
  <c r="U1600" i="2"/>
  <c r="W2425" i="2" l="1"/>
  <c r="X2425" i="2" s="1"/>
  <c r="S2426" i="2"/>
  <c r="W1600" i="2"/>
  <c r="X1600" i="2" s="1"/>
  <c r="S1601" i="2"/>
  <c r="U2426" i="2"/>
  <c r="T2426" i="2"/>
  <c r="T1601" i="2"/>
  <c r="U1601" i="2"/>
  <c r="W2426" i="2" l="1"/>
  <c r="X2426" i="2" s="1"/>
  <c r="S2427" i="2"/>
  <c r="W1601" i="2"/>
  <c r="X1601" i="2" s="1"/>
  <c r="S1602" i="2"/>
  <c r="U2427" i="2"/>
  <c r="T2427" i="2"/>
  <c r="T1602" i="2"/>
  <c r="U1602" i="2"/>
  <c r="W2427" i="2" l="1"/>
  <c r="X2427" i="2" s="1"/>
  <c r="S2428" i="2"/>
  <c r="W1602" i="2"/>
  <c r="X1602" i="2" s="1"/>
  <c r="S1603" i="2"/>
  <c r="U2428" i="2"/>
  <c r="T2428" i="2"/>
  <c r="T1603" i="2"/>
  <c r="U1603" i="2"/>
  <c r="W2428" i="2" l="1"/>
  <c r="X2428" i="2" s="1"/>
  <c r="S2429" i="2"/>
  <c r="W1603" i="2"/>
  <c r="X1603" i="2" s="1"/>
  <c r="S1604" i="2"/>
  <c r="T2429" i="2"/>
  <c r="U2429" i="2"/>
  <c r="U1604" i="2"/>
  <c r="T1604" i="2"/>
  <c r="W2429" i="2" l="1"/>
  <c r="X2429" i="2" s="1"/>
  <c r="S2430" i="2"/>
  <c r="W1604" i="2"/>
  <c r="X1604" i="2" s="1"/>
  <c r="S1605" i="2"/>
  <c r="U2430" i="2"/>
  <c r="T2430" i="2"/>
  <c r="U1605" i="2"/>
  <c r="T1605" i="2"/>
  <c r="W2430" i="2" l="1"/>
  <c r="X2430" i="2" s="1"/>
  <c r="S2431" i="2"/>
  <c r="W1605" i="2"/>
  <c r="X1605" i="2" s="1"/>
  <c r="S1606" i="2"/>
  <c r="U2431" i="2"/>
  <c r="T2431" i="2"/>
  <c r="T1606" i="2"/>
  <c r="U1606" i="2"/>
  <c r="W2431" i="2" l="1"/>
  <c r="X2431" i="2" s="1"/>
  <c r="S2432" i="2"/>
  <c r="W1606" i="2"/>
  <c r="X1606" i="2" s="1"/>
  <c r="S1607" i="2"/>
  <c r="U2432" i="2"/>
  <c r="T2432" i="2"/>
  <c r="T1607" i="2"/>
  <c r="U1607" i="2"/>
  <c r="W2432" i="2" l="1"/>
  <c r="X2432" i="2" s="1"/>
  <c r="S2433" i="2"/>
  <c r="W1607" i="2"/>
  <c r="X1607" i="2" s="1"/>
  <c r="S1608" i="2"/>
  <c r="T2433" i="2"/>
  <c r="U2433" i="2"/>
  <c r="T1608" i="2"/>
  <c r="U1608" i="2"/>
  <c r="W2433" i="2" l="1"/>
  <c r="X2433" i="2" s="1"/>
  <c r="S2434" i="2"/>
  <c r="W1608" i="2"/>
  <c r="X1608" i="2" s="1"/>
  <c r="S1609" i="2"/>
  <c r="U2434" i="2"/>
  <c r="T2434" i="2"/>
  <c r="T1609" i="2"/>
  <c r="U1609" i="2"/>
  <c r="W2434" i="2" l="1"/>
  <c r="X2434" i="2" s="1"/>
  <c r="S2435" i="2"/>
  <c r="W1609" i="2"/>
  <c r="X1609" i="2" s="1"/>
  <c r="S1610" i="2"/>
  <c r="U2435" i="2"/>
  <c r="T2435" i="2"/>
  <c r="T1610" i="2"/>
  <c r="U1610" i="2"/>
  <c r="W2435" i="2" l="1"/>
  <c r="X2435" i="2" s="1"/>
  <c r="S2436" i="2"/>
  <c r="W1610" i="2"/>
  <c r="X1610" i="2" s="1"/>
  <c r="S1611" i="2"/>
  <c r="U2436" i="2"/>
  <c r="T2436" i="2"/>
  <c r="T1611" i="2"/>
  <c r="U1611" i="2"/>
  <c r="W2436" i="2" l="1"/>
  <c r="X2436" i="2" s="1"/>
  <c r="S2437" i="2"/>
  <c r="W1611" i="2"/>
  <c r="X1611" i="2" s="1"/>
  <c r="S1612" i="2"/>
  <c r="T2437" i="2"/>
  <c r="U2437" i="2"/>
  <c r="T1612" i="2"/>
  <c r="U1612" i="2"/>
  <c r="W2437" i="2" l="1"/>
  <c r="X2437" i="2" s="1"/>
  <c r="S2438" i="2"/>
  <c r="W1612" i="2"/>
  <c r="X1612" i="2" s="1"/>
  <c r="S1613" i="2"/>
  <c r="U2438" i="2"/>
  <c r="T2438" i="2"/>
  <c r="U1613" i="2"/>
  <c r="T1613" i="2"/>
  <c r="W2438" i="2" l="1"/>
  <c r="X2438" i="2" s="1"/>
  <c r="S2439" i="2"/>
  <c r="W1613" i="2"/>
  <c r="X1613" i="2" s="1"/>
  <c r="S1614" i="2"/>
  <c r="U2439" i="2"/>
  <c r="T2439" i="2"/>
  <c r="T1614" i="2"/>
  <c r="U1614" i="2"/>
  <c r="W2439" i="2" l="1"/>
  <c r="X2439" i="2" s="1"/>
  <c r="S2440" i="2"/>
  <c r="W1614" i="2"/>
  <c r="X1614" i="2" s="1"/>
  <c r="S1615" i="2"/>
  <c r="U2440" i="2"/>
  <c r="T2440" i="2"/>
  <c r="U1615" i="2"/>
  <c r="T1615" i="2"/>
  <c r="W2440" i="2" l="1"/>
  <c r="X2440" i="2" s="1"/>
  <c r="S2441" i="2"/>
  <c r="W1615" i="2"/>
  <c r="X1615" i="2" s="1"/>
  <c r="S1616" i="2"/>
  <c r="T2441" i="2"/>
  <c r="U2441" i="2"/>
  <c r="U1616" i="2"/>
  <c r="T1616" i="2"/>
  <c r="W2441" i="2" l="1"/>
  <c r="X2441" i="2" s="1"/>
  <c r="S2442" i="2"/>
  <c r="W1616" i="2"/>
  <c r="X1616" i="2" s="1"/>
  <c r="S1617" i="2"/>
  <c r="U2442" i="2"/>
  <c r="T2442" i="2"/>
  <c r="U1617" i="2"/>
  <c r="T1617" i="2"/>
  <c r="W2442" i="2" l="1"/>
  <c r="X2442" i="2" s="1"/>
  <c r="S2443" i="2"/>
  <c r="W1617" i="2"/>
  <c r="X1617" i="2" s="1"/>
  <c r="S1618" i="2"/>
  <c r="U2443" i="2"/>
  <c r="T2443" i="2"/>
  <c r="T1618" i="2"/>
  <c r="U1618" i="2"/>
  <c r="W2443" i="2" l="1"/>
  <c r="X2443" i="2" s="1"/>
  <c r="S2444" i="2"/>
  <c r="W1618" i="2"/>
  <c r="X1618" i="2" s="1"/>
  <c r="S1619" i="2"/>
  <c r="U2444" i="2"/>
  <c r="T2444" i="2"/>
  <c r="U1619" i="2"/>
  <c r="T1619" i="2"/>
  <c r="W2444" i="2" l="1"/>
  <c r="X2444" i="2" s="1"/>
  <c r="S2445" i="2"/>
  <c r="W1619" i="2"/>
  <c r="X1619" i="2" s="1"/>
  <c r="S1620" i="2"/>
  <c r="T2445" i="2"/>
  <c r="U2445" i="2"/>
  <c r="U1620" i="2"/>
  <c r="T1620" i="2"/>
  <c r="W2445" i="2" l="1"/>
  <c r="X2445" i="2" s="1"/>
  <c r="S2446" i="2"/>
  <c r="W1620" i="2"/>
  <c r="X1620" i="2" s="1"/>
  <c r="S1621" i="2"/>
  <c r="U2446" i="2"/>
  <c r="T2446" i="2"/>
  <c r="U1621" i="2"/>
  <c r="T1621" i="2"/>
  <c r="W2446" i="2" l="1"/>
  <c r="X2446" i="2" s="1"/>
  <c r="S2447" i="2"/>
  <c r="W1621" i="2"/>
  <c r="X1621" i="2" s="1"/>
  <c r="S1622" i="2"/>
  <c r="U2447" i="2"/>
  <c r="T2447" i="2"/>
  <c r="U1622" i="2"/>
  <c r="T1622" i="2"/>
  <c r="W2447" i="2" l="1"/>
  <c r="X2447" i="2" s="1"/>
  <c r="S2448" i="2"/>
  <c r="W1622" i="2"/>
  <c r="X1622" i="2" s="1"/>
  <c r="S1623" i="2"/>
  <c r="U2448" i="2"/>
  <c r="T2448" i="2"/>
  <c r="U1623" i="2"/>
  <c r="T1623" i="2"/>
  <c r="W2448" i="2" l="1"/>
  <c r="X2448" i="2" s="1"/>
  <c r="S2449" i="2"/>
  <c r="W1623" i="2"/>
  <c r="X1623" i="2" s="1"/>
  <c r="S1624" i="2"/>
  <c r="T2449" i="2"/>
  <c r="U2449" i="2"/>
  <c r="U1624" i="2"/>
  <c r="T1624" i="2"/>
  <c r="W2449" i="2" l="1"/>
  <c r="X2449" i="2" s="1"/>
  <c r="S2450" i="2"/>
  <c r="W1624" i="2"/>
  <c r="X1624" i="2" s="1"/>
  <c r="S1625" i="2"/>
  <c r="U2450" i="2"/>
  <c r="T2450" i="2"/>
  <c r="U1625" i="2"/>
  <c r="T1625" i="2"/>
  <c r="W2450" i="2" l="1"/>
  <c r="X2450" i="2" s="1"/>
  <c r="S2451" i="2"/>
  <c r="W1625" i="2"/>
  <c r="X1625" i="2" s="1"/>
  <c r="S1626" i="2"/>
  <c r="U2451" i="2"/>
  <c r="T2451" i="2"/>
  <c r="T1626" i="2"/>
  <c r="U1626" i="2"/>
  <c r="W2451" i="2" l="1"/>
  <c r="X2451" i="2" s="1"/>
  <c r="S2452" i="2"/>
  <c r="W1626" i="2"/>
  <c r="X1626" i="2" s="1"/>
  <c r="S1627" i="2"/>
  <c r="U2452" i="2"/>
  <c r="T2452" i="2"/>
  <c r="U1627" i="2"/>
  <c r="T1627" i="2"/>
  <c r="W2452" i="2" l="1"/>
  <c r="X2452" i="2" s="1"/>
  <c r="S2453" i="2"/>
  <c r="W1627" i="2"/>
  <c r="X1627" i="2" s="1"/>
  <c r="S1628" i="2"/>
  <c r="T2453" i="2"/>
  <c r="U2453" i="2"/>
  <c r="U1628" i="2"/>
  <c r="T1628" i="2"/>
  <c r="W2453" i="2" l="1"/>
  <c r="X2453" i="2" s="1"/>
  <c r="S2454" i="2"/>
  <c r="W1628" i="2"/>
  <c r="X1628" i="2" s="1"/>
  <c r="S1629" i="2"/>
  <c r="U2454" i="2"/>
  <c r="T2454" i="2"/>
  <c r="U1629" i="2"/>
  <c r="T1629" i="2"/>
  <c r="W2454" i="2" l="1"/>
  <c r="X2454" i="2" s="1"/>
  <c r="S2455" i="2"/>
  <c r="W1629" i="2"/>
  <c r="X1629" i="2" s="1"/>
  <c r="S1630" i="2"/>
  <c r="U2455" i="2"/>
  <c r="T2455" i="2"/>
  <c r="U1630" i="2"/>
  <c r="T1630" i="2"/>
  <c r="W2455" i="2" l="1"/>
  <c r="X2455" i="2" s="1"/>
  <c r="S2456" i="2"/>
  <c r="W1630" i="2"/>
  <c r="X1630" i="2" s="1"/>
  <c r="S1631" i="2"/>
  <c r="U2456" i="2"/>
  <c r="T2456" i="2"/>
  <c r="U1631" i="2"/>
  <c r="T1631" i="2"/>
  <c r="W2456" i="2" l="1"/>
  <c r="X2456" i="2" s="1"/>
  <c r="S2457" i="2"/>
  <c r="W1631" i="2"/>
  <c r="X1631" i="2" s="1"/>
  <c r="S1632" i="2"/>
  <c r="T2457" i="2"/>
  <c r="U2457" i="2"/>
  <c r="U1632" i="2"/>
  <c r="T1632" i="2"/>
  <c r="W2457" i="2" l="1"/>
  <c r="X2457" i="2" s="1"/>
  <c r="S2458" i="2"/>
  <c r="W1632" i="2"/>
  <c r="X1632" i="2" s="1"/>
  <c r="S1633" i="2"/>
  <c r="U2458" i="2"/>
  <c r="T2458" i="2"/>
  <c r="U1633" i="2"/>
  <c r="T1633" i="2"/>
  <c r="W2458" i="2" l="1"/>
  <c r="X2458" i="2" s="1"/>
  <c r="S2459" i="2"/>
  <c r="W1633" i="2"/>
  <c r="X1633" i="2" s="1"/>
  <c r="S1634" i="2"/>
  <c r="U2459" i="2"/>
  <c r="T2459" i="2"/>
  <c r="U1634" i="2"/>
  <c r="T1634" i="2"/>
  <c r="W2459" i="2" l="1"/>
  <c r="X2459" i="2" s="1"/>
  <c r="S2460" i="2"/>
  <c r="W1634" i="2"/>
  <c r="X1634" i="2" s="1"/>
  <c r="S1635" i="2"/>
  <c r="U2460" i="2"/>
  <c r="T2460" i="2"/>
  <c r="U1635" i="2"/>
  <c r="T1635" i="2"/>
  <c r="W2460" i="2" l="1"/>
  <c r="X2460" i="2" s="1"/>
  <c r="S2461" i="2"/>
  <c r="W1635" i="2"/>
  <c r="X1635" i="2" s="1"/>
  <c r="S1636" i="2"/>
  <c r="T2461" i="2"/>
  <c r="U2461" i="2"/>
  <c r="U1636" i="2"/>
  <c r="T1636" i="2"/>
  <c r="W2461" i="2" l="1"/>
  <c r="X2461" i="2" s="1"/>
  <c r="S2462" i="2"/>
  <c r="W1636" i="2"/>
  <c r="X1636" i="2" s="1"/>
  <c r="S1637" i="2"/>
  <c r="U2462" i="2"/>
  <c r="T2462" i="2"/>
  <c r="U1637" i="2"/>
  <c r="T1637" i="2"/>
  <c r="W2462" i="2" l="1"/>
  <c r="X2462" i="2" s="1"/>
  <c r="S2463" i="2"/>
  <c r="W1637" i="2"/>
  <c r="X1637" i="2" s="1"/>
  <c r="S1638" i="2"/>
  <c r="U2463" i="2"/>
  <c r="T2463" i="2"/>
  <c r="U1638" i="2"/>
  <c r="T1638" i="2"/>
  <c r="W2463" i="2" l="1"/>
  <c r="X2463" i="2" s="1"/>
  <c r="S2464" i="2"/>
  <c r="W1638" i="2"/>
  <c r="X1638" i="2" s="1"/>
  <c r="S1639" i="2"/>
  <c r="U2464" i="2"/>
  <c r="T2464" i="2"/>
  <c r="U1639" i="2"/>
  <c r="T1639" i="2"/>
  <c r="W2464" i="2" l="1"/>
  <c r="X2464" i="2" s="1"/>
  <c r="S2465" i="2"/>
  <c r="W1639" i="2"/>
  <c r="X1639" i="2" s="1"/>
  <c r="S1640" i="2"/>
  <c r="T2465" i="2"/>
  <c r="U2465" i="2"/>
  <c r="U1640" i="2"/>
  <c r="T1640" i="2"/>
  <c r="W2465" i="2" l="1"/>
  <c r="X2465" i="2" s="1"/>
  <c r="S2466" i="2"/>
  <c r="W1640" i="2"/>
  <c r="X1640" i="2" s="1"/>
  <c r="S1641" i="2"/>
  <c r="U2466" i="2"/>
  <c r="T2466" i="2"/>
  <c r="U1641" i="2"/>
  <c r="T1641" i="2"/>
  <c r="W2466" i="2" l="1"/>
  <c r="X2466" i="2" s="1"/>
  <c r="S2467" i="2"/>
  <c r="W1641" i="2"/>
  <c r="X1641" i="2" s="1"/>
  <c r="S1642" i="2"/>
  <c r="U2467" i="2"/>
  <c r="T2467" i="2"/>
  <c r="U1642" i="2"/>
  <c r="T1642" i="2"/>
  <c r="W2467" i="2" l="1"/>
  <c r="X2467" i="2" s="1"/>
  <c r="S2468" i="2"/>
  <c r="W1642" i="2"/>
  <c r="X1642" i="2" s="1"/>
  <c r="S1643" i="2"/>
  <c r="U2468" i="2"/>
  <c r="T2468" i="2"/>
  <c r="U1643" i="2"/>
  <c r="T1643" i="2"/>
  <c r="W2468" i="2" l="1"/>
  <c r="X2468" i="2" s="1"/>
  <c r="S2469" i="2"/>
  <c r="W1643" i="2"/>
  <c r="X1643" i="2" s="1"/>
  <c r="S1644" i="2"/>
  <c r="T2469" i="2"/>
  <c r="U2469" i="2"/>
  <c r="U1644" i="2"/>
  <c r="T1644" i="2"/>
  <c r="W2469" i="2" l="1"/>
  <c r="X2469" i="2" s="1"/>
  <c r="S2470" i="2"/>
  <c r="W1644" i="2"/>
  <c r="X1644" i="2" s="1"/>
  <c r="S1645" i="2"/>
  <c r="U2470" i="2"/>
  <c r="T2470" i="2"/>
  <c r="U1645" i="2"/>
  <c r="T1645" i="2"/>
  <c r="W2470" i="2" l="1"/>
  <c r="X2470" i="2" s="1"/>
  <c r="S2471" i="2"/>
  <c r="W1645" i="2"/>
  <c r="X1645" i="2" s="1"/>
  <c r="S1646" i="2"/>
  <c r="U2471" i="2"/>
  <c r="T2471" i="2"/>
  <c r="U1646" i="2"/>
  <c r="T1646" i="2"/>
  <c r="W2471" i="2" l="1"/>
  <c r="X2471" i="2" s="1"/>
  <c r="S2472" i="2"/>
  <c r="W1646" i="2"/>
  <c r="X1646" i="2" s="1"/>
  <c r="S1647" i="2"/>
  <c r="U2472" i="2"/>
  <c r="T2472" i="2"/>
  <c r="U1647" i="2"/>
  <c r="T1647" i="2"/>
  <c r="W2472" i="2" l="1"/>
  <c r="X2472" i="2" s="1"/>
  <c r="S2473" i="2"/>
  <c r="W1647" i="2"/>
  <c r="X1647" i="2" s="1"/>
  <c r="S1648" i="2"/>
  <c r="T2473" i="2"/>
  <c r="U2473" i="2"/>
  <c r="U1648" i="2"/>
  <c r="T1648" i="2"/>
  <c r="W2473" i="2" l="1"/>
  <c r="X2473" i="2" s="1"/>
  <c r="S2474" i="2"/>
  <c r="W1648" i="2"/>
  <c r="X1648" i="2" s="1"/>
  <c r="S1649" i="2"/>
  <c r="U2474" i="2"/>
  <c r="T2474" i="2"/>
  <c r="U1649" i="2"/>
  <c r="T1649" i="2"/>
  <c r="W2474" i="2" l="1"/>
  <c r="X2474" i="2" s="1"/>
  <c r="S2475" i="2"/>
  <c r="W1649" i="2"/>
  <c r="X1649" i="2" s="1"/>
  <c r="S1650" i="2"/>
  <c r="U2475" i="2"/>
  <c r="T2475" i="2"/>
  <c r="T1650" i="2"/>
  <c r="U1650" i="2"/>
  <c r="W2475" i="2" l="1"/>
  <c r="X2475" i="2" s="1"/>
  <c r="S2476" i="2"/>
  <c r="W1650" i="2"/>
  <c r="X1650" i="2" s="1"/>
  <c r="S1651" i="2"/>
  <c r="U2476" i="2"/>
  <c r="T2476" i="2"/>
  <c r="U1651" i="2"/>
  <c r="T1651" i="2"/>
  <c r="W2476" i="2" l="1"/>
  <c r="X2476" i="2" s="1"/>
  <c r="S2477" i="2"/>
  <c r="W1651" i="2"/>
  <c r="X1651" i="2" s="1"/>
  <c r="S1652" i="2"/>
  <c r="T2477" i="2"/>
  <c r="U2477" i="2"/>
  <c r="U1652" i="2"/>
  <c r="T1652" i="2"/>
  <c r="W2477" i="2" l="1"/>
  <c r="X2477" i="2" s="1"/>
  <c r="S2478" i="2"/>
  <c r="W1652" i="2"/>
  <c r="X1652" i="2" s="1"/>
  <c r="S1653" i="2"/>
  <c r="U2478" i="2"/>
  <c r="T2478" i="2"/>
  <c r="U1653" i="2"/>
  <c r="T1653" i="2"/>
  <c r="W2478" i="2" l="1"/>
  <c r="X2478" i="2" s="1"/>
  <c r="S2479" i="2"/>
  <c r="W1653" i="2"/>
  <c r="X1653" i="2" s="1"/>
  <c r="S1654" i="2"/>
  <c r="U2479" i="2"/>
  <c r="T2479" i="2"/>
  <c r="U1654" i="2"/>
  <c r="T1654" i="2"/>
  <c r="W2479" i="2" l="1"/>
  <c r="X2479" i="2" s="1"/>
  <c r="S2480" i="2"/>
  <c r="W1654" i="2"/>
  <c r="X1654" i="2" s="1"/>
  <c r="S1655" i="2"/>
  <c r="U2480" i="2"/>
  <c r="T2480" i="2"/>
  <c r="U1655" i="2"/>
  <c r="T1655" i="2"/>
  <c r="W2480" i="2" l="1"/>
  <c r="X2480" i="2" s="1"/>
  <c r="S2481" i="2"/>
  <c r="W1655" i="2"/>
  <c r="X1655" i="2" s="1"/>
  <c r="S1656" i="2"/>
  <c r="T2481" i="2"/>
  <c r="U2481" i="2"/>
  <c r="U1656" i="2"/>
  <c r="T1656" i="2"/>
  <c r="W2481" i="2" l="1"/>
  <c r="X2481" i="2" s="1"/>
  <c r="S2482" i="2"/>
  <c r="W1656" i="2"/>
  <c r="X1656" i="2" s="1"/>
  <c r="S1657" i="2"/>
  <c r="U2482" i="2"/>
  <c r="T2482" i="2"/>
  <c r="U1657" i="2"/>
  <c r="T1657" i="2"/>
  <c r="W2482" i="2" l="1"/>
  <c r="X2482" i="2" s="1"/>
  <c r="S2483" i="2"/>
  <c r="W1657" i="2"/>
  <c r="X1657" i="2" s="1"/>
  <c r="S1658" i="2"/>
  <c r="U2483" i="2"/>
  <c r="T2483" i="2"/>
  <c r="U1658" i="2"/>
  <c r="T1658" i="2"/>
  <c r="W2483" i="2" l="1"/>
  <c r="X2483" i="2" s="1"/>
  <c r="S2484" i="2"/>
  <c r="W1658" i="2"/>
  <c r="X1658" i="2" s="1"/>
  <c r="S1659" i="2"/>
  <c r="U2484" i="2"/>
  <c r="T2484" i="2"/>
  <c r="U1659" i="2"/>
  <c r="T1659" i="2"/>
  <c r="W2484" i="2" l="1"/>
  <c r="X2484" i="2" s="1"/>
  <c r="S2485" i="2"/>
  <c r="W1659" i="2"/>
  <c r="X1659" i="2" s="1"/>
  <c r="S1660" i="2"/>
  <c r="T2485" i="2"/>
  <c r="U2485" i="2"/>
  <c r="U1660" i="2"/>
  <c r="T1660" i="2"/>
  <c r="W2485" i="2" l="1"/>
  <c r="X2485" i="2" s="1"/>
  <c r="S2486" i="2"/>
  <c r="W1660" i="2"/>
  <c r="X1660" i="2" s="1"/>
  <c r="S1661" i="2"/>
  <c r="U2486" i="2"/>
  <c r="T2486" i="2"/>
  <c r="U1661" i="2"/>
  <c r="T1661" i="2"/>
  <c r="W2486" i="2" l="1"/>
  <c r="X2486" i="2" s="1"/>
  <c r="S2487" i="2"/>
  <c r="W1661" i="2"/>
  <c r="X1661" i="2" s="1"/>
  <c r="S1662" i="2"/>
  <c r="U2487" i="2"/>
  <c r="T2487" i="2"/>
  <c r="U1662" i="2"/>
  <c r="T1662" i="2"/>
  <c r="W2487" i="2" l="1"/>
  <c r="X2487" i="2" s="1"/>
  <c r="S2488" i="2"/>
  <c r="W1662" i="2"/>
  <c r="X1662" i="2" s="1"/>
  <c r="S1663" i="2"/>
  <c r="U2488" i="2"/>
  <c r="T2488" i="2"/>
  <c r="U1663" i="2"/>
  <c r="T1663" i="2"/>
  <c r="W2488" i="2" l="1"/>
  <c r="X2488" i="2" s="1"/>
  <c r="S2489" i="2"/>
  <c r="W1663" i="2"/>
  <c r="X1663" i="2" s="1"/>
  <c r="S1664" i="2"/>
  <c r="T2489" i="2"/>
  <c r="U2489" i="2"/>
  <c r="U1664" i="2"/>
  <c r="T1664" i="2"/>
  <c r="W2489" i="2" l="1"/>
  <c r="X2489" i="2" s="1"/>
  <c r="S2490" i="2"/>
  <c r="W1664" i="2"/>
  <c r="X1664" i="2" s="1"/>
  <c r="S1665" i="2"/>
  <c r="U2490" i="2"/>
  <c r="T2490" i="2"/>
  <c r="U1665" i="2"/>
  <c r="T1665" i="2"/>
  <c r="W2490" i="2" l="1"/>
  <c r="X2490" i="2" s="1"/>
  <c r="S2491" i="2"/>
  <c r="W1665" i="2"/>
  <c r="X1665" i="2" s="1"/>
  <c r="S1666" i="2"/>
  <c r="U2491" i="2"/>
  <c r="T2491" i="2"/>
  <c r="U1666" i="2"/>
  <c r="T1666" i="2"/>
  <c r="W2491" i="2" l="1"/>
  <c r="X2491" i="2" s="1"/>
  <c r="S2492" i="2"/>
  <c r="W1666" i="2"/>
  <c r="X1666" i="2" s="1"/>
  <c r="S1667" i="2"/>
  <c r="U2492" i="2"/>
  <c r="T2492" i="2"/>
  <c r="U1667" i="2"/>
  <c r="T1667" i="2"/>
  <c r="W2492" i="2" l="1"/>
  <c r="X2492" i="2" s="1"/>
  <c r="S2493" i="2"/>
  <c r="W1667" i="2"/>
  <c r="X1667" i="2" s="1"/>
  <c r="S1668" i="2"/>
  <c r="T2493" i="2"/>
  <c r="U2493" i="2"/>
  <c r="U1668" i="2"/>
  <c r="T1668" i="2"/>
  <c r="W2493" i="2" l="1"/>
  <c r="X2493" i="2" s="1"/>
  <c r="S2494" i="2"/>
  <c r="W1668" i="2"/>
  <c r="X1668" i="2" s="1"/>
  <c r="S1669" i="2"/>
  <c r="U2494" i="2"/>
  <c r="T2494" i="2"/>
  <c r="U1669" i="2"/>
  <c r="T1669" i="2"/>
  <c r="W2494" i="2" l="1"/>
  <c r="X2494" i="2" s="1"/>
  <c r="S2495" i="2"/>
  <c r="W1669" i="2"/>
  <c r="X1669" i="2" s="1"/>
  <c r="S1670" i="2"/>
  <c r="U2495" i="2"/>
  <c r="T2495" i="2"/>
  <c r="T1670" i="2"/>
  <c r="U1670" i="2"/>
  <c r="W2495" i="2" l="1"/>
  <c r="X2495" i="2" s="1"/>
  <c r="S2496" i="2"/>
  <c r="W1670" i="2"/>
  <c r="X1670" i="2" s="1"/>
  <c r="S1671" i="2"/>
  <c r="U2496" i="2"/>
  <c r="T2496" i="2"/>
  <c r="U1671" i="2"/>
  <c r="T1671" i="2"/>
  <c r="W2496" i="2" l="1"/>
  <c r="X2496" i="2" s="1"/>
  <c r="S2497" i="2"/>
  <c r="W1671" i="2"/>
  <c r="X1671" i="2" s="1"/>
  <c r="S1672" i="2"/>
  <c r="T2497" i="2"/>
  <c r="U2497" i="2"/>
  <c r="U1672" i="2"/>
  <c r="T1672" i="2"/>
  <c r="W2497" i="2" l="1"/>
  <c r="X2497" i="2" s="1"/>
  <c r="S2498" i="2"/>
  <c r="W1672" i="2"/>
  <c r="X1672" i="2" s="1"/>
  <c r="S1673" i="2"/>
  <c r="U2498" i="2"/>
  <c r="T2498" i="2"/>
  <c r="U1673" i="2"/>
  <c r="T1673" i="2"/>
  <c r="W2498" i="2" l="1"/>
  <c r="X2498" i="2" s="1"/>
  <c r="S2499" i="2"/>
  <c r="W1673" i="2"/>
  <c r="X1673" i="2" s="1"/>
  <c r="S1674" i="2"/>
  <c r="U2499" i="2"/>
  <c r="T2499" i="2"/>
  <c r="U1674" i="2"/>
  <c r="T1674" i="2"/>
  <c r="W2499" i="2" l="1"/>
  <c r="X2499" i="2" s="1"/>
  <c r="S2500" i="2"/>
  <c r="W1674" i="2"/>
  <c r="X1674" i="2" s="1"/>
  <c r="S1675" i="2"/>
  <c r="U2500" i="2"/>
  <c r="T2500" i="2"/>
  <c r="U1675" i="2"/>
  <c r="T1675" i="2"/>
  <c r="W2500" i="2" l="1"/>
  <c r="X2500" i="2" s="1"/>
  <c r="S2501" i="2"/>
  <c r="W1675" i="2"/>
  <c r="X1675" i="2" s="1"/>
  <c r="S1676" i="2"/>
  <c r="T2501" i="2"/>
  <c r="U2501" i="2"/>
  <c r="U1676" i="2"/>
  <c r="T1676" i="2"/>
  <c r="W2501" i="2" l="1"/>
  <c r="X2501" i="2" s="1"/>
  <c r="S2502" i="2"/>
  <c r="W1676" i="2"/>
  <c r="X1676" i="2" s="1"/>
  <c r="S1677" i="2"/>
  <c r="U2502" i="2"/>
  <c r="T2502" i="2"/>
  <c r="U1677" i="2"/>
  <c r="T1677" i="2"/>
  <c r="W2502" i="2" l="1"/>
  <c r="X2502" i="2" s="1"/>
  <c r="S2503" i="2"/>
  <c r="W1677" i="2"/>
  <c r="X1677" i="2" s="1"/>
  <c r="S1678" i="2"/>
  <c r="U2503" i="2"/>
  <c r="T2503" i="2"/>
  <c r="U1678" i="2"/>
  <c r="T1678" i="2"/>
  <c r="W2503" i="2" l="1"/>
  <c r="X2503" i="2" s="1"/>
  <c r="S2504" i="2"/>
  <c r="W1678" i="2"/>
  <c r="X1678" i="2" s="1"/>
  <c r="S1679" i="2"/>
  <c r="U2504" i="2"/>
  <c r="T2504" i="2"/>
  <c r="U1679" i="2"/>
  <c r="T1679" i="2"/>
  <c r="W2504" i="2" l="1"/>
  <c r="X2504" i="2" s="1"/>
  <c r="S2505" i="2"/>
  <c r="W1679" i="2"/>
  <c r="X1679" i="2" s="1"/>
  <c r="S1680" i="2"/>
  <c r="T2505" i="2"/>
  <c r="U2505" i="2"/>
  <c r="U1680" i="2"/>
  <c r="T1680" i="2"/>
  <c r="W2505" i="2" l="1"/>
  <c r="X2505" i="2" s="1"/>
  <c r="S2506" i="2"/>
  <c r="W1680" i="2"/>
  <c r="X1680" i="2" s="1"/>
  <c r="S1681" i="2"/>
  <c r="U2506" i="2"/>
  <c r="T2506" i="2"/>
  <c r="U1681" i="2"/>
  <c r="T1681" i="2"/>
  <c r="W2506" i="2" l="1"/>
  <c r="X2506" i="2" s="1"/>
  <c r="S2507" i="2"/>
  <c r="W1681" i="2"/>
  <c r="X1681" i="2" s="1"/>
  <c r="S1682" i="2"/>
  <c r="U2507" i="2"/>
  <c r="T2507" i="2"/>
  <c r="U1682" i="2"/>
  <c r="T1682" i="2"/>
  <c r="W2507" i="2" l="1"/>
  <c r="X2507" i="2" s="1"/>
  <c r="S2508" i="2"/>
  <c r="W1682" i="2"/>
  <c r="X1682" i="2" s="1"/>
  <c r="S1683" i="2"/>
  <c r="U2508" i="2"/>
  <c r="T2508" i="2"/>
  <c r="U1683" i="2"/>
  <c r="T1683" i="2"/>
  <c r="W2508" i="2" l="1"/>
  <c r="X2508" i="2" s="1"/>
  <c r="S2509" i="2"/>
  <c r="W1683" i="2"/>
  <c r="X1683" i="2" s="1"/>
  <c r="S1684" i="2"/>
  <c r="T2509" i="2"/>
  <c r="U2509" i="2"/>
  <c r="U1684" i="2"/>
  <c r="T1684" i="2"/>
  <c r="W2509" i="2" l="1"/>
  <c r="X2509" i="2" s="1"/>
  <c r="S2510" i="2"/>
  <c r="W1684" i="2"/>
  <c r="X1684" i="2" s="1"/>
  <c r="S1685" i="2"/>
  <c r="U2510" i="2"/>
  <c r="T2510" i="2"/>
  <c r="U1685" i="2"/>
  <c r="T1685" i="2"/>
  <c r="W2510" i="2" l="1"/>
  <c r="X2510" i="2" s="1"/>
  <c r="S2511" i="2"/>
  <c r="W1685" i="2"/>
  <c r="X1685" i="2" s="1"/>
  <c r="S1686" i="2"/>
  <c r="U2511" i="2"/>
  <c r="T2511" i="2"/>
  <c r="U1686" i="2"/>
  <c r="T1686" i="2"/>
  <c r="W2511" i="2" l="1"/>
  <c r="X2511" i="2" s="1"/>
  <c r="S2512" i="2"/>
  <c r="W1686" i="2"/>
  <c r="X1686" i="2" s="1"/>
  <c r="S1687" i="2"/>
  <c r="U2512" i="2"/>
  <c r="T2512" i="2"/>
  <c r="U1687" i="2"/>
  <c r="T1687" i="2"/>
  <c r="W2512" i="2" l="1"/>
  <c r="X2512" i="2" s="1"/>
  <c r="S2513" i="2"/>
  <c r="W1687" i="2"/>
  <c r="X1687" i="2" s="1"/>
  <c r="S1688" i="2"/>
  <c r="T2513" i="2"/>
  <c r="U2513" i="2"/>
  <c r="U1688" i="2"/>
  <c r="T1688" i="2"/>
  <c r="W2513" i="2" l="1"/>
  <c r="X2513" i="2" s="1"/>
  <c r="S2514" i="2"/>
  <c r="W1688" i="2"/>
  <c r="X1688" i="2" s="1"/>
  <c r="S1689" i="2"/>
  <c r="U2514" i="2"/>
  <c r="T2514" i="2"/>
  <c r="U1689" i="2"/>
  <c r="T1689" i="2"/>
  <c r="W2514" i="2" l="1"/>
  <c r="X2514" i="2" s="1"/>
  <c r="S2515" i="2"/>
  <c r="W1689" i="2"/>
  <c r="X1689" i="2" s="1"/>
  <c r="S1690" i="2"/>
  <c r="U2515" i="2"/>
  <c r="T2515" i="2"/>
  <c r="U1690" i="2"/>
  <c r="T1690" i="2"/>
  <c r="W2515" i="2" l="1"/>
  <c r="X2515" i="2" s="1"/>
  <c r="S2516" i="2"/>
  <c r="W1690" i="2"/>
  <c r="X1690" i="2" s="1"/>
  <c r="S1691" i="2"/>
  <c r="U2516" i="2"/>
  <c r="T2516" i="2"/>
  <c r="U1691" i="2"/>
  <c r="T1691" i="2"/>
  <c r="W2516" i="2" l="1"/>
  <c r="X2516" i="2" s="1"/>
  <c r="S2517" i="2"/>
  <c r="W1691" i="2"/>
  <c r="X1691" i="2" s="1"/>
  <c r="S1692" i="2"/>
  <c r="T2517" i="2"/>
  <c r="U2517" i="2"/>
  <c r="U1692" i="2"/>
  <c r="T1692" i="2"/>
  <c r="W2517" i="2" l="1"/>
  <c r="X2517" i="2" s="1"/>
  <c r="S2518" i="2"/>
  <c r="W1692" i="2"/>
  <c r="X1692" i="2" s="1"/>
  <c r="S1693" i="2"/>
  <c r="U2518" i="2"/>
  <c r="T2518" i="2"/>
  <c r="U1693" i="2"/>
  <c r="T1693" i="2"/>
  <c r="W2518" i="2" l="1"/>
  <c r="X2518" i="2" s="1"/>
  <c r="S2519" i="2"/>
  <c r="W1693" i="2"/>
  <c r="X1693" i="2" s="1"/>
  <c r="S1694" i="2"/>
  <c r="U2519" i="2"/>
  <c r="T2519" i="2"/>
  <c r="U1694" i="2"/>
  <c r="T1694" i="2"/>
  <c r="W2519" i="2" l="1"/>
  <c r="X2519" i="2" s="1"/>
  <c r="S2520" i="2"/>
  <c r="W1694" i="2"/>
  <c r="X1694" i="2" s="1"/>
  <c r="S1695" i="2"/>
  <c r="U2520" i="2"/>
  <c r="T2520" i="2"/>
  <c r="U1695" i="2"/>
  <c r="T1695" i="2"/>
  <c r="W2520" i="2" l="1"/>
  <c r="X2520" i="2" s="1"/>
  <c r="S2521" i="2"/>
  <c r="W1695" i="2"/>
  <c r="X1695" i="2" s="1"/>
  <c r="S1696" i="2"/>
  <c r="T2521" i="2"/>
  <c r="U2521" i="2"/>
  <c r="U1696" i="2"/>
  <c r="T1696" i="2"/>
  <c r="W2521" i="2" l="1"/>
  <c r="X2521" i="2" s="1"/>
  <c r="S2522" i="2"/>
  <c r="W1696" i="2"/>
  <c r="X1696" i="2" s="1"/>
  <c r="S1697" i="2"/>
  <c r="U2522" i="2"/>
  <c r="T2522" i="2"/>
  <c r="U1697" i="2"/>
  <c r="T1697" i="2"/>
  <c r="W2522" i="2" l="1"/>
  <c r="X2522" i="2" s="1"/>
  <c r="S2523" i="2"/>
  <c r="W1697" i="2"/>
  <c r="X1697" i="2" s="1"/>
  <c r="U2523" i="2"/>
  <c r="T2523" i="2"/>
  <c r="W2523" i="2" l="1"/>
  <c r="X2523" i="2" s="1"/>
  <c r="S2524" i="2"/>
  <c r="U2524" i="2"/>
  <c r="T2524" i="2"/>
  <c r="W2524" i="2" l="1"/>
  <c r="X2524" i="2" s="1"/>
  <c r="S2525" i="2"/>
  <c r="T2525" i="2"/>
  <c r="U2525" i="2"/>
  <c r="W2525" i="2" l="1"/>
  <c r="X2525" i="2" s="1"/>
  <c r="S2526" i="2"/>
  <c r="U2526" i="2"/>
  <c r="T2526" i="2"/>
  <c r="W2526" i="2" l="1"/>
  <c r="X2526" i="2" s="1"/>
  <c r="S2527" i="2"/>
  <c r="U2527" i="2"/>
  <c r="T2527" i="2"/>
  <c r="W2527" i="2" l="1"/>
  <c r="X2527" i="2" s="1"/>
  <c r="S2528" i="2"/>
  <c r="U2528" i="2"/>
  <c r="T2528" i="2"/>
  <c r="W2528" i="2" l="1"/>
  <c r="X2528" i="2" s="1"/>
  <c r="S2529" i="2"/>
  <c r="T2529" i="2"/>
  <c r="U2529" i="2"/>
  <c r="W2529" i="2" l="1"/>
  <c r="X2529" i="2" s="1"/>
  <c r="S2530" i="2"/>
  <c r="U2530" i="2"/>
  <c r="T2530" i="2"/>
  <c r="W2530" i="2" l="1"/>
  <c r="X2530" i="2" s="1"/>
  <c r="S2531" i="2"/>
  <c r="U2531" i="2"/>
  <c r="T2531" i="2"/>
  <c r="W2531" i="2" l="1"/>
  <c r="X2531" i="2" s="1"/>
  <c r="S2532" i="2"/>
  <c r="U2532" i="2"/>
  <c r="T2532" i="2"/>
  <c r="W2532" i="2" l="1"/>
  <c r="X2532" i="2" s="1"/>
  <c r="S2533" i="2"/>
  <c r="U2533" i="2"/>
  <c r="T2533" i="2"/>
  <c r="W2533" i="2" l="1"/>
  <c r="X2533" i="2" s="1"/>
  <c r="S2534" i="2"/>
  <c r="U2534" i="2"/>
  <c r="T2534" i="2"/>
  <c r="W2534" i="2" l="1"/>
  <c r="X2534" i="2" s="1"/>
  <c r="S2535" i="2"/>
  <c r="U2535" i="2"/>
  <c r="T2535" i="2"/>
  <c r="W2535" i="2" l="1"/>
  <c r="X2535" i="2" s="1"/>
  <c r="S2536" i="2"/>
  <c r="U2536" i="2"/>
  <c r="T2536" i="2"/>
  <c r="W2536" i="2" l="1"/>
  <c r="X2536" i="2" s="1"/>
  <c r="S2537" i="2"/>
  <c r="T2537" i="2"/>
  <c r="U2537" i="2"/>
  <c r="W2537" i="2" l="1"/>
  <c r="X2537" i="2" s="1"/>
  <c r="S2538" i="2"/>
  <c r="U2538" i="2"/>
  <c r="T2538" i="2"/>
  <c r="W2538" i="2" l="1"/>
  <c r="X2538" i="2" s="1"/>
  <c r="S2539" i="2"/>
  <c r="U2539" i="2"/>
  <c r="T2539" i="2"/>
  <c r="W2539" i="2" l="1"/>
  <c r="X2539" i="2" s="1"/>
  <c r="S2540" i="2"/>
  <c r="U2540" i="2"/>
  <c r="T2540" i="2"/>
  <c r="W2540" i="2" l="1"/>
  <c r="X2540" i="2" s="1"/>
  <c r="S2541" i="2"/>
  <c r="U2541" i="2"/>
  <c r="T2541" i="2"/>
  <c r="W2541" i="2" l="1"/>
  <c r="X2541" i="2" s="1"/>
  <c r="S2542" i="2"/>
  <c r="U2542" i="2"/>
  <c r="T2542" i="2"/>
  <c r="W2542" i="2" l="1"/>
  <c r="X2542" i="2" s="1"/>
  <c r="S2543" i="2"/>
  <c r="U2543" i="2"/>
  <c r="T2543" i="2"/>
  <c r="W2543" i="2" l="1"/>
  <c r="X2543" i="2" s="1"/>
  <c r="S2544" i="2"/>
  <c r="U2544" i="2"/>
  <c r="T2544" i="2"/>
  <c r="W2544" i="2" l="1"/>
  <c r="X2544" i="2" s="1"/>
  <c r="S2545" i="2"/>
  <c r="U2545" i="2"/>
  <c r="T2545" i="2"/>
  <c r="W2545" i="2" l="1"/>
  <c r="X2545" i="2" s="1"/>
  <c r="S2546" i="2"/>
  <c r="U2546" i="2"/>
  <c r="T2546" i="2"/>
  <c r="W2546" i="2" l="1"/>
  <c r="X2546" i="2" s="1"/>
  <c r="S2547" i="2"/>
  <c r="U2547" i="2"/>
  <c r="T2547" i="2"/>
  <c r="W2547" i="2" l="1"/>
  <c r="X2547" i="2" s="1"/>
  <c r="S2548" i="2"/>
  <c r="U2548" i="2"/>
  <c r="T2548" i="2"/>
  <c r="W2548" i="2" l="1"/>
  <c r="X2548" i="2" s="1"/>
  <c r="S2549" i="2"/>
  <c r="U2549" i="2"/>
  <c r="T2549" i="2"/>
  <c r="W2549" i="2" l="1"/>
  <c r="X2549" i="2" s="1"/>
  <c r="S2550" i="2"/>
  <c r="U2550" i="2"/>
  <c r="T2550" i="2"/>
  <c r="W2550" i="2" l="1"/>
  <c r="X2550" i="2" s="1"/>
  <c r="S2551" i="2"/>
  <c r="U2551" i="2"/>
  <c r="T2551" i="2"/>
  <c r="W2551" i="2" l="1"/>
  <c r="X2551" i="2" s="1"/>
  <c r="S2552" i="2"/>
  <c r="U2552" i="2"/>
  <c r="T2552" i="2"/>
  <c r="W2552" i="2" l="1"/>
  <c r="X2552" i="2" s="1"/>
  <c r="S2553" i="2"/>
  <c r="U2553" i="2"/>
  <c r="T2553" i="2"/>
  <c r="W2553" i="2" l="1"/>
  <c r="X2553" i="2" s="1"/>
  <c r="S2554" i="2"/>
  <c r="U2554" i="2"/>
  <c r="T2554" i="2"/>
  <c r="W2554" i="2" l="1"/>
  <c r="X2554" i="2" s="1"/>
  <c r="S2555" i="2"/>
  <c r="U2555" i="2"/>
  <c r="T2555" i="2"/>
  <c r="W2555" i="2" l="1"/>
  <c r="X2555" i="2" s="1"/>
  <c r="S2556" i="2"/>
  <c r="U2556" i="2"/>
  <c r="T2556" i="2"/>
  <c r="W2556" i="2" l="1"/>
  <c r="X2556" i="2" s="1"/>
  <c r="S2557" i="2"/>
  <c r="U2557" i="2"/>
  <c r="T2557" i="2"/>
  <c r="W2557" i="2" l="1"/>
  <c r="X2557" i="2" s="1"/>
  <c r="S2558" i="2"/>
  <c r="U2558" i="2"/>
  <c r="T2558" i="2"/>
  <c r="W2558" i="2" l="1"/>
  <c r="X2558" i="2" s="1"/>
  <c r="S2559" i="2"/>
  <c r="U2559" i="2"/>
  <c r="T2559" i="2"/>
  <c r="W2559" i="2" l="1"/>
  <c r="X2559" i="2" s="1"/>
  <c r="S2560" i="2"/>
  <c r="U2560" i="2"/>
  <c r="T2560" i="2"/>
  <c r="W2560" i="2" l="1"/>
  <c r="X2560" i="2" s="1"/>
  <c r="S2561" i="2"/>
  <c r="U2561" i="2"/>
  <c r="T2561" i="2"/>
  <c r="W2561" i="2" l="1"/>
  <c r="X2561" i="2" s="1"/>
  <c r="S2562" i="2"/>
  <c r="U2562" i="2"/>
  <c r="T2562" i="2"/>
  <c r="W2562" i="2" l="1"/>
  <c r="X2562" i="2" s="1"/>
  <c r="S2563" i="2"/>
  <c r="U2563" i="2"/>
  <c r="T2563" i="2"/>
  <c r="W2563" i="2" l="1"/>
  <c r="X2563" i="2" s="1"/>
  <c r="S2564" i="2"/>
  <c r="U2564" i="2"/>
  <c r="T2564" i="2"/>
  <c r="W2564" i="2" l="1"/>
  <c r="X2564" i="2" s="1"/>
  <c r="S2565" i="2"/>
  <c r="U2565" i="2"/>
  <c r="T2565" i="2"/>
  <c r="W2565" i="2" l="1"/>
  <c r="X2565" i="2" s="1"/>
  <c r="S2566" i="2"/>
  <c r="U2566" i="2"/>
  <c r="T2566" i="2"/>
  <c r="W2566" i="2" l="1"/>
  <c r="X2566" i="2" s="1"/>
  <c r="S2567" i="2"/>
  <c r="U2567" i="2"/>
  <c r="T2567" i="2"/>
  <c r="W2567" i="2" l="1"/>
  <c r="X2567" i="2" s="1"/>
  <c r="S2568" i="2"/>
  <c r="U2568" i="2"/>
  <c r="T2568" i="2"/>
  <c r="W2568" i="2" l="1"/>
  <c r="X2568" i="2" s="1"/>
  <c r="S2569" i="2"/>
  <c r="T2569" i="2"/>
  <c r="U2569" i="2"/>
  <c r="W2569" i="2" l="1"/>
  <c r="X2569" i="2" s="1"/>
  <c r="S2570" i="2"/>
  <c r="U2570" i="2"/>
  <c r="T2570" i="2"/>
  <c r="W2570" i="2" l="1"/>
  <c r="X2570" i="2" s="1"/>
  <c r="S2571" i="2"/>
  <c r="U2571" i="2"/>
  <c r="T2571" i="2"/>
  <c r="W2571" i="2" l="1"/>
  <c r="X2571" i="2" s="1"/>
  <c r="S2572" i="2"/>
  <c r="U2572" i="2"/>
  <c r="T2572" i="2"/>
  <c r="W2572" i="2" l="1"/>
  <c r="X2572" i="2" s="1"/>
  <c r="S2573" i="2"/>
  <c r="U2573" i="2"/>
  <c r="T2573" i="2"/>
  <c r="W2573" i="2" l="1"/>
  <c r="X2573" i="2" s="1"/>
  <c r="S2574" i="2"/>
  <c r="U2574" i="2"/>
  <c r="T2574" i="2"/>
  <c r="W2574" i="2" l="1"/>
  <c r="X2574" i="2" s="1"/>
  <c r="S2575" i="2"/>
  <c r="U2575" i="2"/>
  <c r="T2575" i="2"/>
  <c r="W2575" i="2" l="1"/>
  <c r="X2575" i="2" s="1"/>
  <c r="S2576" i="2"/>
  <c r="U2576" i="2"/>
  <c r="T2576" i="2"/>
  <c r="W2576" i="2" l="1"/>
  <c r="X2576" i="2" s="1"/>
  <c r="S2577" i="2"/>
  <c r="U2577" i="2"/>
  <c r="T2577" i="2"/>
  <c r="W2577" i="2" l="1"/>
  <c r="X2577" i="2" s="1"/>
  <c r="S2578" i="2"/>
  <c r="U2578" i="2"/>
  <c r="T2578" i="2"/>
  <c r="W2578" i="2" l="1"/>
  <c r="X2578" i="2" s="1"/>
  <c r="S2579" i="2"/>
  <c r="U2579" i="2"/>
  <c r="T2579" i="2"/>
  <c r="W2579" i="2" l="1"/>
  <c r="X2579" i="2" s="1"/>
  <c r="S2580" i="2"/>
  <c r="U2580" i="2"/>
  <c r="T2580" i="2"/>
  <c r="W2580" i="2" l="1"/>
  <c r="X2580" i="2" s="1"/>
  <c r="S2581" i="2"/>
  <c r="U2581" i="2"/>
  <c r="T2581" i="2"/>
  <c r="W2581" i="2" l="1"/>
  <c r="X2581" i="2" s="1"/>
  <c r="S2582" i="2"/>
  <c r="U2582" i="2"/>
  <c r="T2582" i="2"/>
  <c r="W2582" i="2" l="1"/>
  <c r="X2582" i="2" s="1"/>
  <c r="S2583" i="2"/>
  <c r="U2583" i="2"/>
  <c r="T2583" i="2"/>
  <c r="W2583" i="2" l="1"/>
  <c r="X2583" i="2" s="1"/>
  <c r="S2584" i="2"/>
  <c r="U2584" i="2"/>
  <c r="T2584" i="2"/>
  <c r="W2584" i="2" l="1"/>
  <c r="X2584" i="2" s="1"/>
  <c r="S2585" i="2"/>
  <c r="U2585" i="2"/>
  <c r="T2585" i="2"/>
  <c r="W2585" i="2" l="1"/>
  <c r="X2585" i="2" s="1"/>
  <c r="S2586" i="2"/>
  <c r="U2586" i="2"/>
  <c r="T2586" i="2"/>
  <c r="W2586" i="2" l="1"/>
  <c r="X2586" i="2" s="1"/>
  <c r="S2587" i="2"/>
  <c r="T2587" i="2"/>
  <c r="U2587" i="2"/>
  <c r="W2587" i="2" l="1"/>
  <c r="X2587" i="2" s="1"/>
  <c r="S2588" i="2"/>
  <c r="U2588" i="2"/>
  <c r="T2588" i="2"/>
  <c r="W2588" i="2" l="1"/>
  <c r="X2588" i="2" s="1"/>
  <c r="S2589" i="2"/>
  <c r="U2589" i="2"/>
  <c r="T2589" i="2"/>
  <c r="W2589" i="2" l="1"/>
  <c r="X2589" i="2" s="1"/>
  <c r="S2590" i="2"/>
  <c r="U2590" i="2"/>
  <c r="T2590" i="2"/>
  <c r="W2590" i="2" l="1"/>
  <c r="X2590" i="2" s="1"/>
  <c r="S2591" i="2"/>
  <c r="T2591" i="2"/>
  <c r="U2591" i="2"/>
  <c r="W2591" i="2" l="1"/>
  <c r="X2591" i="2" s="1"/>
  <c r="S2592" i="2"/>
  <c r="U2592" i="2"/>
  <c r="T2592" i="2"/>
  <c r="W2592" i="2" l="1"/>
  <c r="X2592" i="2" s="1"/>
  <c r="S2593" i="2"/>
  <c r="U2593" i="2"/>
  <c r="T2593" i="2"/>
  <c r="W2593" i="2" l="1"/>
  <c r="X2593" i="2" s="1"/>
  <c r="S2594" i="2"/>
  <c r="U2594" i="2"/>
  <c r="T2594" i="2"/>
  <c r="W2594" i="2" l="1"/>
  <c r="X2594" i="2" s="1"/>
  <c r="S2595" i="2"/>
  <c r="T2595" i="2"/>
  <c r="U2595" i="2"/>
  <c r="W2595" i="2" l="1"/>
  <c r="X2595" i="2" s="1"/>
  <c r="S2596" i="2"/>
  <c r="U2596" i="2"/>
  <c r="T2596" i="2"/>
  <c r="W2596" i="2" l="1"/>
  <c r="X2596" i="2" s="1"/>
  <c r="S2597" i="2"/>
  <c r="U2597" i="2"/>
  <c r="T2597" i="2"/>
  <c r="W2597" i="2" l="1"/>
  <c r="X2597" i="2" s="1"/>
  <c r="S2598" i="2"/>
  <c r="U2598" i="2"/>
  <c r="T2598" i="2"/>
  <c r="W2598" i="2" l="1"/>
  <c r="X2598" i="2" s="1"/>
  <c r="S2599" i="2"/>
  <c r="T2599" i="2"/>
  <c r="U2599" i="2"/>
  <c r="W2599" i="2" l="1"/>
  <c r="X2599" i="2" s="1"/>
  <c r="S2600" i="2"/>
  <c r="U2600" i="2"/>
  <c r="T2600" i="2"/>
  <c r="W2600" i="2" l="1"/>
  <c r="X2600" i="2" s="1"/>
  <c r="S2601" i="2"/>
  <c r="U2601" i="2"/>
  <c r="T2601" i="2"/>
  <c r="W2601" i="2" l="1"/>
  <c r="X2601" i="2" s="1"/>
  <c r="S2602" i="2"/>
  <c r="U2602" i="2"/>
  <c r="T2602" i="2"/>
  <c r="W2602" i="2" l="1"/>
  <c r="X2602" i="2" s="1"/>
  <c r="S2603" i="2"/>
  <c r="T2603" i="2"/>
  <c r="U2603" i="2"/>
  <c r="W2603" i="2" l="1"/>
  <c r="X2603" i="2" s="1"/>
  <c r="S2604" i="2"/>
  <c r="U2604" i="2"/>
  <c r="T2604" i="2"/>
  <c r="W2604" i="2" l="1"/>
  <c r="X2604" i="2" s="1"/>
  <c r="S2605" i="2"/>
  <c r="U2605" i="2"/>
  <c r="T2605" i="2"/>
  <c r="W2605" i="2" l="1"/>
  <c r="X2605" i="2" s="1"/>
  <c r="S2606" i="2"/>
  <c r="U2606" i="2"/>
  <c r="T2606" i="2"/>
  <c r="W2606" i="2" l="1"/>
  <c r="X2606" i="2" s="1"/>
  <c r="S2607" i="2"/>
  <c r="T2607" i="2"/>
  <c r="U2607" i="2"/>
  <c r="W2607" i="2" l="1"/>
  <c r="X2607" i="2" s="1"/>
  <c r="S2608" i="2"/>
  <c r="U2608" i="2"/>
  <c r="T2608" i="2"/>
  <c r="W2608" i="2" l="1"/>
  <c r="X2608" i="2" s="1"/>
  <c r="S2609" i="2"/>
  <c r="U2609" i="2"/>
  <c r="T2609" i="2"/>
  <c r="W2609" i="2" l="1"/>
  <c r="X2609" i="2" s="1"/>
  <c r="S2610" i="2"/>
  <c r="U2610" i="2"/>
  <c r="T2610" i="2"/>
  <c r="W2610" i="2" l="1"/>
  <c r="X2610" i="2" s="1"/>
  <c r="S2611" i="2"/>
  <c r="T2611" i="2"/>
  <c r="U2611" i="2"/>
  <c r="W2611" i="2" l="1"/>
  <c r="X2611" i="2" s="1"/>
  <c r="S2612" i="2"/>
  <c r="U2612" i="2"/>
  <c r="T2612" i="2"/>
  <c r="W2612" i="2" l="1"/>
  <c r="X2612" i="2" s="1"/>
  <c r="S2613" i="2"/>
  <c r="U2613" i="2"/>
  <c r="T2613" i="2"/>
  <c r="W2613" i="2" l="1"/>
  <c r="X2613" i="2" s="1"/>
  <c r="S2614" i="2"/>
  <c r="U2614" i="2"/>
  <c r="T2614" i="2"/>
  <c r="W2614" i="2" l="1"/>
  <c r="X2614" i="2" s="1"/>
  <c r="S2615" i="2"/>
  <c r="T2615" i="2"/>
  <c r="U2615" i="2"/>
  <c r="W2615" i="2" l="1"/>
  <c r="X2615" i="2" s="1"/>
  <c r="S2616" i="2"/>
  <c r="U2616" i="2"/>
  <c r="T2616" i="2"/>
  <c r="W2616" i="2" l="1"/>
  <c r="X2616" i="2" s="1"/>
  <c r="S2617" i="2"/>
  <c r="U2617" i="2"/>
  <c r="T2617" i="2"/>
  <c r="W2617" i="2" l="1"/>
  <c r="X2617" i="2" s="1"/>
  <c r="S2618" i="2"/>
  <c r="U2618" i="2"/>
  <c r="T2618" i="2"/>
  <c r="W2618" i="2" l="1"/>
  <c r="X2618" i="2" s="1"/>
  <c r="S2619" i="2"/>
  <c r="T2619" i="2"/>
  <c r="U2619" i="2"/>
  <c r="W2619" i="2" l="1"/>
  <c r="X2619" i="2" s="1"/>
  <c r="S2620" i="2"/>
  <c r="U2620" i="2"/>
  <c r="T2620" i="2"/>
  <c r="W2620" i="2" l="1"/>
  <c r="X2620" i="2" s="1"/>
  <c r="S2621" i="2"/>
  <c r="U2621" i="2"/>
  <c r="T2621" i="2"/>
  <c r="W2621" i="2" l="1"/>
  <c r="X2621" i="2" s="1"/>
  <c r="S2622" i="2"/>
  <c r="U2622" i="2"/>
  <c r="T2622" i="2"/>
  <c r="W2622" i="2" l="1"/>
  <c r="X2622" i="2" s="1"/>
  <c r="S2623" i="2"/>
  <c r="T2623" i="2"/>
  <c r="U2623" i="2"/>
  <c r="W2623" i="2" l="1"/>
  <c r="X2623" i="2" s="1"/>
  <c r="S2624" i="2"/>
  <c r="U2624" i="2"/>
  <c r="T2624" i="2"/>
  <c r="W2624" i="2" l="1"/>
  <c r="X2624" i="2" s="1"/>
  <c r="S2625" i="2"/>
  <c r="U2625" i="2"/>
  <c r="T2625" i="2"/>
  <c r="W2625" i="2" l="1"/>
  <c r="X2625" i="2" s="1"/>
  <c r="S2626" i="2"/>
  <c r="U2626" i="2"/>
  <c r="T2626" i="2"/>
  <c r="W2626" i="2" l="1"/>
  <c r="X2626" i="2" s="1"/>
  <c r="S2627" i="2"/>
  <c r="T2627" i="2"/>
  <c r="U2627" i="2"/>
  <c r="W2627" i="2" l="1"/>
  <c r="X2627" i="2" s="1"/>
  <c r="S2628" i="2"/>
  <c r="U2628" i="2"/>
  <c r="T2628" i="2"/>
  <c r="W2628" i="2" l="1"/>
  <c r="X2628" i="2" s="1"/>
  <c r="S2629" i="2"/>
  <c r="U2629" i="2"/>
  <c r="T2629" i="2"/>
  <c r="W2629" i="2" l="1"/>
  <c r="X2629" i="2" s="1"/>
  <c r="S2630" i="2"/>
  <c r="U2630" i="2"/>
  <c r="T2630" i="2"/>
  <c r="W2630" i="2" l="1"/>
  <c r="X2630" i="2" s="1"/>
  <c r="S2631" i="2"/>
  <c r="T2631" i="2"/>
  <c r="U2631" i="2"/>
  <c r="W2631" i="2" l="1"/>
  <c r="X2631" i="2" s="1"/>
  <c r="S2632" i="2"/>
  <c r="U2632" i="2"/>
  <c r="T2632" i="2"/>
  <c r="W2632" i="2" l="1"/>
  <c r="X2632" i="2" s="1"/>
  <c r="S2633" i="2"/>
  <c r="U2633" i="2"/>
  <c r="T2633" i="2"/>
  <c r="W2633" i="2" l="1"/>
  <c r="X2633" i="2" s="1"/>
  <c r="S2634" i="2"/>
  <c r="U2634" i="2"/>
  <c r="T2634" i="2"/>
  <c r="W2634" i="2" l="1"/>
  <c r="X2634" i="2" s="1"/>
  <c r="S2635" i="2"/>
  <c r="T2635" i="2"/>
  <c r="U2635" i="2"/>
  <c r="W2635" i="2" l="1"/>
  <c r="X2635" i="2" s="1"/>
  <c r="S2636" i="2"/>
  <c r="U2636" i="2"/>
  <c r="T2636" i="2"/>
  <c r="W2636" i="2" l="1"/>
  <c r="X2636" i="2" s="1"/>
  <c r="S2637" i="2"/>
  <c r="U2637" i="2"/>
  <c r="T2637" i="2"/>
  <c r="W2637" i="2" l="1"/>
  <c r="X2637" i="2" s="1"/>
  <c r="S2638" i="2"/>
  <c r="U2638" i="2"/>
  <c r="T2638" i="2"/>
  <c r="W2638" i="2" l="1"/>
  <c r="X2638" i="2" s="1"/>
  <c r="S2639" i="2"/>
  <c r="T2639" i="2"/>
  <c r="U2639" i="2"/>
  <c r="W2639" i="2" l="1"/>
  <c r="X2639" i="2" s="1"/>
  <c r="S2640" i="2"/>
  <c r="U2640" i="2"/>
  <c r="T2640" i="2"/>
  <c r="W2640" i="2" l="1"/>
  <c r="X2640" i="2" s="1"/>
  <c r="S2641" i="2"/>
  <c r="U2641" i="2"/>
  <c r="T2641" i="2"/>
  <c r="W2641" i="2" l="1"/>
  <c r="X2641" i="2" s="1"/>
  <c r="S2642" i="2"/>
  <c r="U2642" i="2"/>
  <c r="T2642" i="2"/>
  <c r="W2642" i="2" l="1"/>
  <c r="X2642" i="2" s="1"/>
  <c r="S2643" i="2"/>
  <c r="T2643" i="2"/>
  <c r="U2643" i="2"/>
  <c r="W2643" i="2" l="1"/>
  <c r="X2643" i="2" s="1"/>
  <c r="S2644" i="2"/>
  <c r="U2644" i="2"/>
  <c r="T2644" i="2"/>
  <c r="W2644" i="2" l="1"/>
  <c r="X2644" i="2" s="1"/>
  <c r="S2645" i="2"/>
  <c r="U2645" i="2"/>
  <c r="T2645" i="2"/>
  <c r="W2645" i="2" l="1"/>
  <c r="X2645" i="2" s="1"/>
  <c r="S2646" i="2"/>
  <c r="U2646" i="2"/>
  <c r="T2646" i="2"/>
  <c r="W2646" i="2" l="1"/>
  <c r="X2646" i="2" s="1"/>
  <c r="S2647" i="2"/>
  <c r="T2647" i="2"/>
  <c r="U2647" i="2"/>
  <c r="W2647" i="2" l="1"/>
  <c r="X2647" i="2" s="1"/>
  <c r="S2648" i="2"/>
  <c r="U2648" i="2"/>
  <c r="T2648" i="2"/>
  <c r="W2648" i="2" l="1"/>
  <c r="X2648" i="2" s="1"/>
  <c r="S2649" i="2"/>
  <c r="U2649" i="2"/>
  <c r="T2649" i="2"/>
  <c r="W2649" i="2" l="1"/>
  <c r="X2649" i="2" s="1"/>
  <c r="S2650" i="2"/>
  <c r="U2650" i="2"/>
  <c r="T2650" i="2"/>
  <c r="W2650" i="2" l="1"/>
  <c r="X2650" i="2" s="1"/>
  <c r="S2651" i="2"/>
  <c r="T2651" i="2"/>
  <c r="U2651" i="2"/>
  <c r="W2651" i="2" l="1"/>
  <c r="X2651" i="2" s="1"/>
  <c r="S2652" i="2"/>
  <c r="U2652" i="2"/>
  <c r="T2652" i="2"/>
  <c r="W2652" i="2" l="1"/>
  <c r="X2652" i="2" s="1"/>
  <c r="S2653" i="2"/>
  <c r="T2653" i="2"/>
  <c r="U2653" i="2"/>
  <c r="W2653" i="2" l="1"/>
  <c r="X2653" i="2" s="1"/>
  <c r="S2654" i="2"/>
  <c r="U2654" i="2"/>
  <c r="T2654" i="2"/>
  <c r="W2654" i="2" l="1"/>
  <c r="X2654" i="2" s="1"/>
  <c r="S2655" i="2"/>
  <c r="T2655" i="2"/>
  <c r="U2655" i="2"/>
  <c r="W2655" i="2" l="1"/>
  <c r="X2655" i="2" s="1"/>
  <c r="S2656" i="2"/>
  <c r="U2656" i="2"/>
  <c r="T2656" i="2"/>
  <c r="W2656" i="2" l="1"/>
  <c r="X2656" i="2" s="1"/>
  <c r="S2657" i="2"/>
  <c r="U2657" i="2"/>
  <c r="T2657" i="2"/>
  <c r="W2657" i="2" l="1"/>
  <c r="X2657" i="2" s="1"/>
  <c r="S2658" i="2"/>
  <c r="U2658" i="2"/>
  <c r="T2658" i="2"/>
  <c r="W2658" i="2" l="1"/>
  <c r="X2658" i="2" s="1"/>
  <c r="S2659" i="2"/>
  <c r="U2659" i="2"/>
  <c r="T2659" i="2"/>
  <c r="W2659" i="2" l="1"/>
  <c r="X2659" i="2" s="1"/>
  <c r="S2660" i="2"/>
  <c r="U2660" i="2"/>
  <c r="T2660" i="2"/>
  <c r="W2660" i="2" l="1"/>
  <c r="X2660" i="2" s="1"/>
  <c r="S2661" i="2"/>
  <c r="U2661" i="2"/>
  <c r="T2661" i="2"/>
  <c r="W2661" i="2" l="1"/>
  <c r="X2661" i="2" s="1"/>
  <c r="S2662" i="2"/>
  <c r="U2662" i="2"/>
  <c r="T2662" i="2"/>
  <c r="W2662" i="2" l="1"/>
  <c r="X2662" i="2" s="1"/>
  <c r="S2663" i="2"/>
  <c r="U2663" i="2"/>
  <c r="T2663" i="2"/>
  <c r="W2663" i="2" l="1"/>
  <c r="X2663" i="2" s="1"/>
  <c r="S2664" i="2"/>
  <c r="U2664" i="2"/>
  <c r="T2664" i="2"/>
  <c r="W2664" i="2" l="1"/>
  <c r="X2664" i="2" s="1"/>
  <c r="S2665" i="2"/>
  <c r="U2665" i="2"/>
  <c r="T2665" i="2"/>
  <c r="W2665" i="2" l="1"/>
  <c r="X2665" i="2" s="1"/>
  <c r="S2666" i="2"/>
  <c r="U2666" i="2"/>
  <c r="T2666" i="2"/>
  <c r="W2666" i="2" l="1"/>
  <c r="X2666" i="2" s="1"/>
  <c r="S2667" i="2"/>
  <c r="U2667" i="2"/>
  <c r="T2667" i="2"/>
  <c r="W2667" i="2" l="1"/>
  <c r="X2667" i="2" s="1"/>
  <c r="S2668" i="2"/>
  <c r="U2668" i="2"/>
  <c r="T2668" i="2"/>
  <c r="W2668" i="2" l="1"/>
  <c r="X2668" i="2" s="1"/>
  <c r="S2669" i="2"/>
  <c r="U2669" i="2"/>
  <c r="T2669" i="2"/>
  <c r="W2669" i="2" l="1"/>
  <c r="X2669" i="2" s="1"/>
  <c r="S2670" i="2"/>
  <c r="U2670" i="2"/>
  <c r="T2670" i="2"/>
  <c r="W2670" i="2" l="1"/>
  <c r="X2670" i="2" s="1"/>
  <c r="S2671" i="2"/>
  <c r="U2671" i="2"/>
  <c r="T2671" i="2"/>
  <c r="W2671" i="2" l="1"/>
  <c r="X2671" i="2" s="1"/>
  <c r="S2672" i="2"/>
  <c r="U2672" i="2"/>
  <c r="T2672" i="2"/>
  <c r="W2672" i="2" l="1"/>
  <c r="X2672" i="2" s="1"/>
  <c r="S2673" i="2"/>
  <c r="U2673" i="2"/>
  <c r="T2673" i="2"/>
  <c r="W2673" i="2" l="1"/>
  <c r="X2673" i="2" s="1"/>
  <c r="S2674" i="2"/>
  <c r="U2674" i="2"/>
  <c r="T2674" i="2"/>
  <c r="W2674" i="2" l="1"/>
  <c r="X2674" i="2" s="1"/>
  <c r="S2675" i="2"/>
  <c r="U2675" i="2"/>
  <c r="T2675" i="2"/>
  <c r="W2675" i="2" l="1"/>
  <c r="X2675" i="2" s="1"/>
  <c r="S2676" i="2"/>
  <c r="U2676" i="2"/>
  <c r="T2676" i="2"/>
  <c r="W2676" i="2" l="1"/>
  <c r="X2676" i="2" s="1"/>
  <c r="S2677" i="2"/>
  <c r="U2677" i="2"/>
  <c r="T2677" i="2"/>
  <c r="W2677" i="2" l="1"/>
  <c r="X2677" i="2" s="1"/>
  <c r="S2678" i="2"/>
  <c r="U2678" i="2"/>
  <c r="T2678" i="2"/>
  <c r="W2678" i="2" l="1"/>
  <c r="X2678" i="2" s="1"/>
  <c r="S2679" i="2"/>
  <c r="U2679" i="2"/>
  <c r="T2679" i="2"/>
  <c r="W2679" i="2" l="1"/>
  <c r="X2679" i="2" s="1"/>
  <c r="S2680" i="2"/>
  <c r="U2680" i="2"/>
  <c r="T2680" i="2"/>
  <c r="W2680" i="2" l="1"/>
  <c r="X2680" i="2" s="1"/>
  <c r="S2681" i="2"/>
  <c r="U2681" i="2"/>
  <c r="T2681" i="2"/>
  <c r="W2681" i="2" l="1"/>
  <c r="X2681" i="2" s="1"/>
  <c r="S2682" i="2"/>
  <c r="T2682" i="2"/>
  <c r="U2682" i="2"/>
  <c r="W2682" i="2" l="1"/>
  <c r="X2682" i="2" s="1"/>
  <c r="S2683" i="2"/>
  <c r="U2683" i="2"/>
  <c r="T2683" i="2"/>
  <c r="W2683" i="2" l="1"/>
  <c r="X2683" i="2" s="1"/>
  <c r="S2684" i="2"/>
  <c r="U2684" i="2"/>
  <c r="T2684" i="2"/>
  <c r="W2684" i="2" l="1"/>
  <c r="X2684" i="2" s="1"/>
  <c r="S2685" i="2"/>
  <c r="U2685" i="2"/>
  <c r="T2685" i="2"/>
  <c r="W2685" i="2" l="1"/>
  <c r="X2685" i="2" s="1"/>
  <c r="S2686" i="2"/>
  <c r="U2686" i="2"/>
  <c r="T2686" i="2"/>
  <c r="W2686" i="2" l="1"/>
  <c r="X2686" i="2" s="1"/>
  <c r="S2687" i="2"/>
  <c r="U2687" i="2"/>
  <c r="T2687" i="2"/>
  <c r="W2687" i="2" l="1"/>
  <c r="X2687" i="2" s="1"/>
  <c r="S2688" i="2"/>
  <c r="U2688" i="2"/>
  <c r="T2688" i="2"/>
  <c r="W2688" i="2" l="1"/>
  <c r="X2688" i="2" s="1"/>
  <c r="S2689" i="2"/>
  <c r="U2689" i="2"/>
  <c r="T2689" i="2"/>
  <c r="W2689" i="2" l="1"/>
  <c r="X2689" i="2" s="1"/>
  <c r="S2690" i="2"/>
  <c r="U2690" i="2"/>
  <c r="T2690" i="2"/>
  <c r="W2690" i="2" l="1"/>
  <c r="X2690" i="2" s="1"/>
  <c r="S2691" i="2"/>
  <c r="U2691" i="2"/>
  <c r="T2691" i="2"/>
  <c r="W2691" i="2" l="1"/>
  <c r="X2691" i="2" s="1"/>
  <c r="S2692" i="2"/>
  <c r="U2692" i="2"/>
  <c r="T2692" i="2"/>
  <c r="W2692" i="2" l="1"/>
  <c r="X2692" i="2" s="1"/>
  <c r="S2693" i="2"/>
  <c r="U2693" i="2"/>
  <c r="T2693" i="2"/>
  <c r="W2693" i="2" l="1"/>
  <c r="X2693" i="2" s="1"/>
  <c r="S2694" i="2"/>
  <c r="U2694" i="2"/>
  <c r="T2694" i="2"/>
  <c r="W2694" i="2" l="1"/>
  <c r="X2694" i="2" s="1"/>
  <c r="S2695" i="2"/>
  <c r="U2695" i="2"/>
  <c r="T2695" i="2"/>
  <c r="W2695" i="2" l="1"/>
  <c r="X2695" i="2" s="1"/>
  <c r="S2696" i="2"/>
  <c r="U2696" i="2"/>
  <c r="T2696" i="2"/>
  <c r="W2696" i="2" l="1"/>
  <c r="X2696" i="2" s="1"/>
  <c r="S2697" i="2"/>
  <c r="U2697" i="2"/>
  <c r="T2697" i="2"/>
  <c r="W2697" i="2" l="1"/>
  <c r="X2697" i="2" s="1"/>
  <c r="S2698" i="2"/>
  <c r="U2698" i="2"/>
  <c r="T2698" i="2"/>
  <c r="W2698" i="2" l="1"/>
  <c r="X2698" i="2" s="1"/>
  <c r="S2699" i="2"/>
  <c r="U2699" i="2"/>
  <c r="T2699" i="2"/>
  <c r="W2699" i="2" l="1"/>
  <c r="X2699" i="2" s="1"/>
  <c r="S2700" i="2"/>
  <c r="U2700" i="2"/>
  <c r="T2700" i="2"/>
  <c r="W2700" i="2" l="1"/>
  <c r="X2700" i="2" s="1"/>
  <c r="S2701" i="2"/>
  <c r="U2701" i="2"/>
  <c r="T2701" i="2"/>
  <c r="W2701" i="2" l="1"/>
  <c r="X2701" i="2" s="1"/>
  <c r="S2702" i="2"/>
  <c r="U2702" i="2"/>
  <c r="T2702" i="2"/>
  <c r="W2702" i="2" l="1"/>
  <c r="X2702" i="2" s="1"/>
  <c r="S2703" i="2"/>
  <c r="U2703" i="2"/>
  <c r="T2703" i="2"/>
  <c r="W2703" i="2" l="1"/>
  <c r="X2703" i="2" s="1"/>
  <c r="S2704" i="2"/>
  <c r="U2704" i="2"/>
  <c r="T2704" i="2"/>
  <c r="W2704" i="2" l="1"/>
  <c r="X2704" i="2" s="1"/>
  <c r="S2705" i="2"/>
  <c r="U2705" i="2"/>
  <c r="T2705" i="2"/>
  <c r="W2705" i="2" l="1"/>
  <c r="X2705" i="2" s="1"/>
  <c r="S2706" i="2"/>
  <c r="U2706" i="2"/>
  <c r="T2706" i="2"/>
  <c r="W2706" i="2" l="1"/>
  <c r="X2706" i="2" s="1"/>
  <c r="S2707" i="2"/>
  <c r="U2707" i="2"/>
  <c r="T2707" i="2"/>
  <c r="W2707" i="2" l="1"/>
  <c r="X2707" i="2" s="1"/>
  <c r="S2708" i="2"/>
  <c r="U2708" i="2"/>
  <c r="T2708" i="2"/>
  <c r="W2708" i="2" l="1"/>
  <c r="X2708" i="2" s="1"/>
  <c r="S2709" i="2"/>
  <c r="U2709" i="2"/>
  <c r="T2709" i="2"/>
  <c r="W2709" i="2" l="1"/>
  <c r="X2709" i="2" s="1"/>
  <c r="S2710" i="2"/>
  <c r="U2710" i="2"/>
  <c r="T2710" i="2"/>
  <c r="W2710" i="2" l="1"/>
  <c r="X2710" i="2" s="1"/>
  <c r="S2711" i="2"/>
  <c r="U2711" i="2"/>
  <c r="T2711" i="2"/>
  <c r="W2711" i="2" l="1"/>
  <c r="X2711" i="2" s="1"/>
  <c r="S2712" i="2"/>
  <c r="U2712" i="2"/>
  <c r="T2712" i="2"/>
  <c r="W2712" i="2" l="1"/>
  <c r="X2712" i="2" s="1"/>
  <c r="S2713" i="2"/>
  <c r="U2713" i="2"/>
  <c r="T2713" i="2"/>
  <c r="W2713" i="2" l="1"/>
  <c r="X2713" i="2" s="1"/>
  <c r="S2714" i="2"/>
  <c r="T2714" i="2"/>
  <c r="U2714" i="2"/>
  <c r="W2714" i="2" l="1"/>
  <c r="X2714" i="2" s="1"/>
  <c r="S2715" i="2"/>
  <c r="U2715" i="2"/>
  <c r="T2715" i="2"/>
  <c r="W2715" i="2" l="1"/>
  <c r="X2715" i="2" s="1"/>
  <c r="S2716" i="2"/>
  <c r="U2716" i="2"/>
  <c r="T2716" i="2"/>
  <c r="W2716" i="2" l="1"/>
  <c r="X2716" i="2" s="1"/>
  <c r="S2717" i="2"/>
  <c r="U2717" i="2"/>
  <c r="T2717" i="2"/>
  <c r="W2717" i="2" l="1"/>
  <c r="X2717" i="2" s="1"/>
  <c r="S2718" i="2"/>
  <c r="U2718" i="2"/>
  <c r="T2718" i="2"/>
  <c r="W2718" i="2" l="1"/>
  <c r="X2718" i="2" s="1"/>
  <c r="S2719" i="2"/>
  <c r="U2719" i="2"/>
  <c r="T2719" i="2"/>
  <c r="W2719" i="2" l="1"/>
  <c r="X2719" i="2" s="1"/>
  <c r="S2720" i="2"/>
  <c r="U2720" i="2"/>
  <c r="T2720" i="2"/>
  <c r="W2720" i="2" l="1"/>
  <c r="X2720" i="2" s="1"/>
  <c r="S2721" i="2"/>
  <c r="U2721" i="2"/>
  <c r="T2721" i="2"/>
  <c r="W2721" i="2" l="1"/>
  <c r="X2721" i="2" s="1"/>
  <c r="S2722" i="2"/>
  <c r="U2722" i="2"/>
  <c r="T2722" i="2"/>
  <c r="W2722" i="2" l="1"/>
  <c r="X2722" i="2" s="1"/>
  <c r="S2723" i="2"/>
  <c r="U2723" i="2"/>
  <c r="T2723" i="2"/>
  <c r="W2723" i="2" l="1"/>
  <c r="X2723" i="2" s="1"/>
  <c r="S2724" i="2"/>
  <c r="U2724" i="2"/>
  <c r="T2724" i="2"/>
  <c r="W2724" i="2" l="1"/>
  <c r="X2724" i="2" s="1"/>
  <c r="S2725" i="2"/>
  <c r="U2725" i="2"/>
  <c r="T2725" i="2"/>
  <c r="W2725" i="2" l="1"/>
  <c r="X2725" i="2" s="1"/>
  <c r="S2726" i="2"/>
  <c r="U2726" i="2"/>
  <c r="T2726" i="2"/>
  <c r="W2726" i="2" l="1"/>
  <c r="X2726" i="2" s="1"/>
  <c r="S2727" i="2"/>
  <c r="U2727" i="2"/>
  <c r="T2727" i="2"/>
  <c r="W2727" i="2" l="1"/>
  <c r="X2727" i="2" s="1"/>
  <c r="S2728" i="2"/>
  <c r="U2728" i="2"/>
  <c r="T2728" i="2"/>
  <c r="W2728" i="2" l="1"/>
  <c r="X2728" i="2" s="1"/>
  <c r="S2729" i="2"/>
  <c r="U2729" i="2"/>
  <c r="T2729" i="2"/>
  <c r="W2729" i="2" l="1"/>
  <c r="X2729" i="2" s="1"/>
  <c r="S2730" i="2"/>
  <c r="T2730" i="2"/>
  <c r="U2730" i="2"/>
  <c r="W2730" i="2" l="1"/>
  <c r="X2730" i="2" s="1"/>
  <c r="S2731" i="2"/>
  <c r="U2731" i="2"/>
  <c r="T2731" i="2"/>
  <c r="W2731" i="2" l="1"/>
  <c r="X2731" i="2" s="1"/>
  <c r="S2732" i="2"/>
  <c r="U2732" i="2"/>
  <c r="T2732" i="2"/>
  <c r="W2732" i="2" l="1"/>
  <c r="X2732" i="2" s="1"/>
  <c r="S2733" i="2"/>
  <c r="U2733" i="2"/>
  <c r="T2733" i="2"/>
  <c r="W2733" i="2" l="1"/>
  <c r="X2733" i="2" s="1"/>
  <c r="S2734" i="2"/>
  <c r="T2734" i="2"/>
  <c r="U2734" i="2"/>
  <c r="W2734" i="2" l="1"/>
  <c r="X2734" i="2" s="1"/>
  <c r="S2735" i="2"/>
  <c r="U2735" i="2"/>
  <c r="T2735" i="2"/>
  <c r="W2735" i="2" l="1"/>
  <c r="X2735" i="2" s="1"/>
  <c r="S2736" i="2"/>
  <c r="U2736" i="2"/>
  <c r="T2736" i="2"/>
  <c r="W2736" i="2" l="1"/>
  <c r="X2736" i="2" s="1"/>
  <c r="S2737" i="2"/>
  <c r="U2737" i="2"/>
  <c r="T2737" i="2"/>
  <c r="W2737" i="2" l="1"/>
  <c r="X2737" i="2" s="1"/>
  <c r="S2738" i="2"/>
  <c r="T2738" i="2"/>
  <c r="U2738" i="2"/>
  <c r="W2738" i="2" l="1"/>
  <c r="X2738" i="2" s="1"/>
  <c r="S2739" i="2"/>
  <c r="U2739" i="2"/>
  <c r="T2739" i="2"/>
  <c r="W2739" i="2" l="1"/>
  <c r="X2739" i="2" s="1"/>
  <c r="S2740" i="2"/>
  <c r="U2740" i="2"/>
  <c r="T2740" i="2"/>
  <c r="W2740" i="2" l="1"/>
  <c r="X2740" i="2" s="1"/>
  <c r="S2741" i="2"/>
  <c r="U2741" i="2"/>
  <c r="T2741" i="2"/>
  <c r="W2741" i="2" l="1"/>
  <c r="X2741" i="2" s="1"/>
  <c r="S2742" i="2"/>
  <c r="T2742" i="2"/>
  <c r="U2742" i="2"/>
  <c r="W2742" i="2" l="1"/>
  <c r="X2742" i="2" s="1"/>
  <c r="S2743" i="2"/>
  <c r="U2743" i="2"/>
  <c r="T2743" i="2"/>
  <c r="W2743" i="2" l="1"/>
  <c r="X2743" i="2" s="1"/>
  <c r="S2744" i="2"/>
  <c r="U2744" i="2"/>
  <c r="T2744" i="2"/>
  <c r="W2744" i="2" l="1"/>
  <c r="X2744" i="2" s="1"/>
  <c r="S2745" i="2"/>
  <c r="U2745" i="2"/>
  <c r="T2745" i="2"/>
  <c r="W2745" i="2" l="1"/>
  <c r="X2745" i="2" s="1"/>
  <c r="S2746" i="2"/>
  <c r="T2746" i="2"/>
  <c r="U2746" i="2"/>
  <c r="W2746" i="2" l="1"/>
  <c r="X2746" i="2" s="1"/>
  <c r="S2747" i="2"/>
  <c r="U2747" i="2"/>
  <c r="T2747" i="2"/>
  <c r="W2747" i="2" l="1"/>
  <c r="X2747" i="2" s="1"/>
  <c r="S2748" i="2"/>
  <c r="U2748" i="2"/>
  <c r="T2748" i="2"/>
  <c r="W2748" i="2" l="1"/>
  <c r="X2748" i="2" s="1"/>
  <c r="S2749" i="2"/>
  <c r="U2749" i="2"/>
  <c r="T2749" i="2"/>
  <c r="W2749" i="2" l="1"/>
  <c r="X2749" i="2" s="1"/>
  <c r="S2750" i="2"/>
  <c r="T2750" i="2"/>
  <c r="U2750" i="2"/>
  <c r="W2750" i="2" l="1"/>
  <c r="X2750" i="2" s="1"/>
  <c r="S2751" i="2"/>
  <c r="U2751" i="2"/>
  <c r="T2751" i="2"/>
  <c r="W2751" i="2" l="1"/>
  <c r="X2751" i="2" s="1"/>
  <c r="S2752" i="2"/>
  <c r="U2752" i="2"/>
  <c r="T2752" i="2"/>
  <c r="W2752" i="2" l="1"/>
  <c r="X2752" i="2" s="1"/>
  <c r="S2753" i="2"/>
  <c r="U2753" i="2"/>
  <c r="T2753" i="2"/>
  <c r="W2753" i="2" l="1"/>
  <c r="X2753" i="2" s="1"/>
  <c r="S2754" i="2"/>
  <c r="T2754" i="2"/>
  <c r="U2754" i="2"/>
  <c r="W2754" i="2" l="1"/>
  <c r="X2754" i="2" s="1"/>
  <c r="S2755" i="2"/>
  <c r="U2755" i="2"/>
  <c r="T2755" i="2"/>
  <c r="W2755" i="2" l="1"/>
  <c r="X2755" i="2" s="1"/>
  <c r="S2756" i="2"/>
  <c r="U2756" i="2"/>
  <c r="T2756" i="2"/>
  <c r="W2756" i="2" l="1"/>
  <c r="X2756" i="2" s="1"/>
  <c r="S2757" i="2"/>
  <c r="U2757" i="2"/>
  <c r="T2757" i="2"/>
  <c r="W2757" i="2" l="1"/>
  <c r="X2757" i="2" s="1"/>
  <c r="S2758" i="2"/>
  <c r="T2758" i="2"/>
  <c r="U2758" i="2"/>
  <c r="W2758" i="2" l="1"/>
  <c r="X2758" i="2" s="1"/>
  <c r="S2759" i="2"/>
  <c r="U2759" i="2"/>
  <c r="T2759" i="2"/>
  <c r="W2759" i="2" l="1"/>
  <c r="X2759" i="2" s="1"/>
  <c r="S2760" i="2"/>
  <c r="U2760" i="2"/>
  <c r="T2760" i="2"/>
  <c r="W2760" i="2" l="1"/>
  <c r="X2760" i="2" s="1"/>
  <c r="S2761" i="2"/>
  <c r="U2761" i="2"/>
  <c r="T2761" i="2"/>
  <c r="W2761" i="2" l="1"/>
  <c r="X2761" i="2" s="1"/>
  <c r="S2762" i="2"/>
  <c r="T2762" i="2"/>
  <c r="U2762" i="2"/>
  <c r="W2762" i="2" l="1"/>
  <c r="X2762" i="2" s="1"/>
  <c r="S2763" i="2"/>
  <c r="U2763" i="2"/>
  <c r="T2763" i="2"/>
  <c r="W2763" i="2" l="1"/>
  <c r="X2763" i="2" s="1"/>
  <c r="S2764" i="2"/>
  <c r="U2764" i="2"/>
  <c r="T2764" i="2"/>
  <c r="W2764" i="2" l="1"/>
  <c r="X2764" i="2" s="1"/>
  <c r="S2765" i="2"/>
  <c r="U2765" i="2"/>
  <c r="T2765" i="2"/>
  <c r="W2765" i="2" l="1"/>
  <c r="X2765" i="2" s="1"/>
  <c r="S2766" i="2"/>
  <c r="T2766" i="2"/>
  <c r="U2766" i="2"/>
  <c r="W2766" i="2" l="1"/>
  <c r="X2766" i="2" s="1"/>
  <c r="S2767" i="2"/>
  <c r="U2767" i="2"/>
  <c r="T2767" i="2"/>
  <c r="W2767" i="2" l="1"/>
  <c r="X2767" i="2" s="1"/>
  <c r="S2768" i="2"/>
  <c r="U2768" i="2"/>
  <c r="T2768" i="2"/>
  <c r="W2768" i="2" l="1"/>
  <c r="X2768" i="2" s="1"/>
  <c r="S2769" i="2"/>
  <c r="U2769" i="2"/>
  <c r="T2769" i="2"/>
  <c r="W2769" i="2" l="1"/>
  <c r="X2769" i="2" s="1"/>
  <c r="S2770" i="2"/>
  <c r="T2770" i="2"/>
  <c r="U2770" i="2"/>
  <c r="W2770" i="2" l="1"/>
  <c r="X2770" i="2" s="1"/>
  <c r="S2771" i="2"/>
  <c r="U2771" i="2"/>
  <c r="T2771" i="2"/>
  <c r="W2771" i="2" l="1"/>
  <c r="X2771" i="2" s="1"/>
  <c r="S2772" i="2"/>
  <c r="U2772" i="2"/>
  <c r="T2772" i="2"/>
  <c r="W2772" i="2" l="1"/>
  <c r="X2772" i="2" s="1"/>
  <c r="S2773" i="2"/>
  <c r="U2773" i="2"/>
  <c r="T2773" i="2"/>
  <c r="W2773" i="2" l="1"/>
  <c r="X2773" i="2" s="1"/>
  <c r="S2774" i="2"/>
  <c r="T2774" i="2"/>
  <c r="U2774" i="2"/>
  <c r="W2774" i="2" l="1"/>
  <c r="X2774" i="2" s="1"/>
  <c r="S2775" i="2"/>
  <c r="U2775" i="2"/>
  <c r="T2775" i="2"/>
  <c r="W2775" i="2" l="1"/>
  <c r="X2775" i="2" s="1"/>
  <c r="S2776" i="2"/>
  <c r="U2776" i="2"/>
  <c r="T2776" i="2"/>
  <c r="W2776" i="2" l="1"/>
  <c r="X2776" i="2" s="1"/>
  <c r="S2777" i="2"/>
  <c r="U2777" i="2"/>
  <c r="T2777" i="2"/>
  <c r="W2777" i="2" l="1"/>
  <c r="X2777" i="2" s="1"/>
  <c r="S2778" i="2"/>
  <c r="T2778" i="2"/>
  <c r="U2778" i="2"/>
  <c r="W2778" i="2" l="1"/>
  <c r="X2778" i="2" s="1"/>
  <c r="S2779" i="2"/>
  <c r="U2779" i="2"/>
  <c r="T2779" i="2"/>
  <c r="W2779" i="2" l="1"/>
  <c r="X2779" i="2" s="1"/>
  <c r="S2780" i="2"/>
  <c r="U2780" i="2"/>
  <c r="T2780" i="2"/>
  <c r="W2780" i="2" l="1"/>
  <c r="X2780" i="2" s="1"/>
  <c r="S2781" i="2"/>
  <c r="U2781" i="2"/>
  <c r="T2781" i="2"/>
  <c r="W2781" i="2" l="1"/>
  <c r="X2781" i="2" s="1"/>
  <c r="S2782" i="2"/>
  <c r="T2782" i="2"/>
  <c r="U2782" i="2"/>
  <c r="W2782" i="2" l="1"/>
  <c r="X2782" i="2" s="1"/>
  <c r="S2783" i="2"/>
  <c r="U2783" i="2"/>
  <c r="T2783" i="2"/>
  <c r="W2783" i="2" l="1"/>
  <c r="X2783" i="2" s="1"/>
  <c r="S2784" i="2"/>
  <c r="U2784" i="2"/>
  <c r="T2784" i="2"/>
  <c r="W2784" i="2" l="1"/>
  <c r="X2784" i="2" s="1"/>
  <c r="S2785" i="2"/>
  <c r="U2785" i="2"/>
  <c r="T2785" i="2"/>
  <c r="W2785" i="2" l="1"/>
  <c r="X2785" i="2" s="1"/>
  <c r="S2786" i="2"/>
  <c r="T2786" i="2"/>
  <c r="U2786" i="2"/>
  <c r="W2786" i="2" l="1"/>
  <c r="X2786" i="2" s="1"/>
  <c r="S2787" i="2"/>
  <c r="U2787" i="2"/>
  <c r="T2787" i="2"/>
  <c r="W2787" i="2" l="1"/>
  <c r="X2787" i="2" s="1"/>
  <c r="S2788" i="2"/>
  <c r="U2788" i="2"/>
  <c r="T2788" i="2"/>
  <c r="W2788" i="2" l="1"/>
  <c r="X2788" i="2" s="1"/>
  <c r="S2789" i="2"/>
  <c r="U2789" i="2"/>
  <c r="T2789" i="2"/>
  <c r="W2789" i="2" l="1"/>
  <c r="X2789" i="2" s="1"/>
  <c r="S2790" i="2"/>
  <c r="T2790" i="2"/>
  <c r="U2790" i="2"/>
  <c r="W2790" i="2" l="1"/>
  <c r="X2790" i="2" s="1"/>
  <c r="S2791" i="2"/>
  <c r="U2791" i="2"/>
  <c r="T2791" i="2"/>
  <c r="W2791" i="2" l="1"/>
  <c r="X2791" i="2" s="1"/>
  <c r="S2792" i="2"/>
  <c r="U2792" i="2"/>
  <c r="T2792" i="2"/>
  <c r="W2792" i="2" l="1"/>
  <c r="X2792" i="2" s="1"/>
  <c r="S2793" i="2"/>
  <c r="U2793" i="2"/>
  <c r="T2793" i="2"/>
  <c r="W2793" i="2" l="1"/>
  <c r="X2793" i="2" s="1"/>
  <c r="S2794" i="2"/>
  <c r="T2794" i="2"/>
  <c r="U2794" i="2"/>
  <c r="W2794" i="2" l="1"/>
  <c r="X2794" i="2" s="1"/>
  <c r="S2795" i="2"/>
  <c r="U2795" i="2"/>
  <c r="T2795" i="2"/>
  <c r="W2795" i="2" l="1"/>
  <c r="X2795" i="2" s="1"/>
  <c r="S2796" i="2"/>
  <c r="U2796" i="2"/>
  <c r="T2796" i="2"/>
  <c r="W2796" i="2" l="1"/>
  <c r="X2796" i="2" s="1"/>
  <c r="S2797" i="2"/>
  <c r="U2797" i="2"/>
  <c r="T2797" i="2"/>
  <c r="W2797" i="2" l="1"/>
  <c r="X2797" i="2" s="1"/>
  <c r="S2798" i="2"/>
  <c r="T2798" i="2"/>
  <c r="U2798" i="2"/>
  <c r="W2798" i="2" l="1"/>
  <c r="X2798" i="2" s="1"/>
  <c r="S2799" i="2"/>
  <c r="U2799" i="2"/>
  <c r="T2799" i="2"/>
  <c r="W2799" i="2" l="1"/>
  <c r="X2799" i="2" s="1"/>
  <c r="S2800" i="2"/>
  <c r="U2800" i="2"/>
  <c r="T2800" i="2"/>
  <c r="W2800" i="2" l="1"/>
  <c r="X2800" i="2" s="1"/>
  <c r="S2801" i="2"/>
  <c r="U2801" i="2"/>
  <c r="T2801" i="2"/>
  <c r="W2801" i="2" l="1"/>
  <c r="X2801" i="2" s="1"/>
  <c r="S2802" i="2"/>
  <c r="T2802" i="2"/>
  <c r="U2802" i="2"/>
  <c r="W2802" i="2" l="1"/>
  <c r="X2802" i="2" s="1"/>
</calcChain>
</file>

<file path=xl/sharedStrings.xml><?xml version="1.0" encoding="utf-8"?>
<sst xmlns="http://schemas.openxmlformats.org/spreadsheetml/2006/main" count="66" uniqueCount="29">
  <si>
    <t>x</t>
  </si>
  <si>
    <t>x1</t>
  </si>
  <si>
    <t>x2</t>
  </si>
  <si>
    <t>y1</t>
  </si>
  <si>
    <t>y2</t>
  </si>
  <si>
    <t>y</t>
  </si>
  <si>
    <t>TIR</t>
  </si>
  <si>
    <t>N°</t>
  </si>
  <si>
    <t>Fecha</t>
  </si>
  <si>
    <t>Interés</t>
  </si>
  <si>
    <t>Amort</t>
  </si>
  <si>
    <t>Saldo</t>
  </si>
  <si>
    <t>Flujo</t>
  </si>
  <si>
    <t>Tabla de Desarrollo</t>
  </si>
  <si>
    <t>Plazo</t>
  </si>
  <si>
    <t>num_cup</t>
  </si>
  <si>
    <t>Fecha Actual</t>
  </si>
  <si>
    <t>Tir</t>
  </si>
  <si>
    <t xml:space="preserve">Tasa Emisión </t>
  </si>
  <si>
    <t>VP (t=0)</t>
  </si>
  <si>
    <t>TIR_teo</t>
  </si>
  <si>
    <t>BSTDF60909</t>
  </si>
  <si>
    <t>DurMod</t>
  </si>
  <si>
    <t>BCU0300414</t>
  </si>
  <si>
    <t>BCENC-E</t>
  </si>
  <si>
    <t>ncup</t>
  </si>
  <si>
    <t>Carry</t>
  </si>
  <si>
    <t>Capital</t>
  </si>
  <si>
    <t>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</si>
</sst>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\-yyyy;@"/>
    <numFmt numFmtId="165" formatCode="#,##0.000"/>
    <numFmt numFmtId="166" formatCode="0.0000"/>
    <numFmt numFmtId="171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63"/>
      <name val="Arial"/>
      <family val="2"/>
    </font>
    <font>
      <b/>
      <sz val="8"/>
      <color indexed="63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164" fontId="0" fillId="0" borderId="0" xfId="0" applyNumberFormat="1"/>
    <xf numFmtId="0" fontId="2" fillId="2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0" xfId="0" applyFont="1" applyFill="1" applyBorder="1" applyAlignment="1">
      <alignment horizontal="center" wrapText="1"/>
    </xf>
    <xf numFmtId="165" fontId="2" fillId="2" borderId="5" xfId="0" applyNumberFormat="1" applyFont="1" applyFill="1" applyBorder="1" applyAlignment="1">
      <alignment horizontal="center" wrapText="1"/>
    </xf>
    <xf numFmtId="0" fontId="2" fillId="2" borderId="6" xfId="0" applyFont="1" applyFill="1" applyBorder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165" fontId="2" fillId="2" borderId="8" xfId="0" applyNumberFormat="1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2" fontId="0" fillId="0" borderId="0" xfId="0" applyNumberFormat="1"/>
    <xf numFmtId="0" fontId="0" fillId="2" borderId="3" xfId="0" applyFill="1" applyBorder="1"/>
    <xf numFmtId="0" fontId="0" fillId="2" borderId="8" xfId="0" applyFill="1" applyBorder="1"/>
    <xf numFmtId="9" fontId="4" fillId="0" borderId="0" xfId="1" applyFont="1"/>
    <xf numFmtId="14" fontId="2" fillId="2" borderId="0" xfId="0" applyNumberFormat="1" applyFont="1" applyFill="1" applyBorder="1" applyAlignment="1">
      <alignment horizontal="center" wrapText="1"/>
    </xf>
    <xf numFmtId="0" fontId="0" fillId="2" borderId="5" xfId="0" applyFill="1" applyBorder="1"/>
    <xf numFmtId="14" fontId="2" fillId="2" borderId="7" xfId="0" applyNumberFormat="1" applyFont="1" applyFill="1" applyBorder="1" applyAlignment="1">
      <alignment horizontal="center" wrapText="1"/>
    </xf>
    <xf numFmtId="10" fontId="4" fillId="0" borderId="0" xfId="1" applyNumberFormat="1" applyFont="1"/>
    <xf numFmtId="0" fontId="0" fillId="0" borderId="0" xfId="0" applyAlignment="1">
      <alignment horizontal="right" wrapText="1"/>
    </xf>
    <xf numFmtId="0" fontId="0" fillId="0" borderId="0" xfId="0" applyBorder="1" applyAlignment="1">
      <alignment horizontal="right" wrapText="1"/>
    </xf>
    <xf numFmtId="14" fontId="0" fillId="0" borderId="0" xfId="0" applyNumberFormat="1" applyBorder="1" applyAlignment="1">
      <alignment wrapText="1"/>
    </xf>
    <xf numFmtId="0" fontId="0" fillId="0" borderId="4" xfId="0" applyBorder="1" applyAlignment="1">
      <alignment horizontal="right" wrapText="1"/>
    </xf>
    <xf numFmtId="0" fontId="0" fillId="0" borderId="6" xfId="0" applyBorder="1" applyAlignment="1">
      <alignment horizontal="right" wrapText="1"/>
    </xf>
    <xf numFmtId="14" fontId="0" fillId="0" borderId="7" xfId="0" applyNumberFormat="1" applyBorder="1" applyAlignment="1">
      <alignment wrapText="1"/>
    </xf>
    <xf numFmtId="0" fontId="0" fillId="0" borderId="7" xfId="0" applyBorder="1" applyAlignment="1">
      <alignment horizontal="right" wrapText="1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10" fontId="0" fillId="0" borderId="0" xfId="1" applyNumberFormat="1" applyFont="1"/>
    <xf numFmtId="0" fontId="0" fillId="0" borderId="5" xfId="0" applyBorder="1" applyAlignment="1">
      <alignment horizontal="right" wrapText="1"/>
    </xf>
    <xf numFmtId="0" fontId="0" fillId="0" borderId="8" xfId="0" applyBorder="1" applyAlignment="1">
      <alignment horizontal="right" wrapText="1"/>
    </xf>
    <xf numFmtId="10" fontId="0" fillId="0" borderId="0" xfId="0" applyNumberFormat="1"/>
    <xf numFmtId="0" fontId="0" fillId="0" borderId="0" xfId="0" quotePrefix="1"/>
    <xf numFmtId="14" fontId="0" fillId="0" borderId="0" xfId="0" quotePrefix="1" applyNumberFormat="1"/>
    <xf numFmtId="2" fontId="0" fillId="0" borderId="0" xfId="0" quotePrefix="1" applyNumberFormat="1"/>
    <xf numFmtId="166" fontId="0" fillId="0" borderId="0" xfId="0" quotePrefix="1" applyNumberFormat="1"/>
    <xf numFmtId="0" fontId="2" fillId="3" borderId="4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14" fontId="0" fillId="0" borderId="0" xfId="0" applyNumberFormat="1"/>
    <xf numFmtId="14" fontId="2" fillId="2" borderId="5" xfId="0" applyNumberFormat="1" applyFont="1" applyFill="1" applyBorder="1" applyAlignment="1">
      <alignment horizontal="center" wrapText="1"/>
    </xf>
    <xf numFmtId="171" fontId="0" fillId="0" borderId="0" xfId="1" applyNumberFormat="1" applyFont="1"/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Duracion!$S$5:$S$1641</c:f>
              <c:numCache>
                <c:formatCode>m/d/yyyy</c:formatCode>
                <c:ptCount val="1637"/>
                <c:pt idx="0">
                  <c:v>43055</c:v>
                </c:pt>
                <c:pt idx="1">
                  <c:v>43056</c:v>
                </c:pt>
                <c:pt idx="2">
                  <c:v>43057</c:v>
                </c:pt>
                <c:pt idx="3">
                  <c:v>43058</c:v>
                </c:pt>
                <c:pt idx="4">
                  <c:v>43059</c:v>
                </c:pt>
                <c:pt idx="5">
                  <c:v>43060</c:v>
                </c:pt>
                <c:pt idx="6">
                  <c:v>43061</c:v>
                </c:pt>
                <c:pt idx="7">
                  <c:v>43062</c:v>
                </c:pt>
                <c:pt idx="8">
                  <c:v>43063</c:v>
                </c:pt>
                <c:pt idx="9">
                  <c:v>43064</c:v>
                </c:pt>
                <c:pt idx="10">
                  <c:v>43065</c:v>
                </c:pt>
                <c:pt idx="11">
                  <c:v>43066</c:v>
                </c:pt>
                <c:pt idx="12">
                  <c:v>43067</c:v>
                </c:pt>
                <c:pt idx="13">
                  <c:v>43068</c:v>
                </c:pt>
                <c:pt idx="14">
                  <c:v>43069</c:v>
                </c:pt>
                <c:pt idx="15">
                  <c:v>43070</c:v>
                </c:pt>
                <c:pt idx="16">
                  <c:v>43071</c:v>
                </c:pt>
                <c:pt idx="17">
                  <c:v>43072</c:v>
                </c:pt>
                <c:pt idx="18">
                  <c:v>43073</c:v>
                </c:pt>
                <c:pt idx="19">
                  <c:v>43074</c:v>
                </c:pt>
                <c:pt idx="20">
                  <c:v>43075</c:v>
                </c:pt>
                <c:pt idx="21">
                  <c:v>43076</c:v>
                </c:pt>
                <c:pt idx="22">
                  <c:v>43077</c:v>
                </c:pt>
                <c:pt idx="23">
                  <c:v>43078</c:v>
                </c:pt>
                <c:pt idx="24">
                  <c:v>43079</c:v>
                </c:pt>
                <c:pt idx="25">
                  <c:v>43080</c:v>
                </c:pt>
                <c:pt idx="26">
                  <c:v>43081</c:v>
                </c:pt>
                <c:pt idx="27">
                  <c:v>43082</c:v>
                </c:pt>
                <c:pt idx="28">
                  <c:v>43083</c:v>
                </c:pt>
                <c:pt idx="29">
                  <c:v>43084</c:v>
                </c:pt>
                <c:pt idx="30">
                  <c:v>43085</c:v>
                </c:pt>
                <c:pt idx="31">
                  <c:v>43086</c:v>
                </c:pt>
                <c:pt idx="32">
                  <c:v>43087</c:v>
                </c:pt>
                <c:pt idx="33">
                  <c:v>43088</c:v>
                </c:pt>
                <c:pt idx="34">
                  <c:v>43089</c:v>
                </c:pt>
                <c:pt idx="35">
                  <c:v>43090</c:v>
                </c:pt>
                <c:pt idx="36">
                  <c:v>43091</c:v>
                </c:pt>
                <c:pt idx="37">
                  <c:v>43092</c:v>
                </c:pt>
                <c:pt idx="38">
                  <c:v>43093</c:v>
                </c:pt>
                <c:pt idx="39">
                  <c:v>43094</c:v>
                </c:pt>
                <c:pt idx="40">
                  <c:v>43095</c:v>
                </c:pt>
                <c:pt idx="41">
                  <c:v>43096</c:v>
                </c:pt>
                <c:pt idx="42">
                  <c:v>43097</c:v>
                </c:pt>
                <c:pt idx="43">
                  <c:v>43098</c:v>
                </c:pt>
                <c:pt idx="44">
                  <c:v>43099</c:v>
                </c:pt>
                <c:pt idx="45">
                  <c:v>43100</c:v>
                </c:pt>
                <c:pt idx="46">
                  <c:v>43101</c:v>
                </c:pt>
                <c:pt idx="47">
                  <c:v>43102</c:v>
                </c:pt>
                <c:pt idx="48">
                  <c:v>43103</c:v>
                </c:pt>
                <c:pt idx="49">
                  <c:v>43104</c:v>
                </c:pt>
                <c:pt idx="50">
                  <c:v>43105</c:v>
                </c:pt>
                <c:pt idx="51">
                  <c:v>43106</c:v>
                </c:pt>
                <c:pt idx="52">
                  <c:v>43107</c:v>
                </c:pt>
                <c:pt idx="53">
                  <c:v>43108</c:v>
                </c:pt>
                <c:pt idx="54">
                  <c:v>43109</c:v>
                </c:pt>
                <c:pt idx="55">
                  <c:v>43110</c:v>
                </c:pt>
                <c:pt idx="56">
                  <c:v>43111</c:v>
                </c:pt>
                <c:pt idx="57">
                  <c:v>43112</c:v>
                </c:pt>
                <c:pt idx="58">
                  <c:v>43113</c:v>
                </c:pt>
                <c:pt idx="59">
                  <c:v>43114</c:v>
                </c:pt>
                <c:pt idx="60">
                  <c:v>43115</c:v>
                </c:pt>
                <c:pt idx="61">
                  <c:v>43116</c:v>
                </c:pt>
                <c:pt idx="62">
                  <c:v>43117</c:v>
                </c:pt>
                <c:pt idx="63">
                  <c:v>43118</c:v>
                </c:pt>
                <c:pt idx="64">
                  <c:v>43119</c:v>
                </c:pt>
                <c:pt idx="65">
                  <c:v>43120</c:v>
                </c:pt>
                <c:pt idx="66">
                  <c:v>43121</c:v>
                </c:pt>
                <c:pt idx="67">
                  <c:v>43122</c:v>
                </c:pt>
                <c:pt idx="68">
                  <c:v>43123</c:v>
                </c:pt>
                <c:pt idx="69">
                  <c:v>43124</c:v>
                </c:pt>
                <c:pt idx="70">
                  <c:v>43125</c:v>
                </c:pt>
                <c:pt idx="71">
                  <c:v>43126</c:v>
                </c:pt>
                <c:pt idx="72">
                  <c:v>43127</c:v>
                </c:pt>
                <c:pt idx="73">
                  <c:v>43128</c:v>
                </c:pt>
                <c:pt idx="74">
                  <c:v>43129</c:v>
                </c:pt>
                <c:pt idx="75">
                  <c:v>43130</c:v>
                </c:pt>
                <c:pt idx="76">
                  <c:v>43131</c:v>
                </c:pt>
                <c:pt idx="77">
                  <c:v>43132</c:v>
                </c:pt>
                <c:pt idx="78">
                  <c:v>43133</c:v>
                </c:pt>
                <c:pt idx="79">
                  <c:v>43134</c:v>
                </c:pt>
                <c:pt idx="80">
                  <c:v>43135</c:v>
                </c:pt>
                <c:pt idx="81">
                  <c:v>43136</c:v>
                </c:pt>
                <c:pt idx="82">
                  <c:v>43137</c:v>
                </c:pt>
                <c:pt idx="83">
                  <c:v>43138</c:v>
                </c:pt>
                <c:pt idx="84">
                  <c:v>43139</c:v>
                </c:pt>
                <c:pt idx="85">
                  <c:v>43140</c:v>
                </c:pt>
                <c:pt idx="86">
                  <c:v>43141</c:v>
                </c:pt>
                <c:pt idx="87">
                  <c:v>43142</c:v>
                </c:pt>
                <c:pt idx="88">
                  <c:v>43143</c:v>
                </c:pt>
                <c:pt idx="89">
                  <c:v>43144</c:v>
                </c:pt>
                <c:pt idx="90">
                  <c:v>43145</c:v>
                </c:pt>
                <c:pt idx="91">
                  <c:v>43146</c:v>
                </c:pt>
                <c:pt idx="92">
                  <c:v>43147</c:v>
                </c:pt>
                <c:pt idx="93">
                  <c:v>43148</c:v>
                </c:pt>
                <c:pt idx="94">
                  <c:v>43149</c:v>
                </c:pt>
                <c:pt idx="95">
                  <c:v>43150</c:v>
                </c:pt>
                <c:pt idx="96">
                  <c:v>43151</c:v>
                </c:pt>
                <c:pt idx="97">
                  <c:v>43152</c:v>
                </c:pt>
                <c:pt idx="98">
                  <c:v>43153</c:v>
                </c:pt>
                <c:pt idx="99">
                  <c:v>43154</c:v>
                </c:pt>
                <c:pt idx="100">
                  <c:v>43155</c:v>
                </c:pt>
                <c:pt idx="101">
                  <c:v>43156</c:v>
                </c:pt>
                <c:pt idx="102">
                  <c:v>43157</c:v>
                </c:pt>
                <c:pt idx="103">
                  <c:v>43158</c:v>
                </c:pt>
                <c:pt idx="104">
                  <c:v>43159</c:v>
                </c:pt>
                <c:pt idx="105">
                  <c:v>43160</c:v>
                </c:pt>
                <c:pt idx="106">
                  <c:v>43161</c:v>
                </c:pt>
                <c:pt idx="107">
                  <c:v>43162</c:v>
                </c:pt>
                <c:pt idx="108">
                  <c:v>43163</c:v>
                </c:pt>
                <c:pt idx="109">
                  <c:v>43164</c:v>
                </c:pt>
                <c:pt idx="110">
                  <c:v>43165</c:v>
                </c:pt>
                <c:pt idx="111">
                  <c:v>43166</c:v>
                </c:pt>
                <c:pt idx="112">
                  <c:v>43167</c:v>
                </c:pt>
                <c:pt idx="113">
                  <c:v>43168</c:v>
                </c:pt>
                <c:pt idx="114">
                  <c:v>43169</c:v>
                </c:pt>
                <c:pt idx="115">
                  <c:v>43170</c:v>
                </c:pt>
                <c:pt idx="116">
                  <c:v>43171</c:v>
                </c:pt>
                <c:pt idx="117">
                  <c:v>43172</c:v>
                </c:pt>
                <c:pt idx="118">
                  <c:v>43173</c:v>
                </c:pt>
                <c:pt idx="119">
                  <c:v>43174</c:v>
                </c:pt>
                <c:pt idx="120">
                  <c:v>43175</c:v>
                </c:pt>
                <c:pt idx="121">
                  <c:v>43176</c:v>
                </c:pt>
                <c:pt idx="122">
                  <c:v>43177</c:v>
                </c:pt>
                <c:pt idx="123">
                  <c:v>43178</c:v>
                </c:pt>
                <c:pt idx="124">
                  <c:v>43179</c:v>
                </c:pt>
                <c:pt idx="125">
                  <c:v>43180</c:v>
                </c:pt>
                <c:pt idx="126">
                  <c:v>43181</c:v>
                </c:pt>
                <c:pt idx="127">
                  <c:v>43182</c:v>
                </c:pt>
                <c:pt idx="128">
                  <c:v>43183</c:v>
                </c:pt>
                <c:pt idx="129">
                  <c:v>43184</c:v>
                </c:pt>
                <c:pt idx="130">
                  <c:v>43185</c:v>
                </c:pt>
                <c:pt idx="131">
                  <c:v>43186</c:v>
                </c:pt>
                <c:pt idx="132">
                  <c:v>43187</c:v>
                </c:pt>
                <c:pt idx="133">
                  <c:v>43188</c:v>
                </c:pt>
                <c:pt idx="134">
                  <c:v>43189</c:v>
                </c:pt>
                <c:pt idx="135">
                  <c:v>43190</c:v>
                </c:pt>
                <c:pt idx="136">
                  <c:v>43191</c:v>
                </c:pt>
                <c:pt idx="137">
                  <c:v>43192</c:v>
                </c:pt>
                <c:pt idx="138">
                  <c:v>43193</c:v>
                </c:pt>
                <c:pt idx="139">
                  <c:v>43194</c:v>
                </c:pt>
                <c:pt idx="140">
                  <c:v>43195</c:v>
                </c:pt>
                <c:pt idx="141">
                  <c:v>43196</c:v>
                </c:pt>
                <c:pt idx="142">
                  <c:v>43197</c:v>
                </c:pt>
                <c:pt idx="143">
                  <c:v>43198</c:v>
                </c:pt>
                <c:pt idx="144">
                  <c:v>43199</c:v>
                </c:pt>
                <c:pt idx="145">
                  <c:v>43200</c:v>
                </c:pt>
                <c:pt idx="146">
                  <c:v>43201</c:v>
                </c:pt>
                <c:pt idx="147">
                  <c:v>43202</c:v>
                </c:pt>
                <c:pt idx="148">
                  <c:v>43203</c:v>
                </c:pt>
                <c:pt idx="149">
                  <c:v>43204</c:v>
                </c:pt>
                <c:pt idx="150">
                  <c:v>43205</c:v>
                </c:pt>
                <c:pt idx="151">
                  <c:v>43206</c:v>
                </c:pt>
                <c:pt idx="152">
                  <c:v>43207</c:v>
                </c:pt>
                <c:pt idx="153">
                  <c:v>43208</c:v>
                </c:pt>
                <c:pt idx="154">
                  <c:v>43209</c:v>
                </c:pt>
                <c:pt idx="155">
                  <c:v>43210</c:v>
                </c:pt>
                <c:pt idx="156">
                  <c:v>43211</c:v>
                </c:pt>
                <c:pt idx="157">
                  <c:v>43212</c:v>
                </c:pt>
                <c:pt idx="158">
                  <c:v>43213</c:v>
                </c:pt>
                <c:pt idx="159">
                  <c:v>43214</c:v>
                </c:pt>
                <c:pt idx="160">
                  <c:v>43215</c:v>
                </c:pt>
                <c:pt idx="161">
                  <c:v>43216</c:v>
                </c:pt>
                <c:pt idx="162">
                  <c:v>43217</c:v>
                </c:pt>
                <c:pt idx="163">
                  <c:v>43218</c:v>
                </c:pt>
                <c:pt idx="164">
                  <c:v>43219</c:v>
                </c:pt>
                <c:pt idx="165">
                  <c:v>43220</c:v>
                </c:pt>
                <c:pt idx="166">
                  <c:v>43221</c:v>
                </c:pt>
                <c:pt idx="167">
                  <c:v>43222</c:v>
                </c:pt>
                <c:pt idx="168">
                  <c:v>43223</c:v>
                </c:pt>
                <c:pt idx="169">
                  <c:v>43224</c:v>
                </c:pt>
                <c:pt idx="170">
                  <c:v>43225</c:v>
                </c:pt>
                <c:pt idx="171">
                  <c:v>43226</c:v>
                </c:pt>
                <c:pt idx="172">
                  <c:v>43227</c:v>
                </c:pt>
                <c:pt idx="173">
                  <c:v>43228</c:v>
                </c:pt>
                <c:pt idx="174">
                  <c:v>43229</c:v>
                </c:pt>
                <c:pt idx="175">
                  <c:v>43230</c:v>
                </c:pt>
                <c:pt idx="176">
                  <c:v>43231</c:v>
                </c:pt>
                <c:pt idx="177">
                  <c:v>43232</c:v>
                </c:pt>
                <c:pt idx="178">
                  <c:v>43233</c:v>
                </c:pt>
                <c:pt idx="179">
                  <c:v>43234</c:v>
                </c:pt>
                <c:pt idx="180">
                  <c:v>43235</c:v>
                </c:pt>
                <c:pt idx="181">
                  <c:v>43236</c:v>
                </c:pt>
                <c:pt idx="182">
                  <c:v>43237</c:v>
                </c:pt>
                <c:pt idx="183">
                  <c:v>43238</c:v>
                </c:pt>
                <c:pt idx="184">
                  <c:v>43239</c:v>
                </c:pt>
                <c:pt idx="185">
                  <c:v>43240</c:v>
                </c:pt>
                <c:pt idx="186">
                  <c:v>43241</c:v>
                </c:pt>
                <c:pt idx="187">
                  <c:v>43242</c:v>
                </c:pt>
                <c:pt idx="188">
                  <c:v>43243</c:v>
                </c:pt>
                <c:pt idx="189">
                  <c:v>43244</c:v>
                </c:pt>
                <c:pt idx="190">
                  <c:v>43245</c:v>
                </c:pt>
                <c:pt idx="191">
                  <c:v>43246</c:v>
                </c:pt>
                <c:pt idx="192">
                  <c:v>43247</c:v>
                </c:pt>
                <c:pt idx="193">
                  <c:v>43248</c:v>
                </c:pt>
                <c:pt idx="194">
                  <c:v>43249</c:v>
                </c:pt>
                <c:pt idx="195">
                  <c:v>43250</c:v>
                </c:pt>
                <c:pt idx="196">
                  <c:v>43251</c:v>
                </c:pt>
                <c:pt idx="197">
                  <c:v>43252</c:v>
                </c:pt>
                <c:pt idx="198">
                  <c:v>43253</c:v>
                </c:pt>
                <c:pt idx="199">
                  <c:v>43254</c:v>
                </c:pt>
                <c:pt idx="200">
                  <c:v>43255</c:v>
                </c:pt>
                <c:pt idx="201">
                  <c:v>43256</c:v>
                </c:pt>
                <c:pt idx="202">
                  <c:v>43257</c:v>
                </c:pt>
                <c:pt idx="203">
                  <c:v>43258</c:v>
                </c:pt>
                <c:pt idx="204">
                  <c:v>43259</c:v>
                </c:pt>
                <c:pt idx="205">
                  <c:v>43260</c:v>
                </c:pt>
                <c:pt idx="206">
                  <c:v>43261</c:v>
                </c:pt>
                <c:pt idx="207">
                  <c:v>43262</c:v>
                </c:pt>
                <c:pt idx="208">
                  <c:v>43263</c:v>
                </c:pt>
                <c:pt idx="209">
                  <c:v>43264</c:v>
                </c:pt>
                <c:pt idx="210">
                  <c:v>43265</c:v>
                </c:pt>
                <c:pt idx="211">
                  <c:v>43266</c:v>
                </c:pt>
                <c:pt idx="212">
                  <c:v>43267</c:v>
                </c:pt>
                <c:pt idx="213">
                  <c:v>43268</c:v>
                </c:pt>
                <c:pt idx="214">
                  <c:v>43269</c:v>
                </c:pt>
                <c:pt idx="215">
                  <c:v>43270</c:v>
                </c:pt>
                <c:pt idx="216">
                  <c:v>43271</c:v>
                </c:pt>
                <c:pt idx="217">
                  <c:v>43272</c:v>
                </c:pt>
                <c:pt idx="218">
                  <c:v>43273</c:v>
                </c:pt>
                <c:pt idx="219">
                  <c:v>43274</c:v>
                </c:pt>
                <c:pt idx="220">
                  <c:v>43275</c:v>
                </c:pt>
                <c:pt idx="221">
                  <c:v>43276</c:v>
                </c:pt>
                <c:pt idx="222">
                  <c:v>43277</c:v>
                </c:pt>
                <c:pt idx="223">
                  <c:v>43278</c:v>
                </c:pt>
                <c:pt idx="224">
                  <c:v>43279</c:v>
                </c:pt>
                <c:pt idx="225">
                  <c:v>43280</c:v>
                </c:pt>
                <c:pt idx="226">
                  <c:v>43281</c:v>
                </c:pt>
                <c:pt idx="227">
                  <c:v>43282</c:v>
                </c:pt>
                <c:pt idx="228">
                  <c:v>43283</c:v>
                </c:pt>
                <c:pt idx="229">
                  <c:v>43284</c:v>
                </c:pt>
                <c:pt idx="230">
                  <c:v>43285</c:v>
                </c:pt>
                <c:pt idx="231">
                  <c:v>43286</c:v>
                </c:pt>
                <c:pt idx="232">
                  <c:v>43287</c:v>
                </c:pt>
                <c:pt idx="233">
                  <c:v>43288</c:v>
                </c:pt>
                <c:pt idx="234">
                  <c:v>43289</c:v>
                </c:pt>
                <c:pt idx="235">
                  <c:v>43290</c:v>
                </c:pt>
                <c:pt idx="236">
                  <c:v>43291</c:v>
                </c:pt>
                <c:pt idx="237">
                  <c:v>43292</c:v>
                </c:pt>
                <c:pt idx="238">
                  <c:v>43293</c:v>
                </c:pt>
                <c:pt idx="239">
                  <c:v>43294</c:v>
                </c:pt>
                <c:pt idx="240">
                  <c:v>43295</c:v>
                </c:pt>
                <c:pt idx="241">
                  <c:v>43296</c:v>
                </c:pt>
                <c:pt idx="242">
                  <c:v>43297</c:v>
                </c:pt>
                <c:pt idx="243">
                  <c:v>43298</c:v>
                </c:pt>
                <c:pt idx="244">
                  <c:v>43299</c:v>
                </c:pt>
                <c:pt idx="245">
                  <c:v>43300</c:v>
                </c:pt>
                <c:pt idx="246">
                  <c:v>43301</c:v>
                </c:pt>
                <c:pt idx="247">
                  <c:v>43302</c:v>
                </c:pt>
                <c:pt idx="248">
                  <c:v>43303</c:v>
                </c:pt>
                <c:pt idx="249">
                  <c:v>43304</c:v>
                </c:pt>
                <c:pt idx="250">
                  <c:v>43305</c:v>
                </c:pt>
                <c:pt idx="251">
                  <c:v>43306</c:v>
                </c:pt>
                <c:pt idx="252">
                  <c:v>43307</c:v>
                </c:pt>
                <c:pt idx="253">
                  <c:v>43308</c:v>
                </c:pt>
                <c:pt idx="254">
                  <c:v>43309</c:v>
                </c:pt>
                <c:pt idx="255">
                  <c:v>43310</c:v>
                </c:pt>
                <c:pt idx="256">
                  <c:v>43311</c:v>
                </c:pt>
                <c:pt idx="257">
                  <c:v>43312</c:v>
                </c:pt>
                <c:pt idx="258">
                  <c:v>43313</c:v>
                </c:pt>
                <c:pt idx="259">
                  <c:v>43314</c:v>
                </c:pt>
                <c:pt idx="260">
                  <c:v>43315</c:v>
                </c:pt>
                <c:pt idx="261">
                  <c:v>43316</c:v>
                </c:pt>
                <c:pt idx="262">
                  <c:v>43317</c:v>
                </c:pt>
                <c:pt idx="263">
                  <c:v>43318</c:v>
                </c:pt>
                <c:pt idx="264">
                  <c:v>43319</c:v>
                </c:pt>
                <c:pt idx="265">
                  <c:v>43320</c:v>
                </c:pt>
                <c:pt idx="266">
                  <c:v>43321</c:v>
                </c:pt>
                <c:pt idx="267">
                  <c:v>43322</c:v>
                </c:pt>
                <c:pt idx="268">
                  <c:v>43323</c:v>
                </c:pt>
                <c:pt idx="269">
                  <c:v>43324</c:v>
                </c:pt>
                <c:pt idx="270">
                  <c:v>43325</c:v>
                </c:pt>
                <c:pt idx="271">
                  <c:v>43326</c:v>
                </c:pt>
                <c:pt idx="272">
                  <c:v>43327</c:v>
                </c:pt>
                <c:pt idx="273">
                  <c:v>43328</c:v>
                </c:pt>
                <c:pt idx="274">
                  <c:v>43329</c:v>
                </c:pt>
                <c:pt idx="275">
                  <c:v>43330</c:v>
                </c:pt>
                <c:pt idx="276">
                  <c:v>43331</c:v>
                </c:pt>
                <c:pt idx="277">
                  <c:v>43332</c:v>
                </c:pt>
                <c:pt idx="278">
                  <c:v>43333</c:v>
                </c:pt>
                <c:pt idx="279">
                  <c:v>43334</c:v>
                </c:pt>
                <c:pt idx="280">
                  <c:v>43335</c:v>
                </c:pt>
                <c:pt idx="281">
                  <c:v>43336</c:v>
                </c:pt>
                <c:pt idx="282">
                  <c:v>43337</c:v>
                </c:pt>
                <c:pt idx="283">
                  <c:v>43338</c:v>
                </c:pt>
                <c:pt idx="284">
                  <c:v>43339</c:v>
                </c:pt>
                <c:pt idx="285">
                  <c:v>43340</c:v>
                </c:pt>
                <c:pt idx="286">
                  <c:v>43341</c:v>
                </c:pt>
                <c:pt idx="287">
                  <c:v>43342</c:v>
                </c:pt>
                <c:pt idx="288">
                  <c:v>43343</c:v>
                </c:pt>
                <c:pt idx="289">
                  <c:v>43344</c:v>
                </c:pt>
                <c:pt idx="290">
                  <c:v>43345</c:v>
                </c:pt>
                <c:pt idx="291">
                  <c:v>43346</c:v>
                </c:pt>
                <c:pt idx="292">
                  <c:v>43347</c:v>
                </c:pt>
                <c:pt idx="293">
                  <c:v>43348</c:v>
                </c:pt>
                <c:pt idx="294">
                  <c:v>43349</c:v>
                </c:pt>
                <c:pt idx="295">
                  <c:v>43350</c:v>
                </c:pt>
                <c:pt idx="296">
                  <c:v>43351</c:v>
                </c:pt>
                <c:pt idx="297">
                  <c:v>43352</c:v>
                </c:pt>
                <c:pt idx="298">
                  <c:v>43353</c:v>
                </c:pt>
                <c:pt idx="299">
                  <c:v>43354</c:v>
                </c:pt>
                <c:pt idx="300">
                  <c:v>43355</c:v>
                </c:pt>
                <c:pt idx="301">
                  <c:v>43356</c:v>
                </c:pt>
                <c:pt idx="302">
                  <c:v>43357</c:v>
                </c:pt>
                <c:pt idx="303">
                  <c:v>43358</c:v>
                </c:pt>
                <c:pt idx="304">
                  <c:v>43359</c:v>
                </c:pt>
                <c:pt idx="305">
                  <c:v>43360</c:v>
                </c:pt>
                <c:pt idx="306">
                  <c:v>43361</c:v>
                </c:pt>
                <c:pt idx="307">
                  <c:v>43362</c:v>
                </c:pt>
                <c:pt idx="308">
                  <c:v>43363</c:v>
                </c:pt>
                <c:pt idx="309">
                  <c:v>43364</c:v>
                </c:pt>
                <c:pt idx="310">
                  <c:v>43365</c:v>
                </c:pt>
                <c:pt idx="311">
                  <c:v>43366</c:v>
                </c:pt>
                <c:pt idx="312">
                  <c:v>43367</c:v>
                </c:pt>
                <c:pt idx="313">
                  <c:v>43368</c:v>
                </c:pt>
                <c:pt idx="314">
                  <c:v>43369</c:v>
                </c:pt>
                <c:pt idx="315">
                  <c:v>43370</c:v>
                </c:pt>
                <c:pt idx="316">
                  <c:v>43371</c:v>
                </c:pt>
                <c:pt idx="317">
                  <c:v>43372</c:v>
                </c:pt>
                <c:pt idx="318">
                  <c:v>43373</c:v>
                </c:pt>
                <c:pt idx="319">
                  <c:v>43374</c:v>
                </c:pt>
                <c:pt idx="320">
                  <c:v>43375</c:v>
                </c:pt>
                <c:pt idx="321">
                  <c:v>43376</c:v>
                </c:pt>
                <c:pt idx="322">
                  <c:v>43377</c:v>
                </c:pt>
                <c:pt idx="323">
                  <c:v>43378</c:v>
                </c:pt>
                <c:pt idx="324">
                  <c:v>43379</c:v>
                </c:pt>
                <c:pt idx="325">
                  <c:v>43380</c:v>
                </c:pt>
                <c:pt idx="326">
                  <c:v>43381</c:v>
                </c:pt>
                <c:pt idx="327">
                  <c:v>43382</c:v>
                </c:pt>
                <c:pt idx="328">
                  <c:v>43383</c:v>
                </c:pt>
                <c:pt idx="329">
                  <c:v>43384</c:v>
                </c:pt>
                <c:pt idx="330">
                  <c:v>43385</c:v>
                </c:pt>
                <c:pt idx="331">
                  <c:v>43386</c:v>
                </c:pt>
                <c:pt idx="332">
                  <c:v>43387</c:v>
                </c:pt>
                <c:pt idx="333">
                  <c:v>43388</c:v>
                </c:pt>
                <c:pt idx="334">
                  <c:v>43389</c:v>
                </c:pt>
                <c:pt idx="335">
                  <c:v>43390</c:v>
                </c:pt>
                <c:pt idx="336">
                  <c:v>43391</c:v>
                </c:pt>
                <c:pt idx="337">
                  <c:v>43392</c:v>
                </c:pt>
                <c:pt idx="338">
                  <c:v>43393</c:v>
                </c:pt>
                <c:pt idx="339">
                  <c:v>43394</c:v>
                </c:pt>
                <c:pt idx="340">
                  <c:v>43395</c:v>
                </c:pt>
                <c:pt idx="341">
                  <c:v>43396</c:v>
                </c:pt>
                <c:pt idx="342">
                  <c:v>43397</c:v>
                </c:pt>
                <c:pt idx="343">
                  <c:v>43398</c:v>
                </c:pt>
                <c:pt idx="344">
                  <c:v>43399</c:v>
                </c:pt>
                <c:pt idx="345">
                  <c:v>43400</c:v>
                </c:pt>
                <c:pt idx="346">
                  <c:v>43401</c:v>
                </c:pt>
                <c:pt idx="347">
                  <c:v>43402</c:v>
                </c:pt>
                <c:pt idx="348">
                  <c:v>43403</c:v>
                </c:pt>
                <c:pt idx="349">
                  <c:v>43404</c:v>
                </c:pt>
                <c:pt idx="350">
                  <c:v>43405</c:v>
                </c:pt>
                <c:pt idx="351">
                  <c:v>43406</c:v>
                </c:pt>
                <c:pt idx="352">
                  <c:v>43407</c:v>
                </c:pt>
                <c:pt idx="353">
                  <c:v>43408</c:v>
                </c:pt>
                <c:pt idx="354">
                  <c:v>43409</c:v>
                </c:pt>
                <c:pt idx="355">
                  <c:v>43410</c:v>
                </c:pt>
                <c:pt idx="356">
                  <c:v>43411</c:v>
                </c:pt>
                <c:pt idx="357">
                  <c:v>43412</c:v>
                </c:pt>
                <c:pt idx="358">
                  <c:v>43413</c:v>
                </c:pt>
                <c:pt idx="359">
                  <c:v>43414</c:v>
                </c:pt>
                <c:pt idx="360">
                  <c:v>43415</c:v>
                </c:pt>
                <c:pt idx="361">
                  <c:v>43416</c:v>
                </c:pt>
                <c:pt idx="362">
                  <c:v>43417</c:v>
                </c:pt>
                <c:pt idx="363">
                  <c:v>43418</c:v>
                </c:pt>
                <c:pt idx="364">
                  <c:v>43419</c:v>
                </c:pt>
                <c:pt idx="365">
                  <c:v>43420</c:v>
                </c:pt>
                <c:pt idx="366">
                  <c:v>43421</c:v>
                </c:pt>
                <c:pt idx="367">
                  <c:v>43422</c:v>
                </c:pt>
                <c:pt idx="368">
                  <c:v>43423</c:v>
                </c:pt>
                <c:pt idx="369">
                  <c:v>43424</c:v>
                </c:pt>
                <c:pt idx="370">
                  <c:v>43425</c:v>
                </c:pt>
                <c:pt idx="371">
                  <c:v>43426</c:v>
                </c:pt>
                <c:pt idx="372">
                  <c:v>43427</c:v>
                </c:pt>
                <c:pt idx="373">
                  <c:v>43428</c:v>
                </c:pt>
                <c:pt idx="374">
                  <c:v>43429</c:v>
                </c:pt>
                <c:pt idx="375">
                  <c:v>43430</c:v>
                </c:pt>
                <c:pt idx="376">
                  <c:v>43431</c:v>
                </c:pt>
                <c:pt idx="377">
                  <c:v>43432</c:v>
                </c:pt>
                <c:pt idx="378">
                  <c:v>43433</c:v>
                </c:pt>
                <c:pt idx="379">
                  <c:v>43434</c:v>
                </c:pt>
                <c:pt idx="380">
                  <c:v>43435</c:v>
                </c:pt>
                <c:pt idx="381">
                  <c:v>43436</c:v>
                </c:pt>
                <c:pt idx="382">
                  <c:v>43437</c:v>
                </c:pt>
                <c:pt idx="383">
                  <c:v>43438</c:v>
                </c:pt>
                <c:pt idx="384">
                  <c:v>43439</c:v>
                </c:pt>
                <c:pt idx="385">
                  <c:v>43440</c:v>
                </c:pt>
                <c:pt idx="386">
                  <c:v>43441</c:v>
                </c:pt>
                <c:pt idx="387">
                  <c:v>43442</c:v>
                </c:pt>
                <c:pt idx="388">
                  <c:v>43443</c:v>
                </c:pt>
                <c:pt idx="389">
                  <c:v>43444</c:v>
                </c:pt>
                <c:pt idx="390">
                  <c:v>43445</c:v>
                </c:pt>
                <c:pt idx="391">
                  <c:v>43446</c:v>
                </c:pt>
                <c:pt idx="392">
                  <c:v>43447</c:v>
                </c:pt>
                <c:pt idx="393">
                  <c:v>43448</c:v>
                </c:pt>
                <c:pt idx="394">
                  <c:v>43449</c:v>
                </c:pt>
                <c:pt idx="395">
                  <c:v>43450</c:v>
                </c:pt>
                <c:pt idx="396">
                  <c:v>43451</c:v>
                </c:pt>
                <c:pt idx="397">
                  <c:v>43452</c:v>
                </c:pt>
                <c:pt idx="398">
                  <c:v>43453</c:v>
                </c:pt>
                <c:pt idx="399">
                  <c:v>43454</c:v>
                </c:pt>
                <c:pt idx="400">
                  <c:v>43455</c:v>
                </c:pt>
                <c:pt idx="401">
                  <c:v>43456</c:v>
                </c:pt>
                <c:pt idx="402">
                  <c:v>43457</c:v>
                </c:pt>
                <c:pt idx="403">
                  <c:v>43458</c:v>
                </c:pt>
                <c:pt idx="404">
                  <c:v>43459</c:v>
                </c:pt>
                <c:pt idx="405">
                  <c:v>43460</c:v>
                </c:pt>
                <c:pt idx="406">
                  <c:v>43461</c:v>
                </c:pt>
                <c:pt idx="407">
                  <c:v>43462</c:v>
                </c:pt>
                <c:pt idx="408">
                  <c:v>43463</c:v>
                </c:pt>
                <c:pt idx="409">
                  <c:v>43464</c:v>
                </c:pt>
                <c:pt idx="410">
                  <c:v>43465</c:v>
                </c:pt>
                <c:pt idx="411">
                  <c:v>43466</c:v>
                </c:pt>
                <c:pt idx="412">
                  <c:v>43467</c:v>
                </c:pt>
                <c:pt idx="413">
                  <c:v>43468</c:v>
                </c:pt>
                <c:pt idx="414">
                  <c:v>43469</c:v>
                </c:pt>
                <c:pt idx="415">
                  <c:v>43470</c:v>
                </c:pt>
                <c:pt idx="416">
                  <c:v>43471</c:v>
                </c:pt>
                <c:pt idx="417">
                  <c:v>43472</c:v>
                </c:pt>
                <c:pt idx="418">
                  <c:v>43473</c:v>
                </c:pt>
                <c:pt idx="419">
                  <c:v>43474</c:v>
                </c:pt>
                <c:pt idx="420">
                  <c:v>43475</c:v>
                </c:pt>
                <c:pt idx="421">
                  <c:v>43476</c:v>
                </c:pt>
                <c:pt idx="422">
                  <c:v>43477</c:v>
                </c:pt>
                <c:pt idx="423">
                  <c:v>43478</c:v>
                </c:pt>
                <c:pt idx="424">
                  <c:v>43479</c:v>
                </c:pt>
                <c:pt idx="425">
                  <c:v>43480</c:v>
                </c:pt>
                <c:pt idx="426">
                  <c:v>43481</c:v>
                </c:pt>
                <c:pt idx="427">
                  <c:v>43482</c:v>
                </c:pt>
                <c:pt idx="428">
                  <c:v>43483</c:v>
                </c:pt>
                <c:pt idx="429">
                  <c:v>43484</c:v>
                </c:pt>
                <c:pt idx="430">
                  <c:v>43485</c:v>
                </c:pt>
                <c:pt idx="431">
                  <c:v>43486</c:v>
                </c:pt>
                <c:pt idx="432">
                  <c:v>43487</c:v>
                </c:pt>
                <c:pt idx="433">
                  <c:v>43488</c:v>
                </c:pt>
                <c:pt idx="434">
                  <c:v>43489</c:v>
                </c:pt>
                <c:pt idx="435">
                  <c:v>43490</c:v>
                </c:pt>
                <c:pt idx="436">
                  <c:v>43491</c:v>
                </c:pt>
                <c:pt idx="437">
                  <c:v>43492</c:v>
                </c:pt>
                <c:pt idx="438">
                  <c:v>43493</c:v>
                </c:pt>
                <c:pt idx="439">
                  <c:v>43494</c:v>
                </c:pt>
                <c:pt idx="440">
                  <c:v>43495</c:v>
                </c:pt>
                <c:pt idx="441">
                  <c:v>43496</c:v>
                </c:pt>
                <c:pt idx="442">
                  <c:v>43497</c:v>
                </c:pt>
                <c:pt idx="443">
                  <c:v>43498</c:v>
                </c:pt>
                <c:pt idx="444">
                  <c:v>43499</c:v>
                </c:pt>
                <c:pt idx="445">
                  <c:v>43500</c:v>
                </c:pt>
                <c:pt idx="446">
                  <c:v>43501</c:v>
                </c:pt>
                <c:pt idx="447">
                  <c:v>43502</c:v>
                </c:pt>
                <c:pt idx="448">
                  <c:v>43503</c:v>
                </c:pt>
                <c:pt idx="449">
                  <c:v>43504</c:v>
                </c:pt>
                <c:pt idx="450">
                  <c:v>43505</c:v>
                </c:pt>
                <c:pt idx="451">
                  <c:v>43506</c:v>
                </c:pt>
                <c:pt idx="452">
                  <c:v>43507</c:v>
                </c:pt>
                <c:pt idx="453">
                  <c:v>43508</c:v>
                </c:pt>
                <c:pt idx="454">
                  <c:v>43509</c:v>
                </c:pt>
                <c:pt idx="455">
                  <c:v>43510</c:v>
                </c:pt>
                <c:pt idx="456">
                  <c:v>43511</c:v>
                </c:pt>
                <c:pt idx="457">
                  <c:v>43512</c:v>
                </c:pt>
                <c:pt idx="458">
                  <c:v>43513</c:v>
                </c:pt>
                <c:pt idx="459">
                  <c:v>43514</c:v>
                </c:pt>
                <c:pt idx="460">
                  <c:v>43515</c:v>
                </c:pt>
                <c:pt idx="461">
                  <c:v>43516</c:v>
                </c:pt>
                <c:pt idx="462">
                  <c:v>43517</c:v>
                </c:pt>
                <c:pt idx="463">
                  <c:v>43518</c:v>
                </c:pt>
                <c:pt idx="464">
                  <c:v>43519</c:v>
                </c:pt>
                <c:pt idx="465">
                  <c:v>43520</c:v>
                </c:pt>
                <c:pt idx="466">
                  <c:v>43521</c:v>
                </c:pt>
                <c:pt idx="467">
                  <c:v>43522</c:v>
                </c:pt>
                <c:pt idx="468">
                  <c:v>43523</c:v>
                </c:pt>
                <c:pt idx="469">
                  <c:v>43524</c:v>
                </c:pt>
                <c:pt idx="470">
                  <c:v>43525</c:v>
                </c:pt>
                <c:pt idx="471">
                  <c:v>43526</c:v>
                </c:pt>
                <c:pt idx="472">
                  <c:v>43527</c:v>
                </c:pt>
                <c:pt idx="473">
                  <c:v>43528</c:v>
                </c:pt>
                <c:pt idx="474">
                  <c:v>43529</c:v>
                </c:pt>
                <c:pt idx="475">
                  <c:v>43530</c:v>
                </c:pt>
                <c:pt idx="476">
                  <c:v>43531</c:v>
                </c:pt>
                <c:pt idx="477">
                  <c:v>43532</c:v>
                </c:pt>
                <c:pt idx="478">
                  <c:v>43533</c:v>
                </c:pt>
                <c:pt idx="479">
                  <c:v>43534</c:v>
                </c:pt>
                <c:pt idx="480">
                  <c:v>43535</c:v>
                </c:pt>
                <c:pt idx="481">
                  <c:v>43536</c:v>
                </c:pt>
                <c:pt idx="482">
                  <c:v>43537</c:v>
                </c:pt>
                <c:pt idx="483">
                  <c:v>43538</c:v>
                </c:pt>
                <c:pt idx="484">
                  <c:v>43539</c:v>
                </c:pt>
                <c:pt idx="485">
                  <c:v>43540</c:v>
                </c:pt>
                <c:pt idx="486">
                  <c:v>43541</c:v>
                </c:pt>
                <c:pt idx="487">
                  <c:v>43542</c:v>
                </c:pt>
                <c:pt idx="488">
                  <c:v>43543</c:v>
                </c:pt>
                <c:pt idx="489">
                  <c:v>43544</c:v>
                </c:pt>
                <c:pt idx="490">
                  <c:v>43545</c:v>
                </c:pt>
                <c:pt idx="491">
                  <c:v>43546</c:v>
                </c:pt>
                <c:pt idx="492">
                  <c:v>43547</c:v>
                </c:pt>
                <c:pt idx="493">
                  <c:v>43548</c:v>
                </c:pt>
                <c:pt idx="494">
                  <c:v>43549</c:v>
                </c:pt>
                <c:pt idx="495">
                  <c:v>43550</c:v>
                </c:pt>
                <c:pt idx="496">
                  <c:v>43551</c:v>
                </c:pt>
                <c:pt idx="497">
                  <c:v>43552</c:v>
                </c:pt>
                <c:pt idx="498">
                  <c:v>43553</c:v>
                </c:pt>
                <c:pt idx="499">
                  <c:v>43554</c:v>
                </c:pt>
                <c:pt idx="500">
                  <c:v>43555</c:v>
                </c:pt>
                <c:pt idx="501">
                  <c:v>43556</c:v>
                </c:pt>
                <c:pt idx="502">
                  <c:v>43557</c:v>
                </c:pt>
                <c:pt idx="503">
                  <c:v>43558</c:v>
                </c:pt>
                <c:pt idx="504">
                  <c:v>43559</c:v>
                </c:pt>
                <c:pt idx="505">
                  <c:v>43560</c:v>
                </c:pt>
                <c:pt idx="506">
                  <c:v>43561</c:v>
                </c:pt>
                <c:pt idx="507">
                  <c:v>43562</c:v>
                </c:pt>
                <c:pt idx="508">
                  <c:v>43563</c:v>
                </c:pt>
                <c:pt idx="509">
                  <c:v>43564</c:v>
                </c:pt>
                <c:pt idx="510">
                  <c:v>43565</c:v>
                </c:pt>
                <c:pt idx="511">
                  <c:v>43566</c:v>
                </c:pt>
                <c:pt idx="512">
                  <c:v>43567</c:v>
                </c:pt>
                <c:pt idx="513">
                  <c:v>43568</c:v>
                </c:pt>
                <c:pt idx="514">
                  <c:v>43569</c:v>
                </c:pt>
                <c:pt idx="515">
                  <c:v>43570</c:v>
                </c:pt>
                <c:pt idx="516">
                  <c:v>43571</c:v>
                </c:pt>
                <c:pt idx="517">
                  <c:v>43572</c:v>
                </c:pt>
                <c:pt idx="518">
                  <c:v>43573</c:v>
                </c:pt>
                <c:pt idx="519">
                  <c:v>43574</c:v>
                </c:pt>
                <c:pt idx="520">
                  <c:v>43575</c:v>
                </c:pt>
                <c:pt idx="521">
                  <c:v>43576</c:v>
                </c:pt>
                <c:pt idx="522">
                  <c:v>43577</c:v>
                </c:pt>
                <c:pt idx="523">
                  <c:v>43578</c:v>
                </c:pt>
                <c:pt idx="524">
                  <c:v>43579</c:v>
                </c:pt>
                <c:pt idx="525">
                  <c:v>43580</c:v>
                </c:pt>
                <c:pt idx="526">
                  <c:v>43581</c:v>
                </c:pt>
                <c:pt idx="527">
                  <c:v>43582</c:v>
                </c:pt>
                <c:pt idx="528">
                  <c:v>43583</c:v>
                </c:pt>
                <c:pt idx="529">
                  <c:v>43584</c:v>
                </c:pt>
                <c:pt idx="530">
                  <c:v>43585</c:v>
                </c:pt>
                <c:pt idx="531">
                  <c:v>43586</c:v>
                </c:pt>
                <c:pt idx="532">
                  <c:v>43587</c:v>
                </c:pt>
                <c:pt idx="533">
                  <c:v>43588</c:v>
                </c:pt>
                <c:pt idx="534">
                  <c:v>43589</c:v>
                </c:pt>
                <c:pt idx="535">
                  <c:v>43590</c:v>
                </c:pt>
                <c:pt idx="536">
                  <c:v>43591</c:v>
                </c:pt>
                <c:pt idx="537">
                  <c:v>43592</c:v>
                </c:pt>
                <c:pt idx="538">
                  <c:v>43593</c:v>
                </c:pt>
                <c:pt idx="539">
                  <c:v>43594</c:v>
                </c:pt>
                <c:pt idx="540">
                  <c:v>43595</c:v>
                </c:pt>
                <c:pt idx="541">
                  <c:v>43596</c:v>
                </c:pt>
                <c:pt idx="542">
                  <c:v>43597</c:v>
                </c:pt>
                <c:pt idx="543">
                  <c:v>43598</c:v>
                </c:pt>
                <c:pt idx="544">
                  <c:v>43599</c:v>
                </c:pt>
                <c:pt idx="545">
                  <c:v>43600</c:v>
                </c:pt>
                <c:pt idx="546">
                  <c:v>43601</c:v>
                </c:pt>
                <c:pt idx="547">
                  <c:v>43602</c:v>
                </c:pt>
                <c:pt idx="548">
                  <c:v>43603</c:v>
                </c:pt>
                <c:pt idx="549">
                  <c:v>43604</c:v>
                </c:pt>
                <c:pt idx="550">
                  <c:v>43605</c:v>
                </c:pt>
                <c:pt idx="551">
                  <c:v>43606</c:v>
                </c:pt>
                <c:pt idx="552">
                  <c:v>43607</c:v>
                </c:pt>
                <c:pt idx="553">
                  <c:v>43608</c:v>
                </c:pt>
                <c:pt idx="554">
                  <c:v>43609</c:v>
                </c:pt>
                <c:pt idx="555">
                  <c:v>43610</c:v>
                </c:pt>
                <c:pt idx="556">
                  <c:v>43611</c:v>
                </c:pt>
                <c:pt idx="557">
                  <c:v>43612</c:v>
                </c:pt>
                <c:pt idx="558">
                  <c:v>43613</c:v>
                </c:pt>
                <c:pt idx="559">
                  <c:v>43614</c:v>
                </c:pt>
                <c:pt idx="560">
                  <c:v>43615</c:v>
                </c:pt>
                <c:pt idx="561">
                  <c:v>43616</c:v>
                </c:pt>
                <c:pt idx="562">
                  <c:v>43617</c:v>
                </c:pt>
                <c:pt idx="563">
                  <c:v>43618</c:v>
                </c:pt>
                <c:pt idx="564">
                  <c:v>43619</c:v>
                </c:pt>
                <c:pt idx="565">
                  <c:v>43620</c:v>
                </c:pt>
                <c:pt idx="566">
                  <c:v>43621</c:v>
                </c:pt>
                <c:pt idx="567">
                  <c:v>43622</c:v>
                </c:pt>
                <c:pt idx="568">
                  <c:v>43623</c:v>
                </c:pt>
                <c:pt idx="569">
                  <c:v>43624</c:v>
                </c:pt>
                <c:pt idx="570">
                  <c:v>43625</c:v>
                </c:pt>
                <c:pt idx="571">
                  <c:v>43626</c:v>
                </c:pt>
                <c:pt idx="572">
                  <c:v>43627</c:v>
                </c:pt>
                <c:pt idx="573">
                  <c:v>43628</c:v>
                </c:pt>
                <c:pt idx="574">
                  <c:v>43629</c:v>
                </c:pt>
                <c:pt idx="575">
                  <c:v>43630</c:v>
                </c:pt>
                <c:pt idx="576">
                  <c:v>43631</c:v>
                </c:pt>
                <c:pt idx="577">
                  <c:v>43632</c:v>
                </c:pt>
                <c:pt idx="578">
                  <c:v>43633</c:v>
                </c:pt>
                <c:pt idx="579">
                  <c:v>43634</c:v>
                </c:pt>
                <c:pt idx="580">
                  <c:v>43635</c:v>
                </c:pt>
                <c:pt idx="581">
                  <c:v>43636</c:v>
                </c:pt>
                <c:pt idx="582">
                  <c:v>43637</c:v>
                </c:pt>
                <c:pt idx="583">
                  <c:v>43638</c:v>
                </c:pt>
                <c:pt idx="584">
                  <c:v>43639</c:v>
                </c:pt>
                <c:pt idx="585">
                  <c:v>43640</c:v>
                </c:pt>
                <c:pt idx="586">
                  <c:v>43641</c:v>
                </c:pt>
                <c:pt idx="587">
                  <c:v>43642</c:v>
                </c:pt>
                <c:pt idx="588">
                  <c:v>43643</c:v>
                </c:pt>
                <c:pt idx="589">
                  <c:v>43644</c:v>
                </c:pt>
                <c:pt idx="590">
                  <c:v>43645</c:v>
                </c:pt>
                <c:pt idx="591">
                  <c:v>43646</c:v>
                </c:pt>
                <c:pt idx="592">
                  <c:v>43647</c:v>
                </c:pt>
                <c:pt idx="593">
                  <c:v>43648</c:v>
                </c:pt>
                <c:pt idx="594">
                  <c:v>43649</c:v>
                </c:pt>
                <c:pt idx="595">
                  <c:v>43650</c:v>
                </c:pt>
                <c:pt idx="596">
                  <c:v>43651</c:v>
                </c:pt>
                <c:pt idx="597">
                  <c:v>43652</c:v>
                </c:pt>
                <c:pt idx="598">
                  <c:v>43653</c:v>
                </c:pt>
                <c:pt idx="599">
                  <c:v>43654</c:v>
                </c:pt>
                <c:pt idx="600">
                  <c:v>43655</c:v>
                </c:pt>
                <c:pt idx="601">
                  <c:v>43656</c:v>
                </c:pt>
                <c:pt idx="602">
                  <c:v>43657</c:v>
                </c:pt>
                <c:pt idx="603">
                  <c:v>43658</c:v>
                </c:pt>
                <c:pt idx="604">
                  <c:v>43659</c:v>
                </c:pt>
                <c:pt idx="605">
                  <c:v>43660</c:v>
                </c:pt>
                <c:pt idx="606">
                  <c:v>43661</c:v>
                </c:pt>
                <c:pt idx="607">
                  <c:v>43662</c:v>
                </c:pt>
                <c:pt idx="608">
                  <c:v>43663</c:v>
                </c:pt>
                <c:pt idx="609">
                  <c:v>43664</c:v>
                </c:pt>
                <c:pt idx="610">
                  <c:v>43665</c:v>
                </c:pt>
                <c:pt idx="611">
                  <c:v>43666</c:v>
                </c:pt>
                <c:pt idx="612">
                  <c:v>43667</c:v>
                </c:pt>
                <c:pt idx="613">
                  <c:v>43668</c:v>
                </c:pt>
                <c:pt idx="614">
                  <c:v>43669</c:v>
                </c:pt>
                <c:pt idx="615">
                  <c:v>43670</c:v>
                </c:pt>
                <c:pt idx="616">
                  <c:v>43671</c:v>
                </c:pt>
                <c:pt idx="617">
                  <c:v>43672</c:v>
                </c:pt>
                <c:pt idx="618">
                  <c:v>43673</c:v>
                </c:pt>
                <c:pt idx="619">
                  <c:v>43674</c:v>
                </c:pt>
                <c:pt idx="620">
                  <c:v>43675</c:v>
                </c:pt>
                <c:pt idx="621">
                  <c:v>43676</c:v>
                </c:pt>
                <c:pt idx="622">
                  <c:v>43677</c:v>
                </c:pt>
                <c:pt idx="623">
                  <c:v>43678</c:v>
                </c:pt>
                <c:pt idx="624">
                  <c:v>43679</c:v>
                </c:pt>
                <c:pt idx="625">
                  <c:v>43680</c:v>
                </c:pt>
                <c:pt idx="626">
                  <c:v>43681</c:v>
                </c:pt>
                <c:pt idx="627">
                  <c:v>43682</c:v>
                </c:pt>
                <c:pt idx="628">
                  <c:v>43683</c:v>
                </c:pt>
                <c:pt idx="629">
                  <c:v>43684</c:v>
                </c:pt>
                <c:pt idx="630">
                  <c:v>43685</c:v>
                </c:pt>
                <c:pt idx="631">
                  <c:v>43686</c:v>
                </c:pt>
                <c:pt idx="632">
                  <c:v>43687</c:v>
                </c:pt>
                <c:pt idx="633">
                  <c:v>43688</c:v>
                </c:pt>
                <c:pt idx="634">
                  <c:v>43689</c:v>
                </c:pt>
                <c:pt idx="635">
                  <c:v>43690</c:v>
                </c:pt>
                <c:pt idx="636">
                  <c:v>43691</c:v>
                </c:pt>
                <c:pt idx="637">
                  <c:v>43692</c:v>
                </c:pt>
                <c:pt idx="638">
                  <c:v>43693</c:v>
                </c:pt>
                <c:pt idx="639">
                  <c:v>43694</c:v>
                </c:pt>
                <c:pt idx="640">
                  <c:v>43695</c:v>
                </c:pt>
                <c:pt idx="641">
                  <c:v>43696</c:v>
                </c:pt>
                <c:pt idx="642">
                  <c:v>43697</c:v>
                </c:pt>
                <c:pt idx="643">
                  <c:v>43698</c:v>
                </c:pt>
                <c:pt idx="644">
                  <c:v>43699</c:v>
                </c:pt>
                <c:pt idx="645">
                  <c:v>43700</c:v>
                </c:pt>
                <c:pt idx="646">
                  <c:v>43701</c:v>
                </c:pt>
                <c:pt idx="647">
                  <c:v>43702</c:v>
                </c:pt>
                <c:pt idx="648">
                  <c:v>43703</c:v>
                </c:pt>
                <c:pt idx="649">
                  <c:v>43704</c:v>
                </c:pt>
                <c:pt idx="650">
                  <c:v>43705</c:v>
                </c:pt>
                <c:pt idx="651">
                  <c:v>43706</c:v>
                </c:pt>
                <c:pt idx="652">
                  <c:v>43707</c:v>
                </c:pt>
                <c:pt idx="653">
                  <c:v>43708</c:v>
                </c:pt>
                <c:pt idx="654">
                  <c:v>43709</c:v>
                </c:pt>
                <c:pt idx="655">
                  <c:v>43710</c:v>
                </c:pt>
                <c:pt idx="656">
                  <c:v>43711</c:v>
                </c:pt>
                <c:pt idx="657">
                  <c:v>43712</c:v>
                </c:pt>
                <c:pt idx="658">
                  <c:v>43713</c:v>
                </c:pt>
                <c:pt idx="659">
                  <c:v>43714</c:v>
                </c:pt>
                <c:pt idx="660">
                  <c:v>43715</c:v>
                </c:pt>
                <c:pt idx="661">
                  <c:v>43716</c:v>
                </c:pt>
                <c:pt idx="662">
                  <c:v>43717</c:v>
                </c:pt>
                <c:pt idx="663">
                  <c:v>43718</c:v>
                </c:pt>
                <c:pt idx="664">
                  <c:v>43719</c:v>
                </c:pt>
                <c:pt idx="665">
                  <c:v>43720</c:v>
                </c:pt>
                <c:pt idx="666">
                  <c:v>43721</c:v>
                </c:pt>
                <c:pt idx="667">
                  <c:v>43722</c:v>
                </c:pt>
                <c:pt idx="668">
                  <c:v>43723</c:v>
                </c:pt>
                <c:pt idx="669">
                  <c:v>43724</c:v>
                </c:pt>
                <c:pt idx="670">
                  <c:v>43725</c:v>
                </c:pt>
                <c:pt idx="671">
                  <c:v>43726</c:v>
                </c:pt>
                <c:pt idx="672">
                  <c:v>43727</c:v>
                </c:pt>
                <c:pt idx="673">
                  <c:v>43728</c:v>
                </c:pt>
                <c:pt idx="674">
                  <c:v>43729</c:v>
                </c:pt>
                <c:pt idx="675">
                  <c:v>43730</c:v>
                </c:pt>
                <c:pt idx="676">
                  <c:v>43731</c:v>
                </c:pt>
                <c:pt idx="677">
                  <c:v>43732</c:v>
                </c:pt>
                <c:pt idx="678">
                  <c:v>43733</c:v>
                </c:pt>
                <c:pt idx="679">
                  <c:v>43734</c:v>
                </c:pt>
                <c:pt idx="680">
                  <c:v>43735</c:v>
                </c:pt>
                <c:pt idx="681">
                  <c:v>43736</c:v>
                </c:pt>
                <c:pt idx="682">
                  <c:v>43737</c:v>
                </c:pt>
                <c:pt idx="683">
                  <c:v>43738</c:v>
                </c:pt>
                <c:pt idx="684">
                  <c:v>43739</c:v>
                </c:pt>
                <c:pt idx="685">
                  <c:v>43740</c:v>
                </c:pt>
                <c:pt idx="686">
                  <c:v>43741</c:v>
                </c:pt>
                <c:pt idx="687">
                  <c:v>43742</c:v>
                </c:pt>
                <c:pt idx="688">
                  <c:v>43743</c:v>
                </c:pt>
                <c:pt idx="689">
                  <c:v>43744</c:v>
                </c:pt>
                <c:pt idx="690">
                  <c:v>43745</c:v>
                </c:pt>
                <c:pt idx="691">
                  <c:v>43746</c:v>
                </c:pt>
                <c:pt idx="692">
                  <c:v>43747</c:v>
                </c:pt>
                <c:pt idx="693">
                  <c:v>43748</c:v>
                </c:pt>
                <c:pt idx="694">
                  <c:v>43749</c:v>
                </c:pt>
                <c:pt idx="695">
                  <c:v>43750</c:v>
                </c:pt>
                <c:pt idx="696">
                  <c:v>43751</c:v>
                </c:pt>
                <c:pt idx="697">
                  <c:v>43752</c:v>
                </c:pt>
                <c:pt idx="698">
                  <c:v>43753</c:v>
                </c:pt>
                <c:pt idx="699">
                  <c:v>43754</c:v>
                </c:pt>
                <c:pt idx="700">
                  <c:v>43755</c:v>
                </c:pt>
                <c:pt idx="701">
                  <c:v>43756</c:v>
                </c:pt>
                <c:pt idx="702">
                  <c:v>43757</c:v>
                </c:pt>
                <c:pt idx="703">
                  <c:v>43758</c:v>
                </c:pt>
                <c:pt idx="704">
                  <c:v>43759</c:v>
                </c:pt>
                <c:pt idx="705">
                  <c:v>43760</c:v>
                </c:pt>
                <c:pt idx="706">
                  <c:v>43761</c:v>
                </c:pt>
                <c:pt idx="707">
                  <c:v>43762</c:v>
                </c:pt>
                <c:pt idx="708">
                  <c:v>43763</c:v>
                </c:pt>
                <c:pt idx="709">
                  <c:v>43764</c:v>
                </c:pt>
                <c:pt idx="710">
                  <c:v>43765</c:v>
                </c:pt>
                <c:pt idx="711">
                  <c:v>43766</c:v>
                </c:pt>
                <c:pt idx="712">
                  <c:v>43767</c:v>
                </c:pt>
                <c:pt idx="713">
                  <c:v>43768</c:v>
                </c:pt>
                <c:pt idx="714">
                  <c:v>43769</c:v>
                </c:pt>
                <c:pt idx="715">
                  <c:v>43770</c:v>
                </c:pt>
                <c:pt idx="716">
                  <c:v>43771</c:v>
                </c:pt>
                <c:pt idx="717">
                  <c:v>43772</c:v>
                </c:pt>
                <c:pt idx="718">
                  <c:v>43773</c:v>
                </c:pt>
                <c:pt idx="719">
                  <c:v>43774</c:v>
                </c:pt>
                <c:pt idx="720">
                  <c:v>43775</c:v>
                </c:pt>
                <c:pt idx="721">
                  <c:v>43776</c:v>
                </c:pt>
                <c:pt idx="722">
                  <c:v>43777</c:v>
                </c:pt>
                <c:pt idx="723">
                  <c:v>43778</c:v>
                </c:pt>
                <c:pt idx="724">
                  <c:v>43779</c:v>
                </c:pt>
                <c:pt idx="725">
                  <c:v>43780</c:v>
                </c:pt>
                <c:pt idx="726">
                  <c:v>43781</c:v>
                </c:pt>
                <c:pt idx="727">
                  <c:v>43782</c:v>
                </c:pt>
                <c:pt idx="728">
                  <c:v>43783</c:v>
                </c:pt>
                <c:pt idx="729">
                  <c:v>43784</c:v>
                </c:pt>
                <c:pt idx="730">
                  <c:v>43785</c:v>
                </c:pt>
                <c:pt idx="731">
                  <c:v>43786</c:v>
                </c:pt>
                <c:pt idx="732">
                  <c:v>43787</c:v>
                </c:pt>
                <c:pt idx="733">
                  <c:v>43788</c:v>
                </c:pt>
                <c:pt idx="734">
                  <c:v>43789</c:v>
                </c:pt>
                <c:pt idx="735">
                  <c:v>43790</c:v>
                </c:pt>
                <c:pt idx="736">
                  <c:v>43791</c:v>
                </c:pt>
                <c:pt idx="737">
                  <c:v>43792</c:v>
                </c:pt>
                <c:pt idx="738">
                  <c:v>43793</c:v>
                </c:pt>
                <c:pt idx="739">
                  <c:v>43794</c:v>
                </c:pt>
                <c:pt idx="740">
                  <c:v>43795</c:v>
                </c:pt>
                <c:pt idx="741">
                  <c:v>43796</c:v>
                </c:pt>
                <c:pt idx="742">
                  <c:v>43797</c:v>
                </c:pt>
                <c:pt idx="743">
                  <c:v>43798</c:v>
                </c:pt>
                <c:pt idx="744">
                  <c:v>43799</c:v>
                </c:pt>
                <c:pt idx="745">
                  <c:v>43800</c:v>
                </c:pt>
                <c:pt idx="746">
                  <c:v>43801</c:v>
                </c:pt>
                <c:pt idx="747">
                  <c:v>43802</c:v>
                </c:pt>
                <c:pt idx="748">
                  <c:v>43803</c:v>
                </c:pt>
                <c:pt idx="749">
                  <c:v>43804</c:v>
                </c:pt>
                <c:pt idx="750">
                  <c:v>43805</c:v>
                </c:pt>
                <c:pt idx="751">
                  <c:v>43806</c:v>
                </c:pt>
                <c:pt idx="752">
                  <c:v>43807</c:v>
                </c:pt>
                <c:pt idx="753">
                  <c:v>43808</c:v>
                </c:pt>
                <c:pt idx="754">
                  <c:v>43809</c:v>
                </c:pt>
                <c:pt idx="755">
                  <c:v>43810</c:v>
                </c:pt>
                <c:pt idx="756">
                  <c:v>43811</c:v>
                </c:pt>
                <c:pt idx="757">
                  <c:v>43812</c:v>
                </c:pt>
                <c:pt idx="758">
                  <c:v>43813</c:v>
                </c:pt>
                <c:pt idx="759">
                  <c:v>43814</c:v>
                </c:pt>
                <c:pt idx="760">
                  <c:v>43815</c:v>
                </c:pt>
                <c:pt idx="761">
                  <c:v>43816</c:v>
                </c:pt>
                <c:pt idx="762">
                  <c:v>43817</c:v>
                </c:pt>
                <c:pt idx="763">
                  <c:v>43818</c:v>
                </c:pt>
                <c:pt idx="764">
                  <c:v>43819</c:v>
                </c:pt>
                <c:pt idx="765">
                  <c:v>43820</c:v>
                </c:pt>
                <c:pt idx="766">
                  <c:v>43821</c:v>
                </c:pt>
                <c:pt idx="767">
                  <c:v>43822</c:v>
                </c:pt>
                <c:pt idx="768">
                  <c:v>43823</c:v>
                </c:pt>
                <c:pt idx="769">
                  <c:v>43824</c:v>
                </c:pt>
                <c:pt idx="770">
                  <c:v>43825</c:v>
                </c:pt>
                <c:pt idx="771">
                  <c:v>43826</c:v>
                </c:pt>
                <c:pt idx="772">
                  <c:v>43827</c:v>
                </c:pt>
                <c:pt idx="773">
                  <c:v>43828</c:v>
                </c:pt>
                <c:pt idx="774">
                  <c:v>43829</c:v>
                </c:pt>
                <c:pt idx="775">
                  <c:v>43830</c:v>
                </c:pt>
                <c:pt idx="776">
                  <c:v>43831</c:v>
                </c:pt>
                <c:pt idx="777">
                  <c:v>43832</c:v>
                </c:pt>
                <c:pt idx="778">
                  <c:v>43833</c:v>
                </c:pt>
                <c:pt idx="779">
                  <c:v>43834</c:v>
                </c:pt>
                <c:pt idx="780">
                  <c:v>43835</c:v>
                </c:pt>
                <c:pt idx="781">
                  <c:v>43836</c:v>
                </c:pt>
                <c:pt idx="782">
                  <c:v>43837</c:v>
                </c:pt>
                <c:pt idx="783">
                  <c:v>43838</c:v>
                </c:pt>
                <c:pt idx="784">
                  <c:v>43839</c:v>
                </c:pt>
                <c:pt idx="785">
                  <c:v>43840</c:v>
                </c:pt>
                <c:pt idx="786">
                  <c:v>43841</c:v>
                </c:pt>
                <c:pt idx="787">
                  <c:v>43842</c:v>
                </c:pt>
                <c:pt idx="788">
                  <c:v>43843</c:v>
                </c:pt>
                <c:pt idx="789">
                  <c:v>43844</c:v>
                </c:pt>
                <c:pt idx="790">
                  <c:v>43845</c:v>
                </c:pt>
                <c:pt idx="791">
                  <c:v>43846</c:v>
                </c:pt>
                <c:pt idx="792">
                  <c:v>43847</c:v>
                </c:pt>
                <c:pt idx="793">
                  <c:v>43848</c:v>
                </c:pt>
                <c:pt idx="794">
                  <c:v>43849</c:v>
                </c:pt>
                <c:pt idx="795">
                  <c:v>43850</c:v>
                </c:pt>
                <c:pt idx="796">
                  <c:v>43851</c:v>
                </c:pt>
                <c:pt idx="797">
                  <c:v>43852</c:v>
                </c:pt>
                <c:pt idx="798">
                  <c:v>43853</c:v>
                </c:pt>
                <c:pt idx="799">
                  <c:v>43854</c:v>
                </c:pt>
                <c:pt idx="800">
                  <c:v>43855</c:v>
                </c:pt>
                <c:pt idx="801">
                  <c:v>43856</c:v>
                </c:pt>
                <c:pt idx="802">
                  <c:v>43857</c:v>
                </c:pt>
                <c:pt idx="803">
                  <c:v>43858</c:v>
                </c:pt>
                <c:pt idx="804">
                  <c:v>43859</c:v>
                </c:pt>
                <c:pt idx="805">
                  <c:v>43860</c:v>
                </c:pt>
                <c:pt idx="806">
                  <c:v>43861</c:v>
                </c:pt>
                <c:pt idx="807">
                  <c:v>43862</c:v>
                </c:pt>
                <c:pt idx="808">
                  <c:v>43863</c:v>
                </c:pt>
                <c:pt idx="809">
                  <c:v>43864</c:v>
                </c:pt>
                <c:pt idx="810">
                  <c:v>43865</c:v>
                </c:pt>
                <c:pt idx="811">
                  <c:v>43866</c:v>
                </c:pt>
                <c:pt idx="812">
                  <c:v>43867</c:v>
                </c:pt>
                <c:pt idx="813">
                  <c:v>43868</c:v>
                </c:pt>
                <c:pt idx="814">
                  <c:v>43869</c:v>
                </c:pt>
                <c:pt idx="815">
                  <c:v>43870</c:v>
                </c:pt>
                <c:pt idx="816">
                  <c:v>43871</c:v>
                </c:pt>
                <c:pt idx="817">
                  <c:v>43872</c:v>
                </c:pt>
                <c:pt idx="818">
                  <c:v>43873</c:v>
                </c:pt>
                <c:pt idx="819">
                  <c:v>43874</c:v>
                </c:pt>
                <c:pt idx="820">
                  <c:v>43875</c:v>
                </c:pt>
                <c:pt idx="821">
                  <c:v>43876</c:v>
                </c:pt>
                <c:pt idx="822">
                  <c:v>43877</c:v>
                </c:pt>
                <c:pt idx="823">
                  <c:v>43878</c:v>
                </c:pt>
                <c:pt idx="824">
                  <c:v>43879</c:v>
                </c:pt>
                <c:pt idx="825">
                  <c:v>43880</c:v>
                </c:pt>
                <c:pt idx="826">
                  <c:v>43881</c:v>
                </c:pt>
                <c:pt idx="827">
                  <c:v>43882</c:v>
                </c:pt>
                <c:pt idx="828">
                  <c:v>43883</c:v>
                </c:pt>
                <c:pt idx="829">
                  <c:v>43884</c:v>
                </c:pt>
                <c:pt idx="830">
                  <c:v>43885</c:v>
                </c:pt>
                <c:pt idx="831">
                  <c:v>43886</c:v>
                </c:pt>
                <c:pt idx="832">
                  <c:v>43887</c:v>
                </c:pt>
                <c:pt idx="833">
                  <c:v>43888</c:v>
                </c:pt>
                <c:pt idx="834">
                  <c:v>43889</c:v>
                </c:pt>
                <c:pt idx="835">
                  <c:v>43890</c:v>
                </c:pt>
                <c:pt idx="836">
                  <c:v>43891</c:v>
                </c:pt>
                <c:pt idx="837">
                  <c:v>43892</c:v>
                </c:pt>
                <c:pt idx="838">
                  <c:v>43893</c:v>
                </c:pt>
                <c:pt idx="839">
                  <c:v>43894</c:v>
                </c:pt>
                <c:pt idx="840">
                  <c:v>43895</c:v>
                </c:pt>
                <c:pt idx="841">
                  <c:v>43896</c:v>
                </c:pt>
                <c:pt idx="842">
                  <c:v>43897</c:v>
                </c:pt>
                <c:pt idx="843">
                  <c:v>43898</c:v>
                </c:pt>
                <c:pt idx="844">
                  <c:v>43899</c:v>
                </c:pt>
                <c:pt idx="845">
                  <c:v>43900</c:v>
                </c:pt>
                <c:pt idx="846">
                  <c:v>43901</c:v>
                </c:pt>
                <c:pt idx="847">
                  <c:v>43902</c:v>
                </c:pt>
                <c:pt idx="848">
                  <c:v>43903</c:v>
                </c:pt>
                <c:pt idx="849">
                  <c:v>43904</c:v>
                </c:pt>
                <c:pt idx="850">
                  <c:v>43905</c:v>
                </c:pt>
                <c:pt idx="851">
                  <c:v>43906</c:v>
                </c:pt>
                <c:pt idx="852">
                  <c:v>43907</c:v>
                </c:pt>
                <c:pt idx="853">
                  <c:v>43908</c:v>
                </c:pt>
                <c:pt idx="854">
                  <c:v>43909</c:v>
                </c:pt>
                <c:pt idx="855">
                  <c:v>43910</c:v>
                </c:pt>
                <c:pt idx="856">
                  <c:v>43911</c:v>
                </c:pt>
                <c:pt idx="857">
                  <c:v>43912</c:v>
                </c:pt>
                <c:pt idx="858">
                  <c:v>43913</c:v>
                </c:pt>
                <c:pt idx="859">
                  <c:v>43914</c:v>
                </c:pt>
                <c:pt idx="860">
                  <c:v>43915</c:v>
                </c:pt>
                <c:pt idx="861">
                  <c:v>43916</c:v>
                </c:pt>
                <c:pt idx="862">
                  <c:v>43917</c:v>
                </c:pt>
                <c:pt idx="863">
                  <c:v>43918</c:v>
                </c:pt>
                <c:pt idx="864">
                  <c:v>43919</c:v>
                </c:pt>
                <c:pt idx="865">
                  <c:v>43920</c:v>
                </c:pt>
                <c:pt idx="866">
                  <c:v>43921</c:v>
                </c:pt>
                <c:pt idx="867">
                  <c:v>43922</c:v>
                </c:pt>
                <c:pt idx="868">
                  <c:v>43923</c:v>
                </c:pt>
                <c:pt idx="869">
                  <c:v>43924</c:v>
                </c:pt>
                <c:pt idx="870">
                  <c:v>43925</c:v>
                </c:pt>
                <c:pt idx="871">
                  <c:v>43926</c:v>
                </c:pt>
                <c:pt idx="872">
                  <c:v>43927</c:v>
                </c:pt>
                <c:pt idx="873">
                  <c:v>43928</c:v>
                </c:pt>
                <c:pt idx="874">
                  <c:v>43929</c:v>
                </c:pt>
                <c:pt idx="875">
                  <c:v>43930</c:v>
                </c:pt>
                <c:pt idx="876">
                  <c:v>43931</c:v>
                </c:pt>
                <c:pt idx="877">
                  <c:v>43932</c:v>
                </c:pt>
                <c:pt idx="878">
                  <c:v>43933</c:v>
                </c:pt>
                <c:pt idx="879">
                  <c:v>43934</c:v>
                </c:pt>
                <c:pt idx="880">
                  <c:v>43935</c:v>
                </c:pt>
                <c:pt idx="881">
                  <c:v>43936</c:v>
                </c:pt>
                <c:pt idx="882">
                  <c:v>43937</c:v>
                </c:pt>
                <c:pt idx="883">
                  <c:v>43938</c:v>
                </c:pt>
                <c:pt idx="884">
                  <c:v>43939</c:v>
                </c:pt>
                <c:pt idx="885">
                  <c:v>43940</c:v>
                </c:pt>
                <c:pt idx="886">
                  <c:v>43941</c:v>
                </c:pt>
                <c:pt idx="887">
                  <c:v>43942</c:v>
                </c:pt>
                <c:pt idx="888">
                  <c:v>43943</c:v>
                </c:pt>
                <c:pt idx="889">
                  <c:v>43944</c:v>
                </c:pt>
                <c:pt idx="890">
                  <c:v>43945</c:v>
                </c:pt>
                <c:pt idx="891">
                  <c:v>43946</c:v>
                </c:pt>
                <c:pt idx="892">
                  <c:v>43947</c:v>
                </c:pt>
                <c:pt idx="893">
                  <c:v>43948</c:v>
                </c:pt>
                <c:pt idx="894">
                  <c:v>43949</c:v>
                </c:pt>
                <c:pt idx="895">
                  <c:v>43950</c:v>
                </c:pt>
                <c:pt idx="896">
                  <c:v>43951</c:v>
                </c:pt>
                <c:pt idx="897">
                  <c:v>43952</c:v>
                </c:pt>
                <c:pt idx="898">
                  <c:v>43953</c:v>
                </c:pt>
                <c:pt idx="899">
                  <c:v>43954</c:v>
                </c:pt>
                <c:pt idx="900">
                  <c:v>43955</c:v>
                </c:pt>
                <c:pt idx="901">
                  <c:v>43956</c:v>
                </c:pt>
                <c:pt idx="902">
                  <c:v>43957</c:v>
                </c:pt>
                <c:pt idx="903">
                  <c:v>43958</c:v>
                </c:pt>
                <c:pt idx="904">
                  <c:v>43959</c:v>
                </c:pt>
                <c:pt idx="905">
                  <c:v>43960</c:v>
                </c:pt>
                <c:pt idx="906">
                  <c:v>43961</c:v>
                </c:pt>
                <c:pt idx="907">
                  <c:v>43962</c:v>
                </c:pt>
                <c:pt idx="908">
                  <c:v>43963</c:v>
                </c:pt>
                <c:pt idx="909">
                  <c:v>43964</c:v>
                </c:pt>
                <c:pt idx="910">
                  <c:v>43965</c:v>
                </c:pt>
                <c:pt idx="911">
                  <c:v>43966</c:v>
                </c:pt>
                <c:pt idx="912">
                  <c:v>43967</c:v>
                </c:pt>
                <c:pt idx="913">
                  <c:v>43968</c:v>
                </c:pt>
                <c:pt idx="914">
                  <c:v>43969</c:v>
                </c:pt>
                <c:pt idx="915">
                  <c:v>43970</c:v>
                </c:pt>
                <c:pt idx="916">
                  <c:v>43971</c:v>
                </c:pt>
                <c:pt idx="917">
                  <c:v>43972</c:v>
                </c:pt>
                <c:pt idx="918">
                  <c:v>43973</c:v>
                </c:pt>
                <c:pt idx="919">
                  <c:v>43974</c:v>
                </c:pt>
                <c:pt idx="920">
                  <c:v>43975</c:v>
                </c:pt>
                <c:pt idx="921">
                  <c:v>43976</c:v>
                </c:pt>
                <c:pt idx="922">
                  <c:v>43977</c:v>
                </c:pt>
                <c:pt idx="923">
                  <c:v>43978</c:v>
                </c:pt>
                <c:pt idx="924">
                  <c:v>43979</c:v>
                </c:pt>
                <c:pt idx="925">
                  <c:v>43980</c:v>
                </c:pt>
                <c:pt idx="926">
                  <c:v>43981</c:v>
                </c:pt>
                <c:pt idx="927">
                  <c:v>43982</c:v>
                </c:pt>
                <c:pt idx="928">
                  <c:v>43983</c:v>
                </c:pt>
                <c:pt idx="929">
                  <c:v>43984</c:v>
                </c:pt>
                <c:pt idx="930">
                  <c:v>43985</c:v>
                </c:pt>
                <c:pt idx="931">
                  <c:v>43986</c:v>
                </c:pt>
                <c:pt idx="932">
                  <c:v>43987</c:v>
                </c:pt>
                <c:pt idx="933">
                  <c:v>43988</c:v>
                </c:pt>
                <c:pt idx="934">
                  <c:v>43989</c:v>
                </c:pt>
                <c:pt idx="935">
                  <c:v>43990</c:v>
                </c:pt>
                <c:pt idx="936">
                  <c:v>43991</c:v>
                </c:pt>
                <c:pt idx="937">
                  <c:v>43992</c:v>
                </c:pt>
                <c:pt idx="938">
                  <c:v>43993</c:v>
                </c:pt>
                <c:pt idx="939">
                  <c:v>43994</c:v>
                </c:pt>
                <c:pt idx="940">
                  <c:v>43995</c:v>
                </c:pt>
                <c:pt idx="941">
                  <c:v>43996</c:v>
                </c:pt>
                <c:pt idx="942">
                  <c:v>43997</c:v>
                </c:pt>
                <c:pt idx="943">
                  <c:v>43998</c:v>
                </c:pt>
                <c:pt idx="944">
                  <c:v>43999</c:v>
                </c:pt>
                <c:pt idx="945">
                  <c:v>44000</c:v>
                </c:pt>
                <c:pt idx="946">
                  <c:v>44001</c:v>
                </c:pt>
                <c:pt idx="947">
                  <c:v>44002</c:v>
                </c:pt>
                <c:pt idx="948">
                  <c:v>44003</c:v>
                </c:pt>
                <c:pt idx="949">
                  <c:v>44004</c:v>
                </c:pt>
                <c:pt idx="950">
                  <c:v>44005</c:v>
                </c:pt>
                <c:pt idx="951">
                  <c:v>44006</c:v>
                </c:pt>
                <c:pt idx="952">
                  <c:v>44007</c:v>
                </c:pt>
                <c:pt idx="953">
                  <c:v>44008</c:v>
                </c:pt>
                <c:pt idx="954">
                  <c:v>44009</c:v>
                </c:pt>
                <c:pt idx="955">
                  <c:v>44010</c:v>
                </c:pt>
                <c:pt idx="956">
                  <c:v>44011</c:v>
                </c:pt>
                <c:pt idx="957">
                  <c:v>44012</c:v>
                </c:pt>
                <c:pt idx="958">
                  <c:v>44013</c:v>
                </c:pt>
                <c:pt idx="959">
                  <c:v>44014</c:v>
                </c:pt>
                <c:pt idx="960">
                  <c:v>44015</c:v>
                </c:pt>
                <c:pt idx="961">
                  <c:v>44016</c:v>
                </c:pt>
                <c:pt idx="962">
                  <c:v>44017</c:v>
                </c:pt>
                <c:pt idx="963">
                  <c:v>44018</c:v>
                </c:pt>
                <c:pt idx="964">
                  <c:v>44019</c:v>
                </c:pt>
                <c:pt idx="965">
                  <c:v>44020</c:v>
                </c:pt>
                <c:pt idx="966">
                  <c:v>44021</c:v>
                </c:pt>
                <c:pt idx="967">
                  <c:v>44022</c:v>
                </c:pt>
                <c:pt idx="968">
                  <c:v>44023</c:v>
                </c:pt>
                <c:pt idx="969">
                  <c:v>44024</c:v>
                </c:pt>
                <c:pt idx="970">
                  <c:v>44025</c:v>
                </c:pt>
                <c:pt idx="971">
                  <c:v>44026</c:v>
                </c:pt>
                <c:pt idx="972">
                  <c:v>44027</c:v>
                </c:pt>
                <c:pt idx="973">
                  <c:v>44028</c:v>
                </c:pt>
                <c:pt idx="974">
                  <c:v>44029</c:v>
                </c:pt>
                <c:pt idx="975">
                  <c:v>44030</c:v>
                </c:pt>
                <c:pt idx="976">
                  <c:v>44031</c:v>
                </c:pt>
                <c:pt idx="977">
                  <c:v>44032</c:v>
                </c:pt>
                <c:pt idx="978">
                  <c:v>44033</c:v>
                </c:pt>
                <c:pt idx="979">
                  <c:v>44034</c:v>
                </c:pt>
                <c:pt idx="980">
                  <c:v>44035</c:v>
                </c:pt>
                <c:pt idx="981">
                  <c:v>44036</c:v>
                </c:pt>
                <c:pt idx="982">
                  <c:v>44037</c:v>
                </c:pt>
                <c:pt idx="983">
                  <c:v>44038</c:v>
                </c:pt>
                <c:pt idx="984">
                  <c:v>44039</c:v>
                </c:pt>
                <c:pt idx="985">
                  <c:v>44040</c:v>
                </c:pt>
                <c:pt idx="986">
                  <c:v>44041</c:v>
                </c:pt>
                <c:pt idx="987">
                  <c:v>44042</c:v>
                </c:pt>
                <c:pt idx="988">
                  <c:v>44043</c:v>
                </c:pt>
                <c:pt idx="989">
                  <c:v>44044</c:v>
                </c:pt>
                <c:pt idx="990">
                  <c:v>44045</c:v>
                </c:pt>
                <c:pt idx="991">
                  <c:v>44046</c:v>
                </c:pt>
                <c:pt idx="992">
                  <c:v>44047</c:v>
                </c:pt>
                <c:pt idx="993">
                  <c:v>44048</c:v>
                </c:pt>
                <c:pt idx="994">
                  <c:v>44049</c:v>
                </c:pt>
                <c:pt idx="995">
                  <c:v>44050</c:v>
                </c:pt>
                <c:pt idx="996">
                  <c:v>44051</c:v>
                </c:pt>
                <c:pt idx="997">
                  <c:v>44052</c:v>
                </c:pt>
                <c:pt idx="998">
                  <c:v>44053</c:v>
                </c:pt>
                <c:pt idx="999">
                  <c:v>44054</c:v>
                </c:pt>
                <c:pt idx="1000">
                  <c:v>44055</c:v>
                </c:pt>
                <c:pt idx="1001">
                  <c:v>44056</c:v>
                </c:pt>
                <c:pt idx="1002">
                  <c:v>44057</c:v>
                </c:pt>
                <c:pt idx="1003">
                  <c:v>44058</c:v>
                </c:pt>
                <c:pt idx="1004">
                  <c:v>44059</c:v>
                </c:pt>
                <c:pt idx="1005">
                  <c:v>44060</c:v>
                </c:pt>
                <c:pt idx="1006">
                  <c:v>44061</c:v>
                </c:pt>
                <c:pt idx="1007">
                  <c:v>44062</c:v>
                </c:pt>
                <c:pt idx="1008">
                  <c:v>44063</c:v>
                </c:pt>
                <c:pt idx="1009">
                  <c:v>44064</c:v>
                </c:pt>
                <c:pt idx="1010">
                  <c:v>44065</c:v>
                </c:pt>
                <c:pt idx="1011">
                  <c:v>44066</c:v>
                </c:pt>
                <c:pt idx="1012">
                  <c:v>44067</c:v>
                </c:pt>
                <c:pt idx="1013">
                  <c:v>44068</c:v>
                </c:pt>
                <c:pt idx="1014">
                  <c:v>44069</c:v>
                </c:pt>
                <c:pt idx="1015">
                  <c:v>44070</c:v>
                </c:pt>
                <c:pt idx="1016">
                  <c:v>44071</c:v>
                </c:pt>
                <c:pt idx="1017">
                  <c:v>44072</c:v>
                </c:pt>
                <c:pt idx="1018">
                  <c:v>44073</c:v>
                </c:pt>
                <c:pt idx="1019">
                  <c:v>44074</c:v>
                </c:pt>
                <c:pt idx="1020">
                  <c:v>44075</c:v>
                </c:pt>
                <c:pt idx="1021">
                  <c:v>44076</c:v>
                </c:pt>
                <c:pt idx="1022">
                  <c:v>44077</c:v>
                </c:pt>
                <c:pt idx="1023">
                  <c:v>44078</c:v>
                </c:pt>
                <c:pt idx="1024">
                  <c:v>44079</c:v>
                </c:pt>
                <c:pt idx="1025">
                  <c:v>44080</c:v>
                </c:pt>
                <c:pt idx="1026">
                  <c:v>44081</c:v>
                </c:pt>
                <c:pt idx="1027">
                  <c:v>44082</c:v>
                </c:pt>
                <c:pt idx="1028">
                  <c:v>44083</c:v>
                </c:pt>
                <c:pt idx="1029">
                  <c:v>44084</c:v>
                </c:pt>
                <c:pt idx="1030">
                  <c:v>44085</c:v>
                </c:pt>
                <c:pt idx="1031">
                  <c:v>44086</c:v>
                </c:pt>
                <c:pt idx="1032">
                  <c:v>44087</c:v>
                </c:pt>
                <c:pt idx="1033">
                  <c:v>44088</c:v>
                </c:pt>
                <c:pt idx="1034">
                  <c:v>44089</c:v>
                </c:pt>
                <c:pt idx="1035">
                  <c:v>44090</c:v>
                </c:pt>
                <c:pt idx="1036">
                  <c:v>44091</c:v>
                </c:pt>
                <c:pt idx="1037">
                  <c:v>44092</c:v>
                </c:pt>
                <c:pt idx="1038">
                  <c:v>44093</c:v>
                </c:pt>
                <c:pt idx="1039">
                  <c:v>44094</c:v>
                </c:pt>
                <c:pt idx="1040">
                  <c:v>44095</c:v>
                </c:pt>
                <c:pt idx="1041">
                  <c:v>44096</c:v>
                </c:pt>
                <c:pt idx="1042">
                  <c:v>44097</c:v>
                </c:pt>
                <c:pt idx="1043">
                  <c:v>44098</c:v>
                </c:pt>
                <c:pt idx="1044">
                  <c:v>44099</c:v>
                </c:pt>
                <c:pt idx="1045">
                  <c:v>44100</c:v>
                </c:pt>
                <c:pt idx="1046">
                  <c:v>44101</c:v>
                </c:pt>
                <c:pt idx="1047">
                  <c:v>44102</c:v>
                </c:pt>
                <c:pt idx="1048">
                  <c:v>44103</c:v>
                </c:pt>
                <c:pt idx="1049">
                  <c:v>44104</c:v>
                </c:pt>
                <c:pt idx="1050">
                  <c:v>44105</c:v>
                </c:pt>
                <c:pt idx="1051">
                  <c:v>44106</c:v>
                </c:pt>
                <c:pt idx="1052">
                  <c:v>44107</c:v>
                </c:pt>
                <c:pt idx="1053">
                  <c:v>44108</c:v>
                </c:pt>
                <c:pt idx="1054">
                  <c:v>44109</c:v>
                </c:pt>
                <c:pt idx="1055">
                  <c:v>44110</c:v>
                </c:pt>
                <c:pt idx="1056">
                  <c:v>44111</c:v>
                </c:pt>
                <c:pt idx="1057">
                  <c:v>44112</c:v>
                </c:pt>
                <c:pt idx="1058">
                  <c:v>44113</c:v>
                </c:pt>
                <c:pt idx="1059">
                  <c:v>44114</c:v>
                </c:pt>
                <c:pt idx="1060">
                  <c:v>44115</c:v>
                </c:pt>
                <c:pt idx="1061">
                  <c:v>44116</c:v>
                </c:pt>
                <c:pt idx="1062">
                  <c:v>44117</c:v>
                </c:pt>
                <c:pt idx="1063">
                  <c:v>44118</c:v>
                </c:pt>
                <c:pt idx="1064">
                  <c:v>44119</c:v>
                </c:pt>
                <c:pt idx="1065">
                  <c:v>44120</c:v>
                </c:pt>
                <c:pt idx="1066">
                  <c:v>44121</c:v>
                </c:pt>
                <c:pt idx="1067">
                  <c:v>44122</c:v>
                </c:pt>
                <c:pt idx="1068">
                  <c:v>44123</c:v>
                </c:pt>
                <c:pt idx="1069">
                  <c:v>44124</c:v>
                </c:pt>
                <c:pt idx="1070">
                  <c:v>44125</c:v>
                </c:pt>
                <c:pt idx="1071">
                  <c:v>44126</c:v>
                </c:pt>
                <c:pt idx="1072">
                  <c:v>44127</c:v>
                </c:pt>
                <c:pt idx="1073">
                  <c:v>44128</c:v>
                </c:pt>
                <c:pt idx="1074">
                  <c:v>44129</c:v>
                </c:pt>
                <c:pt idx="1075">
                  <c:v>44130</c:v>
                </c:pt>
                <c:pt idx="1076">
                  <c:v>44131</c:v>
                </c:pt>
                <c:pt idx="1077">
                  <c:v>44132</c:v>
                </c:pt>
                <c:pt idx="1078">
                  <c:v>44133</c:v>
                </c:pt>
                <c:pt idx="1079">
                  <c:v>44134</c:v>
                </c:pt>
                <c:pt idx="1080">
                  <c:v>44135</c:v>
                </c:pt>
                <c:pt idx="1081">
                  <c:v>44136</c:v>
                </c:pt>
                <c:pt idx="1082">
                  <c:v>44137</c:v>
                </c:pt>
                <c:pt idx="1083">
                  <c:v>44138</c:v>
                </c:pt>
                <c:pt idx="1084">
                  <c:v>44139</c:v>
                </c:pt>
                <c:pt idx="1085">
                  <c:v>44140</c:v>
                </c:pt>
                <c:pt idx="1086">
                  <c:v>44141</c:v>
                </c:pt>
                <c:pt idx="1087">
                  <c:v>44142</c:v>
                </c:pt>
                <c:pt idx="1088">
                  <c:v>44143</c:v>
                </c:pt>
                <c:pt idx="1089">
                  <c:v>44144</c:v>
                </c:pt>
                <c:pt idx="1090">
                  <c:v>44145</c:v>
                </c:pt>
                <c:pt idx="1091">
                  <c:v>44146</c:v>
                </c:pt>
                <c:pt idx="1092">
                  <c:v>44147</c:v>
                </c:pt>
                <c:pt idx="1093">
                  <c:v>44148</c:v>
                </c:pt>
                <c:pt idx="1094">
                  <c:v>44149</c:v>
                </c:pt>
                <c:pt idx="1095">
                  <c:v>44150</c:v>
                </c:pt>
                <c:pt idx="1096">
                  <c:v>44151</c:v>
                </c:pt>
                <c:pt idx="1097">
                  <c:v>44152</c:v>
                </c:pt>
                <c:pt idx="1098">
                  <c:v>44153</c:v>
                </c:pt>
                <c:pt idx="1099">
                  <c:v>44154</c:v>
                </c:pt>
                <c:pt idx="1100">
                  <c:v>44155</c:v>
                </c:pt>
                <c:pt idx="1101">
                  <c:v>44156</c:v>
                </c:pt>
                <c:pt idx="1102">
                  <c:v>44157</c:v>
                </c:pt>
                <c:pt idx="1103">
                  <c:v>44158</c:v>
                </c:pt>
                <c:pt idx="1104">
                  <c:v>44159</c:v>
                </c:pt>
                <c:pt idx="1105">
                  <c:v>44160</c:v>
                </c:pt>
                <c:pt idx="1106">
                  <c:v>44161</c:v>
                </c:pt>
                <c:pt idx="1107">
                  <c:v>44162</c:v>
                </c:pt>
                <c:pt idx="1108">
                  <c:v>44163</c:v>
                </c:pt>
                <c:pt idx="1109">
                  <c:v>44164</c:v>
                </c:pt>
                <c:pt idx="1110">
                  <c:v>44165</c:v>
                </c:pt>
                <c:pt idx="1111">
                  <c:v>44166</c:v>
                </c:pt>
                <c:pt idx="1112">
                  <c:v>44167</c:v>
                </c:pt>
                <c:pt idx="1113">
                  <c:v>44168</c:v>
                </c:pt>
                <c:pt idx="1114">
                  <c:v>44169</c:v>
                </c:pt>
                <c:pt idx="1115">
                  <c:v>44170</c:v>
                </c:pt>
                <c:pt idx="1116">
                  <c:v>44171</c:v>
                </c:pt>
                <c:pt idx="1117">
                  <c:v>44172</c:v>
                </c:pt>
                <c:pt idx="1118">
                  <c:v>44173</c:v>
                </c:pt>
                <c:pt idx="1119">
                  <c:v>44174</c:v>
                </c:pt>
                <c:pt idx="1120">
                  <c:v>44175</c:v>
                </c:pt>
                <c:pt idx="1121">
                  <c:v>44176</c:v>
                </c:pt>
                <c:pt idx="1122">
                  <c:v>44177</c:v>
                </c:pt>
                <c:pt idx="1123">
                  <c:v>44178</c:v>
                </c:pt>
                <c:pt idx="1124">
                  <c:v>44179</c:v>
                </c:pt>
                <c:pt idx="1125">
                  <c:v>44180</c:v>
                </c:pt>
                <c:pt idx="1126">
                  <c:v>44181</c:v>
                </c:pt>
                <c:pt idx="1127">
                  <c:v>44182</c:v>
                </c:pt>
                <c:pt idx="1128">
                  <c:v>44183</c:v>
                </c:pt>
                <c:pt idx="1129">
                  <c:v>44184</c:v>
                </c:pt>
                <c:pt idx="1130">
                  <c:v>44185</c:v>
                </c:pt>
                <c:pt idx="1131">
                  <c:v>44186</c:v>
                </c:pt>
                <c:pt idx="1132">
                  <c:v>44187</c:v>
                </c:pt>
                <c:pt idx="1133">
                  <c:v>44188</c:v>
                </c:pt>
                <c:pt idx="1134">
                  <c:v>44189</c:v>
                </c:pt>
                <c:pt idx="1135">
                  <c:v>44190</c:v>
                </c:pt>
                <c:pt idx="1136">
                  <c:v>44191</c:v>
                </c:pt>
                <c:pt idx="1137">
                  <c:v>44192</c:v>
                </c:pt>
                <c:pt idx="1138">
                  <c:v>44193</c:v>
                </c:pt>
                <c:pt idx="1139">
                  <c:v>44194</c:v>
                </c:pt>
                <c:pt idx="1140">
                  <c:v>44195</c:v>
                </c:pt>
                <c:pt idx="1141">
                  <c:v>44196</c:v>
                </c:pt>
                <c:pt idx="1142">
                  <c:v>44197</c:v>
                </c:pt>
                <c:pt idx="1143">
                  <c:v>44198</c:v>
                </c:pt>
                <c:pt idx="1144">
                  <c:v>44199</c:v>
                </c:pt>
                <c:pt idx="1145">
                  <c:v>44200</c:v>
                </c:pt>
                <c:pt idx="1146">
                  <c:v>44201</c:v>
                </c:pt>
                <c:pt idx="1147">
                  <c:v>44202</c:v>
                </c:pt>
                <c:pt idx="1148">
                  <c:v>44203</c:v>
                </c:pt>
                <c:pt idx="1149">
                  <c:v>44204</c:v>
                </c:pt>
                <c:pt idx="1150">
                  <c:v>44205</c:v>
                </c:pt>
                <c:pt idx="1151">
                  <c:v>44206</c:v>
                </c:pt>
                <c:pt idx="1152">
                  <c:v>44207</c:v>
                </c:pt>
                <c:pt idx="1153">
                  <c:v>44208</c:v>
                </c:pt>
                <c:pt idx="1154">
                  <c:v>44209</c:v>
                </c:pt>
                <c:pt idx="1155">
                  <c:v>44210</c:v>
                </c:pt>
                <c:pt idx="1156">
                  <c:v>44211</c:v>
                </c:pt>
                <c:pt idx="1157">
                  <c:v>44212</c:v>
                </c:pt>
                <c:pt idx="1158">
                  <c:v>44213</c:v>
                </c:pt>
                <c:pt idx="1159">
                  <c:v>44214</c:v>
                </c:pt>
                <c:pt idx="1160">
                  <c:v>44215</c:v>
                </c:pt>
                <c:pt idx="1161">
                  <c:v>44216</c:v>
                </c:pt>
                <c:pt idx="1162">
                  <c:v>44217</c:v>
                </c:pt>
                <c:pt idx="1163">
                  <c:v>44218</c:v>
                </c:pt>
                <c:pt idx="1164">
                  <c:v>44219</c:v>
                </c:pt>
                <c:pt idx="1165">
                  <c:v>44220</c:v>
                </c:pt>
                <c:pt idx="1166">
                  <c:v>44221</c:v>
                </c:pt>
                <c:pt idx="1167">
                  <c:v>44222</c:v>
                </c:pt>
                <c:pt idx="1168">
                  <c:v>44223</c:v>
                </c:pt>
                <c:pt idx="1169">
                  <c:v>44224</c:v>
                </c:pt>
                <c:pt idx="1170">
                  <c:v>44225</c:v>
                </c:pt>
                <c:pt idx="1171">
                  <c:v>44226</c:v>
                </c:pt>
                <c:pt idx="1172">
                  <c:v>44227</c:v>
                </c:pt>
                <c:pt idx="1173">
                  <c:v>44228</c:v>
                </c:pt>
                <c:pt idx="1174">
                  <c:v>44229</c:v>
                </c:pt>
                <c:pt idx="1175">
                  <c:v>44230</c:v>
                </c:pt>
                <c:pt idx="1176">
                  <c:v>44231</c:v>
                </c:pt>
                <c:pt idx="1177">
                  <c:v>44232</c:v>
                </c:pt>
                <c:pt idx="1178">
                  <c:v>44233</c:v>
                </c:pt>
                <c:pt idx="1179">
                  <c:v>44234</c:v>
                </c:pt>
                <c:pt idx="1180">
                  <c:v>44235</c:v>
                </c:pt>
                <c:pt idx="1181">
                  <c:v>44236</c:v>
                </c:pt>
                <c:pt idx="1182">
                  <c:v>44237</c:v>
                </c:pt>
                <c:pt idx="1183">
                  <c:v>44238</c:v>
                </c:pt>
                <c:pt idx="1184">
                  <c:v>44239</c:v>
                </c:pt>
                <c:pt idx="1185">
                  <c:v>44240</c:v>
                </c:pt>
                <c:pt idx="1186">
                  <c:v>44241</c:v>
                </c:pt>
                <c:pt idx="1187">
                  <c:v>44242</c:v>
                </c:pt>
                <c:pt idx="1188">
                  <c:v>44243</c:v>
                </c:pt>
                <c:pt idx="1189">
                  <c:v>44244</c:v>
                </c:pt>
                <c:pt idx="1190">
                  <c:v>44245</c:v>
                </c:pt>
                <c:pt idx="1191">
                  <c:v>44246</c:v>
                </c:pt>
                <c:pt idx="1192">
                  <c:v>44247</c:v>
                </c:pt>
                <c:pt idx="1193">
                  <c:v>44248</c:v>
                </c:pt>
                <c:pt idx="1194">
                  <c:v>44249</c:v>
                </c:pt>
                <c:pt idx="1195">
                  <c:v>44250</c:v>
                </c:pt>
                <c:pt idx="1196">
                  <c:v>44251</c:v>
                </c:pt>
                <c:pt idx="1197">
                  <c:v>44252</c:v>
                </c:pt>
                <c:pt idx="1198">
                  <c:v>44253</c:v>
                </c:pt>
                <c:pt idx="1199">
                  <c:v>44254</c:v>
                </c:pt>
                <c:pt idx="1200">
                  <c:v>44255</c:v>
                </c:pt>
                <c:pt idx="1201">
                  <c:v>44256</c:v>
                </c:pt>
                <c:pt idx="1202">
                  <c:v>44257</c:v>
                </c:pt>
                <c:pt idx="1203">
                  <c:v>44258</c:v>
                </c:pt>
                <c:pt idx="1204">
                  <c:v>44259</c:v>
                </c:pt>
                <c:pt idx="1205">
                  <c:v>44260</c:v>
                </c:pt>
                <c:pt idx="1206">
                  <c:v>44261</c:v>
                </c:pt>
                <c:pt idx="1207">
                  <c:v>44262</c:v>
                </c:pt>
                <c:pt idx="1208">
                  <c:v>44263</c:v>
                </c:pt>
                <c:pt idx="1209">
                  <c:v>44264</c:v>
                </c:pt>
                <c:pt idx="1210">
                  <c:v>44265</c:v>
                </c:pt>
                <c:pt idx="1211">
                  <c:v>44266</c:v>
                </c:pt>
                <c:pt idx="1212">
                  <c:v>44267</c:v>
                </c:pt>
                <c:pt idx="1213">
                  <c:v>44268</c:v>
                </c:pt>
                <c:pt idx="1214">
                  <c:v>44269</c:v>
                </c:pt>
                <c:pt idx="1215">
                  <c:v>44270</c:v>
                </c:pt>
                <c:pt idx="1216">
                  <c:v>44271</c:v>
                </c:pt>
                <c:pt idx="1217">
                  <c:v>44272</c:v>
                </c:pt>
                <c:pt idx="1218">
                  <c:v>44273</c:v>
                </c:pt>
                <c:pt idx="1219">
                  <c:v>44274</c:v>
                </c:pt>
                <c:pt idx="1220">
                  <c:v>44275</c:v>
                </c:pt>
                <c:pt idx="1221">
                  <c:v>44276</c:v>
                </c:pt>
                <c:pt idx="1222">
                  <c:v>44277</c:v>
                </c:pt>
                <c:pt idx="1223">
                  <c:v>44278</c:v>
                </c:pt>
                <c:pt idx="1224">
                  <c:v>44279</c:v>
                </c:pt>
                <c:pt idx="1225">
                  <c:v>44280</c:v>
                </c:pt>
                <c:pt idx="1226">
                  <c:v>44281</c:v>
                </c:pt>
                <c:pt idx="1227">
                  <c:v>44282</c:v>
                </c:pt>
                <c:pt idx="1228">
                  <c:v>44283</c:v>
                </c:pt>
                <c:pt idx="1229">
                  <c:v>44284</c:v>
                </c:pt>
                <c:pt idx="1230">
                  <c:v>44285</c:v>
                </c:pt>
                <c:pt idx="1231">
                  <c:v>44286</c:v>
                </c:pt>
                <c:pt idx="1232">
                  <c:v>44287</c:v>
                </c:pt>
                <c:pt idx="1233">
                  <c:v>44288</c:v>
                </c:pt>
                <c:pt idx="1234">
                  <c:v>44289</c:v>
                </c:pt>
                <c:pt idx="1235">
                  <c:v>44290</c:v>
                </c:pt>
                <c:pt idx="1236">
                  <c:v>44291</c:v>
                </c:pt>
                <c:pt idx="1237">
                  <c:v>44292</c:v>
                </c:pt>
                <c:pt idx="1238">
                  <c:v>44293</c:v>
                </c:pt>
                <c:pt idx="1239">
                  <c:v>44294</c:v>
                </c:pt>
                <c:pt idx="1240">
                  <c:v>44295</c:v>
                </c:pt>
                <c:pt idx="1241">
                  <c:v>44296</c:v>
                </c:pt>
                <c:pt idx="1242">
                  <c:v>44297</c:v>
                </c:pt>
                <c:pt idx="1243">
                  <c:v>44298</c:v>
                </c:pt>
                <c:pt idx="1244">
                  <c:v>44299</c:v>
                </c:pt>
                <c:pt idx="1245">
                  <c:v>44300</c:v>
                </c:pt>
                <c:pt idx="1246">
                  <c:v>44301</c:v>
                </c:pt>
                <c:pt idx="1247">
                  <c:v>44302</c:v>
                </c:pt>
                <c:pt idx="1248">
                  <c:v>44303</c:v>
                </c:pt>
                <c:pt idx="1249">
                  <c:v>44304</c:v>
                </c:pt>
                <c:pt idx="1250">
                  <c:v>44305</c:v>
                </c:pt>
                <c:pt idx="1251">
                  <c:v>44306</c:v>
                </c:pt>
                <c:pt idx="1252">
                  <c:v>44307</c:v>
                </c:pt>
                <c:pt idx="1253">
                  <c:v>44308</c:v>
                </c:pt>
                <c:pt idx="1254">
                  <c:v>44309</c:v>
                </c:pt>
                <c:pt idx="1255">
                  <c:v>44310</c:v>
                </c:pt>
                <c:pt idx="1256">
                  <c:v>44311</c:v>
                </c:pt>
                <c:pt idx="1257">
                  <c:v>44312</c:v>
                </c:pt>
                <c:pt idx="1258">
                  <c:v>44313</c:v>
                </c:pt>
                <c:pt idx="1259">
                  <c:v>44314</c:v>
                </c:pt>
                <c:pt idx="1260">
                  <c:v>44315</c:v>
                </c:pt>
                <c:pt idx="1261">
                  <c:v>44316</c:v>
                </c:pt>
                <c:pt idx="1262">
                  <c:v>44317</c:v>
                </c:pt>
                <c:pt idx="1263">
                  <c:v>44318</c:v>
                </c:pt>
                <c:pt idx="1264">
                  <c:v>44319</c:v>
                </c:pt>
                <c:pt idx="1265">
                  <c:v>44320</c:v>
                </c:pt>
                <c:pt idx="1266">
                  <c:v>44321</c:v>
                </c:pt>
                <c:pt idx="1267">
                  <c:v>44322</c:v>
                </c:pt>
                <c:pt idx="1268">
                  <c:v>44323</c:v>
                </c:pt>
                <c:pt idx="1269">
                  <c:v>44324</c:v>
                </c:pt>
                <c:pt idx="1270">
                  <c:v>44325</c:v>
                </c:pt>
                <c:pt idx="1271">
                  <c:v>44326</c:v>
                </c:pt>
                <c:pt idx="1272">
                  <c:v>44327</c:v>
                </c:pt>
                <c:pt idx="1273">
                  <c:v>44328</c:v>
                </c:pt>
                <c:pt idx="1274">
                  <c:v>44329</c:v>
                </c:pt>
                <c:pt idx="1275">
                  <c:v>44330</c:v>
                </c:pt>
                <c:pt idx="1276">
                  <c:v>44331</c:v>
                </c:pt>
                <c:pt idx="1277">
                  <c:v>44332</c:v>
                </c:pt>
                <c:pt idx="1278">
                  <c:v>44333</c:v>
                </c:pt>
                <c:pt idx="1279">
                  <c:v>44334</c:v>
                </c:pt>
                <c:pt idx="1280">
                  <c:v>44335</c:v>
                </c:pt>
                <c:pt idx="1281">
                  <c:v>44336</c:v>
                </c:pt>
                <c:pt idx="1282">
                  <c:v>44337</c:v>
                </c:pt>
                <c:pt idx="1283">
                  <c:v>44338</c:v>
                </c:pt>
                <c:pt idx="1284">
                  <c:v>44339</c:v>
                </c:pt>
                <c:pt idx="1285">
                  <c:v>44340</c:v>
                </c:pt>
                <c:pt idx="1286">
                  <c:v>44341</c:v>
                </c:pt>
                <c:pt idx="1287">
                  <c:v>44342</c:v>
                </c:pt>
                <c:pt idx="1288">
                  <c:v>44343</c:v>
                </c:pt>
                <c:pt idx="1289">
                  <c:v>44344</c:v>
                </c:pt>
                <c:pt idx="1290">
                  <c:v>44345</c:v>
                </c:pt>
                <c:pt idx="1291">
                  <c:v>44346</c:v>
                </c:pt>
                <c:pt idx="1292">
                  <c:v>44347</c:v>
                </c:pt>
                <c:pt idx="1293">
                  <c:v>44348</c:v>
                </c:pt>
                <c:pt idx="1294">
                  <c:v>44349</c:v>
                </c:pt>
                <c:pt idx="1295">
                  <c:v>44350</c:v>
                </c:pt>
                <c:pt idx="1296">
                  <c:v>44351</c:v>
                </c:pt>
                <c:pt idx="1297">
                  <c:v>44352</c:v>
                </c:pt>
                <c:pt idx="1298">
                  <c:v>44353</c:v>
                </c:pt>
                <c:pt idx="1299">
                  <c:v>44354</c:v>
                </c:pt>
                <c:pt idx="1300">
                  <c:v>44355</c:v>
                </c:pt>
                <c:pt idx="1301">
                  <c:v>44356</c:v>
                </c:pt>
                <c:pt idx="1302">
                  <c:v>44357</c:v>
                </c:pt>
                <c:pt idx="1303">
                  <c:v>44358</c:v>
                </c:pt>
                <c:pt idx="1304">
                  <c:v>44359</c:v>
                </c:pt>
                <c:pt idx="1305">
                  <c:v>44360</c:v>
                </c:pt>
                <c:pt idx="1306">
                  <c:v>44361</c:v>
                </c:pt>
                <c:pt idx="1307">
                  <c:v>44362</c:v>
                </c:pt>
                <c:pt idx="1308">
                  <c:v>44363</c:v>
                </c:pt>
                <c:pt idx="1309">
                  <c:v>44364</c:v>
                </c:pt>
                <c:pt idx="1310">
                  <c:v>44365</c:v>
                </c:pt>
                <c:pt idx="1311">
                  <c:v>44366</c:v>
                </c:pt>
                <c:pt idx="1312">
                  <c:v>44367</c:v>
                </c:pt>
                <c:pt idx="1313">
                  <c:v>44368</c:v>
                </c:pt>
                <c:pt idx="1314">
                  <c:v>44369</c:v>
                </c:pt>
                <c:pt idx="1315">
                  <c:v>44370</c:v>
                </c:pt>
                <c:pt idx="1316">
                  <c:v>44371</c:v>
                </c:pt>
                <c:pt idx="1317">
                  <c:v>44372</c:v>
                </c:pt>
                <c:pt idx="1318">
                  <c:v>44373</c:v>
                </c:pt>
                <c:pt idx="1319">
                  <c:v>44374</c:v>
                </c:pt>
                <c:pt idx="1320">
                  <c:v>44375</c:v>
                </c:pt>
                <c:pt idx="1321">
                  <c:v>44376</c:v>
                </c:pt>
                <c:pt idx="1322">
                  <c:v>44377</c:v>
                </c:pt>
                <c:pt idx="1323">
                  <c:v>44378</c:v>
                </c:pt>
                <c:pt idx="1324">
                  <c:v>44379</c:v>
                </c:pt>
                <c:pt idx="1325">
                  <c:v>44380</c:v>
                </c:pt>
                <c:pt idx="1326">
                  <c:v>44381</c:v>
                </c:pt>
                <c:pt idx="1327">
                  <c:v>44382</c:v>
                </c:pt>
                <c:pt idx="1328">
                  <c:v>44383</c:v>
                </c:pt>
                <c:pt idx="1329">
                  <c:v>44384</c:v>
                </c:pt>
                <c:pt idx="1330">
                  <c:v>44385</c:v>
                </c:pt>
                <c:pt idx="1331">
                  <c:v>44386</c:v>
                </c:pt>
                <c:pt idx="1332">
                  <c:v>44387</c:v>
                </c:pt>
                <c:pt idx="1333">
                  <c:v>44388</c:v>
                </c:pt>
                <c:pt idx="1334">
                  <c:v>44389</c:v>
                </c:pt>
                <c:pt idx="1335">
                  <c:v>44390</c:v>
                </c:pt>
                <c:pt idx="1336">
                  <c:v>44391</c:v>
                </c:pt>
                <c:pt idx="1337">
                  <c:v>44392</c:v>
                </c:pt>
                <c:pt idx="1338">
                  <c:v>44393</c:v>
                </c:pt>
                <c:pt idx="1339">
                  <c:v>44394</c:v>
                </c:pt>
                <c:pt idx="1340">
                  <c:v>44395</c:v>
                </c:pt>
                <c:pt idx="1341">
                  <c:v>44396</c:v>
                </c:pt>
                <c:pt idx="1342">
                  <c:v>44397</c:v>
                </c:pt>
                <c:pt idx="1343">
                  <c:v>44398</c:v>
                </c:pt>
                <c:pt idx="1344">
                  <c:v>44399</c:v>
                </c:pt>
                <c:pt idx="1345">
                  <c:v>44400</c:v>
                </c:pt>
                <c:pt idx="1346">
                  <c:v>44401</c:v>
                </c:pt>
                <c:pt idx="1347">
                  <c:v>44402</c:v>
                </c:pt>
                <c:pt idx="1348">
                  <c:v>44403</c:v>
                </c:pt>
                <c:pt idx="1349">
                  <c:v>44404</c:v>
                </c:pt>
                <c:pt idx="1350">
                  <c:v>44405</c:v>
                </c:pt>
                <c:pt idx="1351">
                  <c:v>44406</c:v>
                </c:pt>
                <c:pt idx="1352">
                  <c:v>44407</c:v>
                </c:pt>
                <c:pt idx="1353">
                  <c:v>44408</c:v>
                </c:pt>
                <c:pt idx="1354">
                  <c:v>44409</c:v>
                </c:pt>
                <c:pt idx="1355">
                  <c:v>44410</c:v>
                </c:pt>
                <c:pt idx="1356">
                  <c:v>44411</c:v>
                </c:pt>
                <c:pt idx="1357">
                  <c:v>44412</c:v>
                </c:pt>
                <c:pt idx="1358">
                  <c:v>44413</c:v>
                </c:pt>
                <c:pt idx="1359">
                  <c:v>44414</c:v>
                </c:pt>
                <c:pt idx="1360">
                  <c:v>44415</c:v>
                </c:pt>
                <c:pt idx="1361">
                  <c:v>44416</c:v>
                </c:pt>
                <c:pt idx="1362">
                  <c:v>44417</c:v>
                </c:pt>
                <c:pt idx="1363">
                  <c:v>44418</c:v>
                </c:pt>
                <c:pt idx="1364">
                  <c:v>44419</c:v>
                </c:pt>
                <c:pt idx="1365">
                  <c:v>44420</c:v>
                </c:pt>
                <c:pt idx="1366">
                  <c:v>44421</c:v>
                </c:pt>
                <c:pt idx="1367">
                  <c:v>44422</c:v>
                </c:pt>
                <c:pt idx="1368">
                  <c:v>44423</c:v>
                </c:pt>
                <c:pt idx="1369">
                  <c:v>44424</c:v>
                </c:pt>
                <c:pt idx="1370">
                  <c:v>44425</c:v>
                </c:pt>
                <c:pt idx="1371">
                  <c:v>44426</c:v>
                </c:pt>
                <c:pt idx="1372">
                  <c:v>44427</c:v>
                </c:pt>
                <c:pt idx="1373">
                  <c:v>44428</c:v>
                </c:pt>
                <c:pt idx="1374">
                  <c:v>44429</c:v>
                </c:pt>
                <c:pt idx="1375">
                  <c:v>44430</c:v>
                </c:pt>
                <c:pt idx="1376">
                  <c:v>44431</c:v>
                </c:pt>
                <c:pt idx="1377">
                  <c:v>44432</c:v>
                </c:pt>
                <c:pt idx="1378">
                  <c:v>44433</c:v>
                </c:pt>
                <c:pt idx="1379">
                  <c:v>44434</c:v>
                </c:pt>
                <c:pt idx="1380">
                  <c:v>44435</c:v>
                </c:pt>
                <c:pt idx="1381">
                  <c:v>44436</c:v>
                </c:pt>
                <c:pt idx="1382">
                  <c:v>44437</c:v>
                </c:pt>
                <c:pt idx="1383">
                  <c:v>44438</c:v>
                </c:pt>
                <c:pt idx="1384">
                  <c:v>44439</c:v>
                </c:pt>
                <c:pt idx="1385">
                  <c:v>44440</c:v>
                </c:pt>
                <c:pt idx="1386">
                  <c:v>44441</c:v>
                </c:pt>
                <c:pt idx="1387">
                  <c:v>44442</c:v>
                </c:pt>
                <c:pt idx="1388">
                  <c:v>44443</c:v>
                </c:pt>
                <c:pt idx="1389">
                  <c:v>44444</c:v>
                </c:pt>
                <c:pt idx="1390">
                  <c:v>44445</c:v>
                </c:pt>
                <c:pt idx="1391">
                  <c:v>44446</c:v>
                </c:pt>
                <c:pt idx="1392">
                  <c:v>44447</c:v>
                </c:pt>
                <c:pt idx="1393">
                  <c:v>44448</c:v>
                </c:pt>
                <c:pt idx="1394">
                  <c:v>44449</c:v>
                </c:pt>
                <c:pt idx="1395">
                  <c:v>44450</c:v>
                </c:pt>
                <c:pt idx="1396">
                  <c:v>44451</c:v>
                </c:pt>
                <c:pt idx="1397">
                  <c:v>44452</c:v>
                </c:pt>
                <c:pt idx="1398">
                  <c:v>44453</c:v>
                </c:pt>
                <c:pt idx="1399">
                  <c:v>44454</c:v>
                </c:pt>
                <c:pt idx="1400">
                  <c:v>44455</c:v>
                </c:pt>
                <c:pt idx="1401">
                  <c:v>44456</c:v>
                </c:pt>
                <c:pt idx="1402">
                  <c:v>44457</c:v>
                </c:pt>
                <c:pt idx="1403">
                  <c:v>44458</c:v>
                </c:pt>
                <c:pt idx="1404">
                  <c:v>44459</c:v>
                </c:pt>
                <c:pt idx="1405">
                  <c:v>44460</c:v>
                </c:pt>
                <c:pt idx="1406">
                  <c:v>44461</c:v>
                </c:pt>
                <c:pt idx="1407">
                  <c:v>44462</c:v>
                </c:pt>
                <c:pt idx="1408">
                  <c:v>44463</c:v>
                </c:pt>
                <c:pt idx="1409">
                  <c:v>44464</c:v>
                </c:pt>
                <c:pt idx="1410">
                  <c:v>44465</c:v>
                </c:pt>
                <c:pt idx="1411">
                  <c:v>44466</c:v>
                </c:pt>
                <c:pt idx="1412">
                  <c:v>44467</c:v>
                </c:pt>
                <c:pt idx="1413">
                  <c:v>44468</c:v>
                </c:pt>
                <c:pt idx="1414">
                  <c:v>44469</c:v>
                </c:pt>
                <c:pt idx="1415">
                  <c:v>44470</c:v>
                </c:pt>
                <c:pt idx="1416">
                  <c:v>44471</c:v>
                </c:pt>
                <c:pt idx="1417">
                  <c:v>44472</c:v>
                </c:pt>
                <c:pt idx="1418">
                  <c:v>44473</c:v>
                </c:pt>
                <c:pt idx="1419">
                  <c:v>44474</c:v>
                </c:pt>
                <c:pt idx="1420">
                  <c:v>44475</c:v>
                </c:pt>
                <c:pt idx="1421">
                  <c:v>44476</c:v>
                </c:pt>
                <c:pt idx="1422">
                  <c:v>44477</c:v>
                </c:pt>
                <c:pt idx="1423">
                  <c:v>44478</c:v>
                </c:pt>
                <c:pt idx="1424">
                  <c:v>44479</c:v>
                </c:pt>
                <c:pt idx="1425">
                  <c:v>44480</c:v>
                </c:pt>
                <c:pt idx="1426">
                  <c:v>44481</c:v>
                </c:pt>
                <c:pt idx="1427">
                  <c:v>44482</c:v>
                </c:pt>
                <c:pt idx="1428">
                  <c:v>44483</c:v>
                </c:pt>
                <c:pt idx="1429">
                  <c:v>44484</c:v>
                </c:pt>
                <c:pt idx="1430">
                  <c:v>44485</c:v>
                </c:pt>
                <c:pt idx="1431">
                  <c:v>44486</c:v>
                </c:pt>
                <c:pt idx="1432">
                  <c:v>44487</c:v>
                </c:pt>
                <c:pt idx="1433">
                  <c:v>44488</c:v>
                </c:pt>
                <c:pt idx="1434">
                  <c:v>44489</c:v>
                </c:pt>
                <c:pt idx="1435">
                  <c:v>44490</c:v>
                </c:pt>
                <c:pt idx="1436">
                  <c:v>44491</c:v>
                </c:pt>
                <c:pt idx="1437">
                  <c:v>44492</c:v>
                </c:pt>
                <c:pt idx="1438">
                  <c:v>44493</c:v>
                </c:pt>
                <c:pt idx="1439">
                  <c:v>44494</c:v>
                </c:pt>
                <c:pt idx="1440">
                  <c:v>44495</c:v>
                </c:pt>
                <c:pt idx="1441">
                  <c:v>44496</c:v>
                </c:pt>
                <c:pt idx="1442">
                  <c:v>44497</c:v>
                </c:pt>
                <c:pt idx="1443">
                  <c:v>44498</c:v>
                </c:pt>
                <c:pt idx="1444">
                  <c:v>44499</c:v>
                </c:pt>
                <c:pt idx="1445">
                  <c:v>44500</c:v>
                </c:pt>
                <c:pt idx="1446">
                  <c:v>44501</c:v>
                </c:pt>
                <c:pt idx="1447">
                  <c:v>44502</c:v>
                </c:pt>
                <c:pt idx="1448">
                  <c:v>44503</c:v>
                </c:pt>
                <c:pt idx="1449">
                  <c:v>44504</c:v>
                </c:pt>
                <c:pt idx="1450">
                  <c:v>44505</c:v>
                </c:pt>
                <c:pt idx="1451">
                  <c:v>44506</c:v>
                </c:pt>
                <c:pt idx="1452">
                  <c:v>44507</c:v>
                </c:pt>
                <c:pt idx="1453">
                  <c:v>44508</c:v>
                </c:pt>
                <c:pt idx="1454">
                  <c:v>44509</c:v>
                </c:pt>
                <c:pt idx="1455">
                  <c:v>44510</c:v>
                </c:pt>
                <c:pt idx="1456">
                  <c:v>44511</c:v>
                </c:pt>
                <c:pt idx="1457">
                  <c:v>44512</c:v>
                </c:pt>
                <c:pt idx="1458">
                  <c:v>44513</c:v>
                </c:pt>
                <c:pt idx="1459">
                  <c:v>44514</c:v>
                </c:pt>
                <c:pt idx="1460">
                  <c:v>44515</c:v>
                </c:pt>
                <c:pt idx="1461">
                  <c:v>44516</c:v>
                </c:pt>
                <c:pt idx="1462">
                  <c:v>44517</c:v>
                </c:pt>
                <c:pt idx="1463">
                  <c:v>44518</c:v>
                </c:pt>
                <c:pt idx="1464">
                  <c:v>44519</c:v>
                </c:pt>
                <c:pt idx="1465">
                  <c:v>44520</c:v>
                </c:pt>
                <c:pt idx="1466">
                  <c:v>44521</c:v>
                </c:pt>
                <c:pt idx="1467">
                  <c:v>44522</c:v>
                </c:pt>
                <c:pt idx="1468">
                  <c:v>44523</c:v>
                </c:pt>
                <c:pt idx="1469">
                  <c:v>44524</c:v>
                </c:pt>
                <c:pt idx="1470">
                  <c:v>44525</c:v>
                </c:pt>
                <c:pt idx="1471">
                  <c:v>44526</c:v>
                </c:pt>
                <c:pt idx="1472">
                  <c:v>44527</c:v>
                </c:pt>
                <c:pt idx="1473">
                  <c:v>44528</c:v>
                </c:pt>
                <c:pt idx="1474">
                  <c:v>44529</c:v>
                </c:pt>
                <c:pt idx="1475">
                  <c:v>44530</c:v>
                </c:pt>
                <c:pt idx="1476">
                  <c:v>44531</c:v>
                </c:pt>
                <c:pt idx="1477">
                  <c:v>44532</c:v>
                </c:pt>
                <c:pt idx="1478">
                  <c:v>44533</c:v>
                </c:pt>
                <c:pt idx="1479">
                  <c:v>44534</c:v>
                </c:pt>
                <c:pt idx="1480">
                  <c:v>44535</c:v>
                </c:pt>
                <c:pt idx="1481">
                  <c:v>44536</c:v>
                </c:pt>
                <c:pt idx="1482">
                  <c:v>44537</c:v>
                </c:pt>
                <c:pt idx="1483">
                  <c:v>44538</c:v>
                </c:pt>
                <c:pt idx="1484">
                  <c:v>44539</c:v>
                </c:pt>
                <c:pt idx="1485">
                  <c:v>44540</c:v>
                </c:pt>
                <c:pt idx="1486">
                  <c:v>44541</c:v>
                </c:pt>
                <c:pt idx="1487">
                  <c:v>44542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44548</c:v>
                </c:pt>
                <c:pt idx="1494">
                  <c:v>44549</c:v>
                </c:pt>
                <c:pt idx="1495">
                  <c:v>44550</c:v>
                </c:pt>
                <c:pt idx="1496">
                  <c:v>44551</c:v>
                </c:pt>
                <c:pt idx="1497">
                  <c:v>44552</c:v>
                </c:pt>
                <c:pt idx="1498">
                  <c:v>44553</c:v>
                </c:pt>
                <c:pt idx="1499">
                  <c:v>44554</c:v>
                </c:pt>
                <c:pt idx="1500">
                  <c:v>44555</c:v>
                </c:pt>
                <c:pt idx="1501">
                  <c:v>44556</c:v>
                </c:pt>
                <c:pt idx="1502">
                  <c:v>44557</c:v>
                </c:pt>
                <c:pt idx="1503">
                  <c:v>44558</c:v>
                </c:pt>
                <c:pt idx="1504">
                  <c:v>44559</c:v>
                </c:pt>
                <c:pt idx="1505">
                  <c:v>44560</c:v>
                </c:pt>
                <c:pt idx="1506">
                  <c:v>44561</c:v>
                </c:pt>
                <c:pt idx="1507">
                  <c:v>44562</c:v>
                </c:pt>
                <c:pt idx="1508">
                  <c:v>44563</c:v>
                </c:pt>
                <c:pt idx="1509">
                  <c:v>44564</c:v>
                </c:pt>
                <c:pt idx="1510">
                  <c:v>44565</c:v>
                </c:pt>
                <c:pt idx="1511">
                  <c:v>44566</c:v>
                </c:pt>
                <c:pt idx="1512">
                  <c:v>44567</c:v>
                </c:pt>
                <c:pt idx="1513">
                  <c:v>44568</c:v>
                </c:pt>
                <c:pt idx="1514">
                  <c:v>44569</c:v>
                </c:pt>
                <c:pt idx="1515">
                  <c:v>44570</c:v>
                </c:pt>
                <c:pt idx="1516">
                  <c:v>44571</c:v>
                </c:pt>
                <c:pt idx="1517">
                  <c:v>44572</c:v>
                </c:pt>
                <c:pt idx="1518">
                  <c:v>44573</c:v>
                </c:pt>
                <c:pt idx="1519">
                  <c:v>44574</c:v>
                </c:pt>
                <c:pt idx="1520">
                  <c:v>44575</c:v>
                </c:pt>
                <c:pt idx="1521">
                  <c:v>44576</c:v>
                </c:pt>
                <c:pt idx="1522">
                  <c:v>44577</c:v>
                </c:pt>
                <c:pt idx="1523">
                  <c:v>44578</c:v>
                </c:pt>
                <c:pt idx="1524">
                  <c:v>44579</c:v>
                </c:pt>
                <c:pt idx="1525">
                  <c:v>44580</c:v>
                </c:pt>
                <c:pt idx="1526">
                  <c:v>44581</c:v>
                </c:pt>
                <c:pt idx="1527">
                  <c:v>44582</c:v>
                </c:pt>
                <c:pt idx="1528">
                  <c:v>44583</c:v>
                </c:pt>
                <c:pt idx="1529">
                  <c:v>44584</c:v>
                </c:pt>
                <c:pt idx="1530">
                  <c:v>44585</c:v>
                </c:pt>
                <c:pt idx="1531">
                  <c:v>44586</c:v>
                </c:pt>
                <c:pt idx="1532">
                  <c:v>44587</c:v>
                </c:pt>
                <c:pt idx="1533">
                  <c:v>44588</c:v>
                </c:pt>
                <c:pt idx="1534">
                  <c:v>44589</c:v>
                </c:pt>
                <c:pt idx="1535">
                  <c:v>44590</c:v>
                </c:pt>
                <c:pt idx="1536">
                  <c:v>44591</c:v>
                </c:pt>
                <c:pt idx="1537">
                  <c:v>44592</c:v>
                </c:pt>
                <c:pt idx="1538">
                  <c:v>44593</c:v>
                </c:pt>
                <c:pt idx="1539">
                  <c:v>44594</c:v>
                </c:pt>
                <c:pt idx="1540">
                  <c:v>44595</c:v>
                </c:pt>
                <c:pt idx="1541">
                  <c:v>44596</c:v>
                </c:pt>
                <c:pt idx="1542">
                  <c:v>44597</c:v>
                </c:pt>
                <c:pt idx="1543">
                  <c:v>44598</c:v>
                </c:pt>
                <c:pt idx="1544">
                  <c:v>44599</c:v>
                </c:pt>
                <c:pt idx="1545">
                  <c:v>44600</c:v>
                </c:pt>
                <c:pt idx="1546">
                  <c:v>44601</c:v>
                </c:pt>
                <c:pt idx="1547">
                  <c:v>44602</c:v>
                </c:pt>
                <c:pt idx="1548">
                  <c:v>44603</c:v>
                </c:pt>
                <c:pt idx="1549">
                  <c:v>44604</c:v>
                </c:pt>
                <c:pt idx="1550">
                  <c:v>44605</c:v>
                </c:pt>
                <c:pt idx="1551">
                  <c:v>44606</c:v>
                </c:pt>
                <c:pt idx="1552">
                  <c:v>44607</c:v>
                </c:pt>
                <c:pt idx="1553">
                  <c:v>44608</c:v>
                </c:pt>
                <c:pt idx="1554">
                  <c:v>44609</c:v>
                </c:pt>
                <c:pt idx="1555">
                  <c:v>44610</c:v>
                </c:pt>
                <c:pt idx="1556">
                  <c:v>44611</c:v>
                </c:pt>
                <c:pt idx="1557">
                  <c:v>44612</c:v>
                </c:pt>
                <c:pt idx="1558">
                  <c:v>44613</c:v>
                </c:pt>
                <c:pt idx="1559">
                  <c:v>44614</c:v>
                </c:pt>
                <c:pt idx="1560">
                  <c:v>44615</c:v>
                </c:pt>
                <c:pt idx="1561">
                  <c:v>44616</c:v>
                </c:pt>
                <c:pt idx="1562">
                  <c:v>44617</c:v>
                </c:pt>
                <c:pt idx="1563">
                  <c:v>44618</c:v>
                </c:pt>
                <c:pt idx="1564">
                  <c:v>44619</c:v>
                </c:pt>
                <c:pt idx="1565">
                  <c:v>44620</c:v>
                </c:pt>
                <c:pt idx="1566">
                  <c:v>44621</c:v>
                </c:pt>
                <c:pt idx="1567">
                  <c:v>44622</c:v>
                </c:pt>
                <c:pt idx="1568">
                  <c:v>44623</c:v>
                </c:pt>
                <c:pt idx="1569">
                  <c:v>44624</c:v>
                </c:pt>
                <c:pt idx="1570">
                  <c:v>44625</c:v>
                </c:pt>
                <c:pt idx="1571">
                  <c:v>44626</c:v>
                </c:pt>
                <c:pt idx="1572">
                  <c:v>44627</c:v>
                </c:pt>
                <c:pt idx="1573">
                  <c:v>44628</c:v>
                </c:pt>
                <c:pt idx="1574">
                  <c:v>44629</c:v>
                </c:pt>
                <c:pt idx="1575">
                  <c:v>44630</c:v>
                </c:pt>
                <c:pt idx="1576">
                  <c:v>44631</c:v>
                </c:pt>
                <c:pt idx="1577">
                  <c:v>44632</c:v>
                </c:pt>
                <c:pt idx="1578">
                  <c:v>44633</c:v>
                </c:pt>
                <c:pt idx="1579">
                  <c:v>44634</c:v>
                </c:pt>
                <c:pt idx="1580">
                  <c:v>44635</c:v>
                </c:pt>
                <c:pt idx="1581">
                  <c:v>44636</c:v>
                </c:pt>
                <c:pt idx="1582">
                  <c:v>44637</c:v>
                </c:pt>
                <c:pt idx="1583">
                  <c:v>44638</c:v>
                </c:pt>
                <c:pt idx="1584">
                  <c:v>44639</c:v>
                </c:pt>
                <c:pt idx="1585">
                  <c:v>44640</c:v>
                </c:pt>
                <c:pt idx="1586">
                  <c:v>44641</c:v>
                </c:pt>
                <c:pt idx="1587">
                  <c:v>44642</c:v>
                </c:pt>
                <c:pt idx="1588">
                  <c:v>44643</c:v>
                </c:pt>
                <c:pt idx="1589">
                  <c:v>44644</c:v>
                </c:pt>
                <c:pt idx="1590">
                  <c:v>44645</c:v>
                </c:pt>
                <c:pt idx="1591">
                  <c:v>44646</c:v>
                </c:pt>
                <c:pt idx="1592">
                  <c:v>44647</c:v>
                </c:pt>
                <c:pt idx="1593">
                  <c:v>44648</c:v>
                </c:pt>
                <c:pt idx="1594">
                  <c:v>44649</c:v>
                </c:pt>
                <c:pt idx="1595">
                  <c:v>44650</c:v>
                </c:pt>
                <c:pt idx="1596">
                  <c:v>44651</c:v>
                </c:pt>
                <c:pt idx="1597">
                  <c:v>44652</c:v>
                </c:pt>
                <c:pt idx="1598">
                  <c:v>44653</c:v>
                </c:pt>
                <c:pt idx="1599">
                  <c:v>44654</c:v>
                </c:pt>
                <c:pt idx="1600">
                  <c:v>44655</c:v>
                </c:pt>
                <c:pt idx="1601">
                  <c:v>44656</c:v>
                </c:pt>
                <c:pt idx="1602">
                  <c:v>44657</c:v>
                </c:pt>
                <c:pt idx="1603">
                  <c:v>44658</c:v>
                </c:pt>
                <c:pt idx="1604">
                  <c:v>44659</c:v>
                </c:pt>
                <c:pt idx="1605">
                  <c:v>44660</c:v>
                </c:pt>
                <c:pt idx="1606">
                  <c:v>44661</c:v>
                </c:pt>
                <c:pt idx="1607">
                  <c:v>44662</c:v>
                </c:pt>
                <c:pt idx="1608">
                  <c:v>44663</c:v>
                </c:pt>
                <c:pt idx="1609">
                  <c:v>44664</c:v>
                </c:pt>
                <c:pt idx="1610">
                  <c:v>44665</c:v>
                </c:pt>
                <c:pt idx="1611">
                  <c:v>44666</c:v>
                </c:pt>
                <c:pt idx="1612">
                  <c:v>44667</c:v>
                </c:pt>
                <c:pt idx="1613">
                  <c:v>44668</c:v>
                </c:pt>
                <c:pt idx="1614">
                  <c:v>44669</c:v>
                </c:pt>
                <c:pt idx="1615">
                  <c:v>44670</c:v>
                </c:pt>
                <c:pt idx="1616">
                  <c:v>44671</c:v>
                </c:pt>
                <c:pt idx="1617">
                  <c:v>44672</c:v>
                </c:pt>
                <c:pt idx="1618">
                  <c:v>44673</c:v>
                </c:pt>
                <c:pt idx="1619">
                  <c:v>44674</c:v>
                </c:pt>
                <c:pt idx="1620">
                  <c:v>44675</c:v>
                </c:pt>
                <c:pt idx="1621">
                  <c:v>44676</c:v>
                </c:pt>
                <c:pt idx="1622">
                  <c:v>44677</c:v>
                </c:pt>
                <c:pt idx="1623">
                  <c:v>44678</c:v>
                </c:pt>
                <c:pt idx="1624">
                  <c:v>44679</c:v>
                </c:pt>
                <c:pt idx="1625">
                  <c:v>44680</c:v>
                </c:pt>
                <c:pt idx="1626">
                  <c:v>44681</c:v>
                </c:pt>
                <c:pt idx="1627">
                  <c:v>44682</c:v>
                </c:pt>
                <c:pt idx="1628">
                  <c:v>44683</c:v>
                </c:pt>
                <c:pt idx="1629">
                  <c:v>44684</c:v>
                </c:pt>
                <c:pt idx="1630">
                  <c:v>44685</c:v>
                </c:pt>
                <c:pt idx="1631">
                  <c:v>44686</c:v>
                </c:pt>
                <c:pt idx="1632">
                  <c:v>44687</c:v>
                </c:pt>
                <c:pt idx="1633">
                  <c:v>44688</c:v>
                </c:pt>
                <c:pt idx="1634">
                  <c:v>44689</c:v>
                </c:pt>
                <c:pt idx="1635">
                  <c:v>44690</c:v>
                </c:pt>
                <c:pt idx="1636">
                  <c:v>44691</c:v>
                </c:pt>
              </c:numCache>
            </c:numRef>
          </c:cat>
          <c:val>
            <c:numRef>
              <c:f>Duracion!$T$5:$T$1641</c:f>
              <c:numCache>
                <c:formatCode>0.00</c:formatCode>
                <c:ptCount val="1637"/>
                <c:pt idx="0">
                  <c:v>7.3677856238614021</c:v>
                </c:pt>
                <c:pt idx="1">
                  <c:v>7.3651085415598594</c:v>
                </c:pt>
                <c:pt idx="2">
                  <c:v>7.3624314592583167</c:v>
                </c:pt>
                <c:pt idx="3">
                  <c:v>7.3597543769567757</c:v>
                </c:pt>
                <c:pt idx="4">
                  <c:v>7.3570772946552356</c:v>
                </c:pt>
                <c:pt idx="5">
                  <c:v>7.3544002123536938</c:v>
                </c:pt>
                <c:pt idx="6">
                  <c:v>7.3517231300521555</c:v>
                </c:pt>
                <c:pt idx="7">
                  <c:v>7.3490460477506137</c:v>
                </c:pt>
                <c:pt idx="8">
                  <c:v>7.3463689654490691</c:v>
                </c:pt>
                <c:pt idx="9">
                  <c:v>7.3436918831475273</c:v>
                </c:pt>
                <c:pt idx="10">
                  <c:v>7.3410148008459863</c:v>
                </c:pt>
                <c:pt idx="11">
                  <c:v>7.3383377185444454</c:v>
                </c:pt>
                <c:pt idx="12">
                  <c:v>7.3356606362429027</c:v>
                </c:pt>
                <c:pt idx="13">
                  <c:v>7.3329835539413644</c:v>
                </c:pt>
                <c:pt idx="14">
                  <c:v>7.3303064716398225</c:v>
                </c:pt>
                <c:pt idx="15">
                  <c:v>7.3276293893382816</c:v>
                </c:pt>
                <c:pt idx="16">
                  <c:v>7.3249523070367406</c:v>
                </c:pt>
                <c:pt idx="17">
                  <c:v>7.3222752247352005</c:v>
                </c:pt>
                <c:pt idx="18">
                  <c:v>7.3195981424336569</c:v>
                </c:pt>
                <c:pt idx="19">
                  <c:v>7.3169210601321168</c:v>
                </c:pt>
                <c:pt idx="20">
                  <c:v>7.3142439778305741</c:v>
                </c:pt>
                <c:pt idx="21">
                  <c:v>7.3115668955290349</c:v>
                </c:pt>
                <c:pt idx="22">
                  <c:v>7.3088898132274904</c:v>
                </c:pt>
                <c:pt idx="23">
                  <c:v>7.3062127309259512</c:v>
                </c:pt>
                <c:pt idx="24">
                  <c:v>7.3035356486244103</c:v>
                </c:pt>
                <c:pt idx="25">
                  <c:v>7.3008585663228693</c:v>
                </c:pt>
                <c:pt idx="26">
                  <c:v>7.2981814840213284</c:v>
                </c:pt>
                <c:pt idx="27">
                  <c:v>7.2955044017197892</c:v>
                </c:pt>
                <c:pt idx="28">
                  <c:v>7.2928273194182465</c:v>
                </c:pt>
                <c:pt idx="29">
                  <c:v>7.4331301022458192</c:v>
                </c:pt>
                <c:pt idx="30">
                  <c:v>7.4304530199442773</c:v>
                </c:pt>
                <c:pt idx="31">
                  <c:v>7.4277759376427364</c:v>
                </c:pt>
                <c:pt idx="32">
                  <c:v>7.4250988553411927</c:v>
                </c:pt>
                <c:pt idx="33">
                  <c:v>7.4224217730396536</c:v>
                </c:pt>
                <c:pt idx="34">
                  <c:v>7.4197446907381126</c:v>
                </c:pt>
                <c:pt idx="35">
                  <c:v>7.417067608436569</c:v>
                </c:pt>
                <c:pt idx="36">
                  <c:v>7.4143905261350298</c:v>
                </c:pt>
                <c:pt idx="37">
                  <c:v>7.4117134438334906</c:v>
                </c:pt>
                <c:pt idx="38">
                  <c:v>7.4090363615319479</c:v>
                </c:pt>
                <c:pt idx="39">
                  <c:v>7.4063592792304069</c:v>
                </c:pt>
                <c:pt idx="40">
                  <c:v>7.4036821969288651</c:v>
                </c:pt>
                <c:pt idx="41">
                  <c:v>7.401005114627325</c:v>
                </c:pt>
                <c:pt idx="42">
                  <c:v>7.3983280323257814</c:v>
                </c:pt>
                <c:pt idx="43">
                  <c:v>7.395650950024244</c:v>
                </c:pt>
                <c:pt idx="44">
                  <c:v>7.3929738677227022</c:v>
                </c:pt>
                <c:pt idx="45">
                  <c:v>7.3902967854211585</c:v>
                </c:pt>
                <c:pt idx="46">
                  <c:v>7.3876197031196176</c:v>
                </c:pt>
                <c:pt idx="47">
                  <c:v>7.3849426208180748</c:v>
                </c:pt>
                <c:pt idx="48">
                  <c:v>7.3822655385165366</c:v>
                </c:pt>
                <c:pt idx="49">
                  <c:v>7.3795884562149938</c:v>
                </c:pt>
                <c:pt idx="50">
                  <c:v>7.3769113739134511</c:v>
                </c:pt>
                <c:pt idx="51">
                  <c:v>7.3742342916119092</c:v>
                </c:pt>
                <c:pt idx="52">
                  <c:v>7.3715572093103692</c:v>
                </c:pt>
                <c:pt idx="53">
                  <c:v>7.3688801270088318</c:v>
                </c:pt>
                <c:pt idx="54">
                  <c:v>7.3662030447072882</c:v>
                </c:pt>
                <c:pt idx="55">
                  <c:v>7.363525962405749</c:v>
                </c:pt>
                <c:pt idx="56">
                  <c:v>7.360848880104208</c:v>
                </c:pt>
                <c:pt idx="57">
                  <c:v>7.3581717978026662</c:v>
                </c:pt>
                <c:pt idx="58">
                  <c:v>7.3554947155011217</c:v>
                </c:pt>
                <c:pt idx="59">
                  <c:v>7.3528176331995816</c:v>
                </c:pt>
                <c:pt idx="60">
                  <c:v>7.3501405508980397</c:v>
                </c:pt>
                <c:pt idx="61">
                  <c:v>7.3474634685964979</c:v>
                </c:pt>
                <c:pt idx="62">
                  <c:v>7.3447863862949605</c:v>
                </c:pt>
                <c:pt idx="63">
                  <c:v>7.3421093039934195</c:v>
                </c:pt>
                <c:pt idx="64">
                  <c:v>7.3394322216918759</c:v>
                </c:pt>
                <c:pt idx="65">
                  <c:v>7.3367551393903359</c:v>
                </c:pt>
                <c:pt idx="66">
                  <c:v>7.3340780570887922</c:v>
                </c:pt>
                <c:pt idx="67">
                  <c:v>7.3314009747872531</c:v>
                </c:pt>
                <c:pt idx="68">
                  <c:v>7.3287238924857121</c:v>
                </c:pt>
                <c:pt idx="69">
                  <c:v>7.3260468101841703</c:v>
                </c:pt>
                <c:pt idx="70">
                  <c:v>7.3233697278826284</c:v>
                </c:pt>
                <c:pt idx="71">
                  <c:v>7.3206926455810901</c:v>
                </c:pt>
                <c:pt idx="72">
                  <c:v>7.3180155632795492</c:v>
                </c:pt>
                <c:pt idx="73">
                  <c:v>7.3153384809780055</c:v>
                </c:pt>
                <c:pt idx="74">
                  <c:v>7.3126613986764655</c:v>
                </c:pt>
                <c:pt idx="75">
                  <c:v>7.3099843163749219</c:v>
                </c:pt>
                <c:pt idx="76">
                  <c:v>7.3073072340733836</c:v>
                </c:pt>
                <c:pt idx="77">
                  <c:v>7.3046301517718391</c:v>
                </c:pt>
                <c:pt idx="78">
                  <c:v>7.301953069470299</c:v>
                </c:pt>
                <c:pt idx="79">
                  <c:v>7.299275987168758</c:v>
                </c:pt>
                <c:pt idx="80">
                  <c:v>7.296598904867218</c:v>
                </c:pt>
                <c:pt idx="81">
                  <c:v>7.2939218225656743</c:v>
                </c:pt>
                <c:pt idx="82">
                  <c:v>7.2912447402641325</c:v>
                </c:pt>
                <c:pt idx="83">
                  <c:v>7.2885676579625951</c:v>
                </c:pt>
                <c:pt idx="84">
                  <c:v>7.2858905756610532</c:v>
                </c:pt>
                <c:pt idx="85">
                  <c:v>7.2832134933595114</c:v>
                </c:pt>
                <c:pt idx="86">
                  <c:v>7.2805364110579696</c:v>
                </c:pt>
                <c:pt idx="87">
                  <c:v>7.2778593287564277</c:v>
                </c:pt>
                <c:pt idx="88">
                  <c:v>7.2751822464548876</c:v>
                </c:pt>
                <c:pt idx="89">
                  <c:v>7.2725051641533458</c:v>
                </c:pt>
                <c:pt idx="90">
                  <c:v>7.2698280818518048</c:v>
                </c:pt>
                <c:pt idx="91">
                  <c:v>7.2671509995502648</c:v>
                </c:pt>
                <c:pt idx="92">
                  <c:v>7.264473917248722</c:v>
                </c:pt>
                <c:pt idx="93">
                  <c:v>7.2617968349471829</c:v>
                </c:pt>
                <c:pt idx="94">
                  <c:v>7.2591197526456428</c:v>
                </c:pt>
                <c:pt idx="95">
                  <c:v>7.2564426703440992</c:v>
                </c:pt>
                <c:pt idx="96">
                  <c:v>7.2537655880425591</c:v>
                </c:pt>
                <c:pt idx="97">
                  <c:v>7.2510885057410173</c:v>
                </c:pt>
                <c:pt idx="98">
                  <c:v>7.2484114234394754</c:v>
                </c:pt>
                <c:pt idx="99">
                  <c:v>7.2457343411379371</c:v>
                </c:pt>
                <c:pt idx="100">
                  <c:v>7.2430572588363926</c:v>
                </c:pt>
                <c:pt idx="101">
                  <c:v>7.240380176534849</c:v>
                </c:pt>
                <c:pt idx="102">
                  <c:v>7.2377030942333116</c:v>
                </c:pt>
                <c:pt idx="103">
                  <c:v>7.235026011931768</c:v>
                </c:pt>
                <c:pt idx="104">
                  <c:v>7.2323489296302288</c:v>
                </c:pt>
                <c:pt idx="105">
                  <c:v>7.2296718473286861</c:v>
                </c:pt>
                <c:pt idx="106">
                  <c:v>7.2269947650271469</c:v>
                </c:pt>
                <c:pt idx="107">
                  <c:v>7.2243176827256059</c:v>
                </c:pt>
                <c:pt idx="108">
                  <c:v>7.2216406004240659</c:v>
                </c:pt>
                <c:pt idx="109">
                  <c:v>7.2189635181225231</c:v>
                </c:pt>
                <c:pt idx="110">
                  <c:v>7.2162864358209822</c:v>
                </c:pt>
                <c:pt idx="111">
                  <c:v>7.2136093535194403</c:v>
                </c:pt>
                <c:pt idx="112">
                  <c:v>7.210932271217902</c:v>
                </c:pt>
                <c:pt idx="113">
                  <c:v>7.2082551889163566</c:v>
                </c:pt>
                <c:pt idx="114">
                  <c:v>7.2055781066148139</c:v>
                </c:pt>
                <c:pt idx="115">
                  <c:v>7.2029010243132765</c:v>
                </c:pt>
                <c:pt idx="116">
                  <c:v>7.2002239420117355</c:v>
                </c:pt>
                <c:pt idx="117">
                  <c:v>7.1975468597101981</c:v>
                </c:pt>
                <c:pt idx="118">
                  <c:v>7.1948697774086519</c:v>
                </c:pt>
                <c:pt idx="119">
                  <c:v>7.19219269510711</c:v>
                </c:pt>
                <c:pt idx="120">
                  <c:v>7.1895156128055682</c:v>
                </c:pt>
                <c:pt idx="121">
                  <c:v>7.1868385305040272</c:v>
                </c:pt>
                <c:pt idx="122">
                  <c:v>7.1841614482024898</c:v>
                </c:pt>
                <c:pt idx="123">
                  <c:v>7.1814843659009453</c:v>
                </c:pt>
                <c:pt idx="124">
                  <c:v>7.1788072835994061</c:v>
                </c:pt>
                <c:pt idx="125">
                  <c:v>7.1761302012978643</c:v>
                </c:pt>
                <c:pt idx="126">
                  <c:v>7.1734531189963251</c:v>
                </c:pt>
                <c:pt idx="127">
                  <c:v>7.1707760366947815</c:v>
                </c:pt>
                <c:pt idx="128">
                  <c:v>7.168098954393237</c:v>
                </c:pt>
                <c:pt idx="129">
                  <c:v>7.1654218720917005</c:v>
                </c:pt>
                <c:pt idx="130">
                  <c:v>7.1627447897901586</c:v>
                </c:pt>
                <c:pt idx="131">
                  <c:v>7.1600677074886168</c:v>
                </c:pt>
                <c:pt idx="132">
                  <c:v>7.1573906251870749</c:v>
                </c:pt>
                <c:pt idx="133">
                  <c:v>7.154713542885534</c:v>
                </c:pt>
                <c:pt idx="134">
                  <c:v>7.1520364605839921</c:v>
                </c:pt>
                <c:pt idx="135">
                  <c:v>7.1493593782824503</c:v>
                </c:pt>
                <c:pt idx="136">
                  <c:v>7.1466822959809111</c:v>
                </c:pt>
                <c:pt idx="137">
                  <c:v>7.1440052136793684</c:v>
                </c:pt>
                <c:pt idx="138">
                  <c:v>7.1413281313778274</c:v>
                </c:pt>
                <c:pt idx="139">
                  <c:v>7.1386510490762847</c:v>
                </c:pt>
                <c:pt idx="140">
                  <c:v>7.1359739667747437</c:v>
                </c:pt>
                <c:pt idx="141">
                  <c:v>7.1332968844732045</c:v>
                </c:pt>
                <c:pt idx="142">
                  <c:v>7.1306198021716645</c:v>
                </c:pt>
                <c:pt idx="143">
                  <c:v>7.1279427198701217</c:v>
                </c:pt>
                <c:pt idx="144">
                  <c:v>7.1252656375685808</c:v>
                </c:pt>
                <c:pt idx="145">
                  <c:v>7.122588555267038</c:v>
                </c:pt>
                <c:pt idx="146">
                  <c:v>7.119911472965498</c:v>
                </c:pt>
                <c:pt idx="147">
                  <c:v>7.1172343906639588</c:v>
                </c:pt>
                <c:pt idx="148">
                  <c:v>7.114557308362417</c:v>
                </c:pt>
                <c:pt idx="149">
                  <c:v>7.111880226060876</c:v>
                </c:pt>
                <c:pt idx="150">
                  <c:v>7.1092031437593324</c:v>
                </c:pt>
                <c:pt idx="151">
                  <c:v>7.1065260614577923</c:v>
                </c:pt>
                <c:pt idx="152">
                  <c:v>7.1038489791562531</c:v>
                </c:pt>
                <c:pt idx="153">
                  <c:v>7.1011718968547095</c:v>
                </c:pt>
                <c:pt idx="154">
                  <c:v>7.0984948145531712</c:v>
                </c:pt>
                <c:pt idx="155">
                  <c:v>7.0958177322516258</c:v>
                </c:pt>
                <c:pt idx="156">
                  <c:v>7.0931406499500875</c:v>
                </c:pt>
                <c:pt idx="157">
                  <c:v>7.0904635676485448</c:v>
                </c:pt>
                <c:pt idx="158">
                  <c:v>7.0877864853470038</c:v>
                </c:pt>
                <c:pt idx="159">
                  <c:v>7.085109403045462</c:v>
                </c:pt>
                <c:pt idx="160">
                  <c:v>7.0824323207439219</c:v>
                </c:pt>
                <c:pt idx="161">
                  <c:v>7.0797552384423783</c:v>
                </c:pt>
                <c:pt idx="162">
                  <c:v>7.0770781561408374</c:v>
                </c:pt>
                <c:pt idx="163">
                  <c:v>7.0744010738392982</c:v>
                </c:pt>
                <c:pt idx="164">
                  <c:v>7.0717239915377554</c:v>
                </c:pt>
                <c:pt idx="165">
                  <c:v>7.0690469092362163</c:v>
                </c:pt>
                <c:pt idx="166">
                  <c:v>7.0663698269346753</c:v>
                </c:pt>
                <c:pt idx="167">
                  <c:v>7.0636927446331326</c:v>
                </c:pt>
                <c:pt idx="168">
                  <c:v>7.0610156623315925</c:v>
                </c:pt>
                <c:pt idx="169">
                  <c:v>7.058338580030048</c:v>
                </c:pt>
                <c:pt idx="170">
                  <c:v>7.0556614977285115</c:v>
                </c:pt>
                <c:pt idx="171">
                  <c:v>7.0529844154269687</c:v>
                </c:pt>
                <c:pt idx="172">
                  <c:v>7.050307333125426</c:v>
                </c:pt>
                <c:pt idx="173">
                  <c:v>7.0476302508238877</c:v>
                </c:pt>
                <c:pt idx="174">
                  <c:v>7.044953168522345</c:v>
                </c:pt>
                <c:pt idx="175">
                  <c:v>7.0422760862208014</c:v>
                </c:pt>
                <c:pt idx="176">
                  <c:v>7.0395990039192613</c:v>
                </c:pt>
                <c:pt idx="177">
                  <c:v>7.0369219216177221</c:v>
                </c:pt>
                <c:pt idx="178">
                  <c:v>7.0342448393161803</c:v>
                </c:pt>
                <c:pt idx="179">
                  <c:v>7.0315677570146384</c:v>
                </c:pt>
                <c:pt idx="180">
                  <c:v>7.0288906747130984</c:v>
                </c:pt>
                <c:pt idx="181">
                  <c:v>7.0262135924115556</c:v>
                </c:pt>
                <c:pt idx="182">
                  <c:v>7.0235365101100173</c:v>
                </c:pt>
                <c:pt idx="183">
                  <c:v>7.0208594278084728</c:v>
                </c:pt>
                <c:pt idx="184">
                  <c:v>7.0181823455069354</c:v>
                </c:pt>
                <c:pt idx="185">
                  <c:v>7.0155052632053936</c:v>
                </c:pt>
                <c:pt idx="186">
                  <c:v>7.0128281809038491</c:v>
                </c:pt>
                <c:pt idx="187">
                  <c:v>7.0101510986023099</c:v>
                </c:pt>
                <c:pt idx="188">
                  <c:v>7.0074740163007689</c:v>
                </c:pt>
                <c:pt idx="189">
                  <c:v>7.0047969339992253</c:v>
                </c:pt>
                <c:pt idx="190">
                  <c:v>7.0021198516976852</c:v>
                </c:pt>
                <c:pt idx="191">
                  <c:v>6.9994427693961452</c:v>
                </c:pt>
                <c:pt idx="192">
                  <c:v>6.9967656870946033</c:v>
                </c:pt>
                <c:pt idx="193">
                  <c:v>6.9940886047930633</c:v>
                </c:pt>
                <c:pt idx="194">
                  <c:v>6.9914115224915196</c:v>
                </c:pt>
                <c:pt idx="195">
                  <c:v>6.9887344401899787</c:v>
                </c:pt>
                <c:pt idx="196">
                  <c:v>6.9860573578884368</c:v>
                </c:pt>
                <c:pt idx="197">
                  <c:v>6.9833802755868977</c:v>
                </c:pt>
                <c:pt idx="198">
                  <c:v>6.9807031932853558</c:v>
                </c:pt>
                <c:pt idx="199">
                  <c:v>6.978026110983814</c:v>
                </c:pt>
                <c:pt idx="200">
                  <c:v>6.975349028682273</c:v>
                </c:pt>
                <c:pt idx="201">
                  <c:v>6.972671946380733</c:v>
                </c:pt>
                <c:pt idx="202">
                  <c:v>6.9699948640791911</c:v>
                </c:pt>
                <c:pt idx="203">
                  <c:v>6.967317781777651</c:v>
                </c:pt>
                <c:pt idx="204">
                  <c:v>6.964640699476111</c:v>
                </c:pt>
                <c:pt idx="205">
                  <c:v>6.9619636171745674</c:v>
                </c:pt>
                <c:pt idx="206">
                  <c:v>6.95928653487303</c:v>
                </c:pt>
                <c:pt idx="207">
                  <c:v>6.9566094525714854</c:v>
                </c:pt>
                <c:pt idx="208">
                  <c:v>6.9539323702699463</c:v>
                </c:pt>
                <c:pt idx="209">
                  <c:v>6.9512552879684035</c:v>
                </c:pt>
                <c:pt idx="210">
                  <c:v>6.9485782056668617</c:v>
                </c:pt>
                <c:pt idx="211">
                  <c:v>7.0832296567932502</c:v>
                </c:pt>
                <c:pt idx="212">
                  <c:v>7.0805525744917093</c:v>
                </c:pt>
                <c:pt idx="213">
                  <c:v>7.0778754921901665</c:v>
                </c:pt>
                <c:pt idx="214">
                  <c:v>7.0751984098886274</c:v>
                </c:pt>
                <c:pt idx="215">
                  <c:v>7.0725213275870846</c:v>
                </c:pt>
                <c:pt idx="216">
                  <c:v>7.0698442452855446</c:v>
                </c:pt>
                <c:pt idx="217">
                  <c:v>7.0671671629840027</c:v>
                </c:pt>
                <c:pt idx="218">
                  <c:v>7.06449008068246</c:v>
                </c:pt>
                <c:pt idx="219">
                  <c:v>7.0618129983809199</c:v>
                </c:pt>
                <c:pt idx="220">
                  <c:v>7.0591359160793781</c:v>
                </c:pt>
                <c:pt idx="221">
                  <c:v>7.056458833777838</c:v>
                </c:pt>
                <c:pt idx="222">
                  <c:v>7.0537817514762962</c:v>
                </c:pt>
                <c:pt idx="223">
                  <c:v>7.0511046691747543</c:v>
                </c:pt>
                <c:pt idx="224">
                  <c:v>7.0484275868732142</c:v>
                </c:pt>
                <c:pt idx="225">
                  <c:v>7.0457505045716742</c:v>
                </c:pt>
                <c:pt idx="226">
                  <c:v>7.0430734222701288</c:v>
                </c:pt>
                <c:pt idx="227">
                  <c:v>7.0403963399685887</c:v>
                </c:pt>
                <c:pt idx="228">
                  <c:v>7.0377192576670504</c:v>
                </c:pt>
                <c:pt idx="229">
                  <c:v>7.0350421753655068</c:v>
                </c:pt>
                <c:pt idx="230">
                  <c:v>7.0323650930639685</c:v>
                </c:pt>
                <c:pt idx="231">
                  <c:v>7.0296880107624276</c:v>
                </c:pt>
                <c:pt idx="232">
                  <c:v>7.027010928460883</c:v>
                </c:pt>
                <c:pt idx="233">
                  <c:v>7.0243338461593421</c:v>
                </c:pt>
                <c:pt idx="234">
                  <c:v>7.0216567638578038</c:v>
                </c:pt>
                <c:pt idx="235">
                  <c:v>7.018979681556262</c:v>
                </c:pt>
                <c:pt idx="236">
                  <c:v>7.0163025992547174</c:v>
                </c:pt>
                <c:pt idx="237">
                  <c:v>7.01362551695318</c:v>
                </c:pt>
                <c:pt idx="238">
                  <c:v>7.0109484346516364</c:v>
                </c:pt>
                <c:pt idx="239">
                  <c:v>7.0082713523500955</c:v>
                </c:pt>
                <c:pt idx="240">
                  <c:v>7.0055942700485563</c:v>
                </c:pt>
                <c:pt idx="241">
                  <c:v>7.0029171877470127</c:v>
                </c:pt>
                <c:pt idx="242">
                  <c:v>7.0002401054454699</c:v>
                </c:pt>
                <c:pt idx="243">
                  <c:v>6.9975630231439316</c:v>
                </c:pt>
                <c:pt idx="244">
                  <c:v>6.9948859408423898</c:v>
                </c:pt>
                <c:pt idx="245">
                  <c:v>6.9922088585408479</c:v>
                </c:pt>
                <c:pt idx="246">
                  <c:v>6.9895317762393097</c:v>
                </c:pt>
                <c:pt idx="247">
                  <c:v>6.9868546939377651</c:v>
                </c:pt>
                <c:pt idx="248">
                  <c:v>6.9841776116362269</c:v>
                </c:pt>
                <c:pt idx="249">
                  <c:v>6.9815005293346815</c:v>
                </c:pt>
                <c:pt idx="250">
                  <c:v>6.9788234470331449</c:v>
                </c:pt>
                <c:pt idx="251">
                  <c:v>6.976146364731604</c:v>
                </c:pt>
                <c:pt idx="252">
                  <c:v>6.9734692824300595</c:v>
                </c:pt>
                <c:pt idx="253">
                  <c:v>6.9707922001285194</c:v>
                </c:pt>
                <c:pt idx="254">
                  <c:v>6.9681151178269785</c:v>
                </c:pt>
                <c:pt idx="255">
                  <c:v>6.9654380355254366</c:v>
                </c:pt>
                <c:pt idx="256">
                  <c:v>6.9627609532238939</c:v>
                </c:pt>
                <c:pt idx="257">
                  <c:v>6.9600838709223529</c:v>
                </c:pt>
                <c:pt idx="258">
                  <c:v>6.957406788620812</c:v>
                </c:pt>
                <c:pt idx="259">
                  <c:v>6.9547297063192701</c:v>
                </c:pt>
                <c:pt idx="260">
                  <c:v>6.9520526240177309</c:v>
                </c:pt>
                <c:pt idx="261">
                  <c:v>6.9493755417161891</c:v>
                </c:pt>
                <c:pt idx="262">
                  <c:v>6.946698459414649</c:v>
                </c:pt>
                <c:pt idx="263">
                  <c:v>6.9440213771131072</c:v>
                </c:pt>
                <c:pt idx="264">
                  <c:v>6.9413442948115662</c:v>
                </c:pt>
                <c:pt idx="265">
                  <c:v>6.9386672125100217</c:v>
                </c:pt>
                <c:pt idx="266">
                  <c:v>6.9359901302084834</c:v>
                </c:pt>
                <c:pt idx="267">
                  <c:v>6.9333130479069442</c:v>
                </c:pt>
                <c:pt idx="268">
                  <c:v>6.9306359656054024</c:v>
                </c:pt>
                <c:pt idx="269">
                  <c:v>6.9279588833038597</c:v>
                </c:pt>
                <c:pt idx="270">
                  <c:v>6.9252818010023196</c:v>
                </c:pt>
                <c:pt idx="271">
                  <c:v>6.9226047187007795</c:v>
                </c:pt>
                <c:pt idx="272">
                  <c:v>6.9199276363992386</c:v>
                </c:pt>
                <c:pt idx="273">
                  <c:v>6.9172505540976958</c:v>
                </c:pt>
                <c:pt idx="274">
                  <c:v>6.9145734717961549</c:v>
                </c:pt>
                <c:pt idx="275">
                  <c:v>6.9118963894946122</c:v>
                </c:pt>
                <c:pt idx="276">
                  <c:v>6.9092193071930712</c:v>
                </c:pt>
                <c:pt idx="277">
                  <c:v>6.906542224891532</c:v>
                </c:pt>
                <c:pt idx="278">
                  <c:v>6.9038651425899893</c:v>
                </c:pt>
                <c:pt idx="279">
                  <c:v>6.9011880602884483</c:v>
                </c:pt>
                <c:pt idx="280">
                  <c:v>6.8985109779869065</c:v>
                </c:pt>
                <c:pt idx="281">
                  <c:v>6.8958338956853638</c:v>
                </c:pt>
                <c:pt idx="282">
                  <c:v>6.8931568133838246</c:v>
                </c:pt>
                <c:pt idx="283">
                  <c:v>6.8904797310822845</c:v>
                </c:pt>
                <c:pt idx="284">
                  <c:v>6.8878026487807427</c:v>
                </c:pt>
                <c:pt idx="285">
                  <c:v>6.8851255664791999</c:v>
                </c:pt>
                <c:pt idx="286">
                  <c:v>6.882448484177659</c:v>
                </c:pt>
                <c:pt idx="287">
                  <c:v>6.8797714018761171</c:v>
                </c:pt>
                <c:pt idx="288">
                  <c:v>6.8770943195745771</c:v>
                </c:pt>
                <c:pt idx="289">
                  <c:v>6.874417237273037</c:v>
                </c:pt>
                <c:pt idx="290">
                  <c:v>6.8717401549714952</c:v>
                </c:pt>
                <c:pt idx="291">
                  <c:v>6.8690630726699542</c:v>
                </c:pt>
                <c:pt idx="292">
                  <c:v>6.8663859903684124</c:v>
                </c:pt>
                <c:pt idx="293">
                  <c:v>6.8637089080668687</c:v>
                </c:pt>
                <c:pt idx="294">
                  <c:v>6.8610318257653296</c:v>
                </c:pt>
                <c:pt idx="295">
                  <c:v>6.8583547434637895</c:v>
                </c:pt>
                <c:pt idx="296">
                  <c:v>6.8556776611622476</c:v>
                </c:pt>
                <c:pt idx="297">
                  <c:v>6.8530005788607076</c:v>
                </c:pt>
                <c:pt idx="298">
                  <c:v>6.8503234965591648</c:v>
                </c:pt>
                <c:pt idx="299">
                  <c:v>6.8476464142576239</c:v>
                </c:pt>
                <c:pt idx="300">
                  <c:v>6.8449693319560838</c:v>
                </c:pt>
                <c:pt idx="301">
                  <c:v>6.842292249654542</c:v>
                </c:pt>
                <c:pt idx="302">
                  <c:v>6.8396151673530019</c:v>
                </c:pt>
                <c:pt idx="303">
                  <c:v>6.8369380850514592</c:v>
                </c:pt>
                <c:pt idx="304">
                  <c:v>6.8342610027499164</c:v>
                </c:pt>
                <c:pt idx="305">
                  <c:v>6.8315839204483773</c:v>
                </c:pt>
                <c:pt idx="306">
                  <c:v>6.8289068381468363</c:v>
                </c:pt>
                <c:pt idx="307">
                  <c:v>6.8262297558452953</c:v>
                </c:pt>
                <c:pt idx="308">
                  <c:v>6.8235526735437535</c:v>
                </c:pt>
                <c:pt idx="309">
                  <c:v>6.8208755912422117</c:v>
                </c:pt>
                <c:pt idx="310">
                  <c:v>6.8181985089406707</c:v>
                </c:pt>
                <c:pt idx="311">
                  <c:v>6.8155214266391306</c:v>
                </c:pt>
                <c:pt idx="312">
                  <c:v>6.8128443443375888</c:v>
                </c:pt>
                <c:pt idx="313">
                  <c:v>6.8101672620360478</c:v>
                </c:pt>
                <c:pt idx="314">
                  <c:v>6.8074901797345069</c:v>
                </c:pt>
                <c:pt idx="315">
                  <c:v>6.8048130974329633</c:v>
                </c:pt>
                <c:pt idx="316">
                  <c:v>6.8021360151314241</c:v>
                </c:pt>
                <c:pt idx="317">
                  <c:v>6.7994589328298805</c:v>
                </c:pt>
                <c:pt idx="318">
                  <c:v>6.7967818505283404</c:v>
                </c:pt>
                <c:pt idx="319">
                  <c:v>6.7941047682268003</c:v>
                </c:pt>
                <c:pt idx="320">
                  <c:v>6.7914276859252585</c:v>
                </c:pt>
                <c:pt idx="321">
                  <c:v>6.7887506036237184</c:v>
                </c:pt>
                <c:pt idx="322">
                  <c:v>6.7860735213221766</c:v>
                </c:pt>
                <c:pt idx="323">
                  <c:v>6.7833964390206374</c:v>
                </c:pt>
                <c:pt idx="324">
                  <c:v>6.7807193567190946</c:v>
                </c:pt>
                <c:pt idx="325">
                  <c:v>6.7780422744175519</c:v>
                </c:pt>
                <c:pt idx="326">
                  <c:v>6.7753651921160118</c:v>
                </c:pt>
                <c:pt idx="327">
                  <c:v>6.7726881098144709</c:v>
                </c:pt>
                <c:pt idx="328">
                  <c:v>6.7700110275129299</c:v>
                </c:pt>
                <c:pt idx="329">
                  <c:v>6.7673339452113908</c:v>
                </c:pt>
                <c:pt idx="330">
                  <c:v>6.7646568629098462</c:v>
                </c:pt>
                <c:pt idx="331">
                  <c:v>6.761979780608308</c:v>
                </c:pt>
                <c:pt idx="332">
                  <c:v>6.759302698306767</c:v>
                </c:pt>
                <c:pt idx="333">
                  <c:v>6.7566256160052252</c:v>
                </c:pt>
                <c:pt idx="334">
                  <c:v>6.7539485337036833</c:v>
                </c:pt>
                <c:pt idx="335">
                  <c:v>6.7512714514021424</c:v>
                </c:pt>
                <c:pt idx="336">
                  <c:v>6.748594369100597</c:v>
                </c:pt>
                <c:pt idx="337">
                  <c:v>6.7459172867990578</c:v>
                </c:pt>
                <c:pt idx="338">
                  <c:v>6.743240204497515</c:v>
                </c:pt>
                <c:pt idx="339">
                  <c:v>6.7405631221959768</c:v>
                </c:pt>
                <c:pt idx="340">
                  <c:v>6.7378860398944376</c:v>
                </c:pt>
                <c:pt idx="341">
                  <c:v>6.735208957592894</c:v>
                </c:pt>
                <c:pt idx="342">
                  <c:v>6.7325318752913548</c:v>
                </c:pt>
                <c:pt idx="343">
                  <c:v>6.7298547929898112</c:v>
                </c:pt>
                <c:pt idx="344">
                  <c:v>6.7271777106882693</c:v>
                </c:pt>
                <c:pt idx="345">
                  <c:v>6.7245006283867292</c:v>
                </c:pt>
                <c:pt idx="346">
                  <c:v>6.7218235460851865</c:v>
                </c:pt>
                <c:pt idx="347">
                  <c:v>6.7191464637836464</c:v>
                </c:pt>
                <c:pt idx="348">
                  <c:v>6.7164693814821046</c:v>
                </c:pt>
                <c:pt idx="349">
                  <c:v>6.7137922991805628</c:v>
                </c:pt>
                <c:pt idx="350">
                  <c:v>6.7111152168790218</c:v>
                </c:pt>
                <c:pt idx="351">
                  <c:v>6.7084381345774835</c:v>
                </c:pt>
                <c:pt idx="352">
                  <c:v>6.7057610522759399</c:v>
                </c:pt>
                <c:pt idx="353">
                  <c:v>6.7030839699744016</c:v>
                </c:pt>
                <c:pt idx="354">
                  <c:v>6.7004068876728562</c:v>
                </c:pt>
                <c:pt idx="355">
                  <c:v>6.6977298053713161</c:v>
                </c:pt>
                <c:pt idx="356">
                  <c:v>6.6950527230697743</c:v>
                </c:pt>
                <c:pt idx="357">
                  <c:v>6.6923756407682369</c:v>
                </c:pt>
                <c:pt idx="358">
                  <c:v>6.6896985584666941</c:v>
                </c:pt>
                <c:pt idx="359">
                  <c:v>6.6870214761651514</c:v>
                </c:pt>
                <c:pt idx="360">
                  <c:v>6.6843443938636096</c:v>
                </c:pt>
                <c:pt idx="361">
                  <c:v>6.6816673115620731</c:v>
                </c:pt>
                <c:pt idx="362">
                  <c:v>6.6789902292605285</c:v>
                </c:pt>
                <c:pt idx="363">
                  <c:v>6.6763131469589876</c:v>
                </c:pt>
                <c:pt idx="364">
                  <c:v>6.6736360646574466</c:v>
                </c:pt>
                <c:pt idx="365">
                  <c:v>6.6709589823559066</c:v>
                </c:pt>
                <c:pt idx="366">
                  <c:v>6.6682819000543638</c:v>
                </c:pt>
                <c:pt idx="367">
                  <c:v>6.665604817752822</c:v>
                </c:pt>
                <c:pt idx="368">
                  <c:v>6.6629277354512837</c:v>
                </c:pt>
                <c:pt idx="369">
                  <c:v>6.6602506531497374</c:v>
                </c:pt>
                <c:pt idx="370">
                  <c:v>6.6575735708481973</c:v>
                </c:pt>
                <c:pt idx="371">
                  <c:v>6.6548964885466564</c:v>
                </c:pt>
                <c:pt idx="372">
                  <c:v>6.6522194062451172</c:v>
                </c:pt>
                <c:pt idx="373">
                  <c:v>6.6495423239435771</c:v>
                </c:pt>
                <c:pt idx="374">
                  <c:v>6.6468652416420353</c:v>
                </c:pt>
                <c:pt idx="375">
                  <c:v>6.6441881593404943</c:v>
                </c:pt>
                <c:pt idx="376">
                  <c:v>6.6415110770389507</c:v>
                </c:pt>
                <c:pt idx="377">
                  <c:v>6.6388339947374115</c:v>
                </c:pt>
                <c:pt idx="378">
                  <c:v>6.6361569124358715</c:v>
                </c:pt>
                <c:pt idx="379">
                  <c:v>6.6334798301343305</c:v>
                </c:pt>
                <c:pt idx="380">
                  <c:v>6.630802747832786</c:v>
                </c:pt>
                <c:pt idx="381">
                  <c:v>6.6281256655312477</c:v>
                </c:pt>
                <c:pt idx="382">
                  <c:v>6.6254485832297041</c:v>
                </c:pt>
                <c:pt idx="383">
                  <c:v>6.6227715009281658</c:v>
                </c:pt>
                <c:pt idx="384">
                  <c:v>6.620094418626624</c:v>
                </c:pt>
                <c:pt idx="385">
                  <c:v>6.6174173363250821</c:v>
                </c:pt>
                <c:pt idx="386">
                  <c:v>6.6147402540235412</c:v>
                </c:pt>
                <c:pt idx="387">
                  <c:v>6.6120631717219984</c:v>
                </c:pt>
                <c:pt idx="388">
                  <c:v>6.6093860894204584</c:v>
                </c:pt>
                <c:pt idx="389">
                  <c:v>6.6067090071189138</c:v>
                </c:pt>
                <c:pt idx="390">
                  <c:v>6.6040319248173773</c:v>
                </c:pt>
                <c:pt idx="391">
                  <c:v>6.6013548425158355</c:v>
                </c:pt>
                <c:pt idx="392">
                  <c:v>6.5986777602142936</c:v>
                </c:pt>
                <c:pt idx="393">
                  <c:v>6.5960006779127527</c:v>
                </c:pt>
                <c:pt idx="394">
                  <c:v>6.7247466775078815</c:v>
                </c:pt>
                <c:pt idx="395">
                  <c:v>6.7220695952063432</c:v>
                </c:pt>
                <c:pt idx="396">
                  <c:v>6.7193925129047978</c:v>
                </c:pt>
                <c:pt idx="397">
                  <c:v>6.7167154306032559</c:v>
                </c:pt>
                <c:pt idx="398">
                  <c:v>6.7140383483017159</c:v>
                </c:pt>
                <c:pt idx="399">
                  <c:v>6.7113612660001749</c:v>
                </c:pt>
                <c:pt idx="400">
                  <c:v>6.7086841836986357</c:v>
                </c:pt>
                <c:pt idx="401">
                  <c:v>6.7060071013970939</c:v>
                </c:pt>
                <c:pt idx="402">
                  <c:v>6.703330019095552</c:v>
                </c:pt>
                <c:pt idx="403">
                  <c:v>6.7006529367940093</c:v>
                </c:pt>
                <c:pt idx="404">
                  <c:v>6.6979758544924684</c:v>
                </c:pt>
                <c:pt idx="405">
                  <c:v>6.6952987721909292</c:v>
                </c:pt>
                <c:pt idx="406">
                  <c:v>6.6926216898893873</c:v>
                </c:pt>
                <c:pt idx="407">
                  <c:v>6.6899446075878446</c:v>
                </c:pt>
                <c:pt idx="408">
                  <c:v>6.6872675252863054</c:v>
                </c:pt>
                <c:pt idx="409">
                  <c:v>6.6845904429847636</c:v>
                </c:pt>
                <c:pt idx="410">
                  <c:v>6.6819133606832217</c:v>
                </c:pt>
                <c:pt idx="411">
                  <c:v>6.6792362783816817</c:v>
                </c:pt>
                <c:pt idx="412">
                  <c:v>6.676559196080138</c:v>
                </c:pt>
                <c:pt idx="413">
                  <c:v>6.6738821137785971</c:v>
                </c:pt>
                <c:pt idx="414">
                  <c:v>6.6712050314770561</c:v>
                </c:pt>
                <c:pt idx="415">
                  <c:v>6.6685279491755143</c:v>
                </c:pt>
                <c:pt idx="416">
                  <c:v>6.6658508668739715</c:v>
                </c:pt>
                <c:pt idx="417">
                  <c:v>6.6631737845724306</c:v>
                </c:pt>
                <c:pt idx="418">
                  <c:v>6.6604967022708905</c:v>
                </c:pt>
                <c:pt idx="419">
                  <c:v>6.6578196199693531</c:v>
                </c:pt>
                <c:pt idx="420">
                  <c:v>6.6551425376678113</c:v>
                </c:pt>
                <c:pt idx="421">
                  <c:v>6.6524654553662685</c:v>
                </c:pt>
                <c:pt idx="422">
                  <c:v>6.6497883730647267</c:v>
                </c:pt>
                <c:pt idx="423">
                  <c:v>6.6471112907631857</c:v>
                </c:pt>
                <c:pt idx="424">
                  <c:v>6.6444342084616448</c:v>
                </c:pt>
                <c:pt idx="425">
                  <c:v>6.6417571261601029</c:v>
                </c:pt>
                <c:pt idx="426">
                  <c:v>6.6390800438585629</c:v>
                </c:pt>
                <c:pt idx="427">
                  <c:v>6.6364029615570228</c:v>
                </c:pt>
                <c:pt idx="428">
                  <c:v>6.6337258792554801</c:v>
                </c:pt>
                <c:pt idx="429">
                  <c:v>6.6310487969539409</c:v>
                </c:pt>
                <c:pt idx="430">
                  <c:v>6.6283717146523973</c:v>
                </c:pt>
                <c:pt idx="431">
                  <c:v>6.6256946323508563</c:v>
                </c:pt>
                <c:pt idx="432">
                  <c:v>6.6230175500493154</c:v>
                </c:pt>
                <c:pt idx="433">
                  <c:v>6.6203404677477744</c:v>
                </c:pt>
                <c:pt idx="434">
                  <c:v>6.6176633854462343</c:v>
                </c:pt>
                <c:pt idx="435">
                  <c:v>6.6149863031446916</c:v>
                </c:pt>
                <c:pt idx="436">
                  <c:v>6.6123092208431524</c:v>
                </c:pt>
                <c:pt idx="437">
                  <c:v>6.6096321385416079</c:v>
                </c:pt>
                <c:pt idx="438">
                  <c:v>6.606955056240067</c:v>
                </c:pt>
                <c:pt idx="439">
                  <c:v>6.6042779739385287</c:v>
                </c:pt>
                <c:pt idx="440">
                  <c:v>6.6016008916369859</c:v>
                </c:pt>
                <c:pt idx="441">
                  <c:v>6.5989238093354423</c:v>
                </c:pt>
                <c:pt idx="442">
                  <c:v>6.5962467270339031</c:v>
                </c:pt>
                <c:pt idx="443">
                  <c:v>6.593569644732364</c:v>
                </c:pt>
                <c:pt idx="444">
                  <c:v>6.5908925624308221</c:v>
                </c:pt>
                <c:pt idx="445">
                  <c:v>6.5882154801292812</c:v>
                </c:pt>
                <c:pt idx="446">
                  <c:v>6.5855383978277384</c:v>
                </c:pt>
                <c:pt idx="447">
                  <c:v>6.5828613155261984</c:v>
                </c:pt>
                <c:pt idx="448">
                  <c:v>6.5801842332246574</c:v>
                </c:pt>
                <c:pt idx="449">
                  <c:v>6.5775071509231173</c:v>
                </c:pt>
                <c:pt idx="450">
                  <c:v>6.5748300686215737</c:v>
                </c:pt>
                <c:pt idx="451">
                  <c:v>6.5721529863200336</c:v>
                </c:pt>
                <c:pt idx="452">
                  <c:v>6.5694759040184936</c:v>
                </c:pt>
                <c:pt idx="453">
                  <c:v>6.5667988217169491</c:v>
                </c:pt>
                <c:pt idx="454">
                  <c:v>6.5641217394154125</c:v>
                </c:pt>
                <c:pt idx="455">
                  <c:v>6.5614446571138707</c:v>
                </c:pt>
                <c:pt idx="456">
                  <c:v>6.5587675748123262</c:v>
                </c:pt>
                <c:pt idx="457">
                  <c:v>6.556090492510787</c:v>
                </c:pt>
                <c:pt idx="458">
                  <c:v>6.5534134102092425</c:v>
                </c:pt>
                <c:pt idx="459">
                  <c:v>6.5507363279077051</c:v>
                </c:pt>
                <c:pt idx="460">
                  <c:v>6.548059245606165</c:v>
                </c:pt>
                <c:pt idx="461">
                  <c:v>6.5453821633046214</c:v>
                </c:pt>
                <c:pt idx="462">
                  <c:v>6.5427050810030787</c:v>
                </c:pt>
                <c:pt idx="463">
                  <c:v>6.5400279987015404</c:v>
                </c:pt>
                <c:pt idx="464">
                  <c:v>6.5373509163999977</c:v>
                </c:pt>
                <c:pt idx="465">
                  <c:v>6.5346738340984585</c:v>
                </c:pt>
                <c:pt idx="466">
                  <c:v>6.5319967517969157</c:v>
                </c:pt>
                <c:pt idx="467">
                  <c:v>6.5293196694953748</c:v>
                </c:pt>
                <c:pt idx="468">
                  <c:v>6.5266425871938294</c:v>
                </c:pt>
                <c:pt idx="469">
                  <c:v>6.5239655048922902</c:v>
                </c:pt>
                <c:pt idx="470">
                  <c:v>6.521288422590751</c:v>
                </c:pt>
                <c:pt idx="471">
                  <c:v>6.5186113402892092</c:v>
                </c:pt>
                <c:pt idx="472">
                  <c:v>6.5159342579876665</c:v>
                </c:pt>
                <c:pt idx="473">
                  <c:v>6.5132571756861255</c:v>
                </c:pt>
                <c:pt idx="474">
                  <c:v>6.5105800933845837</c:v>
                </c:pt>
                <c:pt idx="475">
                  <c:v>6.5079030110830427</c:v>
                </c:pt>
                <c:pt idx="476">
                  <c:v>6.5052259287815035</c:v>
                </c:pt>
                <c:pt idx="477">
                  <c:v>6.5025488464799643</c:v>
                </c:pt>
                <c:pt idx="478">
                  <c:v>6.4998717641784198</c:v>
                </c:pt>
                <c:pt idx="479">
                  <c:v>6.497194681876878</c:v>
                </c:pt>
                <c:pt idx="480">
                  <c:v>6.4945175995753397</c:v>
                </c:pt>
                <c:pt idx="481">
                  <c:v>6.4918405172737961</c:v>
                </c:pt>
                <c:pt idx="482">
                  <c:v>6.489163434972256</c:v>
                </c:pt>
                <c:pt idx="483">
                  <c:v>6.486486352670715</c:v>
                </c:pt>
                <c:pt idx="484">
                  <c:v>6.4838092703691741</c:v>
                </c:pt>
                <c:pt idx="485">
                  <c:v>6.4811321880676322</c:v>
                </c:pt>
                <c:pt idx="486">
                  <c:v>6.4784551057660904</c:v>
                </c:pt>
                <c:pt idx="487">
                  <c:v>6.4757780234645494</c:v>
                </c:pt>
                <c:pt idx="488">
                  <c:v>6.4731009411630076</c:v>
                </c:pt>
                <c:pt idx="489">
                  <c:v>6.4704238588614666</c:v>
                </c:pt>
                <c:pt idx="490">
                  <c:v>6.4677467765599275</c:v>
                </c:pt>
                <c:pt idx="491">
                  <c:v>6.4650696942583856</c:v>
                </c:pt>
                <c:pt idx="492">
                  <c:v>6.4623926119568447</c:v>
                </c:pt>
                <c:pt idx="493">
                  <c:v>6.4597155296553037</c:v>
                </c:pt>
                <c:pt idx="494">
                  <c:v>6.4570384473537619</c:v>
                </c:pt>
                <c:pt idx="495">
                  <c:v>6.45436136505222</c:v>
                </c:pt>
                <c:pt idx="496">
                  <c:v>6.4516842827506782</c:v>
                </c:pt>
                <c:pt idx="497">
                  <c:v>6.4490072004491363</c:v>
                </c:pt>
                <c:pt idx="498">
                  <c:v>6.4463301181475972</c:v>
                </c:pt>
                <c:pt idx="499">
                  <c:v>6.4436530358460553</c:v>
                </c:pt>
                <c:pt idx="500">
                  <c:v>6.4409759535445126</c:v>
                </c:pt>
                <c:pt idx="501">
                  <c:v>6.4382988712429752</c:v>
                </c:pt>
                <c:pt idx="502">
                  <c:v>6.4356217889414333</c:v>
                </c:pt>
                <c:pt idx="503">
                  <c:v>6.4329447066398906</c:v>
                </c:pt>
                <c:pt idx="504">
                  <c:v>6.4302676243383488</c:v>
                </c:pt>
                <c:pt idx="505">
                  <c:v>6.4275905420368078</c:v>
                </c:pt>
                <c:pt idx="506">
                  <c:v>6.4249134597352677</c:v>
                </c:pt>
                <c:pt idx="507">
                  <c:v>6.4222363774337259</c:v>
                </c:pt>
                <c:pt idx="508">
                  <c:v>6.4195592951321832</c:v>
                </c:pt>
                <c:pt idx="509">
                  <c:v>6.416882212830644</c:v>
                </c:pt>
                <c:pt idx="510">
                  <c:v>6.414205130529103</c:v>
                </c:pt>
                <c:pt idx="511">
                  <c:v>6.4115280482275594</c:v>
                </c:pt>
                <c:pt idx="512">
                  <c:v>6.4088509659260202</c:v>
                </c:pt>
                <c:pt idx="513">
                  <c:v>6.4061738836244784</c:v>
                </c:pt>
                <c:pt idx="514">
                  <c:v>6.4034968013229365</c:v>
                </c:pt>
                <c:pt idx="515">
                  <c:v>6.4008197190213965</c:v>
                </c:pt>
                <c:pt idx="516">
                  <c:v>6.3981426367198555</c:v>
                </c:pt>
                <c:pt idx="517">
                  <c:v>6.3954655544183145</c:v>
                </c:pt>
                <c:pt idx="518">
                  <c:v>6.3927884721167718</c:v>
                </c:pt>
                <c:pt idx="519">
                  <c:v>6.3901113898152309</c:v>
                </c:pt>
                <c:pt idx="520">
                  <c:v>6.3874343075136908</c:v>
                </c:pt>
                <c:pt idx="521">
                  <c:v>6.3847572252121481</c:v>
                </c:pt>
                <c:pt idx="522">
                  <c:v>6.3820801429106062</c:v>
                </c:pt>
                <c:pt idx="523">
                  <c:v>6.3794030606090661</c:v>
                </c:pt>
                <c:pt idx="524">
                  <c:v>6.376725978307527</c:v>
                </c:pt>
                <c:pt idx="525">
                  <c:v>6.3740488960059842</c:v>
                </c:pt>
                <c:pt idx="526">
                  <c:v>6.3713718137044442</c:v>
                </c:pt>
                <c:pt idx="527">
                  <c:v>6.3686947314029005</c:v>
                </c:pt>
                <c:pt idx="528">
                  <c:v>6.3660176491013596</c:v>
                </c:pt>
                <c:pt idx="529">
                  <c:v>6.3633405667998195</c:v>
                </c:pt>
                <c:pt idx="530">
                  <c:v>6.3606634844982786</c:v>
                </c:pt>
                <c:pt idx="531">
                  <c:v>6.3579864021967376</c:v>
                </c:pt>
                <c:pt idx="532">
                  <c:v>6.3553093198951967</c:v>
                </c:pt>
                <c:pt idx="533">
                  <c:v>6.3526322375936557</c:v>
                </c:pt>
                <c:pt idx="534">
                  <c:v>6.3499551552921147</c:v>
                </c:pt>
                <c:pt idx="535">
                  <c:v>6.347278072990572</c:v>
                </c:pt>
                <c:pt idx="536">
                  <c:v>6.3446009906890328</c:v>
                </c:pt>
                <c:pt idx="537">
                  <c:v>6.341923908387491</c:v>
                </c:pt>
                <c:pt idx="538">
                  <c:v>6.3392468260859465</c:v>
                </c:pt>
                <c:pt idx="539">
                  <c:v>6.3365697437844073</c:v>
                </c:pt>
                <c:pt idx="540">
                  <c:v>6.3338926614828663</c:v>
                </c:pt>
                <c:pt idx="541">
                  <c:v>6.3312155791813254</c:v>
                </c:pt>
                <c:pt idx="542">
                  <c:v>6.3285384968797835</c:v>
                </c:pt>
                <c:pt idx="543">
                  <c:v>6.3258614145782435</c:v>
                </c:pt>
                <c:pt idx="544">
                  <c:v>6.3231843322766981</c:v>
                </c:pt>
                <c:pt idx="545">
                  <c:v>6.3205072499751607</c:v>
                </c:pt>
                <c:pt idx="546">
                  <c:v>6.3178301676736197</c:v>
                </c:pt>
                <c:pt idx="547">
                  <c:v>6.3151530853720779</c:v>
                </c:pt>
                <c:pt idx="548">
                  <c:v>6.3124760030705369</c:v>
                </c:pt>
                <c:pt idx="549">
                  <c:v>6.3097989207689951</c:v>
                </c:pt>
                <c:pt idx="550">
                  <c:v>6.3071218384674541</c:v>
                </c:pt>
                <c:pt idx="551">
                  <c:v>6.304444756165914</c:v>
                </c:pt>
                <c:pt idx="552">
                  <c:v>6.3017676738643722</c:v>
                </c:pt>
                <c:pt idx="553">
                  <c:v>6.2990905915628348</c:v>
                </c:pt>
                <c:pt idx="554">
                  <c:v>6.2964135092612903</c:v>
                </c:pt>
                <c:pt idx="555">
                  <c:v>6.2937364269597476</c:v>
                </c:pt>
                <c:pt idx="556">
                  <c:v>6.2910593446582075</c:v>
                </c:pt>
                <c:pt idx="557">
                  <c:v>6.2883822623566665</c:v>
                </c:pt>
                <c:pt idx="558">
                  <c:v>6.2857051800551256</c:v>
                </c:pt>
                <c:pt idx="559">
                  <c:v>6.283028097753582</c:v>
                </c:pt>
                <c:pt idx="560">
                  <c:v>6.2803510154520428</c:v>
                </c:pt>
                <c:pt idx="561">
                  <c:v>6.2776739331505009</c:v>
                </c:pt>
                <c:pt idx="562">
                  <c:v>6.2749968508489617</c:v>
                </c:pt>
                <c:pt idx="563">
                  <c:v>6.2723197685474181</c:v>
                </c:pt>
                <c:pt idx="564">
                  <c:v>6.2696426862458789</c:v>
                </c:pt>
                <c:pt idx="565">
                  <c:v>6.2669656039443344</c:v>
                </c:pt>
                <c:pt idx="566">
                  <c:v>6.2642885216427961</c:v>
                </c:pt>
                <c:pt idx="567">
                  <c:v>6.2616114393412534</c:v>
                </c:pt>
                <c:pt idx="568">
                  <c:v>6.2589343570397125</c:v>
                </c:pt>
                <c:pt idx="569">
                  <c:v>6.2562572747381697</c:v>
                </c:pt>
                <c:pt idx="570">
                  <c:v>6.2535801924366314</c:v>
                </c:pt>
                <c:pt idx="571">
                  <c:v>6.2509031101350878</c:v>
                </c:pt>
                <c:pt idx="572">
                  <c:v>6.2482260278335495</c:v>
                </c:pt>
                <c:pt idx="573">
                  <c:v>6.2455489455320068</c:v>
                </c:pt>
                <c:pt idx="574">
                  <c:v>6.2428718632304649</c:v>
                </c:pt>
                <c:pt idx="575">
                  <c:v>6.2401947809289231</c:v>
                </c:pt>
                <c:pt idx="576">
                  <c:v>6.3628932770496656</c:v>
                </c:pt>
                <c:pt idx="577">
                  <c:v>6.3602161947481246</c:v>
                </c:pt>
                <c:pt idx="578">
                  <c:v>6.3575391124465837</c:v>
                </c:pt>
                <c:pt idx="579">
                  <c:v>6.3548620301450436</c:v>
                </c:pt>
                <c:pt idx="580">
                  <c:v>6.3521849478435026</c:v>
                </c:pt>
                <c:pt idx="581">
                  <c:v>6.3495078655419617</c:v>
                </c:pt>
                <c:pt idx="582">
                  <c:v>6.3468307832404207</c:v>
                </c:pt>
                <c:pt idx="583">
                  <c:v>6.3441537009388798</c:v>
                </c:pt>
                <c:pt idx="584">
                  <c:v>6.3414766186373361</c:v>
                </c:pt>
                <c:pt idx="585">
                  <c:v>6.3387995363357952</c:v>
                </c:pt>
                <c:pt idx="586">
                  <c:v>6.3361224540342542</c:v>
                </c:pt>
                <c:pt idx="587">
                  <c:v>6.3334453717327142</c:v>
                </c:pt>
                <c:pt idx="588">
                  <c:v>6.3307682894311705</c:v>
                </c:pt>
                <c:pt idx="589">
                  <c:v>6.3280912071296331</c:v>
                </c:pt>
                <c:pt idx="590">
                  <c:v>6.3254141248280913</c:v>
                </c:pt>
                <c:pt idx="591">
                  <c:v>6.3227370425265486</c:v>
                </c:pt>
                <c:pt idx="592">
                  <c:v>6.3200599602250067</c:v>
                </c:pt>
                <c:pt idx="593">
                  <c:v>6.3173828779234675</c:v>
                </c:pt>
                <c:pt idx="594">
                  <c:v>6.3147057956219275</c:v>
                </c:pt>
                <c:pt idx="595">
                  <c:v>6.3120287133203838</c:v>
                </c:pt>
                <c:pt idx="596">
                  <c:v>6.309351631018842</c:v>
                </c:pt>
                <c:pt idx="597">
                  <c:v>6.3066745487173028</c:v>
                </c:pt>
                <c:pt idx="598">
                  <c:v>6.3039974664157583</c:v>
                </c:pt>
                <c:pt idx="599">
                  <c:v>6.30132038411422</c:v>
                </c:pt>
                <c:pt idx="600">
                  <c:v>6.2986433018126773</c:v>
                </c:pt>
                <c:pt idx="601">
                  <c:v>6.295966219511139</c:v>
                </c:pt>
                <c:pt idx="602">
                  <c:v>6.2932891372095945</c:v>
                </c:pt>
                <c:pt idx="603">
                  <c:v>6.2906120549080553</c:v>
                </c:pt>
                <c:pt idx="604">
                  <c:v>6.2879349726065117</c:v>
                </c:pt>
                <c:pt idx="605">
                  <c:v>6.2852578903049725</c:v>
                </c:pt>
                <c:pt idx="606">
                  <c:v>6.2825808080034315</c:v>
                </c:pt>
                <c:pt idx="607">
                  <c:v>6.2799037257018906</c:v>
                </c:pt>
                <c:pt idx="608">
                  <c:v>6.2772266434003479</c:v>
                </c:pt>
                <c:pt idx="609">
                  <c:v>6.2745495610988078</c:v>
                </c:pt>
                <c:pt idx="610">
                  <c:v>6.2718724787972668</c:v>
                </c:pt>
                <c:pt idx="611">
                  <c:v>6.269195396495725</c:v>
                </c:pt>
                <c:pt idx="612">
                  <c:v>6.2665183141941814</c:v>
                </c:pt>
                <c:pt idx="613">
                  <c:v>6.2638412318926413</c:v>
                </c:pt>
                <c:pt idx="614">
                  <c:v>6.2611641495910986</c:v>
                </c:pt>
                <c:pt idx="615">
                  <c:v>6.2584870672895594</c:v>
                </c:pt>
                <c:pt idx="616">
                  <c:v>6.2558099849880202</c:v>
                </c:pt>
                <c:pt idx="617">
                  <c:v>6.2531329026864784</c:v>
                </c:pt>
                <c:pt idx="618">
                  <c:v>6.2504558203849374</c:v>
                </c:pt>
                <c:pt idx="619">
                  <c:v>6.2477787380833947</c:v>
                </c:pt>
                <c:pt idx="620">
                  <c:v>6.2451016557818564</c:v>
                </c:pt>
                <c:pt idx="621">
                  <c:v>6.2424245734803137</c:v>
                </c:pt>
                <c:pt idx="622">
                  <c:v>6.2397474911787727</c:v>
                </c:pt>
                <c:pt idx="623">
                  <c:v>6.2370704088772309</c:v>
                </c:pt>
                <c:pt idx="624">
                  <c:v>6.2343933265756881</c:v>
                </c:pt>
                <c:pt idx="625">
                  <c:v>6.2317162442741489</c:v>
                </c:pt>
                <c:pt idx="626">
                  <c:v>6.2290391619726071</c:v>
                </c:pt>
                <c:pt idx="627">
                  <c:v>6.2263620796710653</c:v>
                </c:pt>
                <c:pt idx="628">
                  <c:v>6.2236849973695234</c:v>
                </c:pt>
                <c:pt idx="629">
                  <c:v>6.2210079150679833</c:v>
                </c:pt>
                <c:pt idx="630">
                  <c:v>6.2183308327664424</c:v>
                </c:pt>
                <c:pt idx="631">
                  <c:v>6.2156537504649023</c:v>
                </c:pt>
                <c:pt idx="632">
                  <c:v>6.2129766681633622</c:v>
                </c:pt>
                <c:pt idx="633">
                  <c:v>6.2102995858618186</c:v>
                </c:pt>
                <c:pt idx="634">
                  <c:v>6.2076225035602794</c:v>
                </c:pt>
                <c:pt idx="635">
                  <c:v>6.2049454212587376</c:v>
                </c:pt>
                <c:pt idx="636">
                  <c:v>6.2022683389571949</c:v>
                </c:pt>
                <c:pt idx="637">
                  <c:v>6.199591256655653</c:v>
                </c:pt>
                <c:pt idx="638">
                  <c:v>6.1969141743541138</c:v>
                </c:pt>
                <c:pt idx="639">
                  <c:v>6.1942370920525702</c:v>
                </c:pt>
                <c:pt idx="640">
                  <c:v>6.191560009751031</c:v>
                </c:pt>
                <c:pt idx="641">
                  <c:v>6.1888829274494883</c:v>
                </c:pt>
                <c:pt idx="642">
                  <c:v>6.1862058451479474</c:v>
                </c:pt>
                <c:pt idx="643">
                  <c:v>6.1835287628464073</c:v>
                </c:pt>
                <c:pt idx="644">
                  <c:v>6.1808516805448654</c:v>
                </c:pt>
                <c:pt idx="645">
                  <c:v>6.1781745982433245</c:v>
                </c:pt>
                <c:pt idx="646">
                  <c:v>6.1754975159417818</c:v>
                </c:pt>
                <c:pt idx="647">
                  <c:v>6.1728204336402417</c:v>
                </c:pt>
                <c:pt idx="648">
                  <c:v>6.1701433513387016</c:v>
                </c:pt>
                <c:pt idx="649">
                  <c:v>6.1674662690371607</c:v>
                </c:pt>
                <c:pt idx="650">
                  <c:v>6.1647891867356188</c:v>
                </c:pt>
                <c:pt idx="651">
                  <c:v>6.162112104434077</c:v>
                </c:pt>
                <c:pt idx="652">
                  <c:v>6.1594350221325351</c:v>
                </c:pt>
                <c:pt idx="653">
                  <c:v>6.1567579398309951</c:v>
                </c:pt>
                <c:pt idx="654">
                  <c:v>6.1540808575294541</c:v>
                </c:pt>
                <c:pt idx="655">
                  <c:v>6.1514037752279123</c:v>
                </c:pt>
                <c:pt idx="656">
                  <c:v>6.1487266929263713</c:v>
                </c:pt>
                <c:pt idx="657">
                  <c:v>6.1460496106248304</c:v>
                </c:pt>
                <c:pt idx="658">
                  <c:v>6.1433725283232903</c:v>
                </c:pt>
                <c:pt idx="659">
                  <c:v>6.1406954460217458</c:v>
                </c:pt>
                <c:pt idx="660">
                  <c:v>6.1380183637202066</c:v>
                </c:pt>
                <c:pt idx="661">
                  <c:v>6.1353412814186656</c:v>
                </c:pt>
                <c:pt idx="662">
                  <c:v>6.1326641991171238</c:v>
                </c:pt>
                <c:pt idx="663">
                  <c:v>6.1299871168155837</c:v>
                </c:pt>
                <c:pt idx="664">
                  <c:v>6.1273100345140445</c:v>
                </c:pt>
                <c:pt idx="665">
                  <c:v>6.1246329522125009</c:v>
                </c:pt>
                <c:pt idx="666">
                  <c:v>6.1219558699109609</c:v>
                </c:pt>
                <c:pt idx="667">
                  <c:v>6.1192787876094199</c:v>
                </c:pt>
                <c:pt idx="668">
                  <c:v>6.1166017053078781</c:v>
                </c:pt>
                <c:pt idx="669">
                  <c:v>6.1139246230063362</c:v>
                </c:pt>
                <c:pt idx="670">
                  <c:v>6.1112475407047953</c:v>
                </c:pt>
                <c:pt idx="671">
                  <c:v>6.1085704584032525</c:v>
                </c:pt>
                <c:pt idx="672">
                  <c:v>6.1058933761017107</c:v>
                </c:pt>
                <c:pt idx="673">
                  <c:v>6.1032162938001724</c:v>
                </c:pt>
                <c:pt idx="674">
                  <c:v>6.1005392114986297</c:v>
                </c:pt>
                <c:pt idx="675">
                  <c:v>6.0978621291970887</c:v>
                </c:pt>
                <c:pt idx="676">
                  <c:v>6.0951850468955469</c:v>
                </c:pt>
                <c:pt idx="677">
                  <c:v>6.0925079645940086</c:v>
                </c:pt>
                <c:pt idx="678">
                  <c:v>6.0898308822924649</c:v>
                </c:pt>
                <c:pt idx="679">
                  <c:v>6.0871537999909231</c:v>
                </c:pt>
                <c:pt idx="680">
                  <c:v>6.084476717689383</c:v>
                </c:pt>
                <c:pt idx="681">
                  <c:v>6.0817996353878438</c:v>
                </c:pt>
                <c:pt idx="682">
                  <c:v>6.0791225530863011</c:v>
                </c:pt>
                <c:pt idx="683">
                  <c:v>6.0764454707847602</c:v>
                </c:pt>
                <c:pt idx="684">
                  <c:v>6.0737683884832183</c:v>
                </c:pt>
                <c:pt idx="685">
                  <c:v>6.0710913061816756</c:v>
                </c:pt>
                <c:pt idx="686">
                  <c:v>6.0684142238801355</c:v>
                </c:pt>
                <c:pt idx="687">
                  <c:v>6.0657371415785928</c:v>
                </c:pt>
                <c:pt idx="688">
                  <c:v>6.0630600592770527</c:v>
                </c:pt>
                <c:pt idx="689">
                  <c:v>6.0603829769755118</c:v>
                </c:pt>
                <c:pt idx="690">
                  <c:v>6.0577058946739699</c:v>
                </c:pt>
                <c:pt idx="691">
                  <c:v>6.0550288123724298</c:v>
                </c:pt>
                <c:pt idx="692">
                  <c:v>6.0523517300708871</c:v>
                </c:pt>
                <c:pt idx="693">
                  <c:v>6.0496746477693453</c:v>
                </c:pt>
                <c:pt idx="694">
                  <c:v>6.0469975654678043</c:v>
                </c:pt>
                <c:pt idx="695">
                  <c:v>6.0443204831662625</c:v>
                </c:pt>
                <c:pt idx="696">
                  <c:v>6.0416434008647233</c:v>
                </c:pt>
                <c:pt idx="697">
                  <c:v>6.0389663185631823</c:v>
                </c:pt>
                <c:pt idx="698">
                  <c:v>6.0362892362616387</c:v>
                </c:pt>
                <c:pt idx="699">
                  <c:v>6.0336121539600986</c:v>
                </c:pt>
                <c:pt idx="700">
                  <c:v>6.0309350716585568</c:v>
                </c:pt>
                <c:pt idx="701">
                  <c:v>6.0282579893570158</c:v>
                </c:pt>
                <c:pt idx="702">
                  <c:v>6.0255809070554758</c:v>
                </c:pt>
                <c:pt idx="703">
                  <c:v>6.022903824753933</c:v>
                </c:pt>
                <c:pt idx="704">
                  <c:v>6.0202267424523921</c:v>
                </c:pt>
                <c:pt idx="705">
                  <c:v>6.0175496601508529</c:v>
                </c:pt>
                <c:pt idx="706">
                  <c:v>6.0148725778493111</c:v>
                </c:pt>
                <c:pt idx="707">
                  <c:v>6.012195495547771</c:v>
                </c:pt>
                <c:pt idx="708">
                  <c:v>6.0095184132462292</c:v>
                </c:pt>
                <c:pt idx="709">
                  <c:v>6.0068413309446873</c:v>
                </c:pt>
                <c:pt idx="710">
                  <c:v>6.0041642486431437</c:v>
                </c:pt>
                <c:pt idx="711">
                  <c:v>6.0014871663416063</c:v>
                </c:pt>
                <c:pt idx="712">
                  <c:v>5.9988100840400627</c:v>
                </c:pt>
                <c:pt idx="713">
                  <c:v>5.9961330017385226</c:v>
                </c:pt>
                <c:pt idx="714">
                  <c:v>5.9934559194369834</c:v>
                </c:pt>
                <c:pt idx="715">
                  <c:v>5.9907788371354416</c:v>
                </c:pt>
                <c:pt idx="716">
                  <c:v>5.9881017548338988</c:v>
                </c:pt>
                <c:pt idx="717">
                  <c:v>5.9854246725323588</c:v>
                </c:pt>
                <c:pt idx="718">
                  <c:v>5.9827475902308187</c:v>
                </c:pt>
                <c:pt idx="719">
                  <c:v>5.980070507929276</c:v>
                </c:pt>
                <c:pt idx="720">
                  <c:v>5.977393425627735</c:v>
                </c:pt>
                <c:pt idx="721">
                  <c:v>5.9747163433261941</c:v>
                </c:pt>
                <c:pt idx="722">
                  <c:v>5.9720392610246531</c:v>
                </c:pt>
                <c:pt idx="723">
                  <c:v>5.9693621787231095</c:v>
                </c:pt>
                <c:pt idx="724">
                  <c:v>5.966685096421573</c:v>
                </c:pt>
                <c:pt idx="725">
                  <c:v>5.9640080141200276</c:v>
                </c:pt>
                <c:pt idx="726">
                  <c:v>5.9613309318184875</c:v>
                </c:pt>
                <c:pt idx="727">
                  <c:v>5.9586538495169457</c:v>
                </c:pt>
                <c:pt idx="728">
                  <c:v>5.9559767672154056</c:v>
                </c:pt>
                <c:pt idx="729">
                  <c:v>5.9532996849138646</c:v>
                </c:pt>
                <c:pt idx="730">
                  <c:v>5.9506226026123219</c:v>
                </c:pt>
                <c:pt idx="731">
                  <c:v>5.9479455203107809</c:v>
                </c:pt>
                <c:pt idx="732">
                  <c:v>5.9452684380092391</c:v>
                </c:pt>
                <c:pt idx="733">
                  <c:v>5.942591355707699</c:v>
                </c:pt>
                <c:pt idx="734">
                  <c:v>5.9399142734061572</c:v>
                </c:pt>
                <c:pt idx="735">
                  <c:v>5.9372371911046189</c:v>
                </c:pt>
                <c:pt idx="736">
                  <c:v>5.934560108803077</c:v>
                </c:pt>
                <c:pt idx="737">
                  <c:v>5.9318830265015334</c:v>
                </c:pt>
                <c:pt idx="738">
                  <c:v>5.9292059441999934</c:v>
                </c:pt>
                <c:pt idx="739">
                  <c:v>5.9265288618984515</c:v>
                </c:pt>
                <c:pt idx="740">
                  <c:v>5.9238517795969132</c:v>
                </c:pt>
                <c:pt idx="741">
                  <c:v>5.9211746972953678</c:v>
                </c:pt>
                <c:pt idx="742">
                  <c:v>5.918497614993826</c:v>
                </c:pt>
                <c:pt idx="743">
                  <c:v>5.9158205326922886</c:v>
                </c:pt>
                <c:pt idx="744">
                  <c:v>5.9131434503907467</c:v>
                </c:pt>
                <c:pt idx="745">
                  <c:v>5.9104663680892022</c:v>
                </c:pt>
                <c:pt idx="746">
                  <c:v>5.9077892857876622</c:v>
                </c:pt>
                <c:pt idx="747">
                  <c:v>5.9051122034861212</c:v>
                </c:pt>
                <c:pt idx="748">
                  <c:v>5.902435121184582</c:v>
                </c:pt>
                <c:pt idx="749">
                  <c:v>5.8997580388830384</c:v>
                </c:pt>
                <c:pt idx="750">
                  <c:v>5.8970809565814983</c:v>
                </c:pt>
                <c:pt idx="751">
                  <c:v>5.8944038742799574</c:v>
                </c:pt>
                <c:pt idx="752">
                  <c:v>5.8917267919784173</c:v>
                </c:pt>
                <c:pt idx="753">
                  <c:v>5.8890497096768746</c:v>
                </c:pt>
                <c:pt idx="754">
                  <c:v>5.8863726273753345</c:v>
                </c:pt>
                <c:pt idx="755">
                  <c:v>5.8836955450737936</c:v>
                </c:pt>
                <c:pt idx="756">
                  <c:v>5.8810184627722517</c:v>
                </c:pt>
                <c:pt idx="757">
                  <c:v>5.8783413804707108</c:v>
                </c:pt>
                <c:pt idx="758">
                  <c:v>5.8756642981691698</c:v>
                </c:pt>
                <c:pt idx="759">
                  <c:v>5.9920399550501235</c:v>
                </c:pt>
                <c:pt idx="760">
                  <c:v>5.9893628727485844</c:v>
                </c:pt>
                <c:pt idx="761">
                  <c:v>5.9866857904470407</c:v>
                </c:pt>
                <c:pt idx="762">
                  <c:v>5.9840087081455007</c:v>
                </c:pt>
                <c:pt idx="763">
                  <c:v>5.9813316258439606</c:v>
                </c:pt>
                <c:pt idx="764">
                  <c:v>5.9786545435424179</c:v>
                </c:pt>
                <c:pt idx="765">
                  <c:v>5.9759774612408796</c:v>
                </c:pt>
                <c:pt idx="766">
                  <c:v>5.9733003789393342</c:v>
                </c:pt>
                <c:pt idx="767">
                  <c:v>5.9706232966377941</c:v>
                </c:pt>
                <c:pt idx="768">
                  <c:v>5.9679462143362532</c:v>
                </c:pt>
                <c:pt idx="769">
                  <c:v>5.9652691320347122</c:v>
                </c:pt>
                <c:pt idx="770">
                  <c:v>5.9625920497331695</c:v>
                </c:pt>
                <c:pt idx="771">
                  <c:v>5.9599149674316294</c:v>
                </c:pt>
                <c:pt idx="772">
                  <c:v>5.9572378851300902</c:v>
                </c:pt>
                <c:pt idx="773">
                  <c:v>5.9545608028285466</c:v>
                </c:pt>
                <c:pt idx="774">
                  <c:v>5.9518837205270057</c:v>
                </c:pt>
                <c:pt idx="775">
                  <c:v>5.9492066382254647</c:v>
                </c:pt>
                <c:pt idx="776">
                  <c:v>5.9465295559239237</c:v>
                </c:pt>
                <c:pt idx="777">
                  <c:v>5.9438524736223819</c:v>
                </c:pt>
                <c:pt idx="778">
                  <c:v>5.9411753913208409</c:v>
                </c:pt>
                <c:pt idx="779">
                  <c:v>5.9384983090192982</c:v>
                </c:pt>
                <c:pt idx="780">
                  <c:v>5.935821226717759</c:v>
                </c:pt>
                <c:pt idx="781">
                  <c:v>5.9331441444162181</c:v>
                </c:pt>
                <c:pt idx="782">
                  <c:v>5.930467062114678</c:v>
                </c:pt>
                <c:pt idx="783">
                  <c:v>5.927789979813137</c:v>
                </c:pt>
                <c:pt idx="784">
                  <c:v>5.9251128975115934</c:v>
                </c:pt>
                <c:pt idx="785">
                  <c:v>5.9224358152100507</c:v>
                </c:pt>
                <c:pt idx="786">
                  <c:v>5.9197587329085106</c:v>
                </c:pt>
                <c:pt idx="787">
                  <c:v>5.9170816506069697</c:v>
                </c:pt>
                <c:pt idx="788">
                  <c:v>5.9144045683054296</c:v>
                </c:pt>
                <c:pt idx="789">
                  <c:v>5.9117274860038886</c:v>
                </c:pt>
                <c:pt idx="790">
                  <c:v>5.9090504037023468</c:v>
                </c:pt>
                <c:pt idx="791">
                  <c:v>5.906373321400805</c:v>
                </c:pt>
                <c:pt idx="792">
                  <c:v>5.903696239099264</c:v>
                </c:pt>
                <c:pt idx="793">
                  <c:v>5.9010191567977248</c:v>
                </c:pt>
                <c:pt idx="794">
                  <c:v>5.8983420744961821</c:v>
                </c:pt>
                <c:pt idx="795">
                  <c:v>5.8956649921946402</c:v>
                </c:pt>
                <c:pt idx="796">
                  <c:v>5.8929879098931019</c:v>
                </c:pt>
                <c:pt idx="797">
                  <c:v>5.8903108275915592</c:v>
                </c:pt>
                <c:pt idx="798">
                  <c:v>5.88763374529002</c:v>
                </c:pt>
                <c:pt idx="799">
                  <c:v>5.8849566629884773</c:v>
                </c:pt>
                <c:pt idx="800">
                  <c:v>5.8822795806869337</c:v>
                </c:pt>
                <c:pt idx="801">
                  <c:v>5.8796024983853945</c:v>
                </c:pt>
                <c:pt idx="802">
                  <c:v>5.8769254160838527</c:v>
                </c:pt>
                <c:pt idx="803">
                  <c:v>5.8742483337823126</c:v>
                </c:pt>
                <c:pt idx="804">
                  <c:v>5.8715712514807699</c:v>
                </c:pt>
                <c:pt idx="805">
                  <c:v>5.8688941691792289</c:v>
                </c:pt>
                <c:pt idx="806">
                  <c:v>5.8662170868776888</c:v>
                </c:pt>
                <c:pt idx="807">
                  <c:v>5.863540004576147</c:v>
                </c:pt>
                <c:pt idx="808">
                  <c:v>5.8608629222746051</c:v>
                </c:pt>
                <c:pt idx="809">
                  <c:v>5.8581858399730642</c:v>
                </c:pt>
                <c:pt idx="810">
                  <c:v>5.8555087576715232</c:v>
                </c:pt>
                <c:pt idx="811">
                  <c:v>5.8528316753699832</c:v>
                </c:pt>
                <c:pt idx="812">
                  <c:v>5.8501545930684413</c:v>
                </c:pt>
                <c:pt idx="813">
                  <c:v>5.8474775107668986</c:v>
                </c:pt>
                <c:pt idx="814">
                  <c:v>5.8448004284653576</c:v>
                </c:pt>
                <c:pt idx="815">
                  <c:v>5.8421233461638167</c:v>
                </c:pt>
                <c:pt idx="816">
                  <c:v>5.8394462638622757</c:v>
                </c:pt>
                <c:pt idx="817">
                  <c:v>5.8367691815607357</c:v>
                </c:pt>
                <c:pt idx="818">
                  <c:v>5.8340920992591938</c:v>
                </c:pt>
                <c:pt idx="819">
                  <c:v>5.8314150169576511</c:v>
                </c:pt>
                <c:pt idx="820">
                  <c:v>5.8287379346561119</c:v>
                </c:pt>
                <c:pt idx="821">
                  <c:v>5.8260608523545727</c:v>
                </c:pt>
                <c:pt idx="822">
                  <c:v>5.8233837700530282</c:v>
                </c:pt>
                <c:pt idx="823">
                  <c:v>5.8207066877514881</c:v>
                </c:pt>
                <c:pt idx="824">
                  <c:v>5.8180296054499472</c:v>
                </c:pt>
                <c:pt idx="825">
                  <c:v>5.8153525231484071</c:v>
                </c:pt>
                <c:pt idx="826">
                  <c:v>5.8126754408468626</c:v>
                </c:pt>
                <c:pt idx="827">
                  <c:v>5.8099983585453217</c:v>
                </c:pt>
                <c:pt idx="828">
                  <c:v>5.8073212762437816</c:v>
                </c:pt>
                <c:pt idx="829">
                  <c:v>5.8046441939422389</c:v>
                </c:pt>
                <c:pt idx="830">
                  <c:v>5.8019671116407006</c:v>
                </c:pt>
                <c:pt idx="831">
                  <c:v>5.7992900293391587</c:v>
                </c:pt>
                <c:pt idx="832">
                  <c:v>5.7966129470376169</c:v>
                </c:pt>
                <c:pt idx="833">
                  <c:v>5.7939358647360759</c:v>
                </c:pt>
                <c:pt idx="834">
                  <c:v>5.7912587824345367</c:v>
                </c:pt>
                <c:pt idx="835">
                  <c:v>5.788581700132994</c:v>
                </c:pt>
                <c:pt idx="836">
                  <c:v>5.7859046178314522</c:v>
                </c:pt>
                <c:pt idx="837">
                  <c:v>5.7832275355299103</c:v>
                </c:pt>
                <c:pt idx="838">
                  <c:v>5.7805504532283702</c:v>
                </c:pt>
                <c:pt idx="839">
                  <c:v>5.7778733709268302</c:v>
                </c:pt>
                <c:pt idx="840">
                  <c:v>5.7751962886252883</c:v>
                </c:pt>
                <c:pt idx="841">
                  <c:v>5.7725192063237465</c:v>
                </c:pt>
                <c:pt idx="842">
                  <c:v>5.7698421240222055</c:v>
                </c:pt>
                <c:pt idx="843">
                  <c:v>5.7671650417206628</c:v>
                </c:pt>
                <c:pt idx="844">
                  <c:v>5.7644879594191227</c:v>
                </c:pt>
                <c:pt idx="845">
                  <c:v>5.7618108771175818</c:v>
                </c:pt>
                <c:pt idx="846">
                  <c:v>5.7591337948160399</c:v>
                </c:pt>
                <c:pt idx="847">
                  <c:v>5.7564567125144999</c:v>
                </c:pt>
                <c:pt idx="848">
                  <c:v>5.7537796302129589</c:v>
                </c:pt>
                <c:pt idx="849">
                  <c:v>5.7511025479114171</c:v>
                </c:pt>
                <c:pt idx="850">
                  <c:v>5.7484254656098752</c:v>
                </c:pt>
                <c:pt idx="851">
                  <c:v>5.7457483833083343</c:v>
                </c:pt>
                <c:pt idx="852">
                  <c:v>5.7430713010067933</c:v>
                </c:pt>
                <c:pt idx="853">
                  <c:v>5.7403942187052506</c:v>
                </c:pt>
                <c:pt idx="854">
                  <c:v>5.7377171364037087</c:v>
                </c:pt>
                <c:pt idx="855">
                  <c:v>5.7350400541021687</c:v>
                </c:pt>
                <c:pt idx="856">
                  <c:v>5.7323629718006277</c:v>
                </c:pt>
                <c:pt idx="857">
                  <c:v>5.7296858894990859</c:v>
                </c:pt>
                <c:pt idx="858">
                  <c:v>5.7270088071975467</c:v>
                </c:pt>
                <c:pt idx="859">
                  <c:v>5.7243317248960031</c:v>
                </c:pt>
                <c:pt idx="860">
                  <c:v>5.721654642594463</c:v>
                </c:pt>
                <c:pt idx="861">
                  <c:v>5.7189775602929229</c:v>
                </c:pt>
                <c:pt idx="862">
                  <c:v>5.716300477991382</c:v>
                </c:pt>
                <c:pt idx="863">
                  <c:v>5.7136233956898401</c:v>
                </c:pt>
                <c:pt idx="864">
                  <c:v>5.7109463133882983</c:v>
                </c:pt>
                <c:pt idx="865">
                  <c:v>5.7082692310867564</c:v>
                </c:pt>
                <c:pt idx="866">
                  <c:v>5.7055921487852181</c:v>
                </c:pt>
                <c:pt idx="867">
                  <c:v>5.7029150664836736</c:v>
                </c:pt>
                <c:pt idx="868">
                  <c:v>5.7002379841821336</c:v>
                </c:pt>
                <c:pt idx="869">
                  <c:v>5.6975609018805935</c:v>
                </c:pt>
                <c:pt idx="870">
                  <c:v>5.694883819579049</c:v>
                </c:pt>
                <c:pt idx="871">
                  <c:v>5.6922067372775098</c:v>
                </c:pt>
                <c:pt idx="872">
                  <c:v>5.6895296549759715</c:v>
                </c:pt>
                <c:pt idx="873">
                  <c:v>5.6868525726744261</c:v>
                </c:pt>
                <c:pt idx="874">
                  <c:v>5.6841754903728861</c:v>
                </c:pt>
                <c:pt idx="875">
                  <c:v>5.6814984080713442</c:v>
                </c:pt>
                <c:pt idx="876">
                  <c:v>5.6788213257698033</c:v>
                </c:pt>
                <c:pt idx="877">
                  <c:v>5.6761442434682623</c:v>
                </c:pt>
                <c:pt idx="878">
                  <c:v>5.6734671611667213</c:v>
                </c:pt>
                <c:pt idx="879">
                  <c:v>5.6707900788651786</c:v>
                </c:pt>
                <c:pt idx="880">
                  <c:v>5.6681129965636394</c:v>
                </c:pt>
                <c:pt idx="881">
                  <c:v>5.6654359142620994</c:v>
                </c:pt>
                <c:pt idx="882">
                  <c:v>5.6627588319605584</c:v>
                </c:pt>
                <c:pt idx="883">
                  <c:v>5.6600817496590157</c:v>
                </c:pt>
                <c:pt idx="884">
                  <c:v>5.6574046673574747</c:v>
                </c:pt>
                <c:pt idx="885">
                  <c:v>5.6547275850559338</c:v>
                </c:pt>
                <c:pt idx="886">
                  <c:v>5.6520505027543928</c:v>
                </c:pt>
                <c:pt idx="887">
                  <c:v>5.649373420452851</c:v>
                </c:pt>
                <c:pt idx="888">
                  <c:v>5.6466963381513091</c:v>
                </c:pt>
                <c:pt idx="889">
                  <c:v>5.6440192558497673</c:v>
                </c:pt>
                <c:pt idx="890">
                  <c:v>5.6413421735482272</c:v>
                </c:pt>
                <c:pt idx="891">
                  <c:v>5.6386650912466862</c:v>
                </c:pt>
                <c:pt idx="892">
                  <c:v>5.6359880089451453</c:v>
                </c:pt>
                <c:pt idx="893">
                  <c:v>5.6333109266436052</c:v>
                </c:pt>
                <c:pt idx="894">
                  <c:v>5.6306338443420634</c:v>
                </c:pt>
                <c:pt idx="895">
                  <c:v>5.6279567620405224</c:v>
                </c:pt>
                <c:pt idx="896">
                  <c:v>5.6252796797389815</c:v>
                </c:pt>
                <c:pt idx="897">
                  <c:v>5.6226025974374378</c:v>
                </c:pt>
                <c:pt idx="898">
                  <c:v>5.619925515135896</c:v>
                </c:pt>
                <c:pt idx="899">
                  <c:v>5.6172484328343559</c:v>
                </c:pt>
                <c:pt idx="900">
                  <c:v>5.6145713505328168</c:v>
                </c:pt>
                <c:pt idx="901">
                  <c:v>5.611894268231274</c:v>
                </c:pt>
                <c:pt idx="902">
                  <c:v>5.6092171859297331</c:v>
                </c:pt>
                <c:pt idx="903">
                  <c:v>5.6065401036281921</c:v>
                </c:pt>
                <c:pt idx="904">
                  <c:v>5.6038630213266512</c:v>
                </c:pt>
                <c:pt idx="905">
                  <c:v>5.6011859390251102</c:v>
                </c:pt>
                <c:pt idx="906">
                  <c:v>5.5985088567235692</c:v>
                </c:pt>
                <c:pt idx="907">
                  <c:v>5.5958317744220274</c:v>
                </c:pt>
                <c:pt idx="908">
                  <c:v>5.5931546921204864</c:v>
                </c:pt>
                <c:pt idx="909">
                  <c:v>5.5904776098189446</c:v>
                </c:pt>
                <c:pt idx="910">
                  <c:v>5.5878005275174036</c:v>
                </c:pt>
                <c:pt idx="911">
                  <c:v>5.5851234452158627</c:v>
                </c:pt>
                <c:pt idx="912">
                  <c:v>5.5824463629143208</c:v>
                </c:pt>
                <c:pt idx="913">
                  <c:v>5.5797692806127799</c:v>
                </c:pt>
                <c:pt idx="914">
                  <c:v>5.5770921983112398</c:v>
                </c:pt>
                <c:pt idx="915">
                  <c:v>5.5744151160096962</c:v>
                </c:pt>
                <c:pt idx="916">
                  <c:v>5.5717380337081561</c:v>
                </c:pt>
                <c:pt idx="917">
                  <c:v>5.5690609514066152</c:v>
                </c:pt>
                <c:pt idx="918">
                  <c:v>5.5663838691050742</c:v>
                </c:pt>
                <c:pt idx="919">
                  <c:v>5.5637067868035333</c:v>
                </c:pt>
                <c:pt idx="920">
                  <c:v>5.5610297045019896</c:v>
                </c:pt>
                <c:pt idx="921">
                  <c:v>5.5583526222004487</c:v>
                </c:pt>
                <c:pt idx="922">
                  <c:v>5.5556755398989086</c:v>
                </c:pt>
                <c:pt idx="923">
                  <c:v>5.5529984575973677</c:v>
                </c:pt>
                <c:pt idx="924">
                  <c:v>5.5503213752958258</c:v>
                </c:pt>
                <c:pt idx="925">
                  <c:v>5.5476442929942857</c:v>
                </c:pt>
                <c:pt idx="926">
                  <c:v>5.5449672106927466</c:v>
                </c:pt>
                <c:pt idx="927">
                  <c:v>5.5422901283912029</c:v>
                </c:pt>
                <c:pt idx="928">
                  <c:v>5.539613046089662</c:v>
                </c:pt>
                <c:pt idx="929">
                  <c:v>5.536935963788121</c:v>
                </c:pt>
                <c:pt idx="930">
                  <c:v>5.5342588814865801</c:v>
                </c:pt>
                <c:pt idx="931">
                  <c:v>5.5315817991850382</c:v>
                </c:pt>
                <c:pt idx="932">
                  <c:v>5.5289047168834964</c:v>
                </c:pt>
                <c:pt idx="933">
                  <c:v>5.5262276345819545</c:v>
                </c:pt>
                <c:pt idx="934">
                  <c:v>5.5235505522804145</c:v>
                </c:pt>
                <c:pt idx="935">
                  <c:v>5.5208734699788735</c:v>
                </c:pt>
                <c:pt idx="936">
                  <c:v>5.5181963876773317</c:v>
                </c:pt>
                <c:pt idx="937">
                  <c:v>5.5155193053757907</c:v>
                </c:pt>
                <c:pt idx="938">
                  <c:v>5.5128422230742506</c:v>
                </c:pt>
                <c:pt idx="939">
                  <c:v>5.5101651407727097</c:v>
                </c:pt>
                <c:pt idx="940">
                  <c:v>5.507488058471167</c:v>
                </c:pt>
                <c:pt idx="941">
                  <c:v>5.5048109761696251</c:v>
                </c:pt>
                <c:pt idx="942">
                  <c:v>5.6146372748262126</c:v>
                </c:pt>
                <c:pt idx="943">
                  <c:v>5.6119601925246716</c:v>
                </c:pt>
                <c:pt idx="944">
                  <c:v>5.609283110223128</c:v>
                </c:pt>
                <c:pt idx="945">
                  <c:v>5.6066060279215888</c:v>
                </c:pt>
                <c:pt idx="946">
                  <c:v>5.6039289456200487</c:v>
                </c:pt>
                <c:pt idx="947">
                  <c:v>5.601251863318506</c:v>
                </c:pt>
                <c:pt idx="948">
                  <c:v>5.5985747810169642</c:v>
                </c:pt>
                <c:pt idx="949">
                  <c:v>5.595897698715425</c:v>
                </c:pt>
                <c:pt idx="950">
                  <c:v>5.5932206164138822</c:v>
                </c:pt>
                <c:pt idx="951">
                  <c:v>5.5905435341123422</c:v>
                </c:pt>
                <c:pt idx="952">
                  <c:v>5.5878664518107986</c:v>
                </c:pt>
                <c:pt idx="953">
                  <c:v>5.5851893695092594</c:v>
                </c:pt>
                <c:pt idx="954">
                  <c:v>5.5825122872077184</c:v>
                </c:pt>
                <c:pt idx="955">
                  <c:v>5.5798352049061766</c:v>
                </c:pt>
                <c:pt idx="956">
                  <c:v>5.5771581226046347</c:v>
                </c:pt>
                <c:pt idx="957">
                  <c:v>5.574481040303092</c:v>
                </c:pt>
                <c:pt idx="958">
                  <c:v>5.5718039580015537</c:v>
                </c:pt>
                <c:pt idx="959">
                  <c:v>5.5691268757000119</c:v>
                </c:pt>
                <c:pt idx="960">
                  <c:v>5.56644979339847</c:v>
                </c:pt>
                <c:pt idx="961">
                  <c:v>5.5637727110969299</c:v>
                </c:pt>
                <c:pt idx="962">
                  <c:v>5.5610956287953899</c:v>
                </c:pt>
                <c:pt idx="963">
                  <c:v>5.5584185464938471</c:v>
                </c:pt>
                <c:pt idx="964">
                  <c:v>5.5557414641923071</c:v>
                </c:pt>
                <c:pt idx="965">
                  <c:v>5.553064381890767</c:v>
                </c:pt>
                <c:pt idx="966">
                  <c:v>5.5503872995892234</c:v>
                </c:pt>
                <c:pt idx="967">
                  <c:v>5.5477102172876824</c:v>
                </c:pt>
                <c:pt idx="968">
                  <c:v>5.5450331349861415</c:v>
                </c:pt>
                <c:pt idx="969">
                  <c:v>5.5423560526845987</c:v>
                </c:pt>
                <c:pt idx="970">
                  <c:v>5.5396789703830587</c:v>
                </c:pt>
                <c:pt idx="971">
                  <c:v>5.5370018880815177</c:v>
                </c:pt>
                <c:pt idx="972">
                  <c:v>5.5343248057799777</c:v>
                </c:pt>
                <c:pt idx="973">
                  <c:v>5.531647723478434</c:v>
                </c:pt>
                <c:pt idx="974">
                  <c:v>5.5289706411768949</c:v>
                </c:pt>
                <c:pt idx="975">
                  <c:v>5.5262935588753521</c:v>
                </c:pt>
                <c:pt idx="976">
                  <c:v>5.5236164765738121</c:v>
                </c:pt>
                <c:pt idx="977">
                  <c:v>5.5209393942722711</c:v>
                </c:pt>
                <c:pt idx="978">
                  <c:v>5.5182623119707293</c:v>
                </c:pt>
                <c:pt idx="979">
                  <c:v>5.5155852296691883</c:v>
                </c:pt>
                <c:pt idx="980">
                  <c:v>5.5129081473676456</c:v>
                </c:pt>
                <c:pt idx="981">
                  <c:v>5.5102310650661055</c:v>
                </c:pt>
                <c:pt idx="982">
                  <c:v>5.5075539827645645</c:v>
                </c:pt>
                <c:pt idx="983">
                  <c:v>5.5048769004630245</c:v>
                </c:pt>
                <c:pt idx="984">
                  <c:v>5.50219981816148</c:v>
                </c:pt>
                <c:pt idx="985">
                  <c:v>5.4995227358599417</c:v>
                </c:pt>
                <c:pt idx="986">
                  <c:v>5.4968456535583998</c:v>
                </c:pt>
                <c:pt idx="987">
                  <c:v>5.4941685712568571</c:v>
                </c:pt>
                <c:pt idx="988">
                  <c:v>5.4914914889553179</c:v>
                </c:pt>
                <c:pt idx="989">
                  <c:v>5.4888144066537761</c:v>
                </c:pt>
                <c:pt idx="990">
                  <c:v>5.4861373243522342</c:v>
                </c:pt>
                <c:pt idx="991">
                  <c:v>5.4834602420506924</c:v>
                </c:pt>
                <c:pt idx="992">
                  <c:v>5.4807831597491514</c:v>
                </c:pt>
                <c:pt idx="993">
                  <c:v>5.4781060774476122</c:v>
                </c:pt>
                <c:pt idx="994">
                  <c:v>5.4754289951460695</c:v>
                </c:pt>
                <c:pt idx="995">
                  <c:v>5.4727519128445277</c:v>
                </c:pt>
                <c:pt idx="996">
                  <c:v>5.4700748305429867</c:v>
                </c:pt>
                <c:pt idx="997">
                  <c:v>5.4673977482414466</c:v>
                </c:pt>
                <c:pt idx="998">
                  <c:v>5.4647206659399066</c:v>
                </c:pt>
                <c:pt idx="999">
                  <c:v>5.4620435836383638</c:v>
                </c:pt>
                <c:pt idx="1000">
                  <c:v>5.459366501336822</c:v>
                </c:pt>
                <c:pt idx="1001">
                  <c:v>5.456689419035281</c:v>
                </c:pt>
                <c:pt idx="1002">
                  <c:v>5.4540123367337392</c:v>
                </c:pt>
                <c:pt idx="1003">
                  <c:v>5.4513352544321991</c:v>
                </c:pt>
                <c:pt idx="1004">
                  <c:v>5.4486581721306564</c:v>
                </c:pt>
                <c:pt idx="1005">
                  <c:v>5.4459810898291163</c:v>
                </c:pt>
                <c:pt idx="1006">
                  <c:v>5.4433040075275754</c:v>
                </c:pt>
                <c:pt idx="1007">
                  <c:v>5.4406269252260344</c:v>
                </c:pt>
                <c:pt idx="1008">
                  <c:v>5.4379498429244935</c:v>
                </c:pt>
                <c:pt idx="1009">
                  <c:v>5.4352727606229507</c:v>
                </c:pt>
                <c:pt idx="1010">
                  <c:v>5.4325956783214124</c:v>
                </c:pt>
                <c:pt idx="1011">
                  <c:v>5.4299185960198706</c:v>
                </c:pt>
                <c:pt idx="1012">
                  <c:v>5.4272415137183279</c:v>
                </c:pt>
                <c:pt idx="1013">
                  <c:v>5.4245644314167878</c:v>
                </c:pt>
                <c:pt idx="1014">
                  <c:v>5.4218873491152451</c:v>
                </c:pt>
                <c:pt idx="1015">
                  <c:v>5.4192102668137068</c:v>
                </c:pt>
                <c:pt idx="1016">
                  <c:v>5.4165331845121631</c:v>
                </c:pt>
                <c:pt idx="1017">
                  <c:v>5.4138561022106231</c:v>
                </c:pt>
                <c:pt idx="1018">
                  <c:v>5.4111790199090812</c:v>
                </c:pt>
                <c:pt idx="1019">
                  <c:v>5.4085019376075394</c:v>
                </c:pt>
                <c:pt idx="1020">
                  <c:v>5.4058248553059993</c:v>
                </c:pt>
                <c:pt idx="1021">
                  <c:v>5.4031477730044593</c:v>
                </c:pt>
                <c:pt idx="1022">
                  <c:v>5.4004706907029165</c:v>
                </c:pt>
                <c:pt idx="1023">
                  <c:v>5.3977936084013747</c:v>
                </c:pt>
                <c:pt idx="1024">
                  <c:v>5.3951165260998328</c:v>
                </c:pt>
                <c:pt idx="1025">
                  <c:v>5.3924394437982919</c:v>
                </c:pt>
                <c:pt idx="1026">
                  <c:v>5.3897623614967536</c:v>
                </c:pt>
                <c:pt idx="1027">
                  <c:v>5.3870852791952117</c:v>
                </c:pt>
                <c:pt idx="1028">
                  <c:v>5.3844081968936699</c:v>
                </c:pt>
                <c:pt idx="1029">
                  <c:v>5.3817311145921281</c:v>
                </c:pt>
                <c:pt idx="1030">
                  <c:v>5.3790540322905862</c:v>
                </c:pt>
                <c:pt idx="1031">
                  <c:v>5.3763769499890453</c:v>
                </c:pt>
                <c:pt idx="1032">
                  <c:v>5.3736998676875061</c:v>
                </c:pt>
                <c:pt idx="1033">
                  <c:v>5.3710227853859625</c:v>
                </c:pt>
                <c:pt idx="1034">
                  <c:v>5.3683457030844215</c:v>
                </c:pt>
                <c:pt idx="1035">
                  <c:v>5.3656686207828796</c:v>
                </c:pt>
                <c:pt idx="1036">
                  <c:v>5.3629915384813405</c:v>
                </c:pt>
                <c:pt idx="1037">
                  <c:v>5.3603144561797986</c:v>
                </c:pt>
                <c:pt idx="1038">
                  <c:v>5.3576373738782603</c:v>
                </c:pt>
                <c:pt idx="1039">
                  <c:v>5.3549602915767176</c:v>
                </c:pt>
                <c:pt idx="1040">
                  <c:v>5.3522832092751758</c:v>
                </c:pt>
                <c:pt idx="1041">
                  <c:v>5.349606126973633</c:v>
                </c:pt>
                <c:pt idx="1042">
                  <c:v>5.3469290446720912</c:v>
                </c:pt>
                <c:pt idx="1043">
                  <c:v>5.344251962370552</c:v>
                </c:pt>
                <c:pt idx="1044">
                  <c:v>5.3415748800690093</c:v>
                </c:pt>
                <c:pt idx="1045">
                  <c:v>5.3388977977674683</c:v>
                </c:pt>
                <c:pt idx="1046">
                  <c:v>5.3362207154659282</c:v>
                </c:pt>
                <c:pt idx="1047">
                  <c:v>5.3335436331643873</c:v>
                </c:pt>
                <c:pt idx="1048">
                  <c:v>5.3308665508628446</c:v>
                </c:pt>
                <c:pt idx="1049">
                  <c:v>5.3281894685613045</c:v>
                </c:pt>
                <c:pt idx="1050">
                  <c:v>5.3255123862597626</c:v>
                </c:pt>
                <c:pt idx="1051">
                  <c:v>5.3228353039582226</c:v>
                </c:pt>
                <c:pt idx="1052">
                  <c:v>5.3201582216566816</c:v>
                </c:pt>
                <c:pt idx="1053">
                  <c:v>5.3174811393551389</c:v>
                </c:pt>
                <c:pt idx="1054">
                  <c:v>5.3148040570535979</c:v>
                </c:pt>
                <c:pt idx="1055">
                  <c:v>5.3121269747520561</c:v>
                </c:pt>
                <c:pt idx="1056">
                  <c:v>5.3094498924505151</c:v>
                </c:pt>
                <c:pt idx="1057">
                  <c:v>5.3067728101489751</c:v>
                </c:pt>
                <c:pt idx="1058">
                  <c:v>5.3040957278474332</c:v>
                </c:pt>
                <c:pt idx="1059">
                  <c:v>5.301418645545894</c:v>
                </c:pt>
                <c:pt idx="1060">
                  <c:v>5.2987415632443513</c:v>
                </c:pt>
                <c:pt idx="1061">
                  <c:v>5.2960644809428103</c:v>
                </c:pt>
                <c:pt idx="1062">
                  <c:v>5.2933873986412703</c:v>
                </c:pt>
                <c:pt idx="1063">
                  <c:v>5.2907103163397284</c:v>
                </c:pt>
                <c:pt idx="1064">
                  <c:v>5.2880332340381857</c:v>
                </c:pt>
                <c:pt idx="1065">
                  <c:v>5.2853561517366439</c:v>
                </c:pt>
                <c:pt idx="1066">
                  <c:v>5.2826790694351065</c:v>
                </c:pt>
                <c:pt idx="1067">
                  <c:v>5.2800019871335619</c:v>
                </c:pt>
                <c:pt idx="1068">
                  <c:v>5.2773249048320192</c:v>
                </c:pt>
                <c:pt idx="1069">
                  <c:v>5.2746478225304791</c:v>
                </c:pt>
                <c:pt idx="1070">
                  <c:v>5.2719707402289391</c:v>
                </c:pt>
                <c:pt idx="1071">
                  <c:v>5.2692936579273981</c:v>
                </c:pt>
                <c:pt idx="1072">
                  <c:v>5.2666165756258554</c:v>
                </c:pt>
                <c:pt idx="1073">
                  <c:v>5.2639394933243162</c:v>
                </c:pt>
                <c:pt idx="1074">
                  <c:v>5.2612624110227744</c:v>
                </c:pt>
                <c:pt idx="1075">
                  <c:v>5.2585853287212334</c:v>
                </c:pt>
                <c:pt idx="1076">
                  <c:v>5.2559082464196916</c:v>
                </c:pt>
                <c:pt idx="1077">
                  <c:v>5.2532311641181488</c:v>
                </c:pt>
                <c:pt idx="1078">
                  <c:v>5.2505540818166097</c:v>
                </c:pt>
                <c:pt idx="1079">
                  <c:v>5.2478769995150669</c:v>
                </c:pt>
                <c:pt idx="1080">
                  <c:v>5.2451999172135277</c:v>
                </c:pt>
                <c:pt idx="1081">
                  <c:v>5.242522834911985</c:v>
                </c:pt>
                <c:pt idx="1082">
                  <c:v>5.2398457526104441</c:v>
                </c:pt>
                <c:pt idx="1083">
                  <c:v>5.237168670308904</c:v>
                </c:pt>
                <c:pt idx="1084">
                  <c:v>5.2344915880073604</c:v>
                </c:pt>
                <c:pt idx="1085">
                  <c:v>5.2318145057058203</c:v>
                </c:pt>
                <c:pt idx="1086">
                  <c:v>5.2291374234042793</c:v>
                </c:pt>
                <c:pt idx="1087">
                  <c:v>5.2264603411027384</c:v>
                </c:pt>
                <c:pt idx="1088">
                  <c:v>5.2237832588011974</c:v>
                </c:pt>
                <c:pt idx="1089">
                  <c:v>5.2211061764996556</c:v>
                </c:pt>
                <c:pt idx="1090">
                  <c:v>5.2184290941981146</c:v>
                </c:pt>
                <c:pt idx="1091">
                  <c:v>5.2157520118965737</c:v>
                </c:pt>
                <c:pt idx="1092">
                  <c:v>5.2130749295950336</c:v>
                </c:pt>
                <c:pt idx="1093">
                  <c:v>5.2103978472934909</c:v>
                </c:pt>
                <c:pt idx="1094">
                  <c:v>5.2077207649919517</c:v>
                </c:pt>
                <c:pt idx="1095">
                  <c:v>5.2050436826904098</c:v>
                </c:pt>
                <c:pt idx="1096">
                  <c:v>5.2023666003888689</c:v>
                </c:pt>
                <c:pt idx="1097">
                  <c:v>5.199689518087327</c:v>
                </c:pt>
                <c:pt idx="1098">
                  <c:v>5.197012435785787</c:v>
                </c:pt>
                <c:pt idx="1099">
                  <c:v>5.1943353534842451</c:v>
                </c:pt>
                <c:pt idx="1100">
                  <c:v>5.1916582711827033</c:v>
                </c:pt>
                <c:pt idx="1101">
                  <c:v>5.1889811888811632</c:v>
                </c:pt>
                <c:pt idx="1102">
                  <c:v>5.1863041065796196</c:v>
                </c:pt>
                <c:pt idx="1103">
                  <c:v>5.1836270242780804</c:v>
                </c:pt>
                <c:pt idx="1104">
                  <c:v>5.1809499419765386</c:v>
                </c:pt>
                <c:pt idx="1105">
                  <c:v>5.1782728596749985</c:v>
                </c:pt>
                <c:pt idx="1106">
                  <c:v>5.1755957773734558</c:v>
                </c:pt>
                <c:pt idx="1107">
                  <c:v>5.1729186950719148</c:v>
                </c:pt>
                <c:pt idx="1108">
                  <c:v>5.1702416127703739</c:v>
                </c:pt>
                <c:pt idx="1109">
                  <c:v>5.167564530468832</c:v>
                </c:pt>
                <c:pt idx="1110">
                  <c:v>5.1648874481672911</c:v>
                </c:pt>
                <c:pt idx="1111">
                  <c:v>5.1622103658657501</c:v>
                </c:pt>
                <c:pt idx="1112">
                  <c:v>5.1595332835642083</c:v>
                </c:pt>
                <c:pt idx="1113">
                  <c:v>5.1568562012626673</c:v>
                </c:pt>
                <c:pt idx="1114">
                  <c:v>5.1541791189611272</c:v>
                </c:pt>
                <c:pt idx="1115">
                  <c:v>5.1515020366595836</c:v>
                </c:pt>
                <c:pt idx="1116">
                  <c:v>5.1488249543580453</c:v>
                </c:pt>
                <c:pt idx="1117">
                  <c:v>5.1461478720565026</c:v>
                </c:pt>
                <c:pt idx="1118">
                  <c:v>5.1434707897549625</c:v>
                </c:pt>
                <c:pt idx="1119">
                  <c:v>5.1407937074534216</c:v>
                </c:pt>
                <c:pt idx="1120">
                  <c:v>5.1381166251518797</c:v>
                </c:pt>
                <c:pt idx="1121">
                  <c:v>5.135439542850337</c:v>
                </c:pt>
                <c:pt idx="1122">
                  <c:v>5.1327624605487969</c:v>
                </c:pt>
                <c:pt idx="1123">
                  <c:v>5.1300853782472577</c:v>
                </c:pt>
                <c:pt idx="1124">
                  <c:v>5.127408295945715</c:v>
                </c:pt>
                <c:pt idx="1125">
                  <c:v>5.4230753909270621</c:v>
                </c:pt>
                <c:pt idx="1126">
                  <c:v>5.4203983086255212</c:v>
                </c:pt>
                <c:pt idx="1127">
                  <c:v>5.4177212263239802</c:v>
                </c:pt>
                <c:pt idx="1128">
                  <c:v>5.4150441440224384</c:v>
                </c:pt>
                <c:pt idx="1129">
                  <c:v>5.4123670617208965</c:v>
                </c:pt>
                <c:pt idx="1130">
                  <c:v>5.4096899794193565</c:v>
                </c:pt>
                <c:pt idx="1131">
                  <c:v>5.4070128971178155</c:v>
                </c:pt>
                <c:pt idx="1132">
                  <c:v>5.4043358148162746</c:v>
                </c:pt>
                <c:pt idx="1133">
                  <c:v>5.4016587325147327</c:v>
                </c:pt>
                <c:pt idx="1134">
                  <c:v>5.3989816502131909</c:v>
                </c:pt>
                <c:pt idx="1135">
                  <c:v>5.3963045679116517</c:v>
                </c:pt>
                <c:pt idx="1136">
                  <c:v>5.3936274856101107</c:v>
                </c:pt>
                <c:pt idx="1137">
                  <c:v>5.3909504033085698</c:v>
                </c:pt>
                <c:pt idx="1138">
                  <c:v>5.3882733210070271</c:v>
                </c:pt>
                <c:pt idx="1139">
                  <c:v>5.3855962387054861</c:v>
                </c:pt>
                <c:pt idx="1140">
                  <c:v>5.3829191564039434</c:v>
                </c:pt>
                <c:pt idx="1141">
                  <c:v>5.3802420741024051</c:v>
                </c:pt>
                <c:pt idx="1142">
                  <c:v>5.3775649918008606</c:v>
                </c:pt>
                <c:pt idx="1143">
                  <c:v>5.3748879094993214</c:v>
                </c:pt>
                <c:pt idx="1144">
                  <c:v>5.3722108271977795</c:v>
                </c:pt>
                <c:pt idx="1145">
                  <c:v>5.3695337448962395</c:v>
                </c:pt>
                <c:pt idx="1146">
                  <c:v>5.3668566625946976</c:v>
                </c:pt>
                <c:pt idx="1147">
                  <c:v>5.3641795802931576</c:v>
                </c:pt>
                <c:pt idx="1148">
                  <c:v>5.3615024979916157</c:v>
                </c:pt>
                <c:pt idx="1149">
                  <c:v>5.3588254156900739</c:v>
                </c:pt>
                <c:pt idx="1150">
                  <c:v>5.3561483333885338</c:v>
                </c:pt>
                <c:pt idx="1151">
                  <c:v>5.3534712510869911</c:v>
                </c:pt>
                <c:pt idx="1152">
                  <c:v>5.3507941687854492</c:v>
                </c:pt>
                <c:pt idx="1153">
                  <c:v>5.34811708648391</c:v>
                </c:pt>
                <c:pt idx="1154">
                  <c:v>5.3454400041823691</c:v>
                </c:pt>
                <c:pt idx="1155">
                  <c:v>5.3427629218808281</c:v>
                </c:pt>
                <c:pt idx="1156">
                  <c:v>5.3400858395792854</c:v>
                </c:pt>
                <c:pt idx="1157">
                  <c:v>5.3374087572777427</c:v>
                </c:pt>
                <c:pt idx="1158">
                  <c:v>5.3347316749762044</c:v>
                </c:pt>
                <c:pt idx="1159">
                  <c:v>5.3320545926746616</c:v>
                </c:pt>
                <c:pt idx="1160">
                  <c:v>5.3293775103731216</c:v>
                </c:pt>
                <c:pt idx="1161">
                  <c:v>5.3267004280715806</c:v>
                </c:pt>
                <c:pt idx="1162">
                  <c:v>5.3240233457700405</c:v>
                </c:pt>
                <c:pt idx="1163">
                  <c:v>5.3213462634684978</c:v>
                </c:pt>
                <c:pt idx="1164">
                  <c:v>5.3186691811669551</c:v>
                </c:pt>
                <c:pt idx="1165">
                  <c:v>5.3159920988654159</c:v>
                </c:pt>
                <c:pt idx="1166">
                  <c:v>5.3133150165638732</c:v>
                </c:pt>
                <c:pt idx="1167">
                  <c:v>5.3106379342623331</c:v>
                </c:pt>
                <c:pt idx="1168">
                  <c:v>5.3079608519607913</c:v>
                </c:pt>
                <c:pt idx="1169">
                  <c:v>5.3052837696592503</c:v>
                </c:pt>
                <c:pt idx="1170">
                  <c:v>5.3026066873577102</c:v>
                </c:pt>
                <c:pt idx="1171">
                  <c:v>5.2999296050561657</c:v>
                </c:pt>
                <c:pt idx="1172">
                  <c:v>5.2972525227546265</c:v>
                </c:pt>
                <c:pt idx="1173">
                  <c:v>5.2945754404530865</c:v>
                </c:pt>
                <c:pt idx="1174">
                  <c:v>5.2918983581515429</c:v>
                </c:pt>
                <c:pt idx="1175">
                  <c:v>5.2892212758500019</c:v>
                </c:pt>
                <c:pt idx="1176">
                  <c:v>5.2865441935484627</c:v>
                </c:pt>
                <c:pt idx="1177">
                  <c:v>5.2838671112469218</c:v>
                </c:pt>
                <c:pt idx="1178">
                  <c:v>5.2811900289453781</c:v>
                </c:pt>
                <c:pt idx="1179">
                  <c:v>5.2785129466438381</c:v>
                </c:pt>
                <c:pt idx="1180">
                  <c:v>5.2758358643422953</c:v>
                </c:pt>
                <c:pt idx="1181">
                  <c:v>5.2731587820407553</c:v>
                </c:pt>
                <c:pt idx="1182">
                  <c:v>5.2704816997392143</c:v>
                </c:pt>
                <c:pt idx="1183">
                  <c:v>5.2678046174376725</c:v>
                </c:pt>
                <c:pt idx="1184">
                  <c:v>5.2651275351361315</c:v>
                </c:pt>
                <c:pt idx="1185">
                  <c:v>5.2624504528345915</c:v>
                </c:pt>
                <c:pt idx="1186">
                  <c:v>5.2597733705330496</c:v>
                </c:pt>
                <c:pt idx="1187">
                  <c:v>5.2570962882315104</c:v>
                </c:pt>
                <c:pt idx="1188">
                  <c:v>5.2544192059299668</c:v>
                </c:pt>
                <c:pt idx="1189">
                  <c:v>5.2517421236284259</c:v>
                </c:pt>
                <c:pt idx="1190">
                  <c:v>5.249065041326884</c:v>
                </c:pt>
                <c:pt idx="1191">
                  <c:v>5.2463879590253448</c:v>
                </c:pt>
                <c:pt idx="1192">
                  <c:v>5.243710876723803</c:v>
                </c:pt>
                <c:pt idx="1193">
                  <c:v>5.241033794422262</c:v>
                </c:pt>
                <c:pt idx="1194">
                  <c:v>5.238356712120722</c:v>
                </c:pt>
                <c:pt idx="1195">
                  <c:v>5.2356796298191774</c:v>
                </c:pt>
                <c:pt idx="1196">
                  <c:v>5.2330025475176365</c:v>
                </c:pt>
                <c:pt idx="1197">
                  <c:v>5.2303254652160982</c:v>
                </c:pt>
                <c:pt idx="1198">
                  <c:v>5.2276483829145555</c:v>
                </c:pt>
                <c:pt idx="1199">
                  <c:v>5.2249713006130127</c:v>
                </c:pt>
                <c:pt idx="1200">
                  <c:v>5.2222942183114736</c:v>
                </c:pt>
                <c:pt idx="1201">
                  <c:v>5.2196171360099317</c:v>
                </c:pt>
                <c:pt idx="1202">
                  <c:v>5.2169400537083908</c:v>
                </c:pt>
                <c:pt idx="1203">
                  <c:v>5.214262971406848</c:v>
                </c:pt>
                <c:pt idx="1204">
                  <c:v>5.211585889105308</c:v>
                </c:pt>
                <c:pt idx="1205">
                  <c:v>5.2089088068037679</c:v>
                </c:pt>
                <c:pt idx="1206">
                  <c:v>5.2062317245022269</c:v>
                </c:pt>
                <c:pt idx="1207">
                  <c:v>5.2035546422006842</c:v>
                </c:pt>
                <c:pt idx="1208">
                  <c:v>5.200877559899145</c:v>
                </c:pt>
                <c:pt idx="1209">
                  <c:v>5.1982004775976041</c:v>
                </c:pt>
                <c:pt idx="1210">
                  <c:v>5.1955233952960596</c:v>
                </c:pt>
                <c:pt idx="1211">
                  <c:v>5.1928463129945222</c:v>
                </c:pt>
                <c:pt idx="1212">
                  <c:v>5.1901692306929768</c:v>
                </c:pt>
                <c:pt idx="1213">
                  <c:v>5.1874921483914376</c:v>
                </c:pt>
                <c:pt idx="1214">
                  <c:v>5.1848150660898957</c:v>
                </c:pt>
                <c:pt idx="1215">
                  <c:v>5.1821379837883548</c:v>
                </c:pt>
                <c:pt idx="1216">
                  <c:v>5.1794609014868129</c:v>
                </c:pt>
                <c:pt idx="1217">
                  <c:v>5.1767838191852737</c:v>
                </c:pt>
                <c:pt idx="1218">
                  <c:v>5.1741067368837328</c:v>
                </c:pt>
                <c:pt idx="1219">
                  <c:v>5.1714296545821883</c:v>
                </c:pt>
                <c:pt idx="1220">
                  <c:v>5.1687525722806491</c:v>
                </c:pt>
                <c:pt idx="1221">
                  <c:v>5.1660754899791073</c:v>
                </c:pt>
                <c:pt idx="1222">
                  <c:v>5.1633984076775681</c:v>
                </c:pt>
                <c:pt idx="1223">
                  <c:v>5.1607213253760262</c:v>
                </c:pt>
                <c:pt idx="1224">
                  <c:v>5.1580442430744844</c:v>
                </c:pt>
                <c:pt idx="1225">
                  <c:v>5.1553671607729434</c:v>
                </c:pt>
                <c:pt idx="1226">
                  <c:v>5.1526900784714034</c:v>
                </c:pt>
                <c:pt idx="1227">
                  <c:v>5.1500129961698615</c:v>
                </c:pt>
                <c:pt idx="1228">
                  <c:v>5.1473359138683197</c:v>
                </c:pt>
                <c:pt idx="1229">
                  <c:v>5.1446588315667787</c:v>
                </c:pt>
                <c:pt idx="1230">
                  <c:v>5.1419817492652387</c:v>
                </c:pt>
                <c:pt idx="1231">
                  <c:v>5.1393046669636968</c:v>
                </c:pt>
                <c:pt idx="1232">
                  <c:v>5.136627584662155</c:v>
                </c:pt>
                <c:pt idx="1233">
                  <c:v>5.1339505023606131</c:v>
                </c:pt>
                <c:pt idx="1234">
                  <c:v>5.1312734200590704</c:v>
                </c:pt>
                <c:pt idx="1235">
                  <c:v>5.1285963377575294</c:v>
                </c:pt>
                <c:pt idx="1236">
                  <c:v>5.1259192554559911</c:v>
                </c:pt>
                <c:pt idx="1237">
                  <c:v>5.1232421731544502</c:v>
                </c:pt>
                <c:pt idx="1238">
                  <c:v>5.1205650908529057</c:v>
                </c:pt>
                <c:pt idx="1239">
                  <c:v>5.1178880085513683</c:v>
                </c:pt>
                <c:pt idx="1240">
                  <c:v>5.1152109262498247</c:v>
                </c:pt>
                <c:pt idx="1241">
                  <c:v>5.1125338439482837</c:v>
                </c:pt>
                <c:pt idx="1242">
                  <c:v>5.1098567616467427</c:v>
                </c:pt>
                <c:pt idx="1243">
                  <c:v>5.1071796793452027</c:v>
                </c:pt>
                <c:pt idx="1244">
                  <c:v>5.1045025970436617</c:v>
                </c:pt>
                <c:pt idx="1245">
                  <c:v>5.101825514742119</c:v>
                </c:pt>
                <c:pt idx="1246">
                  <c:v>5.099148432440578</c:v>
                </c:pt>
                <c:pt idx="1247">
                  <c:v>5.0964713501390371</c:v>
                </c:pt>
                <c:pt idx="1248">
                  <c:v>5.093794267837497</c:v>
                </c:pt>
                <c:pt idx="1249">
                  <c:v>5.0911171855359543</c:v>
                </c:pt>
                <c:pt idx="1250">
                  <c:v>5.0884401032344151</c:v>
                </c:pt>
                <c:pt idx="1251">
                  <c:v>5.0857630209328732</c:v>
                </c:pt>
                <c:pt idx="1252">
                  <c:v>5.0830859386313314</c:v>
                </c:pt>
                <c:pt idx="1253">
                  <c:v>5.0804088563297887</c:v>
                </c:pt>
                <c:pt idx="1254">
                  <c:v>5.0777317740282477</c:v>
                </c:pt>
                <c:pt idx="1255">
                  <c:v>5.0750546917267076</c:v>
                </c:pt>
                <c:pt idx="1256">
                  <c:v>5.0723776094251658</c:v>
                </c:pt>
                <c:pt idx="1257">
                  <c:v>5.069700527123624</c:v>
                </c:pt>
                <c:pt idx="1258">
                  <c:v>5.0670234448220839</c:v>
                </c:pt>
                <c:pt idx="1259">
                  <c:v>5.0643463625205438</c:v>
                </c:pt>
                <c:pt idx="1260">
                  <c:v>5.0616692802190029</c:v>
                </c:pt>
                <c:pt idx="1261">
                  <c:v>5.0589921979174592</c:v>
                </c:pt>
                <c:pt idx="1262">
                  <c:v>5.0563151156159183</c:v>
                </c:pt>
                <c:pt idx="1263">
                  <c:v>5.0536380333143773</c:v>
                </c:pt>
                <c:pt idx="1264">
                  <c:v>5.0509609510128355</c:v>
                </c:pt>
                <c:pt idx="1265">
                  <c:v>5.0482838687112945</c:v>
                </c:pt>
                <c:pt idx="1266">
                  <c:v>5.0456067864097545</c:v>
                </c:pt>
                <c:pt idx="1267">
                  <c:v>5.0429297041082126</c:v>
                </c:pt>
                <c:pt idx="1268">
                  <c:v>5.0402526218066717</c:v>
                </c:pt>
                <c:pt idx="1269">
                  <c:v>5.0375755395051307</c:v>
                </c:pt>
                <c:pt idx="1270">
                  <c:v>5.0348984572035898</c:v>
                </c:pt>
                <c:pt idx="1271">
                  <c:v>5.0322213749020488</c:v>
                </c:pt>
                <c:pt idx="1272">
                  <c:v>5.0295442926005061</c:v>
                </c:pt>
                <c:pt idx="1273">
                  <c:v>5.026867210298966</c:v>
                </c:pt>
                <c:pt idx="1274">
                  <c:v>5.0241901279974241</c:v>
                </c:pt>
                <c:pt idx="1275">
                  <c:v>5.021513045695885</c:v>
                </c:pt>
                <c:pt idx="1276">
                  <c:v>5.0188359633943413</c:v>
                </c:pt>
                <c:pt idx="1277">
                  <c:v>5.0161588810928004</c:v>
                </c:pt>
                <c:pt idx="1278">
                  <c:v>5.0134817987912594</c:v>
                </c:pt>
                <c:pt idx="1279">
                  <c:v>5.0108047164897185</c:v>
                </c:pt>
                <c:pt idx="1280">
                  <c:v>5.0081276341881775</c:v>
                </c:pt>
                <c:pt idx="1281">
                  <c:v>5.0054505518866375</c:v>
                </c:pt>
                <c:pt idx="1282">
                  <c:v>5.0027734695850956</c:v>
                </c:pt>
                <c:pt idx="1283">
                  <c:v>5.0000963872835538</c:v>
                </c:pt>
                <c:pt idx="1284">
                  <c:v>4.9974193049820137</c:v>
                </c:pt>
                <c:pt idx="1285">
                  <c:v>4.9947422226804727</c:v>
                </c:pt>
                <c:pt idx="1286">
                  <c:v>4.99206514037893</c:v>
                </c:pt>
                <c:pt idx="1287">
                  <c:v>4.9893880580773899</c:v>
                </c:pt>
                <c:pt idx="1288">
                  <c:v>4.9867109757758472</c:v>
                </c:pt>
                <c:pt idx="1289">
                  <c:v>4.9840338934743063</c:v>
                </c:pt>
                <c:pt idx="1290">
                  <c:v>4.9813568111727644</c:v>
                </c:pt>
                <c:pt idx="1291">
                  <c:v>4.9786797288712243</c:v>
                </c:pt>
                <c:pt idx="1292">
                  <c:v>4.9760026465696834</c:v>
                </c:pt>
                <c:pt idx="1293">
                  <c:v>4.9733255642681415</c:v>
                </c:pt>
                <c:pt idx="1294">
                  <c:v>4.9706484819666006</c:v>
                </c:pt>
                <c:pt idx="1295">
                  <c:v>4.967971399665057</c:v>
                </c:pt>
                <c:pt idx="1296">
                  <c:v>4.9652943173635187</c:v>
                </c:pt>
                <c:pt idx="1297">
                  <c:v>4.9626172350619777</c:v>
                </c:pt>
                <c:pt idx="1298">
                  <c:v>4.9599401527604359</c:v>
                </c:pt>
                <c:pt idx="1299">
                  <c:v>4.9572630704588949</c:v>
                </c:pt>
                <c:pt idx="1300">
                  <c:v>4.9545859881573522</c:v>
                </c:pt>
                <c:pt idx="1301">
                  <c:v>4.951908905855813</c:v>
                </c:pt>
                <c:pt idx="1302">
                  <c:v>4.9492318235542712</c:v>
                </c:pt>
                <c:pt idx="1303">
                  <c:v>4.9465547412527302</c:v>
                </c:pt>
                <c:pt idx="1304">
                  <c:v>4.9438776589511884</c:v>
                </c:pt>
                <c:pt idx="1305">
                  <c:v>4.9412005766496474</c:v>
                </c:pt>
                <c:pt idx="1306">
                  <c:v>4.9385234943481056</c:v>
                </c:pt>
                <c:pt idx="1307">
                  <c:v>5.2325449174869387</c:v>
                </c:pt>
                <c:pt idx="1308">
                  <c:v>5.229867835185396</c:v>
                </c:pt>
                <c:pt idx="1309">
                  <c:v>5.2271907528838533</c:v>
                </c:pt>
                <c:pt idx="1310">
                  <c:v>5.2245136705823114</c:v>
                </c:pt>
                <c:pt idx="1311">
                  <c:v>5.2218365882807696</c:v>
                </c:pt>
                <c:pt idx="1312">
                  <c:v>5.2191595059792295</c:v>
                </c:pt>
                <c:pt idx="1313">
                  <c:v>5.2164824236776877</c:v>
                </c:pt>
                <c:pt idx="1314">
                  <c:v>5.2138053413761476</c:v>
                </c:pt>
                <c:pt idx="1315">
                  <c:v>5.2111282590746066</c:v>
                </c:pt>
                <c:pt idx="1316">
                  <c:v>5.2084511767730648</c:v>
                </c:pt>
                <c:pt idx="1317">
                  <c:v>5.2057740944715247</c:v>
                </c:pt>
                <c:pt idx="1318">
                  <c:v>5.2030970121699829</c:v>
                </c:pt>
                <c:pt idx="1319">
                  <c:v>5.2004199298684419</c:v>
                </c:pt>
                <c:pt idx="1320">
                  <c:v>5.197742847566901</c:v>
                </c:pt>
                <c:pt idx="1321">
                  <c:v>5.1950657652653591</c:v>
                </c:pt>
                <c:pt idx="1322">
                  <c:v>5.1923886829638182</c:v>
                </c:pt>
                <c:pt idx="1323">
                  <c:v>5.1897116006622763</c:v>
                </c:pt>
                <c:pt idx="1324">
                  <c:v>5.1870345183607363</c:v>
                </c:pt>
                <c:pt idx="1325">
                  <c:v>5.1843574360591935</c:v>
                </c:pt>
                <c:pt idx="1326">
                  <c:v>5.1816803537576526</c:v>
                </c:pt>
                <c:pt idx="1327">
                  <c:v>5.1790032714561107</c:v>
                </c:pt>
                <c:pt idx="1328">
                  <c:v>5.1763261891545715</c:v>
                </c:pt>
                <c:pt idx="1329">
                  <c:v>5.1736491068530306</c:v>
                </c:pt>
                <c:pt idx="1330">
                  <c:v>5.1709720245514887</c:v>
                </c:pt>
                <c:pt idx="1331">
                  <c:v>5.1682949422499469</c:v>
                </c:pt>
                <c:pt idx="1332">
                  <c:v>5.1656178599484068</c:v>
                </c:pt>
                <c:pt idx="1333">
                  <c:v>5.162940777646865</c:v>
                </c:pt>
                <c:pt idx="1334">
                  <c:v>5.1602636953453231</c:v>
                </c:pt>
                <c:pt idx="1335">
                  <c:v>5.1575866130437822</c:v>
                </c:pt>
                <c:pt idx="1336">
                  <c:v>5.154909530742243</c:v>
                </c:pt>
                <c:pt idx="1337">
                  <c:v>5.1522324484406994</c:v>
                </c:pt>
                <c:pt idx="1338">
                  <c:v>5.1495553661391602</c:v>
                </c:pt>
                <c:pt idx="1339">
                  <c:v>5.1468782838376184</c:v>
                </c:pt>
                <c:pt idx="1340">
                  <c:v>5.1442012015360783</c:v>
                </c:pt>
                <c:pt idx="1341">
                  <c:v>5.1415241192345338</c:v>
                </c:pt>
                <c:pt idx="1342">
                  <c:v>5.1388470369329946</c:v>
                </c:pt>
                <c:pt idx="1343">
                  <c:v>5.1361699546314536</c:v>
                </c:pt>
                <c:pt idx="1344">
                  <c:v>5.1334928723299127</c:v>
                </c:pt>
                <c:pt idx="1345">
                  <c:v>5.13081579002837</c:v>
                </c:pt>
                <c:pt idx="1346">
                  <c:v>5.1281387077268317</c:v>
                </c:pt>
                <c:pt idx="1347">
                  <c:v>5.125461625425288</c:v>
                </c:pt>
                <c:pt idx="1348">
                  <c:v>5.122784543123748</c:v>
                </c:pt>
                <c:pt idx="1349">
                  <c:v>5.1201074608222061</c:v>
                </c:pt>
                <c:pt idx="1350">
                  <c:v>5.1174303785206643</c:v>
                </c:pt>
                <c:pt idx="1351">
                  <c:v>5.1147532962191224</c:v>
                </c:pt>
                <c:pt idx="1352">
                  <c:v>5.1120762139175833</c:v>
                </c:pt>
                <c:pt idx="1353">
                  <c:v>5.1093991316160396</c:v>
                </c:pt>
                <c:pt idx="1354">
                  <c:v>5.1067220493144987</c:v>
                </c:pt>
                <c:pt idx="1355">
                  <c:v>5.1040449670129577</c:v>
                </c:pt>
                <c:pt idx="1356">
                  <c:v>5.1013678847114168</c:v>
                </c:pt>
                <c:pt idx="1357">
                  <c:v>5.0986908024098767</c:v>
                </c:pt>
                <c:pt idx="1358">
                  <c:v>5.0960137201083358</c:v>
                </c:pt>
                <c:pt idx="1359">
                  <c:v>5.0933366378067939</c:v>
                </c:pt>
                <c:pt idx="1360">
                  <c:v>5.0906595555052547</c:v>
                </c:pt>
                <c:pt idx="1361">
                  <c:v>5.0879824732037111</c:v>
                </c:pt>
                <c:pt idx="1362">
                  <c:v>5.0853053909021702</c:v>
                </c:pt>
                <c:pt idx="1363">
                  <c:v>5.0826283086006301</c:v>
                </c:pt>
                <c:pt idx="1364">
                  <c:v>5.0799512262990874</c:v>
                </c:pt>
                <c:pt idx="1365">
                  <c:v>5.0772741439975464</c:v>
                </c:pt>
                <c:pt idx="1366">
                  <c:v>5.0745970616960054</c:v>
                </c:pt>
                <c:pt idx="1367">
                  <c:v>5.0719199793944636</c:v>
                </c:pt>
                <c:pt idx="1368">
                  <c:v>5.0692428970929226</c:v>
                </c:pt>
                <c:pt idx="1369">
                  <c:v>5.0665658147913826</c:v>
                </c:pt>
                <c:pt idx="1370">
                  <c:v>5.0638887324898407</c:v>
                </c:pt>
                <c:pt idx="1371">
                  <c:v>5.0612116501883007</c:v>
                </c:pt>
                <c:pt idx="1372">
                  <c:v>5.0585345678867597</c:v>
                </c:pt>
                <c:pt idx="1373">
                  <c:v>5.055857485585217</c:v>
                </c:pt>
                <c:pt idx="1374">
                  <c:v>5.0531804032836769</c:v>
                </c:pt>
                <c:pt idx="1375">
                  <c:v>5.0505033209821333</c:v>
                </c:pt>
                <c:pt idx="1376">
                  <c:v>5.0478262386805923</c:v>
                </c:pt>
                <c:pt idx="1377">
                  <c:v>5.0451491563790514</c:v>
                </c:pt>
                <c:pt idx="1378">
                  <c:v>5.0424720740775113</c:v>
                </c:pt>
                <c:pt idx="1379">
                  <c:v>5.0397949917759695</c:v>
                </c:pt>
                <c:pt idx="1380">
                  <c:v>5.0371179094744294</c:v>
                </c:pt>
                <c:pt idx="1381">
                  <c:v>5.0344408271728867</c:v>
                </c:pt>
                <c:pt idx="1382">
                  <c:v>5.0317637448713466</c:v>
                </c:pt>
                <c:pt idx="1383">
                  <c:v>5.0290866625698065</c:v>
                </c:pt>
                <c:pt idx="1384">
                  <c:v>5.0264095802682647</c:v>
                </c:pt>
                <c:pt idx="1385">
                  <c:v>5.0237324979667228</c:v>
                </c:pt>
                <c:pt idx="1386">
                  <c:v>5.0210554156651801</c:v>
                </c:pt>
                <c:pt idx="1387">
                  <c:v>5.0183783333636418</c:v>
                </c:pt>
                <c:pt idx="1388">
                  <c:v>5.0157012510620982</c:v>
                </c:pt>
                <c:pt idx="1389">
                  <c:v>5.0130241687605581</c:v>
                </c:pt>
                <c:pt idx="1390">
                  <c:v>5.0103470864590172</c:v>
                </c:pt>
                <c:pt idx="1391">
                  <c:v>5.0076700041574762</c:v>
                </c:pt>
                <c:pt idx="1392">
                  <c:v>5.0049929218559344</c:v>
                </c:pt>
                <c:pt idx="1393">
                  <c:v>5.0023158395543925</c:v>
                </c:pt>
                <c:pt idx="1394">
                  <c:v>4.9996387572528525</c:v>
                </c:pt>
                <c:pt idx="1395">
                  <c:v>4.9969616749513106</c:v>
                </c:pt>
                <c:pt idx="1396">
                  <c:v>4.9942845926497688</c:v>
                </c:pt>
                <c:pt idx="1397">
                  <c:v>4.9916075103482287</c:v>
                </c:pt>
                <c:pt idx="1398">
                  <c:v>4.9889304280466877</c:v>
                </c:pt>
                <c:pt idx="1399">
                  <c:v>4.9862533457451459</c:v>
                </c:pt>
                <c:pt idx="1400">
                  <c:v>4.983576263443604</c:v>
                </c:pt>
                <c:pt idx="1401">
                  <c:v>4.9808991811420658</c:v>
                </c:pt>
                <c:pt idx="1402">
                  <c:v>4.9782220988405221</c:v>
                </c:pt>
                <c:pt idx="1403">
                  <c:v>4.9755450165389812</c:v>
                </c:pt>
                <c:pt idx="1404">
                  <c:v>4.9728679342374384</c:v>
                </c:pt>
                <c:pt idx="1405">
                  <c:v>4.9701908519358993</c:v>
                </c:pt>
                <c:pt idx="1406">
                  <c:v>4.9675137696343574</c:v>
                </c:pt>
                <c:pt idx="1407">
                  <c:v>4.9648366873328182</c:v>
                </c:pt>
                <c:pt idx="1408">
                  <c:v>4.9621596050312746</c:v>
                </c:pt>
                <c:pt idx="1409">
                  <c:v>4.9594825227297354</c:v>
                </c:pt>
                <c:pt idx="1410">
                  <c:v>4.9568054404281927</c:v>
                </c:pt>
                <c:pt idx="1411">
                  <c:v>4.9541283581266526</c:v>
                </c:pt>
                <c:pt idx="1412">
                  <c:v>4.9514512758251108</c:v>
                </c:pt>
                <c:pt idx="1413">
                  <c:v>4.9487741935235698</c:v>
                </c:pt>
                <c:pt idx="1414">
                  <c:v>4.946097111222028</c:v>
                </c:pt>
                <c:pt idx="1415">
                  <c:v>4.9434200289204862</c:v>
                </c:pt>
                <c:pt idx="1416">
                  <c:v>4.9407429466189461</c:v>
                </c:pt>
                <c:pt idx="1417">
                  <c:v>4.9380658643174042</c:v>
                </c:pt>
                <c:pt idx="1418">
                  <c:v>4.9353887820158633</c:v>
                </c:pt>
                <c:pt idx="1419">
                  <c:v>4.9327116997143214</c:v>
                </c:pt>
                <c:pt idx="1420">
                  <c:v>4.9300346174127823</c:v>
                </c:pt>
                <c:pt idx="1421">
                  <c:v>4.9273575351112395</c:v>
                </c:pt>
                <c:pt idx="1422">
                  <c:v>4.9246804528096986</c:v>
                </c:pt>
                <c:pt idx="1423">
                  <c:v>4.9220033705081585</c:v>
                </c:pt>
                <c:pt idx="1424">
                  <c:v>4.9193262882066149</c:v>
                </c:pt>
                <c:pt idx="1425">
                  <c:v>4.9166492059050757</c:v>
                </c:pt>
                <c:pt idx="1426">
                  <c:v>4.9139721236035339</c:v>
                </c:pt>
                <c:pt idx="1427">
                  <c:v>4.9112950413019929</c:v>
                </c:pt>
                <c:pt idx="1428">
                  <c:v>4.9086179590004519</c:v>
                </c:pt>
                <c:pt idx="1429">
                  <c:v>4.9059408766989101</c:v>
                </c:pt>
                <c:pt idx="1430">
                  <c:v>4.9032637943973683</c:v>
                </c:pt>
                <c:pt idx="1431">
                  <c:v>4.9005867120958291</c:v>
                </c:pt>
                <c:pt idx="1432">
                  <c:v>4.8979096297942863</c:v>
                </c:pt>
                <c:pt idx="1433">
                  <c:v>4.8952325474927454</c:v>
                </c:pt>
                <c:pt idx="1434">
                  <c:v>4.8925554651912044</c:v>
                </c:pt>
                <c:pt idx="1435">
                  <c:v>4.8898783828896626</c:v>
                </c:pt>
                <c:pt idx="1436">
                  <c:v>4.8872013005881225</c:v>
                </c:pt>
                <c:pt idx="1437">
                  <c:v>4.8845242182865807</c:v>
                </c:pt>
                <c:pt idx="1438">
                  <c:v>4.8818471359850406</c:v>
                </c:pt>
                <c:pt idx="1439">
                  <c:v>4.8791700536834997</c:v>
                </c:pt>
                <c:pt idx="1440">
                  <c:v>4.8764929713819578</c:v>
                </c:pt>
                <c:pt idx="1441">
                  <c:v>4.8738158890804169</c:v>
                </c:pt>
                <c:pt idx="1442">
                  <c:v>4.8711388067788759</c:v>
                </c:pt>
                <c:pt idx="1443">
                  <c:v>4.8684617244773341</c:v>
                </c:pt>
                <c:pt idx="1444">
                  <c:v>4.8657846421757913</c:v>
                </c:pt>
                <c:pt idx="1445">
                  <c:v>4.8631075598742495</c:v>
                </c:pt>
                <c:pt idx="1446">
                  <c:v>4.8604304775727103</c:v>
                </c:pt>
                <c:pt idx="1447">
                  <c:v>4.8577533952711685</c:v>
                </c:pt>
                <c:pt idx="1448">
                  <c:v>4.8550763129696275</c:v>
                </c:pt>
                <c:pt idx="1449">
                  <c:v>4.8523992306680865</c:v>
                </c:pt>
                <c:pt idx="1450">
                  <c:v>4.8497221483665447</c:v>
                </c:pt>
                <c:pt idx="1451">
                  <c:v>4.8470450660650037</c:v>
                </c:pt>
                <c:pt idx="1452">
                  <c:v>4.8443679837634628</c:v>
                </c:pt>
                <c:pt idx="1453">
                  <c:v>4.8416909014619218</c:v>
                </c:pt>
                <c:pt idx="1454">
                  <c:v>4.8390138191603818</c:v>
                </c:pt>
                <c:pt idx="1455">
                  <c:v>4.836336736858839</c:v>
                </c:pt>
                <c:pt idx="1456">
                  <c:v>4.8336596545572963</c:v>
                </c:pt>
                <c:pt idx="1457">
                  <c:v>4.8309825722557571</c:v>
                </c:pt>
                <c:pt idx="1458">
                  <c:v>4.8283054899542153</c:v>
                </c:pt>
                <c:pt idx="1459">
                  <c:v>4.8256284076526734</c:v>
                </c:pt>
                <c:pt idx="1460">
                  <c:v>4.8229513253511334</c:v>
                </c:pt>
                <c:pt idx="1461">
                  <c:v>4.8202742430495915</c:v>
                </c:pt>
                <c:pt idx="1462">
                  <c:v>4.8175971607480514</c:v>
                </c:pt>
                <c:pt idx="1463">
                  <c:v>4.8149200784465087</c:v>
                </c:pt>
                <c:pt idx="1464">
                  <c:v>4.8122429961449678</c:v>
                </c:pt>
                <c:pt idx="1465">
                  <c:v>4.8095659138434277</c:v>
                </c:pt>
                <c:pt idx="1466">
                  <c:v>4.8068888315418858</c:v>
                </c:pt>
                <c:pt idx="1467">
                  <c:v>4.8042117492403458</c:v>
                </c:pt>
                <c:pt idx="1468">
                  <c:v>4.8015346669388022</c:v>
                </c:pt>
                <c:pt idx="1469">
                  <c:v>4.798857584637263</c:v>
                </c:pt>
                <c:pt idx="1470">
                  <c:v>4.7961805023357211</c:v>
                </c:pt>
                <c:pt idx="1471">
                  <c:v>4.7935034200341802</c:v>
                </c:pt>
                <c:pt idx="1472">
                  <c:v>4.790826337732641</c:v>
                </c:pt>
                <c:pt idx="1473">
                  <c:v>4.7881492554310974</c:v>
                </c:pt>
                <c:pt idx="1474">
                  <c:v>4.7854721731295573</c:v>
                </c:pt>
                <c:pt idx="1475">
                  <c:v>4.7827950908280155</c:v>
                </c:pt>
                <c:pt idx="1476">
                  <c:v>4.7801180085264745</c:v>
                </c:pt>
                <c:pt idx="1477">
                  <c:v>4.7774409262249327</c:v>
                </c:pt>
                <c:pt idx="1478">
                  <c:v>4.7747638439233908</c:v>
                </c:pt>
                <c:pt idx="1479">
                  <c:v>4.772086761621849</c:v>
                </c:pt>
                <c:pt idx="1480">
                  <c:v>4.7694096793203098</c:v>
                </c:pt>
                <c:pt idx="1481">
                  <c:v>4.7667325970187679</c:v>
                </c:pt>
                <c:pt idx="1482">
                  <c:v>4.764055514717227</c:v>
                </c:pt>
                <c:pt idx="1483">
                  <c:v>4.7613784324156869</c:v>
                </c:pt>
                <c:pt idx="1484">
                  <c:v>4.7587013501141442</c:v>
                </c:pt>
                <c:pt idx="1485">
                  <c:v>4.7560242678126041</c:v>
                </c:pt>
                <c:pt idx="1486">
                  <c:v>4.7533471855110632</c:v>
                </c:pt>
                <c:pt idx="1487">
                  <c:v>4.7506701032095213</c:v>
                </c:pt>
                <c:pt idx="1488">
                  <c:v>4.7479930209079795</c:v>
                </c:pt>
                <c:pt idx="1489">
                  <c:v>4.7453159386064394</c:v>
                </c:pt>
                <c:pt idx="1490">
                  <c:v>5.0374876282783765</c:v>
                </c:pt>
                <c:pt idx="1491">
                  <c:v>5.0348105459768346</c:v>
                </c:pt>
                <c:pt idx="1492">
                  <c:v>5.0321334636752946</c:v>
                </c:pt>
                <c:pt idx="1493">
                  <c:v>5.0294563813737527</c:v>
                </c:pt>
                <c:pt idx="1494">
                  <c:v>5.0267792990722109</c:v>
                </c:pt>
                <c:pt idx="1495">
                  <c:v>5.0241022167706717</c:v>
                </c:pt>
                <c:pt idx="1496">
                  <c:v>5.0214251344691307</c:v>
                </c:pt>
                <c:pt idx="1497">
                  <c:v>5.0187480521675889</c:v>
                </c:pt>
                <c:pt idx="1498">
                  <c:v>5.0160709698660471</c:v>
                </c:pt>
                <c:pt idx="1499">
                  <c:v>5.013393887564507</c:v>
                </c:pt>
                <c:pt idx="1500">
                  <c:v>5.0107168052629643</c:v>
                </c:pt>
                <c:pt idx="1501">
                  <c:v>5.0080397229614224</c:v>
                </c:pt>
                <c:pt idx="1502">
                  <c:v>5.0053626406598806</c:v>
                </c:pt>
                <c:pt idx="1503">
                  <c:v>5.0026855583583396</c:v>
                </c:pt>
                <c:pt idx="1504">
                  <c:v>5.0000084760568004</c:v>
                </c:pt>
                <c:pt idx="1505">
                  <c:v>4.9973313937552577</c:v>
                </c:pt>
                <c:pt idx="1506">
                  <c:v>4.9946543114537176</c:v>
                </c:pt>
                <c:pt idx="1507">
                  <c:v>4.9919772291521767</c:v>
                </c:pt>
                <c:pt idx="1508">
                  <c:v>4.9893001468506366</c:v>
                </c:pt>
                <c:pt idx="1509">
                  <c:v>4.9866230645490939</c:v>
                </c:pt>
                <c:pt idx="1510">
                  <c:v>4.9839459822475529</c:v>
                </c:pt>
                <c:pt idx="1511">
                  <c:v>4.981268899946012</c:v>
                </c:pt>
                <c:pt idx="1512">
                  <c:v>4.9785918176444701</c:v>
                </c:pt>
                <c:pt idx="1513">
                  <c:v>4.9759147353429283</c:v>
                </c:pt>
                <c:pt idx="1514">
                  <c:v>4.9732376530413882</c:v>
                </c:pt>
                <c:pt idx="1515">
                  <c:v>4.9705605707398473</c:v>
                </c:pt>
                <c:pt idx="1516">
                  <c:v>4.9678834884383054</c:v>
                </c:pt>
                <c:pt idx="1517">
                  <c:v>4.9652064061367644</c:v>
                </c:pt>
                <c:pt idx="1518">
                  <c:v>4.9625293238352217</c:v>
                </c:pt>
                <c:pt idx="1519">
                  <c:v>4.9598522415336825</c:v>
                </c:pt>
                <c:pt idx="1520">
                  <c:v>4.9571751592321416</c:v>
                </c:pt>
                <c:pt idx="1521">
                  <c:v>4.9544980769305997</c:v>
                </c:pt>
                <c:pt idx="1522">
                  <c:v>4.9518209946290579</c:v>
                </c:pt>
                <c:pt idx="1523">
                  <c:v>4.9491439123275169</c:v>
                </c:pt>
                <c:pt idx="1524">
                  <c:v>4.9464668300259769</c:v>
                </c:pt>
                <c:pt idx="1525">
                  <c:v>4.9437897477244359</c:v>
                </c:pt>
                <c:pt idx="1526">
                  <c:v>4.9411126654228923</c:v>
                </c:pt>
                <c:pt idx="1527">
                  <c:v>4.938435583121354</c:v>
                </c:pt>
                <c:pt idx="1528">
                  <c:v>4.9357585008198104</c:v>
                </c:pt>
                <c:pt idx="1529">
                  <c:v>4.9330814185182685</c:v>
                </c:pt>
                <c:pt idx="1530">
                  <c:v>4.9304043362167285</c:v>
                </c:pt>
                <c:pt idx="1531">
                  <c:v>4.9277272539151875</c:v>
                </c:pt>
                <c:pt idx="1532">
                  <c:v>4.9250501716136466</c:v>
                </c:pt>
                <c:pt idx="1533">
                  <c:v>4.9223730893121056</c:v>
                </c:pt>
                <c:pt idx="1534">
                  <c:v>4.9196960070105629</c:v>
                </c:pt>
                <c:pt idx="1535">
                  <c:v>4.9170189247090237</c:v>
                </c:pt>
                <c:pt idx="1536">
                  <c:v>4.9143418424074818</c:v>
                </c:pt>
                <c:pt idx="1537">
                  <c:v>4.9116647601059409</c:v>
                </c:pt>
                <c:pt idx="1538">
                  <c:v>4.9089876778043999</c:v>
                </c:pt>
                <c:pt idx="1539">
                  <c:v>4.9063105955028572</c:v>
                </c:pt>
                <c:pt idx="1540">
                  <c:v>4.903633513201318</c:v>
                </c:pt>
                <c:pt idx="1541">
                  <c:v>4.9009564308997762</c:v>
                </c:pt>
                <c:pt idx="1542">
                  <c:v>4.8982793485982343</c:v>
                </c:pt>
                <c:pt idx="1543">
                  <c:v>4.8956022662966943</c:v>
                </c:pt>
                <c:pt idx="1544">
                  <c:v>4.8929251839951524</c:v>
                </c:pt>
                <c:pt idx="1545">
                  <c:v>4.8902481016936106</c:v>
                </c:pt>
                <c:pt idx="1546">
                  <c:v>4.8875710193920714</c:v>
                </c:pt>
                <c:pt idx="1547">
                  <c:v>4.8848939370905295</c:v>
                </c:pt>
                <c:pt idx="1548">
                  <c:v>4.8822168547889877</c:v>
                </c:pt>
                <c:pt idx="1549">
                  <c:v>4.8795397724874467</c:v>
                </c:pt>
                <c:pt idx="1550">
                  <c:v>4.8768626901859049</c:v>
                </c:pt>
                <c:pt idx="1551">
                  <c:v>4.8741856078843639</c:v>
                </c:pt>
                <c:pt idx="1552">
                  <c:v>4.8715085255828221</c:v>
                </c:pt>
                <c:pt idx="1553">
                  <c:v>4.868831443281282</c:v>
                </c:pt>
                <c:pt idx="1554">
                  <c:v>4.8661543609797411</c:v>
                </c:pt>
                <c:pt idx="1555">
                  <c:v>4.8634772786781983</c:v>
                </c:pt>
                <c:pt idx="1556">
                  <c:v>4.8608001963766583</c:v>
                </c:pt>
                <c:pt idx="1557">
                  <c:v>4.8581231140751164</c:v>
                </c:pt>
                <c:pt idx="1558">
                  <c:v>4.8554460317735755</c:v>
                </c:pt>
                <c:pt idx="1559">
                  <c:v>4.8527689494720327</c:v>
                </c:pt>
                <c:pt idx="1560">
                  <c:v>4.8500918671704945</c:v>
                </c:pt>
                <c:pt idx="1561">
                  <c:v>4.8474147848689517</c:v>
                </c:pt>
                <c:pt idx="1562">
                  <c:v>4.8447377025674108</c:v>
                </c:pt>
                <c:pt idx="1563">
                  <c:v>4.8420606202658698</c:v>
                </c:pt>
                <c:pt idx="1564">
                  <c:v>4.839383537964328</c:v>
                </c:pt>
                <c:pt idx="1565">
                  <c:v>4.8367064556627879</c:v>
                </c:pt>
                <c:pt idx="1566">
                  <c:v>4.8340293733612461</c:v>
                </c:pt>
                <c:pt idx="1567">
                  <c:v>4.8313522910597042</c:v>
                </c:pt>
                <c:pt idx="1568">
                  <c:v>4.8286752087581633</c:v>
                </c:pt>
                <c:pt idx="1569">
                  <c:v>4.8259981264566214</c:v>
                </c:pt>
                <c:pt idx="1570">
                  <c:v>4.8233210441550813</c:v>
                </c:pt>
                <c:pt idx="1571">
                  <c:v>4.8206439618535386</c:v>
                </c:pt>
                <c:pt idx="1572">
                  <c:v>4.8179668795519994</c:v>
                </c:pt>
                <c:pt idx="1573">
                  <c:v>4.8152897972504576</c:v>
                </c:pt>
                <c:pt idx="1574">
                  <c:v>4.8126127149489166</c:v>
                </c:pt>
                <c:pt idx="1575">
                  <c:v>4.8099356326473748</c:v>
                </c:pt>
                <c:pt idx="1576">
                  <c:v>4.8072585503458347</c:v>
                </c:pt>
                <c:pt idx="1577">
                  <c:v>4.8045814680442938</c:v>
                </c:pt>
                <c:pt idx="1578">
                  <c:v>4.8019043857427528</c:v>
                </c:pt>
                <c:pt idx="1579">
                  <c:v>4.7992273034412101</c:v>
                </c:pt>
                <c:pt idx="1580">
                  <c:v>4.79655022113967</c:v>
                </c:pt>
                <c:pt idx="1581">
                  <c:v>4.7938731388381264</c:v>
                </c:pt>
                <c:pt idx="1582">
                  <c:v>4.7911960565365863</c:v>
                </c:pt>
                <c:pt idx="1583">
                  <c:v>4.7885189742350445</c:v>
                </c:pt>
                <c:pt idx="1584">
                  <c:v>4.7858418919335044</c:v>
                </c:pt>
                <c:pt idx="1585">
                  <c:v>4.7831648096319626</c:v>
                </c:pt>
                <c:pt idx="1586">
                  <c:v>4.7804877273304216</c:v>
                </c:pt>
                <c:pt idx="1587">
                  <c:v>4.7778106450288806</c:v>
                </c:pt>
                <c:pt idx="1588">
                  <c:v>4.7751335627273397</c:v>
                </c:pt>
                <c:pt idx="1589">
                  <c:v>4.7724564804257978</c:v>
                </c:pt>
                <c:pt idx="1590">
                  <c:v>4.7697793981242596</c:v>
                </c:pt>
                <c:pt idx="1591">
                  <c:v>4.7671023158227177</c:v>
                </c:pt>
                <c:pt idx="1592">
                  <c:v>4.764425233521175</c:v>
                </c:pt>
                <c:pt idx="1593">
                  <c:v>4.761748151219634</c:v>
                </c:pt>
                <c:pt idx="1594">
                  <c:v>4.7590710689180931</c:v>
                </c:pt>
                <c:pt idx="1595">
                  <c:v>4.756393986616553</c:v>
                </c:pt>
                <c:pt idx="1596">
                  <c:v>4.7537169043150085</c:v>
                </c:pt>
                <c:pt idx="1597">
                  <c:v>4.7510398220134693</c:v>
                </c:pt>
                <c:pt idx="1598">
                  <c:v>4.7483627397119275</c:v>
                </c:pt>
                <c:pt idx="1599">
                  <c:v>4.7456856574103865</c:v>
                </c:pt>
                <c:pt idx="1600">
                  <c:v>4.7430085751088438</c:v>
                </c:pt>
                <c:pt idx="1601">
                  <c:v>4.7403314928073046</c:v>
                </c:pt>
                <c:pt idx="1602">
                  <c:v>4.7376544105057636</c:v>
                </c:pt>
                <c:pt idx="1603">
                  <c:v>4.7349773282042209</c:v>
                </c:pt>
                <c:pt idx="1604">
                  <c:v>4.7323002459026826</c:v>
                </c:pt>
                <c:pt idx="1605">
                  <c:v>4.7296231636011399</c:v>
                </c:pt>
                <c:pt idx="1606">
                  <c:v>4.7269460812995971</c:v>
                </c:pt>
                <c:pt idx="1607">
                  <c:v>4.7242689989980571</c:v>
                </c:pt>
                <c:pt idx="1608">
                  <c:v>4.721591916696517</c:v>
                </c:pt>
                <c:pt idx="1609">
                  <c:v>4.7189148343949743</c:v>
                </c:pt>
                <c:pt idx="1610">
                  <c:v>4.7162377520934324</c:v>
                </c:pt>
                <c:pt idx="1611">
                  <c:v>4.7135606697918924</c:v>
                </c:pt>
                <c:pt idx="1612">
                  <c:v>4.7108835874903523</c:v>
                </c:pt>
                <c:pt idx="1613">
                  <c:v>4.7082065051888087</c:v>
                </c:pt>
                <c:pt idx="1614">
                  <c:v>4.7055294228872677</c:v>
                </c:pt>
                <c:pt idx="1615">
                  <c:v>4.7028523405857268</c:v>
                </c:pt>
                <c:pt idx="1616">
                  <c:v>4.7001752582841867</c:v>
                </c:pt>
                <c:pt idx="1617">
                  <c:v>4.6974981759826449</c:v>
                </c:pt>
                <c:pt idx="1618">
                  <c:v>4.6948210936811039</c:v>
                </c:pt>
                <c:pt idx="1619">
                  <c:v>4.6921440113795621</c:v>
                </c:pt>
                <c:pt idx="1620">
                  <c:v>4.6894669290780211</c:v>
                </c:pt>
                <c:pt idx="1621">
                  <c:v>4.6867898467764793</c:v>
                </c:pt>
                <c:pt idx="1622">
                  <c:v>4.6841127644749374</c:v>
                </c:pt>
                <c:pt idx="1623">
                  <c:v>4.6814356821733973</c:v>
                </c:pt>
                <c:pt idx="1624">
                  <c:v>4.6787585998718546</c:v>
                </c:pt>
                <c:pt idx="1625">
                  <c:v>4.6760815175703154</c:v>
                </c:pt>
                <c:pt idx="1626">
                  <c:v>4.6734044352687745</c:v>
                </c:pt>
                <c:pt idx="1627">
                  <c:v>4.6707273529672335</c:v>
                </c:pt>
                <c:pt idx="1628">
                  <c:v>4.6680502706656926</c:v>
                </c:pt>
                <c:pt idx="1629">
                  <c:v>4.6653731883641507</c:v>
                </c:pt>
                <c:pt idx="1630">
                  <c:v>4.6626961060626089</c:v>
                </c:pt>
                <c:pt idx="1631">
                  <c:v>4.660019023761067</c:v>
                </c:pt>
                <c:pt idx="1632">
                  <c:v>4.657341941459527</c:v>
                </c:pt>
                <c:pt idx="1633">
                  <c:v>4.6546648591579851</c:v>
                </c:pt>
                <c:pt idx="1634">
                  <c:v>4.6519877768564459</c:v>
                </c:pt>
                <c:pt idx="1635">
                  <c:v>4.6493106945549032</c:v>
                </c:pt>
                <c:pt idx="1636">
                  <c:v>4.6466336122533622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F5-4ACF-9E19-8EB3FA0ED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3517407"/>
        <c:axId val="1690488687"/>
      </c:lineChart>
      <c:dateAx>
        <c:axId val="169351740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0488687"/>
        <c:crosses val="autoZero"/>
        <c:auto val="1"/>
        <c:lblOffset val="100"/>
        <c:baseTimeUnit val="days"/>
      </c:dateAx>
      <c:valAx>
        <c:axId val="169048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3517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Duracion!$S$4:$S$5512</c:f>
              <c:numCache>
                <c:formatCode>m/d/yyyy</c:formatCode>
                <c:ptCount val="5509"/>
                <c:pt idx="0">
                  <c:v>43054</c:v>
                </c:pt>
                <c:pt idx="1">
                  <c:v>43055</c:v>
                </c:pt>
                <c:pt idx="2">
                  <c:v>43056</c:v>
                </c:pt>
                <c:pt idx="3">
                  <c:v>43057</c:v>
                </c:pt>
                <c:pt idx="4">
                  <c:v>43058</c:v>
                </c:pt>
                <c:pt idx="5">
                  <c:v>43059</c:v>
                </c:pt>
                <c:pt idx="6">
                  <c:v>43060</c:v>
                </c:pt>
                <c:pt idx="7">
                  <c:v>43061</c:v>
                </c:pt>
                <c:pt idx="8">
                  <c:v>43062</c:v>
                </c:pt>
                <c:pt idx="9">
                  <c:v>43063</c:v>
                </c:pt>
                <c:pt idx="10">
                  <c:v>43064</c:v>
                </c:pt>
                <c:pt idx="11">
                  <c:v>43065</c:v>
                </c:pt>
                <c:pt idx="12">
                  <c:v>43066</c:v>
                </c:pt>
                <c:pt idx="13">
                  <c:v>43067</c:v>
                </c:pt>
                <c:pt idx="14">
                  <c:v>43068</c:v>
                </c:pt>
                <c:pt idx="15">
                  <c:v>43069</c:v>
                </c:pt>
                <c:pt idx="16">
                  <c:v>43070</c:v>
                </c:pt>
                <c:pt idx="17">
                  <c:v>43071</c:v>
                </c:pt>
                <c:pt idx="18">
                  <c:v>43072</c:v>
                </c:pt>
                <c:pt idx="19">
                  <c:v>43073</c:v>
                </c:pt>
                <c:pt idx="20">
                  <c:v>43074</c:v>
                </c:pt>
                <c:pt idx="21">
                  <c:v>43075</c:v>
                </c:pt>
                <c:pt idx="22">
                  <c:v>43076</c:v>
                </c:pt>
                <c:pt idx="23">
                  <c:v>43077</c:v>
                </c:pt>
                <c:pt idx="24">
                  <c:v>43078</c:v>
                </c:pt>
                <c:pt idx="25">
                  <c:v>43079</c:v>
                </c:pt>
                <c:pt idx="26">
                  <c:v>43080</c:v>
                </c:pt>
                <c:pt idx="27">
                  <c:v>43081</c:v>
                </c:pt>
                <c:pt idx="28">
                  <c:v>43082</c:v>
                </c:pt>
                <c:pt idx="29">
                  <c:v>43083</c:v>
                </c:pt>
                <c:pt idx="30">
                  <c:v>43084</c:v>
                </c:pt>
                <c:pt idx="31">
                  <c:v>43085</c:v>
                </c:pt>
                <c:pt idx="32">
                  <c:v>43086</c:v>
                </c:pt>
                <c:pt idx="33">
                  <c:v>43087</c:v>
                </c:pt>
                <c:pt idx="34">
                  <c:v>43088</c:v>
                </c:pt>
                <c:pt idx="35">
                  <c:v>43089</c:v>
                </c:pt>
                <c:pt idx="36">
                  <c:v>43090</c:v>
                </c:pt>
                <c:pt idx="37">
                  <c:v>43091</c:v>
                </c:pt>
                <c:pt idx="38">
                  <c:v>43092</c:v>
                </c:pt>
                <c:pt idx="39">
                  <c:v>43093</c:v>
                </c:pt>
                <c:pt idx="40">
                  <c:v>43094</c:v>
                </c:pt>
                <c:pt idx="41">
                  <c:v>43095</c:v>
                </c:pt>
                <c:pt idx="42">
                  <c:v>43096</c:v>
                </c:pt>
                <c:pt idx="43">
                  <c:v>43097</c:v>
                </c:pt>
                <c:pt idx="44">
                  <c:v>43098</c:v>
                </c:pt>
                <c:pt idx="45">
                  <c:v>43099</c:v>
                </c:pt>
                <c:pt idx="46">
                  <c:v>43100</c:v>
                </c:pt>
                <c:pt idx="47">
                  <c:v>43101</c:v>
                </c:pt>
                <c:pt idx="48">
                  <c:v>43102</c:v>
                </c:pt>
                <c:pt idx="49">
                  <c:v>43103</c:v>
                </c:pt>
                <c:pt idx="50">
                  <c:v>43104</c:v>
                </c:pt>
                <c:pt idx="51">
                  <c:v>43105</c:v>
                </c:pt>
                <c:pt idx="52">
                  <c:v>43106</c:v>
                </c:pt>
                <c:pt idx="53">
                  <c:v>43107</c:v>
                </c:pt>
                <c:pt idx="54">
                  <c:v>43108</c:v>
                </c:pt>
                <c:pt idx="55">
                  <c:v>43109</c:v>
                </c:pt>
                <c:pt idx="56">
                  <c:v>43110</c:v>
                </c:pt>
                <c:pt idx="57">
                  <c:v>43111</c:v>
                </c:pt>
                <c:pt idx="58">
                  <c:v>43112</c:v>
                </c:pt>
                <c:pt idx="59">
                  <c:v>43113</c:v>
                </c:pt>
                <c:pt idx="60">
                  <c:v>43114</c:v>
                </c:pt>
                <c:pt idx="61">
                  <c:v>43115</c:v>
                </c:pt>
                <c:pt idx="62">
                  <c:v>43116</c:v>
                </c:pt>
                <c:pt idx="63">
                  <c:v>43117</c:v>
                </c:pt>
                <c:pt idx="64">
                  <c:v>43118</c:v>
                </c:pt>
                <c:pt idx="65">
                  <c:v>43119</c:v>
                </c:pt>
                <c:pt idx="66">
                  <c:v>43120</c:v>
                </c:pt>
                <c:pt idx="67">
                  <c:v>43121</c:v>
                </c:pt>
                <c:pt idx="68">
                  <c:v>43122</c:v>
                </c:pt>
                <c:pt idx="69">
                  <c:v>43123</c:v>
                </c:pt>
                <c:pt idx="70">
                  <c:v>43124</c:v>
                </c:pt>
                <c:pt idx="71">
                  <c:v>43125</c:v>
                </c:pt>
                <c:pt idx="72">
                  <c:v>43126</c:v>
                </c:pt>
                <c:pt idx="73">
                  <c:v>43127</c:v>
                </c:pt>
                <c:pt idx="74">
                  <c:v>43128</c:v>
                </c:pt>
                <c:pt idx="75">
                  <c:v>43129</c:v>
                </c:pt>
                <c:pt idx="76">
                  <c:v>43130</c:v>
                </c:pt>
                <c:pt idx="77">
                  <c:v>43131</c:v>
                </c:pt>
                <c:pt idx="78">
                  <c:v>43132</c:v>
                </c:pt>
                <c:pt idx="79">
                  <c:v>43133</c:v>
                </c:pt>
                <c:pt idx="80">
                  <c:v>43134</c:v>
                </c:pt>
                <c:pt idx="81">
                  <c:v>43135</c:v>
                </c:pt>
                <c:pt idx="82">
                  <c:v>43136</c:v>
                </c:pt>
                <c:pt idx="83">
                  <c:v>43137</c:v>
                </c:pt>
                <c:pt idx="84">
                  <c:v>43138</c:v>
                </c:pt>
                <c:pt idx="85">
                  <c:v>43139</c:v>
                </c:pt>
                <c:pt idx="86">
                  <c:v>43140</c:v>
                </c:pt>
                <c:pt idx="87">
                  <c:v>43141</c:v>
                </c:pt>
                <c:pt idx="88">
                  <c:v>43142</c:v>
                </c:pt>
                <c:pt idx="89">
                  <c:v>43143</c:v>
                </c:pt>
                <c:pt idx="90">
                  <c:v>43144</c:v>
                </c:pt>
                <c:pt idx="91">
                  <c:v>43145</c:v>
                </c:pt>
                <c:pt idx="92">
                  <c:v>43146</c:v>
                </c:pt>
                <c:pt idx="93">
                  <c:v>43147</c:v>
                </c:pt>
                <c:pt idx="94">
                  <c:v>43148</c:v>
                </c:pt>
                <c:pt idx="95">
                  <c:v>43149</c:v>
                </c:pt>
                <c:pt idx="96">
                  <c:v>43150</c:v>
                </c:pt>
                <c:pt idx="97">
                  <c:v>43151</c:v>
                </c:pt>
                <c:pt idx="98">
                  <c:v>43152</c:v>
                </c:pt>
                <c:pt idx="99">
                  <c:v>43153</c:v>
                </c:pt>
                <c:pt idx="100">
                  <c:v>43154</c:v>
                </c:pt>
                <c:pt idx="101">
                  <c:v>43155</c:v>
                </c:pt>
                <c:pt idx="102">
                  <c:v>43156</c:v>
                </c:pt>
                <c:pt idx="103">
                  <c:v>43157</c:v>
                </c:pt>
                <c:pt idx="104">
                  <c:v>43158</c:v>
                </c:pt>
                <c:pt idx="105">
                  <c:v>43159</c:v>
                </c:pt>
                <c:pt idx="106">
                  <c:v>43160</c:v>
                </c:pt>
                <c:pt idx="107">
                  <c:v>43161</c:v>
                </c:pt>
                <c:pt idx="108">
                  <c:v>43162</c:v>
                </c:pt>
                <c:pt idx="109">
                  <c:v>43163</c:v>
                </c:pt>
                <c:pt idx="110">
                  <c:v>43164</c:v>
                </c:pt>
                <c:pt idx="111">
                  <c:v>43165</c:v>
                </c:pt>
                <c:pt idx="112">
                  <c:v>43166</c:v>
                </c:pt>
                <c:pt idx="113">
                  <c:v>43167</c:v>
                </c:pt>
                <c:pt idx="114">
                  <c:v>43168</c:v>
                </c:pt>
                <c:pt idx="115">
                  <c:v>43169</c:v>
                </c:pt>
                <c:pt idx="116">
                  <c:v>43170</c:v>
                </c:pt>
                <c:pt idx="117">
                  <c:v>43171</c:v>
                </c:pt>
                <c:pt idx="118">
                  <c:v>43172</c:v>
                </c:pt>
                <c:pt idx="119">
                  <c:v>43173</c:v>
                </c:pt>
                <c:pt idx="120">
                  <c:v>43174</c:v>
                </c:pt>
                <c:pt idx="121">
                  <c:v>43175</c:v>
                </c:pt>
                <c:pt idx="122">
                  <c:v>43176</c:v>
                </c:pt>
                <c:pt idx="123">
                  <c:v>43177</c:v>
                </c:pt>
                <c:pt idx="124">
                  <c:v>43178</c:v>
                </c:pt>
                <c:pt idx="125">
                  <c:v>43179</c:v>
                </c:pt>
                <c:pt idx="126">
                  <c:v>43180</c:v>
                </c:pt>
                <c:pt idx="127">
                  <c:v>43181</c:v>
                </c:pt>
                <c:pt idx="128">
                  <c:v>43182</c:v>
                </c:pt>
                <c:pt idx="129">
                  <c:v>43183</c:v>
                </c:pt>
                <c:pt idx="130">
                  <c:v>43184</c:v>
                </c:pt>
                <c:pt idx="131">
                  <c:v>43185</c:v>
                </c:pt>
                <c:pt idx="132">
                  <c:v>43186</c:v>
                </c:pt>
                <c:pt idx="133">
                  <c:v>43187</c:v>
                </c:pt>
                <c:pt idx="134">
                  <c:v>43188</c:v>
                </c:pt>
                <c:pt idx="135">
                  <c:v>43189</c:v>
                </c:pt>
                <c:pt idx="136">
                  <c:v>43190</c:v>
                </c:pt>
                <c:pt idx="137">
                  <c:v>43191</c:v>
                </c:pt>
                <c:pt idx="138">
                  <c:v>43192</c:v>
                </c:pt>
                <c:pt idx="139">
                  <c:v>43193</c:v>
                </c:pt>
                <c:pt idx="140">
                  <c:v>43194</c:v>
                </c:pt>
                <c:pt idx="141">
                  <c:v>43195</c:v>
                </c:pt>
                <c:pt idx="142">
                  <c:v>43196</c:v>
                </c:pt>
                <c:pt idx="143">
                  <c:v>43197</c:v>
                </c:pt>
                <c:pt idx="144">
                  <c:v>43198</c:v>
                </c:pt>
                <c:pt idx="145">
                  <c:v>43199</c:v>
                </c:pt>
                <c:pt idx="146">
                  <c:v>43200</c:v>
                </c:pt>
                <c:pt idx="147">
                  <c:v>43201</c:v>
                </c:pt>
                <c:pt idx="148">
                  <c:v>43202</c:v>
                </c:pt>
                <c:pt idx="149">
                  <c:v>43203</c:v>
                </c:pt>
                <c:pt idx="150">
                  <c:v>43204</c:v>
                </c:pt>
                <c:pt idx="151">
                  <c:v>43205</c:v>
                </c:pt>
                <c:pt idx="152">
                  <c:v>43206</c:v>
                </c:pt>
                <c:pt idx="153">
                  <c:v>43207</c:v>
                </c:pt>
                <c:pt idx="154">
                  <c:v>43208</c:v>
                </c:pt>
                <c:pt idx="155">
                  <c:v>43209</c:v>
                </c:pt>
                <c:pt idx="156">
                  <c:v>43210</c:v>
                </c:pt>
                <c:pt idx="157">
                  <c:v>43211</c:v>
                </c:pt>
                <c:pt idx="158">
                  <c:v>43212</c:v>
                </c:pt>
                <c:pt idx="159">
                  <c:v>43213</c:v>
                </c:pt>
                <c:pt idx="160">
                  <c:v>43214</c:v>
                </c:pt>
                <c:pt idx="161">
                  <c:v>43215</c:v>
                </c:pt>
                <c:pt idx="162">
                  <c:v>43216</c:v>
                </c:pt>
                <c:pt idx="163">
                  <c:v>43217</c:v>
                </c:pt>
                <c:pt idx="164">
                  <c:v>43218</c:v>
                </c:pt>
                <c:pt idx="165">
                  <c:v>43219</c:v>
                </c:pt>
                <c:pt idx="166">
                  <c:v>43220</c:v>
                </c:pt>
                <c:pt idx="167">
                  <c:v>43221</c:v>
                </c:pt>
                <c:pt idx="168">
                  <c:v>43222</c:v>
                </c:pt>
                <c:pt idx="169">
                  <c:v>43223</c:v>
                </c:pt>
                <c:pt idx="170">
                  <c:v>43224</c:v>
                </c:pt>
                <c:pt idx="171">
                  <c:v>43225</c:v>
                </c:pt>
                <c:pt idx="172">
                  <c:v>43226</c:v>
                </c:pt>
                <c:pt idx="173">
                  <c:v>43227</c:v>
                </c:pt>
                <c:pt idx="174">
                  <c:v>43228</c:v>
                </c:pt>
                <c:pt idx="175">
                  <c:v>43229</c:v>
                </c:pt>
                <c:pt idx="176">
                  <c:v>43230</c:v>
                </c:pt>
                <c:pt idx="177">
                  <c:v>43231</c:v>
                </c:pt>
                <c:pt idx="178">
                  <c:v>43232</c:v>
                </c:pt>
                <c:pt idx="179">
                  <c:v>43233</c:v>
                </c:pt>
                <c:pt idx="180">
                  <c:v>43234</c:v>
                </c:pt>
                <c:pt idx="181">
                  <c:v>43235</c:v>
                </c:pt>
                <c:pt idx="182">
                  <c:v>43236</c:v>
                </c:pt>
                <c:pt idx="183">
                  <c:v>43237</c:v>
                </c:pt>
                <c:pt idx="184">
                  <c:v>43238</c:v>
                </c:pt>
                <c:pt idx="185">
                  <c:v>43239</c:v>
                </c:pt>
                <c:pt idx="186">
                  <c:v>43240</c:v>
                </c:pt>
                <c:pt idx="187">
                  <c:v>43241</c:v>
                </c:pt>
                <c:pt idx="188">
                  <c:v>43242</c:v>
                </c:pt>
                <c:pt idx="189">
                  <c:v>43243</c:v>
                </c:pt>
                <c:pt idx="190">
                  <c:v>43244</c:v>
                </c:pt>
                <c:pt idx="191">
                  <c:v>43245</c:v>
                </c:pt>
                <c:pt idx="192">
                  <c:v>43246</c:v>
                </c:pt>
                <c:pt idx="193">
                  <c:v>43247</c:v>
                </c:pt>
                <c:pt idx="194">
                  <c:v>43248</c:v>
                </c:pt>
                <c:pt idx="195">
                  <c:v>43249</c:v>
                </c:pt>
                <c:pt idx="196">
                  <c:v>43250</c:v>
                </c:pt>
                <c:pt idx="197">
                  <c:v>43251</c:v>
                </c:pt>
                <c:pt idx="198">
                  <c:v>43252</c:v>
                </c:pt>
                <c:pt idx="199">
                  <c:v>43253</c:v>
                </c:pt>
                <c:pt idx="200">
                  <c:v>43254</c:v>
                </c:pt>
                <c:pt idx="201">
                  <c:v>43255</c:v>
                </c:pt>
                <c:pt idx="202">
                  <c:v>43256</c:v>
                </c:pt>
                <c:pt idx="203">
                  <c:v>43257</c:v>
                </c:pt>
                <c:pt idx="204">
                  <c:v>43258</c:v>
                </c:pt>
                <c:pt idx="205">
                  <c:v>43259</c:v>
                </c:pt>
                <c:pt idx="206">
                  <c:v>43260</c:v>
                </c:pt>
                <c:pt idx="207">
                  <c:v>43261</c:v>
                </c:pt>
                <c:pt idx="208">
                  <c:v>43262</c:v>
                </c:pt>
                <c:pt idx="209">
                  <c:v>43263</c:v>
                </c:pt>
                <c:pt idx="210">
                  <c:v>43264</c:v>
                </c:pt>
                <c:pt idx="211">
                  <c:v>43265</c:v>
                </c:pt>
                <c:pt idx="212">
                  <c:v>43266</c:v>
                </c:pt>
                <c:pt idx="213">
                  <c:v>43267</c:v>
                </c:pt>
                <c:pt idx="214">
                  <c:v>43268</c:v>
                </c:pt>
                <c:pt idx="215">
                  <c:v>43269</c:v>
                </c:pt>
                <c:pt idx="216">
                  <c:v>43270</c:v>
                </c:pt>
                <c:pt idx="217">
                  <c:v>43271</c:v>
                </c:pt>
                <c:pt idx="218">
                  <c:v>43272</c:v>
                </c:pt>
                <c:pt idx="219">
                  <c:v>43273</c:v>
                </c:pt>
                <c:pt idx="220">
                  <c:v>43274</c:v>
                </c:pt>
                <c:pt idx="221">
                  <c:v>43275</c:v>
                </c:pt>
                <c:pt idx="222">
                  <c:v>43276</c:v>
                </c:pt>
                <c:pt idx="223">
                  <c:v>43277</c:v>
                </c:pt>
                <c:pt idx="224">
                  <c:v>43278</c:v>
                </c:pt>
                <c:pt idx="225">
                  <c:v>43279</c:v>
                </c:pt>
                <c:pt idx="226">
                  <c:v>43280</c:v>
                </c:pt>
                <c:pt idx="227">
                  <c:v>43281</c:v>
                </c:pt>
                <c:pt idx="228">
                  <c:v>43282</c:v>
                </c:pt>
                <c:pt idx="229">
                  <c:v>43283</c:v>
                </c:pt>
                <c:pt idx="230">
                  <c:v>43284</c:v>
                </c:pt>
                <c:pt idx="231">
                  <c:v>43285</c:v>
                </c:pt>
                <c:pt idx="232">
                  <c:v>43286</c:v>
                </c:pt>
                <c:pt idx="233">
                  <c:v>43287</c:v>
                </c:pt>
                <c:pt idx="234">
                  <c:v>43288</c:v>
                </c:pt>
                <c:pt idx="235">
                  <c:v>43289</c:v>
                </c:pt>
                <c:pt idx="236">
                  <c:v>43290</c:v>
                </c:pt>
                <c:pt idx="237">
                  <c:v>43291</c:v>
                </c:pt>
                <c:pt idx="238">
                  <c:v>43292</c:v>
                </c:pt>
                <c:pt idx="239">
                  <c:v>43293</c:v>
                </c:pt>
                <c:pt idx="240">
                  <c:v>43294</c:v>
                </c:pt>
                <c:pt idx="241">
                  <c:v>43295</c:v>
                </c:pt>
                <c:pt idx="242">
                  <c:v>43296</c:v>
                </c:pt>
                <c:pt idx="243">
                  <c:v>43297</c:v>
                </c:pt>
                <c:pt idx="244">
                  <c:v>43298</c:v>
                </c:pt>
                <c:pt idx="245">
                  <c:v>43299</c:v>
                </c:pt>
                <c:pt idx="246">
                  <c:v>43300</c:v>
                </c:pt>
                <c:pt idx="247">
                  <c:v>43301</c:v>
                </c:pt>
                <c:pt idx="248">
                  <c:v>43302</c:v>
                </c:pt>
                <c:pt idx="249">
                  <c:v>43303</c:v>
                </c:pt>
                <c:pt idx="250">
                  <c:v>43304</c:v>
                </c:pt>
                <c:pt idx="251">
                  <c:v>43305</c:v>
                </c:pt>
                <c:pt idx="252">
                  <c:v>43306</c:v>
                </c:pt>
                <c:pt idx="253">
                  <c:v>43307</c:v>
                </c:pt>
                <c:pt idx="254">
                  <c:v>43308</c:v>
                </c:pt>
                <c:pt idx="255">
                  <c:v>43309</c:v>
                </c:pt>
                <c:pt idx="256">
                  <c:v>43310</c:v>
                </c:pt>
                <c:pt idx="257">
                  <c:v>43311</c:v>
                </c:pt>
                <c:pt idx="258">
                  <c:v>43312</c:v>
                </c:pt>
                <c:pt idx="259">
                  <c:v>43313</c:v>
                </c:pt>
                <c:pt idx="260">
                  <c:v>43314</c:v>
                </c:pt>
                <c:pt idx="261">
                  <c:v>43315</c:v>
                </c:pt>
                <c:pt idx="262">
                  <c:v>43316</c:v>
                </c:pt>
                <c:pt idx="263">
                  <c:v>43317</c:v>
                </c:pt>
                <c:pt idx="264">
                  <c:v>43318</c:v>
                </c:pt>
                <c:pt idx="265">
                  <c:v>43319</c:v>
                </c:pt>
                <c:pt idx="266">
                  <c:v>43320</c:v>
                </c:pt>
                <c:pt idx="267">
                  <c:v>43321</c:v>
                </c:pt>
                <c:pt idx="268">
                  <c:v>43322</c:v>
                </c:pt>
                <c:pt idx="269">
                  <c:v>43323</c:v>
                </c:pt>
                <c:pt idx="270">
                  <c:v>43324</c:v>
                </c:pt>
                <c:pt idx="271">
                  <c:v>43325</c:v>
                </c:pt>
                <c:pt idx="272">
                  <c:v>43326</c:v>
                </c:pt>
                <c:pt idx="273">
                  <c:v>43327</c:v>
                </c:pt>
                <c:pt idx="274">
                  <c:v>43328</c:v>
                </c:pt>
                <c:pt idx="275">
                  <c:v>43329</c:v>
                </c:pt>
                <c:pt idx="276">
                  <c:v>43330</c:v>
                </c:pt>
                <c:pt idx="277">
                  <c:v>43331</c:v>
                </c:pt>
                <c:pt idx="278">
                  <c:v>43332</c:v>
                </c:pt>
                <c:pt idx="279">
                  <c:v>43333</c:v>
                </c:pt>
                <c:pt idx="280">
                  <c:v>43334</c:v>
                </c:pt>
                <c:pt idx="281">
                  <c:v>43335</c:v>
                </c:pt>
                <c:pt idx="282">
                  <c:v>43336</c:v>
                </c:pt>
                <c:pt idx="283">
                  <c:v>43337</c:v>
                </c:pt>
                <c:pt idx="284">
                  <c:v>43338</c:v>
                </c:pt>
                <c:pt idx="285">
                  <c:v>43339</c:v>
                </c:pt>
                <c:pt idx="286">
                  <c:v>43340</c:v>
                </c:pt>
                <c:pt idx="287">
                  <c:v>43341</c:v>
                </c:pt>
                <c:pt idx="288">
                  <c:v>43342</c:v>
                </c:pt>
                <c:pt idx="289">
                  <c:v>43343</c:v>
                </c:pt>
                <c:pt idx="290">
                  <c:v>43344</c:v>
                </c:pt>
                <c:pt idx="291">
                  <c:v>43345</c:v>
                </c:pt>
                <c:pt idx="292">
                  <c:v>43346</c:v>
                </c:pt>
                <c:pt idx="293">
                  <c:v>43347</c:v>
                </c:pt>
                <c:pt idx="294">
                  <c:v>43348</c:v>
                </c:pt>
                <c:pt idx="295">
                  <c:v>43349</c:v>
                </c:pt>
                <c:pt idx="296">
                  <c:v>43350</c:v>
                </c:pt>
                <c:pt idx="297">
                  <c:v>43351</c:v>
                </c:pt>
                <c:pt idx="298">
                  <c:v>43352</c:v>
                </c:pt>
                <c:pt idx="299">
                  <c:v>43353</c:v>
                </c:pt>
                <c:pt idx="300">
                  <c:v>43354</c:v>
                </c:pt>
                <c:pt idx="301">
                  <c:v>43355</c:v>
                </c:pt>
                <c:pt idx="302">
                  <c:v>43356</c:v>
                </c:pt>
                <c:pt idx="303">
                  <c:v>43357</c:v>
                </c:pt>
                <c:pt idx="304">
                  <c:v>43358</c:v>
                </c:pt>
                <c:pt idx="305">
                  <c:v>43359</c:v>
                </c:pt>
                <c:pt idx="306">
                  <c:v>43360</c:v>
                </c:pt>
                <c:pt idx="307">
                  <c:v>43361</c:v>
                </c:pt>
                <c:pt idx="308">
                  <c:v>43362</c:v>
                </c:pt>
                <c:pt idx="309">
                  <c:v>43363</c:v>
                </c:pt>
                <c:pt idx="310">
                  <c:v>43364</c:v>
                </c:pt>
                <c:pt idx="311">
                  <c:v>43365</c:v>
                </c:pt>
                <c:pt idx="312">
                  <c:v>43366</c:v>
                </c:pt>
                <c:pt idx="313">
                  <c:v>43367</c:v>
                </c:pt>
                <c:pt idx="314">
                  <c:v>43368</c:v>
                </c:pt>
                <c:pt idx="315">
                  <c:v>43369</c:v>
                </c:pt>
                <c:pt idx="316">
                  <c:v>43370</c:v>
                </c:pt>
                <c:pt idx="317">
                  <c:v>43371</c:v>
                </c:pt>
                <c:pt idx="318">
                  <c:v>43372</c:v>
                </c:pt>
                <c:pt idx="319">
                  <c:v>43373</c:v>
                </c:pt>
                <c:pt idx="320">
                  <c:v>43374</c:v>
                </c:pt>
                <c:pt idx="321">
                  <c:v>43375</c:v>
                </c:pt>
                <c:pt idx="322">
                  <c:v>43376</c:v>
                </c:pt>
                <c:pt idx="323">
                  <c:v>43377</c:v>
                </c:pt>
                <c:pt idx="324">
                  <c:v>43378</c:v>
                </c:pt>
                <c:pt idx="325">
                  <c:v>43379</c:v>
                </c:pt>
                <c:pt idx="326">
                  <c:v>43380</c:v>
                </c:pt>
                <c:pt idx="327">
                  <c:v>43381</c:v>
                </c:pt>
                <c:pt idx="328">
                  <c:v>43382</c:v>
                </c:pt>
                <c:pt idx="329">
                  <c:v>43383</c:v>
                </c:pt>
                <c:pt idx="330">
                  <c:v>43384</c:v>
                </c:pt>
                <c:pt idx="331">
                  <c:v>43385</c:v>
                </c:pt>
                <c:pt idx="332">
                  <c:v>43386</c:v>
                </c:pt>
                <c:pt idx="333">
                  <c:v>43387</c:v>
                </c:pt>
                <c:pt idx="334">
                  <c:v>43388</c:v>
                </c:pt>
                <c:pt idx="335">
                  <c:v>43389</c:v>
                </c:pt>
                <c:pt idx="336">
                  <c:v>43390</c:v>
                </c:pt>
                <c:pt idx="337">
                  <c:v>43391</c:v>
                </c:pt>
                <c:pt idx="338">
                  <c:v>43392</c:v>
                </c:pt>
                <c:pt idx="339">
                  <c:v>43393</c:v>
                </c:pt>
                <c:pt idx="340">
                  <c:v>43394</c:v>
                </c:pt>
                <c:pt idx="341">
                  <c:v>43395</c:v>
                </c:pt>
                <c:pt idx="342">
                  <c:v>43396</c:v>
                </c:pt>
                <c:pt idx="343">
                  <c:v>43397</c:v>
                </c:pt>
                <c:pt idx="344">
                  <c:v>43398</c:v>
                </c:pt>
                <c:pt idx="345">
                  <c:v>43399</c:v>
                </c:pt>
                <c:pt idx="346">
                  <c:v>43400</c:v>
                </c:pt>
                <c:pt idx="347">
                  <c:v>43401</c:v>
                </c:pt>
                <c:pt idx="348">
                  <c:v>43402</c:v>
                </c:pt>
                <c:pt idx="349">
                  <c:v>43403</c:v>
                </c:pt>
                <c:pt idx="350">
                  <c:v>43404</c:v>
                </c:pt>
                <c:pt idx="351">
                  <c:v>43405</c:v>
                </c:pt>
                <c:pt idx="352">
                  <c:v>43406</c:v>
                </c:pt>
                <c:pt idx="353">
                  <c:v>43407</c:v>
                </c:pt>
                <c:pt idx="354">
                  <c:v>43408</c:v>
                </c:pt>
                <c:pt idx="355">
                  <c:v>43409</c:v>
                </c:pt>
                <c:pt idx="356">
                  <c:v>43410</c:v>
                </c:pt>
                <c:pt idx="357">
                  <c:v>43411</c:v>
                </c:pt>
                <c:pt idx="358">
                  <c:v>43412</c:v>
                </c:pt>
                <c:pt idx="359">
                  <c:v>43413</c:v>
                </c:pt>
                <c:pt idx="360">
                  <c:v>43414</c:v>
                </c:pt>
                <c:pt idx="361">
                  <c:v>43415</c:v>
                </c:pt>
                <c:pt idx="362">
                  <c:v>43416</c:v>
                </c:pt>
                <c:pt idx="363">
                  <c:v>43417</c:v>
                </c:pt>
                <c:pt idx="364">
                  <c:v>43418</c:v>
                </c:pt>
                <c:pt idx="365">
                  <c:v>43419</c:v>
                </c:pt>
                <c:pt idx="366">
                  <c:v>43420</c:v>
                </c:pt>
                <c:pt idx="367">
                  <c:v>43421</c:v>
                </c:pt>
                <c:pt idx="368">
                  <c:v>43422</c:v>
                </c:pt>
                <c:pt idx="369">
                  <c:v>43423</c:v>
                </c:pt>
                <c:pt idx="370">
                  <c:v>43424</c:v>
                </c:pt>
                <c:pt idx="371">
                  <c:v>43425</c:v>
                </c:pt>
                <c:pt idx="372">
                  <c:v>43426</c:v>
                </c:pt>
                <c:pt idx="373">
                  <c:v>43427</c:v>
                </c:pt>
                <c:pt idx="374">
                  <c:v>43428</c:v>
                </c:pt>
                <c:pt idx="375">
                  <c:v>43429</c:v>
                </c:pt>
                <c:pt idx="376">
                  <c:v>43430</c:v>
                </c:pt>
                <c:pt idx="377">
                  <c:v>43431</c:v>
                </c:pt>
                <c:pt idx="378">
                  <c:v>43432</c:v>
                </c:pt>
                <c:pt idx="379">
                  <c:v>43433</c:v>
                </c:pt>
                <c:pt idx="380">
                  <c:v>43434</c:v>
                </c:pt>
                <c:pt idx="381">
                  <c:v>43435</c:v>
                </c:pt>
                <c:pt idx="382">
                  <c:v>43436</c:v>
                </c:pt>
                <c:pt idx="383">
                  <c:v>43437</c:v>
                </c:pt>
                <c:pt idx="384">
                  <c:v>43438</c:v>
                </c:pt>
                <c:pt idx="385">
                  <c:v>43439</c:v>
                </c:pt>
                <c:pt idx="386">
                  <c:v>43440</c:v>
                </c:pt>
                <c:pt idx="387">
                  <c:v>43441</c:v>
                </c:pt>
                <c:pt idx="388">
                  <c:v>43442</c:v>
                </c:pt>
                <c:pt idx="389">
                  <c:v>43443</c:v>
                </c:pt>
                <c:pt idx="390">
                  <c:v>43444</c:v>
                </c:pt>
                <c:pt idx="391">
                  <c:v>43445</c:v>
                </c:pt>
                <c:pt idx="392">
                  <c:v>43446</c:v>
                </c:pt>
                <c:pt idx="393">
                  <c:v>43447</c:v>
                </c:pt>
                <c:pt idx="394">
                  <c:v>43448</c:v>
                </c:pt>
                <c:pt idx="395">
                  <c:v>43449</c:v>
                </c:pt>
                <c:pt idx="396">
                  <c:v>43450</c:v>
                </c:pt>
                <c:pt idx="397">
                  <c:v>43451</c:v>
                </c:pt>
                <c:pt idx="398">
                  <c:v>43452</c:v>
                </c:pt>
                <c:pt idx="399">
                  <c:v>43453</c:v>
                </c:pt>
                <c:pt idx="400">
                  <c:v>43454</c:v>
                </c:pt>
                <c:pt idx="401">
                  <c:v>43455</c:v>
                </c:pt>
                <c:pt idx="402">
                  <c:v>43456</c:v>
                </c:pt>
                <c:pt idx="403">
                  <c:v>43457</c:v>
                </c:pt>
                <c:pt idx="404">
                  <c:v>43458</c:v>
                </c:pt>
                <c:pt idx="405">
                  <c:v>43459</c:v>
                </c:pt>
                <c:pt idx="406">
                  <c:v>43460</c:v>
                </c:pt>
                <c:pt idx="407">
                  <c:v>43461</c:v>
                </c:pt>
                <c:pt idx="408">
                  <c:v>43462</c:v>
                </c:pt>
                <c:pt idx="409">
                  <c:v>43463</c:v>
                </c:pt>
                <c:pt idx="410">
                  <c:v>43464</c:v>
                </c:pt>
                <c:pt idx="411">
                  <c:v>43465</c:v>
                </c:pt>
                <c:pt idx="412">
                  <c:v>43466</c:v>
                </c:pt>
                <c:pt idx="413">
                  <c:v>43467</c:v>
                </c:pt>
                <c:pt idx="414">
                  <c:v>43468</c:v>
                </c:pt>
                <c:pt idx="415">
                  <c:v>43469</c:v>
                </c:pt>
                <c:pt idx="416">
                  <c:v>43470</c:v>
                </c:pt>
                <c:pt idx="417">
                  <c:v>43471</c:v>
                </c:pt>
                <c:pt idx="418">
                  <c:v>43472</c:v>
                </c:pt>
                <c:pt idx="419">
                  <c:v>43473</c:v>
                </c:pt>
                <c:pt idx="420">
                  <c:v>43474</c:v>
                </c:pt>
                <c:pt idx="421">
                  <c:v>43475</c:v>
                </c:pt>
                <c:pt idx="422">
                  <c:v>43476</c:v>
                </c:pt>
                <c:pt idx="423">
                  <c:v>43477</c:v>
                </c:pt>
                <c:pt idx="424">
                  <c:v>43478</c:v>
                </c:pt>
                <c:pt idx="425">
                  <c:v>43479</c:v>
                </c:pt>
                <c:pt idx="426">
                  <c:v>43480</c:v>
                </c:pt>
                <c:pt idx="427">
                  <c:v>43481</c:v>
                </c:pt>
                <c:pt idx="428">
                  <c:v>43482</c:v>
                </c:pt>
                <c:pt idx="429">
                  <c:v>43483</c:v>
                </c:pt>
                <c:pt idx="430">
                  <c:v>43484</c:v>
                </c:pt>
                <c:pt idx="431">
                  <c:v>43485</c:v>
                </c:pt>
                <c:pt idx="432">
                  <c:v>43486</c:v>
                </c:pt>
                <c:pt idx="433">
                  <c:v>43487</c:v>
                </c:pt>
                <c:pt idx="434">
                  <c:v>43488</c:v>
                </c:pt>
                <c:pt idx="435">
                  <c:v>43489</c:v>
                </c:pt>
                <c:pt idx="436">
                  <c:v>43490</c:v>
                </c:pt>
                <c:pt idx="437">
                  <c:v>43491</c:v>
                </c:pt>
                <c:pt idx="438">
                  <c:v>43492</c:v>
                </c:pt>
                <c:pt idx="439">
                  <c:v>43493</c:v>
                </c:pt>
                <c:pt idx="440">
                  <c:v>43494</c:v>
                </c:pt>
                <c:pt idx="441">
                  <c:v>43495</c:v>
                </c:pt>
                <c:pt idx="442">
                  <c:v>43496</c:v>
                </c:pt>
                <c:pt idx="443">
                  <c:v>43497</c:v>
                </c:pt>
                <c:pt idx="444">
                  <c:v>43498</c:v>
                </c:pt>
                <c:pt idx="445">
                  <c:v>43499</c:v>
                </c:pt>
                <c:pt idx="446">
                  <c:v>43500</c:v>
                </c:pt>
                <c:pt idx="447">
                  <c:v>43501</c:v>
                </c:pt>
                <c:pt idx="448">
                  <c:v>43502</c:v>
                </c:pt>
                <c:pt idx="449">
                  <c:v>43503</c:v>
                </c:pt>
                <c:pt idx="450">
                  <c:v>43504</c:v>
                </c:pt>
                <c:pt idx="451">
                  <c:v>43505</c:v>
                </c:pt>
                <c:pt idx="452">
                  <c:v>43506</c:v>
                </c:pt>
                <c:pt idx="453">
                  <c:v>43507</c:v>
                </c:pt>
                <c:pt idx="454">
                  <c:v>43508</c:v>
                </c:pt>
                <c:pt idx="455">
                  <c:v>43509</c:v>
                </c:pt>
                <c:pt idx="456">
                  <c:v>43510</c:v>
                </c:pt>
                <c:pt idx="457">
                  <c:v>43511</c:v>
                </c:pt>
                <c:pt idx="458">
                  <c:v>43512</c:v>
                </c:pt>
                <c:pt idx="459">
                  <c:v>43513</c:v>
                </c:pt>
                <c:pt idx="460">
                  <c:v>43514</c:v>
                </c:pt>
                <c:pt idx="461">
                  <c:v>43515</c:v>
                </c:pt>
                <c:pt idx="462">
                  <c:v>43516</c:v>
                </c:pt>
                <c:pt idx="463">
                  <c:v>43517</c:v>
                </c:pt>
                <c:pt idx="464">
                  <c:v>43518</c:v>
                </c:pt>
                <c:pt idx="465">
                  <c:v>43519</c:v>
                </c:pt>
                <c:pt idx="466">
                  <c:v>43520</c:v>
                </c:pt>
                <c:pt idx="467">
                  <c:v>43521</c:v>
                </c:pt>
                <c:pt idx="468">
                  <c:v>43522</c:v>
                </c:pt>
                <c:pt idx="469">
                  <c:v>43523</c:v>
                </c:pt>
                <c:pt idx="470">
                  <c:v>43524</c:v>
                </c:pt>
                <c:pt idx="471">
                  <c:v>43525</c:v>
                </c:pt>
                <c:pt idx="472">
                  <c:v>43526</c:v>
                </c:pt>
                <c:pt idx="473">
                  <c:v>43527</c:v>
                </c:pt>
                <c:pt idx="474">
                  <c:v>43528</c:v>
                </c:pt>
                <c:pt idx="475">
                  <c:v>43529</c:v>
                </c:pt>
                <c:pt idx="476">
                  <c:v>43530</c:v>
                </c:pt>
                <c:pt idx="477">
                  <c:v>43531</c:v>
                </c:pt>
                <c:pt idx="478">
                  <c:v>43532</c:v>
                </c:pt>
                <c:pt idx="479">
                  <c:v>43533</c:v>
                </c:pt>
                <c:pt idx="480">
                  <c:v>43534</c:v>
                </c:pt>
                <c:pt idx="481">
                  <c:v>43535</c:v>
                </c:pt>
                <c:pt idx="482">
                  <c:v>43536</c:v>
                </c:pt>
                <c:pt idx="483">
                  <c:v>43537</c:v>
                </c:pt>
                <c:pt idx="484">
                  <c:v>43538</c:v>
                </c:pt>
                <c:pt idx="485">
                  <c:v>43539</c:v>
                </c:pt>
                <c:pt idx="486">
                  <c:v>43540</c:v>
                </c:pt>
                <c:pt idx="487">
                  <c:v>43541</c:v>
                </c:pt>
                <c:pt idx="488">
                  <c:v>43542</c:v>
                </c:pt>
                <c:pt idx="489">
                  <c:v>43543</c:v>
                </c:pt>
                <c:pt idx="490">
                  <c:v>43544</c:v>
                </c:pt>
                <c:pt idx="491">
                  <c:v>43545</c:v>
                </c:pt>
                <c:pt idx="492">
                  <c:v>43546</c:v>
                </c:pt>
                <c:pt idx="493">
                  <c:v>43547</c:v>
                </c:pt>
                <c:pt idx="494">
                  <c:v>43548</c:v>
                </c:pt>
                <c:pt idx="495">
                  <c:v>43549</c:v>
                </c:pt>
                <c:pt idx="496">
                  <c:v>43550</c:v>
                </c:pt>
                <c:pt idx="497">
                  <c:v>43551</c:v>
                </c:pt>
                <c:pt idx="498">
                  <c:v>43552</c:v>
                </c:pt>
                <c:pt idx="499">
                  <c:v>43553</c:v>
                </c:pt>
                <c:pt idx="500">
                  <c:v>43554</c:v>
                </c:pt>
                <c:pt idx="501">
                  <c:v>43555</c:v>
                </c:pt>
                <c:pt idx="502">
                  <c:v>43556</c:v>
                </c:pt>
                <c:pt idx="503">
                  <c:v>43557</c:v>
                </c:pt>
                <c:pt idx="504">
                  <c:v>43558</c:v>
                </c:pt>
                <c:pt idx="505">
                  <c:v>43559</c:v>
                </c:pt>
                <c:pt idx="506">
                  <c:v>43560</c:v>
                </c:pt>
                <c:pt idx="507">
                  <c:v>43561</c:v>
                </c:pt>
                <c:pt idx="508">
                  <c:v>43562</c:v>
                </c:pt>
                <c:pt idx="509">
                  <c:v>43563</c:v>
                </c:pt>
                <c:pt idx="510">
                  <c:v>43564</c:v>
                </c:pt>
                <c:pt idx="511">
                  <c:v>43565</c:v>
                </c:pt>
                <c:pt idx="512">
                  <c:v>43566</c:v>
                </c:pt>
                <c:pt idx="513">
                  <c:v>43567</c:v>
                </c:pt>
                <c:pt idx="514">
                  <c:v>43568</c:v>
                </c:pt>
                <c:pt idx="515">
                  <c:v>43569</c:v>
                </c:pt>
                <c:pt idx="516">
                  <c:v>43570</c:v>
                </c:pt>
                <c:pt idx="517">
                  <c:v>43571</c:v>
                </c:pt>
                <c:pt idx="518">
                  <c:v>43572</c:v>
                </c:pt>
                <c:pt idx="519">
                  <c:v>43573</c:v>
                </c:pt>
                <c:pt idx="520">
                  <c:v>43574</c:v>
                </c:pt>
                <c:pt idx="521">
                  <c:v>43575</c:v>
                </c:pt>
                <c:pt idx="522">
                  <c:v>43576</c:v>
                </c:pt>
                <c:pt idx="523">
                  <c:v>43577</c:v>
                </c:pt>
                <c:pt idx="524">
                  <c:v>43578</c:v>
                </c:pt>
                <c:pt idx="525">
                  <c:v>43579</c:v>
                </c:pt>
                <c:pt idx="526">
                  <c:v>43580</c:v>
                </c:pt>
                <c:pt idx="527">
                  <c:v>43581</c:v>
                </c:pt>
                <c:pt idx="528">
                  <c:v>43582</c:v>
                </c:pt>
                <c:pt idx="529">
                  <c:v>43583</c:v>
                </c:pt>
                <c:pt idx="530">
                  <c:v>43584</c:v>
                </c:pt>
                <c:pt idx="531">
                  <c:v>43585</c:v>
                </c:pt>
                <c:pt idx="532">
                  <c:v>43586</c:v>
                </c:pt>
                <c:pt idx="533">
                  <c:v>43587</c:v>
                </c:pt>
                <c:pt idx="534">
                  <c:v>43588</c:v>
                </c:pt>
                <c:pt idx="535">
                  <c:v>43589</c:v>
                </c:pt>
                <c:pt idx="536">
                  <c:v>43590</c:v>
                </c:pt>
                <c:pt idx="537">
                  <c:v>43591</c:v>
                </c:pt>
                <c:pt idx="538">
                  <c:v>43592</c:v>
                </c:pt>
                <c:pt idx="539">
                  <c:v>43593</c:v>
                </c:pt>
                <c:pt idx="540">
                  <c:v>43594</c:v>
                </c:pt>
                <c:pt idx="541">
                  <c:v>43595</c:v>
                </c:pt>
                <c:pt idx="542">
                  <c:v>43596</c:v>
                </c:pt>
                <c:pt idx="543">
                  <c:v>43597</c:v>
                </c:pt>
                <c:pt idx="544">
                  <c:v>43598</c:v>
                </c:pt>
                <c:pt idx="545">
                  <c:v>43599</c:v>
                </c:pt>
                <c:pt idx="546">
                  <c:v>43600</c:v>
                </c:pt>
                <c:pt idx="547">
                  <c:v>43601</c:v>
                </c:pt>
                <c:pt idx="548">
                  <c:v>43602</c:v>
                </c:pt>
                <c:pt idx="549">
                  <c:v>43603</c:v>
                </c:pt>
                <c:pt idx="550">
                  <c:v>43604</c:v>
                </c:pt>
                <c:pt idx="551">
                  <c:v>43605</c:v>
                </c:pt>
                <c:pt idx="552">
                  <c:v>43606</c:v>
                </c:pt>
                <c:pt idx="553">
                  <c:v>43607</c:v>
                </c:pt>
                <c:pt idx="554">
                  <c:v>43608</c:v>
                </c:pt>
                <c:pt idx="555">
                  <c:v>43609</c:v>
                </c:pt>
                <c:pt idx="556">
                  <c:v>43610</c:v>
                </c:pt>
                <c:pt idx="557">
                  <c:v>43611</c:v>
                </c:pt>
                <c:pt idx="558">
                  <c:v>43612</c:v>
                </c:pt>
                <c:pt idx="559">
                  <c:v>43613</c:v>
                </c:pt>
                <c:pt idx="560">
                  <c:v>43614</c:v>
                </c:pt>
                <c:pt idx="561">
                  <c:v>43615</c:v>
                </c:pt>
                <c:pt idx="562">
                  <c:v>43616</c:v>
                </c:pt>
                <c:pt idx="563">
                  <c:v>43617</c:v>
                </c:pt>
                <c:pt idx="564">
                  <c:v>43618</c:v>
                </c:pt>
                <c:pt idx="565">
                  <c:v>43619</c:v>
                </c:pt>
                <c:pt idx="566">
                  <c:v>43620</c:v>
                </c:pt>
                <c:pt idx="567">
                  <c:v>43621</c:v>
                </c:pt>
                <c:pt idx="568">
                  <c:v>43622</c:v>
                </c:pt>
                <c:pt idx="569">
                  <c:v>43623</c:v>
                </c:pt>
                <c:pt idx="570">
                  <c:v>43624</c:v>
                </c:pt>
                <c:pt idx="571">
                  <c:v>43625</c:v>
                </c:pt>
                <c:pt idx="572">
                  <c:v>43626</c:v>
                </c:pt>
                <c:pt idx="573">
                  <c:v>43627</c:v>
                </c:pt>
                <c:pt idx="574">
                  <c:v>43628</c:v>
                </c:pt>
                <c:pt idx="575">
                  <c:v>43629</c:v>
                </c:pt>
                <c:pt idx="576">
                  <c:v>43630</c:v>
                </c:pt>
                <c:pt idx="577">
                  <c:v>43631</c:v>
                </c:pt>
                <c:pt idx="578">
                  <c:v>43632</c:v>
                </c:pt>
                <c:pt idx="579">
                  <c:v>43633</c:v>
                </c:pt>
                <c:pt idx="580">
                  <c:v>43634</c:v>
                </c:pt>
                <c:pt idx="581">
                  <c:v>43635</c:v>
                </c:pt>
                <c:pt idx="582">
                  <c:v>43636</c:v>
                </c:pt>
                <c:pt idx="583">
                  <c:v>43637</c:v>
                </c:pt>
                <c:pt idx="584">
                  <c:v>43638</c:v>
                </c:pt>
                <c:pt idx="585">
                  <c:v>43639</c:v>
                </c:pt>
                <c:pt idx="586">
                  <c:v>43640</c:v>
                </c:pt>
                <c:pt idx="587">
                  <c:v>43641</c:v>
                </c:pt>
                <c:pt idx="588">
                  <c:v>43642</c:v>
                </c:pt>
                <c:pt idx="589">
                  <c:v>43643</c:v>
                </c:pt>
                <c:pt idx="590">
                  <c:v>43644</c:v>
                </c:pt>
                <c:pt idx="591">
                  <c:v>43645</c:v>
                </c:pt>
                <c:pt idx="592">
                  <c:v>43646</c:v>
                </c:pt>
                <c:pt idx="593">
                  <c:v>43647</c:v>
                </c:pt>
                <c:pt idx="594">
                  <c:v>43648</c:v>
                </c:pt>
                <c:pt idx="595">
                  <c:v>43649</c:v>
                </c:pt>
                <c:pt idx="596">
                  <c:v>43650</c:v>
                </c:pt>
                <c:pt idx="597">
                  <c:v>43651</c:v>
                </c:pt>
                <c:pt idx="598">
                  <c:v>43652</c:v>
                </c:pt>
                <c:pt idx="599">
                  <c:v>43653</c:v>
                </c:pt>
                <c:pt idx="600">
                  <c:v>43654</c:v>
                </c:pt>
                <c:pt idx="601">
                  <c:v>43655</c:v>
                </c:pt>
                <c:pt idx="602">
                  <c:v>43656</c:v>
                </c:pt>
                <c:pt idx="603">
                  <c:v>43657</c:v>
                </c:pt>
                <c:pt idx="604">
                  <c:v>43658</c:v>
                </c:pt>
                <c:pt idx="605">
                  <c:v>43659</c:v>
                </c:pt>
                <c:pt idx="606">
                  <c:v>43660</c:v>
                </c:pt>
                <c:pt idx="607">
                  <c:v>43661</c:v>
                </c:pt>
                <c:pt idx="608">
                  <c:v>43662</c:v>
                </c:pt>
                <c:pt idx="609">
                  <c:v>43663</c:v>
                </c:pt>
                <c:pt idx="610">
                  <c:v>43664</c:v>
                </c:pt>
                <c:pt idx="611">
                  <c:v>43665</c:v>
                </c:pt>
                <c:pt idx="612">
                  <c:v>43666</c:v>
                </c:pt>
                <c:pt idx="613">
                  <c:v>43667</c:v>
                </c:pt>
                <c:pt idx="614">
                  <c:v>43668</c:v>
                </c:pt>
                <c:pt idx="615">
                  <c:v>43669</c:v>
                </c:pt>
                <c:pt idx="616">
                  <c:v>43670</c:v>
                </c:pt>
                <c:pt idx="617">
                  <c:v>43671</c:v>
                </c:pt>
                <c:pt idx="618">
                  <c:v>43672</c:v>
                </c:pt>
                <c:pt idx="619">
                  <c:v>43673</c:v>
                </c:pt>
                <c:pt idx="620">
                  <c:v>43674</c:v>
                </c:pt>
                <c:pt idx="621">
                  <c:v>43675</c:v>
                </c:pt>
                <c:pt idx="622">
                  <c:v>43676</c:v>
                </c:pt>
                <c:pt idx="623">
                  <c:v>43677</c:v>
                </c:pt>
                <c:pt idx="624">
                  <c:v>43678</c:v>
                </c:pt>
                <c:pt idx="625">
                  <c:v>43679</c:v>
                </c:pt>
                <c:pt idx="626">
                  <c:v>43680</c:v>
                </c:pt>
                <c:pt idx="627">
                  <c:v>43681</c:v>
                </c:pt>
                <c:pt idx="628">
                  <c:v>43682</c:v>
                </c:pt>
                <c:pt idx="629">
                  <c:v>43683</c:v>
                </c:pt>
                <c:pt idx="630">
                  <c:v>43684</c:v>
                </c:pt>
                <c:pt idx="631">
                  <c:v>43685</c:v>
                </c:pt>
                <c:pt idx="632">
                  <c:v>43686</c:v>
                </c:pt>
                <c:pt idx="633">
                  <c:v>43687</c:v>
                </c:pt>
                <c:pt idx="634">
                  <c:v>43688</c:v>
                </c:pt>
                <c:pt idx="635">
                  <c:v>43689</c:v>
                </c:pt>
                <c:pt idx="636">
                  <c:v>43690</c:v>
                </c:pt>
                <c:pt idx="637">
                  <c:v>43691</c:v>
                </c:pt>
                <c:pt idx="638">
                  <c:v>43692</c:v>
                </c:pt>
                <c:pt idx="639">
                  <c:v>43693</c:v>
                </c:pt>
                <c:pt idx="640">
                  <c:v>43694</c:v>
                </c:pt>
                <c:pt idx="641">
                  <c:v>43695</c:v>
                </c:pt>
                <c:pt idx="642">
                  <c:v>43696</c:v>
                </c:pt>
                <c:pt idx="643">
                  <c:v>43697</c:v>
                </c:pt>
                <c:pt idx="644">
                  <c:v>43698</c:v>
                </c:pt>
                <c:pt idx="645">
                  <c:v>43699</c:v>
                </c:pt>
                <c:pt idx="646">
                  <c:v>43700</c:v>
                </c:pt>
                <c:pt idx="647">
                  <c:v>43701</c:v>
                </c:pt>
                <c:pt idx="648">
                  <c:v>43702</c:v>
                </c:pt>
                <c:pt idx="649">
                  <c:v>43703</c:v>
                </c:pt>
                <c:pt idx="650">
                  <c:v>43704</c:v>
                </c:pt>
                <c:pt idx="651">
                  <c:v>43705</c:v>
                </c:pt>
                <c:pt idx="652">
                  <c:v>43706</c:v>
                </c:pt>
                <c:pt idx="653">
                  <c:v>43707</c:v>
                </c:pt>
                <c:pt idx="654">
                  <c:v>43708</c:v>
                </c:pt>
                <c:pt idx="655">
                  <c:v>43709</c:v>
                </c:pt>
                <c:pt idx="656">
                  <c:v>43710</c:v>
                </c:pt>
                <c:pt idx="657">
                  <c:v>43711</c:v>
                </c:pt>
                <c:pt idx="658">
                  <c:v>43712</c:v>
                </c:pt>
                <c:pt idx="659">
                  <c:v>43713</c:v>
                </c:pt>
                <c:pt idx="660">
                  <c:v>43714</c:v>
                </c:pt>
                <c:pt idx="661">
                  <c:v>43715</c:v>
                </c:pt>
                <c:pt idx="662">
                  <c:v>43716</c:v>
                </c:pt>
                <c:pt idx="663">
                  <c:v>43717</c:v>
                </c:pt>
                <c:pt idx="664">
                  <c:v>43718</c:v>
                </c:pt>
                <c:pt idx="665">
                  <c:v>43719</c:v>
                </c:pt>
                <c:pt idx="666">
                  <c:v>43720</c:v>
                </c:pt>
                <c:pt idx="667">
                  <c:v>43721</c:v>
                </c:pt>
                <c:pt idx="668">
                  <c:v>43722</c:v>
                </c:pt>
                <c:pt idx="669">
                  <c:v>43723</c:v>
                </c:pt>
                <c:pt idx="670">
                  <c:v>43724</c:v>
                </c:pt>
                <c:pt idx="671">
                  <c:v>43725</c:v>
                </c:pt>
                <c:pt idx="672">
                  <c:v>43726</c:v>
                </c:pt>
                <c:pt idx="673">
                  <c:v>43727</c:v>
                </c:pt>
                <c:pt idx="674">
                  <c:v>43728</c:v>
                </c:pt>
                <c:pt idx="675">
                  <c:v>43729</c:v>
                </c:pt>
                <c:pt idx="676">
                  <c:v>43730</c:v>
                </c:pt>
                <c:pt idx="677">
                  <c:v>43731</c:v>
                </c:pt>
                <c:pt idx="678">
                  <c:v>43732</c:v>
                </c:pt>
                <c:pt idx="679">
                  <c:v>43733</c:v>
                </c:pt>
                <c:pt idx="680">
                  <c:v>43734</c:v>
                </c:pt>
                <c:pt idx="681">
                  <c:v>43735</c:v>
                </c:pt>
                <c:pt idx="682">
                  <c:v>43736</c:v>
                </c:pt>
                <c:pt idx="683">
                  <c:v>43737</c:v>
                </c:pt>
                <c:pt idx="684">
                  <c:v>43738</c:v>
                </c:pt>
                <c:pt idx="685">
                  <c:v>43739</c:v>
                </c:pt>
                <c:pt idx="686">
                  <c:v>43740</c:v>
                </c:pt>
                <c:pt idx="687">
                  <c:v>43741</c:v>
                </c:pt>
                <c:pt idx="688">
                  <c:v>43742</c:v>
                </c:pt>
                <c:pt idx="689">
                  <c:v>43743</c:v>
                </c:pt>
                <c:pt idx="690">
                  <c:v>43744</c:v>
                </c:pt>
                <c:pt idx="691">
                  <c:v>43745</c:v>
                </c:pt>
                <c:pt idx="692">
                  <c:v>43746</c:v>
                </c:pt>
                <c:pt idx="693">
                  <c:v>43747</c:v>
                </c:pt>
                <c:pt idx="694">
                  <c:v>43748</c:v>
                </c:pt>
                <c:pt idx="695">
                  <c:v>43749</c:v>
                </c:pt>
                <c:pt idx="696">
                  <c:v>43750</c:v>
                </c:pt>
                <c:pt idx="697">
                  <c:v>43751</c:v>
                </c:pt>
                <c:pt idx="698">
                  <c:v>43752</c:v>
                </c:pt>
                <c:pt idx="699">
                  <c:v>43753</c:v>
                </c:pt>
                <c:pt idx="700">
                  <c:v>43754</c:v>
                </c:pt>
                <c:pt idx="701">
                  <c:v>43755</c:v>
                </c:pt>
                <c:pt idx="702">
                  <c:v>43756</c:v>
                </c:pt>
                <c:pt idx="703">
                  <c:v>43757</c:v>
                </c:pt>
                <c:pt idx="704">
                  <c:v>43758</c:v>
                </c:pt>
                <c:pt idx="705">
                  <c:v>43759</c:v>
                </c:pt>
                <c:pt idx="706">
                  <c:v>43760</c:v>
                </c:pt>
                <c:pt idx="707">
                  <c:v>43761</c:v>
                </c:pt>
                <c:pt idx="708">
                  <c:v>43762</c:v>
                </c:pt>
                <c:pt idx="709">
                  <c:v>43763</c:v>
                </c:pt>
                <c:pt idx="710">
                  <c:v>43764</c:v>
                </c:pt>
                <c:pt idx="711">
                  <c:v>43765</c:v>
                </c:pt>
                <c:pt idx="712">
                  <c:v>43766</c:v>
                </c:pt>
                <c:pt idx="713">
                  <c:v>43767</c:v>
                </c:pt>
                <c:pt idx="714">
                  <c:v>43768</c:v>
                </c:pt>
                <c:pt idx="715">
                  <c:v>43769</c:v>
                </c:pt>
                <c:pt idx="716">
                  <c:v>43770</c:v>
                </c:pt>
                <c:pt idx="717">
                  <c:v>43771</c:v>
                </c:pt>
                <c:pt idx="718">
                  <c:v>43772</c:v>
                </c:pt>
                <c:pt idx="719">
                  <c:v>43773</c:v>
                </c:pt>
                <c:pt idx="720">
                  <c:v>43774</c:v>
                </c:pt>
                <c:pt idx="721">
                  <c:v>43775</c:v>
                </c:pt>
                <c:pt idx="722">
                  <c:v>43776</c:v>
                </c:pt>
                <c:pt idx="723">
                  <c:v>43777</c:v>
                </c:pt>
                <c:pt idx="724">
                  <c:v>43778</c:v>
                </c:pt>
                <c:pt idx="725">
                  <c:v>43779</c:v>
                </c:pt>
                <c:pt idx="726">
                  <c:v>43780</c:v>
                </c:pt>
                <c:pt idx="727">
                  <c:v>43781</c:v>
                </c:pt>
                <c:pt idx="728">
                  <c:v>43782</c:v>
                </c:pt>
                <c:pt idx="729">
                  <c:v>43783</c:v>
                </c:pt>
                <c:pt idx="730">
                  <c:v>43784</c:v>
                </c:pt>
                <c:pt idx="731">
                  <c:v>43785</c:v>
                </c:pt>
                <c:pt idx="732">
                  <c:v>43786</c:v>
                </c:pt>
                <c:pt idx="733">
                  <c:v>43787</c:v>
                </c:pt>
                <c:pt idx="734">
                  <c:v>43788</c:v>
                </c:pt>
                <c:pt idx="735">
                  <c:v>43789</c:v>
                </c:pt>
                <c:pt idx="736">
                  <c:v>43790</c:v>
                </c:pt>
                <c:pt idx="737">
                  <c:v>43791</c:v>
                </c:pt>
                <c:pt idx="738">
                  <c:v>43792</c:v>
                </c:pt>
                <c:pt idx="739">
                  <c:v>43793</c:v>
                </c:pt>
                <c:pt idx="740">
                  <c:v>43794</c:v>
                </c:pt>
                <c:pt idx="741">
                  <c:v>43795</c:v>
                </c:pt>
                <c:pt idx="742">
                  <c:v>43796</c:v>
                </c:pt>
                <c:pt idx="743">
                  <c:v>43797</c:v>
                </c:pt>
                <c:pt idx="744">
                  <c:v>43798</c:v>
                </c:pt>
                <c:pt idx="745">
                  <c:v>43799</c:v>
                </c:pt>
                <c:pt idx="746">
                  <c:v>43800</c:v>
                </c:pt>
                <c:pt idx="747">
                  <c:v>43801</c:v>
                </c:pt>
                <c:pt idx="748">
                  <c:v>43802</c:v>
                </c:pt>
                <c:pt idx="749">
                  <c:v>43803</c:v>
                </c:pt>
                <c:pt idx="750">
                  <c:v>43804</c:v>
                </c:pt>
                <c:pt idx="751">
                  <c:v>43805</c:v>
                </c:pt>
                <c:pt idx="752">
                  <c:v>43806</c:v>
                </c:pt>
                <c:pt idx="753">
                  <c:v>43807</c:v>
                </c:pt>
                <c:pt idx="754">
                  <c:v>43808</c:v>
                </c:pt>
                <c:pt idx="755">
                  <c:v>43809</c:v>
                </c:pt>
                <c:pt idx="756">
                  <c:v>43810</c:v>
                </c:pt>
                <c:pt idx="757">
                  <c:v>43811</c:v>
                </c:pt>
                <c:pt idx="758">
                  <c:v>43812</c:v>
                </c:pt>
                <c:pt idx="759">
                  <c:v>43813</c:v>
                </c:pt>
                <c:pt idx="760">
                  <c:v>43814</c:v>
                </c:pt>
                <c:pt idx="761">
                  <c:v>43815</c:v>
                </c:pt>
                <c:pt idx="762">
                  <c:v>43816</c:v>
                </c:pt>
                <c:pt idx="763">
                  <c:v>43817</c:v>
                </c:pt>
                <c:pt idx="764">
                  <c:v>43818</c:v>
                </c:pt>
                <c:pt idx="765">
                  <c:v>43819</c:v>
                </c:pt>
                <c:pt idx="766">
                  <c:v>43820</c:v>
                </c:pt>
                <c:pt idx="767">
                  <c:v>43821</c:v>
                </c:pt>
                <c:pt idx="768">
                  <c:v>43822</c:v>
                </c:pt>
                <c:pt idx="769">
                  <c:v>43823</c:v>
                </c:pt>
                <c:pt idx="770">
                  <c:v>43824</c:v>
                </c:pt>
                <c:pt idx="771">
                  <c:v>43825</c:v>
                </c:pt>
                <c:pt idx="772">
                  <c:v>43826</c:v>
                </c:pt>
                <c:pt idx="773">
                  <c:v>43827</c:v>
                </c:pt>
                <c:pt idx="774">
                  <c:v>43828</c:v>
                </c:pt>
                <c:pt idx="775">
                  <c:v>43829</c:v>
                </c:pt>
                <c:pt idx="776">
                  <c:v>43830</c:v>
                </c:pt>
                <c:pt idx="777">
                  <c:v>43831</c:v>
                </c:pt>
                <c:pt idx="778">
                  <c:v>43832</c:v>
                </c:pt>
                <c:pt idx="779">
                  <c:v>43833</c:v>
                </c:pt>
                <c:pt idx="780">
                  <c:v>43834</c:v>
                </c:pt>
                <c:pt idx="781">
                  <c:v>43835</c:v>
                </c:pt>
                <c:pt idx="782">
                  <c:v>43836</c:v>
                </c:pt>
                <c:pt idx="783">
                  <c:v>43837</c:v>
                </c:pt>
                <c:pt idx="784">
                  <c:v>43838</c:v>
                </c:pt>
                <c:pt idx="785">
                  <c:v>43839</c:v>
                </c:pt>
                <c:pt idx="786">
                  <c:v>43840</c:v>
                </c:pt>
                <c:pt idx="787">
                  <c:v>43841</c:v>
                </c:pt>
                <c:pt idx="788">
                  <c:v>43842</c:v>
                </c:pt>
                <c:pt idx="789">
                  <c:v>43843</c:v>
                </c:pt>
                <c:pt idx="790">
                  <c:v>43844</c:v>
                </c:pt>
                <c:pt idx="791">
                  <c:v>43845</c:v>
                </c:pt>
                <c:pt idx="792">
                  <c:v>43846</c:v>
                </c:pt>
                <c:pt idx="793">
                  <c:v>43847</c:v>
                </c:pt>
                <c:pt idx="794">
                  <c:v>43848</c:v>
                </c:pt>
                <c:pt idx="795">
                  <c:v>43849</c:v>
                </c:pt>
                <c:pt idx="796">
                  <c:v>43850</c:v>
                </c:pt>
                <c:pt idx="797">
                  <c:v>43851</c:v>
                </c:pt>
                <c:pt idx="798">
                  <c:v>43852</c:v>
                </c:pt>
                <c:pt idx="799">
                  <c:v>43853</c:v>
                </c:pt>
                <c:pt idx="800">
                  <c:v>43854</c:v>
                </c:pt>
                <c:pt idx="801">
                  <c:v>43855</c:v>
                </c:pt>
                <c:pt idx="802">
                  <c:v>43856</c:v>
                </c:pt>
                <c:pt idx="803">
                  <c:v>43857</c:v>
                </c:pt>
                <c:pt idx="804">
                  <c:v>43858</c:v>
                </c:pt>
                <c:pt idx="805">
                  <c:v>43859</c:v>
                </c:pt>
                <c:pt idx="806">
                  <c:v>43860</c:v>
                </c:pt>
                <c:pt idx="807">
                  <c:v>43861</c:v>
                </c:pt>
                <c:pt idx="808">
                  <c:v>43862</c:v>
                </c:pt>
                <c:pt idx="809">
                  <c:v>43863</c:v>
                </c:pt>
                <c:pt idx="810">
                  <c:v>43864</c:v>
                </c:pt>
                <c:pt idx="811">
                  <c:v>43865</c:v>
                </c:pt>
                <c:pt idx="812">
                  <c:v>43866</c:v>
                </c:pt>
                <c:pt idx="813">
                  <c:v>43867</c:v>
                </c:pt>
                <c:pt idx="814">
                  <c:v>43868</c:v>
                </c:pt>
                <c:pt idx="815">
                  <c:v>43869</c:v>
                </c:pt>
                <c:pt idx="816">
                  <c:v>43870</c:v>
                </c:pt>
                <c:pt idx="817">
                  <c:v>43871</c:v>
                </c:pt>
                <c:pt idx="818">
                  <c:v>43872</c:v>
                </c:pt>
                <c:pt idx="819">
                  <c:v>43873</c:v>
                </c:pt>
                <c:pt idx="820">
                  <c:v>43874</c:v>
                </c:pt>
                <c:pt idx="821">
                  <c:v>43875</c:v>
                </c:pt>
                <c:pt idx="822">
                  <c:v>43876</c:v>
                </c:pt>
                <c:pt idx="823">
                  <c:v>43877</c:v>
                </c:pt>
                <c:pt idx="824">
                  <c:v>43878</c:v>
                </c:pt>
                <c:pt idx="825">
                  <c:v>43879</c:v>
                </c:pt>
                <c:pt idx="826">
                  <c:v>43880</c:v>
                </c:pt>
                <c:pt idx="827">
                  <c:v>43881</c:v>
                </c:pt>
                <c:pt idx="828">
                  <c:v>43882</c:v>
                </c:pt>
                <c:pt idx="829">
                  <c:v>43883</c:v>
                </c:pt>
                <c:pt idx="830">
                  <c:v>43884</c:v>
                </c:pt>
                <c:pt idx="831">
                  <c:v>43885</c:v>
                </c:pt>
                <c:pt idx="832">
                  <c:v>43886</c:v>
                </c:pt>
                <c:pt idx="833">
                  <c:v>43887</c:v>
                </c:pt>
                <c:pt idx="834">
                  <c:v>43888</c:v>
                </c:pt>
                <c:pt idx="835">
                  <c:v>43889</c:v>
                </c:pt>
                <c:pt idx="836">
                  <c:v>43890</c:v>
                </c:pt>
                <c:pt idx="837">
                  <c:v>43891</c:v>
                </c:pt>
                <c:pt idx="838">
                  <c:v>43892</c:v>
                </c:pt>
                <c:pt idx="839">
                  <c:v>43893</c:v>
                </c:pt>
                <c:pt idx="840">
                  <c:v>43894</c:v>
                </c:pt>
                <c:pt idx="841">
                  <c:v>43895</c:v>
                </c:pt>
                <c:pt idx="842">
                  <c:v>43896</c:v>
                </c:pt>
                <c:pt idx="843">
                  <c:v>43897</c:v>
                </c:pt>
                <c:pt idx="844">
                  <c:v>43898</c:v>
                </c:pt>
                <c:pt idx="845">
                  <c:v>43899</c:v>
                </c:pt>
                <c:pt idx="846">
                  <c:v>43900</c:v>
                </c:pt>
                <c:pt idx="847">
                  <c:v>43901</c:v>
                </c:pt>
                <c:pt idx="848">
                  <c:v>43902</c:v>
                </c:pt>
                <c:pt idx="849">
                  <c:v>43903</c:v>
                </c:pt>
                <c:pt idx="850">
                  <c:v>43904</c:v>
                </c:pt>
                <c:pt idx="851">
                  <c:v>43905</c:v>
                </c:pt>
                <c:pt idx="852">
                  <c:v>43906</c:v>
                </c:pt>
                <c:pt idx="853">
                  <c:v>43907</c:v>
                </c:pt>
                <c:pt idx="854">
                  <c:v>43908</c:v>
                </c:pt>
                <c:pt idx="855">
                  <c:v>43909</c:v>
                </c:pt>
                <c:pt idx="856">
                  <c:v>43910</c:v>
                </c:pt>
                <c:pt idx="857">
                  <c:v>43911</c:v>
                </c:pt>
                <c:pt idx="858">
                  <c:v>43912</c:v>
                </c:pt>
                <c:pt idx="859">
                  <c:v>43913</c:v>
                </c:pt>
                <c:pt idx="860">
                  <c:v>43914</c:v>
                </c:pt>
                <c:pt idx="861">
                  <c:v>43915</c:v>
                </c:pt>
                <c:pt idx="862">
                  <c:v>43916</c:v>
                </c:pt>
                <c:pt idx="863">
                  <c:v>43917</c:v>
                </c:pt>
                <c:pt idx="864">
                  <c:v>43918</c:v>
                </c:pt>
                <c:pt idx="865">
                  <c:v>43919</c:v>
                </c:pt>
                <c:pt idx="866">
                  <c:v>43920</c:v>
                </c:pt>
                <c:pt idx="867">
                  <c:v>43921</c:v>
                </c:pt>
                <c:pt idx="868">
                  <c:v>43922</c:v>
                </c:pt>
                <c:pt idx="869">
                  <c:v>43923</c:v>
                </c:pt>
                <c:pt idx="870">
                  <c:v>43924</c:v>
                </c:pt>
                <c:pt idx="871">
                  <c:v>43925</c:v>
                </c:pt>
                <c:pt idx="872">
                  <c:v>43926</c:v>
                </c:pt>
                <c:pt idx="873">
                  <c:v>43927</c:v>
                </c:pt>
                <c:pt idx="874">
                  <c:v>43928</c:v>
                </c:pt>
                <c:pt idx="875">
                  <c:v>43929</c:v>
                </c:pt>
                <c:pt idx="876">
                  <c:v>43930</c:v>
                </c:pt>
                <c:pt idx="877">
                  <c:v>43931</c:v>
                </c:pt>
                <c:pt idx="878">
                  <c:v>43932</c:v>
                </c:pt>
                <c:pt idx="879">
                  <c:v>43933</c:v>
                </c:pt>
                <c:pt idx="880">
                  <c:v>43934</c:v>
                </c:pt>
                <c:pt idx="881">
                  <c:v>43935</c:v>
                </c:pt>
                <c:pt idx="882">
                  <c:v>43936</c:v>
                </c:pt>
                <c:pt idx="883">
                  <c:v>43937</c:v>
                </c:pt>
                <c:pt idx="884">
                  <c:v>43938</c:v>
                </c:pt>
                <c:pt idx="885">
                  <c:v>43939</c:v>
                </c:pt>
                <c:pt idx="886">
                  <c:v>43940</c:v>
                </c:pt>
                <c:pt idx="887">
                  <c:v>43941</c:v>
                </c:pt>
                <c:pt idx="888">
                  <c:v>43942</c:v>
                </c:pt>
                <c:pt idx="889">
                  <c:v>43943</c:v>
                </c:pt>
                <c:pt idx="890">
                  <c:v>43944</c:v>
                </c:pt>
                <c:pt idx="891">
                  <c:v>43945</c:v>
                </c:pt>
                <c:pt idx="892">
                  <c:v>43946</c:v>
                </c:pt>
                <c:pt idx="893">
                  <c:v>43947</c:v>
                </c:pt>
                <c:pt idx="894">
                  <c:v>43948</c:v>
                </c:pt>
                <c:pt idx="895">
                  <c:v>43949</c:v>
                </c:pt>
                <c:pt idx="896">
                  <c:v>43950</c:v>
                </c:pt>
                <c:pt idx="897">
                  <c:v>43951</c:v>
                </c:pt>
                <c:pt idx="898">
                  <c:v>43952</c:v>
                </c:pt>
                <c:pt idx="899">
                  <c:v>43953</c:v>
                </c:pt>
                <c:pt idx="900">
                  <c:v>43954</c:v>
                </c:pt>
                <c:pt idx="901">
                  <c:v>43955</c:v>
                </c:pt>
                <c:pt idx="902">
                  <c:v>43956</c:v>
                </c:pt>
                <c:pt idx="903">
                  <c:v>43957</c:v>
                </c:pt>
                <c:pt idx="904">
                  <c:v>43958</c:v>
                </c:pt>
                <c:pt idx="905">
                  <c:v>43959</c:v>
                </c:pt>
                <c:pt idx="906">
                  <c:v>43960</c:v>
                </c:pt>
                <c:pt idx="907">
                  <c:v>43961</c:v>
                </c:pt>
                <c:pt idx="908">
                  <c:v>43962</c:v>
                </c:pt>
                <c:pt idx="909">
                  <c:v>43963</c:v>
                </c:pt>
                <c:pt idx="910">
                  <c:v>43964</c:v>
                </c:pt>
                <c:pt idx="911">
                  <c:v>43965</c:v>
                </c:pt>
                <c:pt idx="912">
                  <c:v>43966</c:v>
                </c:pt>
                <c:pt idx="913">
                  <c:v>43967</c:v>
                </c:pt>
                <c:pt idx="914">
                  <c:v>43968</c:v>
                </c:pt>
                <c:pt idx="915">
                  <c:v>43969</c:v>
                </c:pt>
                <c:pt idx="916">
                  <c:v>43970</c:v>
                </c:pt>
                <c:pt idx="917">
                  <c:v>43971</c:v>
                </c:pt>
                <c:pt idx="918">
                  <c:v>43972</c:v>
                </c:pt>
                <c:pt idx="919">
                  <c:v>43973</c:v>
                </c:pt>
                <c:pt idx="920">
                  <c:v>43974</c:v>
                </c:pt>
                <c:pt idx="921">
                  <c:v>43975</c:v>
                </c:pt>
                <c:pt idx="922">
                  <c:v>43976</c:v>
                </c:pt>
                <c:pt idx="923">
                  <c:v>43977</c:v>
                </c:pt>
                <c:pt idx="924">
                  <c:v>43978</c:v>
                </c:pt>
                <c:pt idx="925">
                  <c:v>43979</c:v>
                </c:pt>
                <c:pt idx="926">
                  <c:v>43980</c:v>
                </c:pt>
                <c:pt idx="927">
                  <c:v>43981</c:v>
                </c:pt>
                <c:pt idx="928">
                  <c:v>43982</c:v>
                </c:pt>
                <c:pt idx="929">
                  <c:v>43983</c:v>
                </c:pt>
                <c:pt idx="930">
                  <c:v>43984</c:v>
                </c:pt>
                <c:pt idx="931">
                  <c:v>43985</c:v>
                </c:pt>
                <c:pt idx="932">
                  <c:v>43986</c:v>
                </c:pt>
                <c:pt idx="933">
                  <c:v>43987</c:v>
                </c:pt>
                <c:pt idx="934">
                  <c:v>43988</c:v>
                </c:pt>
                <c:pt idx="935">
                  <c:v>43989</c:v>
                </c:pt>
                <c:pt idx="936">
                  <c:v>43990</c:v>
                </c:pt>
                <c:pt idx="937">
                  <c:v>43991</c:v>
                </c:pt>
                <c:pt idx="938">
                  <c:v>43992</c:v>
                </c:pt>
                <c:pt idx="939">
                  <c:v>43993</c:v>
                </c:pt>
                <c:pt idx="940">
                  <c:v>43994</c:v>
                </c:pt>
                <c:pt idx="941">
                  <c:v>43995</c:v>
                </c:pt>
                <c:pt idx="942">
                  <c:v>43996</c:v>
                </c:pt>
                <c:pt idx="943">
                  <c:v>43997</c:v>
                </c:pt>
                <c:pt idx="944">
                  <c:v>43998</c:v>
                </c:pt>
                <c:pt idx="945">
                  <c:v>43999</c:v>
                </c:pt>
                <c:pt idx="946">
                  <c:v>44000</c:v>
                </c:pt>
                <c:pt idx="947">
                  <c:v>44001</c:v>
                </c:pt>
                <c:pt idx="948">
                  <c:v>44002</c:v>
                </c:pt>
                <c:pt idx="949">
                  <c:v>44003</c:v>
                </c:pt>
                <c:pt idx="950">
                  <c:v>44004</c:v>
                </c:pt>
                <c:pt idx="951">
                  <c:v>44005</c:v>
                </c:pt>
                <c:pt idx="952">
                  <c:v>44006</c:v>
                </c:pt>
                <c:pt idx="953">
                  <c:v>44007</c:v>
                </c:pt>
                <c:pt idx="954">
                  <c:v>44008</c:v>
                </c:pt>
                <c:pt idx="955">
                  <c:v>44009</c:v>
                </c:pt>
                <c:pt idx="956">
                  <c:v>44010</c:v>
                </c:pt>
                <c:pt idx="957">
                  <c:v>44011</c:v>
                </c:pt>
                <c:pt idx="958">
                  <c:v>44012</c:v>
                </c:pt>
                <c:pt idx="959">
                  <c:v>44013</c:v>
                </c:pt>
                <c:pt idx="960">
                  <c:v>44014</c:v>
                </c:pt>
                <c:pt idx="961">
                  <c:v>44015</c:v>
                </c:pt>
                <c:pt idx="962">
                  <c:v>44016</c:v>
                </c:pt>
                <c:pt idx="963">
                  <c:v>44017</c:v>
                </c:pt>
                <c:pt idx="964">
                  <c:v>44018</c:v>
                </c:pt>
                <c:pt idx="965">
                  <c:v>44019</c:v>
                </c:pt>
                <c:pt idx="966">
                  <c:v>44020</c:v>
                </c:pt>
                <c:pt idx="967">
                  <c:v>44021</c:v>
                </c:pt>
                <c:pt idx="968">
                  <c:v>44022</c:v>
                </c:pt>
                <c:pt idx="969">
                  <c:v>44023</c:v>
                </c:pt>
                <c:pt idx="970">
                  <c:v>44024</c:v>
                </c:pt>
                <c:pt idx="971">
                  <c:v>44025</c:v>
                </c:pt>
                <c:pt idx="972">
                  <c:v>44026</c:v>
                </c:pt>
                <c:pt idx="973">
                  <c:v>44027</c:v>
                </c:pt>
                <c:pt idx="974">
                  <c:v>44028</c:v>
                </c:pt>
                <c:pt idx="975">
                  <c:v>44029</c:v>
                </c:pt>
                <c:pt idx="976">
                  <c:v>44030</c:v>
                </c:pt>
                <c:pt idx="977">
                  <c:v>44031</c:v>
                </c:pt>
                <c:pt idx="978">
                  <c:v>44032</c:v>
                </c:pt>
                <c:pt idx="979">
                  <c:v>44033</c:v>
                </c:pt>
                <c:pt idx="980">
                  <c:v>44034</c:v>
                </c:pt>
                <c:pt idx="981">
                  <c:v>44035</c:v>
                </c:pt>
                <c:pt idx="982">
                  <c:v>44036</c:v>
                </c:pt>
                <c:pt idx="983">
                  <c:v>44037</c:v>
                </c:pt>
                <c:pt idx="984">
                  <c:v>44038</c:v>
                </c:pt>
                <c:pt idx="985">
                  <c:v>44039</c:v>
                </c:pt>
                <c:pt idx="986">
                  <c:v>44040</c:v>
                </c:pt>
                <c:pt idx="987">
                  <c:v>44041</c:v>
                </c:pt>
                <c:pt idx="988">
                  <c:v>44042</c:v>
                </c:pt>
                <c:pt idx="989">
                  <c:v>44043</c:v>
                </c:pt>
                <c:pt idx="990">
                  <c:v>44044</c:v>
                </c:pt>
                <c:pt idx="991">
                  <c:v>44045</c:v>
                </c:pt>
                <c:pt idx="992">
                  <c:v>44046</c:v>
                </c:pt>
                <c:pt idx="993">
                  <c:v>44047</c:v>
                </c:pt>
                <c:pt idx="994">
                  <c:v>44048</c:v>
                </c:pt>
                <c:pt idx="995">
                  <c:v>44049</c:v>
                </c:pt>
                <c:pt idx="996">
                  <c:v>44050</c:v>
                </c:pt>
                <c:pt idx="997">
                  <c:v>44051</c:v>
                </c:pt>
                <c:pt idx="998">
                  <c:v>44052</c:v>
                </c:pt>
                <c:pt idx="999">
                  <c:v>44053</c:v>
                </c:pt>
                <c:pt idx="1000">
                  <c:v>44054</c:v>
                </c:pt>
                <c:pt idx="1001">
                  <c:v>44055</c:v>
                </c:pt>
                <c:pt idx="1002">
                  <c:v>44056</c:v>
                </c:pt>
                <c:pt idx="1003">
                  <c:v>44057</c:v>
                </c:pt>
                <c:pt idx="1004">
                  <c:v>44058</c:v>
                </c:pt>
                <c:pt idx="1005">
                  <c:v>44059</c:v>
                </c:pt>
                <c:pt idx="1006">
                  <c:v>44060</c:v>
                </c:pt>
                <c:pt idx="1007">
                  <c:v>44061</c:v>
                </c:pt>
                <c:pt idx="1008">
                  <c:v>44062</c:v>
                </c:pt>
                <c:pt idx="1009">
                  <c:v>44063</c:v>
                </c:pt>
                <c:pt idx="1010">
                  <c:v>44064</c:v>
                </c:pt>
                <c:pt idx="1011">
                  <c:v>44065</c:v>
                </c:pt>
                <c:pt idx="1012">
                  <c:v>44066</c:v>
                </c:pt>
                <c:pt idx="1013">
                  <c:v>44067</c:v>
                </c:pt>
                <c:pt idx="1014">
                  <c:v>44068</c:v>
                </c:pt>
                <c:pt idx="1015">
                  <c:v>44069</c:v>
                </c:pt>
                <c:pt idx="1016">
                  <c:v>44070</c:v>
                </c:pt>
                <c:pt idx="1017">
                  <c:v>44071</c:v>
                </c:pt>
                <c:pt idx="1018">
                  <c:v>44072</c:v>
                </c:pt>
                <c:pt idx="1019">
                  <c:v>44073</c:v>
                </c:pt>
                <c:pt idx="1020">
                  <c:v>44074</c:v>
                </c:pt>
                <c:pt idx="1021">
                  <c:v>44075</c:v>
                </c:pt>
                <c:pt idx="1022">
                  <c:v>44076</c:v>
                </c:pt>
                <c:pt idx="1023">
                  <c:v>44077</c:v>
                </c:pt>
                <c:pt idx="1024">
                  <c:v>44078</c:v>
                </c:pt>
                <c:pt idx="1025">
                  <c:v>44079</c:v>
                </c:pt>
                <c:pt idx="1026">
                  <c:v>44080</c:v>
                </c:pt>
                <c:pt idx="1027">
                  <c:v>44081</c:v>
                </c:pt>
                <c:pt idx="1028">
                  <c:v>44082</c:v>
                </c:pt>
                <c:pt idx="1029">
                  <c:v>44083</c:v>
                </c:pt>
                <c:pt idx="1030">
                  <c:v>44084</c:v>
                </c:pt>
                <c:pt idx="1031">
                  <c:v>44085</c:v>
                </c:pt>
                <c:pt idx="1032">
                  <c:v>44086</c:v>
                </c:pt>
                <c:pt idx="1033">
                  <c:v>44087</c:v>
                </c:pt>
                <c:pt idx="1034">
                  <c:v>44088</c:v>
                </c:pt>
                <c:pt idx="1035">
                  <c:v>44089</c:v>
                </c:pt>
                <c:pt idx="1036">
                  <c:v>44090</c:v>
                </c:pt>
                <c:pt idx="1037">
                  <c:v>44091</c:v>
                </c:pt>
                <c:pt idx="1038">
                  <c:v>44092</c:v>
                </c:pt>
                <c:pt idx="1039">
                  <c:v>44093</c:v>
                </c:pt>
                <c:pt idx="1040">
                  <c:v>44094</c:v>
                </c:pt>
                <c:pt idx="1041">
                  <c:v>44095</c:v>
                </c:pt>
                <c:pt idx="1042">
                  <c:v>44096</c:v>
                </c:pt>
                <c:pt idx="1043">
                  <c:v>44097</c:v>
                </c:pt>
                <c:pt idx="1044">
                  <c:v>44098</c:v>
                </c:pt>
                <c:pt idx="1045">
                  <c:v>44099</c:v>
                </c:pt>
                <c:pt idx="1046">
                  <c:v>44100</c:v>
                </c:pt>
                <c:pt idx="1047">
                  <c:v>44101</c:v>
                </c:pt>
                <c:pt idx="1048">
                  <c:v>44102</c:v>
                </c:pt>
                <c:pt idx="1049">
                  <c:v>44103</c:v>
                </c:pt>
                <c:pt idx="1050">
                  <c:v>44104</c:v>
                </c:pt>
                <c:pt idx="1051">
                  <c:v>44105</c:v>
                </c:pt>
                <c:pt idx="1052">
                  <c:v>44106</c:v>
                </c:pt>
                <c:pt idx="1053">
                  <c:v>44107</c:v>
                </c:pt>
                <c:pt idx="1054">
                  <c:v>44108</c:v>
                </c:pt>
                <c:pt idx="1055">
                  <c:v>44109</c:v>
                </c:pt>
                <c:pt idx="1056">
                  <c:v>44110</c:v>
                </c:pt>
                <c:pt idx="1057">
                  <c:v>44111</c:v>
                </c:pt>
                <c:pt idx="1058">
                  <c:v>44112</c:v>
                </c:pt>
                <c:pt idx="1059">
                  <c:v>44113</c:v>
                </c:pt>
                <c:pt idx="1060">
                  <c:v>44114</c:v>
                </c:pt>
                <c:pt idx="1061">
                  <c:v>44115</c:v>
                </c:pt>
                <c:pt idx="1062">
                  <c:v>44116</c:v>
                </c:pt>
                <c:pt idx="1063">
                  <c:v>44117</c:v>
                </c:pt>
                <c:pt idx="1064">
                  <c:v>44118</c:v>
                </c:pt>
                <c:pt idx="1065">
                  <c:v>44119</c:v>
                </c:pt>
                <c:pt idx="1066">
                  <c:v>44120</c:v>
                </c:pt>
                <c:pt idx="1067">
                  <c:v>44121</c:v>
                </c:pt>
                <c:pt idx="1068">
                  <c:v>44122</c:v>
                </c:pt>
                <c:pt idx="1069">
                  <c:v>44123</c:v>
                </c:pt>
                <c:pt idx="1070">
                  <c:v>44124</c:v>
                </c:pt>
                <c:pt idx="1071">
                  <c:v>44125</c:v>
                </c:pt>
                <c:pt idx="1072">
                  <c:v>44126</c:v>
                </c:pt>
                <c:pt idx="1073">
                  <c:v>44127</c:v>
                </c:pt>
                <c:pt idx="1074">
                  <c:v>44128</c:v>
                </c:pt>
                <c:pt idx="1075">
                  <c:v>44129</c:v>
                </c:pt>
                <c:pt idx="1076">
                  <c:v>44130</c:v>
                </c:pt>
                <c:pt idx="1077">
                  <c:v>44131</c:v>
                </c:pt>
                <c:pt idx="1078">
                  <c:v>44132</c:v>
                </c:pt>
                <c:pt idx="1079">
                  <c:v>44133</c:v>
                </c:pt>
                <c:pt idx="1080">
                  <c:v>44134</c:v>
                </c:pt>
                <c:pt idx="1081">
                  <c:v>44135</c:v>
                </c:pt>
                <c:pt idx="1082">
                  <c:v>44136</c:v>
                </c:pt>
                <c:pt idx="1083">
                  <c:v>44137</c:v>
                </c:pt>
                <c:pt idx="1084">
                  <c:v>44138</c:v>
                </c:pt>
                <c:pt idx="1085">
                  <c:v>44139</c:v>
                </c:pt>
                <c:pt idx="1086">
                  <c:v>44140</c:v>
                </c:pt>
                <c:pt idx="1087">
                  <c:v>44141</c:v>
                </c:pt>
                <c:pt idx="1088">
                  <c:v>44142</c:v>
                </c:pt>
                <c:pt idx="1089">
                  <c:v>44143</c:v>
                </c:pt>
                <c:pt idx="1090">
                  <c:v>44144</c:v>
                </c:pt>
                <c:pt idx="1091">
                  <c:v>44145</c:v>
                </c:pt>
                <c:pt idx="1092">
                  <c:v>44146</c:v>
                </c:pt>
                <c:pt idx="1093">
                  <c:v>44147</c:v>
                </c:pt>
                <c:pt idx="1094">
                  <c:v>44148</c:v>
                </c:pt>
                <c:pt idx="1095">
                  <c:v>44149</c:v>
                </c:pt>
                <c:pt idx="1096">
                  <c:v>44150</c:v>
                </c:pt>
                <c:pt idx="1097">
                  <c:v>44151</c:v>
                </c:pt>
                <c:pt idx="1098">
                  <c:v>44152</c:v>
                </c:pt>
                <c:pt idx="1099">
                  <c:v>44153</c:v>
                </c:pt>
                <c:pt idx="1100">
                  <c:v>44154</c:v>
                </c:pt>
                <c:pt idx="1101">
                  <c:v>44155</c:v>
                </c:pt>
                <c:pt idx="1102">
                  <c:v>44156</c:v>
                </c:pt>
                <c:pt idx="1103">
                  <c:v>44157</c:v>
                </c:pt>
                <c:pt idx="1104">
                  <c:v>44158</c:v>
                </c:pt>
                <c:pt idx="1105">
                  <c:v>44159</c:v>
                </c:pt>
                <c:pt idx="1106">
                  <c:v>44160</c:v>
                </c:pt>
                <c:pt idx="1107">
                  <c:v>44161</c:v>
                </c:pt>
                <c:pt idx="1108">
                  <c:v>44162</c:v>
                </c:pt>
                <c:pt idx="1109">
                  <c:v>44163</c:v>
                </c:pt>
                <c:pt idx="1110">
                  <c:v>44164</c:v>
                </c:pt>
                <c:pt idx="1111">
                  <c:v>44165</c:v>
                </c:pt>
                <c:pt idx="1112">
                  <c:v>44166</c:v>
                </c:pt>
                <c:pt idx="1113">
                  <c:v>44167</c:v>
                </c:pt>
                <c:pt idx="1114">
                  <c:v>44168</c:v>
                </c:pt>
                <c:pt idx="1115">
                  <c:v>44169</c:v>
                </c:pt>
                <c:pt idx="1116">
                  <c:v>44170</c:v>
                </c:pt>
                <c:pt idx="1117">
                  <c:v>44171</c:v>
                </c:pt>
                <c:pt idx="1118">
                  <c:v>44172</c:v>
                </c:pt>
                <c:pt idx="1119">
                  <c:v>44173</c:v>
                </c:pt>
                <c:pt idx="1120">
                  <c:v>44174</c:v>
                </c:pt>
                <c:pt idx="1121">
                  <c:v>44175</c:v>
                </c:pt>
                <c:pt idx="1122">
                  <c:v>44176</c:v>
                </c:pt>
                <c:pt idx="1123">
                  <c:v>44177</c:v>
                </c:pt>
                <c:pt idx="1124">
                  <c:v>44178</c:v>
                </c:pt>
                <c:pt idx="1125">
                  <c:v>44179</c:v>
                </c:pt>
                <c:pt idx="1126">
                  <c:v>44180</c:v>
                </c:pt>
                <c:pt idx="1127">
                  <c:v>44181</c:v>
                </c:pt>
                <c:pt idx="1128">
                  <c:v>44182</c:v>
                </c:pt>
                <c:pt idx="1129">
                  <c:v>44183</c:v>
                </c:pt>
                <c:pt idx="1130">
                  <c:v>44184</c:v>
                </c:pt>
                <c:pt idx="1131">
                  <c:v>44185</c:v>
                </c:pt>
                <c:pt idx="1132">
                  <c:v>44186</c:v>
                </c:pt>
                <c:pt idx="1133">
                  <c:v>44187</c:v>
                </c:pt>
                <c:pt idx="1134">
                  <c:v>44188</c:v>
                </c:pt>
                <c:pt idx="1135">
                  <c:v>44189</c:v>
                </c:pt>
                <c:pt idx="1136">
                  <c:v>44190</c:v>
                </c:pt>
                <c:pt idx="1137">
                  <c:v>44191</c:v>
                </c:pt>
                <c:pt idx="1138">
                  <c:v>44192</c:v>
                </c:pt>
                <c:pt idx="1139">
                  <c:v>44193</c:v>
                </c:pt>
                <c:pt idx="1140">
                  <c:v>44194</c:v>
                </c:pt>
                <c:pt idx="1141">
                  <c:v>44195</c:v>
                </c:pt>
                <c:pt idx="1142">
                  <c:v>44196</c:v>
                </c:pt>
                <c:pt idx="1143">
                  <c:v>44197</c:v>
                </c:pt>
                <c:pt idx="1144">
                  <c:v>44198</c:v>
                </c:pt>
                <c:pt idx="1145">
                  <c:v>44199</c:v>
                </c:pt>
                <c:pt idx="1146">
                  <c:v>44200</c:v>
                </c:pt>
                <c:pt idx="1147">
                  <c:v>44201</c:v>
                </c:pt>
                <c:pt idx="1148">
                  <c:v>44202</c:v>
                </c:pt>
                <c:pt idx="1149">
                  <c:v>44203</c:v>
                </c:pt>
                <c:pt idx="1150">
                  <c:v>44204</c:v>
                </c:pt>
                <c:pt idx="1151">
                  <c:v>44205</c:v>
                </c:pt>
                <c:pt idx="1152">
                  <c:v>44206</c:v>
                </c:pt>
                <c:pt idx="1153">
                  <c:v>44207</c:v>
                </c:pt>
                <c:pt idx="1154">
                  <c:v>44208</c:v>
                </c:pt>
                <c:pt idx="1155">
                  <c:v>44209</c:v>
                </c:pt>
                <c:pt idx="1156">
                  <c:v>44210</c:v>
                </c:pt>
                <c:pt idx="1157">
                  <c:v>44211</c:v>
                </c:pt>
                <c:pt idx="1158">
                  <c:v>44212</c:v>
                </c:pt>
                <c:pt idx="1159">
                  <c:v>44213</c:v>
                </c:pt>
                <c:pt idx="1160">
                  <c:v>44214</c:v>
                </c:pt>
                <c:pt idx="1161">
                  <c:v>44215</c:v>
                </c:pt>
                <c:pt idx="1162">
                  <c:v>44216</c:v>
                </c:pt>
                <c:pt idx="1163">
                  <c:v>44217</c:v>
                </c:pt>
                <c:pt idx="1164">
                  <c:v>44218</c:v>
                </c:pt>
                <c:pt idx="1165">
                  <c:v>44219</c:v>
                </c:pt>
                <c:pt idx="1166">
                  <c:v>44220</c:v>
                </c:pt>
                <c:pt idx="1167">
                  <c:v>44221</c:v>
                </c:pt>
                <c:pt idx="1168">
                  <c:v>44222</c:v>
                </c:pt>
                <c:pt idx="1169">
                  <c:v>44223</c:v>
                </c:pt>
                <c:pt idx="1170">
                  <c:v>44224</c:v>
                </c:pt>
                <c:pt idx="1171">
                  <c:v>44225</c:v>
                </c:pt>
                <c:pt idx="1172">
                  <c:v>44226</c:v>
                </c:pt>
                <c:pt idx="1173">
                  <c:v>44227</c:v>
                </c:pt>
                <c:pt idx="1174">
                  <c:v>44228</c:v>
                </c:pt>
                <c:pt idx="1175">
                  <c:v>44229</c:v>
                </c:pt>
                <c:pt idx="1176">
                  <c:v>44230</c:v>
                </c:pt>
                <c:pt idx="1177">
                  <c:v>44231</c:v>
                </c:pt>
                <c:pt idx="1178">
                  <c:v>44232</c:v>
                </c:pt>
                <c:pt idx="1179">
                  <c:v>44233</c:v>
                </c:pt>
                <c:pt idx="1180">
                  <c:v>44234</c:v>
                </c:pt>
                <c:pt idx="1181">
                  <c:v>44235</c:v>
                </c:pt>
                <c:pt idx="1182">
                  <c:v>44236</c:v>
                </c:pt>
                <c:pt idx="1183">
                  <c:v>44237</c:v>
                </c:pt>
                <c:pt idx="1184">
                  <c:v>44238</c:v>
                </c:pt>
                <c:pt idx="1185">
                  <c:v>44239</c:v>
                </c:pt>
                <c:pt idx="1186">
                  <c:v>44240</c:v>
                </c:pt>
                <c:pt idx="1187">
                  <c:v>44241</c:v>
                </c:pt>
                <c:pt idx="1188">
                  <c:v>44242</c:v>
                </c:pt>
                <c:pt idx="1189">
                  <c:v>44243</c:v>
                </c:pt>
                <c:pt idx="1190">
                  <c:v>44244</c:v>
                </c:pt>
                <c:pt idx="1191">
                  <c:v>44245</c:v>
                </c:pt>
                <c:pt idx="1192">
                  <c:v>44246</c:v>
                </c:pt>
                <c:pt idx="1193">
                  <c:v>44247</c:v>
                </c:pt>
                <c:pt idx="1194">
                  <c:v>44248</c:v>
                </c:pt>
                <c:pt idx="1195">
                  <c:v>44249</c:v>
                </c:pt>
                <c:pt idx="1196">
                  <c:v>44250</c:v>
                </c:pt>
                <c:pt idx="1197">
                  <c:v>44251</c:v>
                </c:pt>
                <c:pt idx="1198">
                  <c:v>44252</c:v>
                </c:pt>
                <c:pt idx="1199">
                  <c:v>44253</c:v>
                </c:pt>
                <c:pt idx="1200">
                  <c:v>44254</c:v>
                </c:pt>
                <c:pt idx="1201">
                  <c:v>44255</c:v>
                </c:pt>
                <c:pt idx="1202">
                  <c:v>44256</c:v>
                </c:pt>
                <c:pt idx="1203">
                  <c:v>44257</c:v>
                </c:pt>
                <c:pt idx="1204">
                  <c:v>44258</c:v>
                </c:pt>
                <c:pt idx="1205">
                  <c:v>44259</c:v>
                </c:pt>
                <c:pt idx="1206">
                  <c:v>44260</c:v>
                </c:pt>
                <c:pt idx="1207">
                  <c:v>44261</c:v>
                </c:pt>
                <c:pt idx="1208">
                  <c:v>44262</c:v>
                </c:pt>
                <c:pt idx="1209">
                  <c:v>44263</c:v>
                </c:pt>
                <c:pt idx="1210">
                  <c:v>44264</c:v>
                </c:pt>
                <c:pt idx="1211">
                  <c:v>44265</c:v>
                </c:pt>
                <c:pt idx="1212">
                  <c:v>44266</c:v>
                </c:pt>
                <c:pt idx="1213">
                  <c:v>44267</c:v>
                </c:pt>
                <c:pt idx="1214">
                  <c:v>44268</c:v>
                </c:pt>
                <c:pt idx="1215">
                  <c:v>44269</c:v>
                </c:pt>
                <c:pt idx="1216">
                  <c:v>44270</c:v>
                </c:pt>
                <c:pt idx="1217">
                  <c:v>44271</c:v>
                </c:pt>
                <c:pt idx="1218">
                  <c:v>44272</c:v>
                </c:pt>
                <c:pt idx="1219">
                  <c:v>44273</c:v>
                </c:pt>
                <c:pt idx="1220">
                  <c:v>44274</c:v>
                </c:pt>
                <c:pt idx="1221">
                  <c:v>44275</c:v>
                </c:pt>
                <c:pt idx="1222">
                  <c:v>44276</c:v>
                </c:pt>
                <c:pt idx="1223">
                  <c:v>44277</c:v>
                </c:pt>
                <c:pt idx="1224">
                  <c:v>44278</c:v>
                </c:pt>
                <c:pt idx="1225">
                  <c:v>44279</c:v>
                </c:pt>
                <c:pt idx="1226">
                  <c:v>44280</c:v>
                </c:pt>
                <c:pt idx="1227">
                  <c:v>44281</c:v>
                </c:pt>
                <c:pt idx="1228">
                  <c:v>44282</c:v>
                </c:pt>
                <c:pt idx="1229">
                  <c:v>44283</c:v>
                </c:pt>
                <c:pt idx="1230">
                  <c:v>44284</c:v>
                </c:pt>
                <c:pt idx="1231">
                  <c:v>44285</c:v>
                </c:pt>
                <c:pt idx="1232">
                  <c:v>44286</c:v>
                </c:pt>
                <c:pt idx="1233">
                  <c:v>44287</c:v>
                </c:pt>
                <c:pt idx="1234">
                  <c:v>44288</c:v>
                </c:pt>
                <c:pt idx="1235">
                  <c:v>44289</c:v>
                </c:pt>
                <c:pt idx="1236">
                  <c:v>44290</c:v>
                </c:pt>
                <c:pt idx="1237">
                  <c:v>44291</c:v>
                </c:pt>
                <c:pt idx="1238">
                  <c:v>44292</c:v>
                </c:pt>
                <c:pt idx="1239">
                  <c:v>44293</c:v>
                </c:pt>
                <c:pt idx="1240">
                  <c:v>44294</c:v>
                </c:pt>
                <c:pt idx="1241">
                  <c:v>44295</c:v>
                </c:pt>
                <c:pt idx="1242">
                  <c:v>44296</c:v>
                </c:pt>
                <c:pt idx="1243">
                  <c:v>44297</c:v>
                </c:pt>
                <c:pt idx="1244">
                  <c:v>44298</c:v>
                </c:pt>
                <c:pt idx="1245">
                  <c:v>44299</c:v>
                </c:pt>
                <c:pt idx="1246">
                  <c:v>44300</c:v>
                </c:pt>
                <c:pt idx="1247">
                  <c:v>44301</c:v>
                </c:pt>
                <c:pt idx="1248">
                  <c:v>44302</c:v>
                </c:pt>
                <c:pt idx="1249">
                  <c:v>44303</c:v>
                </c:pt>
                <c:pt idx="1250">
                  <c:v>44304</c:v>
                </c:pt>
                <c:pt idx="1251">
                  <c:v>44305</c:v>
                </c:pt>
                <c:pt idx="1252">
                  <c:v>44306</c:v>
                </c:pt>
                <c:pt idx="1253">
                  <c:v>44307</c:v>
                </c:pt>
                <c:pt idx="1254">
                  <c:v>44308</c:v>
                </c:pt>
                <c:pt idx="1255">
                  <c:v>44309</c:v>
                </c:pt>
                <c:pt idx="1256">
                  <c:v>44310</c:v>
                </c:pt>
                <c:pt idx="1257">
                  <c:v>44311</c:v>
                </c:pt>
                <c:pt idx="1258">
                  <c:v>44312</c:v>
                </c:pt>
                <c:pt idx="1259">
                  <c:v>44313</c:v>
                </c:pt>
                <c:pt idx="1260">
                  <c:v>44314</c:v>
                </c:pt>
                <c:pt idx="1261">
                  <c:v>44315</c:v>
                </c:pt>
                <c:pt idx="1262">
                  <c:v>44316</c:v>
                </c:pt>
                <c:pt idx="1263">
                  <c:v>44317</c:v>
                </c:pt>
                <c:pt idx="1264">
                  <c:v>44318</c:v>
                </c:pt>
                <c:pt idx="1265">
                  <c:v>44319</c:v>
                </c:pt>
                <c:pt idx="1266">
                  <c:v>44320</c:v>
                </c:pt>
                <c:pt idx="1267">
                  <c:v>44321</c:v>
                </c:pt>
                <c:pt idx="1268">
                  <c:v>44322</c:v>
                </c:pt>
                <c:pt idx="1269">
                  <c:v>44323</c:v>
                </c:pt>
                <c:pt idx="1270">
                  <c:v>44324</c:v>
                </c:pt>
                <c:pt idx="1271">
                  <c:v>44325</c:v>
                </c:pt>
                <c:pt idx="1272">
                  <c:v>44326</c:v>
                </c:pt>
                <c:pt idx="1273">
                  <c:v>44327</c:v>
                </c:pt>
                <c:pt idx="1274">
                  <c:v>44328</c:v>
                </c:pt>
                <c:pt idx="1275">
                  <c:v>44329</c:v>
                </c:pt>
                <c:pt idx="1276">
                  <c:v>44330</c:v>
                </c:pt>
                <c:pt idx="1277">
                  <c:v>44331</c:v>
                </c:pt>
                <c:pt idx="1278">
                  <c:v>44332</c:v>
                </c:pt>
                <c:pt idx="1279">
                  <c:v>44333</c:v>
                </c:pt>
                <c:pt idx="1280">
                  <c:v>44334</c:v>
                </c:pt>
                <c:pt idx="1281">
                  <c:v>44335</c:v>
                </c:pt>
                <c:pt idx="1282">
                  <c:v>44336</c:v>
                </c:pt>
                <c:pt idx="1283">
                  <c:v>44337</c:v>
                </c:pt>
                <c:pt idx="1284">
                  <c:v>44338</c:v>
                </c:pt>
                <c:pt idx="1285">
                  <c:v>44339</c:v>
                </c:pt>
                <c:pt idx="1286">
                  <c:v>44340</c:v>
                </c:pt>
                <c:pt idx="1287">
                  <c:v>44341</c:v>
                </c:pt>
                <c:pt idx="1288">
                  <c:v>44342</c:v>
                </c:pt>
                <c:pt idx="1289">
                  <c:v>44343</c:v>
                </c:pt>
                <c:pt idx="1290">
                  <c:v>44344</c:v>
                </c:pt>
                <c:pt idx="1291">
                  <c:v>44345</c:v>
                </c:pt>
                <c:pt idx="1292">
                  <c:v>44346</c:v>
                </c:pt>
                <c:pt idx="1293">
                  <c:v>44347</c:v>
                </c:pt>
                <c:pt idx="1294">
                  <c:v>44348</c:v>
                </c:pt>
                <c:pt idx="1295">
                  <c:v>44349</c:v>
                </c:pt>
                <c:pt idx="1296">
                  <c:v>44350</c:v>
                </c:pt>
                <c:pt idx="1297">
                  <c:v>44351</c:v>
                </c:pt>
                <c:pt idx="1298">
                  <c:v>44352</c:v>
                </c:pt>
                <c:pt idx="1299">
                  <c:v>44353</c:v>
                </c:pt>
                <c:pt idx="1300">
                  <c:v>44354</c:v>
                </c:pt>
                <c:pt idx="1301">
                  <c:v>44355</c:v>
                </c:pt>
                <c:pt idx="1302">
                  <c:v>44356</c:v>
                </c:pt>
                <c:pt idx="1303">
                  <c:v>44357</c:v>
                </c:pt>
                <c:pt idx="1304">
                  <c:v>44358</c:v>
                </c:pt>
                <c:pt idx="1305">
                  <c:v>44359</c:v>
                </c:pt>
                <c:pt idx="1306">
                  <c:v>44360</c:v>
                </c:pt>
                <c:pt idx="1307">
                  <c:v>44361</c:v>
                </c:pt>
                <c:pt idx="1308">
                  <c:v>44362</c:v>
                </c:pt>
                <c:pt idx="1309">
                  <c:v>44363</c:v>
                </c:pt>
                <c:pt idx="1310">
                  <c:v>44364</c:v>
                </c:pt>
                <c:pt idx="1311">
                  <c:v>44365</c:v>
                </c:pt>
                <c:pt idx="1312">
                  <c:v>44366</c:v>
                </c:pt>
                <c:pt idx="1313">
                  <c:v>44367</c:v>
                </c:pt>
                <c:pt idx="1314">
                  <c:v>44368</c:v>
                </c:pt>
                <c:pt idx="1315">
                  <c:v>44369</c:v>
                </c:pt>
                <c:pt idx="1316">
                  <c:v>44370</c:v>
                </c:pt>
                <c:pt idx="1317">
                  <c:v>44371</c:v>
                </c:pt>
                <c:pt idx="1318">
                  <c:v>44372</c:v>
                </c:pt>
                <c:pt idx="1319">
                  <c:v>44373</c:v>
                </c:pt>
                <c:pt idx="1320">
                  <c:v>44374</c:v>
                </c:pt>
                <c:pt idx="1321">
                  <c:v>44375</c:v>
                </c:pt>
                <c:pt idx="1322">
                  <c:v>44376</c:v>
                </c:pt>
                <c:pt idx="1323">
                  <c:v>44377</c:v>
                </c:pt>
                <c:pt idx="1324">
                  <c:v>44378</c:v>
                </c:pt>
                <c:pt idx="1325">
                  <c:v>44379</c:v>
                </c:pt>
                <c:pt idx="1326">
                  <c:v>44380</c:v>
                </c:pt>
                <c:pt idx="1327">
                  <c:v>44381</c:v>
                </c:pt>
                <c:pt idx="1328">
                  <c:v>44382</c:v>
                </c:pt>
                <c:pt idx="1329">
                  <c:v>44383</c:v>
                </c:pt>
                <c:pt idx="1330">
                  <c:v>44384</c:v>
                </c:pt>
                <c:pt idx="1331">
                  <c:v>44385</c:v>
                </c:pt>
                <c:pt idx="1332">
                  <c:v>44386</c:v>
                </c:pt>
                <c:pt idx="1333">
                  <c:v>44387</c:v>
                </c:pt>
                <c:pt idx="1334">
                  <c:v>44388</c:v>
                </c:pt>
                <c:pt idx="1335">
                  <c:v>44389</c:v>
                </c:pt>
                <c:pt idx="1336">
                  <c:v>44390</c:v>
                </c:pt>
                <c:pt idx="1337">
                  <c:v>44391</c:v>
                </c:pt>
                <c:pt idx="1338">
                  <c:v>44392</c:v>
                </c:pt>
                <c:pt idx="1339">
                  <c:v>44393</c:v>
                </c:pt>
                <c:pt idx="1340">
                  <c:v>44394</c:v>
                </c:pt>
                <c:pt idx="1341">
                  <c:v>44395</c:v>
                </c:pt>
                <c:pt idx="1342">
                  <c:v>44396</c:v>
                </c:pt>
                <c:pt idx="1343">
                  <c:v>44397</c:v>
                </c:pt>
                <c:pt idx="1344">
                  <c:v>44398</c:v>
                </c:pt>
                <c:pt idx="1345">
                  <c:v>44399</c:v>
                </c:pt>
                <c:pt idx="1346">
                  <c:v>44400</c:v>
                </c:pt>
                <c:pt idx="1347">
                  <c:v>44401</c:v>
                </c:pt>
                <c:pt idx="1348">
                  <c:v>44402</c:v>
                </c:pt>
                <c:pt idx="1349">
                  <c:v>44403</c:v>
                </c:pt>
                <c:pt idx="1350">
                  <c:v>44404</c:v>
                </c:pt>
                <c:pt idx="1351">
                  <c:v>44405</c:v>
                </c:pt>
                <c:pt idx="1352">
                  <c:v>44406</c:v>
                </c:pt>
                <c:pt idx="1353">
                  <c:v>44407</c:v>
                </c:pt>
                <c:pt idx="1354">
                  <c:v>44408</c:v>
                </c:pt>
                <c:pt idx="1355">
                  <c:v>44409</c:v>
                </c:pt>
                <c:pt idx="1356">
                  <c:v>44410</c:v>
                </c:pt>
                <c:pt idx="1357">
                  <c:v>44411</c:v>
                </c:pt>
                <c:pt idx="1358">
                  <c:v>44412</c:v>
                </c:pt>
                <c:pt idx="1359">
                  <c:v>44413</c:v>
                </c:pt>
                <c:pt idx="1360">
                  <c:v>44414</c:v>
                </c:pt>
                <c:pt idx="1361">
                  <c:v>44415</c:v>
                </c:pt>
                <c:pt idx="1362">
                  <c:v>44416</c:v>
                </c:pt>
                <c:pt idx="1363">
                  <c:v>44417</c:v>
                </c:pt>
                <c:pt idx="1364">
                  <c:v>44418</c:v>
                </c:pt>
                <c:pt idx="1365">
                  <c:v>44419</c:v>
                </c:pt>
                <c:pt idx="1366">
                  <c:v>44420</c:v>
                </c:pt>
                <c:pt idx="1367">
                  <c:v>44421</c:v>
                </c:pt>
                <c:pt idx="1368">
                  <c:v>44422</c:v>
                </c:pt>
                <c:pt idx="1369">
                  <c:v>44423</c:v>
                </c:pt>
                <c:pt idx="1370">
                  <c:v>44424</c:v>
                </c:pt>
                <c:pt idx="1371">
                  <c:v>44425</c:v>
                </c:pt>
                <c:pt idx="1372">
                  <c:v>44426</c:v>
                </c:pt>
                <c:pt idx="1373">
                  <c:v>44427</c:v>
                </c:pt>
                <c:pt idx="1374">
                  <c:v>44428</c:v>
                </c:pt>
                <c:pt idx="1375">
                  <c:v>44429</c:v>
                </c:pt>
                <c:pt idx="1376">
                  <c:v>44430</c:v>
                </c:pt>
                <c:pt idx="1377">
                  <c:v>44431</c:v>
                </c:pt>
                <c:pt idx="1378">
                  <c:v>44432</c:v>
                </c:pt>
                <c:pt idx="1379">
                  <c:v>44433</c:v>
                </c:pt>
                <c:pt idx="1380">
                  <c:v>44434</c:v>
                </c:pt>
                <c:pt idx="1381">
                  <c:v>44435</c:v>
                </c:pt>
                <c:pt idx="1382">
                  <c:v>44436</c:v>
                </c:pt>
                <c:pt idx="1383">
                  <c:v>44437</c:v>
                </c:pt>
                <c:pt idx="1384">
                  <c:v>44438</c:v>
                </c:pt>
                <c:pt idx="1385">
                  <c:v>44439</c:v>
                </c:pt>
                <c:pt idx="1386">
                  <c:v>44440</c:v>
                </c:pt>
                <c:pt idx="1387">
                  <c:v>44441</c:v>
                </c:pt>
                <c:pt idx="1388">
                  <c:v>44442</c:v>
                </c:pt>
                <c:pt idx="1389">
                  <c:v>44443</c:v>
                </c:pt>
                <c:pt idx="1390">
                  <c:v>44444</c:v>
                </c:pt>
                <c:pt idx="1391">
                  <c:v>44445</c:v>
                </c:pt>
                <c:pt idx="1392">
                  <c:v>44446</c:v>
                </c:pt>
                <c:pt idx="1393">
                  <c:v>44447</c:v>
                </c:pt>
                <c:pt idx="1394">
                  <c:v>44448</c:v>
                </c:pt>
                <c:pt idx="1395">
                  <c:v>44449</c:v>
                </c:pt>
                <c:pt idx="1396">
                  <c:v>44450</c:v>
                </c:pt>
                <c:pt idx="1397">
                  <c:v>44451</c:v>
                </c:pt>
                <c:pt idx="1398">
                  <c:v>44452</c:v>
                </c:pt>
                <c:pt idx="1399">
                  <c:v>44453</c:v>
                </c:pt>
                <c:pt idx="1400">
                  <c:v>44454</c:v>
                </c:pt>
                <c:pt idx="1401">
                  <c:v>44455</c:v>
                </c:pt>
                <c:pt idx="1402">
                  <c:v>44456</c:v>
                </c:pt>
                <c:pt idx="1403">
                  <c:v>44457</c:v>
                </c:pt>
                <c:pt idx="1404">
                  <c:v>44458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44464</c:v>
                </c:pt>
                <c:pt idx="1411">
                  <c:v>44465</c:v>
                </c:pt>
                <c:pt idx="1412">
                  <c:v>44466</c:v>
                </c:pt>
                <c:pt idx="1413">
                  <c:v>44467</c:v>
                </c:pt>
                <c:pt idx="1414">
                  <c:v>44468</c:v>
                </c:pt>
                <c:pt idx="1415">
                  <c:v>44469</c:v>
                </c:pt>
                <c:pt idx="1416">
                  <c:v>44470</c:v>
                </c:pt>
                <c:pt idx="1417">
                  <c:v>44471</c:v>
                </c:pt>
                <c:pt idx="1418">
                  <c:v>44472</c:v>
                </c:pt>
                <c:pt idx="1419">
                  <c:v>44473</c:v>
                </c:pt>
                <c:pt idx="1420">
                  <c:v>44474</c:v>
                </c:pt>
                <c:pt idx="1421">
                  <c:v>44475</c:v>
                </c:pt>
                <c:pt idx="1422">
                  <c:v>44476</c:v>
                </c:pt>
                <c:pt idx="1423">
                  <c:v>44477</c:v>
                </c:pt>
                <c:pt idx="1424">
                  <c:v>44478</c:v>
                </c:pt>
                <c:pt idx="1425">
                  <c:v>44479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44485</c:v>
                </c:pt>
                <c:pt idx="1432">
                  <c:v>44486</c:v>
                </c:pt>
                <c:pt idx="1433">
                  <c:v>44487</c:v>
                </c:pt>
                <c:pt idx="1434">
                  <c:v>44488</c:v>
                </c:pt>
                <c:pt idx="1435">
                  <c:v>44489</c:v>
                </c:pt>
                <c:pt idx="1436">
                  <c:v>44490</c:v>
                </c:pt>
                <c:pt idx="1437">
                  <c:v>44491</c:v>
                </c:pt>
                <c:pt idx="1438">
                  <c:v>44492</c:v>
                </c:pt>
                <c:pt idx="1439">
                  <c:v>44493</c:v>
                </c:pt>
                <c:pt idx="1440">
                  <c:v>44494</c:v>
                </c:pt>
                <c:pt idx="1441">
                  <c:v>44495</c:v>
                </c:pt>
                <c:pt idx="1442">
                  <c:v>44496</c:v>
                </c:pt>
                <c:pt idx="1443">
                  <c:v>44497</c:v>
                </c:pt>
                <c:pt idx="1444">
                  <c:v>44498</c:v>
                </c:pt>
                <c:pt idx="1445">
                  <c:v>44499</c:v>
                </c:pt>
                <c:pt idx="1446">
                  <c:v>44500</c:v>
                </c:pt>
                <c:pt idx="1447">
                  <c:v>44501</c:v>
                </c:pt>
                <c:pt idx="1448">
                  <c:v>44502</c:v>
                </c:pt>
                <c:pt idx="1449">
                  <c:v>44503</c:v>
                </c:pt>
                <c:pt idx="1450">
                  <c:v>44504</c:v>
                </c:pt>
                <c:pt idx="1451">
                  <c:v>44505</c:v>
                </c:pt>
                <c:pt idx="1452">
                  <c:v>44506</c:v>
                </c:pt>
                <c:pt idx="1453">
                  <c:v>44507</c:v>
                </c:pt>
                <c:pt idx="1454">
                  <c:v>44508</c:v>
                </c:pt>
                <c:pt idx="1455">
                  <c:v>44509</c:v>
                </c:pt>
                <c:pt idx="1456">
                  <c:v>44510</c:v>
                </c:pt>
                <c:pt idx="1457">
                  <c:v>44511</c:v>
                </c:pt>
                <c:pt idx="1458">
                  <c:v>44512</c:v>
                </c:pt>
                <c:pt idx="1459">
                  <c:v>44513</c:v>
                </c:pt>
                <c:pt idx="1460">
                  <c:v>44514</c:v>
                </c:pt>
                <c:pt idx="1461">
                  <c:v>44515</c:v>
                </c:pt>
                <c:pt idx="1462">
                  <c:v>44516</c:v>
                </c:pt>
                <c:pt idx="1463">
                  <c:v>44517</c:v>
                </c:pt>
                <c:pt idx="1464">
                  <c:v>44518</c:v>
                </c:pt>
                <c:pt idx="1465">
                  <c:v>44519</c:v>
                </c:pt>
                <c:pt idx="1466">
                  <c:v>44520</c:v>
                </c:pt>
                <c:pt idx="1467">
                  <c:v>44521</c:v>
                </c:pt>
                <c:pt idx="1468">
                  <c:v>44522</c:v>
                </c:pt>
                <c:pt idx="1469">
                  <c:v>44523</c:v>
                </c:pt>
                <c:pt idx="1470">
                  <c:v>44524</c:v>
                </c:pt>
                <c:pt idx="1471">
                  <c:v>44525</c:v>
                </c:pt>
                <c:pt idx="1472">
                  <c:v>44526</c:v>
                </c:pt>
                <c:pt idx="1473">
                  <c:v>44527</c:v>
                </c:pt>
                <c:pt idx="1474">
                  <c:v>44528</c:v>
                </c:pt>
                <c:pt idx="1475">
                  <c:v>44529</c:v>
                </c:pt>
                <c:pt idx="1476">
                  <c:v>44530</c:v>
                </c:pt>
                <c:pt idx="1477">
                  <c:v>44531</c:v>
                </c:pt>
                <c:pt idx="1478">
                  <c:v>44532</c:v>
                </c:pt>
                <c:pt idx="1479">
                  <c:v>44533</c:v>
                </c:pt>
                <c:pt idx="1480">
                  <c:v>44534</c:v>
                </c:pt>
                <c:pt idx="1481">
                  <c:v>44535</c:v>
                </c:pt>
                <c:pt idx="1482">
                  <c:v>44536</c:v>
                </c:pt>
                <c:pt idx="1483">
                  <c:v>44537</c:v>
                </c:pt>
                <c:pt idx="1484">
                  <c:v>44538</c:v>
                </c:pt>
                <c:pt idx="1485">
                  <c:v>44539</c:v>
                </c:pt>
                <c:pt idx="1486">
                  <c:v>44540</c:v>
                </c:pt>
                <c:pt idx="1487">
                  <c:v>44541</c:v>
                </c:pt>
                <c:pt idx="1488">
                  <c:v>44542</c:v>
                </c:pt>
                <c:pt idx="1489">
                  <c:v>44543</c:v>
                </c:pt>
                <c:pt idx="1490">
                  <c:v>44544</c:v>
                </c:pt>
                <c:pt idx="1491">
                  <c:v>44545</c:v>
                </c:pt>
                <c:pt idx="1492">
                  <c:v>44546</c:v>
                </c:pt>
                <c:pt idx="1493">
                  <c:v>44547</c:v>
                </c:pt>
                <c:pt idx="1494">
                  <c:v>44548</c:v>
                </c:pt>
                <c:pt idx="1495">
                  <c:v>44549</c:v>
                </c:pt>
                <c:pt idx="1496">
                  <c:v>44550</c:v>
                </c:pt>
                <c:pt idx="1497">
                  <c:v>44551</c:v>
                </c:pt>
                <c:pt idx="1498">
                  <c:v>44552</c:v>
                </c:pt>
                <c:pt idx="1499">
                  <c:v>44553</c:v>
                </c:pt>
                <c:pt idx="1500">
                  <c:v>44554</c:v>
                </c:pt>
                <c:pt idx="1501">
                  <c:v>44555</c:v>
                </c:pt>
                <c:pt idx="1502">
                  <c:v>44556</c:v>
                </c:pt>
                <c:pt idx="1503">
                  <c:v>44557</c:v>
                </c:pt>
                <c:pt idx="1504">
                  <c:v>44558</c:v>
                </c:pt>
                <c:pt idx="1505">
                  <c:v>44559</c:v>
                </c:pt>
                <c:pt idx="1506">
                  <c:v>44560</c:v>
                </c:pt>
                <c:pt idx="1507">
                  <c:v>44561</c:v>
                </c:pt>
                <c:pt idx="1508">
                  <c:v>44562</c:v>
                </c:pt>
                <c:pt idx="1509">
                  <c:v>44563</c:v>
                </c:pt>
                <c:pt idx="1510">
                  <c:v>44564</c:v>
                </c:pt>
                <c:pt idx="1511">
                  <c:v>44565</c:v>
                </c:pt>
                <c:pt idx="1512">
                  <c:v>44566</c:v>
                </c:pt>
                <c:pt idx="1513">
                  <c:v>44567</c:v>
                </c:pt>
                <c:pt idx="1514">
                  <c:v>44568</c:v>
                </c:pt>
                <c:pt idx="1515">
                  <c:v>44569</c:v>
                </c:pt>
                <c:pt idx="1516">
                  <c:v>44570</c:v>
                </c:pt>
                <c:pt idx="1517">
                  <c:v>44571</c:v>
                </c:pt>
                <c:pt idx="1518">
                  <c:v>44572</c:v>
                </c:pt>
                <c:pt idx="1519">
                  <c:v>44573</c:v>
                </c:pt>
                <c:pt idx="1520">
                  <c:v>44574</c:v>
                </c:pt>
                <c:pt idx="1521">
                  <c:v>44575</c:v>
                </c:pt>
                <c:pt idx="1522">
                  <c:v>44576</c:v>
                </c:pt>
                <c:pt idx="1523">
                  <c:v>44577</c:v>
                </c:pt>
                <c:pt idx="1524">
                  <c:v>44578</c:v>
                </c:pt>
                <c:pt idx="1525">
                  <c:v>44579</c:v>
                </c:pt>
                <c:pt idx="1526">
                  <c:v>44580</c:v>
                </c:pt>
                <c:pt idx="1527">
                  <c:v>44581</c:v>
                </c:pt>
                <c:pt idx="1528">
                  <c:v>44582</c:v>
                </c:pt>
                <c:pt idx="1529">
                  <c:v>44583</c:v>
                </c:pt>
                <c:pt idx="1530">
                  <c:v>44584</c:v>
                </c:pt>
                <c:pt idx="1531">
                  <c:v>44585</c:v>
                </c:pt>
                <c:pt idx="1532">
                  <c:v>44586</c:v>
                </c:pt>
                <c:pt idx="1533">
                  <c:v>44587</c:v>
                </c:pt>
                <c:pt idx="1534">
                  <c:v>44588</c:v>
                </c:pt>
                <c:pt idx="1535">
                  <c:v>44589</c:v>
                </c:pt>
                <c:pt idx="1536">
                  <c:v>44590</c:v>
                </c:pt>
                <c:pt idx="1537">
                  <c:v>44591</c:v>
                </c:pt>
                <c:pt idx="1538">
                  <c:v>44592</c:v>
                </c:pt>
                <c:pt idx="1539">
                  <c:v>44593</c:v>
                </c:pt>
                <c:pt idx="1540">
                  <c:v>44594</c:v>
                </c:pt>
                <c:pt idx="1541">
                  <c:v>44595</c:v>
                </c:pt>
                <c:pt idx="1542">
                  <c:v>44596</c:v>
                </c:pt>
                <c:pt idx="1543">
                  <c:v>44597</c:v>
                </c:pt>
                <c:pt idx="1544">
                  <c:v>44598</c:v>
                </c:pt>
                <c:pt idx="1545">
                  <c:v>44599</c:v>
                </c:pt>
                <c:pt idx="1546">
                  <c:v>44600</c:v>
                </c:pt>
                <c:pt idx="1547">
                  <c:v>44601</c:v>
                </c:pt>
                <c:pt idx="1548">
                  <c:v>44602</c:v>
                </c:pt>
                <c:pt idx="1549">
                  <c:v>44603</c:v>
                </c:pt>
                <c:pt idx="1550">
                  <c:v>44604</c:v>
                </c:pt>
                <c:pt idx="1551">
                  <c:v>44605</c:v>
                </c:pt>
                <c:pt idx="1552">
                  <c:v>44606</c:v>
                </c:pt>
                <c:pt idx="1553">
                  <c:v>44607</c:v>
                </c:pt>
                <c:pt idx="1554">
                  <c:v>44608</c:v>
                </c:pt>
                <c:pt idx="1555">
                  <c:v>44609</c:v>
                </c:pt>
                <c:pt idx="1556">
                  <c:v>44610</c:v>
                </c:pt>
                <c:pt idx="1557">
                  <c:v>44611</c:v>
                </c:pt>
                <c:pt idx="1558">
                  <c:v>44612</c:v>
                </c:pt>
                <c:pt idx="1559">
                  <c:v>44613</c:v>
                </c:pt>
                <c:pt idx="1560">
                  <c:v>44614</c:v>
                </c:pt>
                <c:pt idx="1561">
                  <c:v>44615</c:v>
                </c:pt>
                <c:pt idx="1562">
                  <c:v>44616</c:v>
                </c:pt>
                <c:pt idx="1563">
                  <c:v>44617</c:v>
                </c:pt>
                <c:pt idx="1564">
                  <c:v>44618</c:v>
                </c:pt>
                <c:pt idx="1565">
                  <c:v>44619</c:v>
                </c:pt>
                <c:pt idx="1566">
                  <c:v>44620</c:v>
                </c:pt>
                <c:pt idx="1567">
                  <c:v>44621</c:v>
                </c:pt>
                <c:pt idx="1568">
                  <c:v>44622</c:v>
                </c:pt>
                <c:pt idx="1569">
                  <c:v>44623</c:v>
                </c:pt>
                <c:pt idx="1570">
                  <c:v>44624</c:v>
                </c:pt>
                <c:pt idx="1571">
                  <c:v>44625</c:v>
                </c:pt>
                <c:pt idx="1572">
                  <c:v>44626</c:v>
                </c:pt>
                <c:pt idx="1573">
                  <c:v>44627</c:v>
                </c:pt>
                <c:pt idx="1574">
                  <c:v>44628</c:v>
                </c:pt>
                <c:pt idx="1575">
                  <c:v>44629</c:v>
                </c:pt>
                <c:pt idx="1576">
                  <c:v>44630</c:v>
                </c:pt>
                <c:pt idx="1577">
                  <c:v>44631</c:v>
                </c:pt>
                <c:pt idx="1578">
                  <c:v>44632</c:v>
                </c:pt>
                <c:pt idx="1579">
                  <c:v>44633</c:v>
                </c:pt>
                <c:pt idx="1580">
                  <c:v>44634</c:v>
                </c:pt>
                <c:pt idx="1581">
                  <c:v>44635</c:v>
                </c:pt>
                <c:pt idx="1582">
                  <c:v>44636</c:v>
                </c:pt>
                <c:pt idx="1583">
                  <c:v>44637</c:v>
                </c:pt>
                <c:pt idx="1584">
                  <c:v>44638</c:v>
                </c:pt>
                <c:pt idx="1585">
                  <c:v>44639</c:v>
                </c:pt>
                <c:pt idx="1586">
                  <c:v>44640</c:v>
                </c:pt>
                <c:pt idx="1587">
                  <c:v>44641</c:v>
                </c:pt>
                <c:pt idx="1588">
                  <c:v>44642</c:v>
                </c:pt>
                <c:pt idx="1589">
                  <c:v>44643</c:v>
                </c:pt>
                <c:pt idx="1590">
                  <c:v>44644</c:v>
                </c:pt>
                <c:pt idx="1591">
                  <c:v>44645</c:v>
                </c:pt>
                <c:pt idx="1592">
                  <c:v>44646</c:v>
                </c:pt>
                <c:pt idx="1593">
                  <c:v>44647</c:v>
                </c:pt>
                <c:pt idx="1594">
                  <c:v>44648</c:v>
                </c:pt>
                <c:pt idx="1595">
                  <c:v>44649</c:v>
                </c:pt>
                <c:pt idx="1596">
                  <c:v>44650</c:v>
                </c:pt>
                <c:pt idx="1597">
                  <c:v>44651</c:v>
                </c:pt>
                <c:pt idx="1598">
                  <c:v>44652</c:v>
                </c:pt>
                <c:pt idx="1599">
                  <c:v>44653</c:v>
                </c:pt>
                <c:pt idx="1600">
                  <c:v>44654</c:v>
                </c:pt>
                <c:pt idx="1601">
                  <c:v>44655</c:v>
                </c:pt>
                <c:pt idx="1602">
                  <c:v>44656</c:v>
                </c:pt>
                <c:pt idx="1603">
                  <c:v>44657</c:v>
                </c:pt>
                <c:pt idx="1604">
                  <c:v>44658</c:v>
                </c:pt>
                <c:pt idx="1605">
                  <c:v>44659</c:v>
                </c:pt>
                <c:pt idx="1606">
                  <c:v>44660</c:v>
                </c:pt>
                <c:pt idx="1607">
                  <c:v>44661</c:v>
                </c:pt>
                <c:pt idx="1608">
                  <c:v>44662</c:v>
                </c:pt>
                <c:pt idx="1609">
                  <c:v>44663</c:v>
                </c:pt>
                <c:pt idx="1610">
                  <c:v>44664</c:v>
                </c:pt>
                <c:pt idx="1611">
                  <c:v>44665</c:v>
                </c:pt>
                <c:pt idx="1612">
                  <c:v>44666</c:v>
                </c:pt>
                <c:pt idx="1613">
                  <c:v>44667</c:v>
                </c:pt>
                <c:pt idx="1614">
                  <c:v>44668</c:v>
                </c:pt>
                <c:pt idx="1615">
                  <c:v>44669</c:v>
                </c:pt>
                <c:pt idx="1616">
                  <c:v>44670</c:v>
                </c:pt>
                <c:pt idx="1617">
                  <c:v>44671</c:v>
                </c:pt>
                <c:pt idx="1618">
                  <c:v>44672</c:v>
                </c:pt>
                <c:pt idx="1619">
                  <c:v>44673</c:v>
                </c:pt>
                <c:pt idx="1620">
                  <c:v>44674</c:v>
                </c:pt>
                <c:pt idx="1621">
                  <c:v>44675</c:v>
                </c:pt>
                <c:pt idx="1622">
                  <c:v>44676</c:v>
                </c:pt>
                <c:pt idx="1623">
                  <c:v>44677</c:v>
                </c:pt>
                <c:pt idx="1624">
                  <c:v>44678</c:v>
                </c:pt>
                <c:pt idx="1625">
                  <c:v>44679</c:v>
                </c:pt>
                <c:pt idx="1626">
                  <c:v>44680</c:v>
                </c:pt>
                <c:pt idx="1627">
                  <c:v>44681</c:v>
                </c:pt>
                <c:pt idx="1628">
                  <c:v>44682</c:v>
                </c:pt>
                <c:pt idx="1629">
                  <c:v>44683</c:v>
                </c:pt>
                <c:pt idx="1630">
                  <c:v>44684</c:v>
                </c:pt>
                <c:pt idx="1631">
                  <c:v>44685</c:v>
                </c:pt>
                <c:pt idx="1632">
                  <c:v>44686</c:v>
                </c:pt>
                <c:pt idx="1633">
                  <c:v>44687</c:v>
                </c:pt>
                <c:pt idx="1634">
                  <c:v>44688</c:v>
                </c:pt>
                <c:pt idx="1635">
                  <c:v>44689</c:v>
                </c:pt>
                <c:pt idx="1636">
                  <c:v>44690</c:v>
                </c:pt>
                <c:pt idx="1637">
                  <c:v>44691</c:v>
                </c:pt>
                <c:pt idx="1638">
                  <c:v>44692</c:v>
                </c:pt>
                <c:pt idx="1639">
                  <c:v>44693</c:v>
                </c:pt>
                <c:pt idx="1640">
                  <c:v>44694</c:v>
                </c:pt>
                <c:pt idx="1641">
                  <c:v>44695</c:v>
                </c:pt>
                <c:pt idx="1642">
                  <c:v>44696</c:v>
                </c:pt>
                <c:pt idx="1643">
                  <c:v>44697</c:v>
                </c:pt>
                <c:pt idx="1644">
                  <c:v>44698</c:v>
                </c:pt>
                <c:pt idx="1645">
                  <c:v>44699</c:v>
                </c:pt>
                <c:pt idx="1646">
                  <c:v>44700</c:v>
                </c:pt>
                <c:pt idx="1647">
                  <c:v>44701</c:v>
                </c:pt>
                <c:pt idx="1648">
                  <c:v>44702</c:v>
                </c:pt>
                <c:pt idx="1649">
                  <c:v>44703</c:v>
                </c:pt>
                <c:pt idx="1650">
                  <c:v>44704</c:v>
                </c:pt>
                <c:pt idx="1651">
                  <c:v>44705</c:v>
                </c:pt>
                <c:pt idx="1652">
                  <c:v>44706</c:v>
                </c:pt>
                <c:pt idx="1653">
                  <c:v>44707</c:v>
                </c:pt>
                <c:pt idx="1654">
                  <c:v>44708</c:v>
                </c:pt>
                <c:pt idx="1655">
                  <c:v>44709</c:v>
                </c:pt>
                <c:pt idx="1656">
                  <c:v>44710</c:v>
                </c:pt>
                <c:pt idx="1657">
                  <c:v>44711</c:v>
                </c:pt>
                <c:pt idx="1658">
                  <c:v>44712</c:v>
                </c:pt>
                <c:pt idx="1659">
                  <c:v>44713</c:v>
                </c:pt>
                <c:pt idx="1660">
                  <c:v>44714</c:v>
                </c:pt>
                <c:pt idx="1661">
                  <c:v>44715</c:v>
                </c:pt>
                <c:pt idx="1662">
                  <c:v>44716</c:v>
                </c:pt>
                <c:pt idx="1663">
                  <c:v>44717</c:v>
                </c:pt>
                <c:pt idx="1664">
                  <c:v>44718</c:v>
                </c:pt>
                <c:pt idx="1665">
                  <c:v>44719</c:v>
                </c:pt>
                <c:pt idx="1666">
                  <c:v>44720</c:v>
                </c:pt>
                <c:pt idx="1667">
                  <c:v>44721</c:v>
                </c:pt>
                <c:pt idx="1668">
                  <c:v>44722</c:v>
                </c:pt>
                <c:pt idx="1669">
                  <c:v>44723</c:v>
                </c:pt>
                <c:pt idx="1670">
                  <c:v>44724</c:v>
                </c:pt>
                <c:pt idx="1671">
                  <c:v>44725</c:v>
                </c:pt>
                <c:pt idx="1672">
                  <c:v>44726</c:v>
                </c:pt>
                <c:pt idx="1673">
                  <c:v>44727</c:v>
                </c:pt>
                <c:pt idx="1674">
                  <c:v>44728</c:v>
                </c:pt>
                <c:pt idx="1675">
                  <c:v>44729</c:v>
                </c:pt>
                <c:pt idx="1676">
                  <c:v>44730</c:v>
                </c:pt>
                <c:pt idx="1677">
                  <c:v>44731</c:v>
                </c:pt>
                <c:pt idx="1678">
                  <c:v>44732</c:v>
                </c:pt>
                <c:pt idx="1679">
                  <c:v>44733</c:v>
                </c:pt>
                <c:pt idx="1680">
                  <c:v>44734</c:v>
                </c:pt>
                <c:pt idx="1681">
                  <c:v>44735</c:v>
                </c:pt>
                <c:pt idx="1682">
                  <c:v>44736</c:v>
                </c:pt>
                <c:pt idx="1683">
                  <c:v>44737</c:v>
                </c:pt>
                <c:pt idx="1684">
                  <c:v>44738</c:v>
                </c:pt>
                <c:pt idx="1685">
                  <c:v>44739</c:v>
                </c:pt>
                <c:pt idx="1686">
                  <c:v>44740</c:v>
                </c:pt>
                <c:pt idx="1687">
                  <c:v>44741</c:v>
                </c:pt>
                <c:pt idx="1688">
                  <c:v>44742</c:v>
                </c:pt>
                <c:pt idx="1689">
                  <c:v>44743</c:v>
                </c:pt>
                <c:pt idx="1690">
                  <c:v>44744</c:v>
                </c:pt>
                <c:pt idx="1691">
                  <c:v>44745</c:v>
                </c:pt>
                <c:pt idx="1692">
                  <c:v>44746</c:v>
                </c:pt>
                <c:pt idx="1693">
                  <c:v>44747</c:v>
                </c:pt>
                <c:pt idx="1694">
                  <c:v>44748</c:v>
                </c:pt>
                <c:pt idx="1695">
                  <c:v>44749</c:v>
                </c:pt>
                <c:pt idx="1696">
                  <c:v>44750</c:v>
                </c:pt>
                <c:pt idx="1697">
                  <c:v>44751</c:v>
                </c:pt>
                <c:pt idx="1698">
                  <c:v>44752</c:v>
                </c:pt>
                <c:pt idx="1699">
                  <c:v>44753</c:v>
                </c:pt>
                <c:pt idx="1700">
                  <c:v>44754</c:v>
                </c:pt>
                <c:pt idx="1701">
                  <c:v>44755</c:v>
                </c:pt>
                <c:pt idx="1702">
                  <c:v>44756</c:v>
                </c:pt>
                <c:pt idx="1703">
                  <c:v>44757</c:v>
                </c:pt>
                <c:pt idx="1704">
                  <c:v>44758</c:v>
                </c:pt>
                <c:pt idx="1705">
                  <c:v>44759</c:v>
                </c:pt>
                <c:pt idx="1706">
                  <c:v>44760</c:v>
                </c:pt>
                <c:pt idx="1707">
                  <c:v>44761</c:v>
                </c:pt>
                <c:pt idx="1708">
                  <c:v>44762</c:v>
                </c:pt>
                <c:pt idx="1709">
                  <c:v>44763</c:v>
                </c:pt>
                <c:pt idx="1710">
                  <c:v>44764</c:v>
                </c:pt>
                <c:pt idx="1711">
                  <c:v>44765</c:v>
                </c:pt>
                <c:pt idx="1712">
                  <c:v>44766</c:v>
                </c:pt>
                <c:pt idx="1713">
                  <c:v>44767</c:v>
                </c:pt>
                <c:pt idx="1714">
                  <c:v>44768</c:v>
                </c:pt>
                <c:pt idx="1715">
                  <c:v>44769</c:v>
                </c:pt>
                <c:pt idx="1716">
                  <c:v>44770</c:v>
                </c:pt>
                <c:pt idx="1717">
                  <c:v>44771</c:v>
                </c:pt>
                <c:pt idx="1718">
                  <c:v>44772</c:v>
                </c:pt>
                <c:pt idx="1719">
                  <c:v>44773</c:v>
                </c:pt>
                <c:pt idx="1720">
                  <c:v>44774</c:v>
                </c:pt>
                <c:pt idx="1721">
                  <c:v>44775</c:v>
                </c:pt>
                <c:pt idx="1722">
                  <c:v>44776</c:v>
                </c:pt>
                <c:pt idx="1723">
                  <c:v>44777</c:v>
                </c:pt>
                <c:pt idx="1724">
                  <c:v>44778</c:v>
                </c:pt>
                <c:pt idx="1725">
                  <c:v>44779</c:v>
                </c:pt>
                <c:pt idx="1726">
                  <c:v>44780</c:v>
                </c:pt>
                <c:pt idx="1727">
                  <c:v>44781</c:v>
                </c:pt>
                <c:pt idx="1728">
                  <c:v>44782</c:v>
                </c:pt>
                <c:pt idx="1729">
                  <c:v>44783</c:v>
                </c:pt>
                <c:pt idx="1730">
                  <c:v>44784</c:v>
                </c:pt>
                <c:pt idx="1731">
                  <c:v>44785</c:v>
                </c:pt>
                <c:pt idx="1732">
                  <c:v>44786</c:v>
                </c:pt>
                <c:pt idx="1733">
                  <c:v>44787</c:v>
                </c:pt>
                <c:pt idx="1734">
                  <c:v>44788</c:v>
                </c:pt>
                <c:pt idx="1735">
                  <c:v>44789</c:v>
                </c:pt>
                <c:pt idx="1736">
                  <c:v>44790</c:v>
                </c:pt>
                <c:pt idx="1737">
                  <c:v>44791</c:v>
                </c:pt>
                <c:pt idx="1738">
                  <c:v>44792</c:v>
                </c:pt>
                <c:pt idx="1739">
                  <c:v>44793</c:v>
                </c:pt>
                <c:pt idx="1740">
                  <c:v>44794</c:v>
                </c:pt>
                <c:pt idx="1741">
                  <c:v>44795</c:v>
                </c:pt>
                <c:pt idx="1742">
                  <c:v>44796</c:v>
                </c:pt>
                <c:pt idx="1743">
                  <c:v>44797</c:v>
                </c:pt>
                <c:pt idx="1744">
                  <c:v>44798</c:v>
                </c:pt>
                <c:pt idx="1745">
                  <c:v>44799</c:v>
                </c:pt>
                <c:pt idx="1746">
                  <c:v>44800</c:v>
                </c:pt>
                <c:pt idx="1747">
                  <c:v>44801</c:v>
                </c:pt>
                <c:pt idx="1748">
                  <c:v>44802</c:v>
                </c:pt>
                <c:pt idx="1749">
                  <c:v>44803</c:v>
                </c:pt>
                <c:pt idx="1750">
                  <c:v>44804</c:v>
                </c:pt>
                <c:pt idx="1751">
                  <c:v>44805</c:v>
                </c:pt>
                <c:pt idx="1752">
                  <c:v>44806</c:v>
                </c:pt>
                <c:pt idx="1753">
                  <c:v>44807</c:v>
                </c:pt>
                <c:pt idx="1754">
                  <c:v>44808</c:v>
                </c:pt>
                <c:pt idx="1755">
                  <c:v>44809</c:v>
                </c:pt>
                <c:pt idx="1756">
                  <c:v>44810</c:v>
                </c:pt>
                <c:pt idx="1757">
                  <c:v>44811</c:v>
                </c:pt>
                <c:pt idx="1758">
                  <c:v>44812</c:v>
                </c:pt>
                <c:pt idx="1759">
                  <c:v>44813</c:v>
                </c:pt>
                <c:pt idx="1760">
                  <c:v>44814</c:v>
                </c:pt>
                <c:pt idx="1761">
                  <c:v>44815</c:v>
                </c:pt>
                <c:pt idx="1762">
                  <c:v>44816</c:v>
                </c:pt>
                <c:pt idx="1763">
                  <c:v>44817</c:v>
                </c:pt>
                <c:pt idx="1764">
                  <c:v>44818</c:v>
                </c:pt>
                <c:pt idx="1765">
                  <c:v>44819</c:v>
                </c:pt>
                <c:pt idx="1766">
                  <c:v>44820</c:v>
                </c:pt>
                <c:pt idx="1767">
                  <c:v>44821</c:v>
                </c:pt>
                <c:pt idx="1768">
                  <c:v>44822</c:v>
                </c:pt>
                <c:pt idx="1769">
                  <c:v>44823</c:v>
                </c:pt>
                <c:pt idx="1770">
                  <c:v>44824</c:v>
                </c:pt>
                <c:pt idx="1771">
                  <c:v>44825</c:v>
                </c:pt>
                <c:pt idx="1772">
                  <c:v>44826</c:v>
                </c:pt>
                <c:pt idx="1773">
                  <c:v>44827</c:v>
                </c:pt>
                <c:pt idx="1774">
                  <c:v>44828</c:v>
                </c:pt>
                <c:pt idx="1775">
                  <c:v>44829</c:v>
                </c:pt>
                <c:pt idx="1776">
                  <c:v>44830</c:v>
                </c:pt>
                <c:pt idx="1777">
                  <c:v>44831</c:v>
                </c:pt>
                <c:pt idx="1778">
                  <c:v>44832</c:v>
                </c:pt>
                <c:pt idx="1779">
                  <c:v>44833</c:v>
                </c:pt>
                <c:pt idx="1780">
                  <c:v>44834</c:v>
                </c:pt>
                <c:pt idx="1781">
                  <c:v>44835</c:v>
                </c:pt>
                <c:pt idx="1782">
                  <c:v>44836</c:v>
                </c:pt>
                <c:pt idx="1783">
                  <c:v>44837</c:v>
                </c:pt>
                <c:pt idx="1784">
                  <c:v>44838</c:v>
                </c:pt>
                <c:pt idx="1785">
                  <c:v>44839</c:v>
                </c:pt>
                <c:pt idx="1786">
                  <c:v>44840</c:v>
                </c:pt>
                <c:pt idx="1787">
                  <c:v>44841</c:v>
                </c:pt>
                <c:pt idx="1788">
                  <c:v>44842</c:v>
                </c:pt>
                <c:pt idx="1789">
                  <c:v>44843</c:v>
                </c:pt>
                <c:pt idx="1790">
                  <c:v>44844</c:v>
                </c:pt>
                <c:pt idx="1791">
                  <c:v>44845</c:v>
                </c:pt>
                <c:pt idx="1792">
                  <c:v>44846</c:v>
                </c:pt>
                <c:pt idx="1793">
                  <c:v>44847</c:v>
                </c:pt>
                <c:pt idx="1794">
                  <c:v>44848</c:v>
                </c:pt>
                <c:pt idx="1795">
                  <c:v>44849</c:v>
                </c:pt>
                <c:pt idx="1796">
                  <c:v>44850</c:v>
                </c:pt>
                <c:pt idx="1797">
                  <c:v>44851</c:v>
                </c:pt>
                <c:pt idx="1798">
                  <c:v>44852</c:v>
                </c:pt>
                <c:pt idx="1799">
                  <c:v>44853</c:v>
                </c:pt>
                <c:pt idx="1800">
                  <c:v>44854</c:v>
                </c:pt>
                <c:pt idx="1801">
                  <c:v>44855</c:v>
                </c:pt>
                <c:pt idx="1802">
                  <c:v>44856</c:v>
                </c:pt>
                <c:pt idx="1803">
                  <c:v>44857</c:v>
                </c:pt>
                <c:pt idx="1804">
                  <c:v>44858</c:v>
                </c:pt>
                <c:pt idx="1805">
                  <c:v>44859</c:v>
                </c:pt>
                <c:pt idx="1806">
                  <c:v>44860</c:v>
                </c:pt>
                <c:pt idx="1807">
                  <c:v>44861</c:v>
                </c:pt>
                <c:pt idx="1808">
                  <c:v>44862</c:v>
                </c:pt>
                <c:pt idx="1809">
                  <c:v>44863</c:v>
                </c:pt>
                <c:pt idx="1810">
                  <c:v>44864</c:v>
                </c:pt>
                <c:pt idx="1811">
                  <c:v>44865</c:v>
                </c:pt>
                <c:pt idx="1812">
                  <c:v>44866</c:v>
                </c:pt>
                <c:pt idx="1813">
                  <c:v>44867</c:v>
                </c:pt>
                <c:pt idx="1814">
                  <c:v>44868</c:v>
                </c:pt>
                <c:pt idx="1815">
                  <c:v>44869</c:v>
                </c:pt>
                <c:pt idx="1816">
                  <c:v>44870</c:v>
                </c:pt>
                <c:pt idx="1817">
                  <c:v>44871</c:v>
                </c:pt>
                <c:pt idx="1818">
                  <c:v>44872</c:v>
                </c:pt>
                <c:pt idx="1819">
                  <c:v>44873</c:v>
                </c:pt>
                <c:pt idx="1820">
                  <c:v>44874</c:v>
                </c:pt>
                <c:pt idx="1821">
                  <c:v>44875</c:v>
                </c:pt>
                <c:pt idx="1822">
                  <c:v>44876</c:v>
                </c:pt>
                <c:pt idx="1823">
                  <c:v>44877</c:v>
                </c:pt>
                <c:pt idx="1824">
                  <c:v>44878</c:v>
                </c:pt>
                <c:pt idx="1825">
                  <c:v>44879</c:v>
                </c:pt>
                <c:pt idx="1826">
                  <c:v>44880</c:v>
                </c:pt>
                <c:pt idx="1827">
                  <c:v>44881</c:v>
                </c:pt>
                <c:pt idx="1828">
                  <c:v>44882</c:v>
                </c:pt>
                <c:pt idx="1829">
                  <c:v>44883</c:v>
                </c:pt>
                <c:pt idx="1830">
                  <c:v>44884</c:v>
                </c:pt>
                <c:pt idx="1831">
                  <c:v>44885</c:v>
                </c:pt>
                <c:pt idx="1832">
                  <c:v>44886</c:v>
                </c:pt>
                <c:pt idx="1833">
                  <c:v>44887</c:v>
                </c:pt>
                <c:pt idx="1834">
                  <c:v>44888</c:v>
                </c:pt>
                <c:pt idx="1835">
                  <c:v>44889</c:v>
                </c:pt>
                <c:pt idx="1836">
                  <c:v>44890</c:v>
                </c:pt>
                <c:pt idx="1837">
                  <c:v>44891</c:v>
                </c:pt>
                <c:pt idx="1838">
                  <c:v>44892</c:v>
                </c:pt>
                <c:pt idx="1839">
                  <c:v>44893</c:v>
                </c:pt>
                <c:pt idx="1840">
                  <c:v>44894</c:v>
                </c:pt>
                <c:pt idx="1841">
                  <c:v>44895</c:v>
                </c:pt>
                <c:pt idx="1842">
                  <c:v>44896</c:v>
                </c:pt>
                <c:pt idx="1843">
                  <c:v>44897</c:v>
                </c:pt>
                <c:pt idx="1844">
                  <c:v>44898</c:v>
                </c:pt>
                <c:pt idx="1845">
                  <c:v>44899</c:v>
                </c:pt>
                <c:pt idx="1846">
                  <c:v>44900</c:v>
                </c:pt>
                <c:pt idx="1847">
                  <c:v>44901</c:v>
                </c:pt>
                <c:pt idx="1848">
                  <c:v>44902</c:v>
                </c:pt>
                <c:pt idx="1849">
                  <c:v>44903</c:v>
                </c:pt>
                <c:pt idx="1850">
                  <c:v>44904</c:v>
                </c:pt>
                <c:pt idx="1851">
                  <c:v>44905</c:v>
                </c:pt>
                <c:pt idx="1852">
                  <c:v>44906</c:v>
                </c:pt>
                <c:pt idx="1853">
                  <c:v>44907</c:v>
                </c:pt>
                <c:pt idx="1854">
                  <c:v>44908</c:v>
                </c:pt>
                <c:pt idx="1855">
                  <c:v>44909</c:v>
                </c:pt>
                <c:pt idx="1856">
                  <c:v>44910</c:v>
                </c:pt>
                <c:pt idx="1857">
                  <c:v>44911</c:v>
                </c:pt>
                <c:pt idx="1858">
                  <c:v>44912</c:v>
                </c:pt>
                <c:pt idx="1859">
                  <c:v>44913</c:v>
                </c:pt>
                <c:pt idx="1860">
                  <c:v>44914</c:v>
                </c:pt>
                <c:pt idx="1861">
                  <c:v>44915</c:v>
                </c:pt>
                <c:pt idx="1862">
                  <c:v>44916</c:v>
                </c:pt>
                <c:pt idx="1863">
                  <c:v>44917</c:v>
                </c:pt>
                <c:pt idx="1864">
                  <c:v>44918</c:v>
                </c:pt>
                <c:pt idx="1865">
                  <c:v>44919</c:v>
                </c:pt>
                <c:pt idx="1866">
                  <c:v>44920</c:v>
                </c:pt>
                <c:pt idx="1867">
                  <c:v>44921</c:v>
                </c:pt>
                <c:pt idx="1868">
                  <c:v>44922</c:v>
                </c:pt>
                <c:pt idx="1869">
                  <c:v>44923</c:v>
                </c:pt>
                <c:pt idx="1870">
                  <c:v>44924</c:v>
                </c:pt>
                <c:pt idx="1871">
                  <c:v>44925</c:v>
                </c:pt>
                <c:pt idx="1872">
                  <c:v>44926</c:v>
                </c:pt>
                <c:pt idx="1873">
                  <c:v>44927</c:v>
                </c:pt>
                <c:pt idx="1874">
                  <c:v>44928</c:v>
                </c:pt>
                <c:pt idx="1875">
                  <c:v>44929</c:v>
                </c:pt>
                <c:pt idx="1876">
                  <c:v>44930</c:v>
                </c:pt>
                <c:pt idx="1877">
                  <c:v>44931</c:v>
                </c:pt>
                <c:pt idx="1878">
                  <c:v>44932</c:v>
                </c:pt>
                <c:pt idx="1879">
                  <c:v>44933</c:v>
                </c:pt>
                <c:pt idx="1880">
                  <c:v>44934</c:v>
                </c:pt>
                <c:pt idx="1881">
                  <c:v>44935</c:v>
                </c:pt>
                <c:pt idx="1882">
                  <c:v>44936</c:v>
                </c:pt>
                <c:pt idx="1883">
                  <c:v>44937</c:v>
                </c:pt>
                <c:pt idx="1884">
                  <c:v>44938</c:v>
                </c:pt>
                <c:pt idx="1885">
                  <c:v>44939</c:v>
                </c:pt>
                <c:pt idx="1886">
                  <c:v>44940</c:v>
                </c:pt>
                <c:pt idx="1887">
                  <c:v>44941</c:v>
                </c:pt>
                <c:pt idx="1888">
                  <c:v>44942</c:v>
                </c:pt>
                <c:pt idx="1889">
                  <c:v>44943</c:v>
                </c:pt>
                <c:pt idx="1890">
                  <c:v>44944</c:v>
                </c:pt>
                <c:pt idx="1891">
                  <c:v>44945</c:v>
                </c:pt>
                <c:pt idx="1892">
                  <c:v>44946</c:v>
                </c:pt>
                <c:pt idx="1893">
                  <c:v>44947</c:v>
                </c:pt>
                <c:pt idx="1894">
                  <c:v>44948</c:v>
                </c:pt>
                <c:pt idx="1895">
                  <c:v>44949</c:v>
                </c:pt>
                <c:pt idx="1896">
                  <c:v>44950</c:v>
                </c:pt>
                <c:pt idx="1897">
                  <c:v>44951</c:v>
                </c:pt>
                <c:pt idx="1898">
                  <c:v>44952</c:v>
                </c:pt>
                <c:pt idx="1899">
                  <c:v>44953</c:v>
                </c:pt>
                <c:pt idx="1900">
                  <c:v>44954</c:v>
                </c:pt>
                <c:pt idx="1901">
                  <c:v>44955</c:v>
                </c:pt>
                <c:pt idx="1902">
                  <c:v>44956</c:v>
                </c:pt>
                <c:pt idx="1903">
                  <c:v>44957</c:v>
                </c:pt>
                <c:pt idx="1904">
                  <c:v>44958</c:v>
                </c:pt>
                <c:pt idx="1905">
                  <c:v>44959</c:v>
                </c:pt>
                <c:pt idx="1906">
                  <c:v>44960</c:v>
                </c:pt>
                <c:pt idx="1907">
                  <c:v>44961</c:v>
                </c:pt>
                <c:pt idx="1908">
                  <c:v>44962</c:v>
                </c:pt>
                <c:pt idx="1909">
                  <c:v>44963</c:v>
                </c:pt>
                <c:pt idx="1910">
                  <c:v>44964</c:v>
                </c:pt>
                <c:pt idx="1911">
                  <c:v>44965</c:v>
                </c:pt>
                <c:pt idx="1912">
                  <c:v>44966</c:v>
                </c:pt>
                <c:pt idx="1913">
                  <c:v>44967</c:v>
                </c:pt>
                <c:pt idx="1914">
                  <c:v>44968</c:v>
                </c:pt>
                <c:pt idx="1915">
                  <c:v>44969</c:v>
                </c:pt>
                <c:pt idx="1916">
                  <c:v>44970</c:v>
                </c:pt>
                <c:pt idx="1917">
                  <c:v>44971</c:v>
                </c:pt>
                <c:pt idx="1918">
                  <c:v>44972</c:v>
                </c:pt>
                <c:pt idx="1919">
                  <c:v>44973</c:v>
                </c:pt>
                <c:pt idx="1920">
                  <c:v>44974</c:v>
                </c:pt>
                <c:pt idx="1921">
                  <c:v>44975</c:v>
                </c:pt>
                <c:pt idx="1922">
                  <c:v>44976</c:v>
                </c:pt>
                <c:pt idx="1923">
                  <c:v>44977</c:v>
                </c:pt>
                <c:pt idx="1924">
                  <c:v>44978</c:v>
                </c:pt>
                <c:pt idx="1925">
                  <c:v>44979</c:v>
                </c:pt>
                <c:pt idx="1926">
                  <c:v>44980</c:v>
                </c:pt>
                <c:pt idx="1927">
                  <c:v>44981</c:v>
                </c:pt>
                <c:pt idx="1928">
                  <c:v>44982</c:v>
                </c:pt>
                <c:pt idx="1929">
                  <c:v>44983</c:v>
                </c:pt>
                <c:pt idx="1930">
                  <c:v>44984</c:v>
                </c:pt>
                <c:pt idx="1931">
                  <c:v>44985</c:v>
                </c:pt>
                <c:pt idx="1932">
                  <c:v>44986</c:v>
                </c:pt>
                <c:pt idx="1933">
                  <c:v>44987</c:v>
                </c:pt>
                <c:pt idx="1934">
                  <c:v>44988</c:v>
                </c:pt>
                <c:pt idx="1935">
                  <c:v>44989</c:v>
                </c:pt>
                <c:pt idx="1936">
                  <c:v>44990</c:v>
                </c:pt>
                <c:pt idx="1937">
                  <c:v>44991</c:v>
                </c:pt>
                <c:pt idx="1938">
                  <c:v>44992</c:v>
                </c:pt>
                <c:pt idx="1939">
                  <c:v>44993</c:v>
                </c:pt>
                <c:pt idx="1940">
                  <c:v>44994</c:v>
                </c:pt>
                <c:pt idx="1941">
                  <c:v>44995</c:v>
                </c:pt>
                <c:pt idx="1942">
                  <c:v>44996</c:v>
                </c:pt>
                <c:pt idx="1943">
                  <c:v>44997</c:v>
                </c:pt>
                <c:pt idx="1944">
                  <c:v>44998</c:v>
                </c:pt>
                <c:pt idx="1945">
                  <c:v>44999</c:v>
                </c:pt>
                <c:pt idx="1946">
                  <c:v>45000</c:v>
                </c:pt>
                <c:pt idx="1947">
                  <c:v>45001</c:v>
                </c:pt>
                <c:pt idx="1948">
                  <c:v>45002</c:v>
                </c:pt>
                <c:pt idx="1949">
                  <c:v>45003</c:v>
                </c:pt>
                <c:pt idx="1950">
                  <c:v>45004</c:v>
                </c:pt>
                <c:pt idx="1951">
                  <c:v>45005</c:v>
                </c:pt>
                <c:pt idx="1952">
                  <c:v>45006</c:v>
                </c:pt>
                <c:pt idx="1953">
                  <c:v>45007</c:v>
                </c:pt>
                <c:pt idx="1954">
                  <c:v>45008</c:v>
                </c:pt>
                <c:pt idx="1955">
                  <c:v>45009</c:v>
                </c:pt>
                <c:pt idx="1956">
                  <c:v>45010</c:v>
                </c:pt>
                <c:pt idx="1957">
                  <c:v>45011</c:v>
                </c:pt>
                <c:pt idx="1958">
                  <c:v>45012</c:v>
                </c:pt>
                <c:pt idx="1959">
                  <c:v>45013</c:v>
                </c:pt>
                <c:pt idx="1960">
                  <c:v>45014</c:v>
                </c:pt>
                <c:pt idx="1961">
                  <c:v>45015</c:v>
                </c:pt>
                <c:pt idx="1962">
                  <c:v>45016</c:v>
                </c:pt>
                <c:pt idx="1963">
                  <c:v>45017</c:v>
                </c:pt>
                <c:pt idx="1964">
                  <c:v>45018</c:v>
                </c:pt>
                <c:pt idx="1965">
                  <c:v>45019</c:v>
                </c:pt>
                <c:pt idx="1966">
                  <c:v>45020</c:v>
                </c:pt>
                <c:pt idx="1967">
                  <c:v>45021</c:v>
                </c:pt>
                <c:pt idx="1968">
                  <c:v>45022</c:v>
                </c:pt>
                <c:pt idx="1969">
                  <c:v>45023</c:v>
                </c:pt>
                <c:pt idx="1970">
                  <c:v>45024</c:v>
                </c:pt>
                <c:pt idx="1971">
                  <c:v>45025</c:v>
                </c:pt>
                <c:pt idx="1972">
                  <c:v>45026</c:v>
                </c:pt>
                <c:pt idx="1973">
                  <c:v>45027</c:v>
                </c:pt>
                <c:pt idx="1974">
                  <c:v>45028</c:v>
                </c:pt>
                <c:pt idx="1975">
                  <c:v>45029</c:v>
                </c:pt>
                <c:pt idx="1976">
                  <c:v>45030</c:v>
                </c:pt>
                <c:pt idx="1977">
                  <c:v>45031</c:v>
                </c:pt>
                <c:pt idx="1978">
                  <c:v>45032</c:v>
                </c:pt>
                <c:pt idx="1979">
                  <c:v>45033</c:v>
                </c:pt>
                <c:pt idx="1980">
                  <c:v>45034</c:v>
                </c:pt>
                <c:pt idx="1981">
                  <c:v>45035</c:v>
                </c:pt>
                <c:pt idx="1982">
                  <c:v>45036</c:v>
                </c:pt>
                <c:pt idx="1983">
                  <c:v>45037</c:v>
                </c:pt>
                <c:pt idx="1984">
                  <c:v>45038</c:v>
                </c:pt>
                <c:pt idx="1985">
                  <c:v>45039</c:v>
                </c:pt>
                <c:pt idx="1986">
                  <c:v>45040</c:v>
                </c:pt>
                <c:pt idx="1987">
                  <c:v>45041</c:v>
                </c:pt>
                <c:pt idx="1988">
                  <c:v>45042</c:v>
                </c:pt>
                <c:pt idx="1989">
                  <c:v>45043</c:v>
                </c:pt>
                <c:pt idx="1990">
                  <c:v>45044</c:v>
                </c:pt>
                <c:pt idx="1991">
                  <c:v>45045</c:v>
                </c:pt>
                <c:pt idx="1992">
                  <c:v>45046</c:v>
                </c:pt>
                <c:pt idx="1993">
                  <c:v>45047</c:v>
                </c:pt>
                <c:pt idx="1994">
                  <c:v>45048</c:v>
                </c:pt>
                <c:pt idx="1995">
                  <c:v>45049</c:v>
                </c:pt>
                <c:pt idx="1996">
                  <c:v>45050</c:v>
                </c:pt>
                <c:pt idx="1997">
                  <c:v>45051</c:v>
                </c:pt>
                <c:pt idx="1998">
                  <c:v>45052</c:v>
                </c:pt>
                <c:pt idx="1999">
                  <c:v>45053</c:v>
                </c:pt>
                <c:pt idx="2000">
                  <c:v>45054</c:v>
                </c:pt>
                <c:pt idx="2001">
                  <c:v>45055</c:v>
                </c:pt>
                <c:pt idx="2002">
                  <c:v>45056</c:v>
                </c:pt>
                <c:pt idx="2003">
                  <c:v>45057</c:v>
                </c:pt>
                <c:pt idx="2004">
                  <c:v>45058</c:v>
                </c:pt>
                <c:pt idx="2005">
                  <c:v>45059</c:v>
                </c:pt>
                <c:pt idx="2006">
                  <c:v>45060</c:v>
                </c:pt>
                <c:pt idx="2007">
                  <c:v>45061</c:v>
                </c:pt>
                <c:pt idx="2008">
                  <c:v>45062</c:v>
                </c:pt>
                <c:pt idx="2009">
                  <c:v>45063</c:v>
                </c:pt>
                <c:pt idx="2010">
                  <c:v>45064</c:v>
                </c:pt>
                <c:pt idx="2011">
                  <c:v>45065</c:v>
                </c:pt>
                <c:pt idx="2012">
                  <c:v>45066</c:v>
                </c:pt>
                <c:pt idx="2013">
                  <c:v>45067</c:v>
                </c:pt>
                <c:pt idx="2014">
                  <c:v>45068</c:v>
                </c:pt>
                <c:pt idx="2015">
                  <c:v>45069</c:v>
                </c:pt>
                <c:pt idx="2016">
                  <c:v>45070</c:v>
                </c:pt>
                <c:pt idx="2017">
                  <c:v>45071</c:v>
                </c:pt>
                <c:pt idx="2018">
                  <c:v>45072</c:v>
                </c:pt>
                <c:pt idx="2019">
                  <c:v>45073</c:v>
                </c:pt>
                <c:pt idx="2020">
                  <c:v>45074</c:v>
                </c:pt>
                <c:pt idx="2021">
                  <c:v>45075</c:v>
                </c:pt>
                <c:pt idx="2022">
                  <c:v>45076</c:v>
                </c:pt>
                <c:pt idx="2023">
                  <c:v>45077</c:v>
                </c:pt>
                <c:pt idx="2024">
                  <c:v>45078</c:v>
                </c:pt>
                <c:pt idx="2025">
                  <c:v>45079</c:v>
                </c:pt>
                <c:pt idx="2026">
                  <c:v>45080</c:v>
                </c:pt>
                <c:pt idx="2027">
                  <c:v>45081</c:v>
                </c:pt>
                <c:pt idx="2028">
                  <c:v>45082</c:v>
                </c:pt>
                <c:pt idx="2029">
                  <c:v>45083</c:v>
                </c:pt>
                <c:pt idx="2030">
                  <c:v>45084</c:v>
                </c:pt>
                <c:pt idx="2031">
                  <c:v>45085</c:v>
                </c:pt>
                <c:pt idx="2032">
                  <c:v>45086</c:v>
                </c:pt>
                <c:pt idx="2033">
                  <c:v>45087</c:v>
                </c:pt>
                <c:pt idx="2034">
                  <c:v>45088</c:v>
                </c:pt>
                <c:pt idx="2035">
                  <c:v>45089</c:v>
                </c:pt>
                <c:pt idx="2036">
                  <c:v>45090</c:v>
                </c:pt>
                <c:pt idx="2037">
                  <c:v>45091</c:v>
                </c:pt>
                <c:pt idx="2038">
                  <c:v>45092</c:v>
                </c:pt>
                <c:pt idx="2039">
                  <c:v>45093</c:v>
                </c:pt>
                <c:pt idx="2040">
                  <c:v>45094</c:v>
                </c:pt>
                <c:pt idx="2041">
                  <c:v>45095</c:v>
                </c:pt>
                <c:pt idx="2042">
                  <c:v>45096</c:v>
                </c:pt>
                <c:pt idx="2043">
                  <c:v>45097</c:v>
                </c:pt>
                <c:pt idx="2044">
                  <c:v>45098</c:v>
                </c:pt>
                <c:pt idx="2045">
                  <c:v>45099</c:v>
                </c:pt>
                <c:pt idx="2046">
                  <c:v>45100</c:v>
                </c:pt>
                <c:pt idx="2047">
                  <c:v>45101</c:v>
                </c:pt>
                <c:pt idx="2048">
                  <c:v>45102</c:v>
                </c:pt>
                <c:pt idx="2049">
                  <c:v>45103</c:v>
                </c:pt>
                <c:pt idx="2050">
                  <c:v>45104</c:v>
                </c:pt>
                <c:pt idx="2051">
                  <c:v>45105</c:v>
                </c:pt>
                <c:pt idx="2052">
                  <c:v>45106</c:v>
                </c:pt>
                <c:pt idx="2053">
                  <c:v>45107</c:v>
                </c:pt>
                <c:pt idx="2054">
                  <c:v>45108</c:v>
                </c:pt>
                <c:pt idx="2055">
                  <c:v>45109</c:v>
                </c:pt>
                <c:pt idx="2056">
                  <c:v>45110</c:v>
                </c:pt>
                <c:pt idx="2057">
                  <c:v>45111</c:v>
                </c:pt>
                <c:pt idx="2058">
                  <c:v>45112</c:v>
                </c:pt>
                <c:pt idx="2059">
                  <c:v>45113</c:v>
                </c:pt>
                <c:pt idx="2060">
                  <c:v>45114</c:v>
                </c:pt>
                <c:pt idx="2061">
                  <c:v>45115</c:v>
                </c:pt>
                <c:pt idx="2062">
                  <c:v>45116</c:v>
                </c:pt>
                <c:pt idx="2063">
                  <c:v>45117</c:v>
                </c:pt>
                <c:pt idx="2064">
                  <c:v>45118</c:v>
                </c:pt>
                <c:pt idx="2065">
                  <c:v>45119</c:v>
                </c:pt>
                <c:pt idx="2066">
                  <c:v>45120</c:v>
                </c:pt>
                <c:pt idx="2067">
                  <c:v>45121</c:v>
                </c:pt>
                <c:pt idx="2068">
                  <c:v>45122</c:v>
                </c:pt>
                <c:pt idx="2069">
                  <c:v>45123</c:v>
                </c:pt>
                <c:pt idx="2070">
                  <c:v>45124</c:v>
                </c:pt>
                <c:pt idx="2071">
                  <c:v>45125</c:v>
                </c:pt>
                <c:pt idx="2072">
                  <c:v>45126</c:v>
                </c:pt>
                <c:pt idx="2073">
                  <c:v>45127</c:v>
                </c:pt>
                <c:pt idx="2074">
                  <c:v>45128</c:v>
                </c:pt>
                <c:pt idx="2075">
                  <c:v>45129</c:v>
                </c:pt>
                <c:pt idx="2076">
                  <c:v>45130</c:v>
                </c:pt>
                <c:pt idx="2077">
                  <c:v>45131</c:v>
                </c:pt>
                <c:pt idx="2078">
                  <c:v>45132</c:v>
                </c:pt>
                <c:pt idx="2079">
                  <c:v>45133</c:v>
                </c:pt>
                <c:pt idx="2080">
                  <c:v>45134</c:v>
                </c:pt>
                <c:pt idx="2081">
                  <c:v>45135</c:v>
                </c:pt>
                <c:pt idx="2082">
                  <c:v>45136</c:v>
                </c:pt>
                <c:pt idx="2083">
                  <c:v>45137</c:v>
                </c:pt>
                <c:pt idx="2084">
                  <c:v>45138</c:v>
                </c:pt>
                <c:pt idx="2085">
                  <c:v>45139</c:v>
                </c:pt>
                <c:pt idx="2086">
                  <c:v>45140</c:v>
                </c:pt>
                <c:pt idx="2087">
                  <c:v>45141</c:v>
                </c:pt>
                <c:pt idx="2088">
                  <c:v>45142</c:v>
                </c:pt>
                <c:pt idx="2089">
                  <c:v>45143</c:v>
                </c:pt>
                <c:pt idx="2090">
                  <c:v>45144</c:v>
                </c:pt>
                <c:pt idx="2091">
                  <c:v>45145</c:v>
                </c:pt>
                <c:pt idx="2092">
                  <c:v>45146</c:v>
                </c:pt>
                <c:pt idx="2093">
                  <c:v>45147</c:v>
                </c:pt>
                <c:pt idx="2094">
                  <c:v>45148</c:v>
                </c:pt>
                <c:pt idx="2095">
                  <c:v>45149</c:v>
                </c:pt>
                <c:pt idx="2096">
                  <c:v>45150</c:v>
                </c:pt>
                <c:pt idx="2097">
                  <c:v>45151</c:v>
                </c:pt>
                <c:pt idx="2098">
                  <c:v>45152</c:v>
                </c:pt>
                <c:pt idx="2099">
                  <c:v>45153</c:v>
                </c:pt>
                <c:pt idx="2100">
                  <c:v>45154</c:v>
                </c:pt>
                <c:pt idx="2101">
                  <c:v>45155</c:v>
                </c:pt>
                <c:pt idx="2102">
                  <c:v>45156</c:v>
                </c:pt>
                <c:pt idx="2103">
                  <c:v>45157</c:v>
                </c:pt>
                <c:pt idx="2104">
                  <c:v>45158</c:v>
                </c:pt>
                <c:pt idx="2105">
                  <c:v>45159</c:v>
                </c:pt>
                <c:pt idx="2106">
                  <c:v>45160</c:v>
                </c:pt>
                <c:pt idx="2107">
                  <c:v>45161</c:v>
                </c:pt>
                <c:pt idx="2108">
                  <c:v>45162</c:v>
                </c:pt>
                <c:pt idx="2109">
                  <c:v>45163</c:v>
                </c:pt>
                <c:pt idx="2110">
                  <c:v>45164</c:v>
                </c:pt>
                <c:pt idx="2111">
                  <c:v>45165</c:v>
                </c:pt>
                <c:pt idx="2112">
                  <c:v>45166</c:v>
                </c:pt>
                <c:pt idx="2113">
                  <c:v>45167</c:v>
                </c:pt>
                <c:pt idx="2114">
                  <c:v>45168</c:v>
                </c:pt>
                <c:pt idx="2115">
                  <c:v>45169</c:v>
                </c:pt>
                <c:pt idx="2116">
                  <c:v>45170</c:v>
                </c:pt>
                <c:pt idx="2117">
                  <c:v>45171</c:v>
                </c:pt>
                <c:pt idx="2118">
                  <c:v>45172</c:v>
                </c:pt>
                <c:pt idx="2119">
                  <c:v>45173</c:v>
                </c:pt>
                <c:pt idx="2120">
                  <c:v>45174</c:v>
                </c:pt>
                <c:pt idx="2121">
                  <c:v>45175</c:v>
                </c:pt>
                <c:pt idx="2122">
                  <c:v>45176</c:v>
                </c:pt>
                <c:pt idx="2123">
                  <c:v>45177</c:v>
                </c:pt>
                <c:pt idx="2124">
                  <c:v>45178</c:v>
                </c:pt>
                <c:pt idx="2125">
                  <c:v>45179</c:v>
                </c:pt>
                <c:pt idx="2126">
                  <c:v>45180</c:v>
                </c:pt>
                <c:pt idx="2127">
                  <c:v>45181</c:v>
                </c:pt>
                <c:pt idx="2128">
                  <c:v>45182</c:v>
                </c:pt>
                <c:pt idx="2129">
                  <c:v>45183</c:v>
                </c:pt>
                <c:pt idx="2130">
                  <c:v>45184</c:v>
                </c:pt>
                <c:pt idx="2131">
                  <c:v>45185</c:v>
                </c:pt>
                <c:pt idx="2132">
                  <c:v>45186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45192</c:v>
                </c:pt>
                <c:pt idx="2139">
                  <c:v>45193</c:v>
                </c:pt>
                <c:pt idx="2140">
                  <c:v>45194</c:v>
                </c:pt>
                <c:pt idx="2141">
                  <c:v>45195</c:v>
                </c:pt>
                <c:pt idx="2142">
                  <c:v>45196</c:v>
                </c:pt>
                <c:pt idx="2143">
                  <c:v>45197</c:v>
                </c:pt>
                <c:pt idx="2144">
                  <c:v>45198</c:v>
                </c:pt>
                <c:pt idx="2145">
                  <c:v>45199</c:v>
                </c:pt>
                <c:pt idx="2146">
                  <c:v>45200</c:v>
                </c:pt>
                <c:pt idx="2147">
                  <c:v>45201</c:v>
                </c:pt>
                <c:pt idx="2148">
                  <c:v>45202</c:v>
                </c:pt>
                <c:pt idx="2149">
                  <c:v>45203</c:v>
                </c:pt>
                <c:pt idx="2150">
                  <c:v>45204</c:v>
                </c:pt>
                <c:pt idx="2151">
                  <c:v>45205</c:v>
                </c:pt>
                <c:pt idx="2152">
                  <c:v>45206</c:v>
                </c:pt>
                <c:pt idx="2153">
                  <c:v>45207</c:v>
                </c:pt>
                <c:pt idx="2154">
                  <c:v>45208</c:v>
                </c:pt>
                <c:pt idx="2155">
                  <c:v>45209</c:v>
                </c:pt>
                <c:pt idx="2156">
                  <c:v>45210</c:v>
                </c:pt>
                <c:pt idx="2157">
                  <c:v>45211</c:v>
                </c:pt>
                <c:pt idx="2158">
                  <c:v>45212</c:v>
                </c:pt>
                <c:pt idx="2159">
                  <c:v>45213</c:v>
                </c:pt>
                <c:pt idx="2160">
                  <c:v>45214</c:v>
                </c:pt>
                <c:pt idx="2161">
                  <c:v>45215</c:v>
                </c:pt>
                <c:pt idx="2162">
                  <c:v>45216</c:v>
                </c:pt>
                <c:pt idx="2163">
                  <c:v>45217</c:v>
                </c:pt>
                <c:pt idx="2164">
                  <c:v>45218</c:v>
                </c:pt>
                <c:pt idx="2165">
                  <c:v>45219</c:v>
                </c:pt>
                <c:pt idx="2166">
                  <c:v>45220</c:v>
                </c:pt>
                <c:pt idx="2167">
                  <c:v>45221</c:v>
                </c:pt>
                <c:pt idx="2168">
                  <c:v>45222</c:v>
                </c:pt>
                <c:pt idx="2169">
                  <c:v>45223</c:v>
                </c:pt>
                <c:pt idx="2170">
                  <c:v>45224</c:v>
                </c:pt>
                <c:pt idx="2171">
                  <c:v>45225</c:v>
                </c:pt>
                <c:pt idx="2172">
                  <c:v>45226</c:v>
                </c:pt>
                <c:pt idx="2173">
                  <c:v>45227</c:v>
                </c:pt>
                <c:pt idx="2174">
                  <c:v>45228</c:v>
                </c:pt>
                <c:pt idx="2175">
                  <c:v>45229</c:v>
                </c:pt>
                <c:pt idx="2176">
                  <c:v>45230</c:v>
                </c:pt>
                <c:pt idx="2177">
                  <c:v>45231</c:v>
                </c:pt>
                <c:pt idx="2178">
                  <c:v>45232</c:v>
                </c:pt>
                <c:pt idx="2179">
                  <c:v>45233</c:v>
                </c:pt>
                <c:pt idx="2180">
                  <c:v>45234</c:v>
                </c:pt>
                <c:pt idx="2181">
                  <c:v>45235</c:v>
                </c:pt>
                <c:pt idx="2182">
                  <c:v>45236</c:v>
                </c:pt>
                <c:pt idx="2183">
                  <c:v>45237</c:v>
                </c:pt>
                <c:pt idx="2184">
                  <c:v>45238</c:v>
                </c:pt>
                <c:pt idx="2185">
                  <c:v>45239</c:v>
                </c:pt>
                <c:pt idx="2186">
                  <c:v>45240</c:v>
                </c:pt>
                <c:pt idx="2187">
                  <c:v>45241</c:v>
                </c:pt>
                <c:pt idx="2188">
                  <c:v>45242</c:v>
                </c:pt>
                <c:pt idx="2189">
                  <c:v>45243</c:v>
                </c:pt>
                <c:pt idx="2190">
                  <c:v>45244</c:v>
                </c:pt>
                <c:pt idx="2191">
                  <c:v>45245</c:v>
                </c:pt>
                <c:pt idx="2192">
                  <c:v>45246</c:v>
                </c:pt>
                <c:pt idx="2193">
                  <c:v>45247</c:v>
                </c:pt>
                <c:pt idx="2194">
                  <c:v>45248</c:v>
                </c:pt>
                <c:pt idx="2195">
                  <c:v>45249</c:v>
                </c:pt>
                <c:pt idx="2196">
                  <c:v>45250</c:v>
                </c:pt>
                <c:pt idx="2197">
                  <c:v>45251</c:v>
                </c:pt>
                <c:pt idx="2198">
                  <c:v>45252</c:v>
                </c:pt>
                <c:pt idx="2199">
                  <c:v>45253</c:v>
                </c:pt>
                <c:pt idx="2200">
                  <c:v>45254</c:v>
                </c:pt>
                <c:pt idx="2201">
                  <c:v>45255</c:v>
                </c:pt>
                <c:pt idx="2202">
                  <c:v>45256</c:v>
                </c:pt>
                <c:pt idx="2203">
                  <c:v>45257</c:v>
                </c:pt>
                <c:pt idx="2204">
                  <c:v>45258</c:v>
                </c:pt>
                <c:pt idx="2205">
                  <c:v>45259</c:v>
                </c:pt>
                <c:pt idx="2206">
                  <c:v>45260</c:v>
                </c:pt>
                <c:pt idx="2207">
                  <c:v>45261</c:v>
                </c:pt>
                <c:pt idx="2208">
                  <c:v>45262</c:v>
                </c:pt>
                <c:pt idx="2209">
                  <c:v>45263</c:v>
                </c:pt>
                <c:pt idx="2210">
                  <c:v>45264</c:v>
                </c:pt>
                <c:pt idx="2211">
                  <c:v>45265</c:v>
                </c:pt>
                <c:pt idx="2212">
                  <c:v>45266</c:v>
                </c:pt>
                <c:pt idx="2213">
                  <c:v>45267</c:v>
                </c:pt>
                <c:pt idx="2214">
                  <c:v>45268</c:v>
                </c:pt>
                <c:pt idx="2215">
                  <c:v>45269</c:v>
                </c:pt>
                <c:pt idx="2216">
                  <c:v>45270</c:v>
                </c:pt>
                <c:pt idx="2217">
                  <c:v>45271</c:v>
                </c:pt>
                <c:pt idx="2218">
                  <c:v>45272</c:v>
                </c:pt>
                <c:pt idx="2219">
                  <c:v>45273</c:v>
                </c:pt>
                <c:pt idx="2220">
                  <c:v>45274</c:v>
                </c:pt>
                <c:pt idx="2221">
                  <c:v>45275</c:v>
                </c:pt>
                <c:pt idx="2222">
                  <c:v>45276</c:v>
                </c:pt>
                <c:pt idx="2223">
                  <c:v>45277</c:v>
                </c:pt>
                <c:pt idx="2224">
                  <c:v>45278</c:v>
                </c:pt>
                <c:pt idx="2225">
                  <c:v>45279</c:v>
                </c:pt>
                <c:pt idx="2226">
                  <c:v>45280</c:v>
                </c:pt>
                <c:pt idx="2227">
                  <c:v>45281</c:v>
                </c:pt>
                <c:pt idx="2228">
                  <c:v>45282</c:v>
                </c:pt>
                <c:pt idx="2229">
                  <c:v>45283</c:v>
                </c:pt>
                <c:pt idx="2230">
                  <c:v>45284</c:v>
                </c:pt>
                <c:pt idx="2231">
                  <c:v>45285</c:v>
                </c:pt>
                <c:pt idx="2232">
                  <c:v>45286</c:v>
                </c:pt>
                <c:pt idx="2233">
                  <c:v>45287</c:v>
                </c:pt>
                <c:pt idx="2234">
                  <c:v>45288</c:v>
                </c:pt>
                <c:pt idx="2235">
                  <c:v>45289</c:v>
                </c:pt>
                <c:pt idx="2236">
                  <c:v>45290</c:v>
                </c:pt>
                <c:pt idx="2237">
                  <c:v>45291</c:v>
                </c:pt>
                <c:pt idx="2238">
                  <c:v>45292</c:v>
                </c:pt>
                <c:pt idx="2239">
                  <c:v>45293</c:v>
                </c:pt>
                <c:pt idx="2240">
                  <c:v>45294</c:v>
                </c:pt>
                <c:pt idx="2241">
                  <c:v>45295</c:v>
                </c:pt>
                <c:pt idx="2242">
                  <c:v>45296</c:v>
                </c:pt>
                <c:pt idx="2243">
                  <c:v>45297</c:v>
                </c:pt>
                <c:pt idx="2244">
                  <c:v>45298</c:v>
                </c:pt>
                <c:pt idx="2245">
                  <c:v>45299</c:v>
                </c:pt>
                <c:pt idx="2246">
                  <c:v>45300</c:v>
                </c:pt>
                <c:pt idx="2247">
                  <c:v>45301</c:v>
                </c:pt>
                <c:pt idx="2248">
                  <c:v>45302</c:v>
                </c:pt>
                <c:pt idx="2249">
                  <c:v>45303</c:v>
                </c:pt>
                <c:pt idx="2250">
                  <c:v>45304</c:v>
                </c:pt>
                <c:pt idx="2251">
                  <c:v>45305</c:v>
                </c:pt>
                <c:pt idx="2252">
                  <c:v>45306</c:v>
                </c:pt>
                <c:pt idx="2253">
                  <c:v>45307</c:v>
                </c:pt>
                <c:pt idx="2254">
                  <c:v>45308</c:v>
                </c:pt>
                <c:pt idx="2255">
                  <c:v>45309</c:v>
                </c:pt>
                <c:pt idx="2256">
                  <c:v>45310</c:v>
                </c:pt>
                <c:pt idx="2257">
                  <c:v>45311</c:v>
                </c:pt>
                <c:pt idx="2258">
                  <c:v>45312</c:v>
                </c:pt>
                <c:pt idx="2259">
                  <c:v>45313</c:v>
                </c:pt>
                <c:pt idx="2260">
                  <c:v>45314</c:v>
                </c:pt>
                <c:pt idx="2261">
                  <c:v>45315</c:v>
                </c:pt>
                <c:pt idx="2262">
                  <c:v>45316</c:v>
                </c:pt>
                <c:pt idx="2263">
                  <c:v>45317</c:v>
                </c:pt>
                <c:pt idx="2264">
                  <c:v>45318</c:v>
                </c:pt>
                <c:pt idx="2265">
                  <c:v>45319</c:v>
                </c:pt>
                <c:pt idx="2266">
                  <c:v>45320</c:v>
                </c:pt>
                <c:pt idx="2267">
                  <c:v>45321</c:v>
                </c:pt>
                <c:pt idx="2268">
                  <c:v>45322</c:v>
                </c:pt>
                <c:pt idx="2269">
                  <c:v>45323</c:v>
                </c:pt>
                <c:pt idx="2270">
                  <c:v>45324</c:v>
                </c:pt>
                <c:pt idx="2271">
                  <c:v>45325</c:v>
                </c:pt>
                <c:pt idx="2272">
                  <c:v>45326</c:v>
                </c:pt>
                <c:pt idx="2273">
                  <c:v>45327</c:v>
                </c:pt>
                <c:pt idx="2274">
                  <c:v>45328</c:v>
                </c:pt>
                <c:pt idx="2275">
                  <c:v>45329</c:v>
                </c:pt>
                <c:pt idx="2276">
                  <c:v>45330</c:v>
                </c:pt>
                <c:pt idx="2277">
                  <c:v>45331</c:v>
                </c:pt>
                <c:pt idx="2278">
                  <c:v>45332</c:v>
                </c:pt>
                <c:pt idx="2279">
                  <c:v>45333</c:v>
                </c:pt>
                <c:pt idx="2280">
                  <c:v>45334</c:v>
                </c:pt>
                <c:pt idx="2281">
                  <c:v>45335</c:v>
                </c:pt>
                <c:pt idx="2282">
                  <c:v>45336</c:v>
                </c:pt>
                <c:pt idx="2283">
                  <c:v>45337</c:v>
                </c:pt>
                <c:pt idx="2284">
                  <c:v>45338</c:v>
                </c:pt>
                <c:pt idx="2285">
                  <c:v>45339</c:v>
                </c:pt>
                <c:pt idx="2286">
                  <c:v>45340</c:v>
                </c:pt>
                <c:pt idx="2287">
                  <c:v>45341</c:v>
                </c:pt>
                <c:pt idx="2288">
                  <c:v>45342</c:v>
                </c:pt>
                <c:pt idx="2289">
                  <c:v>45343</c:v>
                </c:pt>
                <c:pt idx="2290">
                  <c:v>45344</c:v>
                </c:pt>
                <c:pt idx="2291">
                  <c:v>45345</c:v>
                </c:pt>
                <c:pt idx="2292">
                  <c:v>45346</c:v>
                </c:pt>
                <c:pt idx="2293">
                  <c:v>45347</c:v>
                </c:pt>
                <c:pt idx="2294">
                  <c:v>45348</c:v>
                </c:pt>
                <c:pt idx="2295">
                  <c:v>45349</c:v>
                </c:pt>
                <c:pt idx="2296">
                  <c:v>45350</c:v>
                </c:pt>
                <c:pt idx="2297">
                  <c:v>45351</c:v>
                </c:pt>
                <c:pt idx="2298">
                  <c:v>45352</c:v>
                </c:pt>
                <c:pt idx="2299">
                  <c:v>45353</c:v>
                </c:pt>
                <c:pt idx="2300">
                  <c:v>45354</c:v>
                </c:pt>
                <c:pt idx="2301">
                  <c:v>45355</c:v>
                </c:pt>
                <c:pt idx="2302">
                  <c:v>45356</c:v>
                </c:pt>
                <c:pt idx="2303">
                  <c:v>45357</c:v>
                </c:pt>
                <c:pt idx="2304">
                  <c:v>45358</c:v>
                </c:pt>
                <c:pt idx="2305">
                  <c:v>45359</c:v>
                </c:pt>
                <c:pt idx="2306">
                  <c:v>45360</c:v>
                </c:pt>
                <c:pt idx="2307">
                  <c:v>45361</c:v>
                </c:pt>
                <c:pt idx="2308">
                  <c:v>45362</c:v>
                </c:pt>
                <c:pt idx="2309">
                  <c:v>45363</c:v>
                </c:pt>
                <c:pt idx="2310">
                  <c:v>45364</c:v>
                </c:pt>
                <c:pt idx="2311">
                  <c:v>45365</c:v>
                </c:pt>
                <c:pt idx="2312">
                  <c:v>45366</c:v>
                </c:pt>
                <c:pt idx="2313">
                  <c:v>45367</c:v>
                </c:pt>
                <c:pt idx="2314">
                  <c:v>45368</c:v>
                </c:pt>
                <c:pt idx="2315">
                  <c:v>45369</c:v>
                </c:pt>
                <c:pt idx="2316">
                  <c:v>45370</c:v>
                </c:pt>
                <c:pt idx="2317">
                  <c:v>45371</c:v>
                </c:pt>
                <c:pt idx="2318">
                  <c:v>45372</c:v>
                </c:pt>
                <c:pt idx="2319">
                  <c:v>45373</c:v>
                </c:pt>
                <c:pt idx="2320">
                  <c:v>45374</c:v>
                </c:pt>
                <c:pt idx="2321">
                  <c:v>45375</c:v>
                </c:pt>
                <c:pt idx="2322">
                  <c:v>45376</c:v>
                </c:pt>
                <c:pt idx="2323">
                  <c:v>45377</c:v>
                </c:pt>
                <c:pt idx="2324">
                  <c:v>45378</c:v>
                </c:pt>
                <c:pt idx="2325">
                  <c:v>45379</c:v>
                </c:pt>
                <c:pt idx="2326">
                  <c:v>45380</c:v>
                </c:pt>
                <c:pt idx="2327">
                  <c:v>45381</c:v>
                </c:pt>
                <c:pt idx="2328">
                  <c:v>45382</c:v>
                </c:pt>
                <c:pt idx="2329">
                  <c:v>45383</c:v>
                </c:pt>
                <c:pt idx="2330">
                  <c:v>45384</c:v>
                </c:pt>
                <c:pt idx="2331">
                  <c:v>45385</c:v>
                </c:pt>
                <c:pt idx="2332">
                  <c:v>45386</c:v>
                </c:pt>
                <c:pt idx="2333">
                  <c:v>45387</c:v>
                </c:pt>
                <c:pt idx="2334">
                  <c:v>45388</c:v>
                </c:pt>
                <c:pt idx="2335">
                  <c:v>45389</c:v>
                </c:pt>
                <c:pt idx="2336">
                  <c:v>45390</c:v>
                </c:pt>
                <c:pt idx="2337">
                  <c:v>45391</c:v>
                </c:pt>
                <c:pt idx="2338">
                  <c:v>45392</c:v>
                </c:pt>
                <c:pt idx="2339">
                  <c:v>45393</c:v>
                </c:pt>
                <c:pt idx="2340">
                  <c:v>45394</c:v>
                </c:pt>
                <c:pt idx="2341">
                  <c:v>45395</c:v>
                </c:pt>
                <c:pt idx="2342">
                  <c:v>45396</c:v>
                </c:pt>
                <c:pt idx="2343">
                  <c:v>45397</c:v>
                </c:pt>
                <c:pt idx="2344">
                  <c:v>45398</c:v>
                </c:pt>
                <c:pt idx="2345">
                  <c:v>45399</c:v>
                </c:pt>
                <c:pt idx="2346">
                  <c:v>45400</c:v>
                </c:pt>
                <c:pt idx="2347">
                  <c:v>45401</c:v>
                </c:pt>
                <c:pt idx="2348">
                  <c:v>45402</c:v>
                </c:pt>
                <c:pt idx="2349">
                  <c:v>45403</c:v>
                </c:pt>
                <c:pt idx="2350">
                  <c:v>45404</c:v>
                </c:pt>
                <c:pt idx="2351">
                  <c:v>45405</c:v>
                </c:pt>
                <c:pt idx="2352">
                  <c:v>45406</c:v>
                </c:pt>
                <c:pt idx="2353">
                  <c:v>45407</c:v>
                </c:pt>
                <c:pt idx="2354">
                  <c:v>45408</c:v>
                </c:pt>
                <c:pt idx="2355">
                  <c:v>45409</c:v>
                </c:pt>
                <c:pt idx="2356">
                  <c:v>45410</c:v>
                </c:pt>
                <c:pt idx="2357">
                  <c:v>45411</c:v>
                </c:pt>
                <c:pt idx="2358">
                  <c:v>45412</c:v>
                </c:pt>
                <c:pt idx="2359">
                  <c:v>45413</c:v>
                </c:pt>
                <c:pt idx="2360">
                  <c:v>45414</c:v>
                </c:pt>
                <c:pt idx="2361">
                  <c:v>45415</c:v>
                </c:pt>
                <c:pt idx="2362">
                  <c:v>45416</c:v>
                </c:pt>
                <c:pt idx="2363">
                  <c:v>45417</c:v>
                </c:pt>
                <c:pt idx="2364">
                  <c:v>45418</c:v>
                </c:pt>
                <c:pt idx="2365">
                  <c:v>45419</c:v>
                </c:pt>
                <c:pt idx="2366">
                  <c:v>45420</c:v>
                </c:pt>
                <c:pt idx="2367">
                  <c:v>45421</c:v>
                </c:pt>
                <c:pt idx="2368">
                  <c:v>45422</c:v>
                </c:pt>
                <c:pt idx="2369">
                  <c:v>45423</c:v>
                </c:pt>
                <c:pt idx="2370">
                  <c:v>45424</c:v>
                </c:pt>
                <c:pt idx="2371">
                  <c:v>45425</c:v>
                </c:pt>
                <c:pt idx="2372">
                  <c:v>45426</c:v>
                </c:pt>
                <c:pt idx="2373">
                  <c:v>45427</c:v>
                </c:pt>
                <c:pt idx="2374">
                  <c:v>45428</c:v>
                </c:pt>
                <c:pt idx="2375">
                  <c:v>45429</c:v>
                </c:pt>
                <c:pt idx="2376">
                  <c:v>45430</c:v>
                </c:pt>
                <c:pt idx="2377">
                  <c:v>45431</c:v>
                </c:pt>
                <c:pt idx="2378">
                  <c:v>45432</c:v>
                </c:pt>
                <c:pt idx="2379">
                  <c:v>45433</c:v>
                </c:pt>
                <c:pt idx="2380">
                  <c:v>45434</c:v>
                </c:pt>
                <c:pt idx="2381">
                  <c:v>45435</c:v>
                </c:pt>
                <c:pt idx="2382">
                  <c:v>45436</c:v>
                </c:pt>
                <c:pt idx="2383">
                  <c:v>45437</c:v>
                </c:pt>
                <c:pt idx="2384">
                  <c:v>45438</c:v>
                </c:pt>
                <c:pt idx="2385">
                  <c:v>45439</c:v>
                </c:pt>
                <c:pt idx="2386">
                  <c:v>45440</c:v>
                </c:pt>
                <c:pt idx="2387">
                  <c:v>45441</c:v>
                </c:pt>
                <c:pt idx="2388">
                  <c:v>45442</c:v>
                </c:pt>
                <c:pt idx="2389">
                  <c:v>45443</c:v>
                </c:pt>
                <c:pt idx="2390">
                  <c:v>45444</c:v>
                </c:pt>
                <c:pt idx="2391">
                  <c:v>45445</c:v>
                </c:pt>
                <c:pt idx="2392">
                  <c:v>45446</c:v>
                </c:pt>
                <c:pt idx="2393">
                  <c:v>45447</c:v>
                </c:pt>
                <c:pt idx="2394">
                  <c:v>45448</c:v>
                </c:pt>
                <c:pt idx="2395">
                  <c:v>45449</c:v>
                </c:pt>
                <c:pt idx="2396">
                  <c:v>45450</c:v>
                </c:pt>
                <c:pt idx="2397">
                  <c:v>45451</c:v>
                </c:pt>
                <c:pt idx="2398">
                  <c:v>45452</c:v>
                </c:pt>
                <c:pt idx="2399">
                  <c:v>45453</c:v>
                </c:pt>
                <c:pt idx="2400">
                  <c:v>45454</c:v>
                </c:pt>
                <c:pt idx="2401">
                  <c:v>45455</c:v>
                </c:pt>
                <c:pt idx="2402">
                  <c:v>45456</c:v>
                </c:pt>
                <c:pt idx="2403">
                  <c:v>45457</c:v>
                </c:pt>
                <c:pt idx="2404">
                  <c:v>45458</c:v>
                </c:pt>
                <c:pt idx="2405">
                  <c:v>45459</c:v>
                </c:pt>
                <c:pt idx="2406">
                  <c:v>45460</c:v>
                </c:pt>
                <c:pt idx="2407">
                  <c:v>45461</c:v>
                </c:pt>
                <c:pt idx="2408">
                  <c:v>45462</c:v>
                </c:pt>
                <c:pt idx="2409">
                  <c:v>45463</c:v>
                </c:pt>
                <c:pt idx="2410">
                  <c:v>45464</c:v>
                </c:pt>
                <c:pt idx="2411">
                  <c:v>45465</c:v>
                </c:pt>
                <c:pt idx="2412">
                  <c:v>45466</c:v>
                </c:pt>
                <c:pt idx="2413">
                  <c:v>45467</c:v>
                </c:pt>
                <c:pt idx="2414">
                  <c:v>45468</c:v>
                </c:pt>
                <c:pt idx="2415">
                  <c:v>45469</c:v>
                </c:pt>
                <c:pt idx="2416">
                  <c:v>45470</c:v>
                </c:pt>
                <c:pt idx="2417">
                  <c:v>45471</c:v>
                </c:pt>
                <c:pt idx="2418">
                  <c:v>45472</c:v>
                </c:pt>
                <c:pt idx="2419">
                  <c:v>45473</c:v>
                </c:pt>
                <c:pt idx="2420">
                  <c:v>45474</c:v>
                </c:pt>
                <c:pt idx="2421">
                  <c:v>45475</c:v>
                </c:pt>
                <c:pt idx="2422">
                  <c:v>45476</c:v>
                </c:pt>
                <c:pt idx="2423">
                  <c:v>45477</c:v>
                </c:pt>
                <c:pt idx="2424">
                  <c:v>45478</c:v>
                </c:pt>
                <c:pt idx="2425">
                  <c:v>45479</c:v>
                </c:pt>
                <c:pt idx="2426">
                  <c:v>45480</c:v>
                </c:pt>
                <c:pt idx="2427">
                  <c:v>45481</c:v>
                </c:pt>
                <c:pt idx="2428">
                  <c:v>45482</c:v>
                </c:pt>
                <c:pt idx="2429">
                  <c:v>45483</c:v>
                </c:pt>
                <c:pt idx="2430">
                  <c:v>45484</c:v>
                </c:pt>
                <c:pt idx="2431">
                  <c:v>45485</c:v>
                </c:pt>
                <c:pt idx="2432">
                  <c:v>45486</c:v>
                </c:pt>
                <c:pt idx="2433">
                  <c:v>45487</c:v>
                </c:pt>
                <c:pt idx="2434">
                  <c:v>45488</c:v>
                </c:pt>
                <c:pt idx="2435">
                  <c:v>45489</c:v>
                </c:pt>
                <c:pt idx="2436">
                  <c:v>45490</c:v>
                </c:pt>
                <c:pt idx="2437">
                  <c:v>45491</c:v>
                </c:pt>
                <c:pt idx="2438">
                  <c:v>45492</c:v>
                </c:pt>
                <c:pt idx="2439">
                  <c:v>45493</c:v>
                </c:pt>
                <c:pt idx="2440">
                  <c:v>45494</c:v>
                </c:pt>
                <c:pt idx="2441">
                  <c:v>45495</c:v>
                </c:pt>
                <c:pt idx="2442">
                  <c:v>45496</c:v>
                </c:pt>
                <c:pt idx="2443">
                  <c:v>45497</c:v>
                </c:pt>
                <c:pt idx="2444">
                  <c:v>45498</c:v>
                </c:pt>
                <c:pt idx="2445">
                  <c:v>45499</c:v>
                </c:pt>
                <c:pt idx="2446">
                  <c:v>45500</c:v>
                </c:pt>
                <c:pt idx="2447">
                  <c:v>45501</c:v>
                </c:pt>
                <c:pt idx="2448">
                  <c:v>45502</c:v>
                </c:pt>
                <c:pt idx="2449">
                  <c:v>45503</c:v>
                </c:pt>
                <c:pt idx="2450">
                  <c:v>45504</c:v>
                </c:pt>
                <c:pt idx="2451">
                  <c:v>45505</c:v>
                </c:pt>
                <c:pt idx="2452">
                  <c:v>45506</c:v>
                </c:pt>
                <c:pt idx="2453">
                  <c:v>45507</c:v>
                </c:pt>
                <c:pt idx="2454">
                  <c:v>45508</c:v>
                </c:pt>
                <c:pt idx="2455">
                  <c:v>45509</c:v>
                </c:pt>
                <c:pt idx="2456">
                  <c:v>45510</c:v>
                </c:pt>
                <c:pt idx="2457">
                  <c:v>45511</c:v>
                </c:pt>
                <c:pt idx="2458">
                  <c:v>45512</c:v>
                </c:pt>
                <c:pt idx="2459">
                  <c:v>45513</c:v>
                </c:pt>
                <c:pt idx="2460">
                  <c:v>45514</c:v>
                </c:pt>
                <c:pt idx="2461">
                  <c:v>45515</c:v>
                </c:pt>
                <c:pt idx="2462">
                  <c:v>45516</c:v>
                </c:pt>
                <c:pt idx="2463">
                  <c:v>45517</c:v>
                </c:pt>
                <c:pt idx="2464">
                  <c:v>45518</c:v>
                </c:pt>
                <c:pt idx="2465">
                  <c:v>45519</c:v>
                </c:pt>
                <c:pt idx="2466">
                  <c:v>45520</c:v>
                </c:pt>
                <c:pt idx="2467">
                  <c:v>45521</c:v>
                </c:pt>
                <c:pt idx="2468">
                  <c:v>45522</c:v>
                </c:pt>
                <c:pt idx="2469">
                  <c:v>45523</c:v>
                </c:pt>
                <c:pt idx="2470">
                  <c:v>45524</c:v>
                </c:pt>
                <c:pt idx="2471">
                  <c:v>45525</c:v>
                </c:pt>
                <c:pt idx="2472">
                  <c:v>45526</c:v>
                </c:pt>
                <c:pt idx="2473">
                  <c:v>45527</c:v>
                </c:pt>
                <c:pt idx="2474">
                  <c:v>45528</c:v>
                </c:pt>
                <c:pt idx="2475">
                  <c:v>45529</c:v>
                </c:pt>
                <c:pt idx="2476">
                  <c:v>45530</c:v>
                </c:pt>
                <c:pt idx="2477">
                  <c:v>45531</c:v>
                </c:pt>
                <c:pt idx="2478">
                  <c:v>45532</c:v>
                </c:pt>
                <c:pt idx="2479">
                  <c:v>45533</c:v>
                </c:pt>
                <c:pt idx="2480">
                  <c:v>45534</c:v>
                </c:pt>
                <c:pt idx="2481">
                  <c:v>45535</c:v>
                </c:pt>
                <c:pt idx="2482">
                  <c:v>45536</c:v>
                </c:pt>
                <c:pt idx="2483">
                  <c:v>45537</c:v>
                </c:pt>
                <c:pt idx="2484">
                  <c:v>45538</c:v>
                </c:pt>
                <c:pt idx="2485">
                  <c:v>45539</c:v>
                </c:pt>
                <c:pt idx="2486">
                  <c:v>45540</c:v>
                </c:pt>
                <c:pt idx="2487">
                  <c:v>45541</c:v>
                </c:pt>
                <c:pt idx="2488">
                  <c:v>45542</c:v>
                </c:pt>
                <c:pt idx="2489">
                  <c:v>45543</c:v>
                </c:pt>
                <c:pt idx="2490">
                  <c:v>45544</c:v>
                </c:pt>
                <c:pt idx="2491">
                  <c:v>45545</c:v>
                </c:pt>
                <c:pt idx="2492">
                  <c:v>45546</c:v>
                </c:pt>
                <c:pt idx="2493">
                  <c:v>45547</c:v>
                </c:pt>
                <c:pt idx="2494">
                  <c:v>45548</c:v>
                </c:pt>
                <c:pt idx="2495">
                  <c:v>45549</c:v>
                </c:pt>
                <c:pt idx="2496">
                  <c:v>45550</c:v>
                </c:pt>
                <c:pt idx="2497">
                  <c:v>45551</c:v>
                </c:pt>
                <c:pt idx="2498">
                  <c:v>45552</c:v>
                </c:pt>
                <c:pt idx="2499">
                  <c:v>45553</c:v>
                </c:pt>
                <c:pt idx="2500">
                  <c:v>45554</c:v>
                </c:pt>
                <c:pt idx="2501">
                  <c:v>45555</c:v>
                </c:pt>
                <c:pt idx="2502">
                  <c:v>45556</c:v>
                </c:pt>
                <c:pt idx="2503">
                  <c:v>45557</c:v>
                </c:pt>
                <c:pt idx="2504">
                  <c:v>45558</c:v>
                </c:pt>
                <c:pt idx="2505">
                  <c:v>45559</c:v>
                </c:pt>
                <c:pt idx="2506">
                  <c:v>45560</c:v>
                </c:pt>
                <c:pt idx="2507">
                  <c:v>45561</c:v>
                </c:pt>
                <c:pt idx="2508">
                  <c:v>45562</c:v>
                </c:pt>
                <c:pt idx="2509">
                  <c:v>45563</c:v>
                </c:pt>
                <c:pt idx="2510">
                  <c:v>45564</c:v>
                </c:pt>
                <c:pt idx="2511">
                  <c:v>45565</c:v>
                </c:pt>
                <c:pt idx="2512">
                  <c:v>45566</c:v>
                </c:pt>
                <c:pt idx="2513">
                  <c:v>45567</c:v>
                </c:pt>
                <c:pt idx="2514">
                  <c:v>45568</c:v>
                </c:pt>
                <c:pt idx="2515">
                  <c:v>45569</c:v>
                </c:pt>
                <c:pt idx="2516">
                  <c:v>45570</c:v>
                </c:pt>
                <c:pt idx="2517">
                  <c:v>45571</c:v>
                </c:pt>
                <c:pt idx="2518">
                  <c:v>45572</c:v>
                </c:pt>
                <c:pt idx="2519">
                  <c:v>45573</c:v>
                </c:pt>
                <c:pt idx="2520">
                  <c:v>45574</c:v>
                </c:pt>
                <c:pt idx="2521">
                  <c:v>45575</c:v>
                </c:pt>
                <c:pt idx="2522">
                  <c:v>45576</c:v>
                </c:pt>
                <c:pt idx="2523">
                  <c:v>45577</c:v>
                </c:pt>
                <c:pt idx="2524">
                  <c:v>45578</c:v>
                </c:pt>
                <c:pt idx="2525">
                  <c:v>45579</c:v>
                </c:pt>
                <c:pt idx="2526">
                  <c:v>45580</c:v>
                </c:pt>
                <c:pt idx="2527">
                  <c:v>45581</c:v>
                </c:pt>
                <c:pt idx="2528">
                  <c:v>45582</c:v>
                </c:pt>
                <c:pt idx="2529">
                  <c:v>45583</c:v>
                </c:pt>
                <c:pt idx="2530">
                  <c:v>45584</c:v>
                </c:pt>
                <c:pt idx="2531">
                  <c:v>45585</c:v>
                </c:pt>
                <c:pt idx="2532">
                  <c:v>45586</c:v>
                </c:pt>
                <c:pt idx="2533">
                  <c:v>45587</c:v>
                </c:pt>
                <c:pt idx="2534">
                  <c:v>45588</c:v>
                </c:pt>
                <c:pt idx="2535">
                  <c:v>45589</c:v>
                </c:pt>
                <c:pt idx="2536">
                  <c:v>45590</c:v>
                </c:pt>
                <c:pt idx="2537">
                  <c:v>45591</c:v>
                </c:pt>
                <c:pt idx="2538">
                  <c:v>45592</c:v>
                </c:pt>
                <c:pt idx="2539">
                  <c:v>45593</c:v>
                </c:pt>
                <c:pt idx="2540">
                  <c:v>45594</c:v>
                </c:pt>
                <c:pt idx="2541">
                  <c:v>45595</c:v>
                </c:pt>
                <c:pt idx="2542">
                  <c:v>45596</c:v>
                </c:pt>
                <c:pt idx="2543">
                  <c:v>45597</c:v>
                </c:pt>
                <c:pt idx="2544">
                  <c:v>45598</c:v>
                </c:pt>
                <c:pt idx="2545">
                  <c:v>45599</c:v>
                </c:pt>
                <c:pt idx="2546">
                  <c:v>45600</c:v>
                </c:pt>
                <c:pt idx="2547">
                  <c:v>45601</c:v>
                </c:pt>
                <c:pt idx="2548">
                  <c:v>45602</c:v>
                </c:pt>
                <c:pt idx="2549">
                  <c:v>45603</c:v>
                </c:pt>
                <c:pt idx="2550">
                  <c:v>45604</c:v>
                </c:pt>
                <c:pt idx="2551">
                  <c:v>45605</c:v>
                </c:pt>
                <c:pt idx="2552">
                  <c:v>45606</c:v>
                </c:pt>
                <c:pt idx="2553">
                  <c:v>45607</c:v>
                </c:pt>
                <c:pt idx="2554">
                  <c:v>45608</c:v>
                </c:pt>
                <c:pt idx="2555">
                  <c:v>45609</c:v>
                </c:pt>
                <c:pt idx="2556">
                  <c:v>45610</c:v>
                </c:pt>
                <c:pt idx="2557">
                  <c:v>45611</c:v>
                </c:pt>
                <c:pt idx="2558">
                  <c:v>45612</c:v>
                </c:pt>
                <c:pt idx="2559">
                  <c:v>45613</c:v>
                </c:pt>
                <c:pt idx="2560">
                  <c:v>45614</c:v>
                </c:pt>
                <c:pt idx="2561">
                  <c:v>45615</c:v>
                </c:pt>
                <c:pt idx="2562">
                  <c:v>45616</c:v>
                </c:pt>
                <c:pt idx="2563">
                  <c:v>45617</c:v>
                </c:pt>
                <c:pt idx="2564">
                  <c:v>45618</c:v>
                </c:pt>
                <c:pt idx="2565">
                  <c:v>45619</c:v>
                </c:pt>
                <c:pt idx="2566">
                  <c:v>45620</c:v>
                </c:pt>
                <c:pt idx="2567">
                  <c:v>45621</c:v>
                </c:pt>
                <c:pt idx="2568">
                  <c:v>45622</c:v>
                </c:pt>
                <c:pt idx="2569">
                  <c:v>45623</c:v>
                </c:pt>
                <c:pt idx="2570">
                  <c:v>45624</c:v>
                </c:pt>
                <c:pt idx="2571">
                  <c:v>45625</c:v>
                </c:pt>
                <c:pt idx="2572">
                  <c:v>45626</c:v>
                </c:pt>
                <c:pt idx="2573">
                  <c:v>45627</c:v>
                </c:pt>
                <c:pt idx="2574">
                  <c:v>45628</c:v>
                </c:pt>
                <c:pt idx="2575">
                  <c:v>45629</c:v>
                </c:pt>
                <c:pt idx="2576">
                  <c:v>45630</c:v>
                </c:pt>
                <c:pt idx="2577">
                  <c:v>45631</c:v>
                </c:pt>
                <c:pt idx="2578">
                  <c:v>45632</c:v>
                </c:pt>
                <c:pt idx="2579">
                  <c:v>45633</c:v>
                </c:pt>
                <c:pt idx="2580">
                  <c:v>45634</c:v>
                </c:pt>
                <c:pt idx="2581">
                  <c:v>45635</c:v>
                </c:pt>
                <c:pt idx="2582">
                  <c:v>45636</c:v>
                </c:pt>
                <c:pt idx="2583">
                  <c:v>45637</c:v>
                </c:pt>
                <c:pt idx="2584">
                  <c:v>45638</c:v>
                </c:pt>
                <c:pt idx="2585">
                  <c:v>45639</c:v>
                </c:pt>
                <c:pt idx="2586">
                  <c:v>45640</c:v>
                </c:pt>
                <c:pt idx="2587">
                  <c:v>45641</c:v>
                </c:pt>
                <c:pt idx="2588">
                  <c:v>45642</c:v>
                </c:pt>
                <c:pt idx="2589">
                  <c:v>45643</c:v>
                </c:pt>
                <c:pt idx="2590">
                  <c:v>45644</c:v>
                </c:pt>
                <c:pt idx="2591">
                  <c:v>45645</c:v>
                </c:pt>
                <c:pt idx="2592">
                  <c:v>45646</c:v>
                </c:pt>
                <c:pt idx="2593">
                  <c:v>45647</c:v>
                </c:pt>
                <c:pt idx="2594">
                  <c:v>45648</c:v>
                </c:pt>
                <c:pt idx="2595">
                  <c:v>45649</c:v>
                </c:pt>
                <c:pt idx="2596">
                  <c:v>45650</c:v>
                </c:pt>
                <c:pt idx="2597">
                  <c:v>45651</c:v>
                </c:pt>
                <c:pt idx="2598">
                  <c:v>45652</c:v>
                </c:pt>
                <c:pt idx="2599">
                  <c:v>45653</c:v>
                </c:pt>
                <c:pt idx="2600">
                  <c:v>45654</c:v>
                </c:pt>
                <c:pt idx="2601">
                  <c:v>45655</c:v>
                </c:pt>
                <c:pt idx="2602">
                  <c:v>45656</c:v>
                </c:pt>
                <c:pt idx="2603">
                  <c:v>45657</c:v>
                </c:pt>
                <c:pt idx="2604">
                  <c:v>45658</c:v>
                </c:pt>
                <c:pt idx="2605">
                  <c:v>45659</c:v>
                </c:pt>
                <c:pt idx="2606">
                  <c:v>45660</c:v>
                </c:pt>
                <c:pt idx="2607">
                  <c:v>45661</c:v>
                </c:pt>
                <c:pt idx="2608">
                  <c:v>45662</c:v>
                </c:pt>
                <c:pt idx="2609">
                  <c:v>45663</c:v>
                </c:pt>
                <c:pt idx="2610">
                  <c:v>45664</c:v>
                </c:pt>
                <c:pt idx="2611">
                  <c:v>45665</c:v>
                </c:pt>
                <c:pt idx="2612">
                  <c:v>45666</c:v>
                </c:pt>
                <c:pt idx="2613">
                  <c:v>45667</c:v>
                </c:pt>
                <c:pt idx="2614">
                  <c:v>45668</c:v>
                </c:pt>
                <c:pt idx="2615">
                  <c:v>45669</c:v>
                </c:pt>
                <c:pt idx="2616">
                  <c:v>45670</c:v>
                </c:pt>
                <c:pt idx="2617">
                  <c:v>45671</c:v>
                </c:pt>
                <c:pt idx="2618">
                  <c:v>45672</c:v>
                </c:pt>
                <c:pt idx="2619">
                  <c:v>45673</c:v>
                </c:pt>
                <c:pt idx="2620">
                  <c:v>45674</c:v>
                </c:pt>
                <c:pt idx="2621">
                  <c:v>45675</c:v>
                </c:pt>
                <c:pt idx="2622">
                  <c:v>45676</c:v>
                </c:pt>
                <c:pt idx="2623">
                  <c:v>45677</c:v>
                </c:pt>
                <c:pt idx="2624">
                  <c:v>45678</c:v>
                </c:pt>
                <c:pt idx="2625">
                  <c:v>45679</c:v>
                </c:pt>
                <c:pt idx="2626">
                  <c:v>45680</c:v>
                </c:pt>
                <c:pt idx="2627">
                  <c:v>45681</c:v>
                </c:pt>
                <c:pt idx="2628">
                  <c:v>45682</c:v>
                </c:pt>
                <c:pt idx="2629">
                  <c:v>45683</c:v>
                </c:pt>
                <c:pt idx="2630">
                  <c:v>45684</c:v>
                </c:pt>
                <c:pt idx="2631">
                  <c:v>45685</c:v>
                </c:pt>
                <c:pt idx="2632">
                  <c:v>45686</c:v>
                </c:pt>
                <c:pt idx="2633">
                  <c:v>45687</c:v>
                </c:pt>
                <c:pt idx="2634">
                  <c:v>45688</c:v>
                </c:pt>
                <c:pt idx="2635">
                  <c:v>45689</c:v>
                </c:pt>
                <c:pt idx="2636">
                  <c:v>45690</c:v>
                </c:pt>
                <c:pt idx="2637">
                  <c:v>45691</c:v>
                </c:pt>
                <c:pt idx="2638">
                  <c:v>45692</c:v>
                </c:pt>
                <c:pt idx="2639">
                  <c:v>45693</c:v>
                </c:pt>
                <c:pt idx="2640">
                  <c:v>45694</c:v>
                </c:pt>
                <c:pt idx="2641">
                  <c:v>45695</c:v>
                </c:pt>
                <c:pt idx="2642">
                  <c:v>45696</c:v>
                </c:pt>
                <c:pt idx="2643">
                  <c:v>45697</c:v>
                </c:pt>
                <c:pt idx="2644">
                  <c:v>45698</c:v>
                </c:pt>
                <c:pt idx="2645">
                  <c:v>45699</c:v>
                </c:pt>
                <c:pt idx="2646">
                  <c:v>45700</c:v>
                </c:pt>
                <c:pt idx="2647">
                  <c:v>45701</c:v>
                </c:pt>
                <c:pt idx="2648">
                  <c:v>45702</c:v>
                </c:pt>
                <c:pt idx="2649">
                  <c:v>45703</c:v>
                </c:pt>
                <c:pt idx="2650">
                  <c:v>45704</c:v>
                </c:pt>
                <c:pt idx="2651">
                  <c:v>45705</c:v>
                </c:pt>
                <c:pt idx="2652">
                  <c:v>45706</c:v>
                </c:pt>
                <c:pt idx="2653">
                  <c:v>45707</c:v>
                </c:pt>
                <c:pt idx="2654">
                  <c:v>45708</c:v>
                </c:pt>
                <c:pt idx="2655">
                  <c:v>45709</c:v>
                </c:pt>
                <c:pt idx="2656">
                  <c:v>45710</c:v>
                </c:pt>
                <c:pt idx="2657">
                  <c:v>45711</c:v>
                </c:pt>
                <c:pt idx="2658">
                  <c:v>45712</c:v>
                </c:pt>
                <c:pt idx="2659">
                  <c:v>45713</c:v>
                </c:pt>
                <c:pt idx="2660">
                  <c:v>45714</c:v>
                </c:pt>
                <c:pt idx="2661">
                  <c:v>45715</c:v>
                </c:pt>
                <c:pt idx="2662">
                  <c:v>45716</c:v>
                </c:pt>
                <c:pt idx="2663">
                  <c:v>45717</c:v>
                </c:pt>
                <c:pt idx="2664">
                  <c:v>45718</c:v>
                </c:pt>
                <c:pt idx="2665">
                  <c:v>45719</c:v>
                </c:pt>
                <c:pt idx="2666">
                  <c:v>45720</c:v>
                </c:pt>
                <c:pt idx="2667">
                  <c:v>45721</c:v>
                </c:pt>
                <c:pt idx="2668">
                  <c:v>45722</c:v>
                </c:pt>
                <c:pt idx="2669">
                  <c:v>45723</c:v>
                </c:pt>
                <c:pt idx="2670">
                  <c:v>45724</c:v>
                </c:pt>
                <c:pt idx="2671">
                  <c:v>45725</c:v>
                </c:pt>
                <c:pt idx="2672">
                  <c:v>45726</c:v>
                </c:pt>
                <c:pt idx="2673">
                  <c:v>45727</c:v>
                </c:pt>
                <c:pt idx="2674">
                  <c:v>45728</c:v>
                </c:pt>
                <c:pt idx="2675">
                  <c:v>45729</c:v>
                </c:pt>
                <c:pt idx="2676">
                  <c:v>45730</c:v>
                </c:pt>
                <c:pt idx="2677">
                  <c:v>45731</c:v>
                </c:pt>
                <c:pt idx="2678">
                  <c:v>45732</c:v>
                </c:pt>
                <c:pt idx="2679">
                  <c:v>45733</c:v>
                </c:pt>
                <c:pt idx="2680">
                  <c:v>45734</c:v>
                </c:pt>
                <c:pt idx="2681">
                  <c:v>45735</c:v>
                </c:pt>
                <c:pt idx="2682">
                  <c:v>45736</c:v>
                </c:pt>
                <c:pt idx="2683">
                  <c:v>45737</c:v>
                </c:pt>
                <c:pt idx="2684">
                  <c:v>45738</c:v>
                </c:pt>
                <c:pt idx="2685">
                  <c:v>45739</c:v>
                </c:pt>
                <c:pt idx="2686">
                  <c:v>45740</c:v>
                </c:pt>
                <c:pt idx="2687">
                  <c:v>45741</c:v>
                </c:pt>
                <c:pt idx="2688">
                  <c:v>45742</c:v>
                </c:pt>
                <c:pt idx="2689">
                  <c:v>45743</c:v>
                </c:pt>
                <c:pt idx="2690">
                  <c:v>45744</c:v>
                </c:pt>
                <c:pt idx="2691">
                  <c:v>45745</c:v>
                </c:pt>
                <c:pt idx="2692">
                  <c:v>45746</c:v>
                </c:pt>
                <c:pt idx="2693">
                  <c:v>45747</c:v>
                </c:pt>
                <c:pt idx="2694">
                  <c:v>45748</c:v>
                </c:pt>
                <c:pt idx="2695">
                  <c:v>45749</c:v>
                </c:pt>
                <c:pt idx="2696">
                  <c:v>45750</c:v>
                </c:pt>
                <c:pt idx="2697">
                  <c:v>45751</c:v>
                </c:pt>
                <c:pt idx="2698">
                  <c:v>45752</c:v>
                </c:pt>
                <c:pt idx="2699">
                  <c:v>45753</c:v>
                </c:pt>
                <c:pt idx="2700">
                  <c:v>45754</c:v>
                </c:pt>
                <c:pt idx="2701">
                  <c:v>45755</c:v>
                </c:pt>
                <c:pt idx="2702">
                  <c:v>45756</c:v>
                </c:pt>
                <c:pt idx="2703">
                  <c:v>45757</c:v>
                </c:pt>
                <c:pt idx="2704">
                  <c:v>45758</c:v>
                </c:pt>
                <c:pt idx="2705">
                  <c:v>45759</c:v>
                </c:pt>
                <c:pt idx="2706">
                  <c:v>45760</c:v>
                </c:pt>
                <c:pt idx="2707">
                  <c:v>45761</c:v>
                </c:pt>
                <c:pt idx="2708">
                  <c:v>45762</c:v>
                </c:pt>
                <c:pt idx="2709">
                  <c:v>45763</c:v>
                </c:pt>
                <c:pt idx="2710">
                  <c:v>45764</c:v>
                </c:pt>
                <c:pt idx="2711">
                  <c:v>45765</c:v>
                </c:pt>
                <c:pt idx="2712">
                  <c:v>45766</c:v>
                </c:pt>
                <c:pt idx="2713">
                  <c:v>45767</c:v>
                </c:pt>
                <c:pt idx="2714">
                  <c:v>45768</c:v>
                </c:pt>
                <c:pt idx="2715">
                  <c:v>45769</c:v>
                </c:pt>
                <c:pt idx="2716">
                  <c:v>45770</c:v>
                </c:pt>
                <c:pt idx="2717">
                  <c:v>45771</c:v>
                </c:pt>
                <c:pt idx="2718">
                  <c:v>45772</c:v>
                </c:pt>
                <c:pt idx="2719">
                  <c:v>45773</c:v>
                </c:pt>
                <c:pt idx="2720">
                  <c:v>45774</c:v>
                </c:pt>
                <c:pt idx="2721">
                  <c:v>45775</c:v>
                </c:pt>
                <c:pt idx="2722">
                  <c:v>45776</c:v>
                </c:pt>
                <c:pt idx="2723">
                  <c:v>45777</c:v>
                </c:pt>
                <c:pt idx="2724">
                  <c:v>45778</c:v>
                </c:pt>
                <c:pt idx="2725">
                  <c:v>45779</c:v>
                </c:pt>
                <c:pt idx="2726">
                  <c:v>45780</c:v>
                </c:pt>
                <c:pt idx="2727">
                  <c:v>45781</c:v>
                </c:pt>
                <c:pt idx="2728">
                  <c:v>45782</c:v>
                </c:pt>
                <c:pt idx="2729">
                  <c:v>45783</c:v>
                </c:pt>
                <c:pt idx="2730">
                  <c:v>45784</c:v>
                </c:pt>
                <c:pt idx="2731">
                  <c:v>45785</c:v>
                </c:pt>
                <c:pt idx="2732">
                  <c:v>45786</c:v>
                </c:pt>
                <c:pt idx="2733">
                  <c:v>45787</c:v>
                </c:pt>
                <c:pt idx="2734">
                  <c:v>45788</c:v>
                </c:pt>
                <c:pt idx="2735">
                  <c:v>45789</c:v>
                </c:pt>
                <c:pt idx="2736">
                  <c:v>45790</c:v>
                </c:pt>
                <c:pt idx="2737">
                  <c:v>45791</c:v>
                </c:pt>
                <c:pt idx="2738">
                  <c:v>45792</c:v>
                </c:pt>
                <c:pt idx="2739">
                  <c:v>45793</c:v>
                </c:pt>
                <c:pt idx="2740">
                  <c:v>45794</c:v>
                </c:pt>
                <c:pt idx="2741">
                  <c:v>45795</c:v>
                </c:pt>
                <c:pt idx="2742">
                  <c:v>45796</c:v>
                </c:pt>
                <c:pt idx="2743">
                  <c:v>45797</c:v>
                </c:pt>
                <c:pt idx="2744">
                  <c:v>45798</c:v>
                </c:pt>
                <c:pt idx="2745">
                  <c:v>45799</c:v>
                </c:pt>
                <c:pt idx="2746">
                  <c:v>45800</c:v>
                </c:pt>
                <c:pt idx="2747">
                  <c:v>45801</c:v>
                </c:pt>
                <c:pt idx="2748">
                  <c:v>45802</c:v>
                </c:pt>
                <c:pt idx="2749">
                  <c:v>45803</c:v>
                </c:pt>
                <c:pt idx="2750">
                  <c:v>45804</c:v>
                </c:pt>
                <c:pt idx="2751">
                  <c:v>45805</c:v>
                </c:pt>
                <c:pt idx="2752">
                  <c:v>45806</c:v>
                </c:pt>
                <c:pt idx="2753">
                  <c:v>45807</c:v>
                </c:pt>
                <c:pt idx="2754">
                  <c:v>45808</c:v>
                </c:pt>
                <c:pt idx="2755">
                  <c:v>45809</c:v>
                </c:pt>
                <c:pt idx="2756">
                  <c:v>45810</c:v>
                </c:pt>
                <c:pt idx="2757">
                  <c:v>45811</c:v>
                </c:pt>
                <c:pt idx="2758">
                  <c:v>45812</c:v>
                </c:pt>
                <c:pt idx="2759">
                  <c:v>45813</c:v>
                </c:pt>
                <c:pt idx="2760">
                  <c:v>45814</c:v>
                </c:pt>
                <c:pt idx="2761">
                  <c:v>45815</c:v>
                </c:pt>
                <c:pt idx="2762">
                  <c:v>45816</c:v>
                </c:pt>
                <c:pt idx="2763">
                  <c:v>45817</c:v>
                </c:pt>
                <c:pt idx="2764">
                  <c:v>45818</c:v>
                </c:pt>
                <c:pt idx="2765">
                  <c:v>45819</c:v>
                </c:pt>
                <c:pt idx="2766">
                  <c:v>45820</c:v>
                </c:pt>
                <c:pt idx="2767">
                  <c:v>45821</c:v>
                </c:pt>
                <c:pt idx="2768">
                  <c:v>45822</c:v>
                </c:pt>
                <c:pt idx="2769">
                  <c:v>45823</c:v>
                </c:pt>
                <c:pt idx="2770">
                  <c:v>45824</c:v>
                </c:pt>
                <c:pt idx="2771">
                  <c:v>45825</c:v>
                </c:pt>
                <c:pt idx="2772">
                  <c:v>45826</c:v>
                </c:pt>
                <c:pt idx="2773">
                  <c:v>45827</c:v>
                </c:pt>
                <c:pt idx="2774">
                  <c:v>45828</c:v>
                </c:pt>
                <c:pt idx="2775">
                  <c:v>45829</c:v>
                </c:pt>
                <c:pt idx="2776">
                  <c:v>45830</c:v>
                </c:pt>
                <c:pt idx="2777">
                  <c:v>45831</c:v>
                </c:pt>
                <c:pt idx="2778">
                  <c:v>45832</c:v>
                </c:pt>
                <c:pt idx="2779">
                  <c:v>45833</c:v>
                </c:pt>
                <c:pt idx="2780">
                  <c:v>45834</c:v>
                </c:pt>
                <c:pt idx="2781">
                  <c:v>45835</c:v>
                </c:pt>
                <c:pt idx="2782">
                  <c:v>45836</c:v>
                </c:pt>
                <c:pt idx="2783">
                  <c:v>45837</c:v>
                </c:pt>
                <c:pt idx="2784">
                  <c:v>45838</c:v>
                </c:pt>
                <c:pt idx="2785">
                  <c:v>45839</c:v>
                </c:pt>
                <c:pt idx="2786">
                  <c:v>45840</c:v>
                </c:pt>
                <c:pt idx="2787">
                  <c:v>45841</c:v>
                </c:pt>
                <c:pt idx="2788">
                  <c:v>45842</c:v>
                </c:pt>
                <c:pt idx="2789">
                  <c:v>45843</c:v>
                </c:pt>
                <c:pt idx="2790">
                  <c:v>45844</c:v>
                </c:pt>
                <c:pt idx="2791">
                  <c:v>45845</c:v>
                </c:pt>
                <c:pt idx="2792">
                  <c:v>45846</c:v>
                </c:pt>
                <c:pt idx="2793">
                  <c:v>45847</c:v>
                </c:pt>
                <c:pt idx="2794">
                  <c:v>45848</c:v>
                </c:pt>
                <c:pt idx="2795">
                  <c:v>45849</c:v>
                </c:pt>
                <c:pt idx="2796">
                  <c:v>45850</c:v>
                </c:pt>
                <c:pt idx="2797">
                  <c:v>45851</c:v>
                </c:pt>
                <c:pt idx="2798">
                  <c:v>45852</c:v>
                </c:pt>
                <c:pt idx="2799">
                  <c:v>45853</c:v>
                </c:pt>
                <c:pt idx="2800">
                  <c:v>45854</c:v>
                </c:pt>
                <c:pt idx="2801">
                  <c:v>45855</c:v>
                </c:pt>
                <c:pt idx="2802">
                  <c:v>45856</c:v>
                </c:pt>
                <c:pt idx="2803">
                  <c:v>45857</c:v>
                </c:pt>
                <c:pt idx="2804">
                  <c:v>45858</c:v>
                </c:pt>
                <c:pt idx="2805">
                  <c:v>45859</c:v>
                </c:pt>
                <c:pt idx="2806">
                  <c:v>45860</c:v>
                </c:pt>
                <c:pt idx="2807">
                  <c:v>45861</c:v>
                </c:pt>
                <c:pt idx="2808">
                  <c:v>45862</c:v>
                </c:pt>
                <c:pt idx="2809">
                  <c:v>45863</c:v>
                </c:pt>
                <c:pt idx="2810">
                  <c:v>45864</c:v>
                </c:pt>
                <c:pt idx="2811">
                  <c:v>45865</c:v>
                </c:pt>
                <c:pt idx="2812">
                  <c:v>45866</c:v>
                </c:pt>
                <c:pt idx="2813">
                  <c:v>45867</c:v>
                </c:pt>
                <c:pt idx="2814">
                  <c:v>45868</c:v>
                </c:pt>
                <c:pt idx="2815">
                  <c:v>45869</c:v>
                </c:pt>
                <c:pt idx="2816">
                  <c:v>45870</c:v>
                </c:pt>
                <c:pt idx="2817">
                  <c:v>45871</c:v>
                </c:pt>
                <c:pt idx="2818">
                  <c:v>45872</c:v>
                </c:pt>
                <c:pt idx="2819">
                  <c:v>45873</c:v>
                </c:pt>
                <c:pt idx="2820">
                  <c:v>45874</c:v>
                </c:pt>
                <c:pt idx="2821">
                  <c:v>45875</c:v>
                </c:pt>
                <c:pt idx="2822">
                  <c:v>45876</c:v>
                </c:pt>
                <c:pt idx="2823">
                  <c:v>45877</c:v>
                </c:pt>
                <c:pt idx="2824">
                  <c:v>45878</c:v>
                </c:pt>
                <c:pt idx="2825">
                  <c:v>45879</c:v>
                </c:pt>
                <c:pt idx="2826">
                  <c:v>45880</c:v>
                </c:pt>
                <c:pt idx="2827">
                  <c:v>45881</c:v>
                </c:pt>
                <c:pt idx="2828">
                  <c:v>45882</c:v>
                </c:pt>
                <c:pt idx="2829">
                  <c:v>45883</c:v>
                </c:pt>
                <c:pt idx="2830">
                  <c:v>45884</c:v>
                </c:pt>
                <c:pt idx="2831">
                  <c:v>45885</c:v>
                </c:pt>
                <c:pt idx="2832">
                  <c:v>45886</c:v>
                </c:pt>
                <c:pt idx="2833">
                  <c:v>45887</c:v>
                </c:pt>
                <c:pt idx="2834">
                  <c:v>45888</c:v>
                </c:pt>
                <c:pt idx="2835">
                  <c:v>45889</c:v>
                </c:pt>
                <c:pt idx="2836">
                  <c:v>45890</c:v>
                </c:pt>
                <c:pt idx="2837">
                  <c:v>45891</c:v>
                </c:pt>
                <c:pt idx="2838">
                  <c:v>45892</c:v>
                </c:pt>
                <c:pt idx="2839">
                  <c:v>45893</c:v>
                </c:pt>
                <c:pt idx="2840">
                  <c:v>45894</c:v>
                </c:pt>
                <c:pt idx="2841">
                  <c:v>45895</c:v>
                </c:pt>
                <c:pt idx="2842">
                  <c:v>45896</c:v>
                </c:pt>
                <c:pt idx="2843">
                  <c:v>45897</c:v>
                </c:pt>
                <c:pt idx="2844">
                  <c:v>45898</c:v>
                </c:pt>
                <c:pt idx="2845">
                  <c:v>45899</c:v>
                </c:pt>
                <c:pt idx="2846">
                  <c:v>45900</c:v>
                </c:pt>
                <c:pt idx="2847">
                  <c:v>45901</c:v>
                </c:pt>
                <c:pt idx="2848">
                  <c:v>45902</c:v>
                </c:pt>
                <c:pt idx="2849">
                  <c:v>45903</c:v>
                </c:pt>
                <c:pt idx="2850">
                  <c:v>45904</c:v>
                </c:pt>
                <c:pt idx="2851">
                  <c:v>45905</c:v>
                </c:pt>
                <c:pt idx="2852">
                  <c:v>45906</c:v>
                </c:pt>
                <c:pt idx="2853">
                  <c:v>45907</c:v>
                </c:pt>
                <c:pt idx="2854">
                  <c:v>45908</c:v>
                </c:pt>
                <c:pt idx="2855">
                  <c:v>45909</c:v>
                </c:pt>
                <c:pt idx="2856">
                  <c:v>45910</c:v>
                </c:pt>
                <c:pt idx="2857">
                  <c:v>45911</c:v>
                </c:pt>
                <c:pt idx="2858">
                  <c:v>45912</c:v>
                </c:pt>
                <c:pt idx="2859">
                  <c:v>45913</c:v>
                </c:pt>
                <c:pt idx="2860">
                  <c:v>45914</c:v>
                </c:pt>
                <c:pt idx="2861">
                  <c:v>45915</c:v>
                </c:pt>
                <c:pt idx="2862">
                  <c:v>45916</c:v>
                </c:pt>
                <c:pt idx="2863">
                  <c:v>45917</c:v>
                </c:pt>
                <c:pt idx="2864">
                  <c:v>45918</c:v>
                </c:pt>
                <c:pt idx="2865">
                  <c:v>45919</c:v>
                </c:pt>
                <c:pt idx="2866">
                  <c:v>45920</c:v>
                </c:pt>
                <c:pt idx="2867">
                  <c:v>45921</c:v>
                </c:pt>
                <c:pt idx="2868">
                  <c:v>45922</c:v>
                </c:pt>
                <c:pt idx="2869">
                  <c:v>45923</c:v>
                </c:pt>
                <c:pt idx="2870">
                  <c:v>45924</c:v>
                </c:pt>
                <c:pt idx="2871">
                  <c:v>45925</c:v>
                </c:pt>
                <c:pt idx="2872">
                  <c:v>45926</c:v>
                </c:pt>
                <c:pt idx="2873">
                  <c:v>45927</c:v>
                </c:pt>
                <c:pt idx="2874">
                  <c:v>45928</c:v>
                </c:pt>
                <c:pt idx="2875">
                  <c:v>45929</c:v>
                </c:pt>
                <c:pt idx="2876">
                  <c:v>45930</c:v>
                </c:pt>
                <c:pt idx="2877">
                  <c:v>45931</c:v>
                </c:pt>
                <c:pt idx="2878">
                  <c:v>45932</c:v>
                </c:pt>
                <c:pt idx="2879">
                  <c:v>45933</c:v>
                </c:pt>
                <c:pt idx="2880">
                  <c:v>45934</c:v>
                </c:pt>
                <c:pt idx="2881">
                  <c:v>45935</c:v>
                </c:pt>
                <c:pt idx="2882">
                  <c:v>45936</c:v>
                </c:pt>
                <c:pt idx="2883">
                  <c:v>45937</c:v>
                </c:pt>
                <c:pt idx="2884">
                  <c:v>45938</c:v>
                </c:pt>
                <c:pt idx="2885">
                  <c:v>45939</c:v>
                </c:pt>
                <c:pt idx="2886">
                  <c:v>45940</c:v>
                </c:pt>
                <c:pt idx="2887">
                  <c:v>45941</c:v>
                </c:pt>
                <c:pt idx="2888">
                  <c:v>45942</c:v>
                </c:pt>
                <c:pt idx="2889">
                  <c:v>45943</c:v>
                </c:pt>
                <c:pt idx="2890">
                  <c:v>45944</c:v>
                </c:pt>
                <c:pt idx="2891">
                  <c:v>45945</c:v>
                </c:pt>
                <c:pt idx="2892">
                  <c:v>45946</c:v>
                </c:pt>
                <c:pt idx="2893">
                  <c:v>45947</c:v>
                </c:pt>
                <c:pt idx="2894">
                  <c:v>45948</c:v>
                </c:pt>
                <c:pt idx="2895">
                  <c:v>45949</c:v>
                </c:pt>
                <c:pt idx="2896">
                  <c:v>45950</c:v>
                </c:pt>
                <c:pt idx="2897">
                  <c:v>45951</c:v>
                </c:pt>
                <c:pt idx="2898">
                  <c:v>45952</c:v>
                </c:pt>
                <c:pt idx="2899">
                  <c:v>45953</c:v>
                </c:pt>
                <c:pt idx="2900">
                  <c:v>45954</c:v>
                </c:pt>
                <c:pt idx="2901">
                  <c:v>45955</c:v>
                </c:pt>
                <c:pt idx="2902">
                  <c:v>45956</c:v>
                </c:pt>
                <c:pt idx="2903">
                  <c:v>45957</c:v>
                </c:pt>
                <c:pt idx="2904">
                  <c:v>45958</c:v>
                </c:pt>
                <c:pt idx="2905">
                  <c:v>45959</c:v>
                </c:pt>
                <c:pt idx="2906">
                  <c:v>45960</c:v>
                </c:pt>
                <c:pt idx="2907">
                  <c:v>45961</c:v>
                </c:pt>
                <c:pt idx="2908">
                  <c:v>45962</c:v>
                </c:pt>
                <c:pt idx="2909">
                  <c:v>45963</c:v>
                </c:pt>
                <c:pt idx="2910">
                  <c:v>45964</c:v>
                </c:pt>
                <c:pt idx="2911">
                  <c:v>45965</c:v>
                </c:pt>
                <c:pt idx="2912">
                  <c:v>45966</c:v>
                </c:pt>
                <c:pt idx="2913">
                  <c:v>45967</c:v>
                </c:pt>
                <c:pt idx="2914">
                  <c:v>45968</c:v>
                </c:pt>
                <c:pt idx="2915">
                  <c:v>45969</c:v>
                </c:pt>
                <c:pt idx="2916">
                  <c:v>45970</c:v>
                </c:pt>
                <c:pt idx="2917">
                  <c:v>45971</c:v>
                </c:pt>
                <c:pt idx="2918">
                  <c:v>45972</c:v>
                </c:pt>
                <c:pt idx="2919">
                  <c:v>45973</c:v>
                </c:pt>
                <c:pt idx="2920">
                  <c:v>45974</c:v>
                </c:pt>
                <c:pt idx="2921">
                  <c:v>45975</c:v>
                </c:pt>
                <c:pt idx="2922">
                  <c:v>45976</c:v>
                </c:pt>
                <c:pt idx="2923">
                  <c:v>45977</c:v>
                </c:pt>
                <c:pt idx="2924">
                  <c:v>45978</c:v>
                </c:pt>
                <c:pt idx="2925">
                  <c:v>45979</c:v>
                </c:pt>
                <c:pt idx="2926">
                  <c:v>45980</c:v>
                </c:pt>
                <c:pt idx="2927">
                  <c:v>45981</c:v>
                </c:pt>
                <c:pt idx="2928">
                  <c:v>45982</c:v>
                </c:pt>
                <c:pt idx="2929">
                  <c:v>45983</c:v>
                </c:pt>
                <c:pt idx="2930">
                  <c:v>45984</c:v>
                </c:pt>
                <c:pt idx="2931">
                  <c:v>45985</c:v>
                </c:pt>
                <c:pt idx="2932">
                  <c:v>45986</c:v>
                </c:pt>
                <c:pt idx="2933">
                  <c:v>45987</c:v>
                </c:pt>
                <c:pt idx="2934">
                  <c:v>45988</c:v>
                </c:pt>
                <c:pt idx="2935">
                  <c:v>45989</c:v>
                </c:pt>
                <c:pt idx="2936">
                  <c:v>45990</c:v>
                </c:pt>
                <c:pt idx="2937">
                  <c:v>45991</c:v>
                </c:pt>
                <c:pt idx="2938">
                  <c:v>45992</c:v>
                </c:pt>
                <c:pt idx="2939">
                  <c:v>45993</c:v>
                </c:pt>
                <c:pt idx="2940">
                  <c:v>45994</c:v>
                </c:pt>
                <c:pt idx="2941">
                  <c:v>45995</c:v>
                </c:pt>
                <c:pt idx="2942">
                  <c:v>45996</c:v>
                </c:pt>
                <c:pt idx="2943">
                  <c:v>45997</c:v>
                </c:pt>
                <c:pt idx="2944">
                  <c:v>45998</c:v>
                </c:pt>
                <c:pt idx="2945">
                  <c:v>45999</c:v>
                </c:pt>
                <c:pt idx="2946">
                  <c:v>46000</c:v>
                </c:pt>
                <c:pt idx="2947">
                  <c:v>46001</c:v>
                </c:pt>
                <c:pt idx="2948">
                  <c:v>46002</c:v>
                </c:pt>
                <c:pt idx="2949">
                  <c:v>46003</c:v>
                </c:pt>
                <c:pt idx="2950">
                  <c:v>46004</c:v>
                </c:pt>
                <c:pt idx="2951">
                  <c:v>46005</c:v>
                </c:pt>
                <c:pt idx="2952">
                  <c:v>46006</c:v>
                </c:pt>
                <c:pt idx="2953">
                  <c:v>46007</c:v>
                </c:pt>
                <c:pt idx="2954">
                  <c:v>46008</c:v>
                </c:pt>
                <c:pt idx="2955">
                  <c:v>46009</c:v>
                </c:pt>
                <c:pt idx="2956">
                  <c:v>46010</c:v>
                </c:pt>
                <c:pt idx="2957">
                  <c:v>46011</c:v>
                </c:pt>
                <c:pt idx="2958">
                  <c:v>46012</c:v>
                </c:pt>
                <c:pt idx="2959">
                  <c:v>46013</c:v>
                </c:pt>
                <c:pt idx="2960">
                  <c:v>46014</c:v>
                </c:pt>
                <c:pt idx="2961">
                  <c:v>46015</c:v>
                </c:pt>
                <c:pt idx="2962">
                  <c:v>46016</c:v>
                </c:pt>
                <c:pt idx="2963">
                  <c:v>46017</c:v>
                </c:pt>
                <c:pt idx="2964">
                  <c:v>46018</c:v>
                </c:pt>
                <c:pt idx="2965">
                  <c:v>46019</c:v>
                </c:pt>
                <c:pt idx="2966">
                  <c:v>46020</c:v>
                </c:pt>
                <c:pt idx="2967">
                  <c:v>46021</c:v>
                </c:pt>
                <c:pt idx="2968">
                  <c:v>46022</c:v>
                </c:pt>
                <c:pt idx="2969">
                  <c:v>46023</c:v>
                </c:pt>
                <c:pt idx="2970">
                  <c:v>46024</c:v>
                </c:pt>
                <c:pt idx="2971">
                  <c:v>46025</c:v>
                </c:pt>
                <c:pt idx="2972">
                  <c:v>46026</c:v>
                </c:pt>
                <c:pt idx="2973">
                  <c:v>46027</c:v>
                </c:pt>
                <c:pt idx="2974">
                  <c:v>46028</c:v>
                </c:pt>
                <c:pt idx="2975">
                  <c:v>46029</c:v>
                </c:pt>
                <c:pt idx="2976">
                  <c:v>46030</c:v>
                </c:pt>
                <c:pt idx="2977">
                  <c:v>46031</c:v>
                </c:pt>
                <c:pt idx="2978">
                  <c:v>46032</c:v>
                </c:pt>
                <c:pt idx="2979">
                  <c:v>46033</c:v>
                </c:pt>
                <c:pt idx="2980">
                  <c:v>46034</c:v>
                </c:pt>
                <c:pt idx="2981">
                  <c:v>46035</c:v>
                </c:pt>
                <c:pt idx="2982">
                  <c:v>46036</c:v>
                </c:pt>
                <c:pt idx="2983">
                  <c:v>46037</c:v>
                </c:pt>
                <c:pt idx="2984">
                  <c:v>46038</c:v>
                </c:pt>
                <c:pt idx="2985">
                  <c:v>46039</c:v>
                </c:pt>
                <c:pt idx="2986">
                  <c:v>46040</c:v>
                </c:pt>
                <c:pt idx="2987">
                  <c:v>46041</c:v>
                </c:pt>
                <c:pt idx="2988">
                  <c:v>46042</c:v>
                </c:pt>
                <c:pt idx="2989">
                  <c:v>46043</c:v>
                </c:pt>
                <c:pt idx="2990">
                  <c:v>46044</c:v>
                </c:pt>
                <c:pt idx="2991">
                  <c:v>46045</c:v>
                </c:pt>
                <c:pt idx="2992">
                  <c:v>46046</c:v>
                </c:pt>
                <c:pt idx="2993">
                  <c:v>46047</c:v>
                </c:pt>
                <c:pt idx="2994">
                  <c:v>46048</c:v>
                </c:pt>
                <c:pt idx="2995">
                  <c:v>46049</c:v>
                </c:pt>
                <c:pt idx="2996">
                  <c:v>46050</c:v>
                </c:pt>
                <c:pt idx="2997">
                  <c:v>46051</c:v>
                </c:pt>
                <c:pt idx="2998">
                  <c:v>46052</c:v>
                </c:pt>
                <c:pt idx="2999">
                  <c:v>46053</c:v>
                </c:pt>
                <c:pt idx="3000">
                  <c:v>46054</c:v>
                </c:pt>
                <c:pt idx="3001">
                  <c:v>46055</c:v>
                </c:pt>
                <c:pt idx="3002">
                  <c:v>46056</c:v>
                </c:pt>
                <c:pt idx="3003">
                  <c:v>46057</c:v>
                </c:pt>
                <c:pt idx="3004">
                  <c:v>46058</c:v>
                </c:pt>
                <c:pt idx="3005">
                  <c:v>46059</c:v>
                </c:pt>
                <c:pt idx="3006">
                  <c:v>46060</c:v>
                </c:pt>
                <c:pt idx="3007">
                  <c:v>46061</c:v>
                </c:pt>
                <c:pt idx="3008">
                  <c:v>46062</c:v>
                </c:pt>
                <c:pt idx="3009">
                  <c:v>46063</c:v>
                </c:pt>
                <c:pt idx="3010">
                  <c:v>46064</c:v>
                </c:pt>
                <c:pt idx="3011">
                  <c:v>46065</c:v>
                </c:pt>
                <c:pt idx="3012">
                  <c:v>46066</c:v>
                </c:pt>
                <c:pt idx="3013">
                  <c:v>46067</c:v>
                </c:pt>
                <c:pt idx="3014">
                  <c:v>46068</c:v>
                </c:pt>
                <c:pt idx="3015">
                  <c:v>46069</c:v>
                </c:pt>
                <c:pt idx="3016">
                  <c:v>46070</c:v>
                </c:pt>
                <c:pt idx="3017">
                  <c:v>46071</c:v>
                </c:pt>
                <c:pt idx="3018">
                  <c:v>46072</c:v>
                </c:pt>
                <c:pt idx="3019">
                  <c:v>46073</c:v>
                </c:pt>
                <c:pt idx="3020">
                  <c:v>46074</c:v>
                </c:pt>
                <c:pt idx="3021">
                  <c:v>46075</c:v>
                </c:pt>
                <c:pt idx="3022">
                  <c:v>46076</c:v>
                </c:pt>
                <c:pt idx="3023">
                  <c:v>46077</c:v>
                </c:pt>
                <c:pt idx="3024">
                  <c:v>46078</c:v>
                </c:pt>
                <c:pt idx="3025">
                  <c:v>46079</c:v>
                </c:pt>
                <c:pt idx="3026">
                  <c:v>46080</c:v>
                </c:pt>
                <c:pt idx="3027">
                  <c:v>46081</c:v>
                </c:pt>
                <c:pt idx="3028">
                  <c:v>46082</c:v>
                </c:pt>
                <c:pt idx="3029">
                  <c:v>46083</c:v>
                </c:pt>
                <c:pt idx="3030">
                  <c:v>46084</c:v>
                </c:pt>
                <c:pt idx="3031">
                  <c:v>46085</c:v>
                </c:pt>
                <c:pt idx="3032">
                  <c:v>46086</c:v>
                </c:pt>
                <c:pt idx="3033">
                  <c:v>46087</c:v>
                </c:pt>
                <c:pt idx="3034">
                  <c:v>46088</c:v>
                </c:pt>
                <c:pt idx="3035">
                  <c:v>46089</c:v>
                </c:pt>
                <c:pt idx="3036">
                  <c:v>46090</c:v>
                </c:pt>
                <c:pt idx="3037">
                  <c:v>46091</c:v>
                </c:pt>
                <c:pt idx="3038">
                  <c:v>46092</c:v>
                </c:pt>
                <c:pt idx="3039">
                  <c:v>46093</c:v>
                </c:pt>
                <c:pt idx="3040">
                  <c:v>46094</c:v>
                </c:pt>
                <c:pt idx="3041">
                  <c:v>46095</c:v>
                </c:pt>
                <c:pt idx="3042">
                  <c:v>46096</c:v>
                </c:pt>
                <c:pt idx="3043">
                  <c:v>46097</c:v>
                </c:pt>
                <c:pt idx="3044">
                  <c:v>46098</c:v>
                </c:pt>
                <c:pt idx="3045">
                  <c:v>46099</c:v>
                </c:pt>
                <c:pt idx="3046">
                  <c:v>46100</c:v>
                </c:pt>
                <c:pt idx="3047">
                  <c:v>46101</c:v>
                </c:pt>
                <c:pt idx="3048">
                  <c:v>46102</c:v>
                </c:pt>
                <c:pt idx="3049">
                  <c:v>46103</c:v>
                </c:pt>
                <c:pt idx="3050">
                  <c:v>46104</c:v>
                </c:pt>
                <c:pt idx="3051">
                  <c:v>46105</c:v>
                </c:pt>
                <c:pt idx="3052">
                  <c:v>46106</c:v>
                </c:pt>
                <c:pt idx="3053">
                  <c:v>46107</c:v>
                </c:pt>
                <c:pt idx="3054">
                  <c:v>46108</c:v>
                </c:pt>
                <c:pt idx="3055">
                  <c:v>46109</c:v>
                </c:pt>
                <c:pt idx="3056">
                  <c:v>46110</c:v>
                </c:pt>
                <c:pt idx="3057">
                  <c:v>46111</c:v>
                </c:pt>
                <c:pt idx="3058">
                  <c:v>46112</c:v>
                </c:pt>
                <c:pt idx="3059">
                  <c:v>46113</c:v>
                </c:pt>
                <c:pt idx="3060">
                  <c:v>46114</c:v>
                </c:pt>
                <c:pt idx="3061">
                  <c:v>46115</c:v>
                </c:pt>
                <c:pt idx="3062">
                  <c:v>46116</c:v>
                </c:pt>
                <c:pt idx="3063">
                  <c:v>46117</c:v>
                </c:pt>
                <c:pt idx="3064">
                  <c:v>46118</c:v>
                </c:pt>
                <c:pt idx="3065">
                  <c:v>46119</c:v>
                </c:pt>
                <c:pt idx="3066">
                  <c:v>46120</c:v>
                </c:pt>
                <c:pt idx="3067">
                  <c:v>46121</c:v>
                </c:pt>
                <c:pt idx="3068">
                  <c:v>46122</c:v>
                </c:pt>
                <c:pt idx="3069">
                  <c:v>46123</c:v>
                </c:pt>
                <c:pt idx="3070">
                  <c:v>46124</c:v>
                </c:pt>
                <c:pt idx="3071">
                  <c:v>46125</c:v>
                </c:pt>
                <c:pt idx="3072">
                  <c:v>46126</c:v>
                </c:pt>
                <c:pt idx="3073">
                  <c:v>46127</c:v>
                </c:pt>
                <c:pt idx="3074">
                  <c:v>46128</c:v>
                </c:pt>
                <c:pt idx="3075">
                  <c:v>46129</c:v>
                </c:pt>
                <c:pt idx="3076">
                  <c:v>46130</c:v>
                </c:pt>
                <c:pt idx="3077">
                  <c:v>46131</c:v>
                </c:pt>
                <c:pt idx="3078">
                  <c:v>46132</c:v>
                </c:pt>
                <c:pt idx="3079">
                  <c:v>46133</c:v>
                </c:pt>
                <c:pt idx="3080">
                  <c:v>46134</c:v>
                </c:pt>
                <c:pt idx="3081">
                  <c:v>46135</c:v>
                </c:pt>
                <c:pt idx="3082">
                  <c:v>46136</c:v>
                </c:pt>
                <c:pt idx="3083">
                  <c:v>46137</c:v>
                </c:pt>
                <c:pt idx="3084">
                  <c:v>46138</c:v>
                </c:pt>
                <c:pt idx="3085">
                  <c:v>46139</c:v>
                </c:pt>
                <c:pt idx="3086">
                  <c:v>46140</c:v>
                </c:pt>
                <c:pt idx="3087">
                  <c:v>46141</c:v>
                </c:pt>
                <c:pt idx="3088">
                  <c:v>46142</c:v>
                </c:pt>
                <c:pt idx="3089">
                  <c:v>46143</c:v>
                </c:pt>
                <c:pt idx="3090">
                  <c:v>46144</c:v>
                </c:pt>
                <c:pt idx="3091">
                  <c:v>46145</c:v>
                </c:pt>
                <c:pt idx="3092">
                  <c:v>46146</c:v>
                </c:pt>
                <c:pt idx="3093">
                  <c:v>46147</c:v>
                </c:pt>
                <c:pt idx="3094">
                  <c:v>46148</c:v>
                </c:pt>
                <c:pt idx="3095">
                  <c:v>46149</c:v>
                </c:pt>
                <c:pt idx="3096">
                  <c:v>46150</c:v>
                </c:pt>
                <c:pt idx="3097">
                  <c:v>46151</c:v>
                </c:pt>
                <c:pt idx="3098">
                  <c:v>46152</c:v>
                </c:pt>
                <c:pt idx="3099">
                  <c:v>46153</c:v>
                </c:pt>
                <c:pt idx="3100">
                  <c:v>46154</c:v>
                </c:pt>
                <c:pt idx="3101">
                  <c:v>46155</c:v>
                </c:pt>
                <c:pt idx="3102">
                  <c:v>46156</c:v>
                </c:pt>
                <c:pt idx="3103">
                  <c:v>46157</c:v>
                </c:pt>
                <c:pt idx="3104">
                  <c:v>46158</c:v>
                </c:pt>
                <c:pt idx="3105">
                  <c:v>46159</c:v>
                </c:pt>
                <c:pt idx="3106">
                  <c:v>46160</c:v>
                </c:pt>
                <c:pt idx="3107">
                  <c:v>46161</c:v>
                </c:pt>
                <c:pt idx="3108">
                  <c:v>46162</c:v>
                </c:pt>
                <c:pt idx="3109">
                  <c:v>46163</c:v>
                </c:pt>
                <c:pt idx="3110">
                  <c:v>46164</c:v>
                </c:pt>
                <c:pt idx="3111">
                  <c:v>46165</c:v>
                </c:pt>
                <c:pt idx="3112">
                  <c:v>46166</c:v>
                </c:pt>
                <c:pt idx="3113">
                  <c:v>46167</c:v>
                </c:pt>
                <c:pt idx="3114">
                  <c:v>46168</c:v>
                </c:pt>
                <c:pt idx="3115">
                  <c:v>46169</c:v>
                </c:pt>
                <c:pt idx="3116">
                  <c:v>46170</c:v>
                </c:pt>
                <c:pt idx="3117">
                  <c:v>46171</c:v>
                </c:pt>
                <c:pt idx="3118">
                  <c:v>46172</c:v>
                </c:pt>
                <c:pt idx="3119">
                  <c:v>46173</c:v>
                </c:pt>
                <c:pt idx="3120">
                  <c:v>46174</c:v>
                </c:pt>
                <c:pt idx="3121">
                  <c:v>46175</c:v>
                </c:pt>
                <c:pt idx="3122">
                  <c:v>46176</c:v>
                </c:pt>
                <c:pt idx="3123">
                  <c:v>46177</c:v>
                </c:pt>
                <c:pt idx="3124">
                  <c:v>46178</c:v>
                </c:pt>
                <c:pt idx="3125">
                  <c:v>46179</c:v>
                </c:pt>
                <c:pt idx="3126">
                  <c:v>46180</c:v>
                </c:pt>
                <c:pt idx="3127">
                  <c:v>46181</c:v>
                </c:pt>
                <c:pt idx="3128">
                  <c:v>46182</c:v>
                </c:pt>
                <c:pt idx="3129">
                  <c:v>46183</c:v>
                </c:pt>
                <c:pt idx="3130">
                  <c:v>46184</c:v>
                </c:pt>
                <c:pt idx="3131">
                  <c:v>46185</c:v>
                </c:pt>
                <c:pt idx="3132">
                  <c:v>46186</c:v>
                </c:pt>
                <c:pt idx="3133">
                  <c:v>46187</c:v>
                </c:pt>
                <c:pt idx="3134">
                  <c:v>46188</c:v>
                </c:pt>
                <c:pt idx="3135">
                  <c:v>46189</c:v>
                </c:pt>
                <c:pt idx="3136">
                  <c:v>46190</c:v>
                </c:pt>
                <c:pt idx="3137">
                  <c:v>46191</c:v>
                </c:pt>
                <c:pt idx="3138">
                  <c:v>46192</c:v>
                </c:pt>
                <c:pt idx="3139">
                  <c:v>46193</c:v>
                </c:pt>
                <c:pt idx="3140">
                  <c:v>46194</c:v>
                </c:pt>
                <c:pt idx="3141">
                  <c:v>46195</c:v>
                </c:pt>
                <c:pt idx="3142">
                  <c:v>46196</c:v>
                </c:pt>
                <c:pt idx="3143">
                  <c:v>46197</c:v>
                </c:pt>
                <c:pt idx="3144">
                  <c:v>46198</c:v>
                </c:pt>
                <c:pt idx="3145">
                  <c:v>46199</c:v>
                </c:pt>
                <c:pt idx="3146">
                  <c:v>46200</c:v>
                </c:pt>
                <c:pt idx="3147">
                  <c:v>46201</c:v>
                </c:pt>
                <c:pt idx="3148">
                  <c:v>46202</c:v>
                </c:pt>
                <c:pt idx="3149">
                  <c:v>46203</c:v>
                </c:pt>
                <c:pt idx="3150">
                  <c:v>46204</c:v>
                </c:pt>
                <c:pt idx="3151">
                  <c:v>46205</c:v>
                </c:pt>
                <c:pt idx="3152">
                  <c:v>46206</c:v>
                </c:pt>
                <c:pt idx="3153">
                  <c:v>46207</c:v>
                </c:pt>
                <c:pt idx="3154">
                  <c:v>46208</c:v>
                </c:pt>
                <c:pt idx="3155">
                  <c:v>46209</c:v>
                </c:pt>
                <c:pt idx="3156">
                  <c:v>46210</c:v>
                </c:pt>
                <c:pt idx="3157">
                  <c:v>46211</c:v>
                </c:pt>
                <c:pt idx="3158">
                  <c:v>46212</c:v>
                </c:pt>
                <c:pt idx="3159">
                  <c:v>46213</c:v>
                </c:pt>
                <c:pt idx="3160">
                  <c:v>46214</c:v>
                </c:pt>
                <c:pt idx="3161">
                  <c:v>46215</c:v>
                </c:pt>
                <c:pt idx="3162">
                  <c:v>46216</c:v>
                </c:pt>
                <c:pt idx="3163">
                  <c:v>46217</c:v>
                </c:pt>
                <c:pt idx="3164">
                  <c:v>46218</c:v>
                </c:pt>
                <c:pt idx="3165">
                  <c:v>46219</c:v>
                </c:pt>
                <c:pt idx="3166">
                  <c:v>46220</c:v>
                </c:pt>
                <c:pt idx="3167">
                  <c:v>46221</c:v>
                </c:pt>
                <c:pt idx="3168">
                  <c:v>46222</c:v>
                </c:pt>
                <c:pt idx="3169">
                  <c:v>46223</c:v>
                </c:pt>
                <c:pt idx="3170">
                  <c:v>46224</c:v>
                </c:pt>
                <c:pt idx="3171">
                  <c:v>46225</c:v>
                </c:pt>
                <c:pt idx="3172">
                  <c:v>46226</c:v>
                </c:pt>
                <c:pt idx="3173">
                  <c:v>46227</c:v>
                </c:pt>
                <c:pt idx="3174">
                  <c:v>46228</c:v>
                </c:pt>
                <c:pt idx="3175">
                  <c:v>46229</c:v>
                </c:pt>
                <c:pt idx="3176">
                  <c:v>46230</c:v>
                </c:pt>
                <c:pt idx="3177">
                  <c:v>46231</c:v>
                </c:pt>
                <c:pt idx="3178">
                  <c:v>46232</c:v>
                </c:pt>
                <c:pt idx="3179">
                  <c:v>46233</c:v>
                </c:pt>
                <c:pt idx="3180">
                  <c:v>46234</c:v>
                </c:pt>
                <c:pt idx="3181">
                  <c:v>46235</c:v>
                </c:pt>
                <c:pt idx="3182">
                  <c:v>46236</c:v>
                </c:pt>
                <c:pt idx="3183">
                  <c:v>46237</c:v>
                </c:pt>
                <c:pt idx="3184">
                  <c:v>46238</c:v>
                </c:pt>
                <c:pt idx="3185">
                  <c:v>46239</c:v>
                </c:pt>
                <c:pt idx="3186">
                  <c:v>46240</c:v>
                </c:pt>
                <c:pt idx="3187">
                  <c:v>46241</c:v>
                </c:pt>
                <c:pt idx="3188">
                  <c:v>46242</c:v>
                </c:pt>
                <c:pt idx="3189">
                  <c:v>46243</c:v>
                </c:pt>
                <c:pt idx="3190">
                  <c:v>46244</c:v>
                </c:pt>
                <c:pt idx="3191">
                  <c:v>46245</c:v>
                </c:pt>
                <c:pt idx="3192">
                  <c:v>46246</c:v>
                </c:pt>
                <c:pt idx="3193">
                  <c:v>46247</c:v>
                </c:pt>
                <c:pt idx="3194">
                  <c:v>46248</c:v>
                </c:pt>
                <c:pt idx="3195">
                  <c:v>46249</c:v>
                </c:pt>
                <c:pt idx="3196">
                  <c:v>46250</c:v>
                </c:pt>
                <c:pt idx="3197">
                  <c:v>46251</c:v>
                </c:pt>
                <c:pt idx="3198">
                  <c:v>46252</c:v>
                </c:pt>
                <c:pt idx="3199">
                  <c:v>46253</c:v>
                </c:pt>
                <c:pt idx="3200">
                  <c:v>46254</c:v>
                </c:pt>
                <c:pt idx="3201">
                  <c:v>46255</c:v>
                </c:pt>
                <c:pt idx="3202">
                  <c:v>46256</c:v>
                </c:pt>
                <c:pt idx="3203">
                  <c:v>46257</c:v>
                </c:pt>
                <c:pt idx="3204">
                  <c:v>46258</c:v>
                </c:pt>
                <c:pt idx="3205">
                  <c:v>46259</c:v>
                </c:pt>
                <c:pt idx="3206">
                  <c:v>46260</c:v>
                </c:pt>
                <c:pt idx="3207">
                  <c:v>46261</c:v>
                </c:pt>
                <c:pt idx="3208">
                  <c:v>46262</c:v>
                </c:pt>
                <c:pt idx="3209">
                  <c:v>46263</c:v>
                </c:pt>
                <c:pt idx="3210">
                  <c:v>46264</c:v>
                </c:pt>
                <c:pt idx="3211">
                  <c:v>46265</c:v>
                </c:pt>
                <c:pt idx="3212">
                  <c:v>46266</c:v>
                </c:pt>
                <c:pt idx="3213">
                  <c:v>46267</c:v>
                </c:pt>
                <c:pt idx="3214">
                  <c:v>46268</c:v>
                </c:pt>
                <c:pt idx="3215">
                  <c:v>46269</c:v>
                </c:pt>
                <c:pt idx="3216">
                  <c:v>46270</c:v>
                </c:pt>
                <c:pt idx="3217">
                  <c:v>46271</c:v>
                </c:pt>
                <c:pt idx="3218">
                  <c:v>46272</c:v>
                </c:pt>
                <c:pt idx="3219">
                  <c:v>46273</c:v>
                </c:pt>
                <c:pt idx="3220">
                  <c:v>46274</c:v>
                </c:pt>
                <c:pt idx="3221">
                  <c:v>46275</c:v>
                </c:pt>
                <c:pt idx="3222">
                  <c:v>46276</c:v>
                </c:pt>
                <c:pt idx="3223">
                  <c:v>46277</c:v>
                </c:pt>
                <c:pt idx="3224">
                  <c:v>46278</c:v>
                </c:pt>
                <c:pt idx="3225">
                  <c:v>46279</c:v>
                </c:pt>
                <c:pt idx="3226">
                  <c:v>46280</c:v>
                </c:pt>
                <c:pt idx="3227">
                  <c:v>46281</c:v>
                </c:pt>
                <c:pt idx="3228">
                  <c:v>46282</c:v>
                </c:pt>
                <c:pt idx="3229">
                  <c:v>46283</c:v>
                </c:pt>
                <c:pt idx="3230">
                  <c:v>46284</c:v>
                </c:pt>
                <c:pt idx="3231">
                  <c:v>46285</c:v>
                </c:pt>
                <c:pt idx="3232">
                  <c:v>46286</c:v>
                </c:pt>
                <c:pt idx="3233">
                  <c:v>46287</c:v>
                </c:pt>
                <c:pt idx="3234">
                  <c:v>46288</c:v>
                </c:pt>
                <c:pt idx="3235">
                  <c:v>46289</c:v>
                </c:pt>
                <c:pt idx="3236">
                  <c:v>46290</c:v>
                </c:pt>
                <c:pt idx="3237">
                  <c:v>46291</c:v>
                </c:pt>
                <c:pt idx="3238">
                  <c:v>46292</c:v>
                </c:pt>
                <c:pt idx="3239">
                  <c:v>46293</c:v>
                </c:pt>
                <c:pt idx="3240">
                  <c:v>46294</c:v>
                </c:pt>
                <c:pt idx="3241">
                  <c:v>46295</c:v>
                </c:pt>
                <c:pt idx="3242">
                  <c:v>46296</c:v>
                </c:pt>
                <c:pt idx="3243">
                  <c:v>46297</c:v>
                </c:pt>
                <c:pt idx="3244">
                  <c:v>46298</c:v>
                </c:pt>
                <c:pt idx="3245">
                  <c:v>46299</c:v>
                </c:pt>
                <c:pt idx="3246">
                  <c:v>46300</c:v>
                </c:pt>
                <c:pt idx="3247">
                  <c:v>46301</c:v>
                </c:pt>
                <c:pt idx="3248">
                  <c:v>46302</c:v>
                </c:pt>
                <c:pt idx="3249">
                  <c:v>46303</c:v>
                </c:pt>
                <c:pt idx="3250">
                  <c:v>46304</c:v>
                </c:pt>
                <c:pt idx="3251">
                  <c:v>46305</c:v>
                </c:pt>
                <c:pt idx="3252">
                  <c:v>46306</c:v>
                </c:pt>
                <c:pt idx="3253">
                  <c:v>46307</c:v>
                </c:pt>
                <c:pt idx="3254">
                  <c:v>46308</c:v>
                </c:pt>
                <c:pt idx="3255">
                  <c:v>46309</c:v>
                </c:pt>
                <c:pt idx="3256">
                  <c:v>46310</c:v>
                </c:pt>
                <c:pt idx="3257">
                  <c:v>46311</c:v>
                </c:pt>
                <c:pt idx="3258">
                  <c:v>46312</c:v>
                </c:pt>
                <c:pt idx="3259">
                  <c:v>46313</c:v>
                </c:pt>
                <c:pt idx="3260">
                  <c:v>46314</c:v>
                </c:pt>
                <c:pt idx="3261">
                  <c:v>46315</c:v>
                </c:pt>
                <c:pt idx="3262">
                  <c:v>46316</c:v>
                </c:pt>
                <c:pt idx="3263">
                  <c:v>46317</c:v>
                </c:pt>
                <c:pt idx="3264">
                  <c:v>46318</c:v>
                </c:pt>
                <c:pt idx="3265">
                  <c:v>46319</c:v>
                </c:pt>
                <c:pt idx="3266">
                  <c:v>46320</c:v>
                </c:pt>
                <c:pt idx="3267">
                  <c:v>46321</c:v>
                </c:pt>
                <c:pt idx="3268">
                  <c:v>46322</c:v>
                </c:pt>
                <c:pt idx="3269">
                  <c:v>46323</c:v>
                </c:pt>
                <c:pt idx="3270">
                  <c:v>46324</c:v>
                </c:pt>
                <c:pt idx="3271">
                  <c:v>46325</c:v>
                </c:pt>
                <c:pt idx="3272">
                  <c:v>46326</c:v>
                </c:pt>
                <c:pt idx="3273">
                  <c:v>46327</c:v>
                </c:pt>
                <c:pt idx="3274">
                  <c:v>46328</c:v>
                </c:pt>
                <c:pt idx="3275">
                  <c:v>46329</c:v>
                </c:pt>
                <c:pt idx="3276">
                  <c:v>46330</c:v>
                </c:pt>
                <c:pt idx="3277">
                  <c:v>46331</c:v>
                </c:pt>
                <c:pt idx="3278">
                  <c:v>46332</c:v>
                </c:pt>
                <c:pt idx="3279">
                  <c:v>46333</c:v>
                </c:pt>
                <c:pt idx="3280">
                  <c:v>46334</c:v>
                </c:pt>
                <c:pt idx="3281">
                  <c:v>46335</c:v>
                </c:pt>
                <c:pt idx="3282">
                  <c:v>46336</c:v>
                </c:pt>
                <c:pt idx="3283">
                  <c:v>46337</c:v>
                </c:pt>
                <c:pt idx="3284">
                  <c:v>46338</c:v>
                </c:pt>
                <c:pt idx="3285">
                  <c:v>46339</c:v>
                </c:pt>
                <c:pt idx="3286">
                  <c:v>46340</c:v>
                </c:pt>
                <c:pt idx="3287">
                  <c:v>46341</c:v>
                </c:pt>
                <c:pt idx="3288">
                  <c:v>46342</c:v>
                </c:pt>
                <c:pt idx="3289">
                  <c:v>46343</c:v>
                </c:pt>
                <c:pt idx="3290">
                  <c:v>46344</c:v>
                </c:pt>
                <c:pt idx="3291">
                  <c:v>46345</c:v>
                </c:pt>
                <c:pt idx="3292">
                  <c:v>46346</c:v>
                </c:pt>
                <c:pt idx="3293">
                  <c:v>46347</c:v>
                </c:pt>
                <c:pt idx="3294">
                  <c:v>46348</c:v>
                </c:pt>
                <c:pt idx="3295">
                  <c:v>46349</c:v>
                </c:pt>
                <c:pt idx="3296">
                  <c:v>46350</c:v>
                </c:pt>
                <c:pt idx="3297">
                  <c:v>46351</c:v>
                </c:pt>
                <c:pt idx="3298">
                  <c:v>46352</c:v>
                </c:pt>
                <c:pt idx="3299">
                  <c:v>46353</c:v>
                </c:pt>
                <c:pt idx="3300">
                  <c:v>46354</c:v>
                </c:pt>
                <c:pt idx="3301">
                  <c:v>46355</c:v>
                </c:pt>
                <c:pt idx="3302">
                  <c:v>46356</c:v>
                </c:pt>
                <c:pt idx="3303">
                  <c:v>46357</c:v>
                </c:pt>
                <c:pt idx="3304">
                  <c:v>46358</c:v>
                </c:pt>
                <c:pt idx="3305">
                  <c:v>46359</c:v>
                </c:pt>
                <c:pt idx="3306">
                  <c:v>46360</c:v>
                </c:pt>
                <c:pt idx="3307">
                  <c:v>46361</c:v>
                </c:pt>
                <c:pt idx="3308">
                  <c:v>46362</c:v>
                </c:pt>
                <c:pt idx="3309">
                  <c:v>46363</c:v>
                </c:pt>
                <c:pt idx="3310">
                  <c:v>46364</c:v>
                </c:pt>
                <c:pt idx="3311">
                  <c:v>46365</c:v>
                </c:pt>
                <c:pt idx="3312">
                  <c:v>46366</c:v>
                </c:pt>
                <c:pt idx="3313">
                  <c:v>46367</c:v>
                </c:pt>
                <c:pt idx="3314">
                  <c:v>46368</c:v>
                </c:pt>
                <c:pt idx="3315">
                  <c:v>46369</c:v>
                </c:pt>
                <c:pt idx="3316">
                  <c:v>46370</c:v>
                </c:pt>
                <c:pt idx="3317">
                  <c:v>46371</c:v>
                </c:pt>
                <c:pt idx="3318">
                  <c:v>46372</c:v>
                </c:pt>
                <c:pt idx="3319">
                  <c:v>46373</c:v>
                </c:pt>
                <c:pt idx="3320">
                  <c:v>46374</c:v>
                </c:pt>
                <c:pt idx="3321">
                  <c:v>46375</c:v>
                </c:pt>
                <c:pt idx="3322">
                  <c:v>46376</c:v>
                </c:pt>
                <c:pt idx="3323">
                  <c:v>46377</c:v>
                </c:pt>
                <c:pt idx="3324">
                  <c:v>46378</c:v>
                </c:pt>
                <c:pt idx="3325">
                  <c:v>46379</c:v>
                </c:pt>
                <c:pt idx="3326">
                  <c:v>46380</c:v>
                </c:pt>
                <c:pt idx="3327">
                  <c:v>46381</c:v>
                </c:pt>
                <c:pt idx="3328">
                  <c:v>46382</c:v>
                </c:pt>
                <c:pt idx="3329">
                  <c:v>46383</c:v>
                </c:pt>
                <c:pt idx="3330">
                  <c:v>46384</c:v>
                </c:pt>
                <c:pt idx="3331">
                  <c:v>46385</c:v>
                </c:pt>
                <c:pt idx="3332">
                  <c:v>46386</c:v>
                </c:pt>
                <c:pt idx="3333">
                  <c:v>46387</c:v>
                </c:pt>
                <c:pt idx="3334">
                  <c:v>46388</c:v>
                </c:pt>
                <c:pt idx="3335">
                  <c:v>46389</c:v>
                </c:pt>
                <c:pt idx="3336">
                  <c:v>46390</c:v>
                </c:pt>
                <c:pt idx="3337">
                  <c:v>46391</c:v>
                </c:pt>
                <c:pt idx="3338">
                  <c:v>46392</c:v>
                </c:pt>
                <c:pt idx="3339">
                  <c:v>46393</c:v>
                </c:pt>
                <c:pt idx="3340">
                  <c:v>46394</c:v>
                </c:pt>
                <c:pt idx="3341">
                  <c:v>46395</c:v>
                </c:pt>
                <c:pt idx="3342">
                  <c:v>46396</c:v>
                </c:pt>
                <c:pt idx="3343">
                  <c:v>46397</c:v>
                </c:pt>
                <c:pt idx="3344">
                  <c:v>46398</c:v>
                </c:pt>
                <c:pt idx="3345">
                  <c:v>46399</c:v>
                </c:pt>
                <c:pt idx="3346">
                  <c:v>46400</c:v>
                </c:pt>
                <c:pt idx="3347">
                  <c:v>46401</c:v>
                </c:pt>
                <c:pt idx="3348">
                  <c:v>46402</c:v>
                </c:pt>
                <c:pt idx="3349">
                  <c:v>46403</c:v>
                </c:pt>
                <c:pt idx="3350">
                  <c:v>46404</c:v>
                </c:pt>
                <c:pt idx="3351">
                  <c:v>46405</c:v>
                </c:pt>
                <c:pt idx="3352">
                  <c:v>46406</c:v>
                </c:pt>
                <c:pt idx="3353">
                  <c:v>46407</c:v>
                </c:pt>
                <c:pt idx="3354">
                  <c:v>46408</c:v>
                </c:pt>
                <c:pt idx="3355">
                  <c:v>46409</c:v>
                </c:pt>
                <c:pt idx="3356">
                  <c:v>46410</c:v>
                </c:pt>
                <c:pt idx="3357">
                  <c:v>46411</c:v>
                </c:pt>
                <c:pt idx="3358">
                  <c:v>46412</c:v>
                </c:pt>
                <c:pt idx="3359">
                  <c:v>46413</c:v>
                </c:pt>
                <c:pt idx="3360">
                  <c:v>46414</c:v>
                </c:pt>
                <c:pt idx="3361">
                  <c:v>46415</c:v>
                </c:pt>
                <c:pt idx="3362">
                  <c:v>46416</c:v>
                </c:pt>
                <c:pt idx="3363">
                  <c:v>46417</c:v>
                </c:pt>
                <c:pt idx="3364">
                  <c:v>46418</c:v>
                </c:pt>
                <c:pt idx="3365">
                  <c:v>46419</c:v>
                </c:pt>
                <c:pt idx="3366">
                  <c:v>46420</c:v>
                </c:pt>
                <c:pt idx="3367">
                  <c:v>46421</c:v>
                </c:pt>
                <c:pt idx="3368">
                  <c:v>46422</c:v>
                </c:pt>
                <c:pt idx="3369">
                  <c:v>46423</c:v>
                </c:pt>
                <c:pt idx="3370">
                  <c:v>46424</c:v>
                </c:pt>
                <c:pt idx="3371">
                  <c:v>46425</c:v>
                </c:pt>
                <c:pt idx="3372">
                  <c:v>46426</c:v>
                </c:pt>
                <c:pt idx="3373">
                  <c:v>46427</c:v>
                </c:pt>
                <c:pt idx="3374">
                  <c:v>46428</c:v>
                </c:pt>
                <c:pt idx="3375">
                  <c:v>46429</c:v>
                </c:pt>
                <c:pt idx="3376">
                  <c:v>46430</c:v>
                </c:pt>
                <c:pt idx="3377">
                  <c:v>46431</c:v>
                </c:pt>
                <c:pt idx="3378">
                  <c:v>46432</c:v>
                </c:pt>
                <c:pt idx="3379">
                  <c:v>46433</c:v>
                </c:pt>
                <c:pt idx="3380">
                  <c:v>46434</c:v>
                </c:pt>
                <c:pt idx="3381">
                  <c:v>46435</c:v>
                </c:pt>
                <c:pt idx="3382">
                  <c:v>46436</c:v>
                </c:pt>
                <c:pt idx="3383">
                  <c:v>46437</c:v>
                </c:pt>
                <c:pt idx="3384">
                  <c:v>46438</c:v>
                </c:pt>
                <c:pt idx="3385">
                  <c:v>46439</c:v>
                </c:pt>
                <c:pt idx="3386">
                  <c:v>46440</c:v>
                </c:pt>
                <c:pt idx="3387">
                  <c:v>46441</c:v>
                </c:pt>
                <c:pt idx="3388">
                  <c:v>46442</c:v>
                </c:pt>
                <c:pt idx="3389">
                  <c:v>46443</c:v>
                </c:pt>
                <c:pt idx="3390">
                  <c:v>46444</c:v>
                </c:pt>
                <c:pt idx="3391">
                  <c:v>46445</c:v>
                </c:pt>
                <c:pt idx="3392">
                  <c:v>46446</c:v>
                </c:pt>
                <c:pt idx="3393">
                  <c:v>46447</c:v>
                </c:pt>
                <c:pt idx="3394">
                  <c:v>46448</c:v>
                </c:pt>
                <c:pt idx="3395">
                  <c:v>46449</c:v>
                </c:pt>
                <c:pt idx="3396">
                  <c:v>46450</c:v>
                </c:pt>
                <c:pt idx="3397">
                  <c:v>46451</c:v>
                </c:pt>
                <c:pt idx="3398">
                  <c:v>46452</c:v>
                </c:pt>
                <c:pt idx="3399">
                  <c:v>46453</c:v>
                </c:pt>
                <c:pt idx="3400">
                  <c:v>46454</c:v>
                </c:pt>
                <c:pt idx="3401">
                  <c:v>46455</c:v>
                </c:pt>
                <c:pt idx="3402">
                  <c:v>46456</c:v>
                </c:pt>
                <c:pt idx="3403">
                  <c:v>46457</c:v>
                </c:pt>
                <c:pt idx="3404">
                  <c:v>46458</c:v>
                </c:pt>
                <c:pt idx="3405">
                  <c:v>46459</c:v>
                </c:pt>
                <c:pt idx="3406">
                  <c:v>46460</c:v>
                </c:pt>
                <c:pt idx="3407">
                  <c:v>46461</c:v>
                </c:pt>
                <c:pt idx="3408">
                  <c:v>46462</c:v>
                </c:pt>
                <c:pt idx="3409">
                  <c:v>46463</c:v>
                </c:pt>
                <c:pt idx="3410">
                  <c:v>46464</c:v>
                </c:pt>
                <c:pt idx="3411">
                  <c:v>46465</c:v>
                </c:pt>
                <c:pt idx="3412">
                  <c:v>46466</c:v>
                </c:pt>
                <c:pt idx="3413">
                  <c:v>46467</c:v>
                </c:pt>
                <c:pt idx="3414">
                  <c:v>46468</c:v>
                </c:pt>
                <c:pt idx="3415">
                  <c:v>46469</c:v>
                </c:pt>
                <c:pt idx="3416">
                  <c:v>46470</c:v>
                </c:pt>
                <c:pt idx="3417">
                  <c:v>46471</c:v>
                </c:pt>
                <c:pt idx="3418">
                  <c:v>46472</c:v>
                </c:pt>
                <c:pt idx="3419">
                  <c:v>46473</c:v>
                </c:pt>
                <c:pt idx="3420">
                  <c:v>46474</c:v>
                </c:pt>
                <c:pt idx="3421">
                  <c:v>46475</c:v>
                </c:pt>
                <c:pt idx="3422">
                  <c:v>46476</c:v>
                </c:pt>
                <c:pt idx="3423">
                  <c:v>46477</c:v>
                </c:pt>
                <c:pt idx="3424">
                  <c:v>46478</c:v>
                </c:pt>
                <c:pt idx="3425">
                  <c:v>46479</c:v>
                </c:pt>
                <c:pt idx="3426">
                  <c:v>46480</c:v>
                </c:pt>
                <c:pt idx="3427">
                  <c:v>46481</c:v>
                </c:pt>
                <c:pt idx="3428">
                  <c:v>46482</c:v>
                </c:pt>
                <c:pt idx="3429">
                  <c:v>46483</c:v>
                </c:pt>
                <c:pt idx="3430">
                  <c:v>46484</c:v>
                </c:pt>
                <c:pt idx="3431">
                  <c:v>46485</c:v>
                </c:pt>
                <c:pt idx="3432">
                  <c:v>46486</c:v>
                </c:pt>
                <c:pt idx="3433">
                  <c:v>46487</c:v>
                </c:pt>
                <c:pt idx="3434">
                  <c:v>46488</c:v>
                </c:pt>
                <c:pt idx="3435">
                  <c:v>46489</c:v>
                </c:pt>
                <c:pt idx="3436">
                  <c:v>46490</c:v>
                </c:pt>
                <c:pt idx="3437">
                  <c:v>46491</c:v>
                </c:pt>
                <c:pt idx="3438">
                  <c:v>46492</c:v>
                </c:pt>
                <c:pt idx="3439">
                  <c:v>46493</c:v>
                </c:pt>
                <c:pt idx="3440">
                  <c:v>46494</c:v>
                </c:pt>
                <c:pt idx="3441">
                  <c:v>46495</c:v>
                </c:pt>
                <c:pt idx="3442">
                  <c:v>46496</c:v>
                </c:pt>
                <c:pt idx="3443">
                  <c:v>46497</c:v>
                </c:pt>
                <c:pt idx="3444">
                  <c:v>46498</c:v>
                </c:pt>
                <c:pt idx="3445">
                  <c:v>46499</c:v>
                </c:pt>
                <c:pt idx="3446">
                  <c:v>46500</c:v>
                </c:pt>
                <c:pt idx="3447">
                  <c:v>46501</c:v>
                </c:pt>
                <c:pt idx="3448">
                  <c:v>46502</c:v>
                </c:pt>
                <c:pt idx="3449">
                  <c:v>46503</c:v>
                </c:pt>
                <c:pt idx="3450">
                  <c:v>46504</c:v>
                </c:pt>
                <c:pt idx="3451">
                  <c:v>46505</c:v>
                </c:pt>
                <c:pt idx="3452">
                  <c:v>46506</c:v>
                </c:pt>
                <c:pt idx="3453">
                  <c:v>46507</c:v>
                </c:pt>
                <c:pt idx="3454">
                  <c:v>46508</c:v>
                </c:pt>
                <c:pt idx="3455">
                  <c:v>46509</c:v>
                </c:pt>
                <c:pt idx="3456">
                  <c:v>46510</c:v>
                </c:pt>
                <c:pt idx="3457">
                  <c:v>46511</c:v>
                </c:pt>
                <c:pt idx="3458">
                  <c:v>46512</c:v>
                </c:pt>
                <c:pt idx="3459">
                  <c:v>46513</c:v>
                </c:pt>
                <c:pt idx="3460">
                  <c:v>46514</c:v>
                </c:pt>
                <c:pt idx="3461">
                  <c:v>46515</c:v>
                </c:pt>
                <c:pt idx="3462">
                  <c:v>46516</c:v>
                </c:pt>
                <c:pt idx="3463">
                  <c:v>46517</c:v>
                </c:pt>
                <c:pt idx="3464">
                  <c:v>46518</c:v>
                </c:pt>
                <c:pt idx="3465">
                  <c:v>46519</c:v>
                </c:pt>
                <c:pt idx="3466">
                  <c:v>46520</c:v>
                </c:pt>
                <c:pt idx="3467">
                  <c:v>46521</c:v>
                </c:pt>
                <c:pt idx="3468">
                  <c:v>46522</c:v>
                </c:pt>
                <c:pt idx="3469">
                  <c:v>46523</c:v>
                </c:pt>
                <c:pt idx="3470">
                  <c:v>46524</c:v>
                </c:pt>
                <c:pt idx="3471">
                  <c:v>46525</c:v>
                </c:pt>
                <c:pt idx="3472">
                  <c:v>46526</c:v>
                </c:pt>
                <c:pt idx="3473">
                  <c:v>46527</c:v>
                </c:pt>
                <c:pt idx="3474">
                  <c:v>46528</c:v>
                </c:pt>
                <c:pt idx="3475">
                  <c:v>46529</c:v>
                </c:pt>
                <c:pt idx="3476">
                  <c:v>46530</c:v>
                </c:pt>
                <c:pt idx="3477">
                  <c:v>46531</c:v>
                </c:pt>
                <c:pt idx="3478">
                  <c:v>46532</c:v>
                </c:pt>
                <c:pt idx="3479">
                  <c:v>46533</c:v>
                </c:pt>
                <c:pt idx="3480">
                  <c:v>46534</c:v>
                </c:pt>
                <c:pt idx="3481">
                  <c:v>46535</c:v>
                </c:pt>
                <c:pt idx="3482">
                  <c:v>46536</c:v>
                </c:pt>
                <c:pt idx="3483">
                  <c:v>46537</c:v>
                </c:pt>
                <c:pt idx="3484">
                  <c:v>46538</c:v>
                </c:pt>
                <c:pt idx="3485">
                  <c:v>46539</c:v>
                </c:pt>
                <c:pt idx="3486">
                  <c:v>46540</c:v>
                </c:pt>
                <c:pt idx="3487">
                  <c:v>46541</c:v>
                </c:pt>
                <c:pt idx="3488">
                  <c:v>46542</c:v>
                </c:pt>
                <c:pt idx="3489">
                  <c:v>46543</c:v>
                </c:pt>
                <c:pt idx="3490">
                  <c:v>46544</c:v>
                </c:pt>
                <c:pt idx="3491">
                  <c:v>46545</c:v>
                </c:pt>
                <c:pt idx="3492">
                  <c:v>46546</c:v>
                </c:pt>
                <c:pt idx="3493">
                  <c:v>46547</c:v>
                </c:pt>
                <c:pt idx="3494">
                  <c:v>46548</c:v>
                </c:pt>
                <c:pt idx="3495">
                  <c:v>46549</c:v>
                </c:pt>
                <c:pt idx="3496">
                  <c:v>46550</c:v>
                </c:pt>
                <c:pt idx="3497">
                  <c:v>46551</c:v>
                </c:pt>
                <c:pt idx="3498">
                  <c:v>46552</c:v>
                </c:pt>
                <c:pt idx="3499">
                  <c:v>46553</c:v>
                </c:pt>
                <c:pt idx="3500">
                  <c:v>46554</c:v>
                </c:pt>
                <c:pt idx="3501">
                  <c:v>46555</c:v>
                </c:pt>
                <c:pt idx="3502">
                  <c:v>46556</c:v>
                </c:pt>
                <c:pt idx="3503">
                  <c:v>46557</c:v>
                </c:pt>
                <c:pt idx="3504">
                  <c:v>46558</c:v>
                </c:pt>
                <c:pt idx="3505">
                  <c:v>46559</c:v>
                </c:pt>
                <c:pt idx="3506">
                  <c:v>46560</c:v>
                </c:pt>
                <c:pt idx="3507">
                  <c:v>46561</c:v>
                </c:pt>
                <c:pt idx="3508">
                  <c:v>46562</c:v>
                </c:pt>
                <c:pt idx="3509">
                  <c:v>46563</c:v>
                </c:pt>
                <c:pt idx="3510">
                  <c:v>46564</c:v>
                </c:pt>
                <c:pt idx="3511">
                  <c:v>46565</c:v>
                </c:pt>
                <c:pt idx="3512">
                  <c:v>46566</c:v>
                </c:pt>
                <c:pt idx="3513">
                  <c:v>46567</c:v>
                </c:pt>
                <c:pt idx="3514">
                  <c:v>46568</c:v>
                </c:pt>
                <c:pt idx="3515">
                  <c:v>46569</c:v>
                </c:pt>
                <c:pt idx="3516">
                  <c:v>46570</c:v>
                </c:pt>
                <c:pt idx="3517">
                  <c:v>46571</c:v>
                </c:pt>
                <c:pt idx="3518">
                  <c:v>46572</c:v>
                </c:pt>
                <c:pt idx="3519">
                  <c:v>46573</c:v>
                </c:pt>
                <c:pt idx="3520">
                  <c:v>46574</c:v>
                </c:pt>
                <c:pt idx="3521">
                  <c:v>46575</c:v>
                </c:pt>
                <c:pt idx="3522">
                  <c:v>46576</c:v>
                </c:pt>
                <c:pt idx="3523">
                  <c:v>46577</c:v>
                </c:pt>
                <c:pt idx="3524">
                  <c:v>46578</c:v>
                </c:pt>
                <c:pt idx="3525">
                  <c:v>46579</c:v>
                </c:pt>
                <c:pt idx="3526">
                  <c:v>46580</c:v>
                </c:pt>
                <c:pt idx="3527">
                  <c:v>46581</c:v>
                </c:pt>
                <c:pt idx="3528">
                  <c:v>46582</c:v>
                </c:pt>
                <c:pt idx="3529">
                  <c:v>46583</c:v>
                </c:pt>
                <c:pt idx="3530">
                  <c:v>46584</c:v>
                </c:pt>
                <c:pt idx="3531">
                  <c:v>46585</c:v>
                </c:pt>
                <c:pt idx="3532">
                  <c:v>46586</c:v>
                </c:pt>
                <c:pt idx="3533">
                  <c:v>46587</c:v>
                </c:pt>
                <c:pt idx="3534">
                  <c:v>46588</c:v>
                </c:pt>
                <c:pt idx="3535">
                  <c:v>46589</c:v>
                </c:pt>
                <c:pt idx="3536">
                  <c:v>46590</c:v>
                </c:pt>
                <c:pt idx="3537">
                  <c:v>46591</c:v>
                </c:pt>
                <c:pt idx="3538">
                  <c:v>46592</c:v>
                </c:pt>
                <c:pt idx="3539">
                  <c:v>46593</c:v>
                </c:pt>
                <c:pt idx="3540">
                  <c:v>46594</c:v>
                </c:pt>
                <c:pt idx="3541">
                  <c:v>46595</c:v>
                </c:pt>
                <c:pt idx="3542">
                  <c:v>46596</c:v>
                </c:pt>
                <c:pt idx="3543">
                  <c:v>46597</c:v>
                </c:pt>
                <c:pt idx="3544">
                  <c:v>46598</c:v>
                </c:pt>
                <c:pt idx="3545">
                  <c:v>46599</c:v>
                </c:pt>
                <c:pt idx="3546">
                  <c:v>46600</c:v>
                </c:pt>
                <c:pt idx="3547">
                  <c:v>46601</c:v>
                </c:pt>
                <c:pt idx="3548">
                  <c:v>46602</c:v>
                </c:pt>
                <c:pt idx="3549">
                  <c:v>46603</c:v>
                </c:pt>
                <c:pt idx="3550">
                  <c:v>46604</c:v>
                </c:pt>
                <c:pt idx="3551">
                  <c:v>46605</c:v>
                </c:pt>
                <c:pt idx="3552">
                  <c:v>46606</c:v>
                </c:pt>
                <c:pt idx="3553">
                  <c:v>46607</c:v>
                </c:pt>
                <c:pt idx="3554">
                  <c:v>46608</c:v>
                </c:pt>
                <c:pt idx="3555">
                  <c:v>46609</c:v>
                </c:pt>
                <c:pt idx="3556">
                  <c:v>46610</c:v>
                </c:pt>
                <c:pt idx="3557">
                  <c:v>46611</c:v>
                </c:pt>
                <c:pt idx="3558">
                  <c:v>46612</c:v>
                </c:pt>
                <c:pt idx="3559">
                  <c:v>46613</c:v>
                </c:pt>
                <c:pt idx="3560">
                  <c:v>46614</c:v>
                </c:pt>
                <c:pt idx="3561">
                  <c:v>46615</c:v>
                </c:pt>
                <c:pt idx="3562">
                  <c:v>46616</c:v>
                </c:pt>
                <c:pt idx="3563">
                  <c:v>46617</c:v>
                </c:pt>
                <c:pt idx="3564">
                  <c:v>46618</c:v>
                </c:pt>
                <c:pt idx="3565">
                  <c:v>46619</c:v>
                </c:pt>
                <c:pt idx="3566">
                  <c:v>46620</c:v>
                </c:pt>
                <c:pt idx="3567">
                  <c:v>46621</c:v>
                </c:pt>
                <c:pt idx="3568">
                  <c:v>46622</c:v>
                </c:pt>
                <c:pt idx="3569">
                  <c:v>46623</c:v>
                </c:pt>
                <c:pt idx="3570">
                  <c:v>46624</c:v>
                </c:pt>
                <c:pt idx="3571">
                  <c:v>46625</c:v>
                </c:pt>
                <c:pt idx="3572">
                  <c:v>46626</c:v>
                </c:pt>
                <c:pt idx="3573">
                  <c:v>46627</c:v>
                </c:pt>
                <c:pt idx="3574">
                  <c:v>46628</c:v>
                </c:pt>
                <c:pt idx="3575">
                  <c:v>46629</c:v>
                </c:pt>
                <c:pt idx="3576">
                  <c:v>46630</c:v>
                </c:pt>
                <c:pt idx="3577">
                  <c:v>46631</c:v>
                </c:pt>
                <c:pt idx="3578">
                  <c:v>46632</c:v>
                </c:pt>
                <c:pt idx="3579">
                  <c:v>46633</c:v>
                </c:pt>
                <c:pt idx="3580">
                  <c:v>46634</c:v>
                </c:pt>
                <c:pt idx="3581">
                  <c:v>46635</c:v>
                </c:pt>
                <c:pt idx="3582">
                  <c:v>46636</c:v>
                </c:pt>
                <c:pt idx="3583">
                  <c:v>46637</c:v>
                </c:pt>
                <c:pt idx="3584">
                  <c:v>46638</c:v>
                </c:pt>
                <c:pt idx="3585">
                  <c:v>46639</c:v>
                </c:pt>
                <c:pt idx="3586">
                  <c:v>46640</c:v>
                </c:pt>
                <c:pt idx="3587">
                  <c:v>46641</c:v>
                </c:pt>
                <c:pt idx="3588">
                  <c:v>46642</c:v>
                </c:pt>
                <c:pt idx="3589">
                  <c:v>46643</c:v>
                </c:pt>
                <c:pt idx="3590">
                  <c:v>46644</c:v>
                </c:pt>
                <c:pt idx="3591">
                  <c:v>46645</c:v>
                </c:pt>
                <c:pt idx="3592">
                  <c:v>46646</c:v>
                </c:pt>
                <c:pt idx="3593">
                  <c:v>46647</c:v>
                </c:pt>
                <c:pt idx="3594">
                  <c:v>46648</c:v>
                </c:pt>
                <c:pt idx="3595">
                  <c:v>46649</c:v>
                </c:pt>
                <c:pt idx="3596">
                  <c:v>46650</c:v>
                </c:pt>
                <c:pt idx="3597">
                  <c:v>46651</c:v>
                </c:pt>
                <c:pt idx="3598">
                  <c:v>46652</c:v>
                </c:pt>
                <c:pt idx="3599">
                  <c:v>46653</c:v>
                </c:pt>
                <c:pt idx="3600">
                  <c:v>46654</c:v>
                </c:pt>
                <c:pt idx="3601">
                  <c:v>46655</c:v>
                </c:pt>
                <c:pt idx="3602">
                  <c:v>46656</c:v>
                </c:pt>
                <c:pt idx="3603">
                  <c:v>46657</c:v>
                </c:pt>
                <c:pt idx="3604">
                  <c:v>46658</c:v>
                </c:pt>
                <c:pt idx="3605">
                  <c:v>46659</c:v>
                </c:pt>
                <c:pt idx="3606">
                  <c:v>46660</c:v>
                </c:pt>
                <c:pt idx="3607">
                  <c:v>46661</c:v>
                </c:pt>
                <c:pt idx="3608">
                  <c:v>46662</c:v>
                </c:pt>
                <c:pt idx="3609">
                  <c:v>46663</c:v>
                </c:pt>
                <c:pt idx="3610">
                  <c:v>46664</c:v>
                </c:pt>
                <c:pt idx="3611">
                  <c:v>46665</c:v>
                </c:pt>
                <c:pt idx="3612">
                  <c:v>46666</c:v>
                </c:pt>
                <c:pt idx="3613">
                  <c:v>46667</c:v>
                </c:pt>
                <c:pt idx="3614">
                  <c:v>46668</c:v>
                </c:pt>
                <c:pt idx="3615">
                  <c:v>46669</c:v>
                </c:pt>
                <c:pt idx="3616">
                  <c:v>46670</c:v>
                </c:pt>
                <c:pt idx="3617">
                  <c:v>46671</c:v>
                </c:pt>
                <c:pt idx="3618">
                  <c:v>46672</c:v>
                </c:pt>
                <c:pt idx="3619">
                  <c:v>46673</c:v>
                </c:pt>
                <c:pt idx="3620">
                  <c:v>46674</c:v>
                </c:pt>
                <c:pt idx="3621">
                  <c:v>46675</c:v>
                </c:pt>
                <c:pt idx="3622">
                  <c:v>46676</c:v>
                </c:pt>
                <c:pt idx="3623">
                  <c:v>46677</c:v>
                </c:pt>
                <c:pt idx="3624">
                  <c:v>46678</c:v>
                </c:pt>
                <c:pt idx="3625">
                  <c:v>46679</c:v>
                </c:pt>
                <c:pt idx="3626">
                  <c:v>46680</c:v>
                </c:pt>
                <c:pt idx="3627">
                  <c:v>46681</c:v>
                </c:pt>
                <c:pt idx="3628">
                  <c:v>46682</c:v>
                </c:pt>
                <c:pt idx="3629">
                  <c:v>46683</c:v>
                </c:pt>
                <c:pt idx="3630">
                  <c:v>46684</c:v>
                </c:pt>
                <c:pt idx="3631">
                  <c:v>46685</c:v>
                </c:pt>
                <c:pt idx="3632">
                  <c:v>46686</c:v>
                </c:pt>
                <c:pt idx="3633">
                  <c:v>46687</c:v>
                </c:pt>
                <c:pt idx="3634">
                  <c:v>46688</c:v>
                </c:pt>
                <c:pt idx="3635">
                  <c:v>46689</c:v>
                </c:pt>
                <c:pt idx="3636">
                  <c:v>46690</c:v>
                </c:pt>
                <c:pt idx="3637">
                  <c:v>46691</c:v>
                </c:pt>
                <c:pt idx="3638">
                  <c:v>46692</c:v>
                </c:pt>
                <c:pt idx="3639">
                  <c:v>46693</c:v>
                </c:pt>
                <c:pt idx="3640">
                  <c:v>46694</c:v>
                </c:pt>
                <c:pt idx="3641">
                  <c:v>46695</c:v>
                </c:pt>
                <c:pt idx="3642">
                  <c:v>46696</c:v>
                </c:pt>
                <c:pt idx="3643">
                  <c:v>46697</c:v>
                </c:pt>
                <c:pt idx="3644">
                  <c:v>46698</c:v>
                </c:pt>
                <c:pt idx="3645">
                  <c:v>46699</c:v>
                </c:pt>
                <c:pt idx="3646">
                  <c:v>46700</c:v>
                </c:pt>
                <c:pt idx="3647">
                  <c:v>46701</c:v>
                </c:pt>
                <c:pt idx="3648">
                  <c:v>46702</c:v>
                </c:pt>
                <c:pt idx="3649">
                  <c:v>46703</c:v>
                </c:pt>
                <c:pt idx="3650">
                  <c:v>46704</c:v>
                </c:pt>
                <c:pt idx="3651">
                  <c:v>46705</c:v>
                </c:pt>
                <c:pt idx="3652">
                  <c:v>46706</c:v>
                </c:pt>
                <c:pt idx="3653">
                  <c:v>46707</c:v>
                </c:pt>
                <c:pt idx="3654">
                  <c:v>46708</c:v>
                </c:pt>
                <c:pt idx="3655">
                  <c:v>46709</c:v>
                </c:pt>
                <c:pt idx="3656">
                  <c:v>46710</c:v>
                </c:pt>
                <c:pt idx="3657">
                  <c:v>46711</c:v>
                </c:pt>
                <c:pt idx="3658">
                  <c:v>46712</c:v>
                </c:pt>
                <c:pt idx="3659">
                  <c:v>46713</c:v>
                </c:pt>
                <c:pt idx="3660">
                  <c:v>46714</c:v>
                </c:pt>
                <c:pt idx="3661">
                  <c:v>46715</c:v>
                </c:pt>
                <c:pt idx="3662">
                  <c:v>46716</c:v>
                </c:pt>
                <c:pt idx="3663">
                  <c:v>46717</c:v>
                </c:pt>
                <c:pt idx="3664">
                  <c:v>46718</c:v>
                </c:pt>
                <c:pt idx="3665">
                  <c:v>46719</c:v>
                </c:pt>
                <c:pt idx="3666">
                  <c:v>46720</c:v>
                </c:pt>
                <c:pt idx="3667">
                  <c:v>46721</c:v>
                </c:pt>
                <c:pt idx="3668">
                  <c:v>46722</c:v>
                </c:pt>
                <c:pt idx="3669">
                  <c:v>46723</c:v>
                </c:pt>
                <c:pt idx="3670">
                  <c:v>46724</c:v>
                </c:pt>
                <c:pt idx="3671">
                  <c:v>46725</c:v>
                </c:pt>
                <c:pt idx="3672">
                  <c:v>46726</c:v>
                </c:pt>
                <c:pt idx="3673">
                  <c:v>46727</c:v>
                </c:pt>
                <c:pt idx="3674">
                  <c:v>46728</c:v>
                </c:pt>
                <c:pt idx="3675">
                  <c:v>46729</c:v>
                </c:pt>
                <c:pt idx="3676">
                  <c:v>46730</c:v>
                </c:pt>
                <c:pt idx="3677">
                  <c:v>46731</c:v>
                </c:pt>
                <c:pt idx="3678">
                  <c:v>46732</c:v>
                </c:pt>
                <c:pt idx="3679">
                  <c:v>46733</c:v>
                </c:pt>
                <c:pt idx="3680">
                  <c:v>46734</c:v>
                </c:pt>
                <c:pt idx="3681">
                  <c:v>46735</c:v>
                </c:pt>
                <c:pt idx="3682">
                  <c:v>46736</c:v>
                </c:pt>
                <c:pt idx="3683">
                  <c:v>46737</c:v>
                </c:pt>
                <c:pt idx="3684">
                  <c:v>46738</c:v>
                </c:pt>
                <c:pt idx="3685">
                  <c:v>46739</c:v>
                </c:pt>
                <c:pt idx="3686">
                  <c:v>46740</c:v>
                </c:pt>
                <c:pt idx="3687">
                  <c:v>46741</c:v>
                </c:pt>
                <c:pt idx="3688">
                  <c:v>46742</c:v>
                </c:pt>
                <c:pt idx="3689">
                  <c:v>46743</c:v>
                </c:pt>
                <c:pt idx="3690">
                  <c:v>46744</c:v>
                </c:pt>
                <c:pt idx="3691">
                  <c:v>46745</c:v>
                </c:pt>
                <c:pt idx="3692">
                  <c:v>46746</c:v>
                </c:pt>
                <c:pt idx="3693">
                  <c:v>46747</c:v>
                </c:pt>
                <c:pt idx="3694">
                  <c:v>46748</c:v>
                </c:pt>
                <c:pt idx="3695">
                  <c:v>46749</c:v>
                </c:pt>
                <c:pt idx="3696">
                  <c:v>46750</c:v>
                </c:pt>
                <c:pt idx="3697">
                  <c:v>46751</c:v>
                </c:pt>
                <c:pt idx="3698">
                  <c:v>46752</c:v>
                </c:pt>
                <c:pt idx="3699">
                  <c:v>46753</c:v>
                </c:pt>
                <c:pt idx="3700">
                  <c:v>46754</c:v>
                </c:pt>
                <c:pt idx="3701">
                  <c:v>46755</c:v>
                </c:pt>
                <c:pt idx="3702">
                  <c:v>46756</c:v>
                </c:pt>
                <c:pt idx="3703">
                  <c:v>46757</c:v>
                </c:pt>
                <c:pt idx="3704">
                  <c:v>46758</c:v>
                </c:pt>
                <c:pt idx="3705">
                  <c:v>46759</c:v>
                </c:pt>
                <c:pt idx="3706">
                  <c:v>46760</c:v>
                </c:pt>
                <c:pt idx="3707">
                  <c:v>46761</c:v>
                </c:pt>
                <c:pt idx="3708">
                  <c:v>46762</c:v>
                </c:pt>
                <c:pt idx="3709">
                  <c:v>46763</c:v>
                </c:pt>
                <c:pt idx="3710">
                  <c:v>46764</c:v>
                </c:pt>
                <c:pt idx="3711">
                  <c:v>46765</c:v>
                </c:pt>
                <c:pt idx="3712">
                  <c:v>46766</c:v>
                </c:pt>
                <c:pt idx="3713">
                  <c:v>46767</c:v>
                </c:pt>
                <c:pt idx="3714">
                  <c:v>46768</c:v>
                </c:pt>
                <c:pt idx="3715">
                  <c:v>46769</c:v>
                </c:pt>
                <c:pt idx="3716">
                  <c:v>46770</c:v>
                </c:pt>
                <c:pt idx="3717">
                  <c:v>46771</c:v>
                </c:pt>
                <c:pt idx="3718">
                  <c:v>46772</c:v>
                </c:pt>
                <c:pt idx="3719">
                  <c:v>46773</c:v>
                </c:pt>
                <c:pt idx="3720">
                  <c:v>46774</c:v>
                </c:pt>
                <c:pt idx="3721">
                  <c:v>46775</c:v>
                </c:pt>
                <c:pt idx="3722">
                  <c:v>46776</c:v>
                </c:pt>
                <c:pt idx="3723">
                  <c:v>46777</c:v>
                </c:pt>
                <c:pt idx="3724">
                  <c:v>46778</c:v>
                </c:pt>
                <c:pt idx="3725">
                  <c:v>46779</c:v>
                </c:pt>
                <c:pt idx="3726">
                  <c:v>46780</c:v>
                </c:pt>
                <c:pt idx="3727">
                  <c:v>46781</c:v>
                </c:pt>
                <c:pt idx="3728">
                  <c:v>46782</c:v>
                </c:pt>
                <c:pt idx="3729">
                  <c:v>46783</c:v>
                </c:pt>
                <c:pt idx="3730">
                  <c:v>46784</c:v>
                </c:pt>
                <c:pt idx="3731">
                  <c:v>46785</c:v>
                </c:pt>
                <c:pt idx="3732">
                  <c:v>46786</c:v>
                </c:pt>
                <c:pt idx="3733">
                  <c:v>46787</c:v>
                </c:pt>
                <c:pt idx="3734">
                  <c:v>46788</c:v>
                </c:pt>
                <c:pt idx="3735">
                  <c:v>46789</c:v>
                </c:pt>
                <c:pt idx="3736">
                  <c:v>46790</c:v>
                </c:pt>
                <c:pt idx="3737">
                  <c:v>46791</c:v>
                </c:pt>
                <c:pt idx="3738">
                  <c:v>46792</c:v>
                </c:pt>
                <c:pt idx="3739">
                  <c:v>46793</c:v>
                </c:pt>
                <c:pt idx="3740">
                  <c:v>46794</c:v>
                </c:pt>
                <c:pt idx="3741">
                  <c:v>46795</c:v>
                </c:pt>
                <c:pt idx="3742">
                  <c:v>46796</c:v>
                </c:pt>
                <c:pt idx="3743">
                  <c:v>46797</c:v>
                </c:pt>
                <c:pt idx="3744">
                  <c:v>46798</c:v>
                </c:pt>
                <c:pt idx="3745">
                  <c:v>46799</c:v>
                </c:pt>
                <c:pt idx="3746">
                  <c:v>46800</c:v>
                </c:pt>
                <c:pt idx="3747">
                  <c:v>46801</c:v>
                </c:pt>
                <c:pt idx="3748">
                  <c:v>46802</c:v>
                </c:pt>
                <c:pt idx="3749">
                  <c:v>46803</c:v>
                </c:pt>
                <c:pt idx="3750">
                  <c:v>46804</c:v>
                </c:pt>
                <c:pt idx="3751">
                  <c:v>46805</c:v>
                </c:pt>
                <c:pt idx="3752">
                  <c:v>46806</c:v>
                </c:pt>
                <c:pt idx="3753">
                  <c:v>46807</c:v>
                </c:pt>
                <c:pt idx="3754">
                  <c:v>46808</c:v>
                </c:pt>
                <c:pt idx="3755">
                  <c:v>46809</c:v>
                </c:pt>
                <c:pt idx="3756">
                  <c:v>46810</c:v>
                </c:pt>
                <c:pt idx="3757">
                  <c:v>46811</c:v>
                </c:pt>
                <c:pt idx="3758">
                  <c:v>46812</c:v>
                </c:pt>
                <c:pt idx="3759">
                  <c:v>46813</c:v>
                </c:pt>
                <c:pt idx="3760">
                  <c:v>46814</c:v>
                </c:pt>
                <c:pt idx="3761">
                  <c:v>46815</c:v>
                </c:pt>
                <c:pt idx="3762">
                  <c:v>46816</c:v>
                </c:pt>
                <c:pt idx="3763">
                  <c:v>46817</c:v>
                </c:pt>
                <c:pt idx="3764">
                  <c:v>46818</c:v>
                </c:pt>
                <c:pt idx="3765">
                  <c:v>46819</c:v>
                </c:pt>
                <c:pt idx="3766">
                  <c:v>46820</c:v>
                </c:pt>
                <c:pt idx="3767">
                  <c:v>46821</c:v>
                </c:pt>
                <c:pt idx="3768">
                  <c:v>46822</c:v>
                </c:pt>
                <c:pt idx="3769">
                  <c:v>46823</c:v>
                </c:pt>
                <c:pt idx="3770">
                  <c:v>46824</c:v>
                </c:pt>
                <c:pt idx="3771">
                  <c:v>46825</c:v>
                </c:pt>
                <c:pt idx="3772">
                  <c:v>46826</c:v>
                </c:pt>
                <c:pt idx="3773">
                  <c:v>46827</c:v>
                </c:pt>
                <c:pt idx="3774">
                  <c:v>46828</c:v>
                </c:pt>
                <c:pt idx="3775">
                  <c:v>46829</c:v>
                </c:pt>
                <c:pt idx="3776">
                  <c:v>46830</c:v>
                </c:pt>
                <c:pt idx="3777">
                  <c:v>46831</c:v>
                </c:pt>
                <c:pt idx="3778">
                  <c:v>46832</c:v>
                </c:pt>
                <c:pt idx="3779">
                  <c:v>46833</c:v>
                </c:pt>
                <c:pt idx="3780">
                  <c:v>46834</c:v>
                </c:pt>
                <c:pt idx="3781">
                  <c:v>46835</c:v>
                </c:pt>
                <c:pt idx="3782">
                  <c:v>46836</c:v>
                </c:pt>
                <c:pt idx="3783">
                  <c:v>46837</c:v>
                </c:pt>
                <c:pt idx="3784">
                  <c:v>46838</c:v>
                </c:pt>
                <c:pt idx="3785">
                  <c:v>46839</c:v>
                </c:pt>
                <c:pt idx="3786">
                  <c:v>46840</c:v>
                </c:pt>
                <c:pt idx="3787">
                  <c:v>46841</c:v>
                </c:pt>
                <c:pt idx="3788">
                  <c:v>46842</c:v>
                </c:pt>
                <c:pt idx="3789">
                  <c:v>46843</c:v>
                </c:pt>
                <c:pt idx="3790">
                  <c:v>46844</c:v>
                </c:pt>
                <c:pt idx="3791">
                  <c:v>46845</c:v>
                </c:pt>
                <c:pt idx="3792">
                  <c:v>46846</c:v>
                </c:pt>
                <c:pt idx="3793">
                  <c:v>46847</c:v>
                </c:pt>
                <c:pt idx="3794">
                  <c:v>46848</c:v>
                </c:pt>
                <c:pt idx="3795">
                  <c:v>46849</c:v>
                </c:pt>
                <c:pt idx="3796">
                  <c:v>46850</c:v>
                </c:pt>
                <c:pt idx="3797">
                  <c:v>46851</c:v>
                </c:pt>
                <c:pt idx="3798">
                  <c:v>46852</c:v>
                </c:pt>
                <c:pt idx="3799">
                  <c:v>46853</c:v>
                </c:pt>
                <c:pt idx="3800">
                  <c:v>46854</c:v>
                </c:pt>
                <c:pt idx="3801">
                  <c:v>46855</c:v>
                </c:pt>
                <c:pt idx="3802">
                  <c:v>46856</c:v>
                </c:pt>
                <c:pt idx="3803">
                  <c:v>46857</c:v>
                </c:pt>
                <c:pt idx="3804">
                  <c:v>46858</c:v>
                </c:pt>
                <c:pt idx="3805">
                  <c:v>46859</c:v>
                </c:pt>
                <c:pt idx="3806">
                  <c:v>46860</c:v>
                </c:pt>
                <c:pt idx="3807">
                  <c:v>46861</c:v>
                </c:pt>
                <c:pt idx="3808">
                  <c:v>46862</c:v>
                </c:pt>
                <c:pt idx="3809">
                  <c:v>46863</c:v>
                </c:pt>
                <c:pt idx="3810">
                  <c:v>46864</c:v>
                </c:pt>
                <c:pt idx="3811">
                  <c:v>46865</c:v>
                </c:pt>
                <c:pt idx="3812">
                  <c:v>46866</c:v>
                </c:pt>
                <c:pt idx="3813">
                  <c:v>46867</c:v>
                </c:pt>
                <c:pt idx="3814">
                  <c:v>46868</c:v>
                </c:pt>
                <c:pt idx="3815">
                  <c:v>46869</c:v>
                </c:pt>
                <c:pt idx="3816">
                  <c:v>46870</c:v>
                </c:pt>
                <c:pt idx="3817">
                  <c:v>46871</c:v>
                </c:pt>
                <c:pt idx="3818">
                  <c:v>46872</c:v>
                </c:pt>
                <c:pt idx="3819">
                  <c:v>46873</c:v>
                </c:pt>
                <c:pt idx="3820">
                  <c:v>46874</c:v>
                </c:pt>
                <c:pt idx="3821">
                  <c:v>46875</c:v>
                </c:pt>
                <c:pt idx="3822">
                  <c:v>46876</c:v>
                </c:pt>
                <c:pt idx="3823">
                  <c:v>46877</c:v>
                </c:pt>
                <c:pt idx="3824">
                  <c:v>46878</c:v>
                </c:pt>
                <c:pt idx="3825">
                  <c:v>46879</c:v>
                </c:pt>
                <c:pt idx="3826">
                  <c:v>46880</c:v>
                </c:pt>
                <c:pt idx="3827">
                  <c:v>46881</c:v>
                </c:pt>
                <c:pt idx="3828">
                  <c:v>46882</c:v>
                </c:pt>
                <c:pt idx="3829">
                  <c:v>46883</c:v>
                </c:pt>
                <c:pt idx="3830">
                  <c:v>46884</c:v>
                </c:pt>
                <c:pt idx="3831">
                  <c:v>46885</c:v>
                </c:pt>
                <c:pt idx="3832">
                  <c:v>46886</c:v>
                </c:pt>
                <c:pt idx="3833">
                  <c:v>46887</c:v>
                </c:pt>
                <c:pt idx="3834">
                  <c:v>46888</c:v>
                </c:pt>
                <c:pt idx="3835">
                  <c:v>46889</c:v>
                </c:pt>
                <c:pt idx="3836">
                  <c:v>46890</c:v>
                </c:pt>
                <c:pt idx="3837">
                  <c:v>46891</c:v>
                </c:pt>
                <c:pt idx="3838">
                  <c:v>46892</c:v>
                </c:pt>
                <c:pt idx="3839">
                  <c:v>46893</c:v>
                </c:pt>
                <c:pt idx="3840">
                  <c:v>46894</c:v>
                </c:pt>
                <c:pt idx="3841">
                  <c:v>46895</c:v>
                </c:pt>
                <c:pt idx="3842">
                  <c:v>46896</c:v>
                </c:pt>
                <c:pt idx="3843">
                  <c:v>46897</c:v>
                </c:pt>
                <c:pt idx="3844">
                  <c:v>46898</c:v>
                </c:pt>
                <c:pt idx="3845">
                  <c:v>46899</c:v>
                </c:pt>
                <c:pt idx="3846">
                  <c:v>46900</c:v>
                </c:pt>
                <c:pt idx="3847">
                  <c:v>46901</c:v>
                </c:pt>
                <c:pt idx="3848">
                  <c:v>46902</c:v>
                </c:pt>
                <c:pt idx="3849">
                  <c:v>46903</c:v>
                </c:pt>
                <c:pt idx="3850">
                  <c:v>46904</c:v>
                </c:pt>
                <c:pt idx="3851">
                  <c:v>46905</c:v>
                </c:pt>
                <c:pt idx="3852">
                  <c:v>46906</c:v>
                </c:pt>
                <c:pt idx="3853">
                  <c:v>46907</c:v>
                </c:pt>
                <c:pt idx="3854">
                  <c:v>46908</c:v>
                </c:pt>
                <c:pt idx="3855">
                  <c:v>46909</c:v>
                </c:pt>
                <c:pt idx="3856">
                  <c:v>46910</c:v>
                </c:pt>
                <c:pt idx="3857">
                  <c:v>46911</c:v>
                </c:pt>
                <c:pt idx="3858">
                  <c:v>46912</c:v>
                </c:pt>
                <c:pt idx="3859">
                  <c:v>46913</c:v>
                </c:pt>
                <c:pt idx="3860">
                  <c:v>46914</c:v>
                </c:pt>
                <c:pt idx="3861">
                  <c:v>46915</c:v>
                </c:pt>
                <c:pt idx="3862">
                  <c:v>46916</c:v>
                </c:pt>
                <c:pt idx="3863">
                  <c:v>46917</c:v>
                </c:pt>
                <c:pt idx="3864">
                  <c:v>46918</c:v>
                </c:pt>
                <c:pt idx="3865">
                  <c:v>46919</c:v>
                </c:pt>
                <c:pt idx="3866">
                  <c:v>46920</c:v>
                </c:pt>
                <c:pt idx="3867">
                  <c:v>46921</c:v>
                </c:pt>
                <c:pt idx="3868">
                  <c:v>46922</c:v>
                </c:pt>
                <c:pt idx="3869">
                  <c:v>46923</c:v>
                </c:pt>
                <c:pt idx="3870">
                  <c:v>46924</c:v>
                </c:pt>
                <c:pt idx="3871">
                  <c:v>46925</c:v>
                </c:pt>
                <c:pt idx="3872">
                  <c:v>46926</c:v>
                </c:pt>
                <c:pt idx="3873">
                  <c:v>46927</c:v>
                </c:pt>
                <c:pt idx="3874">
                  <c:v>46928</c:v>
                </c:pt>
                <c:pt idx="3875">
                  <c:v>46929</c:v>
                </c:pt>
                <c:pt idx="3876">
                  <c:v>46930</c:v>
                </c:pt>
                <c:pt idx="3877">
                  <c:v>46931</c:v>
                </c:pt>
                <c:pt idx="3878">
                  <c:v>46932</c:v>
                </c:pt>
                <c:pt idx="3879">
                  <c:v>46933</c:v>
                </c:pt>
                <c:pt idx="3880">
                  <c:v>46934</c:v>
                </c:pt>
                <c:pt idx="3881">
                  <c:v>46935</c:v>
                </c:pt>
                <c:pt idx="3882">
                  <c:v>46936</c:v>
                </c:pt>
                <c:pt idx="3883">
                  <c:v>46937</c:v>
                </c:pt>
                <c:pt idx="3884">
                  <c:v>46938</c:v>
                </c:pt>
                <c:pt idx="3885">
                  <c:v>46939</c:v>
                </c:pt>
                <c:pt idx="3886">
                  <c:v>46940</c:v>
                </c:pt>
                <c:pt idx="3887">
                  <c:v>46941</c:v>
                </c:pt>
                <c:pt idx="3888">
                  <c:v>46942</c:v>
                </c:pt>
                <c:pt idx="3889">
                  <c:v>46943</c:v>
                </c:pt>
                <c:pt idx="3890">
                  <c:v>46944</c:v>
                </c:pt>
                <c:pt idx="3891">
                  <c:v>46945</c:v>
                </c:pt>
                <c:pt idx="3892">
                  <c:v>46946</c:v>
                </c:pt>
                <c:pt idx="3893">
                  <c:v>46947</c:v>
                </c:pt>
                <c:pt idx="3894">
                  <c:v>46948</c:v>
                </c:pt>
                <c:pt idx="3895">
                  <c:v>46949</c:v>
                </c:pt>
                <c:pt idx="3896">
                  <c:v>46950</c:v>
                </c:pt>
                <c:pt idx="3897">
                  <c:v>46951</c:v>
                </c:pt>
                <c:pt idx="3898">
                  <c:v>46952</c:v>
                </c:pt>
                <c:pt idx="3899">
                  <c:v>46953</c:v>
                </c:pt>
                <c:pt idx="3900">
                  <c:v>46954</c:v>
                </c:pt>
                <c:pt idx="3901">
                  <c:v>46955</c:v>
                </c:pt>
                <c:pt idx="3902">
                  <c:v>46956</c:v>
                </c:pt>
                <c:pt idx="3903">
                  <c:v>46957</c:v>
                </c:pt>
                <c:pt idx="3904">
                  <c:v>46958</c:v>
                </c:pt>
                <c:pt idx="3905">
                  <c:v>46959</c:v>
                </c:pt>
                <c:pt idx="3906">
                  <c:v>46960</c:v>
                </c:pt>
                <c:pt idx="3907">
                  <c:v>46961</c:v>
                </c:pt>
                <c:pt idx="3908">
                  <c:v>46962</c:v>
                </c:pt>
                <c:pt idx="3909">
                  <c:v>46963</c:v>
                </c:pt>
                <c:pt idx="3910">
                  <c:v>46964</c:v>
                </c:pt>
                <c:pt idx="3911">
                  <c:v>46965</c:v>
                </c:pt>
                <c:pt idx="3912">
                  <c:v>46966</c:v>
                </c:pt>
                <c:pt idx="3913">
                  <c:v>46967</c:v>
                </c:pt>
                <c:pt idx="3914">
                  <c:v>46968</c:v>
                </c:pt>
                <c:pt idx="3915">
                  <c:v>46969</c:v>
                </c:pt>
                <c:pt idx="3916">
                  <c:v>46970</c:v>
                </c:pt>
                <c:pt idx="3917">
                  <c:v>46971</c:v>
                </c:pt>
                <c:pt idx="3918">
                  <c:v>46972</c:v>
                </c:pt>
                <c:pt idx="3919">
                  <c:v>46973</c:v>
                </c:pt>
                <c:pt idx="3920">
                  <c:v>46974</c:v>
                </c:pt>
                <c:pt idx="3921">
                  <c:v>46975</c:v>
                </c:pt>
                <c:pt idx="3922">
                  <c:v>46976</c:v>
                </c:pt>
                <c:pt idx="3923">
                  <c:v>46977</c:v>
                </c:pt>
                <c:pt idx="3924">
                  <c:v>46978</c:v>
                </c:pt>
                <c:pt idx="3925">
                  <c:v>46979</c:v>
                </c:pt>
                <c:pt idx="3926">
                  <c:v>46980</c:v>
                </c:pt>
                <c:pt idx="3927">
                  <c:v>46981</c:v>
                </c:pt>
                <c:pt idx="3928">
                  <c:v>46982</c:v>
                </c:pt>
                <c:pt idx="3929">
                  <c:v>46983</c:v>
                </c:pt>
                <c:pt idx="3930">
                  <c:v>46984</c:v>
                </c:pt>
                <c:pt idx="3931">
                  <c:v>46985</c:v>
                </c:pt>
                <c:pt idx="3932">
                  <c:v>46986</c:v>
                </c:pt>
                <c:pt idx="3933">
                  <c:v>46987</c:v>
                </c:pt>
                <c:pt idx="3934">
                  <c:v>46988</c:v>
                </c:pt>
                <c:pt idx="3935">
                  <c:v>46989</c:v>
                </c:pt>
                <c:pt idx="3936">
                  <c:v>46990</c:v>
                </c:pt>
                <c:pt idx="3937">
                  <c:v>46991</c:v>
                </c:pt>
                <c:pt idx="3938">
                  <c:v>46992</c:v>
                </c:pt>
                <c:pt idx="3939">
                  <c:v>46993</c:v>
                </c:pt>
                <c:pt idx="3940">
                  <c:v>46994</c:v>
                </c:pt>
                <c:pt idx="3941">
                  <c:v>46995</c:v>
                </c:pt>
                <c:pt idx="3942">
                  <c:v>46996</c:v>
                </c:pt>
                <c:pt idx="3943">
                  <c:v>46997</c:v>
                </c:pt>
                <c:pt idx="3944">
                  <c:v>46998</c:v>
                </c:pt>
                <c:pt idx="3945">
                  <c:v>46999</c:v>
                </c:pt>
                <c:pt idx="3946">
                  <c:v>47000</c:v>
                </c:pt>
                <c:pt idx="3947">
                  <c:v>47001</c:v>
                </c:pt>
                <c:pt idx="3948">
                  <c:v>47002</c:v>
                </c:pt>
                <c:pt idx="3949">
                  <c:v>47003</c:v>
                </c:pt>
                <c:pt idx="3950">
                  <c:v>47004</c:v>
                </c:pt>
                <c:pt idx="3951">
                  <c:v>47005</c:v>
                </c:pt>
                <c:pt idx="3952">
                  <c:v>47006</c:v>
                </c:pt>
                <c:pt idx="3953">
                  <c:v>47007</c:v>
                </c:pt>
                <c:pt idx="3954">
                  <c:v>47008</c:v>
                </c:pt>
                <c:pt idx="3955">
                  <c:v>47009</c:v>
                </c:pt>
                <c:pt idx="3956">
                  <c:v>47010</c:v>
                </c:pt>
                <c:pt idx="3957">
                  <c:v>47011</c:v>
                </c:pt>
                <c:pt idx="3958">
                  <c:v>47012</c:v>
                </c:pt>
                <c:pt idx="3959">
                  <c:v>47013</c:v>
                </c:pt>
                <c:pt idx="3960">
                  <c:v>47014</c:v>
                </c:pt>
                <c:pt idx="3961">
                  <c:v>47015</c:v>
                </c:pt>
                <c:pt idx="3962">
                  <c:v>47016</c:v>
                </c:pt>
                <c:pt idx="3963">
                  <c:v>47017</c:v>
                </c:pt>
                <c:pt idx="3964">
                  <c:v>47018</c:v>
                </c:pt>
                <c:pt idx="3965">
                  <c:v>47019</c:v>
                </c:pt>
                <c:pt idx="3966">
                  <c:v>47020</c:v>
                </c:pt>
                <c:pt idx="3967">
                  <c:v>47021</c:v>
                </c:pt>
                <c:pt idx="3968">
                  <c:v>47022</c:v>
                </c:pt>
                <c:pt idx="3969">
                  <c:v>47023</c:v>
                </c:pt>
                <c:pt idx="3970">
                  <c:v>47024</c:v>
                </c:pt>
                <c:pt idx="3971">
                  <c:v>47025</c:v>
                </c:pt>
                <c:pt idx="3972">
                  <c:v>47026</c:v>
                </c:pt>
                <c:pt idx="3973">
                  <c:v>47027</c:v>
                </c:pt>
                <c:pt idx="3974">
                  <c:v>47028</c:v>
                </c:pt>
                <c:pt idx="3975">
                  <c:v>47029</c:v>
                </c:pt>
                <c:pt idx="3976">
                  <c:v>47030</c:v>
                </c:pt>
                <c:pt idx="3977">
                  <c:v>47031</c:v>
                </c:pt>
                <c:pt idx="3978">
                  <c:v>47032</c:v>
                </c:pt>
                <c:pt idx="3979">
                  <c:v>47033</c:v>
                </c:pt>
                <c:pt idx="3980">
                  <c:v>47034</c:v>
                </c:pt>
                <c:pt idx="3981">
                  <c:v>47035</c:v>
                </c:pt>
                <c:pt idx="3982">
                  <c:v>47036</c:v>
                </c:pt>
                <c:pt idx="3983">
                  <c:v>47037</c:v>
                </c:pt>
                <c:pt idx="3984">
                  <c:v>47038</c:v>
                </c:pt>
                <c:pt idx="3985">
                  <c:v>47039</c:v>
                </c:pt>
                <c:pt idx="3986">
                  <c:v>47040</c:v>
                </c:pt>
                <c:pt idx="3987">
                  <c:v>47041</c:v>
                </c:pt>
                <c:pt idx="3988">
                  <c:v>47042</c:v>
                </c:pt>
                <c:pt idx="3989">
                  <c:v>47043</c:v>
                </c:pt>
                <c:pt idx="3990">
                  <c:v>47044</c:v>
                </c:pt>
                <c:pt idx="3991">
                  <c:v>47045</c:v>
                </c:pt>
                <c:pt idx="3992">
                  <c:v>47046</c:v>
                </c:pt>
                <c:pt idx="3993">
                  <c:v>47047</c:v>
                </c:pt>
                <c:pt idx="3994">
                  <c:v>47048</c:v>
                </c:pt>
                <c:pt idx="3995">
                  <c:v>47049</c:v>
                </c:pt>
                <c:pt idx="3996">
                  <c:v>47050</c:v>
                </c:pt>
                <c:pt idx="3997">
                  <c:v>47051</c:v>
                </c:pt>
                <c:pt idx="3998">
                  <c:v>47052</c:v>
                </c:pt>
                <c:pt idx="3999">
                  <c:v>47053</c:v>
                </c:pt>
                <c:pt idx="4000">
                  <c:v>47054</c:v>
                </c:pt>
                <c:pt idx="4001">
                  <c:v>47055</c:v>
                </c:pt>
                <c:pt idx="4002">
                  <c:v>47056</c:v>
                </c:pt>
                <c:pt idx="4003">
                  <c:v>47057</c:v>
                </c:pt>
                <c:pt idx="4004">
                  <c:v>47058</c:v>
                </c:pt>
                <c:pt idx="4005">
                  <c:v>47059</c:v>
                </c:pt>
                <c:pt idx="4006">
                  <c:v>47060</c:v>
                </c:pt>
                <c:pt idx="4007">
                  <c:v>47061</c:v>
                </c:pt>
                <c:pt idx="4008">
                  <c:v>47062</c:v>
                </c:pt>
                <c:pt idx="4009">
                  <c:v>47063</c:v>
                </c:pt>
                <c:pt idx="4010">
                  <c:v>47064</c:v>
                </c:pt>
                <c:pt idx="4011">
                  <c:v>47065</c:v>
                </c:pt>
                <c:pt idx="4012">
                  <c:v>47066</c:v>
                </c:pt>
                <c:pt idx="4013">
                  <c:v>47067</c:v>
                </c:pt>
                <c:pt idx="4014">
                  <c:v>47068</c:v>
                </c:pt>
                <c:pt idx="4015">
                  <c:v>47069</c:v>
                </c:pt>
                <c:pt idx="4016">
                  <c:v>47070</c:v>
                </c:pt>
                <c:pt idx="4017">
                  <c:v>47071</c:v>
                </c:pt>
                <c:pt idx="4018">
                  <c:v>47072</c:v>
                </c:pt>
                <c:pt idx="4019">
                  <c:v>47073</c:v>
                </c:pt>
                <c:pt idx="4020">
                  <c:v>47074</c:v>
                </c:pt>
                <c:pt idx="4021">
                  <c:v>47075</c:v>
                </c:pt>
                <c:pt idx="4022">
                  <c:v>47076</c:v>
                </c:pt>
                <c:pt idx="4023">
                  <c:v>47077</c:v>
                </c:pt>
                <c:pt idx="4024">
                  <c:v>47078</c:v>
                </c:pt>
                <c:pt idx="4025">
                  <c:v>47079</c:v>
                </c:pt>
                <c:pt idx="4026">
                  <c:v>47080</c:v>
                </c:pt>
                <c:pt idx="4027">
                  <c:v>47081</c:v>
                </c:pt>
                <c:pt idx="4028">
                  <c:v>47082</c:v>
                </c:pt>
                <c:pt idx="4029">
                  <c:v>47083</c:v>
                </c:pt>
                <c:pt idx="4030">
                  <c:v>47084</c:v>
                </c:pt>
                <c:pt idx="4031">
                  <c:v>47085</c:v>
                </c:pt>
                <c:pt idx="4032">
                  <c:v>47086</c:v>
                </c:pt>
                <c:pt idx="4033">
                  <c:v>47087</c:v>
                </c:pt>
                <c:pt idx="4034">
                  <c:v>47088</c:v>
                </c:pt>
                <c:pt idx="4035">
                  <c:v>47089</c:v>
                </c:pt>
                <c:pt idx="4036">
                  <c:v>47090</c:v>
                </c:pt>
                <c:pt idx="4037">
                  <c:v>47091</c:v>
                </c:pt>
                <c:pt idx="4038">
                  <c:v>47092</c:v>
                </c:pt>
                <c:pt idx="4039">
                  <c:v>47093</c:v>
                </c:pt>
                <c:pt idx="4040">
                  <c:v>47094</c:v>
                </c:pt>
                <c:pt idx="4041">
                  <c:v>47095</c:v>
                </c:pt>
                <c:pt idx="4042">
                  <c:v>47096</c:v>
                </c:pt>
                <c:pt idx="4043">
                  <c:v>47097</c:v>
                </c:pt>
                <c:pt idx="4044">
                  <c:v>47098</c:v>
                </c:pt>
                <c:pt idx="4045">
                  <c:v>47099</c:v>
                </c:pt>
                <c:pt idx="4046">
                  <c:v>47100</c:v>
                </c:pt>
                <c:pt idx="4047">
                  <c:v>47101</c:v>
                </c:pt>
                <c:pt idx="4048">
                  <c:v>47102</c:v>
                </c:pt>
                <c:pt idx="4049">
                  <c:v>47103</c:v>
                </c:pt>
                <c:pt idx="4050">
                  <c:v>47104</c:v>
                </c:pt>
                <c:pt idx="4051">
                  <c:v>47105</c:v>
                </c:pt>
                <c:pt idx="4052">
                  <c:v>47106</c:v>
                </c:pt>
                <c:pt idx="4053">
                  <c:v>47107</c:v>
                </c:pt>
                <c:pt idx="4054">
                  <c:v>47108</c:v>
                </c:pt>
                <c:pt idx="4055">
                  <c:v>47109</c:v>
                </c:pt>
                <c:pt idx="4056">
                  <c:v>47110</c:v>
                </c:pt>
                <c:pt idx="4057">
                  <c:v>47111</c:v>
                </c:pt>
                <c:pt idx="4058">
                  <c:v>47112</c:v>
                </c:pt>
                <c:pt idx="4059">
                  <c:v>47113</c:v>
                </c:pt>
                <c:pt idx="4060">
                  <c:v>47114</c:v>
                </c:pt>
                <c:pt idx="4061">
                  <c:v>47115</c:v>
                </c:pt>
                <c:pt idx="4062">
                  <c:v>47116</c:v>
                </c:pt>
                <c:pt idx="4063">
                  <c:v>47117</c:v>
                </c:pt>
                <c:pt idx="4064">
                  <c:v>47118</c:v>
                </c:pt>
                <c:pt idx="4065">
                  <c:v>47119</c:v>
                </c:pt>
                <c:pt idx="4066">
                  <c:v>47120</c:v>
                </c:pt>
                <c:pt idx="4067">
                  <c:v>47121</c:v>
                </c:pt>
                <c:pt idx="4068">
                  <c:v>47122</c:v>
                </c:pt>
                <c:pt idx="4069">
                  <c:v>47123</c:v>
                </c:pt>
                <c:pt idx="4070">
                  <c:v>47124</c:v>
                </c:pt>
                <c:pt idx="4071">
                  <c:v>47125</c:v>
                </c:pt>
                <c:pt idx="4072">
                  <c:v>47126</c:v>
                </c:pt>
                <c:pt idx="4073">
                  <c:v>47127</c:v>
                </c:pt>
                <c:pt idx="4074">
                  <c:v>47128</c:v>
                </c:pt>
                <c:pt idx="4075">
                  <c:v>47129</c:v>
                </c:pt>
                <c:pt idx="4076">
                  <c:v>47130</c:v>
                </c:pt>
                <c:pt idx="4077">
                  <c:v>47131</c:v>
                </c:pt>
                <c:pt idx="4078">
                  <c:v>47132</c:v>
                </c:pt>
                <c:pt idx="4079">
                  <c:v>47133</c:v>
                </c:pt>
                <c:pt idx="4080">
                  <c:v>47134</c:v>
                </c:pt>
                <c:pt idx="4081">
                  <c:v>47135</c:v>
                </c:pt>
                <c:pt idx="4082">
                  <c:v>47136</c:v>
                </c:pt>
                <c:pt idx="4083">
                  <c:v>47137</c:v>
                </c:pt>
                <c:pt idx="4084">
                  <c:v>47138</c:v>
                </c:pt>
                <c:pt idx="4085">
                  <c:v>47139</c:v>
                </c:pt>
                <c:pt idx="4086">
                  <c:v>47140</c:v>
                </c:pt>
                <c:pt idx="4087">
                  <c:v>47141</c:v>
                </c:pt>
                <c:pt idx="4088">
                  <c:v>47142</c:v>
                </c:pt>
                <c:pt idx="4089">
                  <c:v>47143</c:v>
                </c:pt>
                <c:pt idx="4090">
                  <c:v>47144</c:v>
                </c:pt>
                <c:pt idx="4091">
                  <c:v>47145</c:v>
                </c:pt>
                <c:pt idx="4092">
                  <c:v>47146</c:v>
                </c:pt>
                <c:pt idx="4093">
                  <c:v>47147</c:v>
                </c:pt>
                <c:pt idx="4094">
                  <c:v>47148</c:v>
                </c:pt>
                <c:pt idx="4095">
                  <c:v>47149</c:v>
                </c:pt>
                <c:pt idx="4096">
                  <c:v>47150</c:v>
                </c:pt>
                <c:pt idx="4097">
                  <c:v>47151</c:v>
                </c:pt>
                <c:pt idx="4098">
                  <c:v>47152</c:v>
                </c:pt>
                <c:pt idx="4099">
                  <c:v>47153</c:v>
                </c:pt>
                <c:pt idx="4100">
                  <c:v>47154</c:v>
                </c:pt>
                <c:pt idx="4101">
                  <c:v>47155</c:v>
                </c:pt>
                <c:pt idx="4102">
                  <c:v>47156</c:v>
                </c:pt>
                <c:pt idx="4103">
                  <c:v>47157</c:v>
                </c:pt>
                <c:pt idx="4104">
                  <c:v>47158</c:v>
                </c:pt>
                <c:pt idx="4105">
                  <c:v>47159</c:v>
                </c:pt>
                <c:pt idx="4106">
                  <c:v>47160</c:v>
                </c:pt>
                <c:pt idx="4107">
                  <c:v>47161</c:v>
                </c:pt>
                <c:pt idx="4108">
                  <c:v>47162</c:v>
                </c:pt>
                <c:pt idx="4109">
                  <c:v>47163</c:v>
                </c:pt>
                <c:pt idx="4110">
                  <c:v>47164</c:v>
                </c:pt>
                <c:pt idx="4111">
                  <c:v>47165</c:v>
                </c:pt>
                <c:pt idx="4112">
                  <c:v>47166</c:v>
                </c:pt>
                <c:pt idx="4113">
                  <c:v>47167</c:v>
                </c:pt>
                <c:pt idx="4114">
                  <c:v>47168</c:v>
                </c:pt>
                <c:pt idx="4115">
                  <c:v>47169</c:v>
                </c:pt>
                <c:pt idx="4116">
                  <c:v>47170</c:v>
                </c:pt>
                <c:pt idx="4117">
                  <c:v>47171</c:v>
                </c:pt>
                <c:pt idx="4118">
                  <c:v>47172</c:v>
                </c:pt>
                <c:pt idx="4119">
                  <c:v>47173</c:v>
                </c:pt>
                <c:pt idx="4120">
                  <c:v>47174</c:v>
                </c:pt>
                <c:pt idx="4121">
                  <c:v>47175</c:v>
                </c:pt>
                <c:pt idx="4122">
                  <c:v>47176</c:v>
                </c:pt>
                <c:pt idx="4123">
                  <c:v>47177</c:v>
                </c:pt>
                <c:pt idx="4124">
                  <c:v>47178</c:v>
                </c:pt>
                <c:pt idx="4125">
                  <c:v>47179</c:v>
                </c:pt>
                <c:pt idx="4126">
                  <c:v>47180</c:v>
                </c:pt>
                <c:pt idx="4127">
                  <c:v>47181</c:v>
                </c:pt>
                <c:pt idx="4128">
                  <c:v>47182</c:v>
                </c:pt>
                <c:pt idx="4129">
                  <c:v>47183</c:v>
                </c:pt>
                <c:pt idx="4130">
                  <c:v>47184</c:v>
                </c:pt>
                <c:pt idx="4131">
                  <c:v>47185</c:v>
                </c:pt>
                <c:pt idx="4132">
                  <c:v>47186</c:v>
                </c:pt>
                <c:pt idx="4133">
                  <c:v>47187</c:v>
                </c:pt>
                <c:pt idx="4134">
                  <c:v>47188</c:v>
                </c:pt>
                <c:pt idx="4135">
                  <c:v>47189</c:v>
                </c:pt>
                <c:pt idx="4136">
                  <c:v>47190</c:v>
                </c:pt>
                <c:pt idx="4137">
                  <c:v>47191</c:v>
                </c:pt>
                <c:pt idx="4138">
                  <c:v>47192</c:v>
                </c:pt>
                <c:pt idx="4139">
                  <c:v>47193</c:v>
                </c:pt>
                <c:pt idx="4140">
                  <c:v>47194</c:v>
                </c:pt>
                <c:pt idx="4141">
                  <c:v>47195</c:v>
                </c:pt>
                <c:pt idx="4142">
                  <c:v>47196</c:v>
                </c:pt>
                <c:pt idx="4143">
                  <c:v>47197</c:v>
                </c:pt>
                <c:pt idx="4144">
                  <c:v>47198</c:v>
                </c:pt>
                <c:pt idx="4145">
                  <c:v>47199</c:v>
                </c:pt>
                <c:pt idx="4146">
                  <c:v>47200</c:v>
                </c:pt>
                <c:pt idx="4147">
                  <c:v>47201</c:v>
                </c:pt>
                <c:pt idx="4148">
                  <c:v>47202</c:v>
                </c:pt>
                <c:pt idx="4149">
                  <c:v>47203</c:v>
                </c:pt>
                <c:pt idx="4150">
                  <c:v>47204</c:v>
                </c:pt>
                <c:pt idx="4151">
                  <c:v>47205</c:v>
                </c:pt>
                <c:pt idx="4152">
                  <c:v>47206</c:v>
                </c:pt>
                <c:pt idx="4153">
                  <c:v>47207</c:v>
                </c:pt>
                <c:pt idx="4154">
                  <c:v>47208</c:v>
                </c:pt>
                <c:pt idx="4155">
                  <c:v>47209</c:v>
                </c:pt>
                <c:pt idx="4156">
                  <c:v>47210</c:v>
                </c:pt>
                <c:pt idx="4157">
                  <c:v>47211</c:v>
                </c:pt>
                <c:pt idx="4158">
                  <c:v>47212</c:v>
                </c:pt>
                <c:pt idx="4159">
                  <c:v>47213</c:v>
                </c:pt>
                <c:pt idx="4160">
                  <c:v>47214</c:v>
                </c:pt>
                <c:pt idx="4161">
                  <c:v>47215</c:v>
                </c:pt>
                <c:pt idx="4162">
                  <c:v>47216</c:v>
                </c:pt>
                <c:pt idx="4163">
                  <c:v>47217</c:v>
                </c:pt>
                <c:pt idx="4164">
                  <c:v>47218</c:v>
                </c:pt>
                <c:pt idx="4165">
                  <c:v>47219</c:v>
                </c:pt>
                <c:pt idx="4166">
                  <c:v>47220</c:v>
                </c:pt>
                <c:pt idx="4167">
                  <c:v>47221</c:v>
                </c:pt>
                <c:pt idx="4168">
                  <c:v>47222</c:v>
                </c:pt>
                <c:pt idx="4169">
                  <c:v>47223</c:v>
                </c:pt>
                <c:pt idx="4170">
                  <c:v>47224</c:v>
                </c:pt>
                <c:pt idx="4171">
                  <c:v>47225</c:v>
                </c:pt>
                <c:pt idx="4172">
                  <c:v>47226</c:v>
                </c:pt>
                <c:pt idx="4173">
                  <c:v>47227</c:v>
                </c:pt>
                <c:pt idx="4174">
                  <c:v>47228</c:v>
                </c:pt>
                <c:pt idx="4175">
                  <c:v>47229</c:v>
                </c:pt>
                <c:pt idx="4176">
                  <c:v>47230</c:v>
                </c:pt>
                <c:pt idx="4177">
                  <c:v>47231</c:v>
                </c:pt>
                <c:pt idx="4178">
                  <c:v>47232</c:v>
                </c:pt>
                <c:pt idx="4179">
                  <c:v>47233</c:v>
                </c:pt>
                <c:pt idx="4180">
                  <c:v>47234</c:v>
                </c:pt>
                <c:pt idx="4181">
                  <c:v>47235</c:v>
                </c:pt>
                <c:pt idx="4182">
                  <c:v>47236</c:v>
                </c:pt>
                <c:pt idx="4183">
                  <c:v>47237</c:v>
                </c:pt>
                <c:pt idx="4184">
                  <c:v>47238</c:v>
                </c:pt>
                <c:pt idx="4185">
                  <c:v>47239</c:v>
                </c:pt>
                <c:pt idx="4186">
                  <c:v>47240</c:v>
                </c:pt>
                <c:pt idx="4187">
                  <c:v>47241</c:v>
                </c:pt>
                <c:pt idx="4188">
                  <c:v>47242</c:v>
                </c:pt>
                <c:pt idx="4189">
                  <c:v>47243</c:v>
                </c:pt>
                <c:pt idx="4190">
                  <c:v>47244</c:v>
                </c:pt>
                <c:pt idx="4191">
                  <c:v>47245</c:v>
                </c:pt>
                <c:pt idx="4192">
                  <c:v>47246</c:v>
                </c:pt>
                <c:pt idx="4193">
                  <c:v>47247</c:v>
                </c:pt>
                <c:pt idx="4194">
                  <c:v>47248</c:v>
                </c:pt>
                <c:pt idx="4195">
                  <c:v>47249</c:v>
                </c:pt>
                <c:pt idx="4196">
                  <c:v>47250</c:v>
                </c:pt>
                <c:pt idx="4197">
                  <c:v>47251</c:v>
                </c:pt>
                <c:pt idx="4198">
                  <c:v>47252</c:v>
                </c:pt>
                <c:pt idx="4199">
                  <c:v>47253</c:v>
                </c:pt>
                <c:pt idx="4200">
                  <c:v>47254</c:v>
                </c:pt>
                <c:pt idx="4201">
                  <c:v>47255</c:v>
                </c:pt>
                <c:pt idx="4202">
                  <c:v>47256</c:v>
                </c:pt>
                <c:pt idx="4203">
                  <c:v>47257</c:v>
                </c:pt>
                <c:pt idx="4204">
                  <c:v>47258</c:v>
                </c:pt>
                <c:pt idx="4205">
                  <c:v>47259</c:v>
                </c:pt>
                <c:pt idx="4206">
                  <c:v>47260</c:v>
                </c:pt>
                <c:pt idx="4207">
                  <c:v>47261</c:v>
                </c:pt>
                <c:pt idx="4208">
                  <c:v>47262</c:v>
                </c:pt>
                <c:pt idx="4209">
                  <c:v>47263</c:v>
                </c:pt>
                <c:pt idx="4210">
                  <c:v>47264</c:v>
                </c:pt>
                <c:pt idx="4211">
                  <c:v>47265</c:v>
                </c:pt>
                <c:pt idx="4212">
                  <c:v>47266</c:v>
                </c:pt>
                <c:pt idx="4213">
                  <c:v>47267</c:v>
                </c:pt>
                <c:pt idx="4214">
                  <c:v>47268</c:v>
                </c:pt>
                <c:pt idx="4215">
                  <c:v>47269</c:v>
                </c:pt>
                <c:pt idx="4216">
                  <c:v>47270</c:v>
                </c:pt>
                <c:pt idx="4217">
                  <c:v>47271</c:v>
                </c:pt>
                <c:pt idx="4218">
                  <c:v>47272</c:v>
                </c:pt>
                <c:pt idx="4219">
                  <c:v>47273</c:v>
                </c:pt>
                <c:pt idx="4220">
                  <c:v>47274</c:v>
                </c:pt>
                <c:pt idx="4221">
                  <c:v>47275</c:v>
                </c:pt>
                <c:pt idx="4222">
                  <c:v>47276</c:v>
                </c:pt>
                <c:pt idx="4223">
                  <c:v>47277</c:v>
                </c:pt>
                <c:pt idx="4224">
                  <c:v>47278</c:v>
                </c:pt>
                <c:pt idx="4225">
                  <c:v>47279</c:v>
                </c:pt>
                <c:pt idx="4226">
                  <c:v>47280</c:v>
                </c:pt>
                <c:pt idx="4227">
                  <c:v>47281</c:v>
                </c:pt>
                <c:pt idx="4228">
                  <c:v>47282</c:v>
                </c:pt>
                <c:pt idx="4229">
                  <c:v>47283</c:v>
                </c:pt>
                <c:pt idx="4230">
                  <c:v>47284</c:v>
                </c:pt>
                <c:pt idx="4231">
                  <c:v>47285</c:v>
                </c:pt>
                <c:pt idx="4232">
                  <c:v>47286</c:v>
                </c:pt>
                <c:pt idx="4233">
                  <c:v>47287</c:v>
                </c:pt>
                <c:pt idx="4234">
                  <c:v>47288</c:v>
                </c:pt>
                <c:pt idx="4235">
                  <c:v>47289</c:v>
                </c:pt>
                <c:pt idx="4236">
                  <c:v>47290</c:v>
                </c:pt>
                <c:pt idx="4237">
                  <c:v>47291</c:v>
                </c:pt>
                <c:pt idx="4238">
                  <c:v>47292</c:v>
                </c:pt>
                <c:pt idx="4239">
                  <c:v>47293</c:v>
                </c:pt>
                <c:pt idx="4240">
                  <c:v>47294</c:v>
                </c:pt>
                <c:pt idx="4241">
                  <c:v>47295</c:v>
                </c:pt>
                <c:pt idx="4242">
                  <c:v>47296</c:v>
                </c:pt>
                <c:pt idx="4243">
                  <c:v>47297</c:v>
                </c:pt>
                <c:pt idx="4244">
                  <c:v>47298</c:v>
                </c:pt>
                <c:pt idx="4245">
                  <c:v>47299</c:v>
                </c:pt>
                <c:pt idx="4246">
                  <c:v>47300</c:v>
                </c:pt>
                <c:pt idx="4247">
                  <c:v>47301</c:v>
                </c:pt>
                <c:pt idx="4248">
                  <c:v>47302</c:v>
                </c:pt>
                <c:pt idx="4249">
                  <c:v>47303</c:v>
                </c:pt>
                <c:pt idx="4250">
                  <c:v>47304</c:v>
                </c:pt>
                <c:pt idx="4251">
                  <c:v>47305</c:v>
                </c:pt>
                <c:pt idx="4252">
                  <c:v>47306</c:v>
                </c:pt>
                <c:pt idx="4253">
                  <c:v>47307</c:v>
                </c:pt>
                <c:pt idx="4254">
                  <c:v>47308</c:v>
                </c:pt>
                <c:pt idx="4255">
                  <c:v>47309</c:v>
                </c:pt>
                <c:pt idx="4256">
                  <c:v>47310</c:v>
                </c:pt>
                <c:pt idx="4257">
                  <c:v>47311</c:v>
                </c:pt>
                <c:pt idx="4258">
                  <c:v>47312</c:v>
                </c:pt>
                <c:pt idx="4259">
                  <c:v>47313</c:v>
                </c:pt>
                <c:pt idx="4260">
                  <c:v>47314</c:v>
                </c:pt>
                <c:pt idx="4261">
                  <c:v>47315</c:v>
                </c:pt>
                <c:pt idx="4262">
                  <c:v>47316</c:v>
                </c:pt>
                <c:pt idx="4263">
                  <c:v>47317</c:v>
                </c:pt>
                <c:pt idx="4264">
                  <c:v>47318</c:v>
                </c:pt>
                <c:pt idx="4265">
                  <c:v>47319</c:v>
                </c:pt>
                <c:pt idx="4266">
                  <c:v>47320</c:v>
                </c:pt>
                <c:pt idx="4267">
                  <c:v>47321</c:v>
                </c:pt>
                <c:pt idx="4268">
                  <c:v>47322</c:v>
                </c:pt>
                <c:pt idx="4269">
                  <c:v>47323</c:v>
                </c:pt>
                <c:pt idx="4270">
                  <c:v>47324</c:v>
                </c:pt>
                <c:pt idx="4271">
                  <c:v>47325</c:v>
                </c:pt>
                <c:pt idx="4272">
                  <c:v>47326</c:v>
                </c:pt>
                <c:pt idx="4273">
                  <c:v>47327</c:v>
                </c:pt>
                <c:pt idx="4274">
                  <c:v>47328</c:v>
                </c:pt>
                <c:pt idx="4275">
                  <c:v>47329</c:v>
                </c:pt>
                <c:pt idx="4276">
                  <c:v>47330</c:v>
                </c:pt>
                <c:pt idx="4277">
                  <c:v>47331</c:v>
                </c:pt>
                <c:pt idx="4278">
                  <c:v>47332</c:v>
                </c:pt>
                <c:pt idx="4279">
                  <c:v>47333</c:v>
                </c:pt>
                <c:pt idx="4280">
                  <c:v>47334</c:v>
                </c:pt>
                <c:pt idx="4281">
                  <c:v>47335</c:v>
                </c:pt>
                <c:pt idx="4282">
                  <c:v>47336</c:v>
                </c:pt>
                <c:pt idx="4283">
                  <c:v>47337</c:v>
                </c:pt>
                <c:pt idx="4284">
                  <c:v>47338</c:v>
                </c:pt>
                <c:pt idx="4285">
                  <c:v>47339</c:v>
                </c:pt>
                <c:pt idx="4286">
                  <c:v>47340</c:v>
                </c:pt>
                <c:pt idx="4287">
                  <c:v>47341</c:v>
                </c:pt>
                <c:pt idx="4288">
                  <c:v>47342</c:v>
                </c:pt>
                <c:pt idx="4289">
                  <c:v>47343</c:v>
                </c:pt>
                <c:pt idx="4290">
                  <c:v>47344</c:v>
                </c:pt>
                <c:pt idx="4291">
                  <c:v>47345</c:v>
                </c:pt>
                <c:pt idx="4292">
                  <c:v>47346</c:v>
                </c:pt>
                <c:pt idx="4293">
                  <c:v>47347</c:v>
                </c:pt>
                <c:pt idx="4294">
                  <c:v>47348</c:v>
                </c:pt>
                <c:pt idx="4295">
                  <c:v>47349</c:v>
                </c:pt>
                <c:pt idx="4296">
                  <c:v>47350</c:v>
                </c:pt>
                <c:pt idx="4297">
                  <c:v>47351</c:v>
                </c:pt>
                <c:pt idx="4298">
                  <c:v>47352</c:v>
                </c:pt>
                <c:pt idx="4299">
                  <c:v>47353</c:v>
                </c:pt>
                <c:pt idx="4300">
                  <c:v>47354</c:v>
                </c:pt>
                <c:pt idx="4301">
                  <c:v>47355</c:v>
                </c:pt>
                <c:pt idx="4302">
                  <c:v>47356</c:v>
                </c:pt>
                <c:pt idx="4303">
                  <c:v>47357</c:v>
                </c:pt>
                <c:pt idx="4304">
                  <c:v>47358</c:v>
                </c:pt>
                <c:pt idx="4305">
                  <c:v>47359</c:v>
                </c:pt>
                <c:pt idx="4306">
                  <c:v>47360</c:v>
                </c:pt>
                <c:pt idx="4307">
                  <c:v>47361</c:v>
                </c:pt>
                <c:pt idx="4308">
                  <c:v>47362</c:v>
                </c:pt>
                <c:pt idx="4309">
                  <c:v>47363</c:v>
                </c:pt>
                <c:pt idx="4310">
                  <c:v>47364</c:v>
                </c:pt>
                <c:pt idx="4311">
                  <c:v>47365</c:v>
                </c:pt>
                <c:pt idx="4312">
                  <c:v>47366</c:v>
                </c:pt>
                <c:pt idx="4313">
                  <c:v>47367</c:v>
                </c:pt>
                <c:pt idx="4314">
                  <c:v>47368</c:v>
                </c:pt>
                <c:pt idx="4315">
                  <c:v>47369</c:v>
                </c:pt>
                <c:pt idx="4316">
                  <c:v>47370</c:v>
                </c:pt>
                <c:pt idx="4317">
                  <c:v>47371</c:v>
                </c:pt>
                <c:pt idx="4318">
                  <c:v>47372</c:v>
                </c:pt>
                <c:pt idx="4319">
                  <c:v>47373</c:v>
                </c:pt>
                <c:pt idx="4320">
                  <c:v>47374</c:v>
                </c:pt>
                <c:pt idx="4321">
                  <c:v>47375</c:v>
                </c:pt>
                <c:pt idx="4322">
                  <c:v>47376</c:v>
                </c:pt>
                <c:pt idx="4323">
                  <c:v>47377</c:v>
                </c:pt>
                <c:pt idx="4324">
                  <c:v>47378</c:v>
                </c:pt>
                <c:pt idx="4325">
                  <c:v>47379</c:v>
                </c:pt>
                <c:pt idx="4326">
                  <c:v>47380</c:v>
                </c:pt>
                <c:pt idx="4327">
                  <c:v>47381</c:v>
                </c:pt>
                <c:pt idx="4328">
                  <c:v>47382</c:v>
                </c:pt>
                <c:pt idx="4329">
                  <c:v>47383</c:v>
                </c:pt>
                <c:pt idx="4330">
                  <c:v>47384</c:v>
                </c:pt>
                <c:pt idx="4331">
                  <c:v>47385</c:v>
                </c:pt>
                <c:pt idx="4332">
                  <c:v>47386</c:v>
                </c:pt>
                <c:pt idx="4333">
                  <c:v>47387</c:v>
                </c:pt>
                <c:pt idx="4334">
                  <c:v>47388</c:v>
                </c:pt>
                <c:pt idx="4335">
                  <c:v>47389</c:v>
                </c:pt>
                <c:pt idx="4336">
                  <c:v>47390</c:v>
                </c:pt>
                <c:pt idx="4337">
                  <c:v>47391</c:v>
                </c:pt>
                <c:pt idx="4338">
                  <c:v>47392</c:v>
                </c:pt>
                <c:pt idx="4339">
                  <c:v>47393</c:v>
                </c:pt>
                <c:pt idx="4340">
                  <c:v>47394</c:v>
                </c:pt>
                <c:pt idx="4341">
                  <c:v>47395</c:v>
                </c:pt>
                <c:pt idx="4342">
                  <c:v>47396</c:v>
                </c:pt>
                <c:pt idx="4343">
                  <c:v>47397</c:v>
                </c:pt>
                <c:pt idx="4344">
                  <c:v>47398</c:v>
                </c:pt>
                <c:pt idx="4345">
                  <c:v>47399</c:v>
                </c:pt>
                <c:pt idx="4346">
                  <c:v>47400</c:v>
                </c:pt>
                <c:pt idx="4347">
                  <c:v>47401</c:v>
                </c:pt>
                <c:pt idx="4348">
                  <c:v>47402</c:v>
                </c:pt>
                <c:pt idx="4349">
                  <c:v>47403</c:v>
                </c:pt>
                <c:pt idx="4350">
                  <c:v>47404</c:v>
                </c:pt>
                <c:pt idx="4351">
                  <c:v>47405</c:v>
                </c:pt>
                <c:pt idx="4352">
                  <c:v>47406</c:v>
                </c:pt>
                <c:pt idx="4353">
                  <c:v>47407</c:v>
                </c:pt>
                <c:pt idx="4354">
                  <c:v>47408</c:v>
                </c:pt>
                <c:pt idx="4355">
                  <c:v>47409</c:v>
                </c:pt>
                <c:pt idx="4356">
                  <c:v>47410</c:v>
                </c:pt>
                <c:pt idx="4357">
                  <c:v>47411</c:v>
                </c:pt>
                <c:pt idx="4358">
                  <c:v>47412</c:v>
                </c:pt>
                <c:pt idx="4359">
                  <c:v>47413</c:v>
                </c:pt>
                <c:pt idx="4360">
                  <c:v>47414</c:v>
                </c:pt>
                <c:pt idx="4361">
                  <c:v>47415</c:v>
                </c:pt>
                <c:pt idx="4362">
                  <c:v>47416</c:v>
                </c:pt>
                <c:pt idx="4363">
                  <c:v>47417</c:v>
                </c:pt>
                <c:pt idx="4364">
                  <c:v>47418</c:v>
                </c:pt>
                <c:pt idx="4365">
                  <c:v>47419</c:v>
                </c:pt>
                <c:pt idx="4366">
                  <c:v>47420</c:v>
                </c:pt>
                <c:pt idx="4367">
                  <c:v>47421</c:v>
                </c:pt>
                <c:pt idx="4368">
                  <c:v>47422</c:v>
                </c:pt>
                <c:pt idx="4369">
                  <c:v>47423</c:v>
                </c:pt>
                <c:pt idx="4370">
                  <c:v>47424</c:v>
                </c:pt>
                <c:pt idx="4371">
                  <c:v>47425</c:v>
                </c:pt>
                <c:pt idx="4372">
                  <c:v>47426</c:v>
                </c:pt>
                <c:pt idx="4373">
                  <c:v>47427</c:v>
                </c:pt>
                <c:pt idx="4374">
                  <c:v>47428</c:v>
                </c:pt>
                <c:pt idx="4375">
                  <c:v>47429</c:v>
                </c:pt>
                <c:pt idx="4376">
                  <c:v>47430</c:v>
                </c:pt>
                <c:pt idx="4377">
                  <c:v>47431</c:v>
                </c:pt>
                <c:pt idx="4378">
                  <c:v>47432</c:v>
                </c:pt>
                <c:pt idx="4379">
                  <c:v>47433</c:v>
                </c:pt>
                <c:pt idx="4380">
                  <c:v>47434</c:v>
                </c:pt>
                <c:pt idx="4381">
                  <c:v>47435</c:v>
                </c:pt>
                <c:pt idx="4382">
                  <c:v>47436</c:v>
                </c:pt>
                <c:pt idx="4383">
                  <c:v>47437</c:v>
                </c:pt>
                <c:pt idx="4384">
                  <c:v>47438</c:v>
                </c:pt>
                <c:pt idx="4385">
                  <c:v>47439</c:v>
                </c:pt>
                <c:pt idx="4386">
                  <c:v>47440</c:v>
                </c:pt>
                <c:pt idx="4387">
                  <c:v>47441</c:v>
                </c:pt>
                <c:pt idx="4388">
                  <c:v>47442</c:v>
                </c:pt>
                <c:pt idx="4389">
                  <c:v>47443</c:v>
                </c:pt>
                <c:pt idx="4390">
                  <c:v>47444</c:v>
                </c:pt>
                <c:pt idx="4391">
                  <c:v>47445</c:v>
                </c:pt>
                <c:pt idx="4392">
                  <c:v>47446</c:v>
                </c:pt>
                <c:pt idx="4393">
                  <c:v>47447</c:v>
                </c:pt>
                <c:pt idx="4394">
                  <c:v>47448</c:v>
                </c:pt>
                <c:pt idx="4395">
                  <c:v>47449</c:v>
                </c:pt>
                <c:pt idx="4396">
                  <c:v>47450</c:v>
                </c:pt>
                <c:pt idx="4397">
                  <c:v>47451</c:v>
                </c:pt>
                <c:pt idx="4398">
                  <c:v>47452</c:v>
                </c:pt>
                <c:pt idx="4399">
                  <c:v>47453</c:v>
                </c:pt>
                <c:pt idx="4400">
                  <c:v>47454</c:v>
                </c:pt>
                <c:pt idx="4401">
                  <c:v>47455</c:v>
                </c:pt>
                <c:pt idx="4402">
                  <c:v>47456</c:v>
                </c:pt>
                <c:pt idx="4403">
                  <c:v>47457</c:v>
                </c:pt>
                <c:pt idx="4404">
                  <c:v>47458</c:v>
                </c:pt>
                <c:pt idx="4405">
                  <c:v>47459</c:v>
                </c:pt>
                <c:pt idx="4406">
                  <c:v>47460</c:v>
                </c:pt>
                <c:pt idx="4407">
                  <c:v>47461</c:v>
                </c:pt>
                <c:pt idx="4408">
                  <c:v>47462</c:v>
                </c:pt>
                <c:pt idx="4409">
                  <c:v>47463</c:v>
                </c:pt>
                <c:pt idx="4410">
                  <c:v>47464</c:v>
                </c:pt>
                <c:pt idx="4411">
                  <c:v>47465</c:v>
                </c:pt>
                <c:pt idx="4412">
                  <c:v>47466</c:v>
                </c:pt>
                <c:pt idx="4413">
                  <c:v>47467</c:v>
                </c:pt>
                <c:pt idx="4414">
                  <c:v>47468</c:v>
                </c:pt>
                <c:pt idx="4415">
                  <c:v>47469</c:v>
                </c:pt>
                <c:pt idx="4416">
                  <c:v>47470</c:v>
                </c:pt>
                <c:pt idx="4417">
                  <c:v>47471</c:v>
                </c:pt>
                <c:pt idx="4418">
                  <c:v>47472</c:v>
                </c:pt>
                <c:pt idx="4419">
                  <c:v>47473</c:v>
                </c:pt>
                <c:pt idx="4420">
                  <c:v>47474</c:v>
                </c:pt>
                <c:pt idx="4421">
                  <c:v>47475</c:v>
                </c:pt>
                <c:pt idx="4422">
                  <c:v>47476</c:v>
                </c:pt>
                <c:pt idx="4423">
                  <c:v>47477</c:v>
                </c:pt>
                <c:pt idx="4424">
                  <c:v>47478</c:v>
                </c:pt>
                <c:pt idx="4425">
                  <c:v>47479</c:v>
                </c:pt>
                <c:pt idx="4426">
                  <c:v>47480</c:v>
                </c:pt>
                <c:pt idx="4427">
                  <c:v>47481</c:v>
                </c:pt>
                <c:pt idx="4428">
                  <c:v>47482</c:v>
                </c:pt>
                <c:pt idx="4429">
                  <c:v>47483</c:v>
                </c:pt>
                <c:pt idx="4430">
                  <c:v>47484</c:v>
                </c:pt>
                <c:pt idx="4431">
                  <c:v>47485</c:v>
                </c:pt>
                <c:pt idx="4432">
                  <c:v>47486</c:v>
                </c:pt>
                <c:pt idx="4433">
                  <c:v>47487</c:v>
                </c:pt>
                <c:pt idx="4434">
                  <c:v>47488</c:v>
                </c:pt>
                <c:pt idx="4435">
                  <c:v>47489</c:v>
                </c:pt>
                <c:pt idx="4436">
                  <c:v>47490</c:v>
                </c:pt>
                <c:pt idx="4437">
                  <c:v>47491</c:v>
                </c:pt>
                <c:pt idx="4438">
                  <c:v>47492</c:v>
                </c:pt>
                <c:pt idx="4439">
                  <c:v>47493</c:v>
                </c:pt>
                <c:pt idx="4440">
                  <c:v>47494</c:v>
                </c:pt>
                <c:pt idx="4441">
                  <c:v>47495</c:v>
                </c:pt>
                <c:pt idx="4442">
                  <c:v>47496</c:v>
                </c:pt>
                <c:pt idx="4443">
                  <c:v>47497</c:v>
                </c:pt>
                <c:pt idx="4444">
                  <c:v>47498</c:v>
                </c:pt>
                <c:pt idx="4445">
                  <c:v>47499</c:v>
                </c:pt>
                <c:pt idx="4446">
                  <c:v>47500</c:v>
                </c:pt>
                <c:pt idx="4447">
                  <c:v>47501</c:v>
                </c:pt>
                <c:pt idx="4448">
                  <c:v>47502</c:v>
                </c:pt>
                <c:pt idx="4449">
                  <c:v>47503</c:v>
                </c:pt>
                <c:pt idx="4450">
                  <c:v>47504</c:v>
                </c:pt>
                <c:pt idx="4451">
                  <c:v>47505</c:v>
                </c:pt>
                <c:pt idx="4452">
                  <c:v>47506</c:v>
                </c:pt>
                <c:pt idx="4453">
                  <c:v>47507</c:v>
                </c:pt>
                <c:pt idx="4454">
                  <c:v>47508</c:v>
                </c:pt>
                <c:pt idx="4455">
                  <c:v>47509</c:v>
                </c:pt>
                <c:pt idx="4456">
                  <c:v>47510</c:v>
                </c:pt>
                <c:pt idx="4457">
                  <c:v>47511</c:v>
                </c:pt>
                <c:pt idx="4458">
                  <c:v>47512</c:v>
                </c:pt>
                <c:pt idx="4459">
                  <c:v>47513</c:v>
                </c:pt>
                <c:pt idx="4460">
                  <c:v>47514</c:v>
                </c:pt>
                <c:pt idx="4461">
                  <c:v>47515</c:v>
                </c:pt>
                <c:pt idx="4462">
                  <c:v>47516</c:v>
                </c:pt>
                <c:pt idx="4463">
                  <c:v>47517</c:v>
                </c:pt>
                <c:pt idx="4464">
                  <c:v>47518</c:v>
                </c:pt>
                <c:pt idx="4465">
                  <c:v>47519</c:v>
                </c:pt>
                <c:pt idx="4466">
                  <c:v>47520</c:v>
                </c:pt>
                <c:pt idx="4467">
                  <c:v>47521</c:v>
                </c:pt>
                <c:pt idx="4468">
                  <c:v>47522</c:v>
                </c:pt>
                <c:pt idx="4469">
                  <c:v>47523</c:v>
                </c:pt>
                <c:pt idx="4470">
                  <c:v>47524</c:v>
                </c:pt>
                <c:pt idx="4471">
                  <c:v>47525</c:v>
                </c:pt>
                <c:pt idx="4472">
                  <c:v>47526</c:v>
                </c:pt>
                <c:pt idx="4473">
                  <c:v>47527</c:v>
                </c:pt>
                <c:pt idx="4474">
                  <c:v>47528</c:v>
                </c:pt>
                <c:pt idx="4475">
                  <c:v>47529</c:v>
                </c:pt>
                <c:pt idx="4476">
                  <c:v>47530</c:v>
                </c:pt>
                <c:pt idx="4477">
                  <c:v>47531</c:v>
                </c:pt>
                <c:pt idx="4478">
                  <c:v>47532</c:v>
                </c:pt>
                <c:pt idx="4479">
                  <c:v>47533</c:v>
                </c:pt>
                <c:pt idx="4480">
                  <c:v>47534</c:v>
                </c:pt>
                <c:pt idx="4481">
                  <c:v>47535</c:v>
                </c:pt>
                <c:pt idx="4482">
                  <c:v>47536</c:v>
                </c:pt>
                <c:pt idx="4483">
                  <c:v>47537</c:v>
                </c:pt>
                <c:pt idx="4484">
                  <c:v>47538</c:v>
                </c:pt>
                <c:pt idx="4485">
                  <c:v>47539</c:v>
                </c:pt>
                <c:pt idx="4486">
                  <c:v>47540</c:v>
                </c:pt>
                <c:pt idx="4487">
                  <c:v>47541</c:v>
                </c:pt>
                <c:pt idx="4488">
                  <c:v>47542</c:v>
                </c:pt>
                <c:pt idx="4489">
                  <c:v>47543</c:v>
                </c:pt>
                <c:pt idx="4490">
                  <c:v>47544</c:v>
                </c:pt>
                <c:pt idx="4491">
                  <c:v>47545</c:v>
                </c:pt>
                <c:pt idx="4492">
                  <c:v>47546</c:v>
                </c:pt>
                <c:pt idx="4493">
                  <c:v>47547</c:v>
                </c:pt>
                <c:pt idx="4494">
                  <c:v>47548</c:v>
                </c:pt>
                <c:pt idx="4495">
                  <c:v>47549</c:v>
                </c:pt>
                <c:pt idx="4496">
                  <c:v>47550</c:v>
                </c:pt>
                <c:pt idx="4497">
                  <c:v>47551</c:v>
                </c:pt>
                <c:pt idx="4498">
                  <c:v>47552</c:v>
                </c:pt>
                <c:pt idx="4499">
                  <c:v>47553</c:v>
                </c:pt>
                <c:pt idx="4500">
                  <c:v>47554</c:v>
                </c:pt>
                <c:pt idx="4501">
                  <c:v>47555</c:v>
                </c:pt>
                <c:pt idx="4502">
                  <c:v>47556</c:v>
                </c:pt>
                <c:pt idx="4503">
                  <c:v>47557</c:v>
                </c:pt>
                <c:pt idx="4504">
                  <c:v>47558</c:v>
                </c:pt>
                <c:pt idx="4505">
                  <c:v>47559</c:v>
                </c:pt>
                <c:pt idx="4506">
                  <c:v>47560</c:v>
                </c:pt>
                <c:pt idx="4507">
                  <c:v>47561</c:v>
                </c:pt>
                <c:pt idx="4508">
                  <c:v>47562</c:v>
                </c:pt>
                <c:pt idx="4509">
                  <c:v>47563</c:v>
                </c:pt>
                <c:pt idx="4510">
                  <c:v>47564</c:v>
                </c:pt>
                <c:pt idx="4511">
                  <c:v>47565</c:v>
                </c:pt>
                <c:pt idx="4512">
                  <c:v>47566</c:v>
                </c:pt>
                <c:pt idx="4513">
                  <c:v>47567</c:v>
                </c:pt>
                <c:pt idx="4514">
                  <c:v>47568</c:v>
                </c:pt>
                <c:pt idx="4515">
                  <c:v>47569</c:v>
                </c:pt>
                <c:pt idx="4516">
                  <c:v>47570</c:v>
                </c:pt>
                <c:pt idx="4517">
                  <c:v>47571</c:v>
                </c:pt>
                <c:pt idx="4518">
                  <c:v>47572</c:v>
                </c:pt>
                <c:pt idx="4519">
                  <c:v>47573</c:v>
                </c:pt>
                <c:pt idx="4520">
                  <c:v>47574</c:v>
                </c:pt>
                <c:pt idx="4521">
                  <c:v>47575</c:v>
                </c:pt>
                <c:pt idx="4522">
                  <c:v>47576</c:v>
                </c:pt>
                <c:pt idx="4523">
                  <c:v>47577</c:v>
                </c:pt>
                <c:pt idx="4524">
                  <c:v>47578</c:v>
                </c:pt>
                <c:pt idx="4525">
                  <c:v>47579</c:v>
                </c:pt>
                <c:pt idx="4526">
                  <c:v>47580</c:v>
                </c:pt>
                <c:pt idx="4527">
                  <c:v>47581</c:v>
                </c:pt>
                <c:pt idx="4528">
                  <c:v>47582</c:v>
                </c:pt>
                <c:pt idx="4529">
                  <c:v>47583</c:v>
                </c:pt>
                <c:pt idx="4530">
                  <c:v>47584</c:v>
                </c:pt>
                <c:pt idx="4531">
                  <c:v>47585</c:v>
                </c:pt>
                <c:pt idx="4532">
                  <c:v>47586</c:v>
                </c:pt>
                <c:pt idx="4533">
                  <c:v>47587</c:v>
                </c:pt>
                <c:pt idx="4534">
                  <c:v>47588</c:v>
                </c:pt>
                <c:pt idx="4535">
                  <c:v>47589</c:v>
                </c:pt>
                <c:pt idx="4536">
                  <c:v>47590</c:v>
                </c:pt>
                <c:pt idx="4537">
                  <c:v>47591</c:v>
                </c:pt>
                <c:pt idx="4538">
                  <c:v>47592</c:v>
                </c:pt>
                <c:pt idx="4539">
                  <c:v>47593</c:v>
                </c:pt>
                <c:pt idx="4540">
                  <c:v>47594</c:v>
                </c:pt>
                <c:pt idx="4541">
                  <c:v>47595</c:v>
                </c:pt>
                <c:pt idx="4542">
                  <c:v>47596</c:v>
                </c:pt>
                <c:pt idx="4543">
                  <c:v>47597</c:v>
                </c:pt>
                <c:pt idx="4544">
                  <c:v>47598</c:v>
                </c:pt>
                <c:pt idx="4545">
                  <c:v>47599</c:v>
                </c:pt>
                <c:pt idx="4546">
                  <c:v>47600</c:v>
                </c:pt>
                <c:pt idx="4547">
                  <c:v>47601</c:v>
                </c:pt>
                <c:pt idx="4548">
                  <c:v>47602</c:v>
                </c:pt>
                <c:pt idx="4549">
                  <c:v>47603</c:v>
                </c:pt>
                <c:pt idx="4550">
                  <c:v>47604</c:v>
                </c:pt>
                <c:pt idx="4551">
                  <c:v>47605</c:v>
                </c:pt>
                <c:pt idx="4552">
                  <c:v>47606</c:v>
                </c:pt>
                <c:pt idx="4553">
                  <c:v>47607</c:v>
                </c:pt>
                <c:pt idx="4554">
                  <c:v>47608</c:v>
                </c:pt>
                <c:pt idx="4555">
                  <c:v>47609</c:v>
                </c:pt>
                <c:pt idx="4556">
                  <c:v>47610</c:v>
                </c:pt>
                <c:pt idx="4557">
                  <c:v>47611</c:v>
                </c:pt>
                <c:pt idx="4558">
                  <c:v>47612</c:v>
                </c:pt>
                <c:pt idx="4559">
                  <c:v>47613</c:v>
                </c:pt>
                <c:pt idx="4560">
                  <c:v>47614</c:v>
                </c:pt>
                <c:pt idx="4561">
                  <c:v>47615</c:v>
                </c:pt>
                <c:pt idx="4562">
                  <c:v>47616</c:v>
                </c:pt>
                <c:pt idx="4563">
                  <c:v>47617</c:v>
                </c:pt>
                <c:pt idx="4564">
                  <c:v>47618</c:v>
                </c:pt>
                <c:pt idx="4565">
                  <c:v>47619</c:v>
                </c:pt>
                <c:pt idx="4566">
                  <c:v>47620</c:v>
                </c:pt>
                <c:pt idx="4567">
                  <c:v>47621</c:v>
                </c:pt>
                <c:pt idx="4568">
                  <c:v>47622</c:v>
                </c:pt>
                <c:pt idx="4569">
                  <c:v>47623</c:v>
                </c:pt>
                <c:pt idx="4570">
                  <c:v>47624</c:v>
                </c:pt>
                <c:pt idx="4571">
                  <c:v>47625</c:v>
                </c:pt>
                <c:pt idx="4572">
                  <c:v>47626</c:v>
                </c:pt>
                <c:pt idx="4573">
                  <c:v>47627</c:v>
                </c:pt>
                <c:pt idx="4574">
                  <c:v>47628</c:v>
                </c:pt>
                <c:pt idx="4575">
                  <c:v>47629</c:v>
                </c:pt>
                <c:pt idx="4576">
                  <c:v>47630</c:v>
                </c:pt>
                <c:pt idx="4577">
                  <c:v>47631</c:v>
                </c:pt>
                <c:pt idx="4578">
                  <c:v>47632</c:v>
                </c:pt>
                <c:pt idx="4579">
                  <c:v>47633</c:v>
                </c:pt>
                <c:pt idx="4580">
                  <c:v>47634</c:v>
                </c:pt>
                <c:pt idx="4581">
                  <c:v>47635</c:v>
                </c:pt>
                <c:pt idx="4582">
                  <c:v>47636</c:v>
                </c:pt>
                <c:pt idx="4583">
                  <c:v>47637</c:v>
                </c:pt>
                <c:pt idx="4584">
                  <c:v>47638</c:v>
                </c:pt>
                <c:pt idx="4585">
                  <c:v>47639</c:v>
                </c:pt>
                <c:pt idx="4586">
                  <c:v>47640</c:v>
                </c:pt>
                <c:pt idx="4587">
                  <c:v>47641</c:v>
                </c:pt>
                <c:pt idx="4588">
                  <c:v>47642</c:v>
                </c:pt>
                <c:pt idx="4589">
                  <c:v>47643</c:v>
                </c:pt>
                <c:pt idx="4590">
                  <c:v>47644</c:v>
                </c:pt>
                <c:pt idx="4591">
                  <c:v>47645</c:v>
                </c:pt>
                <c:pt idx="4592">
                  <c:v>47646</c:v>
                </c:pt>
                <c:pt idx="4593">
                  <c:v>47647</c:v>
                </c:pt>
                <c:pt idx="4594">
                  <c:v>47648</c:v>
                </c:pt>
                <c:pt idx="4595">
                  <c:v>47649</c:v>
                </c:pt>
                <c:pt idx="4596">
                  <c:v>47650</c:v>
                </c:pt>
                <c:pt idx="4597">
                  <c:v>47651</c:v>
                </c:pt>
                <c:pt idx="4598">
                  <c:v>47652</c:v>
                </c:pt>
                <c:pt idx="4599">
                  <c:v>47653</c:v>
                </c:pt>
                <c:pt idx="4600">
                  <c:v>47654</c:v>
                </c:pt>
                <c:pt idx="4601">
                  <c:v>47655</c:v>
                </c:pt>
                <c:pt idx="4602">
                  <c:v>47656</c:v>
                </c:pt>
                <c:pt idx="4603">
                  <c:v>47657</c:v>
                </c:pt>
                <c:pt idx="4604">
                  <c:v>47658</c:v>
                </c:pt>
                <c:pt idx="4605">
                  <c:v>47659</c:v>
                </c:pt>
                <c:pt idx="4606">
                  <c:v>47660</c:v>
                </c:pt>
                <c:pt idx="4607">
                  <c:v>47661</c:v>
                </c:pt>
                <c:pt idx="4608">
                  <c:v>47662</c:v>
                </c:pt>
                <c:pt idx="4609">
                  <c:v>47663</c:v>
                </c:pt>
                <c:pt idx="4610">
                  <c:v>47664</c:v>
                </c:pt>
                <c:pt idx="4611">
                  <c:v>47665</c:v>
                </c:pt>
                <c:pt idx="4612">
                  <c:v>47666</c:v>
                </c:pt>
                <c:pt idx="4613">
                  <c:v>47667</c:v>
                </c:pt>
                <c:pt idx="4614">
                  <c:v>47668</c:v>
                </c:pt>
                <c:pt idx="4615">
                  <c:v>47669</c:v>
                </c:pt>
                <c:pt idx="4616">
                  <c:v>47670</c:v>
                </c:pt>
                <c:pt idx="4617">
                  <c:v>47671</c:v>
                </c:pt>
                <c:pt idx="4618">
                  <c:v>47672</c:v>
                </c:pt>
                <c:pt idx="4619">
                  <c:v>47673</c:v>
                </c:pt>
                <c:pt idx="4620">
                  <c:v>47674</c:v>
                </c:pt>
                <c:pt idx="4621">
                  <c:v>47675</c:v>
                </c:pt>
                <c:pt idx="4622">
                  <c:v>47676</c:v>
                </c:pt>
                <c:pt idx="4623">
                  <c:v>47677</c:v>
                </c:pt>
                <c:pt idx="4624">
                  <c:v>47678</c:v>
                </c:pt>
                <c:pt idx="4625">
                  <c:v>47679</c:v>
                </c:pt>
                <c:pt idx="4626">
                  <c:v>47680</c:v>
                </c:pt>
                <c:pt idx="4627">
                  <c:v>47681</c:v>
                </c:pt>
                <c:pt idx="4628">
                  <c:v>47682</c:v>
                </c:pt>
                <c:pt idx="4629">
                  <c:v>47683</c:v>
                </c:pt>
                <c:pt idx="4630">
                  <c:v>47684</c:v>
                </c:pt>
                <c:pt idx="4631">
                  <c:v>47685</c:v>
                </c:pt>
                <c:pt idx="4632">
                  <c:v>47686</c:v>
                </c:pt>
                <c:pt idx="4633">
                  <c:v>47687</c:v>
                </c:pt>
                <c:pt idx="4634">
                  <c:v>47688</c:v>
                </c:pt>
                <c:pt idx="4635">
                  <c:v>47689</c:v>
                </c:pt>
                <c:pt idx="4636">
                  <c:v>47690</c:v>
                </c:pt>
                <c:pt idx="4637">
                  <c:v>47691</c:v>
                </c:pt>
                <c:pt idx="4638">
                  <c:v>47692</c:v>
                </c:pt>
                <c:pt idx="4639">
                  <c:v>47693</c:v>
                </c:pt>
                <c:pt idx="4640">
                  <c:v>47694</c:v>
                </c:pt>
                <c:pt idx="4641">
                  <c:v>47695</c:v>
                </c:pt>
                <c:pt idx="4642">
                  <c:v>47696</c:v>
                </c:pt>
                <c:pt idx="4643">
                  <c:v>47697</c:v>
                </c:pt>
                <c:pt idx="4644">
                  <c:v>47698</c:v>
                </c:pt>
                <c:pt idx="4645">
                  <c:v>47699</c:v>
                </c:pt>
                <c:pt idx="4646">
                  <c:v>47700</c:v>
                </c:pt>
                <c:pt idx="4647">
                  <c:v>47701</c:v>
                </c:pt>
                <c:pt idx="4648">
                  <c:v>47702</c:v>
                </c:pt>
                <c:pt idx="4649">
                  <c:v>47703</c:v>
                </c:pt>
                <c:pt idx="4650">
                  <c:v>47704</c:v>
                </c:pt>
                <c:pt idx="4651">
                  <c:v>47705</c:v>
                </c:pt>
                <c:pt idx="4652">
                  <c:v>47706</c:v>
                </c:pt>
                <c:pt idx="4653">
                  <c:v>47707</c:v>
                </c:pt>
                <c:pt idx="4654">
                  <c:v>47708</c:v>
                </c:pt>
                <c:pt idx="4655">
                  <c:v>47709</c:v>
                </c:pt>
                <c:pt idx="4656">
                  <c:v>47710</c:v>
                </c:pt>
                <c:pt idx="4657">
                  <c:v>47711</c:v>
                </c:pt>
                <c:pt idx="4658">
                  <c:v>47712</c:v>
                </c:pt>
                <c:pt idx="4659">
                  <c:v>47713</c:v>
                </c:pt>
                <c:pt idx="4660">
                  <c:v>47714</c:v>
                </c:pt>
                <c:pt idx="4661">
                  <c:v>47715</c:v>
                </c:pt>
                <c:pt idx="4662">
                  <c:v>47716</c:v>
                </c:pt>
                <c:pt idx="4663">
                  <c:v>47717</c:v>
                </c:pt>
                <c:pt idx="4664">
                  <c:v>47718</c:v>
                </c:pt>
                <c:pt idx="4665">
                  <c:v>47719</c:v>
                </c:pt>
                <c:pt idx="4666">
                  <c:v>47720</c:v>
                </c:pt>
                <c:pt idx="4667">
                  <c:v>47721</c:v>
                </c:pt>
                <c:pt idx="4668">
                  <c:v>47722</c:v>
                </c:pt>
                <c:pt idx="4669">
                  <c:v>47723</c:v>
                </c:pt>
                <c:pt idx="4670">
                  <c:v>47724</c:v>
                </c:pt>
                <c:pt idx="4671">
                  <c:v>47725</c:v>
                </c:pt>
                <c:pt idx="4672">
                  <c:v>47726</c:v>
                </c:pt>
                <c:pt idx="4673">
                  <c:v>47727</c:v>
                </c:pt>
                <c:pt idx="4674">
                  <c:v>47728</c:v>
                </c:pt>
                <c:pt idx="4675">
                  <c:v>47729</c:v>
                </c:pt>
                <c:pt idx="4676">
                  <c:v>47730</c:v>
                </c:pt>
                <c:pt idx="4677">
                  <c:v>47731</c:v>
                </c:pt>
                <c:pt idx="4678">
                  <c:v>47732</c:v>
                </c:pt>
                <c:pt idx="4679">
                  <c:v>47733</c:v>
                </c:pt>
                <c:pt idx="4680">
                  <c:v>47734</c:v>
                </c:pt>
                <c:pt idx="4681">
                  <c:v>47735</c:v>
                </c:pt>
                <c:pt idx="4682">
                  <c:v>47736</c:v>
                </c:pt>
                <c:pt idx="4683">
                  <c:v>47737</c:v>
                </c:pt>
                <c:pt idx="4684">
                  <c:v>47738</c:v>
                </c:pt>
                <c:pt idx="4685">
                  <c:v>47739</c:v>
                </c:pt>
                <c:pt idx="4686">
                  <c:v>47740</c:v>
                </c:pt>
                <c:pt idx="4687">
                  <c:v>47741</c:v>
                </c:pt>
                <c:pt idx="4688">
                  <c:v>47742</c:v>
                </c:pt>
                <c:pt idx="4689">
                  <c:v>47743</c:v>
                </c:pt>
                <c:pt idx="4690">
                  <c:v>47744</c:v>
                </c:pt>
                <c:pt idx="4691">
                  <c:v>47745</c:v>
                </c:pt>
                <c:pt idx="4692">
                  <c:v>47746</c:v>
                </c:pt>
                <c:pt idx="4693">
                  <c:v>47747</c:v>
                </c:pt>
                <c:pt idx="4694">
                  <c:v>47748</c:v>
                </c:pt>
                <c:pt idx="4695">
                  <c:v>47749</c:v>
                </c:pt>
                <c:pt idx="4696">
                  <c:v>47750</c:v>
                </c:pt>
                <c:pt idx="4697">
                  <c:v>47751</c:v>
                </c:pt>
                <c:pt idx="4698">
                  <c:v>47752</c:v>
                </c:pt>
                <c:pt idx="4699">
                  <c:v>47753</c:v>
                </c:pt>
                <c:pt idx="4700">
                  <c:v>47754</c:v>
                </c:pt>
                <c:pt idx="4701">
                  <c:v>47755</c:v>
                </c:pt>
                <c:pt idx="4702">
                  <c:v>47756</c:v>
                </c:pt>
                <c:pt idx="4703">
                  <c:v>47757</c:v>
                </c:pt>
                <c:pt idx="4704">
                  <c:v>47758</c:v>
                </c:pt>
                <c:pt idx="4705">
                  <c:v>47759</c:v>
                </c:pt>
                <c:pt idx="4706">
                  <c:v>47760</c:v>
                </c:pt>
                <c:pt idx="4707">
                  <c:v>47761</c:v>
                </c:pt>
                <c:pt idx="4708">
                  <c:v>47762</c:v>
                </c:pt>
                <c:pt idx="4709">
                  <c:v>47763</c:v>
                </c:pt>
                <c:pt idx="4710">
                  <c:v>47764</c:v>
                </c:pt>
                <c:pt idx="4711">
                  <c:v>47765</c:v>
                </c:pt>
                <c:pt idx="4712">
                  <c:v>47766</c:v>
                </c:pt>
                <c:pt idx="4713">
                  <c:v>47767</c:v>
                </c:pt>
                <c:pt idx="4714">
                  <c:v>47768</c:v>
                </c:pt>
                <c:pt idx="4715">
                  <c:v>47769</c:v>
                </c:pt>
                <c:pt idx="4716">
                  <c:v>47770</c:v>
                </c:pt>
                <c:pt idx="4717">
                  <c:v>47771</c:v>
                </c:pt>
                <c:pt idx="4718">
                  <c:v>47772</c:v>
                </c:pt>
                <c:pt idx="4719">
                  <c:v>47773</c:v>
                </c:pt>
                <c:pt idx="4720">
                  <c:v>47774</c:v>
                </c:pt>
                <c:pt idx="4721">
                  <c:v>47775</c:v>
                </c:pt>
                <c:pt idx="4722">
                  <c:v>47776</c:v>
                </c:pt>
                <c:pt idx="4723">
                  <c:v>47777</c:v>
                </c:pt>
                <c:pt idx="4724">
                  <c:v>47778</c:v>
                </c:pt>
                <c:pt idx="4725">
                  <c:v>47779</c:v>
                </c:pt>
                <c:pt idx="4726">
                  <c:v>47780</c:v>
                </c:pt>
                <c:pt idx="4727">
                  <c:v>47781</c:v>
                </c:pt>
                <c:pt idx="4728">
                  <c:v>47782</c:v>
                </c:pt>
                <c:pt idx="4729">
                  <c:v>47783</c:v>
                </c:pt>
                <c:pt idx="4730">
                  <c:v>47784</c:v>
                </c:pt>
                <c:pt idx="4731">
                  <c:v>47785</c:v>
                </c:pt>
                <c:pt idx="4732">
                  <c:v>47786</c:v>
                </c:pt>
                <c:pt idx="4733">
                  <c:v>47787</c:v>
                </c:pt>
                <c:pt idx="4734">
                  <c:v>47788</c:v>
                </c:pt>
                <c:pt idx="4735">
                  <c:v>47789</c:v>
                </c:pt>
                <c:pt idx="4736">
                  <c:v>47790</c:v>
                </c:pt>
                <c:pt idx="4737">
                  <c:v>47791</c:v>
                </c:pt>
                <c:pt idx="4738">
                  <c:v>47792</c:v>
                </c:pt>
                <c:pt idx="4739">
                  <c:v>47793</c:v>
                </c:pt>
                <c:pt idx="4740">
                  <c:v>47794</c:v>
                </c:pt>
                <c:pt idx="4741">
                  <c:v>47795</c:v>
                </c:pt>
                <c:pt idx="4742">
                  <c:v>47796</c:v>
                </c:pt>
                <c:pt idx="4743">
                  <c:v>47797</c:v>
                </c:pt>
                <c:pt idx="4744">
                  <c:v>47798</c:v>
                </c:pt>
                <c:pt idx="4745">
                  <c:v>47799</c:v>
                </c:pt>
                <c:pt idx="4746">
                  <c:v>47800</c:v>
                </c:pt>
                <c:pt idx="4747">
                  <c:v>47801</c:v>
                </c:pt>
                <c:pt idx="4748">
                  <c:v>47802</c:v>
                </c:pt>
                <c:pt idx="4749">
                  <c:v>47803</c:v>
                </c:pt>
                <c:pt idx="4750">
                  <c:v>47804</c:v>
                </c:pt>
                <c:pt idx="4751">
                  <c:v>47805</c:v>
                </c:pt>
                <c:pt idx="4752">
                  <c:v>47806</c:v>
                </c:pt>
                <c:pt idx="4753">
                  <c:v>47807</c:v>
                </c:pt>
                <c:pt idx="4754">
                  <c:v>47808</c:v>
                </c:pt>
                <c:pt idx="4755">
                  <c:v>47809</c:v>
                </c:pt>
                <c:pt idx="4756">
                  <c:v>47810</c:v>
                </c:pt>
                <c:pt idx="4757">
                  <c:v>47811</c:v>
                </c:pt>
                <c:pt idx="4758">
                  <c:v>47812</c:v>
                </c:pt>
                <c:pt idx="4759">
                  <c:v>47813</c:v>
                </c:pt>
                <c:pt idx="4760">
                  <c:v>47814</c:v>
                </c:pt>
                <c:pt idx="4761">
                  <c:v>47815</c:v>
                </c:pt>
                <c:pt idx="4762">
                  <c:v>47816</c:v>
                </c:pt>
                <c:pt idx="4763">
                  <c:v>47817</c:v>
                </c:pt>
                <c:pt idx="4764">
                  <c:v>47818</c:v>
                </c:pt>
                <c:pt idx="4765">
                  <c:v>47819</c:v>
                </c:pt>
                <c:pt idx="4766">
                  <c:v>47820</c:v>
                </c:pt>
                <c:pt idx="4767">
                  <c:v>47821</c:v>
                </c:pt>
                <c:pt idx="4768">
                  <c:v>47822</c:v>
                </c:pt>
                <c:pt idx="4769">
                  <c:v>47823</c:v>
                </c:pt>
                <c:pt idx="4770">
                  <c:v>47824</c:v>
                </c:pt>
                <c:pt idx="4771">
                  <c:v>47825</c:v>
                </c:pt>
                <c:pt idx="4772">
                  <c:v>47826</c:v>
                </c:pt>
                <c:pt idx="4773">
                  <c:v>47827</c:v>
                </c:pt>
                <c:pt idx="4774">
                  <c:v>47828</c:v>
                </c:pt>
                <c:pt idx="4775">
                  <c:v>47829</c:v>
                </c:pt>
                <c:pt idx="4776">
                  <c:v>47830</c:v>
                </c:pt>
                <c:pt idx="4777">
                  <c:v>47831</c:v>
                </c:pt>
                <c:pt idx="4778">
                  <c:v>47832</c:v>
                </c:pt>
                <c:pt idx="4779">
                  <c:v>47833</c:v>
                </c:pt>
                <c:pt idx="4780">
                  <c:v>47834</c:v>
                </c:pt>
                <c:pt idx="4781">
                  <c:v>47835</c:v>
                </c:pt>
                <c:pt idx="4782">
                  <c:v>47836</c:v>
                </c:pt>
                <c:pt idx="4783">
                  <c:v>47837</c:v>
                </c:pt>
                <c:pt idx="4784">
                  <c:v>47838</c:v>
                </c:pt>
                <c:pt idx="4785">
                  <c:v>47839</c:v>
                </c:pt>
                <c:pt idx="4786">
                  <c:v>47840</c:v>
                </c:pt>
                <c:pt idx="4787">
                  <c:v>47841</c:v>
                </c:pt>
                <c:pt idx="4788">
                  <c:v>47842</c:v>
                </c:pt>
                <c:pt idx="4789">
                  <c:v>47843</c:v>
                </c:pt>
                <c:pt idx="4790">
                  <c:v>47844</c:v>
                </c:pt>
                <c:pt idx="4791">
                  <c:v>47845</c:v>
                </c:pt>
                <c:pt idx="4792">
                  <c:v>47846</c:v>
                </c:pt>
                <c:pt idx="4793">
                  <c:v>47847</c:v>
                </c:pt>
                <c:pt idx="4794">
                  <c:v>47848</c:v>
                </c:pt>
                <c:pt idx="4795">
                  <c:v>47849</c:v>
                </c:pt>
                <c:pt idx="4796">
                  <c:v>47850</c:v>
                </c:pt>
                <c:pt idx="4797">
                  <c:v>47851</c:v>
                </c:pt>
                <c:pt idx="4798">
                  <c:v>47852</c:v>
                </c:pt>
                <c:pt idx="4799">
                  <c:v>47853</c:v>
                </c:pt>
                <c:pt idx="4800">
                  <c:v>47854</c:v>
                </c:pt>
                <c:pt idx="4801">
                  <c:v>47855</c:v>
                </c:pt>
                <c:pt idx="4802">
                  <c:v>47856</c:v>
                </c:pt>
                <c:pt idx="4803">
                  <c:v>47857</c:v>
                </c:pt>
                <c:pt idx="4804">
                  <c:v>47858</c:v>
                </c:pt>
                <c:pt idx="4805">
                  <c:v>47859</c:v>
                </c:pt>
                <c:pt idx="4806">
                  <c:v>47860</c:v>
                </c:pt>
                <c:pt idx="4807">
                  <c:v>47861</c:v>
                </c:pt>
                <c:pt idx="4808">
                  <c:v>47862</c:v>
                </c:pt>
                <c:pt idx="4809">
                  <c:v>47863</c:v>
                </c:pt>
                <c:pt idx="4810">
                  <c:v>47864</c:v>
                </c:pt>
                <c:pt idx="4811">
                  <c:v>47865</c:v>
                </c:pt>
                <c:pt idx="4812">
                  <c:v>47866</c:v>
                </c:pt>
                <c:pt idx="4813">
                  <c:v>47867</c:v>
                </c:pt>
                <c:pt idx="4814">
                  <c:v>47868</c:v>
                </c:pt>
                <c:pt idx="4815">
                  <c:v>47869</c:v>
                </c:pt>
                <c:pt idx="4816">
                  <c:v>47870</c:v>
                </c:pt>
                <c:pt idx="4817">
                  <c:v>47871</c:v>
                </c:pt>
                <c:pt idx="4818">
                  <c:v>47872</c:v>
                </c:pt>
                <c:pt idx="4819">
                  <c:v>47873</c:v>
                </c:pt>
                <c:pt idx="4820">
                  <c:v>47874</c:v>
                </c:pt>
                <c:pt idx="4821">
                  <c:v>47875</c:v>
                </c:pt>
                <c:pt idx="4822">
                  <c:v>47876</c:v>
                </c:pt>
                <c:pt idx="4823">
                  <c:v>47877</c:v>
                </c:pt>
                <c:pt idx="4824">
                  <c:v>47878</c:v>
                </c:pt>
                <c:pt idx="4825">
                  <c:v>47879</c:v>
                </c:pt>
                <c:pt idx="4826">
                  <c:v>47880</c:v>
                </c:pt>
                <c:pt idx="4827">
                  <c:v>47881</c:v>
                </c:pt>
                <c:pt idx="4828">
                  <c:v>47882</c:v>
                </c:pt>
                <c:pt idx="4829">
                  <c:v>47883</c:v>
                </c:pt>
                <c:pt idx="4830">
                  <c:v>47884</c:v>
                </c:pt>
                <c:pt idx="4831">
                  <c:v>47885</c:v>
                </c:pt>
                <c:pt idx="4832">
                  <c:v>47886</c:v>
                </c:pt>
                <c:pt idx="4833">
                  <c:v>47887</c:v>
                </c:pt>
                <c:pt idx="4834">
                  <c:v>47888</c:v>
                </c:pt>
                <c:pt idx="4835">
                  <c:v>47889</c:v>
                </c:pt>
                <c:pt idx="4836">
                  <c:v>47890</c:v>
                </c:pt>
                <c:pt idx="4837">
                  <c:v>47891</c:v>
                </c:pt>
                <c:pt idx="4838">
                  <c:v>47892</c:v>
                </c:pt>
                <c:pt idx="4839">
                  <c:v>47893</c:v>
                </c:pt>
                <c:pt idx="4840">
                  <c:v>47894</c:v>
                </c:pt>
                <c:pt idx="4841">
                  <c:v>47895</c:v>
                </c:pt>
                <c:pt idx="4842">
                  <c:v>47896</c:v>
                </c:pt>
                <c:pt idx="4843">
                  <c:v>47897</c:v>
                </c:pt>
                <c:pt idx="4844">
                  <c:v>47898</c:v>
                </c:pt>
                <c:pt idx="4845">
                  <c:v>47899</c:v>
                </c:pt>
                <c:pt idx="4846">
                  <c:v>47900</c:v>
                </c:pt>
                <c:pt idx="4847">
                  <c:v>47901</c:v>
                </c:pt>
                <c:pt idx="4848">
                  <c:v>47902</c:v>
                </c:pt>
                <c:pt idx="4849">
                  <c:v>47903</c:v>
                </c:pt>
                <c:pt idx="4850">
                  <c:v>47904</c:v>
                </c:pt>
                <c:pt idx="4851">
                  <c:v>47905</c:v>
                </c:pt>
                <c:pt idx="4852">
                  <c:v>47906</c:v>
                </c:pt>
                <c:pt idx="4853">
                  <c:v>47907</c:v>
                </c:pt>
                <c:pt idx="4854">
                  <c:v>47908</c:v>
                </c:pt>
                <c:pt idx="4855">
                  <c:v>47909</c:v>
                </c:pt>
                <c:pt idx="4856">
                  <c:v>47910</c:v>
                </c:pt>
                <c:pt idx="4857">
                  <c:v>47911</c:v>
                </c:pt>
                <c:pt idx="4858">
                  <c:v>47912</c:v>
                </c:pt>
                <c:pt idx="4859">
                  <c:v>47913</c:v>
                </c:pt>
                <c:pt idx="4860">
                  <c:v>47914</c:v>
                </c:pt>
                <c:pt idx="4861">
                  <c:v>47915</c:v>
                </c:pt>
                <c:pt idx="4862">
                  <c:v>47916</c:v>
                </c:pt>
                <c:pt idx="4863">
                  <c:v>47917</c:v>
                </c:pt>
                <c:pt idx="4864">
                  <c:v>47918</c:v>
                </c:pt>
                <c:pt idx="4865">
                  <c:v>47919</c:v>
                </c:pt>
                <c:pt idx="4866">
                  <c:v>47920</c:v>
                </c:pt>
                <c:pt idx="4867">
                  <c:v>47921</c:v>
                </c:pt>
                <c:pt idx="4868">
                  <c:v>47922</c:v>
                </c:pt>
                <c:pt idx="4869">
                  <c:v>47923</c:v>
                </c:pt>
                <c:pt idx="4870">
                  <c:v>47924</c:v>
                </c:pt>
                <c:pt idx="4871">
                  <c:v>47925</c:v>
                </c:pt>
                <c:pt idx="4872">
                  <c:v>47926</c:v>
                </c:pt>
                <c:pt idx="4873">
                  <c:v>47927</c:v>
                </c:pt>
                <c:pt idx="4874">
                  <c:v>47928</c:v>
                </c:pt>
                <c:pt idx="4875">
                  <c:v>47929</c:v>
                </c:pt>
                <c:pt idx="4876">
                  <c:v>47930</c:v>
                </c:pt>
                <c:pt idx="4877">
                  <c:v>47931</c:v>
                </c:pt>
                <c:pt idx="4878">
                  <c:v>47932</c:v>
                </c:pt>
                <c:pt idx="4879">
                  <c:v>47933</c:v>
                </c:pt>
                <c:pt idx="4880">
                  <c:v>47934</c:v>
                </c:pt>
                <c:pt idx="4881">
                  <c:v>47935</c:v>
                </c:pt>
                <c:pt idx="4882">
                  <c:v>47936</c:v>
                </c:pt>
                <c:pt idx="4883">
                  <c:v>47937</c:v>
                </c:pt>
                <c:pt idx="4884">
                  <c:v>47938</c:v>
                </c:pt>
                <c:pt idx="4885">
                  <c:v>47939</c:v>
                </c:pt>
                <c:pt idx="4886">
                  <c:v>47940</c:v>
                </c:pt>
                <c:pt idx="4887">
                  <c:v>47941</c:v>
                </c:pt>
                <c:pt idx="4888">
                  <c:v>47942</c:v>
                </c:pt>
                <c:pt idx="4889">
                  <c:v>47943</c:v>
                </c:pt>
                <c:pt idx="4890">
                  <c:v>47944</c:v>
                </c:pt>
                <c:pt idx="4891">
                  <c:v>47945</c:v>
                </c:pt>
                <c:pt idx="4892">
                  <c:v>47946</c:v>
                </c:pt>
                <c:pt idx="4893">
                  <c:v>47947</c:v>
                </c:pt>
                <c:pt idx="4894">
                  <c:v>47948</c:v>
                </c:pt>
                <c:pt idx="4895">
                  <c:v>47949</c:v>
                </c:pt>
                <c:pt idx="4896">
                  <c:v>47950</c:v>
                </c:pt>
                <c:pt idx="4897">
                  <c:v>47951</c:v>
                </c:pt>
                <c:pt idx="4898">
                  <c:v>47952</c:v>
                </c:pt>
                <c:pt idx="4899">
                  <c:v>47953</c:v>
                </c:pt>
                <c:pt idx="4900">
                  <c:v>47954</c:v>
                </c:pt>
                <c:pt idx="4901">
                  <c:v>47955</c:v>
                </c:pt>
                <c:pt idx="4902">
                  <c:v>47956</c:v>
                </c:pt>
                <c:pt idx="4903">
                  <c:v>47957</c:v>
                </c:pt>
                <c:pt idx="4904">
                  <c:v>47958</c:v>
                </c:pt>
                <c:pt idx="4905">
                  <c:v>47959</c:v>
                </c:pt>
                <c:pt idx="4906">
                  <c:v>47960</c:v>
                </c:pt>
                <c:pt idx="4907">
                  <c:v>47961</c:v>
                </c:pt>
                <c:pt idx="4908">
                  <c:v>47962</c:v>
                </c:pt>
                <c:pt idx="4909">
                  <c:v>47963</c:v>
                </c:pt>
                <c:pt idx="4910">
                  <c:v>47964</c:v>
                </c:pt>
                <c:pt idx="4911">
                  <c:v>47965</c:v>
                </c:pt>
                <c:pt idx="4912">
                  <c:v>47966</c:v>
                </c:pt>
                <c:pt idx="4913">
                  <c:v>47967</c:v>
                </c:pt>
                <c:pt idx="4914">
                  <c:v>47968</c:v>
                </c:pt>
                <c:pt idx="4915">
                  <c:v>47969</c:v>
                </c:pt>
                <c:pt idx="4916">
                  <c:v>47970</c:v>
                </c:pt>
                <c:pt idx="4917">
                  <c:v>47971</c:v>
                </c:pt>
                <c:pt idx="4918">
                  <c:v>47972</c:v>
                </c:pt>
                <c:pt idx="4919">
                  <c:v>47973</c:v>
                </c:pt>
                <c:pt idx="4920">
                  <c:v>47974</c:v>
                </c:pt>
                <c:pt idx="4921">
                  <c:v>47975</c:v>
                </c:pt>
                <c:pt idx="4922">
                  <c:v>47976</c:v>
                </c:pt>
                <c:pt idx="4923">
                  <c:v>47977</c:v>
                </c:pt>
                <c:pt idx="4924">
                  <c:v>47978</c:v>
                </c:pt>
                <c:pt idx="4925">
                  <c:v>47979</c:v>
                </c:pt>
                <c:pt idx="4926">
                  <c:v>47980</c:v>
                </c:pt>
                <c:pt idx="4927">
                  <c:v>47981</c:v>
                </c:pt>
                <c:pt idx="4928">
                  <c:v>47982</c:v>
                </c:pt>
                <c:pt idx="4929">
                  <c:v>47983</c:v>
                </c:pt>
                <c:pt idx="4930">
                  <c:v>47984</c:v>
                </c:pt>
                <c:pt idx="4931">
                  <c:v>47985</c:v>
                </c:pt>
                <c:pt idx="4932">
                  <c:v>47986</c:v>
                </c:pt>
                <c:pt idx="4933">
                  <c:v>47987</c:v>
                </c:pt>
                <c:pt idx="4934">
                  <c:v>47988</c:v>
                </c:pt>
                <c:pt idx="4935">
                  <c:v>47989</c:v>
                </c:pt>
                <c:pt idx="4936">
                  <c:v>47990</c:v>
                </c:pt>
                <c:pt idx="4937">
                  <c:v>47991</c:v>
                </c:pt>
                <c:pt idx="4938">
                  <c:v>47992</c:v>
                </c:pt>
                <c:pt idx="4939">
                  <c:v>47993</c:v>
                </c:pt>
                <c:pt idx="4940">
                  <c:v>47994</c:v>
                </c:pt>
                <c:pt idx="4941">
                  <c:v>47995</c:v>
                </c:pt>
                <c:pt idx="4942">
                  <c:v>47996</c:v>
                </c:pt>
                <c:pt idx="4943">
                  <c:v>47997</c:v>
                </c:pt>
                <c:pt idx="4944">
                  <c:v>47998</c:v>
                </c:pt>
                <c:pt idx="4945">
                  <c:v>47999</c:v>
                </c:pt>
                <c:pt idx="4946">
                  <c:v>48000</c:v>
                </c:pt>
                <c:pt idx="4947">
                  <c:v>48001</c:v>
                </c:pt>
                <c:pt idx="4948">
                  <c:v>48002</c:v>
                </c:pt>
                <c:pt idx="4949">
                  <c:v>48003</c:v>
                </c:pt>
                <c:pt idx="4950">
                  <c:v>48004</c:v>
                </c:pt>
                <c:pt idx="4951">
                  <c:v>48005</c:v>
                </c:pt>
                <c:pt idx="4952">
                  <c:v>48006</c:v>
                </c:pt>
                <c:pt idx="4953">
                  <c:v>48007</c:v>
                </c:pt>
                <c:pt idx="4954">
                  <c:v>48008</c:v>
                </c:pt>
                <c:pt idx="4955">
                  <c:v>48009</c:v>
                </c:pt>
                <c:pt idx="4956">
                  <c:v>48010</c:v>
                </c:pt>
                <c:pt idx="4957">
                  <c:v>48011</c:v>
                </c:pt>
                <c:pt idx="4958">
                  <c:v>48012</c:v>
                </c:pt>
                <c:pt idx="4959">
                  <c:v>48013</c:v>
                </c:pt>
                <c:pt idx="4960">
                  <c:v>48014</c:v>
                </c:pt>
                <c:pt idx="4961">
                  <c:v>48015</c:v>
                </c:pt>
                <c:pt idx="4962">
                  <c:v>48016</c:v>
                </c:pt>
                <c:pt idx="4963">
                  <c:v>48017</c:v>
                </c:pt>
                <c:pt idx="4964">
                  <c:v>48018</c:v>
                </c:pt>
                <c:pt idx="4965">
                  <c:v>48019</c:v>
                </c:pt>
                <c:pt idx="4966">
                  <c:v>48020</c:v>
                </c:pt>
                <c:pt idx="4967">
                  <c:v>48021</c:v>
                </c:pt>
                <c:pt idx="4968">
                  <c:v>48022</c:v>
                </c:pt>
                <c:pt idx="4969">
                  <c:v>48023</c:v>
                </c:pt>
                <c:pt idx="4970">
                  <c:v>48024</c:v>
                </c:pt>
                <c:pt idx="4971">
                  <c:v>48025</c:v>
                </c:pt>
                <c:pt idx="4972">
                  <c:v>48026</c:v>
                </c:pt>
                <c:pt idx="4973">
                  <c:v>48027</c:v>
                </c:pt>
                <c:pt idx="4974">
                  <c:v>48028</c:v>
                </c:pt>
                <c:pt idx="4975">
                  <c:v>48029</c:v>
                </c:pt>
                <c:pt idx="4976">
                  <c:v>48030</c:v>
                </c:pt>
                <c:pt idx="4977">
                  <c:v>48031</c:v>
                </c:pt>
                <c:pt idx="4978">
                  <c:v>48032</c:v>
                </c:pt>
                <c:pt idx="4979">
                  <c:v>48033</c:v>
                </c:pt>
                <c:pt idx="4980">
                  <c:v>48034</c:v>
                </c:pt>
                <c:pt idx="4981">
                  <c:v>48035</c:v>
                </c:pt>
                <c:pt idx="4982">
                  <c:v>48036</c:v>
                </c:pt>
                <c:pt idx="4983">
                  <c:v>48037</c:v>
                </c:pt>
                <c:pt idx="4984">
                  <c:v>48038</c:v>
                </c:pt>
                <c:pt idx="4985">
                  <c:v>48039</c:v>
                </c:pt>
                <c:pt idx="4986">
                  <c:v>48040</c:v>
                </c:pt>
                <c:pt idx="4987">
                  <c:v>48041</c:v>
                </c:pt>
                <c:pt idx="4988">
                  <c:v>48042</c:v>
                </c:pt>
                <c:pt idx="4989">
                  <c:v>48043</c:v>
                </c:pt>
                <c:pt idx="4990">
                  <c:v>48044</c:v>
                </c:pt>
                <c:pt idx="4991">
                  <c:v>48045</c:v>
                </c:pt>
                <c:pt idx="4992">
                  <c:v>48046</c:v>
                </c:pt>
                <c:pt idx="4993">
                  <c:v>48047</c:v>
                </c:pt>
                <c:pt idx="4994">
                  <c:v>48048</c:v>
                </c:pt>
                <c:pt idx="4995">
                  <c:v>48049</c:v>
                </c:pt>
                <c:pt idx="4996">
                  <c:v>48050</c:v>
                </c:pt>
                <c:pt idx="4997">
                  <c:v>48051</c:v>
                </c:pt>
                <c:pt idx="4998">
                  <c:v>48052</c:v>
                </c:pt>
                <c:pt idx="4999">
                  <c:v>48053</c:v>
                </c:pt>
                <c:pt idx="5000">
                  <c:v>48054</c:v>
                </c:pt>
                <c:pt idx="5001">
                  <c:v>48055</c:v>
                </c:pt>
                <c:pt idx="5002">
                  <c:v>48056</c:v>
                </c:pt>
                <c:pt idx="5003">
                  <c:v>48057</c:v>
                </c:pt>
                <c:pt idx="5004">
                  <c:v>48058</c:v>
                </c:pt>
                <c:pt idx="5005">
                  <c:v>48059</c:v>
                </c:pt>
                <c:pt idx="5006">
                  <c:v>48060</c:v>
                </c:pt>
                <c:pt idx="5007">
                  <c:v>48061</c:v>
                </c:pt>
                <c:pt idx="5008">
                  <c:v>48062</c:v>
                </c:pt>
                <c:pt idx="5009">
                  <c:v>48063</c:v>
                </c:pt>
                <c:pt idx="5010">
                  <c:v>48064</c:v>
                </c:pt>
                <c:pt idx="5011">
                  <c:v>48065</c:v>
                </c:pt>
                <c:pt idx="5012">
                  <c:v>48066</c:v>
                </c:pt>
                <c:pt idx="5013">
                  <c:v>48067</c:v>
                </c:pt>
                <c:pt idx="5014">
                  <c:v>48068</c:v>
                </c:pt>
                <c:pt idx="5015">
                  <c:v>48069</c:v>
                </c:pt>
                <c:pt idx="5016">
                  <c:v>48070</c:v>
                </c:pt>
                <c:pt idx="5017">
                  <c:v>48071</c:v>
                </c:pt>
                <c:pt idx="5018">
                  <c:v>48072</c:v>
                </c:pt>
                <c:pt idx="5019">
                  <c:v>48073</c:v>
                </c:pt>
                <c:pt idx="5020">
                  <c:v>48074</c:v>
                </c:pt>
                <c:pt idx="5021">
                  <c:v>48075</c:v>
                </c:pt>
                <c:pt idx="5022">
                  <c:v>48076</c:v>
                </c:pt>
                <c:pt idx="5023">
                  <c:v>48077</c:v>
                </c:pt>
                <c:pt idx="5024">
                  <c:v>48078</c:v>
                </c:pt>
                <c:pt idx="5025">
                  <c:v>48079</c:v>
                </c:pt>
                <c:pt idx="5026">
                  <c:v>48080</c:v>
                </c:pt>
                <c:pt idx="5027">
                  <c:v>48081</c:v>
                </c:pt>
                <c:pt idx="5028">
                  <c:v>48082</c:v>
                </c:pt>
                <c:pt idx="5029">
                  <c:v>48083</c:v>
                </c:pt>
                <c:pt idx="5030">
                  <c:v>48084</c:v>
                </c:pt>
                <c:pt idx="5031">
                  <c:v>48085</c:v>
                </c:pt>
                <c:pt idx="5032">
                  <c:v>48086</c:v>
                </c:pt>
                <c:pt idx="5033">
                  <c:v>48087</c:v>
                </c:pt>
                <c:pt idx="5034">
                  <c:v>48088</c:v>
                </c:pt>
                <c:pt idx="5035">
                  <c:v>48089</c:v>
                </c:pt>
                <c:pt idx="5036">
                  <c:v>48090</c:v>
                </c:pt>
                <c:pt idx="5037">
                  <c:v>48091</c:v>
                </c:pt>
                <c:pt idx="5038">
                  <c:v>48092</c:v>
                </c:pt>
                <c:pt idx="5039">
                  <c:v>48093</c:v>
                </c:pt>
                <c:pt idx="5040">
                  <c:v>48094</c:v>
                </c:pt>
                <c:pt idx="5041">
                  <c:v>48095</c:v>
                </c:pt>
                <c:pt idx="5042">
                  <c:v>48096</c:v>
                </c:pt>
                <c:pt idx="5043">
                  <c:v>48097</c:v>
                </c:pt>
                <c:pt idx="5044">
                  <c:v>48098</c:v>
                </c:pt>
                <c:pt idx="5045">
                  <c:v>48099</c:v>
                </c:pt>
                <c:pt idx="5046">
                  <c:v>48100</c:v>
                </c:pt>
                <c:pt idx="5047">
                  <c:v>48101</c:v>
                </c:pt>
                <c:pt idx="5048">
                  <c:v>48102</c:v>
                </c:pt>
                <c:pt idx="5049">
                  <c:v>48103</c:v>
                </c:pt>
                <c:pt idx="5050">
                  <c:v>48104</c:v>
                </c:pt>
                <c:pt idx="5051">
                  <c:v>48105</c:v>
                </c:pt>
                <c:pt idx="5052">
                  <c:v>48106</c:v>
                </c:pt>
                <c:pt idx="5053">
                  <c:v>48107</c:v>
                </c:pt>
                <c:pt idx="5054">
                  <c:v>48108</c:v>
                </c:pt>
                <c:pt idx="5055">
                  <c:v>48109</c:v>
                </c:pt>
                <c:pt idx="5056">
                  <c:v>48110</c:v>
                </c:pt>
                <c:pt idx="5057">
                  <c:v>48111</c:v>
                </c:pt>
                <c:pt idx="5058">
                  <c:v>48112</c:v>
                </c:pt>
                <c:pt idx="5059">
                  <c:v>48113</c:v>
                </c:pt>
                <c:pt idx="5060">
                  <c:v>48114</c:v>
                </c:pt>
                <c:pt idx="5061">
                  <c:v>48115</c:v>
                </c:pt>
                <c:pt idx="5062">
                  <c:v>48116</c:v>
                </c:pt>
                <c:pt idx="5063">
                  <c:v>48117</c:v>
                </c:pt>
                <c:pt idx="5064">
                  <c:v>48118</c:v>
                </c:pt>
                <c:pt idx="5065">
                  <c:v>48119</c:v>
                </c:pt>
                <c:pt idx="5066">
                  <c:v>48120</c:v>
                </c:pt>
                <c:pt idx="5067">
                  <c:v>48121</c:v>
                </c:pt>
                <c:pt idx="5068">
                  <c:v>48122</c:v>
                </c:pt>
                <c:pt idx="5069">
                  <c:v>48123</c:v>
                </c:pt>
                <c:pt idx="5070">
                  <c:v>48124</c:v>
                </c:pt>
                <c:pt idx="5071">
                  <c:v>48125</c:v>
                </c:pt>
                <c:pt idx="5072">
                  <c:v>48126</c:v>
                </c:pt>
                <c:pt idx="5073">
                  <c:v>48127</c:v>
                </c:pt>
                <c:pt idx="5074">
                  <c:v>48128</c:v>
                </c:pt>
                <c:pt idx="5075">
                  <c:v>48129</c:v>
                </c:pt>
                <c:pt idx="5076">
                  <c:v>48130</c:v>
                </c:pt>
                <c:pt idx="5077">
                  <c:v>48131</c:v>
                </c:pt>
                <c:pt idx="5078">
                  <c:v>48132</c:v>
                </c:pt>
                <c:pt idx="5079">
                  <c:v>48133</c:v>
                </c:pt>
                <c:pt idx="5080">
                  <c:v>48134</c:v>
                </c:pt>
                <c:pt idx="5081">
                  <c:v>48135</c:v>
                </c:pt>
                <c:pt idx="5082">
                  <c:v>48136</c:v>
                </c:pt>
                <c:pt idx="5083">
                  <c:v>48137</c:v>
                </c:pt>
                <c:pt idx="5084">
                  <c:v>48138</c:v>
                </c:pt>
                <c:pt idx="5085">
                  <c:v>48139</c:v>
                </c:pt>
                <c:pt idx="5086">
                  <c:v>48140</c:v>
                </c:pt>
                <c:pt idx="5087">
                  <c:v>48141</c:v>
                </c:pt>
                <c:pt idx="5088">
                  <c:v>48142</c:v>
                </c:pt>
                <c:pt idx="5089">
                  <c:v>48143</c:v>
                </c:pt>
                <c:pt idx="5090">
                  <c:v>48144</c:v>
                </c:pt>
                <c:pt idx="5091">
                  <c:v>48145</c:v>
                </c:pt>
                <c:pt idx="5092">
                  <c:v>48146</c:v>
                </c:pt>
                <c:pt idx="5093">
                  <c:v>48147</c:v>
                </c:pt>
                <c:pt idx="5094">
                  <c:v>48148</c:v>
                </c:pt>
                <c:pt idx="5095">
                  <c:v>48149</c:v>
                </c:pt>
                <c:pt idx="5096">
                  <c:v>48150</c:v>
                </c:pt>
                <c:pt idx="5097">
                  <c:v>48151</c:v>
                </c:pt>
                <c:pt idx="5098">
                  <c:v>48152</c:v>
                </c:pt>
                <c:pt idx="5099">
                  <c:v>48153</c:v>
                </c:pt>
                <c:pt idx="5100">
                  <c:v>48154</c:v>
                </c:pt>
                <c:pt idx="5101">
                  <c:v>48155</c:v>
                </c:pt>
                <c:pt idx="5102">
                  <c:v>48156</c:v>
                </c:pt>
                <c:pt idx="5103">
                  <c:v>48157</c:v>
                </c:pt>
                <c:pt idx="5104">
                  <c:v>48158</c:v>
                </c:pt>
                <c:pt idx="5105">
                  <c:v>48159</c:v>
                </c:pt>
                <c:pt idx="5106">
                  <c:v>48160</c:v>
                </c:pt>
                <c:pt idx="5107">
                  <c:v>48161</c:v>
                </c:pt>
                <c:pt idx="5108">
                  <c:v>48162</c:v>
                </c:pt>
                <c:pt idx="5109">
                  <c:v>48163</c:v>
                </c:pt>
                <c:pt idx="5110">
                  <c:v>48164</c:v>
                </c:pt>
                <c:pt idx="5111">
                  <c:v>48165</c:v>
                </c:pt>
                <c:pt idx="5112">
                  <c:v>48166</c:v>
                </c:pt>
                <c:pt idx="5113">
                  <c:v>48167</c:v>
                </c:pt>
                <c:pt idx="5114">
                  <c:v>48168</c:v>
                </c:pt>
                <c:pt idx="5115">
                  <c:v>48169</c:v>
                </c:pt>
                <c:pt idx="5116">
                  <c:v>48170</c:v>
                </c:pt>
                <c:pt idx="5117">
                  <c:v>48171</c:v>
                </c:pt>
                <c:pt idx="5118">
                  <c:v>48172</c:v>
                </c:pt>
                <c:pt idx="5119">
                  <c:v>48173</c:v>
                </c:pt>
                <c:pt idx="5120">
                  <c:v>48174</c:v>
                </c:pt>
                <c:pt idx="5121">
                  <c:v>48175</c:v>
                </c:pt>
                <c:pt idx="5122">
                  <c:v>48176</c:v>
                </c:pt>
                <c:pt idx="5123">
                  <c:v>48177</c:v>
                </c:pt>
                <c:pt idx="5124">
                  <c:v>48178</c:v>
                </c:pt>
                <c:pt idx="5125">
                  <c:v>48179</c:v>
                </c:pt>
                <c:pt idx="5126">
                  <c:v>48180</c:v>
                </c:pt>
                <c:pt idx="5127">
                  <c:v>48181</c:v>
                </c:pt>
                <c:pt idx="5128">
                  <c:v>48182</c:v>
                </c:pt>
                <c:pt idx="5129">
                  <c:v>48183</c:v>
                </c:pt>
                <c:pt idx="5130">
                  <c:v>48184</c:v>
                </c:pt>
                <c:pt idx="5131">
                  <c:v>48185</c:v>
                </c:pt>
                <c:pt idx="5132">
                  <c:v>48186</c:v>
                </c:pt>
                <c:pt idx="5133">
                  <c:v>48187</c:v>
                </c:pt>
                <c:pt idx="5134">
                  <c:v>48188</c:v>
                </c:pt>
                <c:pt idx="5135">
                  <c:v>48189</c:v>
                </c:pt>
                <c:pt idx="5136">
                  <c:v>48190</c:v>
                </c:pt>
                <c:pt idx="5137">
                  <c:v>48191</c:v>
                </c:pt>
                <c:pt idx="5138">
                  <c:v>48192</c:v>
                </c:pt>
                <c:pt idx="5139">
                  <c:v>48193</c:v>
                </c:pt>
                <c:pt idx="5140">
                  <c:v>48194</c:v>
                </c:pt>
                <c:pt idx="5141">
                  <c:v>48195</c:v>
                </c:pt>
                <c:pt idx="5142">
                  <c:v>48196</c:v>
                </c:pt>
                <c:pt idx="5143">
                  <c:v>48197</c:v>
                </c:pt>
                <c:pt idx="5144">
                  <c:v>48198</c:v>
                </c:pt>
                <c:pt idx="5145">
                  <c:v>48199</c:v>
                </c:pt>
                <c:pt idx="5146">
                  <c:v>48200</c:v>
                </c:pt>
                <c:pt idx="5147">
                  <c:v>48201</c:v>
                </c:pt>
                <c:pt idx="5148">
                  <c:v>48202</c:v>
                </c:pt>
                <c:pt idx="5149">
                  <c:v>48203</c:v>
                </c:pt>
                <c:pt idx="5150">
                  <c:v>48204</c:v>
                </c:pt>
                <c:pt idx="5151">
                  <c:v>48205</c:v>
                </c:pt>
                <c:pt idx="5152">
                  <c:v>48206</c:v>
                </c:pt>
                <c:pt idx="5153">
                  <c:v>48207</c:v>
                </c:pt>
                <c:pt idx="5154">
                  <c:v>48208</c:v>
                </c:pt>
                <c:pt idx="5155">
                  <c:v>48209</c:v>
                </c:pt>
                <c:pt idx="5156">
                  <c:v>48210</c:v>
                </c:pt>
                <c:pt idx="5157">
                  <c:v>48211</c:v>
                </c:pt>
                <c:pt idx="5158">
                  <c:v>48212</c:v>
                </c:pt>
                <c:pt idx="5159">
                  <c:v>48213</c:v>
                </c:pt>
                <c:pt idx="5160">
                  <c:v>48214</c:v>
                </c:pt>
                <c:pt idx="5161">
                  <c:v>48215</c:v>
                </c:pt>
                <c:pt idx="5162">
                  <c:v>48216</c:v>
                </c:pt>
                <c:pt idx="5163">
                  <c:v>48217</c:v>
                </c:pt>
                <c:pt idx="5164">
                  <c:v>48218</c:v>
                </c:pt>
                <c:pt idx="5165">
                  <c:v>48219</c:v>
                </c:pt>
                <c:pt idx="5166">
                  <c:v>48220</c:v>
                </c:pt>
                <c:pt idx="5167">
                  <c:v>48221</c:v>
                </c:pt>
                <c:pt idx="5168">
                  <c:v>48222</c:v>
                </c:pt>
                <c:pt idx="5169">
                  <c:v>48223</c:v>
                </c:pt>
                <c:pt idx="5170">
                  <c:v>48224</c:v>
                </c:pt>
                <c:pt idx="5171">
                  <c:v>48225</c:v>
                </c:pt>
                <c:pt idx="5172">
                  <c:v>48226</c:v>
                </c:pt>
                <c:pt idx="5173">
                  <c:v>48227</c:v>
                </c:pt>
                <c:pt idx="5174">
                  <c:v>48228</c:v>
                </c:pt>
                <c:pt idx="5175">
                  <c:v>48229</c:v>
                </c:pt>
                <c:pt idx="5176">
                  <c:v>48230</c:v>
                </c:pt>
                <c:pt idx="5177">
                  <c:v>48231</c:v>
                </c:pt>
                <c:pt idx="5178">
                  <c:v>48232</c:v>
                </c:pt>
                <c:pt idx="5179">
                  <c:v>48233</c:v>
                </c:pt>
                <c:pt idx="5180">
                  <c:v>48234</c:v>
                </c:pt>
                <c:pt idx="5181">
                  <c:v>48235</c:v>
                </c:pt>
                <c:pt idx="5182">
                  <c:v>48236</c:v>
                </c:pt>
                <c:pt idx="5183">
                  <c:v>48237</c:v>
                </c:pt>
                <c:pt idx="5184">
                  <c:v>48238</c:v>
                </c:pt>
                <c:pt idx="5185">
                  <c:v>48239</c:v>
                </c:pt>
                <c:pt idx="5186">
                  <c:v>48240</c:v>
                </c:pt>
                <c:pt idx="5187">
                  <c:v>48241</c:v>
                </c:pt>
                <c:pt idx="5188">
                  <c:v>48242</c:v>
                </c:pt>
                <c:pt idx="5189">
                  <c:v>48243</c:v>
                </c:pt>
                <c:pt idx="5190">
                  <c:v>48244</c:v>
                </c:pt>
                <c:pt idx="5191">
                  <c:v>48245</c:v>
                </c:pt>
                <c:pt idx="5192">
                  <c:v>48246</c:v>
                </c:pt>
                <c:pt idx="5193">
                  <c:v>48247</c:v>
                </c:pt>
                <c:pt idx="5194">
                  <c:v>48248</c:v>
                </c:pt>
                <c:pt idx="5195">
                  <c:v>48249</c:v>
                </c:pt>
                <c:pt idx="5196">
                  <c:v>48250</c:v>
                </c:pt>
                <c:pt idx="5197">
                  <c:v>48251</c:v>
                </c:pt>
                <c:pt idx="5198">
                  <c:v>48252</c:v>
                </c:pt>
                <c:pt idx="5199">
                  <c:v>48253</c:v>
                </c:pt>
                <c:pt idx="5200">
                  <c:v>48254</c:v>
                </c:pt>
                <c:pt idx="5201">
                  <c:v>48255</c:v>
                </c:pt>
                <c:pt idx="5202">
                  <c:v>48256</c:v>
                </c:pt>
                <c:pt idx="5203">
                  <c:v>48257</c:v>
                </c:pt>
                <c:pt idx="5204">
                  <c:v>48258</c:v>
                </c:pt>
                <c:pt idx="5205">
                  <c:v>48259</c:v>
                </c:pt>
                <c:pt idx="5206">
                  <c:v>48260</c:v>
                </c:pt>
                <c:pt idx="5207">
                  <c:v>48261</c:v>
                </c:pt>
                <c:pt idx="5208">
                  <c:v>48262</c:v>
                </c:pt>
                <c:pt idx="5209">
                  <c:v>48263</c:v>
                </c:pt>
                <c:pt idx="5210">
                  <c:v>48264</c:v>
                </c:pt>
                <c:pt idx="5211">
                  <c:v>48265</c:v>
                </c:pt>
                <c:pt idx="5212">
                  <c:v>48266</c:v>
                </c:pt>
                <c:pt idx="5213">
                  <c:v>48267</c:v>
                </c:pt>
                <c:pt idx="5214">
                  <c:v>48268</c:v>
                </c:pt>
                <c:pt idx="5215">
                  <c:v>48269</c:v>
                </c:pt>
                <c:pt idx="5216">
                  <c:v>48270</c:v>
                </c:pt>
                <c:pt idx="5217">
                  <c:v>48271</c:v>
                </c:pt>
                <c:pt idx="5218">
                  <c:v>48272</c:v>
                </c:pt>
                <c:pt idx="5219">
                  <c:v>48273</c:v>
                </c:pt>
                <c:pt idx="5220">
                  <c:v>48274</c:v>
                </c:pt>
                <c:pt idx="5221">
                  <c:v>48275</c:v>
                </c:pt>
                <c:pt idx="5222">
                  <c:v>48276</c:v>
                </c:pt>
                <c:pt idx="5223">
                  <c:v>48277</c:v>
                </c:pt>
                <c:pt idx="5224">
                  <c:v>48278</c:v>
                </c:pt>
                <c:pt idx="5225">
                  <c:v>48279</c:v>
                </c:pt>
                <c:pt idx="5226">
                  <c:v>48280</c:v>
                </c:pt>
                <c:pt idx="5227">
                  <c:v>48281</c:v>
                </c:pt>
                <c:pt idx="5228">
                  <c:v>48282</c:v>
                </c:pt>
                <c:pt idx="5229">
                  <c:v>48283</c:v>
                </c:pt>
                <c:pt idx="5230">
                  <c:v>48284</c:v>
                </c:pt>
                <c:pt idx="5231">
                  <c:v>48285</c:v>
                </c:pt>
                <c:pt idx="5232">
                  <c:v>48286</c:v>
                </c:pt>
                <c:pt idx="5233">
                  <c:v>48287</c:v>
                </c:pt>
                <c:pt idx="5234">
                  <c:v>48288</c:v>
                </c:pt>
                <c:pt idx="5235">
                  <c:v>48289</c:v>
                </c:pt>
                <c:pt idx="5236">
                  <c:v>48290</c:v>
                </c:pt>
                <c:pt idx="5237">
                  <c:v>48291</c:v>
                </c:pt>
                <c:pt idx="5238">
                  <c:v>48292</c:v>
                </c:pt>
                <c:pt idx="5239">
                  <c:v>48293</c:v>
                </c:pt>
                <c:pt idx="5240">
                  <c:v>48294</c:v>
                </c:pt>
                <c:pt idx="5241">
                  <c:v>48295</c:v>
                </c:pt>
                <c:pt idx="5242">
                  <c:v>48296</c:v>
                </c:pt>
                <c:pt idx="5243">
                  <c:v>48297</c:v>
                </c:pt>
                <c:pt idx="5244">
                  <c:v>48298</c:v>
                </c:pt>
                <c:pt idx="5245">
                  <c:v>48299</c:v>
                </c:pt>
                <c:pt idx="5246">
                  <c:v>48300</c:v>
                </c:pt>
                <c:pt idx="5247">
                  <c:v>48301</c:v>
                </c:pt>
                <c:pt idx="5248">
                  <c:v>48302</c:v>
                </c:pt>
                <c:pt idx="5249">
                  <c:v>48303</c:v>
                </c:pt>
                <c:pt idx="5250">
                  <c:v>48304</c:v>
                </c:pt>
                <c:pt idx="5251">
                  <c:v>48305</c:v>
                </c:pt>
                <c:pt idx="5252">
                  <c:v>48306</c:v>
                </c:pt>
                <c:pt idx="5253">
                  <c:v>48307</c:v>
                </c:pt>
                <c:pt idx="5254">
                  <c:v>48308</c:v>
                </c:pt>
                <c:pt idx="5255">
                  <c:v>48309</c:v>
                </c:pt>
                <c:pt idx="5256">
                  <c:v>48310</c:v>
                </c:pt>
                <c:pt idx="5257">
                  <c:v>48311</c:v>
                </c:pt>
                <c:pt idx="5258">
                  <c:v>48312</c:v>
                </c:pt>
                <c:pt idx="5259">
                  <c:v>48313</c:v>
                </c:pt>
                <c:pt idx="5260">
                  <c:v>48314</c:v>
                </c:pt>
                <c:pt idx="5261">
                  <c:v>48315</c:v>
                </c:pt>
                <c:pt idx="5262">
                  <c:v>48316</c:v>
                </c:pt>
                <c:pt idx="5263">
                  <c:v>48317</c:v>
                </c:pt>
                <c:pt idx="5264">
                  <c:v>48318</c:v>
                </c:pt>
                <c:pt idx="5265">
                  <c:v>48319</c:v>
                </c:pt>
                <c:pt idx="5266">
                  <c:v>48320</c:v>
                </c:pt>
                <c:pt idx="5267">
                  <c:v>48321</c:v>
                </c:pt>
                <c:pt idx="5268">
                  <c:v>48322</c:v>
                </c:pt>
                <c:pt idx="5269">
                  <c:v>48323</c:v>
                </c:pt>
                <c:pt idx="5270">
                  <c:v>48324</c:v>
                </c:pt>
                <c:pt idx="5271">
                  <c:v>48325</c:v>
                </c:pt>
                <c:pt idx="5272">
                  <c:v>48326</c:v>
                </c:pt>
                <c:pt idx="5273">
                  <c:v>48327</c:v>
                </c:pt>
                <c:pt idx="5274">
                  <c:v>48328</c:v>
                </c:pt>
                <c:pt idx="5275">
                  <c:v>48329</c:v>
                </c:pt>
                <c:pt idx="5276">
                  <c:v>48330</c:v>
                </c:pt>
                <c:pt idx="5277">
                  <c:v>48331</c:v>
                </c:pt>
                <c:pt idx="5278">
                  <c:v>48332</c:v>
                </c:pt>
                <c:pt idx="5279">
                  <c:v>48333</c:v>
                </c:pt>
                <c:pt idx="5280">
                  <c:v>48334</c:v>
                </c:pt>
                <c:pt idx="5281">
                  <c:v>48335</c:v>
                </c:pt>
                <c:pt idx="5282">
                  <c:v>48336</c:v>
                </c:pt>
                <c:pt idx="5283">
                  <c:v>48337</c:v>
                </c:pt>
                <c:pt idx="5284">
                  <c:v>48338</c:v>
                </c:pt>
                <c:pt idx="5285">
                  <c:v>48339</c:v>
                </c:pt>
                <c:pt idx="5286">
                  <c:v>48340</c:v>
                </c:pt>
                <c:pt idx="5287">
                  <c:v>48341</c:v>
                </c:pt>
                <c:pt idx="5288">
                  <c:v>48342</c:v>
                </c:pt>
                <c:pt idx="5289">
                  <c:v>48343</c:v>
                </c:pt>
                <c:pt idx="5290">
                  <c:v>48344</c:v>
                </c:pt>
                <c:pt idx="5291">
                  <c:v>48345</c:v>
                </c:pt>
                <c:pt idx="5292">
                  <c:v>48346</c:v>
                </c:pt>
                <c:pt idx="5293">
                  <c:v>48347</c:v>
                </c:pt>
                <c:pt idx="5294">
                  <c:v>48348</c:v>
                </c:pt>
                <c:pt idx="5295">
                  <c:v>48349</c:v>
                </c:pt>
                <c:pt idx="5296">
                  <c:v>48350</c:v>
                </c:pt>
                <c:pt idx="5297">
                  <c:v>48351</c:v>
                </c:pt>
                <c:pt idx="5298">
                  <c:v>48352</c:v>
                </c:pt>
                <c:pt idx="5299">
                  <c:v>48353</c:v>
                </c:pt>
                <c:pt idx="5300">
                  <c:v>48354</c:v>
                </c:pt>
                <c:pt idx="5301">
                  <c:v>48355</c:v>
                </c:pt>
                <c:pt idx="5302">
                  <c:v>48356</c:v>
                </c:pt>
                <c:pt idx="5303">
                  <c:v>48357</c:v>
                </c:pt>
                <c:pt idx="5304">
                  <c:v>48358</c:v>
                </c:pt>
                <c:pt idx="5305">
                  <c:v>48359</c:v>
                </c:pt>
                <c:pt idx="5306">
                  <c:v>48360</c:v>
                </c:pt>
                <c:pt idx="5307">
                  <c:v>48361</c:v>
                </c:pt>
                <c:pt idx="5308">
                  <c:v>48362</c:v>
                </c:pt>
                <c:pt idx="5309">
                  <c:v>48363</c:v>
                </c:pt>
                <c:pt idx="5310">
                  <c:v>48364</c:v>
                </c:pt>
                <c:pt idx="5311">
                  <c:v>48365</c:v>
                </c:pt>
                <c:pt idx="5312">
                  <c:v>48366</c:v>
                </c:pt>
                <c:pt idx="5313">
                  <c:v>48367</c:v>
                </c:pt>
                <c:pt idx="5314">
                  <c:v>48368</c:v>
                </c:pt>
                <c:pt idx="5315">
                  <c:v>48369</c:v>
                </c:pt>
                <c:pt idx="5316">
                  <c:v>48370</c:v>
                </c:pt>
                <c:pt idx="5317">
                  <c:v>48371</c:v>
                </c:pt>
                <c:pt idx="5318">
                  <c:v>48372</c:v>
                </c:pt>
                <c:pt idx="5319">
                  <c:v>48373</c:v>
                </c:pt>
                <c:pt idx="5320">
                  <c:v>48374</c:v>
                </c:pt>
                <c:pt idx="5321">
                  <c:v>48375</c:v>
                </c:pt>
                <c:pt idx="5322">
                  <c:v>48376</c:v>
                </c:pt>
                <c:pt idx="5323">
                  <c:v>48377</c:v>
                </c:pt>
                <c:pt idx="5324">
                  <c:v>48378</c:v>
                </c:pt>
                <c:pt idx="5325">
                  <c:v>48379</c:v>
                </c:pt>
                <c:pt idx="5326">
                  <c:v>48380</c:v>
                </c:pt>
                <c:pt idx="5327">
                  <c:v>48381</c:v>
                </c:pt>
                <c:pt idx="5328">
                  <c:v>48382</c:v>
                </c:pt>
                <c:pt idx="5329">
                  <c:v>48383</c:v>
                </c:pt>
                <c:pt idx="5330">
                  <c:v>48384</c:v>
                </c:pt>
                <c:pt idx="5331">
                  <c:v>48385</c:v>
                </c:pt>
                <c:pt idx="5332">
                  <c:v>48386</c:v>
                </c:pt>
                <c:pt idx="5333">
                  <c:v>48387</c:v>
                </c:pt>
                <c:pt idx="5334">
                  <c:v>48388</c:v>
                </c:pt>
                <c:pt idx="5335">
                  <c:v>48389</c:v>
                </c:pt>
                <c:pt idx="5336">
                  <c:v>48390</c:v>
                </c:pt>
                <c:pt idx="5337">
                  <c:v>48391</c:v>
                </c:pt>
                <c:pt idx="5338">
                  <c:v>48392</c:v>
                </c:pt>
                <c:pt idx="5339">
                  <c:v>48393</c:v>
                </c:pt>
                <c:pt idx="5340">
                  <c:v>48394</c:v>
                </c:pt>
                <c:pt idx="5341">
                  <c:v>48395</c:v>
                </c:pt>
                <c:pt idx="5342">
                  <c:v>48396</c:v>
                </c:pt>
                <c:pt idx="5343">
                  <c:v>48397</c:v>
                </c:pt>
                <c:pt idx="5344">
                  <c:v>48398</c:v>
                </c:pt>
                <c:pt idx="5345">
                  <c:v>48399</c:v>
                </c:pt>
                <c:pt idx="5346">
                  <c:v>48400</c:v>
                </c:pt>
                <c:pt idx="5347">
                  <c:v>48401</c:v>
                </c:pt>
                <c:pt idx="5348">
                  <c:v>48402</c:v>
                </c:pt>
                <c:pt idx="5349">
                  <c:v>48403</c:v>
                </c:pt>
                <c:pt idx="5350">
                  <c:v>48404</c:v>
                </c:pt>
                <c:pt idx="5351">
                  <c:v>48405</c:v>
                </c:pt>
                <c:pt idx="5352">
                  <c:v>48406</c:v>
                </c:pt>
                <c:pt idx="5353">
                  <c:v>48407</c:v>
                </c:pt>
                <c:pt idx="5354">
                  <c:v>48408</c:v>
                </c:pt>
                <c:pt idx="5355">
                  <c:v>48409</c:v>
                </c:pt>
                <c:pt idx="5356">
                  <c:v>48410</c:v>
                </c:pt>
                <c:pt idx="5357">
                  <c:v>48411</c:v>
                </c:pt>
                <c:pt idx="5358">
                  <c:v>48412</c:v>
                </c:pt>
                <c:pt idx="5359">
                  <c:v>48413</c:v>
                </c:pt>
                <c:pt idx="5360">
                  <c:v>48414</c:v>
                </c:pt>
                <c:pt idx="5361">
                  <c:v>48415</c:v>
                </c:pt>
                <c:pt idx="5362">
                  <c:v>48416</c:v>
                </c:pt>
                <c:pt idx="5363">
                  <c:v>48417</c:v>
                </c:pt>
                <c:pt idx="5364">
                  <c:v>48418</c:v>
                </c:pt>
                <c:pt idx="5365">
                  <c:v>48419</c:v>
                </c:pt>
                <c:pt idx="5366">
                  <c:v>48420</c:v>
                </c:pt>
                <c:pt idx="5367">
                  <c:v>48421</c:v>
                </c:pt>
                <c:pt idx="5368">
                  <c:v>48422</c:v>
                </c:pt>
                <c:pt idx="5369">
                  <c:v>48423</c:v>
                </c:pt>
                <c:pt idx="5370">
                  <c:v>48424</c:v>
                </c:pt>
                <c:pt idx="5371">
                  <c:v>48425</c:v>
                </c:pt>
                <c:pt idx="5372">
                  <c:v>48426</c:v>
                </c:pt>
                <c:pt idx="5373">
                  <c:v>48427</c:v>
                </c:pt>
                <c:pt idx="5374">
                  <c:v>48428</c:v>
                </c:pt>
                <c:pt idx="5375">
                  <c:v>48429</c:v>
                </c:pt>
                <c:pt idx="5376">
                  <c:v>48430</c:v>
                </c:pt>
                <c:pt idx="5377">
                  <c:v>48431</c:v>
                </c:pt>
                <c:pt idx="5378">
                  <c:v>48432</c:v>
                </c:pt>
                <c:pt idx="5379">
                  <c:v>48433</c:v>
                </c:pt>
                <c:pt idx="5380">
                  <c:v>48434</c:v>
                </c:pt>
                <c:pt idx="5381">
                  <c:v>48435</c:v>
                </c:pt>
                <c:pt idx="5382">
                  <c:v>48436</c:v>
                </c:pt>
                <c:pt idx="5383">
                  <c:v>48437</c:v>
                </c:pt>
                <c:pt idx="5384">
                  <c:v>48438</c:v>
                </c:pt>
                <c:pt idx="5385">
                  <c:v>48439</c:v>
                </c:pt>
                <c:pt idx="5386">
                  <c:v>48440</c:v>
                </c:pt>
                <c:pt idx="5387">
                  <c:v>48441</c:v>
                </c:pt>
                <c:pt idx="5388">
                  <c:v>48442</c:v>
                </c:pt>
                <c:pt idx="5389">
                  <c:v>48443</c:v>
                </c:pt>
                <c:pt idx="5390">
                  <c:v>48444</c:v>
                </c:pt>
                <c:pt idx="5391">
                  <c:v>48445</c:v>
                </c:pt>
                <c:pt idx="5392">
                  <c:v>48446</c:v>
                </c:pt>
                <c:pt idx="5393">
                  <c:v>48447</c:v>
                </c:pt>
                <c:pt idx="5394">
                  <c:v>48448</c:v>
                </c:pt>
                <c:pt idx="5395">
                  <c:v>48449</c:v>
                </c:pt>
                <c:pt idx="5396">
                  <c:v>48450</c:v>
                </c:pt>
                <c:pt idx="5397">
                  <c:v>48451</c:v>
                </c:pt>
                <c:pt idx="5398">
                  <c:v>48452</c:v>
                </c:pt>
                <c:pt idx="5399">
                  <c:v>48453</c:v>
                </c:pt>
                <c:pt idx="5400">
                  <c:v>48454</c:v>
                </c:pt>
                <c:pt idx="5401">
                  <c:v>48455</c:v>
                </c:pt>
                <c:pt idx="5402">
                  <c:v>48456</c:v>
                </c:pt>
                <c:pt idx="5403">
                  <c:v>48457</c:v>
                </c:pt>
                <c:pt idx="5404">
                  <c:v>48458</c:v>
                </c:pt>
                <c:pt idx="5405">
                  <c:v>48459</c:v>
                </c:pt>
                <c:pt idx="5406">
                  <c:v>48460</c:v>
                </c:pt>
                <c:pt idx="5407">
                  <c:v>48461</c:v>
                </c:pt>
                <c:pt idx="5408">
                  <c:v>48462</c:v>
                </c:pt>
                <c:pt idx="5409">
                  <c:v>48463</c:v>
                </c:pt>
                <c:pt idx="5410">
                  <c:v>48464</c:v>
                </c:pt>
                <c:pt idx="5411">
                  <c:v>48465</c:v>
                </c:pt>
                <c:pt idx="5412">
                  <c:v>48466</c:v>
                </c:pt>
                <c:pt idx="5413">
                  <c:v>48467</c:v>
                </c:pt>
                <c:pt idx="5414">
                  <c:v>48468</c:v>
                </c:pt>
                <c:pt idx="5415">
                  <c:v>48469</c:v>
                </c:pt>
                <c:pt idx="5416">
                  <c:v>48470</c:v>
                </c:pt>
                <c:pt idx="5417">
                  <c:v>48471</c:v>
                </c:pt>
                <c:pt idx="5418">
                  <c:v>48472</c:v>
                </c:pt>
                <c:pt idx="5419">
                  <c:v>48473</c:v>
                </c:pt>
                <c:pt idx="5420">
                  <c:v>48474</c:v>
                </c:pt>
                <c:pt idx="5421">
                  <c:v>48475</c:v>
                </c:pt>
                <c:pt idx="5422">
                  <c:v>48476</c:v>
                </c:pt>
                <c:pt idx="5423">
                  <c:v>48477</c:v>
                </c:pt>
                <c:pt idx="5424">
                  <c:v>48478</c:v>
                </c:pt>
                <c:pt idx="5425">
                  <c:v>48479</c:v>
                </c:pt>
                <c:pt idx="5426">
                  <c:v>48480</c:v>
                </c:pt>
                <c:pt idx="5427">
                  <c:v>48481</c:v>
                </c:pt>
                <c:pt idx="5428">
                  <c:v>48482</c:v>
                </c:pt>
                <c:pt idx="5429">
                  <c:v>48483</c:v>
                </c:pt>
                <c:pt idx="5430">
                  <c:v>48484</c:v>
                </c:pt>
                <c:pt idx="5431">
                  <c:v>48485</c:v>
                </c:pt>
                <c:pt idx="5432">
                  <c:v>48486</c:v>
                </c:pt>
                <c:pt idx="5433">
                  <c:v>48487</c:v>
                </c:pt>
                <c:pt idx="5434">
                  <c:v>48488</c:v>
                </c:pt>
                <c:pt idx="5435">
                  <c:v>48489</c:v>
                </c:pt>
                <c:pt idx="5436">
                  <c:v>48490</c:v>
                </c:pt>
                <c:pt idx="5437">
                  <c:v>48491</c:v>
                </c:pt>
                <c:pt idx="5438">
                  <c:v>48492</c:v>
                </c:pt>
                <c:pt idx="5439">
                  <c:v>48493</c:v>
                </c:pt>
                <c:pt idx="5440">
                  <c:v>48494</c:v>
                </c:pt>
                <c:pt idx="5441">
                  <c:v>48495</c:v>
                </c:pt>
                <c:pt idx="5442">
                  <c:v>48496</c:v>
                </c:pt>
                <c:pt idx="5443">
                  <c:v>48497</c:v>
                </c:pt>
                <c:pt idx="5444">
                  <c:v>48498</c:v>
                </c:pt>
                <c:pt idx="5445">
                  <c:v>48499</c:v>
                </c:pt>
                <c:pt idx="5446">
                  <c:v>48500</c:v>
                </c:pt>
                <c:pt idx="5447">
                  <c:v>48501</c:v>
                </c:pt>
                <c:pt idx="5448">
                  <c:v>48502</c:v>
                </c:pt>
                <c:pt idx="5449">
                  <c:v>48503</c:v>
                </c:pt>
                <c:pt idx="5450">
                  <c:v>48504</c:v>
                </c:pt>
                <c:pt idx="5451">
                  <c:v>48505</c:v>
                </c:pt>
                <c:pt idx="5452">
                  <c:v>48506</c:v>
                </c:pt>
                <c:pt idx="5453">
                  <c:v>48507</c:v>
                </c:pt>
                <c:pt idx="5454">
                  <c:v>48508</c:v>
                </c:pt>
                <c:pt idx="5455">
                  <c:v>48509</c:v>
                </c:pt>
                <c:pt idx="5456">
                  <c:v>48510</c:v>
                </c:pt>
                <c:pt idx="5457">
                  <c:v>48511</c:v>
                </c:pt>
                <c:pt idx="5458">
                  <c:v>48512</c:v>
                </c:pt>
                <c:pt idx="5459">
                  <c:v>48513</c:v>
                </c:pt>
                <c:pt idx="5460">
                  <c:v>48514</c:v>
                </c:pt>
                <c:pt idx="5461">
                  <c:v>48515</c:v>
                </c:pt>
                <c:pt idx="5462">
                  <c:v>48516</c:v>
                </c:pt>
                <c:pt idx="5463">
                  <c:v>48517</c:v>
                </c:pt>
                <c:pt idx="5464">
                  <c:v>48518</c:v>
                </c:pt>
                <c:pt idx="5465">
                  <c:v>48519</c:v>
                </c:pt>
                <c:pt idx="5466">
                  <c:v>48520</c:v>
                </c:pt>
                <c:pt idx="5467">
                  <c:v>48521</c:v>
                </c:pt>
                <c:pt idx="5468">
                  <c:v>48522</c:v>
                </c:pt>
                <c:pt idx="5469">
                  <c:v>48523</c:v>
                </c:pt>
                <c:pt idx="5470">
                  <c:v>48524</c:v>
                </c:pt>
                <c:pt idx="5471">
                  <c:v>48525</c:v>
                </c:pt>
                <c:pt idx="5472">
                  <c:v>48526</c:v>
                </c:pt>
                <c:pt idx="5473">
                  <c:v>48527</c:v>
                </c:pt>
                <c:pt idx="5474">
                  <c:v>48528</c:v>
                </c:pt>
                <c:pt idx="5475">
                  <c:v>48529</c:v>
                </c:pt>
                <c:pt idx="5476">
                  <c:v>48530</c:v>
                </c:pt>
                <c:pt idx="5477">
                  <c:v>48531</c:v>
                </c:pt>
                <c:pt idx="5478">
                  <c:v>48532</c:v>
                </c:pt>
                <c:pt idx="5479">
                  <c:v>48533</c:v>
                </c:pt>
                <c:pt idx="5480">
                  <c:v>48534</c:v>
                </c:pt>
                <c:pt idx="5481">
                  <c:v>48535</c:v>
                </c:pt>
                <c:pt idx="5482">
                  <c:v>48536</c:v>
                </c:pt>
                <c:pt idx="5483">
                  <c:v>48537</c:v>
                </c:pt>
                <c:pt idx="5484">
                  <c:v>48538</c:v>
                </c:pt>
                <c:pt idx="5485">
                  <c:v>48539</c:v>
                </c:pt>
                <c:pt idx="5486">
                  <c:v>48540</c:v>
                </c:pt>
                <c:pt idx="5487">
                  <c:v>48541</c:v>
                </c:pt>
                <c:pt idx="5488">
                  <c:v>48542</c:v>
                </c:pt>
                <c:pt idx="5489">
                  <c:v>48543</c:v>
                </c:pt>
                <c:pt idx="5490">
                  <c:v>48544</c:v>
                </c:pt>
                <c:pt idx="5491">
                  <c:v>48545</c:v>
                </c:pt>
                <c:pt idx="5492">
                  <c:v>48546</c:v>
                </c:pt>
                <c:pt idx="5493">
                  <c:v>48547</c:v>
                </c:pt>
                <c:pt idx="5494">
                  <c:v>48548</c:v>
                </c:pt>
                <c:pt idx="5495">
                  <c:v>48549</c:v>
                </c:pt>
                <c:pt idx="5496">
                  <c:v>48550</c:v>
                </c:pt>
                <c:pt idx="5497">
                  <c:v>48551</c:v>
                </c:pt>
                <c:pt idx="5498">
                  <c:v>48552</c:v>
                </c:pt>
                <c:pt idx="5499">
                  <c:v>48553</c:v>
                </c:pt>
                <c:pt idx="5500">
                  <c:v>48554</c:v>
                </c:pt>
                <c:pt idx="5501">
                  <c:v>48555</c:v>
                </c:pt>
                <c:pt idx="5502">
                  <c:v>48556</c:v>
                </c:pt>
                <c:pt idx="5503">
                  <c:v>48557</c:v>
                </c:pt>
                <c:pt idx="5504">
                  <c:v>48558</c:v>
                </c:pt>
                <c:pt idx="5505">
                  <c:v>48559</c:v>
                </c:pt>
                <c:pt idx="5506">
                  <c:v>48560</c:v>
                </c:pt>
                <c:pt idx="5507">
                  <c:v>48561</c:v>
                </c:pt>
                <c:pt idx="5508">
                  <c:v>48562</c:v>
                </c:pt>
              </c:numCache>
            </c:numRef>
          </c:xVal>
          <c:yVal>
            <c:numRef>
              <c:f>Duracion!$X$4:$X$5512</c:f>
              <c:numCache>
                <c:formatCode>0.00%</c:formatCode>
                <c:ptCount val="5509"/>
                <c:pt idx="0">
                  <c:v>2.8515797226308141E-2</c:v>
                </c:pt>
                <c:pt idx="1">
                  <c:v>2.8515755714035203E-2</c:v>
                </c:pt>
                <c:pt idx="2">
                  <c:v>2.851571420176225E-2</c:v>
                </c:pt>
                <c:pt idx="3">
                  <c:v>2.8515672689489308E-2</c:v>
                </c:pt>
                <c:pt idx="4">
                  <c:v>2.8515631177216373E-2</c:v>
                </c:pt>
                <c:pt idx="5">
                  <c:v>2.8515589664943424E-2</c:v>
                </c:pt>
                <c:pt idx="6">
                  <c:v>2.8515548152670479E-2</c:v>
                </c:pt>
                <c:pt idx="7">
                  <c:v>2.8515506640397537E-2</c:v>
                </c:pt>
                <c:pt idx="8">
                  <c:v>2.8515465128124595E-2</c:v>
                </c:pt>
                <c:pt idx="9">
                  <c:v>2.8515423615851649E-2</c:v>
                </c:pt>
                <c:pt idx="10">
                  <c:v>2.85153821035787E-2</c:v>
                </c:pt>
                <c:pt idx="11">
                  <c:v>2.8515340591305765E-2</c:v>
                </c:pt>
                <c:pt idx="12">
                  <c:v>2.8515299079032826E-2</c:v>
                </c:pt>
                <c:pt idx="13">
                  <c:v>2.851525756675987E-2</c:v>
                </c:pt>
                <c:pt idx="14">
                  <c:v>2.8515216054486932E-2</c:v>
                </c:pt>
                <c:pt idx="15">
                  <c:v>2.851517454221399E-2</c:v>
                </c:pt>
                <c:pt idx="16">
                  <c:v>2.8515133029941037E-2</c:v>
                </c:pt>
                <c:pt idx="17">
                  <c:v>2.8515091517668102E-2</c:v>
                </c:pt>
                <c:pt idx="18">
                  <c:v>2.8515050005395153E-2</c:v>
                </c:pt>
                <c:pt idx="19">
                  <c:v>2.8515008493122208E-2</c:v>
                </c:pt>
                <c:pt idx="20">
                  <c:v>2.8514966980849269E-2</c:v>
                </c:pt>
                <c:pt idx="21">
                  <c:v>2.8514925468576324E-2</c:v>
                </c:pt>
                <c:pt idx="22">
                  <c:v>2.8514883956303385E-2</c:v>
                </c:pt>
                <c:pt idx="23">
                  <c:v>2.8514842444030429E-2</c:v>
                </c:pt>
                <c:pt idx="24">
                  <c:v>2.851480093175749E-2</c:v>
                </c:pt>
                <c:pt idx="25">
                  <c:v>2.8514759419484548E-2</c:v>
                </c:pt>
                <c:pt idx="26">
                  <c:v>2.8514717907211603E-2</c:v>
                </c:pt>
                <c:pt idx="27">
                  <c:v>2.8514676394938661E-2</c:v>
                </c:pt>
                <c:pt idx="28">
                  <c:v>2.8514634882665715E-2</c:v>
                </c:pt>
                <c:pt idx="29">
                  <c:v>2.8514593370392777E-2</c:v>
                </c:pt>
                <c:pt idx="30">
                  <c:v>2.8419803036819673E-2</c:v>
                </c:pt>
                <c:pt idx="31">
                  <c:v>2.841976152454672E-2</c:v>
                </c:pt>
                <c:pt idx="32">
                  <c:v>2.8419720012273796E-2</c:v>
                </c:pt>
                <c:pt idx="33">
                  <c:v>2.8419678500000836E-2</c:v>
                </c:pt>
                <c:pt idx="34">
                  <c:v>2.8419636987727901E-2</c:v>
                </c:pt>
                <c:pt idx="35">
                  <c:v>2.8419595475454952E-2</c:v>
                </c:pt>
                <c:pt idx="36">
                  <c:v>2.8419553963182017E-2</c:v>
                </c:pt>
                <c:pt idx="37">
                  <c:v>2.8419512450909068E-2</c:v>
                </c:pt>
                <c:pt idx="38">
                  <c:v>2.8419470938636122E-2</c:v>
                </c:pt>
                <c:pt idx="39">
                  <c:v>2.8419429426363187E-2</c:v>
                </c:pt>
                <c:pt idx="40">
                  <c:v>2.8419387914090228E-2</c:v>
                </c:pt>
                <c:pt idx="41">
                  <c:v>2.8419346401817293E-2</c:v>
                </c:pt>
                <c:pt idx="42">
                  <c:v>2.8419304889544354E-2</c:v>
                </c:pt>
                <c:pt idx="43">
                  <c:v>2.8419263377271409E-2</c:v>
                </c:pt>
                <c:pt idx="44">
                  <c:v>2.8419221864998456E-2</c:v>
                </c:pt>
                <c:pt idx="45">
                  <c:v>2.8419180352725514E-2</c:v>
                </c:pt>
                <c:pt idx="46">
                  <c:v>2.8419138840452576E-2</c:v>
                </c:pt>
                <c:pt idx="47">
                  <c:v>2.841909732817963E-2</c:v>
                </c:pt>
                <c:pt idx="48">
                  <c:v>2.8419055815906692E-2</c:v>
                </c:pt>
                <c:pt idx="49">
                  <c:v>2.8419014303633746E-2</c:v>
                </c:pt>
                <c:pt idx="50">
                  <c:v>2.8418972791360797E-2</c:v>
                </c:pt>
                <c:pt idx="51">
                  <c:v>2.8418931279087851E-2</c:v>
                </c:pt>
                <c:pt idx="52">
                  <c:v>2.8418889766814913E-2</c:v>
                </c:pt>
                <c:pt idx="53">
                  <c:v>2.8418848254541967E-2</c:v>
                </c:pt>
                <c:pt idx="54">
                  <c:v>2.8418806742269018E-2</c:v>
                </c:pt>
                <c:pt idx="55">
                  <c:v>2.8418765229996083E-2</c:v>
                </c:pt>
                <c:pt idx="56">
                  <c:v>2.8418723717723134E-2</c:v>
                </c:pt>
                <c:pt idx="57">
                  <c:v>2.8418682205450185E-2</c:v>
                </c:pt>
                <c:pt idx="58">
                  <c:v>2.8418640693177247E-2</c:v>
                </c:pt>
                <c:pt idx="59">
                  <c:v>2.8418599180904305E-2</c:v>
                </c:pt>
                <c:pt idx="60">
                  <c:v>2.8418557668631359E-2</c:v>
                </c:pt>
                <c:pt idx="61">
                  <c:v>2.8418516156358421E-2</c:v>
                </c:pt>
                <c:pt idx="62">
                  <c:v>2.8418474644085475E-2</c:v>
                </c:pt>
                <c:pt idx="63">
                  <c:v>2.8418433131812526E-2</c:v>
                </c:pt>
                <c:pt idx="64">
                  <c:v>2.8418391619539581E-2</c:v>
                </c:pt>
                <c:pt idx="65">
                  <c:v>2.8418350107266638E-2</c:v>
                </c:pt>
                <c:pt idx="66">
                  <c:v>2.8418308594993696E-2</c:v>
                </c:pt>
                <c:pt idx="67">
                  <c:v>2.8418267082720758E-2</c:v>
                </c:pt>
                <c:pt idx="68">
                  <c:v>2.8418225570447812E-2</c:v>
                </c:pt>
                <c:pt idx="69">
                  <c:v>2.8418184058174863E-2</c:v>
                </c:pt>
                <c:pt idx="70">
                  <c:v>2.8418142545901921E-2</c:v>
                </c:pt>
                <c:pt idx="71">
                  <c:v>2.8418101033628976E-2</c:v>
                </c:pt>
                <c:pt idx="72">
                  <c:v>2.8418059521356027E-2</c:v>
                </c:pt>
                <c:pt idx="73">
                  <c:v>2.8418018009083085E-2</c:v>
                </c:pt>
                <c:pt idx="74">
                  <c:v>2.8417976496810143E-2</c:v>
                </c:pt>
                <c:pt idx="75">
                  <c:v>2.8417934984537197E-2</c:v>
                </c:pt>
                <c:pt idx="76">
                  <c:v>2.8417893472264255E-2</c:v>
                </c:pt>
                <c:pt idx="77">
                  <c:v>2.841785195999132E-2</c:v>
                </c:pt>
                <c:pt idx="78">
                  <c:v>2.8417810447718368E-2</c:v>
                </c:pt>
                <c:pt idx="79">
                  <c:v>2.8417768935445429E-2</c:v>
                </c:pt>
                <c:pt idx="80">
                  <c:v>2.8417727423172483E-2</c:v>
                </c:pt>
                <c:pt idx="81">
                  <c:v>2.8417685910899534E-2</c:v>
                </c:pt>
                <c:pt idx="82">
                  <c:v>2.8417644398626592E-2</c:v>
                </c:pt>
                <c:pt idx="83">
                  <c:v>2.8417602886353657E-2</c:v>
                </c:pt>
                <c:pt idx="84">
                  <c:v>2.8417561374080705E-2</c:v>
                </c:pt>
                <c:pt idx="85">
                  <c:v>2.8417519861807756E-2</c:v>
                </c:pt>
                <c:pt idx="86">
                  <c:v>2.8417478349534821E-2</c:v>
                </c:pt>
                <c:pt idx="87">
                  <c:v>2.8417436837261872E-2</c:v>
                </c:pt>
                <c:pt idx="88">
                  <c:v>2.841739532498893E-2</c:v>
                </c:pt>
                <c:pt idx="89">
                  <c:v>2.8417353812715988E-2</c:v>
                </c:pt>
                <c:pt idx="90">
                  <c:v>2.8417312300443046E-2</c:v>
                </c:pt>
                <c:pt idx="91">
                  <c:v>2.84172707881701E-2</c:v>
                </c:pt>
                <c:pt idx="92">
                  <c:v>2.8417229275897158E-2</c:v>
                </c:pt>
                <c:pt idx="93">
                  <c:v>2.8417187763624209E-2</c:v>
                </c:pt>
                <c:pt idx="94">
                  <c:v>2.8417146251351263E-2</c:v>
                </c:pt>
                <c:pt idx="95">
                  <c:v>2.8417104739078318E-2</c:v>
                </c:pt>
                <c:pt idx="96">
                  <c:v>2.8417063226805379E-2</c:v>
                </c:pt>
                <c:pt idx="97">
                  <c:v>2.8417021714532434E-2</c:v>
                </c:pt>
                <c:pt idx="98">
                  <c:v>2.8416980202259495E-2</c:v>
                </c:pt>
                <c:pt idx="99">
                  <c:v>2.8416938689986553E-2</c:v>
                </c:pt>
                <c:pt idx="100">
                  <c:v>2.8416897177713601E-2</c:v>
                </c:pt>
                <c:pt idx="101">
                  <c:v>2.8416855665440666E-2</c:v>
                </c:pt>
                <c:pt idx="102">
                  <c:v>2.8416814153167717E-2</c:v>
                </c:pt>
                <c:pt idx="103">
                  <c:v>2.8416772640894771E-2</c:v>
                </c:pt>
                <c:pt idx="104">
                  <c:v>2.8416731128621829E-2</c:v>
                </c:pt>
                <c:pt idx="105">
                  <c:v>2.8416689616348887E-2</c:v>
                </c:pt>
                <c:pt idx="106">
                  <c:v>2.8416648104075945E-2</c:v>
                </c:pt>
                <c:pt idx="107">
                  <c:v>2.8416606591802993E-2</c:v>
                </c:pt>
                <c:pt idx="108">
                  <c:v>2.8416565079530054E-2</c:v>
                </c:pt>
                <c:pt idx="109">
                  <c:v>2.8416523567257108E-2</c:v>
                </c:pt>
                <c:pt idx="110">
                  <c:v>2.841648205498417E-2</c:v>
                </c:pt>
                <c:pt idx="111">
                  <c:v>2.8416440542711217E-2</c:v>
                </c:pt>
                <c:pt idx="112">
                  <c:v>2.8416399030438275E-2</c:v>
                </c:pt>
                <c:pt idx="113">
                  <c:v>2.841635751816533E-2</c:v>
                </c:pt>
                <c:pt idx="114">
                  <c:v>2.8416316005892384E-2</c:v>
                </c:pt>
                <c:pt idx="115">
                  <c:v>2.8416274493619446E-2</c:v>
                </c:pt>
                <c:pt idx="116">
                  <c:v>2.84162329813465E-2</c:v>
                </c:pt>
                <c:pt idx="117">
                  <c:v>2.8416191469073558E-2</c:v>
                </c:pt>
                <c:pt idx="118">
                  <c:v>2.8416149956800609E-2</c:v>
                </c:pt>
                <c:pt idx="119">
                  <c:v>2.8416108444527674E-2</c:v>
                </c:pt>
                <c:pt idx="120">
                  <c:v>2.8416066932254732E-2</c:v>
                </c:pt>
                <c:pt idx="121">
                  <c:v>2.8416025419981783E-2</c:v>
                </c:pt>
                <c:pt idx="122">
                  <c:v>2.8415983907708848E-2</c:v>
                </c:pt>
                <c:pt idx="123">
                  <c:v>2.8415942395435899E-2</c:v>
                </c:pt>
                <c:pt idx="124">
                  <c:v>2.8415900883162957E-2</c:v>
                </c:pt>
                <c:pt idx="125">
                  <c:v>2.8415859370890011E-2</c:v>
                </c:pt>
                <c:pt idx="126">
                  <c:v>2.8415817858617062E-2</c:v>
                </c:pt>
                <c:pt idx="127">
                  <c:v>2.8415776346344127E-2</c:v>
                </c:pt>
                <c:pt idx="128">
                  <c:v>2.8415734834071178E-2</c:v>
                </c:pt>
                <c:pt idx="129">
                  <c:v>2.8415693321798236E-2</c:v>
                </c:pt>
                <c:pt idx="130">
                  <c:v>2.8415651809525291E-2</c:v>
                </c:pt>
                <c:pt idx="131">
                  <c:v>2.8415610297252352E-2</c:v>
                </c:pt>
                <c:pt idx="132">
                  <c:v>2.84155687849794E-2</c:v>
                </c:pt>
                <c:pt idx="133">
                  <c:v>2.8415527272706454E-2</c:v>
                </c:pt>
                <c:pt idx="134">
                  <c:v>2.8415485760433516E-2</c:v>
                </c:pt>
                <c:pt idx="135">
                  <c:v>2.8415444248160577E-2</c:v>
                </c:pt>
                <c:pt idx="136">
                  <c:v>2.8415402735887635E-2</c:v>
                </c:pt>
                <c:pt idx="137">
                  <c:v>2.8415361223614686E-2</c:v>
                </c:pt>
                <c:pt idx="138">
                  <c:v>2.8415319711341744E-2</c:v>
                </c:pt>
                <c:pt idx="139">
                  <c:v>2.8415278199068791E-2</c:v>
                </c:pt>
                <c:pt idx="140">
                  <c:v>2.8415236686795856E-2</c:v>
                </c:pt>
                <c:pt idx="141">
                  <c:v>2.8415195174522907E-2</c:v>
                </c:pt>
                <c:pt idx="142">
                  <c:v>2.8415153662249962E-2</c:v>
                </c:pt>
                <c:pt idx="143">
                  <c:v>2.8415112149977023E-2</c:v>
                </c:pt>
                <c:pt idx="144">
                  <c:v>2.8415070637704081E-2</c:v>
                </c:pt>
                <c:pt idx="145">
                  <c:v>2.8415029125431136E-2</c:v>
                </c:pt>
                <c:pt idx="146">
                  <c:v>2.8414987613158194E-2</c:v>
                </c:pt>
                <c:pt idx="147">
                  <c:v>2.8414946100885245E-2</c:v>
                </c:pt>
                <c:pt idx="148">
                  <c:v>2.8414904588612299E-2</c:v>
                </c:pt>
                <c:pt idx="149">
                  <c:v>2.841486307633936E-2</c:v>
                </c:pt>
                <c:pt idx="150">
                  <c:v>2.8414821564066415E-2</c:v>
                </c:pt>
                <c:pt idx="151">
                  <c:v>2.8414780051793473E-2</c:v>
                </c:pt>
                <c:pt idx="152">
                  <c:v>2.8414738539520524E-2</c:v>
                </c:pt>
                <c:pt idx="153">
                  <c:v>2.8414697027247578E-2</c:v>
                </c:pt>
                <c:pt idx="154">
                  <c:v>2.841465551497464E-2</c:v>
                </c:pt>
                <c:pt idx="155">
                  <c:v>2.8414614002701694E-2</c:v>
                </c:pt>
                <c:pt idx="156">
                  <c:v>2.8414572490428752E-2</c:v>
                </c:pt>
                <c:pt idx="157">
                  <c:v>2.8414530978155807E-2</c:v>
                </c:pt>
                <c:pt idx="158">
                  <c:v>2.8414489465882865E-2</c:v>
                </c:pt>
                <c:pt idx="159">
                  <c:v>2.8414447953609923E-2</c:v>
                </c:pt>
                <c:pt idx="160">
                  <c:v>2.8414406441336974E-2</c:v>
                </c:pt>
                <c:pt idx="161">
                  <c:v>2.8414364929064032E-2</c:v>
                </c:pt>
                <c:pt idx="162">
                  <c:v>2.8414323416791089E-2</c:v>
                </c:pt>
                <c:pt idx="163">
                  <c:v>2.8414281904518147E-2</c:v>
                </c:pt>
                <c:pt idx="164">
                  <c:v>2.8414240392245202E-2</c:v>
                </c:pt>
                <c:pt idx="165">
                  <c:v>2.8414198879972253E-2</c:v>
                </c:pt>
                <c:pt idx="166">
                  <c:v>2.8414157367699311E-2</c:v>
                </c:pt>
                <c:pt idx="167">
                  <c:v>2.8414115855426365E-2</c:v>
                </c:pt>
                <c:pt idx="168">
                  <c:v>2.8414074343153427E-2</c:v>
                </c:pt>
                <c:pt idx="169">
                  <c:v>2.8414032830880481E-2</c:v>
                </c:pt>
                <c:pt idx="170">
                  <c:v>2.8413991318607539E-2</c:v>
                </c:pt>
                <c:pt idx="171">
                  <c:v>2.841394980633459E-2</c:v>
                </c:pt>
                <c:pt idx="172">
                  <c:v>2.8413908294061648E-2</c:v>
                </c:pt>
                <c:pt idx="173">
                  <c:v>2.8413866781788706E-2</c:v>
                </c:pt>
                <c:pt idx="174">
                  <c:v>2.8413825269515757E-2</c:v>
                </c:pt>
                <c:pt idx="175">
                  <c:v>2.8413783757242819E-2</c:v>
                </c:pt>
                <c:pt idx="176">
                  <c:v>2.8413742244969876E-2</c:v>
                </c:pt>
                <c:pt idx="177">
                  <c:v>2.8413700732696931E-2</c:v>
                </c:pt>
                <c:pt idx="178">
                  <c:v>2.8413659220423982E-2</c:v>
                </c:pt>
                <c:pt idx="179">
                  <c:v>2.841361770815104E-2</c:v>
                </c:pt>
                <c:pt idx="180">
                  <c:v>2.8413576195878098E-2</c:v>
                </c:pt>
                <c:pt idx="181">
                  <c:v>2.8413534683605156E-2</c:v>
                </c:pt>
                <c:pt idx="182">
                  <c:v>2.841349317133221E-2</c:v>
                </c:pt>
                <c:pt idx="183">
                  <c:v>2.8413451659059261E-2</c:v>
                </c:pt>
                <c:pt idx="184">
                  <c:v>2.8413410146786319E-2</c:v>
                </c:pt>
                <c:pt idx="185">
                  <c:v>2.8413368634513377E-2</c:v>
                </c:pt>
                <c:pt idx="186">
                  <c:v>2.8413327122240435E-2</c:v>
                </c:pt>
                <c:pt idx="187">
                  <c:v>2.8413285609967493E-2</c:v>
                </c:pt>
                <c:pt idx="188">
                  <c:v>2.8413244097694548E-2</c:v>
                </c:pt>
                <c:pt idx="189">
                  <c:v>2.8413202585421599E-2</c:v>
                </c:pt>
                <c:pt idx="190">
                  <c:v>2.8413161073148663E-2</c:v>
                </c:pt>
                <c:pt idx="191">
                  <c:v>2.8413119560875714E-2</c:v>
                </c:pt>
                <c:pt idx="192">
                  <c:v>2.8413078048602772E-2</c:v>
                </c:pt>
                <c:pt idx="193">
                  <c:v>2.8413036536329827E-2</c:v>
                </c:pt>
                <c:pt idx="194">
                  <c:v>2.8412995024056885E-2</c:v>
                </c:pt>
                <c:pt idx="195">
                  <c:v>2.8412953511783943E-2</c:v>
                </c:pt>
                <c:pt idx="196">
                  <c:v>2.8412911999510997E-2</c:v>
                </c:pt>
                <c:pt idx="197">
                  <c:v>2.8412870487238055E-2</c:v>
                </c:pt>
                <c:pt idx="198">
                  <c:v>2.8412828974965106E-2</c:v>
                </c:pt>
                <c:pt idx="199">
                  <c:v>2.8412787462692171E-2</c:v>
                </c:pt>
                <c:pt idx="200">
                  <c:v>2.8412745950419219E-2</c:v>
                </c:pt>
                <c:pt idx="201">
                  <c:v>2.8412704438146277E-2</c:v>
                </c:pt>
                <c:pt idx="202">
                  <c:v>2.8412662925873328E-2</c:v>
                </c:pt>
                <c:pt idx="203">
                  <c:v>2.8412621413600393E-2</c:v>
                </c:pt>
                <c:pt idx="204">
                  <c:v>2.8412579901327444E-2</c:v>
                </c:pt>
                <c:pt idx="205">
                  <c:v>2.8412538389054498E-2</c:v>
                </c:pt>
                <c:pt idx="206">
                  <c:v>2.8412496876781556E-2</c:v>
                </c:pt>
                <c:pt idx="207">
                  <c:v>2.8412455364508607E-2</c:v>
                </c:pt>
                <c:pt idx="208">
                  <c:v>2.8412413852235672E-2</c:v>
                </c:pt>
                <c:pt idx="209">
                  <c:v>2.8412372339962723E-2</c:v>
                </c:pt>
                <c:pt idx="210">
                  <c:v>2.8412330827689781E-2</c:v>
                </c:pt>
                <c:pt idx="211">
                  <c:v>2.8412289315416846E-2</c:v>
                </c:pt>
                <c:pt idx="212">
                  <c:v>2.8321243963817112E-2</c:v>
                </c:pt>
                <c:pt idx="213">
                  <c:v>2.832120245154417E-2</c:v>
                </c:pt>
                <c:pt idx="214">
                  <c:v>2.8321160939271221E-2</c:v>
                </c:pt>
                <c:pt idx="215">
                  <c:v>2.8321119426998279E-2</c:v>
                </c:pt>
                <c:pt idx="216">
                  <c:v>2.8321077914725337E-2</c:v>
                </c:pt>
                <c:pt idx="217">
                  <c:v>2.8321036402452392E-2</c:v>
                </c:pt>
                <c:pt idx="218">
                  <c:v>2.832099489017945E-2</c:v>
                </c:pt>
                <c:pt idx="219">
                  <c:v>2.8320953377906508E-2</c:v>
                </c:pt>
                <c:pt idx="220">
                  <c:v>2.8320911865633559E-2</c:v>
                </c:pt>
                <c:pt idx="221">
                  <c:v>2.8320870353360617E-2</c:v>
                </c:pt>
                <c:pt idx="222">
                  <c:v>2.8320828841087671E-2</c:v>
                </c:pt>
                <c:pt idx="223">
                  <c:v>2.8320787328814729E-2</c:v>
                </c:pt>
                <c:pt idx="224">
                  <c:v>2.8320745816541787E-2</c:v>
                </c:pt>
                <c:pt idx="225">
                  <c:v>2.8320704304268845E-2</c:v>
                </c:pt>
                <c:pt idx="226">
                  <c:v>2.8320662791995896E-2</c:v>
                </c:pt>
                <c:pt idx="227">
                  <c:v>2.832062127972295E-2</c:v>
                </c:pt>
                <c:pt idx="228">
                  <c:v>2.8320579767450012E-2</c:v>
                </c:pt>
                <c:pt idx="229">
                  <c:v>2.8320538255177059E-2</c:v>
                </c:pt>
                <c:pt idx="230">
                  <c:v>2.8320496742904124E-2</c:v>
                </c:pt>
                <c:pt idx="231">
                  <c:v>2.8320455230631175E-2</c:v>
                </c:pt>
                <c:pt idx="232">
                  <c:v>2.8320413718358237E-2</c:v>
                </c:pt>
                <c:pt idx="233">
                  <c:v>2.8320372206085295E-2</c:v>
                </c:pt>
                <c:pt idx="234">
                  <c:v>2.8320330693812346E-2</c:v>
                </c:pt>
                <c:pt idx="235">
                  <c:v>2.8320289181539404E-2</c:v>
                </c:pt>
                <c:pt idx="236">
                  <c:v>2.8320247669266458E-2</c:v>
                </c:pt>
                <c:pt idx="237">
                  <c:v>2.8320206156993519E-2</c:v>
                </c:pt>
                <c:pt idx="238">
                  <c:v>2.8320164644720567E-2</c:v>
                </c:pt>
                <c:pt idx="239">
                  <c:v>2.8320123132447625E-2</c:v>
                </c:pt>
                <c:pt idx="240">
                  <c:v>2.8320081620174683E-2</c:v>
                </c:pt>
                <c:pt idx="241">
                  <c:v>2.8320040107901737E-2</c:v>
                </c:pt>
                <c:pt idx="242">
                  <c:v>2.8319998595628799E-2</c:v>
                </c:pt>
                <c:pt idx="243">
                  <c:v>2.8319957083355853E-2</c:v>
                </c:pt>
                <c:pt idx="244">
                  <c:v>2.8319915571082904E-2</c:v>
                </c:pt>
                <c:pt idx="245">
                  <c:v>2.8319874058809962E-2</c:v>
                </c:pt>
                <c:pt idx="246">
                  <c:v>2.831983254653702E-2</c:v>
                </c:pt>
                <c:pt idx="247">
                  <c:v>2.8319791034264075E-2</c:v>
                </c:pt>
                <c:pt idx="248">
                  <c:v>2.8319749521991133E-2</c:v>
                </c:pt>
                <c:pt idx="249">
                  <c:v>2.8319708009718184E-2</c:v>
                </c:pt>
                <c:pt idx="250">
                  <c:v>2.8319666497445242E-2</c:v>
                </c:pt>
                <c:pt idx="251">
                  <c:v>2.8319624985172296E-2</c:v>
                </c:pt>
                <c:pt idx="252">
                  <c:v>2.8319583472899361E-2</c:v>
                </c:pt>
                <c:pt idx="253">
                  <c:v>2.8319541960626408E-2</c:v>
                </c:pt>
                <c:pt idx="254">
                  <c:v>2.831950044835347E-2</c:v>
                </c:pt>
                <c:pt idx="255">
                  <c:v>2.8319458936080524E-2</c:v>
                </c:pt>
                <c:pt idx="256">
                  <c:v>2.8319417423807586E-2</c:v>
                </c:pt>
                <c:pt idx="257">
                  <c:v>2.831937591153464E-2</c:v>
                </c:pt>
                <c:pt idx="258">
                  <c:v>2.8319334399261691E-2</c:v>
                </c:pt>
                <c:pt idx="259">
                  <c:v>2.8319292886988749E-2</c:v>
                </c:pt>
                <c:pt idx="260">
                  <c:v>2.8319251374715807E-2</c:v>
                </c:pt>
                <c:pt idx="261">
                  <c:v>2.8319209862442862E-2</c:v>
                </c:pt>
                <c:pt idx="262">
                  <c:v>2.8319168350169913E-2</c:v>
                </c:pt>
                <c:pt idx="263">
                  <c:v>2.8319126837896978E-2</c:v>
                </c:pt>
                <c:pt idx="264">
                  <c:v>2.8319085325624029E-2</c:v>
                </c:pt>
                <c:pt idx="265">
                  <c:v>2.8319043813351086E-2</c:v>
                </c:pt>
                <c:pt idx="266">
                  <c:v>2.8319002301078144E-2</c:v>
                </c:pt>
                <c:pt idx="267">
                  <c:v>2.8318960788805199E-2</c:v>
                </c:pt>
                <c:pt idx="268">
                  <c:v>2.831891927653225E-2</c:v>
                </c:pt>
                <c:pt idx="269">
                  <c:v>2.8318877764259308E-2</c:v>
                </c:pt>
                <c:pt idx="270">
                  <c:v>2.8318836251986366E-2</c:v>
                </c:pt>
                <c:pt idx="271">
                  <c:v>2.831879473971342E-2</c:v>
                </c:pt>
                <c:pt idx="272">
                  <c:v>2.8318753227440475E-2</c:v>
                </c:pt>
                <c:pt idx="273">
                  <c:v>2.8318711715167533E-2</c:v>
                </c:pt>
                <c:pt idx="274">
                  <c:v>2.8318670202894594E-2</c:v>
                </c:pt>
                <c:pt idx="275">
                  <c:v>2.8318628690621649E-2</c:v>
                </c:pt>
                <c:pt idx="276">
                  <c:v>2.8318587178348707E-2</c:v>
                </c:pt>
                <c:pt idx="277">
                  <c:v>2.8318545666075758E-2</c:v>
                </c:pt>
                <c:pt idx="278">
                  <c:v>2.8318504153802816E-2</c:v>
                </c:pt>
                <c:pt idx="279">
                  <c:v>2.831846264152987E-2</c:v>
                </c:pt>
                <c:pt idx="280">
                  <c:v>2.8318421129256928E-2</c:v>
                </c:pt>
                <c:pt idx="281">
                  <c:v>2.8318379616983986E-2</c:v>
                </c:pt>
                <c:pt idx="282">
                  <c:v>2.8318338104711037E-2</c:v>
                </c:pt>
                <c:pt idx="283">
                  <c:v>2.8318296592438095E-2</c:v>
                </c:pt>
                <c:pt idx="284">
                  <c:v>2.8318255080165149E-2</c:v>
                </c:pt>
                <c:pt idx="285">
                  <c:v>2.8318213567892211E-2</c:v>
                </c:pt>
                <c:pt idx="286">
                  <c:v>2.8318172055619258E-2</c:v>
                </c:pt>
                <c:pt idx="287">
                  <c:v>2.8318130543346323E-2</c:v>
                </c:pt>
                <c:pt idx="288">
                  <c:v>2.8318089031073374E-2</c:v>
                </c:pt>
                <c:pt idx="289">
                  <c:v>2.8318047518800432E-2</c:v>
                </c:pt>
                <c:pt idx="290">
                  <c:v>2.8318006006527487E-2</c:v>
                </c:pt>
                <c:pt idx="291">
                  <c:v>2.8317964494254541E-2</c:v>
                </c:pt>
                <c:pt idx="292">
                  <c:v>2.8317922981981603E-2</c:v>
                </c:pt>
                <c:pt idx="293">
                  <c:v>2.8317881469708657E-2</c:v>
                </c:pt>
                <c:pt idx="294">
                  <c:v>2.8317839957435715E-2</c:v>
                </c:pt>
                <c:pt idx="295">
                  <c:v>2.8317798445162766E-2</c:v>
                </c:pt>
                <c:pt idx="296">
                  <c:v>2.8317756932889824E-2</c:v>
                </c:pt>
                <c:pt idx="297">
                  <c:v>2.8317715420616882E-2</c:v>
                </c:pt>
                <c:pt idx="298">
                  <c:v>2.8317673908343936E-2</c:v>
                </c:pt>
                <c:pt idx="299">
                  <c:v>2.8317632396071005E-2</c:v>
                </c:pt>
                <c:pt idx="300">
                  <c:v>2.8317590883798052E-2</c:v>
                </c:pt>
                <c:pt idx="301">
                  <c:v>2.831754937152511E-2</c:v>
                </c:pt>
                <c:pt idx="302">
                  <c:v>2.8317507859252168E-2</c:v>
                </c:pt>
                <c:pt idx="303">
                  <c:v>2.8317466346979219E-2</c:v>
                </c:pt>
                <c:pt idx="304">
                  <c:v>2.8317424834706277E-2</c:v>
                </c:pt>
                <c:pt idx="305">
                  <c:v>2.8317383322433335E-2</c:v>
                </c:pt>
                <c:pt idx="306">
                  <c:v>2.8317341810160393E-2</c:v>
                </c:pt>
                <c:pt idx="307">
                  <c:v>2.8317300297887441E-2</c:v>
                </c:pt>
                <c:pt idx="308">
                  <c:v>2.8317258785614505E-2</c:v>
                </c:pt>
                <c:pt idx="309">
                  <c:v>2.8317217273341556E-2</c:v>
                </c:pt>
                <c:pt idx="310">
                  <c:v>2.8317175761068618E-2</c:v>
                </c:pt>
                <c:pt idx="311">
                  <c:v>2.8317134248795669E-2</c:v>
                </c:pt>
                <c:pt idx="312">
                  <c:v>2.8317092736522727E-2</c:v>
                </c:pt>
                <c:pt idx="313">
                  <c:v>2.8317051224249785E-2</c:v>
                </c:pt>
                <c:pt idx="314">
                  <c:v>2.8317009711976839E-2</c:v>
                </c:pt>
                <c:pt idx="315">
                  <c:v>2.8316968199703897E-2</c:v>
                </c:pt>
                <c:pt idx="316">
                  <c:v>2.8316926687430955E-2</c:v>
                </c:pt>
                <c:pt idx="317">
                  <c:v>2.8316885175158013E-2</c:v>
                </c:pt>
                <c:pt idx="318">
                  <c:v>2.8316843662885071E-2</c:v>
                </c:pt>
                <c:pt idx="319">
                  <c:v>2.8316802150612122E-2</c:v>
                </c:pt>
                <c:pt idx="320">
                  <c:v>2.8316760638339177E-2</c:v>
                </c:pt>
                <c:pt idx="321">
                  <c:v>2.8316719126066238E-2</c:v>
                </c:pt>
                <c:pt idx="322">
                  <c:v>2.8316677613793285E-2</c:v>
                </c:pt>
                <c:pt idx="323">
                  <c:v>2.8316636101520343E-2</c:v>
                </c:pt>
                <c:pt idx="324">
                  <c:v>2.8316594589247398E-2</c:v>
                </c:pt>
                <c:pt idx="325">
                  <c:v>2.8316553076974456E-2</c:v>
                </c:pt>
                <c:pt idx="326">
                  <c:v>2.8316511564701514E-2</c:v>
                </c:pt>
                <c:pt idx="327">
                  <c:v>2.8316470052428565E-2</c:v>
                </c:pt>
                <c:pt idx="328">
                  <c:v>2.831642854015563E-2</c:v>
                </c:pt>
                <c:pt idx="329">
                  <c:v>2.8316387027882677E-2</c:v>
                </c:pt>
                <c:pt idx="330">
                  <c:v>2.8316345515609742E-2</c:v>
                </c:pt>
                <c:pt idx="331">
                  <c:v>2.8316304003336793E-2</c:v>
                </c:pt>
                <c:pt idx="332">
                  <c:v>2.8316262491063851E-2</c:v>
                </c:pt>
                <c:pt idx="333">
                  <c:v>2.8316220978790906E-2</c:v>
                </c:pt>
                <c:pt idx="334">
                  <c:v>2.8316179466517957E-2</c:v>
                </c:pt>
                <c:pt idx="335">
                  <c:v>2.8316137954245021E-2</c:v>
                </c:pt>
                <c:pt idx="336">
                  <c:v>2.8316096441972072E-2</c:v>
                </c:pt>
                <c:pt idx="337">
                  <c:v>2.831605492969913E-2</c:v>
                </c:pt>
                <c:pt idx="338">
                  <c:v>2.8316013417426185E-2</c:v>
                </c:pt>
                <c:pt idx="339">
                  <c:v>2.8315971905153243E-2</c:v>
                </c:pt>
                <c:pt idx="340">
                  <c:v>2.8315930392880301E-2</c:v>
                </c:pt>
                <c:pt idx="341">
                  <c:v>2.8315888880607352E-2</c:v>
                </c:pt>
                <c:pt idx="342">
                  <c:v>2.831584736833441E-2</c:v>
                </c:pt>
                <c:pt idx="343">
                  <c:v>2.8315805856061464E-2</c:v>
                </c:pt>
                <c:pt idx="344">
                  <c:v>2.8315764343788526E-2</c:v>
                </c:pt>
                <c:pt idx="345">
                  <c:v>2.831572283151558E-2</c:v>
                </c:pt>
                <c:pt idx="346">
                  <c:v>2.8315681319242631E-2</c:v>
                </c:pt>
                <c:pt idx="347">
                  <c:v>2.8315639806969689E-2</c:v>
                </c:pt>
                <c:pt idx="348">
                  <c:v>2.8315598294696747E-2</c:v>
                </c:pt>
                <c:pt idx="349">
                  <c:v>2.8315556782423808E-2</c:v>
                </c:pt>
                <c:pt idx="350">
                  <c:v>2.8315515270150859E-2</c:v>
                </c:pt>
                <c:pt idx="351">
                  <c:v>2.8315473757877917E-2</c:v>
                </c:pt>
                <c:pt idx="352">
                  <c:v>2.8315432245604972E-2</c:v>
                </c:pt>
                <c:pt idx="353">
                  <c:v>2.831539073333203E-2</c:v>
                </c:pt>
                <c:pt idx="354">
                  <c:v>2.8315349221059088E-2</c:v>
                </c:pt>
                <c:pt idx="355">
                  <c:v>2.8315307708786139E-2</c:v>
                </c:pt>
                <c:pt idx="356">
                  <c:v>2.8315266196513197E-2</c:v>
                </c:pt>
                <c:pt idx="357">
                  <c:v>2.8315224684240255E-2</c:v>
                </c:pt>
                <c:pt idx="358">
                  <c:v>2.8315183171967309E-2</c:v>
                </c:pt>
                <c:pt idx="359">
                  <c:v>2.8315141659694367E-2</c:v>
                </c:pt>
                <c:pt idx="360">
                  <c:v>2.8315100147421418E-2</c:v>
                </c:pt>
                <c:pt idx="361">
                  <c:v>2.8315058635148476E-2</c:v>
                </c:pt>
                <c:pt idx="362">
                  <c:v>2.8315017122875531E-2</c:v>
                </c:pt>
                <c:pt idx="363">
                  <c:v>2.8314975610602592E-2</c:v>
                </c:pt>
                <c:pt idx="364">
                  <c:v>2.831493409832964E-2</c:v>
                </c:pt>
                <c:pt idx="365">
                  <c:v>2.8314892586056697E-2</c:v>
                </c:pt>
                <c:pt idx="366">
                  <c:v>2.8314851073783755E-2</c:v>
                </c:pt>
                <c:pt idx="367">
                  <c:v>2.8314809561510813E-2</c:v>
                </c:pt>
                <c:pt idx="368">
                  <c:v>2.8314768049237875E-2</c:v>
                </c:pt>
                <c:pt idx="369">
                  <c:v>2.8314726536964926E-2</c:v>
                </c:pt>
                <c:pt idx="370">
                  <c:v>2.8314685024691984E-2</c:v>
                </c:pt>
                <c:pt idx="371">
                  <c:v>2.8314643512419042E-2</c:v>
                </c:pt>
                <c:pt idx="372">
                  <c:v>2.8314602000146096E-2</c:v>
                </c:pt>
                <c:pt idx="373">
                  <c:v>2.8314560487873147E-2</c:v>
                </c:pt>
                <c:pt idx="374">
                  <c:v>2.8314518975600205E-2</c:v>
                </c:pt>
                <c:pt idx="375">
                  <c:v>2.8314477463327263E-2</c:v>
                </c:pt>
                <c:pt idx="376">
                  <c:v>2.8314435951054321E-2</c:v>
                </c:pt>
                <c:pt idx="377">
                  <c:v>2.8314394438781375E-2</c:v>
                </c:pt>
                <c:pt idx="378">
                  <c:v>2.8314352926508433E-2</c:v>
                </c:pt>
                <c:pt idx="379">
                  <c:v>2.8314311414235484E-2</c:v>
                </c:pt>
                <c:pt idx="380">
                  <c:v>2.8314269901962542E-2</c:v>
                </c:pt>
                <c:pt idx="381">
                  <c:v>2.83142283896896E-2</c:v>
                </c:pt>
                <c:pt idx="382">
                  <c:v>2.8314186877416655E-2</c:v>
                </c:pt>
                <c:pt idx="383">
                  <c:v>2.8314145365143713E-2</c:v>
                </c:pt>
                <c:pt idx="384">
                  <c:v>2.8314103852870764E-2</c:v>
                </c:pt>
                <c:pt idx="385">
                  <c:v>2.8314062340597822E-2</c:v>
                </c:pt>
                <c:pt idx="386">
                  <c:v>2.8314020828324876E-2</c:v>
                </c:pt>
                <c:pt idx="387">
                  <c:v>2.8313979316051938E-2</c:v>
                </c:pt>
                <c:pt idx="388">
                  <c:v>2.8313937803778989E-2</c:v>
                </c:pt>
                <c:pt idx="389">
                  <c:v>2.8313896291506057E-2</c:v>
                </c:pt>
                <c:pt idx="390">
                  <c:v>2.8313854779233108E-2</c:v>
                </c:pt>
                <c:pt idx="391">
                  <c:v>2.8313813266960162E-2</c:v>
                </c:pt>
                <c:pt idx="392">
                  <c:v>2.8313771754687224E-2</c:v>
                </c:pt>
                <c:pt idx="393">
                  <c:v>2.8313730242414278E-2</c:v>
                </c:pt>
                <c:pt idx="394">
                  <c:v>2.8313688730141336E-2</c:v>
                </c:pt>
                <c:pt idx="395">
                  <c:v>2.822655675873207E-2</c:v>
                </c:pt>
                <c:pt idx="396">
                  <c:v>2.8226515246459121E-2</c:v>
                </c:pt>
                <c:pt idx="397">
                  <c:v>2.8226473734186186E-2</c:v>
                </c:pt>
                <c:pt idx="398">
                  <c:v>2.822643222191324E-2</c:v>
                </c:pt>
                <c:pt idx="399">
                  <c:v>2.8226390709640298E-2</c:v>
                </c:pt>
                <c:pt idx="400">
                  <c:v>2.8226349197367349E-2</c:v>
                </c:pt>
                <c:pt idx="401">
                  <c:v>2.8226307685094414E-2</c:v>
                </c:pt>
                <c:pt idx="402">
                  <c:v>2.8226266172821462E-2</c:v>
                </c:pt>
                <c:pt idx="403">
                  <c:v>2.822622466054852E-2</c:v>
                </c:pt>
                <c:pt idx="404">
                  <c:v>2.8226183148275578E-2</c:v>
                </c:pt>
                <c:pt idx="405">
                  <c:v>2.8226141636002636E-2</c:v>
                </c:pt>
                <c:pt idx="406">
                  <c:v>2.8226100123729687E-2</c:v>
                </c:pt>
                <c:pt idx="407">
                  <c:v>2.8226058611456745E-2</c:v>
                </c:pt>
                <c:pt idx="408">
                  <c:v>2.8226017099183803E-2</c:v>
                </c:pt>
                <c:pt idx="409">
                  <c:v>2.822597558691085E-2</c:v>
                </c:pt>
                <c:pt idx="410">
                  <c:v>2.8225934074637915E-2</c:v>
                </c:pt>
                <c:pt idx="411">
                  <c:v>2.8225892562364966E-2</c:v>
                </c:pt>
                <c:pt idx="412">
                  <c:v>2.8225851050092021E-2</c:v>
                </c:pt>
                <c:pt idx="413">
                  <c:v>2.8225809537819078E-2</c:v>
                </c:pt>
                <c:pt idx="414">
                  <c:v>2.822576802554614E-2</c:v>
                </c:pt>
                <c:pt idx="415">
                  <c:v>2.8225726513273187E-2</c:v>
                </c:pt>
                <c:pt idx="416">
                  <c:v>2.8225685001000252E-2</c:v>
                </c:pt>
                <c:pt idx="417">
                  <c:v>2.8225643488727307E-2</c:v>
                </c:pt>
                <c:pt idx="418">
                  <c:v>2.8225601976454365E-2</c:v>
                </c:pt>
                <c:pt idx="419">
                  <c:v>2.8225560464181416E-2</c:v>
                </c:pt>
                <c:pt idx="420">
                  <c:v>2.8225518951908474E-2</c:v>
                </c:pt>
                <c:pt idx="421">
                  <c:v>2.8225477439635528E-2</c:v>
                </c:pt>
                <c:pt idx="422">
                  <c:v>2.8225435927362579E-2</c:v>
                </c:pt>
                <c:pt idx="423">
                  <c:v>2.8225394415089644E-2</c:v>
                </c:pt>
                <c:pt idx="424">
                  <c:v>2.8225352902816695E-2</c:v>
                </c:pt>
                <c:pt idx="425">
                  <c:v>2.822531139054376E-2</c:v>
                </c:pt>
                <c:pt idx="426">
                  <c:v>2.8225269878270808E-2</c:v>
                </c:pt>
                <c:pt idx="427">
                  <c:v>2.8225228365997859E-2</c:v>
                </c:pt>
                <c:pt idx="428">
                  <c:v>2.8225186853724923E-2</c:v>
                </c:pt>
                <c:pt idx="429">
                  <c:v>2.8225145341451974E-2</c:v>
                </c:pt>
                <c:pt idx="430">
                  <c:v>2.8225103829179032E-2</c:v>
                </c:pt>
                <c:pt idx="431">
                  <c:v>2.8225062316906087E-2</c:v>
                </c:pt>
                <c:pt idx="432">
                  <c:v>2.8225020804633148E-2</c:v>
                </c:pt>
                <c:pt idx="433">
                  <c:v>2.8224979292360203E-2</c:v>
                </c:pt>
                <c:pt idx="434">
                  <c:v>2.8224937780087254E-2</c:v>
                </c:pt>
                <c:pt idx="435">
                  <c:v>2.8224896267814312E-2</c:v>
                </c:pt>
                <c:pt idx="436">
                  <c:v>2.8224854755541366E-2</c:v>
                </c:pt>
                <c:pt idx="437">
                  <c:v>2.8224813243268424E-2</c:v>
                </c:pt>
                <c:pt idx="438">
                  <c:v>2.8224771730995489E-2</c:v>
                </c:pt>
                <c:pt idx="439">
                  <c:v>2.822473021872254E-2</c:v>
                </c:pt>
                <c:pt idx="440">
                  <c:v>2.8224688706449595E-2</c:v>
                </c:pt>
                <c:pt idx="441">
                  <c:v>2.8224647194176652E-2</c:v>
                </c:pt>
                <c:pt idx="442">
                  <c:v>2.822460568190371E-2</c:v>
                </c:pt>
                <c:pt idx="443">
                  <c:v>2.8224564169630761E-2</c:v>
                </c:pt>
                <c:pt idx="444">
                  <c:v>2.8224522657357819E-2</c:v>
                </c:pt>
                <c:pt idx="445">
                  <c:v>2.8224481145084874E-2</c:v>
                </c:pt>
                <c:pt idx="446">
                  <c:v>2.8224439632811932E-2</c:v>
                </c:pt>
                <c:pt idx="447">
                  <c:v>2.822439812053899E-2</c:v>
                </c:pt>
                <c:pt idx="448">
                  <c:v>2.8224356608266041E-2</c:v>
                </c:pt>
                <c:pt idx="449">
                  <c:v>2.8224315095993099E-2</c:v>
                </c:pt>
                <c:pt idx="450">
                  <c:v>2.8224273583720157E-2</c:v>
                </c:pt>
                <c:pt idx="451">
                  <c:v>2.8224232071447215E-2</c:v>
                </c:pt>
                <c:pt idx="452">
                  <c:v>2.8224190559174269E-2</c:v>
                </c:pt>
                <c:pt idx="453">
                  <c:v>2.822414904690132E-2</c:v>
                </c:pt>
                <c:pt idx="454">
                  <c:v>2.8224107534628378E-2</c:v>
                </c:pt>
                <c:pt idx="455">
                  <c:v>2.8224066022355433E-2</c:v>
                </c:pt>
                <c:pt idx="456">
                  <c:v>2.8224024510082497E-2</c:v>
                </c:pt>
                <c:pt idx="457">
                  <c:v>2.8223982997809548E-2</c:v>
                </c:pt>
                <c:pt idx="458">
                  <c:v>2.8223941485536606E-2</c:v>
                </c:pt>
                <c:pt idx="459">
                  <c:v>2.8223899973263664E-2</c:v>
                </c:pt>
                <c:pt idx="460">
                  <c:v>2.8223858460990719E-2</c:v>
                </c:pt>
                <c:pt idx="461">
                  <c:v>2.822381694871777E-2</c:v>
                </c:pt>
                <c:pt idx="462">
                  <c:v>2.8223775436444828E-2</c:v>
                </c:pt>
                <c:pt idx="463">
                  <c:v>2.8223733924171886E-2</c:v>
                </c:pt>
                <c:pt idx="464">
                  <c:v>2.8223692411898944E-2</c:v>
                </c:pt>
                <c:pt idx="465">
                  <c:v>2.8223650899625998E-2</c:v>
                </c:pt>
                <c:pt idx="466">
                  <c:v>2.8223609387353049E-2</c:v>
                </c:pt>
                <c:pt idx="467">
                  <c:v>2.8223567875080107E-2</c:v>
                </c:pt>
                <c:pt idx="468">
                  <c:v>2.8223526362807165E-2</c:v>
                </c:pt>
                <c:pt idx="469">
                  <c:v>2.8223484850534223E-2</c:v>
                </c:pt>
                <c:pt idx="470">
                  <c:v>2.8223443338261281E-2</c:v>
                </c:pt>
                <c:pt idx="471">
                  <c:v>2.8223401825988335E-2</c:v>
                </c:pt>
                <c:pt idx="472">
                  <c:v>2.8223360313715386E-2</c:v>
                </c:pt>
                <c:pt idx="473">
                  <c:v>2.8223318801442451E-2</c:v>
                </c:pt>
                <c:pt idx="474">
                  <c:v>2.8223277289169502E-2</c:v>
                </c:pt>
                <c:pt idx="475">
                  <c:v>2.8223235776896564E-2</c:v>
                </c:pt>
                <c:pt idx="476">
                  <c:v>2.8223194264623615E-2</c:v>
                </c:pt>
                <c:pt idx="477">
                  <c:v>2.8223152752350673E-2</c:v>
                </c:pt>
                <c:pt idx="478">
                  <c:v>2.8223111240077731E-2</c:v>
                </c:pt>
                <c:pt idx="479">
                  <c:v>2.8223069727804785E-2</c:v>
                </c:pt>
                <c:pt idx="480">
                  <c:v>2.8223028215531847E-2</c:v>
                </c:pt>
                <c:pt idx="481">
                  <c:v>2.8222986703258901E-2</c:v>
                </c:pt>
                <c:pt idx="482">
                  <c:v>2.8222945190985959E-2</c:v>
                </c:pt>
                <c:pt idx="483">
                  <c:v>2.822290367871301E-2</c:v>
                </c:pt>
                <c:pt idx="484">
                  <c:v>2.8222862166440068E-2</c:v>
                </c:pt>
                <c:pt idx="485">
                  <c:v>2.8222820654167126E-2</c:v>
                </c:pt>
                <c:pt idx="486">
                  <c:v>2.822277914189418E-2</c:v>
                </c:pt>
                <c:pt idx="487">
                  <c:v>2.8222737629621238E-2</c:v>
                </c:pt>
                <c:pt idx="488">
                  <c:v>2.8222696117348289E-2</c:v>
                </c:pt>
                <c:pt idx="489">
                  <c:v>2.8222654605075354E-2</c:v>
                </c:pt>
                <c:pt idx="490">
                  <c:v>2.8222613092802412E-2</c:v>
                </c:pt>
                <c:pt idx="491">
                  <c:v>2.822257158052946E-2</c:v>
                </c:pt>
                <c:pt idx="492">
                  <c:v>2.8222530068256518E-2</c:v>
                </c:pt>
                <c:pt idx="493">
                  <c:v>2.8222488555983576E-2</c:v>
                </c:pt>
                <c:pt idx="494">
                  <c:v>2.8222447043710634E-2</c:v>
                </c:pt>
                <c:pt idx="495">
                  <c:v>2.8222405531437688E-2</c:v>
                </c:pt>
                <c:pt idx="496">
                  <c:v>2.8222364019164746E-2</c:v>
                </c:pt>
                <c:pt idx="497">
                  <c:v>2.8222322506891797E-2</c:v>
                </c:pt>
                <c:pt idx="498">
                  <c:v>2.8222280994618855E-2</c:v>
                </c:pt>
                <c:pt idx="499">
                  <c:v>2.8222239482345913E-2</c:v>
                </c:pt>
                <c:pt idx="500">
                  <c:v>2.8222197970072967E-2</c:v>
                </c:pt>
                <c:pt idx="501">
                  <c:v>2.8222156457800025E-2</c:v>
                </c:pt>
                <c:pt idx="502">
                  <c:v>2.8222114945527076E-2</c:v>
                </c:pt>
                <c:pt idx="503">
                  <c:v>2.8222073433254134E-2</c:v>
                </c:pt>
                <c:pt idx="504">
                  <c:v>2.8222031920981189E-2</c:v>
                </c:pt>
                <c:pt idx="505">
                  <c:v>2.8221990408708247E-2</c:v>
                </c:pt>
                <c:pt idx="506">
                  <c:v>2.8221948896435305E-2</c:v>
                </c:pt>
                <c:pt idx="507">
                  <c:v>2.8221907384162363E-2</c:v>
                </c:pt>
                <c:pt idx="508">
                  <c:v>2.8221865871889414E-2</c:v>
                </c:pt>
                <c:pt idx="509">
                  <c:v>2.8221824359616472E-2</c:v>
                </c:pt>
                <c:pt idx="510">
                  <c:v>2.8221782847343526E-2</c:v>
                </c:pt>
                <c:pt idx="511">
                  <c:v>2.8221741335070584E-2</c:v>
                </c:pt>
                <c:pt idx="512">
                  <c:v>2.8221699822797642E-2</c:v>
                </c:pt>
                <c:pt idx="513">
                  <c:v>2.8221658310524693E-2</c:v>
                </c:pt>
                <c:pt idx="514">
                  <c:v>2.8221616798251754E-2</c:v>
                </c:pt>
                <c:pt idx="515">
                  <c:v>2.8221575285978805E-2</c:v>
                </c:pt>
                <c:pt idx="516">
                  <c:v>2.822153377370587E-2</c:v>
                </c:pt>
                <c:pt idx="517">
                  <c:v>2.8221492261432921E-2</c:v>
                </c:pt>
                <c:pt idx="518">
                  <c:v>2.8221450749159979E-2</c:v>
                </c:pt>
                <c:pt idx="519">
                  <c:v>2.8221409236887034E-2</c:v>
                </c:pt>
                <c:pt idx="520">
                  <c:v>2.8221367724614095E-2</c:v>
                </c:pt>
                <c:pt idx="521">
                  <c:v>2.822132621234115E-2</c:v>
                </c:pt>
                <c:pt idx="522">
                  <c:v>2.8221284700068201E-2</c:v>
                </c:pt>
                <c:pt idx="523">
                  <c:v>2.8221243187795259E-2</c:v>
                </c:pt>
                <c:pt idx="524">
                  <c:v>2.8221201675522313E-2</c:v>
                </c:pt>
                <c:pt idx="525">
                  <c:v>2.8221160163249374E-2</c:v>
                </c:pt>
                <c:pt idx="526">
                  <c:v>2.8221118650976422E-2</c:v>
                </c:pt>
                <c:pt idx="527">
                  <c:v>2.8221077138703487E-2</c:v>
                </c:pt>
                <c:pt idx="528">
                  <c:v>2.8221035626430538E-2</c:v>
                </c:pt>
                <c:pt idx="529">
                  <c:v>2.8220994114157596E-2</c:v>
                </c:pt>
                <c:pt idx="530">
                  <c:v>2.822095260188465E-2</c:v>
                </c:pt>
                <c:pt idx="531">
                  <c:v>2.8220911089611708E-2</c:v>
                </c:pt>
                <c:pt idx="532">
                  <c:v>2.8220869577338766E-2</c:v>
                </c:pt>
                <c:pt idx="533">
                  <c:v>2.8220828065065814E-2</c:v>
                </c:pt>
                <c:pt idx="534">
                  <c:v>2.8220786552792879E-2</c:v>
                </c:pt>
                <c:pt idx="535">
                  <c:v>2.822074504051993E-2</c:v>
                </c:pt>
                <c:pt idx="536">
                  <c:v>2.8220703528246988E-2</c:v>
                </c:pt>
                <c:pt idx="537">
                  <c:v>2.8220662015974042E-2</c:v>
                </c:pt>
                <c:pt idx="538">
                  <c:v>2.8220620503701103E-2</c:v>
                </c:pt>
                <c:pt idx="539">
                  <c:v>2.8220578991428161E-2</c:v>
                </c:pt>
                <c:pt idx="540">
                  <c:v>2.8220537479155216E-2</c:v>
                </c:pt>
                <c:pt idx="541">
                  <c:v>2.8220495966882267E-2</c:v>
                </c:pt>
                <c:pt idx="542">
                  <c:v>2.8220454454609321E-2</c:v>
                </c:pt>
                <c:pt idx="543">
                  <c:v>2.8220412942336383E-2</c:v>
                </c:pt>
                <c:pt idx="544">
                  <c:v>2.8220371430063437E-2</c:v>
                </c:pt>
                <c:pt idx="545">
                  <c:v>2.8220329917790495E-2</c:v>
                </c:pt>
                <c:pt idx="546">
                  <c:v>2.8220288405517546E-2</c:v>
                </c:pt>
                <c:pt idx="547">
                  <c:v>2.8220246893244604E-2</c:v>
                </c:pt>
                <c:pt idx="548">
                  <c:v>2.8220205380971659E-2</c:v>
                </c:pt>
                <c:pt idx="549">
                  <c:v>2.822016386869872E-2</c:v>
                </c:pt>
                <c:pt idx="550">
                  <c:v>2.8220122356425768E-2</c:v>
                </c:pt>
                <c:pt idx="551">
                  <c:v>2.8220080844152833E-2</c:v>
                </c:pt>
                <c:pt idx="552">
                  <c:v>2.8220039331879884E-2</c:v>
                </c:pt>
                <c:pt idx="553">
                  <c:v>2.8219997819606938E-2</c:v>
                </c:pt>
                <c:pt idx="554">
                  <c:v>2.8219956307333996E-2</c:v>
                </c:pt>
                <c:pt idx="555">
                  <c:v>2.821991479506105E-2</c:v>
                </c:pt>
                <c:pt idx="556">
                  <c:v>2.8219873282788112E-2</c:v>
                </c:pt>
                <c:pt idx="557">
                  <c:v>2.8219831770515166E-2</c:v>
                </c:pt>
                <c:pt idx="558">
                  <c:v>2.8219790258242224E-2</c:v>
                </c:pt>
                <c:pt idx="559">
                  <c:v>2.8219748745969275E-2</c:v>
                </c:pt>
                <c:pt idx="560">
                  <c:v>2.8219707233696333E-2</c:v>
                </c:pt>
                <c:pt idx="561">
                  <c:v>2.8219665721423391E-2</c:v>
                </c:pt>
                <c:pt idx="562">
                  <c:v>2.8219624209150446E-2</c:v>
                </c:pt>
                <c:pt idx="563">
                  <c:v>2.8219582696877504E-2</c:v>
                </c:pt>
                <c:pt idx="564">
                  <c:v>2.8219541184604555E-2</c:v>
                </c:pt>
                <c:pt idx="565">
                  <c:v>2.8219499672331613E-2</c:v>
                </c:pt>
                <c:pt idx="566">
                  <c:v>2.8219458160058671E-2</c:v>
                </c:pt>
                <c:pt idx="567">
                  <c:v>2.8219416647785728E-2</c:v>
                </c:pt>
                <c:pt idx="568">
                  <c:v>2.8219375135512793E-2</c:v>
                </c:pt>
                <c:pt idx="569">
                  <c:v>2.8219333623239841E-2</c:v>
                </c:pt>
                <c:pt idx="570">
                  <c:v>2.8219292110966902E-2</c:v>
                </c:pt>
                <c:pt idx="571">
                  <c:v>2.8219250598693957E-2</c:v>
                </c:pt>
                <c:pt idx="572">
                  <c:v>2.8219209086421015E-2</c:v>
                </c:pt>
                <c:pt idx="573">
                  <c:v>2.8219167574148069E-2</c:v>
                </c:pt>
                <c:pt idx="574">
                  <c:v>2.8219126061875127E-2</c:v>
                </c:pt>
                <c:pt idx="575">
                  <c:v>2.8219084549602185E-2</c:v>
                </c:pt>
                <c:pt idx="576">
                  <c:v>2.8219043037329236E-2</c:v>
                </c:pt>
                <c:pt idx="577">
                  <c:v>2.8135918580023376E-2</c:v>
                </c:pt>
                <c:pt idx="578">
                  <c:v>2.813587706775043E-2</c:v>
                </c:pt>
                <c:pt idx="579">
                  <c:v>2.8135835555477481E-2</c:v>
                </c:pt>
                <c:pt idx="580">
                  <c:v>2.8135794043204539E-2</c:v>
                </c:pt>
                <c:pt idx="581">
                  <c:v>2.8135752530931594E-2</c:v>
                </c:pt>
                <c:pt idx="582">
                  <c:v>2.8135711018658655E-2</c:v>
                </c:pt>
                <c:pt idx="583">
                  <c:v>2.8135669506385703E-2</c:v>
                </c:pt>
                <c:pt idx="584">
                  <c:v>2.8135627994112764E-2</c:v>
                </c:pt>
                <c:pt idx="585">
                  <c:v>2.8135586481839822E-2</c:v>
                </c:pt>
                <c:pt idx="586">
                  <c:v>2.813554496956688E-2</c:v>
                </c:pt>
                <c:pt idx="587">
                  <c:v>2.8135503457293931E-2</c:v>
                </c:pt>
                <c:pt idx="588">
                  <c:v>2.8135461945020986E-2</c:v>
                </c:pt>
                <c:pt idx="589">
                  <c:v>2.8135420432748047E-2</c:v>
                </c:pt>
                <c:pt idx="590">
                  <c:v>2.8135378920475095E-2</c:v>
                </c:pt>
                <c:pt idx="591">
                  <c:v>2.8135337408202159E-2</c:v>
                </c:pt>
                <c:pt idx="592">
                  <c:v>2.813529589592921E-2</c:v>
                </c:pt>
                <c:pt idx="593">
                  <c:v>2.8135254383656268E-2</c:v>
                </c:pt>
                <c:pt idx="594">
                  <c:v>2.8135212871383323E-2</c:v>
                </c:pt>
                <c:pt idx="595">
                  <c:v>2.8135171359110381E-2</c:v>
                </c:pt>
                <c:pt idx="596">
                  <c:v>2.8135129846837439E-2</c:v>
                </c:pt>
                <c:pt idx="597">
                  <c:v>2.8135088334564497E-2</c:v>
                </c:pt>
                <c:pt idx="598">
                  <c:v>2.8135046822291548E-2</c:v>
                </c:pt>
                <c:pt idx="599">
                  <c:v>2.8135005310018606E-2</c:v>
                </c:pt>
                <c:pt idx="600">
                  <c:v>2.813496379774566E-2</c:v>
                </c:pt>
                <c:pt idx="601">
                  <c:v>2.8134922285472722E-2</c:v>
                </c:pt>
                <c:pt idx="602">
                  <c:v>2.8134880773199769E-2</c:v>
                </c:pt>
                <c:pt idx="603">
                  <c:v>2.8134839260926827E-2</c:v>
                </c:pt>
                <c:pt idx="604">
                  <c:v>2.8134797748653888E-2</c:v>
                </c:pt>
                <c:pt idx="605">
                  <c:v>2.8134756236380939E-2</c:v>
                </c:pt>
                <c:pt idx="606">
                  <c:v>2.8134714724107997E-2</c:v>
                </c:pt>
                <c:pt idx="607">
                  <c:v>2.8134673211835052E-2</c:v>
                </c:pt>
                <c:pt idx="608">
                  <c:v>2.8134631699562103E-2</c:v>
                </c:pt>
                <c:pt idx="609">
                  <c:v>2.8134590187289168E-2</c:v>
                </c:pt>
                <c:pt idx="610">
                  <c:v>2.8134548675016219E-2</c:v>
                </c:pt>
                <c:pt idx="611">
                  <c:v>2.8134507162743277E-2</c:v>
                </c:pt>
                <c:pt idx="612">
                  <c:v>2.8134465650470331E-2</c:v>
                </c:pt>
                <c:pt idx="613">
                  <c:v>2.8134424138197393E-2</c:v>
                </c:pt>
                <c:pt idx="614">
                  <c:v>2.8134382625924447E-2</c:v>
                </c:pt>
                <c:pt idx="615">
                  <c:v>2.8134341113651505E-2</c:v>
                </c:pt>
                <c:pt idx="616">
                  <c:v>2.8134299601378556E-2</c:v>
                </c:pt>
                <c:pt idx="617">
                  <c:v>2.8134258089105611E-2</c:v>
                </c:pt>
                <c:pt idx="618">
                  <c:v>2.8134216576832672E-2</c:v>
                </c:pt>
                <c:pt idx="619">
                  <c:v>2.8134175064559726E-2</c:v>
                </c:pt>
                <c:pt idx="620">
                  <c:v>2.8134133552286784E-2</c:v>
                </c:pt>
                <c:pt idx="621">
                  <c:v>2.8134092040013835E-2</c:v>
                </c:pt>
                <c:pt idx="622">
                  <c:v>2.8134050527740893E-2</c:v>
                </c:pt>
                <c:pt idx="623">
                  <c:v>2.8134009015467955E-2</c:v>
                </c:pt>
                <c:pt idx="624">
                  <c:v>2.8133967503195006E-2</c:v>
                </c:pt>
                <c:pt idx="625">
                  <c:v>2.8133925990922064E-2</c:v>
                </c:pt>
                <c:pt idx="626">
                  <c:v>2.8133884478649118E-2</c:v>
                </c:pt>
                <c:pt idx="627">
                  <c:v>2.813384296637618E-2</c:v>
                </c:pt>
                <c:pt idx="628">
                  <c:v>2.8133801454103234E-2</c:v>
                </c:pt>
                <c:pt idx="629">
                  <c:v>2.8133759941830285E-2</c:v>
                </c:pt>
                <c:pt idx="630">
                  <c:v>2.8133718429557343E-2</c:v>
                </c:pt>
                <c:pt idx="631">
                  <c:v>2.8133676917284401E-2</c:v>
                </c:pt>
                <c:pt idx="632">
                  <c:v>2.8133635405011459E-2</c:v>
                </c:pt>
                <c:pt idx="633">
                  <c:v>2.8133593892738513E-2</c:v>
                </c:pt>
                <c:pt idx="634">
                  <c:v>2.8133552380465571E-2</c:v>
                </c:pt>
                <c:pt idx="635">
                  <c:v>2.8133510868192622E-2</c:v>
                </c:pt>
                <c:pt idx="636">
                  <c:v>2.8133469355919677E-2</c:v>
                </c:pt>
                <c:pt idx="637">
                  <c:v>2.8133427843646738E-2</c:v>
                </c:pt>
                <c:pt idx="638">
                  <c:v>2.8133386331373793E-2</c:v>
                </c:pt>
                <c:pt idx="639">
                  <c:v>2.8133344819100851E-2</c:v>
                </c:pt>
                <c:pt idx="640">
                  <c:v>2.8133303306827909E-2</c:v>
                </c:pt>
                <c:pt idx="641">
                  <c:v>2.813326179455496E-2</c:v>
                </c:pt>
                <c:pt idx="642">
                  <c:v>2.8133220282282018E-2</c:v>
                </c:pt>
                <c:pt idx="643">
                  <c:v>2.8133178770009072E-2</c:v>
                </c:pt>
                <c:pt idx="644">
                  <c:v>2.813313725773613E-2</c:v>
                </c:pt>
                <c:pt idx="645">
                  <c:v>2.8133095745463188E-2</c:v>
                </c:pt>
                <c:pt idx="646">
                  <c:v>2.8133054233190243E-2</c:v>
                </c:pt>
                <c:pt idx="647">
                  <c:v>2.81330127209173E-2</c:v>
                </c:pt>
                <c:pt idx="648">
                  <c:v>2.8132971208644351E-2</c:v>
                </c:pt>
                <c:pt idx="649">
                  <c:v>2.8132929696371409E-2</c:v>
                </c:pt>
                <c:pt idx="650">
                  <c:v>2.8132888184098467E-2</c:v>
                </c:pt>
                <c:pt idx="651">
                  <c:v>2.8132846671825522E-2</c:v>
                </c:pt>
                <c:pt idx="652">
                  <c:v>2.813280515955258E-2</c:v>
                </c:pt>
                <c:pt idx="653">
                  <c:v>2.8132763647279638E-2</c:v>
                </c:pt>
                <c:pt idx="654">
                  <c:v>2.8132722135006696E-2</c:v>
                </c:pt>
                <c:pt idx="655">
                  <c:v>2.8132680622733747E-2</c:v>
                </c:pt>
                <c:pt idx="656">
                  <c:v>2.8132639110460812E-2</c:v>
                </c:pt>
                <c:pt idx="657">
                  <c:v>2.8132597598187863E-2</c:v>
                </c:pt>
                <c:pt idx="658">
                  <c:v>2.8132556085914921E-2</c:v>
                </c:pt>
                <c:pt idx="659">
                  <c:v>2.8132514573641975E-2</c:v>
                </c:pt>
                <c:pt idx="660">
                  <c:v>2.8132473061369036E-2</c:v>
                </c:pt>
                <c:pt idx="661">
                  <c:v>2.8132431549096091E-2</c:v>
                </c:pt>
                <c:pt idx="662">
                  <c:v>2.8132390036823145E-2</c:v>
                </c:pt>
                <c:pt idx="663">
                  <c:v>2.8132348524550203E-2</c:v>
                </c:pt>
                <c:pt idx="664">
                  <c:v>2.8132307012277254E-2</c:v>
                </c:pt>
                <c:pt idx="665">
                  <c:v>2.8132265500004312E-2</c:v>
                </c:pt>
                <c:pt idx="666">
                  <c:v>2.813222398773137E-2</c:v>
                </c:pt>
                <c:pt idx="667">
                  <c:v>2.8132182475458425E-2</c:v>
                </c:pt>
                <c:pt idx="668">
                  <c:v>2.8132140963185483E-2</c:v>
                </c:pt>
                <c:pt idx="669">
                  <c:v>2.8132099450912534E-2</c:v>
                </c:pt>
                <c:pt idx="670">
                  <c:v>2.8132057938639599E-2</c:v>
                </c:pt>
                <c:pt idx="671">
                  <c:v>2.813201642636665E-2</c:v>
                </c:pt>
                <c:pt idx="672">
                  <c:v>2.8131974914093708E-2</c:v>
                </c:pt>
                <c:pt idx="673">
                  <c:v>2.8131933401820762E-2</c:v>
                </c:pt>
                <c:pt idx="674">
                  <c:v>2.813189188954782E-2</c:v>
                </c:pt>
                <c:pt idx="675">
                  <c:v>2.8131850377274878E-2</c:v>
                </c:pt>
                <c:pt idx="676">
                  <c:v>2.8131808865001929E-2</c:v>
                </c:pt>
                <c:pt idx="677">
                  <c:v>2.8131767352728987E-2</c:v>
                </c:pt>
                <c:pt idx="678">
                  <c:v>2.8131725840456041E-2</c:v>
                </c:pt>
                <c:pt idx="679">
                  <c:v>2.8131684328183099E-2</c:v>
                </c:pt>
                <c:pt idx="680">
                  <c:v>2.8131642815910157E-2</c:v>
                </c:pt>
                <c:pt idx="681">
                  <c:v>2.8131601303637208E-2</c:v>
                </c:pt>
                <c:pt idx="682">
                  <c:v>2.813155979136427E-2</c:v>
                </c:pt>
                <c:pt idx="683">
                  <c:v>2.8131518279091321E-2</c:v>
                </c:pt>
                <c:pt idx="684">
                  <c:v>2.8131476766818386E-2</c:v>
                </c:pt>
                <c:pt idx="685">
                  <c:v>2.8131435254545433E-2</c:v>
                </c:pt>
                <c:pt idx="686">
                  <c:v>2.8131393742272491E-2</c:v>
                </c:pt>
                <c:pt idx="687">
                  <c:v>2.8131352229999549E-2</c:v>
                </c:pt>
                <c:pt idx="688">
                  <c:v>2.8131310717726607E-2</c:v>
                </c:pt>
                <c:pt idx="689">
                  <c:v>2.8131269205453658E-2</c:v>
                </c:pt>
                <c:pt idx="690">
                  <c:v>2.8131227693180716E-2</c:v>
                </c:pt>
                <c:pt idx="691">
                  <c:v>2.813118618090777E-2</c:v>
                </c:pt>
                <c:pt idx="692">
                  <c:v>2.8131144668634821E-2</c:v>
                </c:pt>
                <c:pt idx="693">
                  <c:v>2.8131103156361886E-2</c:v>
                </c:pt>
                <c:pt idx="694">
                  <c:v>2.8131061644088944E-2</c:v>
                </c:pt>
                <c:pt idx="695">
                  <c:v>2.8131020131815995E-2</c:v>
                </c:pt>
                <c:pt idx="696">
                  <c:v>2.8130978619543053E-2</c:v>
                </c:pt>
                <c:pt idx="697">
                  <c:v>2.8130937107270111E-2</c:v>
                </c:pt>
                <c:pt idx="698">
                  <c:v>2.8130895594997166E-2</c:v>
                </c:pt>
                <c:pt idx="699">
                  <c:v>2.8130854082724224E-2</c:v>
                </c:pt>
                <c:pt idx="700">
                  <c:v>2.8130812570451275E-2</c:v>
                </c:pt>
                <c:pt idx="701">
                  <c:v>2.8130771058178336E-2</c:v>
                </c:pt>
                <c:pt idx="702">
                  <c:v>2.8130729545905394E-2</c:v>
                </c:pt>
                <c:pt idx="703">
                  <c:v>2.8130688033632452E-2</c:v>
                </c:pt>
                <c:pt idx="704">
                  <c:v>2.8130646521359503E-2</c:v>
                </c:pt>
                <c:pt idx="705">
                  <c:v>2.8130605009086557E-2</c:v>
                </c:pt>
                <c:pt idx="706">
                  <c:v>2.8130563496813619E-2</c:v>
                </c:pt>
                <c:pt idx="707">
                  <c:v>2.8130521984540666E-2</c:v>
                </c:pt>
                <c:pt idx="708">
                  <c:v>2.8130480472267724E-2</c:v>
                </c:pt>
                <c:pt idx="709">
                  <c:v>2.8130438959994782E-2</c:v>
                </c:pt>
                <c:pt idx="710">
                  <c:v>2.813039744772184E-2</c:v>
                </c:pt>
                <c:pt idx="711">
                  <c:v>2.8130355935448895E-2</c:v>
                </c:pt>
                <c:pt idx="712">
                  <c:v>2.8130314423175946E-2</c:v>
                </c:pt>
                <c:pt idx="713">
                  <c:v>2.8130272910903011E-2</c:v>
                </c:pt>
                <c:pt idx="714">
                  <c:v>2.8130231398630058E-2</c:v>
                </c:pt>
                <c:pt idx="715">
                  <c:v>2.813018988635712E-2</c:v>
                </c:pt>
                <c:pt idx="716">
                  <c:v>2.8130148374084174E-2</c:v>
                </c:pt>
                <c:pt idx="717">
                  <c:v>2.8130106861811232E-2</c:v>
                </c:pt>
                <c:pt idx="718">
                  <c:v>2.8130065349538283E-2</c:v>
                </c:pt>
                <c:pt idx="719">
                  <c:v>2.8130023837265337E-2</c:v>
                </c:pt>
                <c:pt idx="720">
                  <c:v>2.8129982324992399E-2</c:v>
                </c:pt>
                <c:pt idx="721">
                  <c:v>2.8129940812719453E-2</c:v>
                </c:pt>
                <c:pt idx="722">
                  <c:v>2.8129899300446511E-2</c:v>
                </c:pt>
                <c:pt idx="723">
                  <c:v>2.8129857788173566E-2</c:v>
                </c:pt>
                <c:pt idx="724">
                  <c:v>2.8129816275900627E-2</c:v>
                </c:pt>
                <c:pt idx="725">
                  <c:v>2.8129774763627682E-2</c:v>
                </c:pt>
                <c:pt idx="726">
                  <c:v>2.812973325135474E-2</c:v>
                </c:pt>
                <c:pt idx="727">
                  <c:v>2.8129691739081791E-2</c:v>
                </c:pt>
                <c:pt idx="728">
                  <c:v>2.8129650226808849E-2</c:v>
                </c:pt>
                <c:pt idx="729">
                  <c:v>2.8129608714535903E-2</c:v>
                </c:pt>
                <c:pt idx="730">
                  <c:v>2.8129567202262961E-2</c:v>
                </c:pt>
                <c:pt idx="731">
                  <c:v>2.8129525689990012E-2</c:v>
                </c:pt>
                <c:pt idx="732">
                  <c:v>2.812948417771707E-2</c:v>
                </c:pt>
                <c:pt idx="733">
                  <c:v>2.8129442665444128E-2</c:v>
                </c:pt>
                <c:pt idx="734">
                  <c:v>2.8129401153171186E-2</c:v>
                </c:pt>
                <c:pt idx="735">
                  <c:v>2.812935964089824E-2</c:v>
                </c:pt>
                <c:pt idx="736">
                  <c:v>2.8129318128625291E-2</c:v>
                </c:pt>
                <c:pt idx="737">
                  <c:v>2.8129276616352349E-2</c:v>
                </c:pt>
                <c:pt idx="738">
                  <c:v>2.8129235104079407E-2</c:v>
                </c:pt>
                <c:pt idx="739">
                  <c:v>2.8129193591806465E-2</c:v>
                </c:pt>
                <c:pt idx="740">
                  <c:v>2.812915207953352E-2</c:v>
                </c:pt>
                <c:pt idx="741">
                  <c:v>2.8129110567260578E-2</c:v>
                </c:pt>
                <c:pt idx="742">
                  <c:v>2.8129069054987636E-2</c:v>
                </c:pt>
                <c:pt idx="743">
                  <c:v>2.8129027542714694E-2</c:v>
                </c:pt>
                <c:pt idx="744">
                  <c:v>2.8128986030441748E-2</c:v>
                </c:pt>
                <c:pt idx="745">
                  <c:v>2.8128944518168809E-2</c:v>
                </c:pt>
                <c:pt idx="746">
                  <c:v>2.8128903005895867E-2</c:v>
                </c:pt>
                <c:pt idx="747">
                  <c:v>2.8128861493622922E-2</c:v>
                </c:pt>
                <c:pt idx="748">
                  <c:v>2.8128819981349973E-2</c:v>
                </c:pt>
                <c:pt idx="749">
                  <c:v>2.8128778469077038E-2</c:v>
                </c:pt>
                <c:pt idx="750">
                  <c:v>2.8128736956804089E-2</c:v>
                </c:pt>
                <c:pt idx="751">
                  <c:v>2.8128695444531147E-2</c:v>
                </c:pt>
                <c:pt idx="752">
                  <c:v>2.8128653932258201E-2</c:v>
                </c:pt>
                <c:pt idx="753">
                  <c:v>2.8128612419985252E-2</c:v>
                </c:pt>
                <c:pt idx="754">
                  <c:v>2.812857090771231E-2</c:v>
                </c:pt>
                <c:pt idx="755">
                  <c:v>2.8128529395439365E-2</c:v>
                </c:pt>
                <c:pt idx="756">
                  <c:v>2.8128487883166426E-2</c:v>
                </c:pt>
                <c:pt idx="757">
                  <c:v>2.8128446370893474E-2</c:v>
                </c:pt>
                <c:pt idx="758">
                  <c:v>2.8128404858620538E-2</c:v>
                </c:pt>
                <c:pt idx="759">
                  <c:v>2.8128363346347589E-2</c:v>
                </c:pt>
                <c:pt idx="760">
                  <c:v>2.804942886057862E-2</c:v>
                </c:pt>
                <c:pt idx="761">
                  <c:v>2.8049387348305678E-2</c:v>
                </c:pt>
                <c:pt idx="762">
                  <c:v>2.8049345836032736E-2</c:v>
                </c:pt>
                <c:pt idx="763">
                  <c:v>2.8049304323759794E-2</c:v>
                </c:pt>
                <c:pt idx="764">
                  <c:v>2.8049262811486848E-2</c:v>
                </c:pt>
                <c:pt idx="765">
                  <c:v>2.8049221299213899E-2</c:v>
                </c:pt>
                <c:pt idx="766">
                  <c:v>2.8049179786940957E-2</c:v>
                </c:pt>
                <c:pt idx="767">
                  <c:v>2.8049138274668015E-2</c:v>
                </c:pt>
                <c:pt idx="768">
                  <c:v>2.8049096762395073E-2</c:v>
                </c:pt>
                <c:pt idx="769">
                  <c:v>2.8049055250122128E-2</c:v>
                </c:pt>
                <c:pt idx="770">
                  <c:v>2.8049013737849186E-2</c:v>
                </c:pt>
                <c:pt idx="771">
                  <c:v>2.8048972225576237E-2</c:v>
                </c:pt>
                <c:pt idx="772">
                  <c:v>2.8048930713303302E-2</c:v>
                </c:pt>
                <c:pt idx="773">
                  <c:v>2.8048889201030353E-2</c:v>
                </c:pt>
                <c:pt idx="774">
                  <c:v>2.8048847688757407E-2</c:v>
                </c:pt>
                <c:pt idx="775">
                  <c:v>2.8048806176484465E-2</c:v>
                </c:pt>
                <c:pt idx="776">
                  <c:v>2.8048764664211523E-2</c:v>
                </c:pt>
                <c:pt idx="777">
                  <c:v>2.8048723151938574E-2</c:v>
                </c:pt>
                <c:pt idx="778">
                  <c:v>2.8048681639665632E-2</c:v>
                </c:pt>
                <c:pt idx="779">
                  <c:v>2.804864012739269E-2</c:v>
                </c:pt>
                <c:pt idx="780">
                  <c:v>2.8048598615119744E-2</c:v>
                </c:pt>
                <c:pt idx="781">
                  <c:v>2.8048557102846802E-2</c:v>
                </c:pt>
                <c:pt idx="782">
                  <c:v>2.8048515590573857E-2</c:v>
                </c:pt>
                <c:pt idx="783">
                  <c:v>2.8048474078300915E-2</c:v>
                </c:pt>
                <c:pt idx="784">
                  <c:v>2.8048432566027973E-2</c:v>
                </c:pt>
                <c:pt idx="785">
                  <c:v>2.8048391053755031E-2</c:v>
                </c:pt>
                <c:pt idx="786">
                  <c:v>2.8048349541482082E-2</c:v>
                </c:pt>
                <c:pt idx="787">
                  <c:v>2.804830802920914E-2</c:v>
                </c:pt>
                <c:pt idx="788">
                  <c:v>2.8048266516936194E-2</c:v>
                </c:pt>
                <c:pt idx="789">
                  <c:v>2.8048225004663245E-2</c:v>
                </c:pt>
                <c:pt idx="790">
                  <c:v>2.804818349239031E-2</c:v>
                </c:pt>
                <c:pt idx="791">
                  <c:v>2.8048141980117368E-2</c:v>
                </c:pt>
                <c:pt idx="792">
                  <c:v>2.8048100467844419E-2</c:v>
                </c:pt>
                <c:pt idx="793">
                  <c:v>2.8048058955571473E-2</c:v>
                </c:pt>
                <c:pt idx="794">
                  <c:v>2.8048017443298531E-2</c:v>
                </c:pt>
                <c:pt idx="795">
                  <c:v>2.8047975931025589E-2</c:v>
                </c:pt>
                <c:pt idx="796">
                  <c:v>2.8047934418752647E-2</c:v>
                </c:pt>
                <c:pt idx="797">
                  <c:v>2.8047892906479698E-2</c:v>
                </c:pt>
                <c:pt idx="798">
                  <c:v>2.8047851394206753E-2</c:v>
                </c:pt>
                <c:pt idx="799">
                  <c:v>2.8047809881933811E-2</c:v>
                </c:pt>
                <c:pt idx="800">
                  <c:v>2.8047768369660865E-2</c:v>
                </c:pt>
                <c:pt idx="801">
                  <c:v>2.8047726857387927E-2</c:v>
                </c:pt>
                <c:pt idx="802">
                  <c:v>2.8047685345114974E-2</c:v>
                </c:pt>
                <c:pt idx="803">
                  <c:v>2.8047643832842039E-2</c:v>
                </c:pt>
                <c:pt idx="804">
                  <c:v>2.804760232056909E-2</c:v>
                </c:pt>
                <c:pt idx="805">
                  <c:v>2.8047560808296148E-2</c:v>
                </c:pt>
                <c:pt idx="806">
                  <c:v>2.8047519296023202E-2</c:v>
                </c:pt>
                <c:pt idx="807">
                  <c:v>2.8047477783750253E-2</c:v>
                </c:pt>
                <c:pt idx="808">
                  <c:v>2.8047436271477318E-2</c:v>
                </c:pt>
                <c:pt idx="809">
                  <c:v>2.8047394759204369E-2</c:v>
                </c:pt>
                <c:pt idx="810">
                  <c:v>2.8047353246931427E-2</c:v>
                </c:pt>
                <c:pt idx="811">
                  <c:v>2.8047311734658482E-2</c:v>
                </c:pt>
                <c:pt idx="812">
                  <c:v>2.8047270222385543E-2</c:v>
                </c:pt>
                <c:pt idx="813">
                  <c:v>2.8047228710112598E-2</c:v>
                </c:pt>
                <c:pt idx="814">
                  <c:v>2.8047187197839656E-2</c:v>
                </c:pt>
                <c:pt idx="815">
                  <c:v>2.8047145685566707E-2</c:v>
                </c:pt>
                <c:pt idx="816">
                  <c:v>2.8047104173293765E-2</c:v>
                </c:pt>
                <c:pt idx="817">
                  <c:v>2.8047062661020819E-2</c:v>
                </c:pt>
                <c:pt idx="818">
                  <c:v>2.8047021148747877E-2</c:v>
                </c:pt>
                <c:pt idx="819">
                  <c:v>2.8046979636474935E-2</c:v>
                </c:pt>
                <c:pt idx="820">
                  <c:v>2.8046938124201989E-2</c:v>
                </c:pt>
                <c:pt idx="821">
                  <c:v>2.8046896611929047E-2</c:v>
                </c:pt>
                <c:pt idx="822">
                  <c:v>2.8046855099656105E-2</c:v>
                </c:pt>
                <c:pt idx="823">
                  <c:v>2.8046813587383163E-2</c:v>
                </c:pt>
                <c:pt idx="824">
                  <c:v>2.8046772075110211E-2</c:v>
                </c:pt>
                <c:pt idx="825">
                  <c:v>2.8046730562837269E-2</c:v>
                </c:pt>
                <c:pt idx="826">
                  <c:v>2.8046689050564327E-2</c:v>
                </c:pt>
                <c:pt idx="827">
                  <c:v>2.8046647538291388E-2</c:v>
                </c:pt>
                <c:pt idx="828">
                  <c:v>2.8046606026018436E-2</c:v>
                </c:pt>
                <c:pt idx="829">
                  <c:v>2.8046564513745494E-2</c:v>
                </c:pt>
                <c:pt idx="830">
                  <c:v>2.8046523001472552E-2</c:v>
                </c:pt>
                <c:pt idx="831">
                  <c:v>2.8046481489199606E-2</c:v>
                </c:pt>
                <c:pt idx="832">
                  <c:v>2.8046439976926664E-2</c:v>
                </c:pt>
                <c:pt idx="833">
                  <c:v>2.8046398464653715E-2</c:v>
                </c:pt>
                <c:pt idx="834">
                  <c:v>2.804635695238078E-2</c:v>
                </c:pt>
                <c:pt idx="835">
                  <c:v>2.8046315440107838E-2</c:v>
                </c:pt>
                <c:pt idx="836">
                  <c:v>2.8046273927834889E-2</c:v>
                </c:pt>
                <c:pt idx="837">
                  <c:v>2.8046232415561947E-2</c:v>
                </c:pt>
                <c:pt idx="838">
                  <c:v>2.8046190903289008E-2</c:v>
                </c:pt>
                <c:pt idx="839">
                  <c:v>2.8046149391016059E-2</c:v>
                </c:pt>
                <c:pt idx="840">
                  <c:v>2.8046107878743117E-2</c:v>
                </c:pt>
                <c:pt idx="841">
                  <c:v>2.8046066366470172E-2</c:v>
                </c:pt>
                <c:pt idx="842">
                  <c:v>2.804602485419723E-2</c:v>
                </c:pt>
                <c:pt idx="843">
                  <c:v>2.8045983341924281E-2</c:v>
                </c:pt>
                <c:pt idx="844">
                  <c:v>2.8045941829651345E-2</c:v>
                </c:pt>
                <c:pt idx="845">
                  <c:v>2.8045900317378393E-2</c:v>
                </c:pt>
                <c:pt idx="846">
                  <c:v>2.8045858805105454E-2</c:v>
                </c:pt>
                <c:pt idx="847">
                  <c:v>2.8045817292832509E-2</c:v>
                </c:pt>
                <c:pt idx="848">
                  <c:v>2.8045775780559567E-2</c:v>
                </c:pt>
                <c:pt idx="849">
                  <c:v>2.8045734268286618E-2</c:v>
                </c:pt>
                <c:pt idx="850">
                  <c:v>2.8045692756013676E-2</c:v>
                </c:pt>
                <c:pt idx="851">
                  <c:v>2.8045651243740734E-2</c:v>
                </c:pt>
                <c:pt idx="852">
                  <c:v>2.8045609731467788E-2</c:v>
                </c:pt>
                <c:pt idx="853">
                  <c:v>2.8045568219194846E-2</c:v>
                </c:pt>
                <c:pt idx="854">
                  <c:v>2.8045526706921897E-2</c:v>
                </c:pt>
                <c:pt idx="855">
                  <c:v>2.8045485194648962E-2</c:v>
                </c:pt>
                <c:pt idx="856">
                  <c:v>2.8045443682376013E-2</c:v>
                </c:pt>
                <c:pt idx="857">
                  <c:v>2.8045402170103071E-2</c:v>
                </c:pt>
                <c:pt idx="858">
                  <c:v>2.8045360657830126E-2</c:v>
                </c:pt>
                <c:pt idx="859">
                  <c:v>2.804531914555718E-2</c:v>
                </c:pt>
                <c:pt idx="860">
                  <c:v>2.8045277633284241E-2</c:v>
                </c:pt>
                <c:pt idx="861">
                  <c:v>2.8045236121011296E-2</c:v>
                </c:pt>
                <c:pt idx="862">
                  <c:v>2.8045194608738354E-2</c:v>
                </c:pt>
                <c:pt idx="863">
                  <c:v>2.8045153096465405E-2</c:v>
                </c:pt>
                <c:pt idx="864">
                  <c:v>2.8045111584192463E-2</c:v>
                </c:pt>
                <c:pt idx="865">
                  <c:v>2.8045070071919521E-2</c:v>
                </c:pt>
                <c:pt idx="866">
                  <c:v>2.8045028559646579E-2</c:v>
                </c:pt>
                <c:pt idx="867">
                  <c:v>2.8044987047373633E-2</c:v>
                </c:pt>
                <c:pt idx="868">
                  <c:v>2.8044945535100691E-2</c:v>
                </c:pt>
                <c:pt idx="869">
                  <c:v>2.8044904022827742E-2</c:v>
                </c:pt>
                <c:pt idx="870">
                  <c:v>2.80448625105548E-2</c:v>
                </c:pt>
                <c:pt idx="871">
                  <c:v>2.8044820998281855E-2</c:v>
                </c:pt>
                <c:pt idx="872">
                  <c:v>2.8044779486008913E-2</c:v>
                </c:pt>
                <c:pt idx="873">
                  <c:v>2.8044737973735964E-2</c:v>
                </c:pt>
                <c:pt idx="874">
                  <c:v>2.8044696461463021E-2</c:v>
                </c:pt>
                <c:pt idx="875">
                  <c:v>2.8044654949190079E-2</c:v>
                </c:pt>
                <c:pt idx="876">
                  <c:v>2.8044613436917134E-2</c:v>
                </c:pt>
                <c:pt idx="877">
                  <c:v>2.8044571924644199E-2</c:v>
                </c:pt>
                <c:pt idx="878">
                  <c:v>2.804453041237125E-2</c:v>
                </c:pt>
                <c:pt idx="879">
                  <c:v>2.8044488900098308E-2</c:v>
                </c:pt>
                <c:pt idx="880">
                  <c:v>2.8044447387825362E-2</c:v>
                </c:pt>
                <c:pt idx="881">
                  <c:v>2.8044405875552413E-2</c:v>
                </c:pt>
                <c:pt idx="882">
                  <c:v>2.8044364363279471E-2</c:v>
                </c:pt>
                <c:pt idx="883">
                  <c:v>2.8044322851006529E-2</c:v>
                </c:pt>
                <c:pt idx="884">
                  <c:v>2.8044281338733587E-2</c:v>
                </c:pt>
                <c:pt idx="885">
                  <c:v>2.8044239826460642E-2</c:v>
                </c:pt>
                <c:pt idx="886">
                  <c:v>2.80441983141877E-2</c:v>
                </c:pt>
                <c:pt idx="887">
                  <c:v>2.8044156801914757E-2</c:v>
                </c:pt>
                <c:pt idx="888">
                  <c:v>2.8044115289641808E-2</c:v>
                </c:pt>
                <c:pt idx="889">
                  <c:v>2.8044073777368866E-2</c:v>
                </c:pt>
                <c:pt idx="890">
                  <c:v>2.8044032265095924E-2</c:v>
                </c:pt>
                <c:pt idx="891">
                  <c:v>2.8043990752822972E-2</c:v>
                </c:pt>
                <c:pt idx="892">
                  <c:v>2.8043949240550037E-2</c:v>
                </c:pt>
                <c:pt idx="893">
                  <c:v>2.8043907728277088E-2</c:v>
                </c:pt>
                <c:pt idx="894">
                  <c:v>2.8043866216004146E-2</c:v>
                </c:pt>
                <c:pt idx="895">
                  <c:v>2.80438247037312E-2</c:v>
                </c:pt>
                <c:pt idx="896">
                  <c:v>2.8043783191458262E-2</c:v>
                </c:pt>
                <c:pt idx="897">
                  <c:v>2.8043741679185316E-2</c:v>
                </c:pt>
                <c:pt idx="898">
                  <c:v>2.8043700166912374E-2</c:v>
                </c:pt>
                <c:pt idx="899">
                  <c:v>2.8043658654639429E-2</c:v>
                </c:pt>
                <c:pt idx="900">
                  <c:v>2.804361714236648E-2</c:v>
                </c:pt>
                <c:pt idx="901">
                  <c:v>2.8043575630093544E-2</c:v>
                </c:pt>
                <c:pt idx="902">
                  <c:v>2.8043534117820595E-2</c:v>
                </c:pt>
                <c:pt idx="903">
                  <c:v>2.8043492605547653E-2</c:v>
                </c:pt>
                <c:pt idx="904">
                  <c:v>2.8043451093274708E-2</c:v>
                </c:pt>
                <c:pt idx="905">
                  <c:v>2.8043409581001766E-2</c:v>
                </c:pt>
                <c:pt idx="906">
                  <c:v>2.8043368068728817E-2</c:v>
                </c:pt>
                <c:pt idx="907">
                  <c:v>2.8043326556455875E-2</c:v>
                </c:pt>
                <c:pt idx="908">
                  <c:v>2.8043285044182933E-2</c:v>
                </c:pt>
                <c:pt idx="909">
                  <c:v>2.8043243531909987E-2</c:v>
                </c:pt>
                <c:pt idx="910">
                  <c:v>2.8043202019637045E-2</c:v>
                </c:pt>
                <c:pt idx="911">
                  <c:v>2.8043160507364096E-2</c:v>
                </c:pt>
                <c:pt idx="912">
                  <c:v>2.8043118995091154E-2</c:v>
                </c:pt>
                <c:pt idx="913">
                  <c:v>2.8043077482818209E-2</c:v>
                </c:pt>
                <c:pt idx="914">
                  <c:v>2.804303597054527E-2</c:v>
                </c:pt>
                <c:pt idx="915">
                  <c:v>2.8042994458272325E-2</c:v>
                </c:pt>
                <c:pt idx="916">
                  <c:v>2.8042952945999382E-2</c:v>
                </c:pt>
                <c:pt idx="917">
                  <c:v>2.8042911433726437E-2</c:v>
                </c:pt>
                <c:pt idx="918">
                  <c:v>2.8042869921453495E-2</c:v>
                </c:pt>
                <c:pt idx="919">
                  <c:v>2.8042828409180553E-2</c:v>
                </c:pt>
                <c:pt idx="920">
                  <c:v>2.8042786896907604E-2</c:v>
                </c:pt>
                <c:pt idx="921">
                  <c:v>2.8042745384634662E-2</c:v>
                </c:pt>
                <c:pt idx="922">
                  <c:v>2.8042703872361716E-2</c:v>
                </c:pt>
                <c:pt idx="923">
                  <c:v>2.8042662360088778E-2</c:v>
                </c:pt>
                <c:pt idx="924">
                  <c:v>2.8042620847815836E-2</c:v>
                </c:pt>
                <c:pt idx="925">
                  <c:v>2.804257933554289E-2</c:v>
                </c:pt>
                <c:pt idx="926">
                  <c:v>2.8042537823269948E-2</c:v>
                </c:pt>
                <c:pt idx="927">
                  <c:v>2.8042496310997006E-2</c:v>
                </c:pt>
                <c:pt idx="928">
                  <c:v>2.8042454798724057E-2</c:v>
                </c:pt>
                <c:pt idx="929">
                  <c:v>2.8042413286451115E-2</c:v>
                </c:pt>
                <c:pt idx="930">
                  <c:v>2.8042371774178173E-2</c:v>
                </c:pt>
                <c:pt idx="931">
                  <c:v>2.8042330261905227E-2</c:v>
                </c:pt>
                <c:pt idx="932">
                  <c:v>2.8042288749632285E-2</c:v>
                </c:pt>
                <c:pt idx="933">
                  <c:v>2.8042247237359343E-2</c:v>
                </c:pt>
                <c:pt idx="934">
                  <c:v>2.8042205725086394E-2</c:v>
                </c:pt>
                <c:pt idx="935">
                  <c:v>2.8042164212813452E-2</c:v>
                </c:pt>
                <c:pt idx="936">
                  <c:v>2.8042122700540514E-2</c:v>
                </c:pt>
                <c:pt idx="937">
                  <c:v>2.8042081188267565E-2</c:v>
                </c:pt>
                <c:pt idx="938">
                  <c:v>2.8042039675994619E-2</c:v>
                </c:pt>
                <c:pt idx="939">
                  <c:v>2.8041998163721681E-2</c:v>
                </c:pt>
                <c:pt idx="940">
                  <c:v>2.8041956651448735E-2</c:v>
                </c:pt>
                <c:pt idx="941">
                  <c:v>2.8041915139175793E-2</c:v>
                </c:pt>
                <c:pt idx="942">
                  <c:v>2.8041873626902844E-2</c:v>
                </c:pt>
                <c:pt idx="943">
                  <c:v>2.7967279220567236E-2</c:v>
                </c:pt>
                <c:pt idx="944">
                  <c:v>2.7967237708294294E-2</c:v>
                </c:pt>
                <c:pt idx="945">
                  <c:v>2.7967196196021345E-2</c:v>
                </c:pt>
                <c:pt idx="946">
                  <c:v>2.7967154683748403E-2</c:v>
                </c:pt>
                <c:pt idx="947">
                  <c:v>2.7967113171475457E-2</c:v>
                </c:pt>
                <c:pt idx="948">
                  <c:v>2.7967071659202519E-2</c:v>
                </c:pt>
                <c:pt idx="949">
                  <c:v>2.7967030146929573E-2</c:v>
                </c:pt>
                <c:pt idx="950">
                  <c:v>2.7966988634656624E-2</c:v>
                </c:pt>
                <c:pt idx="951">
                  <c:v>2.7966947122383682E-2</c:v>
                </c:pt>
                <c:pt idx="952">
                  <c:v>2.7966905610110736E-2</c:v>
                </c:pt>
                <c:pt idx="953">
                  <c:v>2.7966864097837798E-2</c:v>
                </c:pt>
                <c:pt idx="954">
                  <c:v>2.7966822585564852E-2</c:v>
                </c:pt>
                <c:pt idx="955">
                  <c:v>2.796678107329191E-2</c:v>
                </c:pt>
                <c:pt idx="956">
                  <c:v>2.7966739561018965E-2</c:v>
                </c:pt>
                <c:pt idx="957">
                  <c:v>2.7966698048746023E-2</c:v>
                </c:pt>
                <c:pt idx="958">
                  <c:v>2.7966656536473081E-2</c:v>
                </c:pt>
                <c:pt idx="959">
                  <c:v>2.7966615024200132E-2</c:v>
                </c:pt>
                <c:pt idx="960">
                  <c:v>2.796657351192719E-2</c:v>
                </c:pt>
                <c:pt idx="961">
                  <c:v>2.7966531999654244E-2</c:v>
                </c:pt>
                <c:pt idx="962">
                  <c:v>2.7966490487381302E-2</c:v>
                </c:pt>
                <c:pt idx="963">
                  <c:v>2.796644897510836E-2</c:v>
                </c:pt>
                <c:pt idx="964">
                  <c:v>2.7966407462835411E-2</c:v>
                </c:pt>
                <c:pt idx="965">
                  <c:v>2.7966365950562469E-2</c:v>
                </c:pt>
                <c:pt idx="966">
                  <c:v>2.7966324438289527E-2</c:v>
                </c:pt>
                <c:pt idx="967">
                  <c:v>2.7966282926016585E-2</c:v>
                </c:pt>
                <c:pt idx="968">
                  <c:v>2.7966241413743639E-2</c:v>
                </c:pt>
                <c:pt idx="969">
                  <c:v>2.796619990147069E-2</c:v>
                </c:pt>
                <c:pt idx="970">
                  <c:v>2.7966158389197748E-2</c:v>
                </c:pt>
                <c:pt idx="971">
                  <c:v>2.7966116876924806E-2</c:v>
                </c:pt>
                <c:pt idx="972">
                  <c:v>2.7966075364651864E-2</c:v>
                </c:pt>
                <c:pt idx="973">
                  <c:v>2.7966033852378919E-2</c:v>
                </c:pt>
                <c:pt idx="974">
                  <c:v>2.7965992340105973E-2</c:v>
                </c:pt>
                <c:pt idx="975">
                  <c:v>2.7965950827833035E-2</c:v>
                </c:pt>
                <c:pt idx="976">
                  <c:v>2.7965909315560089E-2</c:v>
                </c:pt>
                <c:pt idx="977">
                  <c:v>2.7965867803287147E-2</c:v>
                </c:pt>
                <c:pt idx="978">
                  <c:v>2.7965826291014198E-2</c:v>
                </c:pt>
                <c:pt idx="979">
                  <c:v>2.7965784778741253E-2</c:v>
                </c:pt>
                <c:pt idx="980">
                  <c:v>2.796574326646831E-2</c:v>
                </c:pt>
                <c:pt idx="981">
                  <c:v>2.7965701754195368E-2</c:v>
                </c:pt>
                <c:pt idx="982">
                  <c:v>2.7965660241922419E-2</c:v>
                </c:pt>
                <c:pt idx="983">
                  <c:v>2.7965618729649477E-2</c:v>
                </c:pt>
                <c:pt idx="984">
                  <c:v>2.7965577217376535E-2</c:v>
                </c:pt>
                <c:pt idx="985">
                  <c:v>2.7965535705103593E-2</c:v>
                </c:pt>
                <c:pt idx="986">
                  <c:v>2.7965494192830648E-2</c:v>
                </c:pt>
                <c:pt idx="987">
                  <c:v>2.7965452680557699E-2</c:v>
                </c:pt>
                <c:pt idx="988">
                  <c:v>2.7965411168284757E-2</c:v>
                </c:pt>
                <c:pt idx="989">
                  <c:v>2.7965369656011815E-2</c:v>
                </c:pt>
                <c:pt idx="990">
                  <c:v>2.7965328143738873E-2</c:v>
                </c:pt>
                <c:pt idx="991">
                  <c:v>2.7965286631465927E-2</c:v>
                </c:pt>
                <c:pt idx="992">
                  <c:v>2.7965245119192985E-2</c:v>
                </c:pt>
                <c:pt idx="993">
                  <c:v>2.796520360692004E-2</c:v>
                </c:pt>
                <c:pt idx="994">
                  <c:v>2.7965162094647097E-2</c:v>
                </c:pt>
                <c:pt idx="995">
                  <c:v>2.7965120582374155E-2</c:v>
                </c:pt>
                <c:pt idx="996">
                  <c:v>2.7965079070101213E-2</c:v>
                </c:pt>
                <c:pt idx="997">
                  <c:v>2.7965037557828264E-2</c:v>
                </c:pt>
                <c:pt idx="998">
                  <c:v>2.7964996045555322E-2</c:v>
                </c:pt>
                <c:pt idx="999">
                  <c:v>2.796495453328238E-2</c:v>
                </c:pt>
                <c:pt idx="1000">
                  <c:v>2.7964913021009428E-2</c:v>
                </c:pt>
                <c:pt idx="1001">
                  <c:v>2.7964871508736493E-2</c:v>
                </c:pt>
                <c:pt idx="1002">
                  <c:v>2.7964829996463544E-2</c:v>
                </c:pt>
                <c:pt idx="1003">
                  <c:v>2.7964788484190609E-2</c:v>
                </c:pt>
                <c:pt idx="1004">
                  <c:v>2.7964746971917656E-2</c:v>
                </c:pt>
                <c:pt idx="1005">
                  <c:v>2.7964705459644718E-2</c:v>
                </c:pt>
                <c:pt idx="1006">
                  <c:v>2.7964663947371772E-2</c:v>
                </c:pt>
                <c:pt idx="1007">
                  <c:v>2.7964622435098823E-2</c:v>
                </c:pt>
                <c:pt idx="1008">
                  <c:v>2.7964580922825881E-2</c:v>
                </c:pt>
                <c:pt idx="1009">
                  <c:v>2.7964539410552935E-2</c:v>
                </c:pt>
                <c:pt idx="1010">
                  <c:v>2.7964497898279993E-2</c:v>
                </c:pt>
                <c:pt idx="1011">
                  <c:v>2.7964456386007044E-2</c:v>
                </c:pt>
                <c:pt idx="1012">
                  <c:v>2.7964414873734113E-2</c:v>
                </c:pt>
                <c:pt idx="1013">
                  <c:v>2.7964373361461167E-2</c:v>
                </c:pt>
                <c:pt idx="1014">
                  <c:v>2.7964331849188225E-2</c:v>
                </c:pt>
                <c:pt idx="1015">
                  <c:v>2.7964290336915283E-2</c:v>
                </c:pt>
                <c:pt idx="1016">
                  <c:v>2.7964248824642338E-2</c:v>
                </c:pt>
                <c:pt idx="1017">
                  <c:v>2.7964207312369389E-2</c:v>
                </c:pt>
                <c:pt idx="1018">
                  <c:v>2.7964165800096447E-2</c:v>
                </c:pt>
                <c:pt idx="1019">
                  <c:v>2.7964124287823505E-2</c:v>
                </c:pt>
                <c:pt idx="1020">
                  <c:v>2.7964082775550562E-2</c:v>
                </c:pt>
                <c:pt idx="1021">
                  <c:v>2.7964041263277617E-2</c:v>
                </c:pt>
                <c:pt idx="1022">
                  <c:v>2.7963999751004675E-2</c:v>
                </c:pt>
                <c:pt idx="1023">
                  <c:v>2.7963958238731733E-2</c:v>
                </c:pt>
                <c:pt idx="1024">
                  <c:v>2.7963916726458791E-2</c:v>
                </c:pt>
                <c:pt idx="1025">
                  <c:v>2.7963875214185842E-2</c:v>
                </c:pt>
                <c:pt idx="1026">
                  <c:v>2.7963833701912896E-2</c:v>
                </c:pt>
                <c:pt idx="1027">
                  <c:v>2.7963792189639954E-2</c:v>
                </c:pt>
                <c:pt idx="1028">
                  <c:v>2.7963750677367005E-2</c:v>
                </c:pt>
                <c:pt idx="1029">
                  <c:v>2.7963709165094063E-2</c:v>
                </c:pt>
                <c:pt idx="1030">
                  <c:v>2.7963667652821121E-2</c:v>
                </c:pt>
                <c:pt idx="1031">
                  <c:v>2.7963626140548176E-2</c:v>
                </c:pt>
                <c:pt idx="1032">
                  <c:v>2.7963584628275237E-2</c:v>
                </c:pt>
                <c:pt idx="1033">
                  <c:v>2.7963543116002292E-2</c:v>
                </c:pt>
                <c:pt idx="1034">
                  <c:v>2.7963501603729349E-2</c:v>
                </c:pt>
                <c:pt idx="1035">
                  <c:v>2.7963460091456404E-2</c:v>
                </c:pt>
                <c:pt idx="1036">
                  <c:v>2.7963418579183455E-2</c:v>
                </c:pt>
                <c:pt idx="1037">
                  <c:v>2.796337706691052E-2</c:v>
                </c:pt>
                <c:pt idx="1038">
                  <c:v>2.7963335554637571E-2</c:v>
                </c:pt>
                <c:pt idx="1039">
                  <c:v>2.7963294042364625E-2</c:v>
                </c:pt>
                <c:pt idx="1040">
                  <c:v>2.7963252530091683E-2</c:v>
                </c:pt>
                <c:pt idx="1041">
                  <c:v>2.7963211017818734E-2</c:v>
                </c:pt>
                <c:pt idx="1042">
                  <c:v>2.7963169505545799E-2</c:v>
                </c:pt>
                <c:pt idx="1043">
                  <c:v>2.7963127993272857E-2</c:v>
                </c:pt>
                <c:pt idx="1044">
                  <c:v>2.7963086480999908E-2</c:v>
                </c:pt>
                <c:pt idx="1045">
                  <c:v>2.7963044968726963E-2</c:v>
                </c:pt>
                <c:pt idx="1046">
                  <c:v>2.7963003456454024E-2</c:v>
                </c:pt>
                <c:pt idx="1047">
                  <c:v>2.7962961944181072E-2</c:v>
                </c:pt>
                <c:pt idx="1048">
                  <c:v>2.796292043190813E-2</c:v>
                </c:pt>
                <c:pt idx="1049">
                  <c:v>2.7962878919635187E-2</c:v>
                </c:pt>
                <c:pt idx="1050">
                  <c:v>2.7962837407362242E-2</c:v>
                </c:pt>
                <c:pt idx="1051">
                  <c:v>2.79627958950893E-2</c:v>
                </c:pt>
                <c:pt idx="1052">
                  <c:v>2.7962754382816354E-2</c:v>
                </c:pt>
                <c:pt idx="1053">
                  <c:v>2.7962712870543416E-2</c:v>
                </c:pt>
                <c:pt idx="1054">
                  <c:v>2.7962671358270463E-2</c:v>
                </c:pt>
                <c:pt idx="1055">
                  <c:v>2.7962629845997528E-2</c:v>
                </c:pt>
                <c:pt idx="1056">
                  <c:v>2.7962588333724579E-2</c:v>
                </c:pt>
                <c:pt idx="1057">
                  <c:v>2.7962546821451637E-2</c:v>
                </c:pt>
                <c:pt idx="1058">
                  <c:v>2.7962505309178692E-2</c:v>
                </c:pt>
                <c:pt idx="1059">
                  <c:v>2.796246379690575E-2</c:v>
                </c:pt>
                <c:pt idx="1060">
                  <c:v>2.7962422284632808E-2</c:v>
                </c:pt>
                <c:pt idx="1061">
                  <c:v>2.7962380772359859E-2</c:v>
                </c:pt>
                <c:pt idx="1062">
                  <c:v>2.7962339260086917E-2</c:v>
                </c:pt>
                <c:pt idx="1063">
                  <c:v>2.7962297747813971E-2</c:v>
                </c:pt>
                <c:pt idx="1064">
                  <c:v>2.7962256235541032E-2</c:v>
                </c:pt>
                <c:pt idx="1065">
                  <c:v>2.7962214723268087E-2</c:v>
                </c:pt>
                <c:pt idx="1066">
                  <c:v>2.7962173210995145E-2</c:v>
                </c:pt>
                <c:pt idx="1067">
                  <c:v>2.7962131698722196E-2</c:v>
                </c:pt>
                <c:pt idx="1068">
                  <c:v>2.7962090186449261E-2</c:v>
                </c:pt>
                <c:pt idx="1069">
                  <c:v>2.7962048674176308E-2</c:v>
                </c:pt>
                <c:pt idx="1070">
                  <c:v>2.796200716190337E-2</c:v>
                </c:pt>
                <c:pt idx="1071">
                  <c:v>2.7961965649630421E-2</c:v>
                </c:pt>
                <c:pt idx="1072">
                  <c:v>2.7961924137357479E-2</c:v>
                </c:pt>
                <c:pt idx="1073">
                  <c:v>2.7961882625084537E-2</c:v>
                </c:pt>
                <c:pt idx="1074">
                  <c:v>2.7961841112811595E-2</c:v>
                </c:pt>
                <c:pt idx="1075">
                  <c:v>2.7961799600538646E-2</c:v>
                </c:pt>
                <c:pt idx="1076">
                  <c:v>2.79617580882657E-2</c:v>
                </c:pt>
                <c:pt idx="1077">
                  <c:v>2.7961716575992761E-2</c:v>
                </c:pt>
                <c:pt idx="1078">
                  <c:v>2.7961675063719816E-2</c:v>
                </c:pt>
                <c:pt idx="1079">
                  <c:v>2.7961633551446867E-2</c:v>
                </c:pt>
                <c:pt idx="1080">
                  <c:v>2.7961592039173925E-2</c:v>
                </c:pt>
                <c:pt idx="1081">
                  <c:v>2.7961550526900983E-2</c:v>
                </c:pt>
                <c:pt idx="1082">
                  <c:v>2.7961509014628041E-2</c:v>
                </c:pt>
                <c:pt idx="1083">
                  <c:v>2.7961467502355095E-2</c:v>
                </c:pt>
                <c:pt idx="1084">
                  <c:v>2.7961425990082153E-2</c:v>
                </c:pt>
                <c:pt idx="1085">
                  <c:v>2.7961384477809204E-2</c:v>
                </c:pt>
                <c:pt idx="1086">
                  <c:v>2.7961342965536269E-2</c:v>
                </c:pt>
                <c:pt idx="1087">
                  <c:v>2.796130145326332E-2</c:v>
                </c:pt>
                <c:pt idx="1088">
                  <c:v>2.7961259940990375E-2</c:v>
                </c:pt>
                <c:pt idx="1089">
                  <c:v>2.7961218428717433E-2</c:v>
                </c:pt>
                <c:pt idx="1090">
                  <c:v>2.7961176916444484E-2</c:v>
                </c:pt>
                <c:pt idx="1091">
                  <c:v>2.7961135404171545E-2</c:v>
                </c:pt>
                <c:pt idx="1092">
                  <c:v>2.7961093891898603E-2</c:v>
                </c:pt>
                <c:pt idx="1093">
                  <c:v>2.7961052379625654E-2</c:v>
                </c:pt>
                <c:pt idx="1094">
                  <c:v>2.7961010867352712E-2</c:v>
                </c:pt>
                <c:pt idx="1095">
                  <c:v>2.796096935507977E-2</c:v>
                </c:pt>
                <c:pt idx="1096">
                  <c:v>2.7960927842806828E-2</c:v>
                </c:pt>
                <c:pt idx="1097">
                  <c:v>2.7960886330533882E-2</c:v>
                </c:pt>
                <c:pt idx="1098">
                  <c:v>2.7960844818260933E-2</c:v>
                </c:pt>
                <c:pt idx="1099">
                  <c:v>2.7960803305987991E-2</c:v>
                </c:pt>
                <c:pt idx="1100">
                  <c:v>2.7960761793715046E-2</c:v>
                </c:pt>
                <c:pt idx="1101">
                  <c:v>2.7960720281442107E-2</c:v>
                </c:pt>
                <c:pt idx="1102">
                  <c:v>2.7960678769169162E-2</c:v>
                </c:pt>
                <c:pt idx="1103">
                  <c:v>2.7960637256896223E-2</c:v>
                </c:pt>
                <c:pt idx="1104">
                  <c:v>2.7960595744623278E-2</c:v>
                </c:pt>
                <c:pt idx="1105">
                  <c:v>2.7960554232350335E-2</c:v>
                </c:pt>
                <c:pt idx="1106">
                  <c:v>2.7960512720077386E-2</c:v>
                </c:pt>
                <c:pt idx="1107">
                  <c:v>2.7960471207804451E-2</c:v>
                </c:pt>
                <c:pt idx="1108">
                  <c:v>2.7960429695531502E-2</c:v>
                </c:pt>
                <c:pt idx="1109">
                  <c:v>2.796038818325856E-2</c:v>
                </c:pt>
                <c:pt idx="1110">
                  <c:v>2.7960346670985615E-2</c:v>
                </c:pt>
                <c:pt idx="1111">
                  <c:v>2.7960305158712673E-2</c:v>
                </c:pt>
                <c:pt idx="1112">
                  <c:v>2.7960263646439731E-2</c:v>
                </c:pt>
                <c:pt idx="1113">
                  <c:v>2.7960222134166785E-2</c:v>
                </c:pt>
                <c:pt idx="1114">
                  <c:v>2.7960180621893843E-2</c:v>
                </c:pt>
                <c:pt idx="1115">
                  <c:v>2.7960139109620894E-2</c:v>
                </c:pt>
                <c:pt idx="1116">
                  <c:v>2.7960097597347952E-2</c:v>
                </c:pt>
                <c:pt idx="1117">
                  <c:v>2.796005608507501E-2</c:v>
                </c:pt>
                <c:pt idx="1118">
                  <c:v>2.7960014572802065E-2</c:v>
                </c:pt>
                <c:pt idx="1119">
                  <c:v>2.7959973060529116E-2</c:v>
                </c:pt>
                <c:pt idx="1120">
                  <c:v>2.7959931548256173E-2</c:v>
                </c:pt>
                <c:pt idx="1121">
                  <c:v>2.7959890035983231E-2</c:v>
                </c:pt>
                <c:pt idx="1122">
                  <c:v>2.7959848523710289E-2</c:v>
                </c:pt>
                <c:pt idx="1123">
                  <c:v>2.7959807011437344E-2</c:v>
                </c:pt>
                <c:pt idx="1124">
                  <c:v>2.7959765499164395E-2</c:v>
                </c:pt>
                <c:pt idx="1125">
                  <c:v>2.795972398689146E-2</c:v>
                </c:pt>
                <c:pt idx="1126">
                  <c:v>2.7761977999839548E-2</c:v>
                </c:pt>
                <c:pt idx="1127">
                  <c:v>2.7761936487566606E-2</c:v>
                </c:pt>
                <c:pt idx="1128">
                  <c:v>2.7761894975293657E-2</c:v>
                </c:pt>
                <c:pt idx="1129">
                  <c:v>2.7761853463020712E-2</c:v>
                </c:pt>
                <c:pt idx="1130">
                  <c:v>2.7761811950747776E-2</c:v>
                </c:pt>
                <c:pt idx="1131">
                  <c:v>2.7761770438474827E-2</c:v>
                </c:pt>
                <c:pt idx="1132">
                  <c:v>2.7761728926201885E-2</c:v>
                </c:pt>
                <c:pt idx="1133">
                  <c:v>2.776168741392894E-2</c:v>
                </c:pt>
                <c:pt idx="1134">
                  <c:v>2.7761645901656001E-2</c:v>
                </c:pt>
                <c:pt idx="1135">
                  <c:v>2.7761604389383056E-2</c:v>
                </c:pt>
                <c:pt idx="1136">
                  <c:v>2.7761562877110103E-2</c:v>
                </c:pt>
                <c:pt idx="1137">
                  <c:v>2.7761521364837165E-2</c:v>
                </c:pt>
                <c:pt idx="1138">
                  <c:v>2.7761479852564219E-2</c:v>
                </c:pt>
                <c:pt idx="1139">
                  <c:v>2.7761438340291281E-2</c:v>
                </c:pt>
                <c:pt idx="1140">
                  <c:v>2.7761396828018328E-2</c:v>
                </c:pt>
                <c:pt idx="1141">
                  <c:v>2.7761355315745393E-2</c:v>
                </c:pt>
                <c:pt idx="1142">
                  <c:v>2.7761313803472444E-2</c:v>
                </c:pt>
                <c:pt idx="1143">
                  <c:v>2.7761272291199509E-2</c:v>
                </c:pt>
                <c:pt idx="1144">
                  <c:v>2.7761230778926557E-2</c:v>
                </c:pt>
                <c:pt idx="1145">
                  <c:v>2.7761189266653614E-2</c:v>
                </c:pt>
                <c:pt idx="1146">
                  <c:v>2.7761147754380672E-2</c:v>
                </c:pt>
                <c:pt idx="1147">
                  <c:v>2.776110624210772E-2</c:v>
                </c:pt>
                <c:pt idx="1148">
                  <c:v>2.7761064729834781E-2</c:v>
                </c:pt>
                <c:pt idx="1149">
                  <c:v>2.7761023217561836E-2</c:v>
                </c:pt>
                <c:pt idx="1150">
                  <c:v>2.7760981705288901E-2</c:v>
                </c:pt>
                <c:pt idx="1151">
                  <c:v>2.7760940193015948E-2</c:v>
                </c:pt>
                <c:pt idx="1152">
                  <c:v>2.776089868074301E-2</c:v>
                </c:pt>
                <c:pt idx="1153">
                  <c:v>2.7760857168470064E-2</c:v>
                </c:pt>
                <c:pt idx="1154">
                  <c:v>2.7760815656197115E-2</c:v>
                </c:pt>
                <c:pt idx="1155">
                  <c:v>2.7760774143924173E-2</c:v>
                </c:pt>
                <c:pt idx="1156">
                  <c:v>2.7760732631651228E-2</c:v>
                </c:pt>
                <c:pt idx="1157">
                  <c:v>2.7760691119378286E-2</c:v>
                </c:pt>
                <c:pt idx="1158">
                  <c:v>2.7760649607105347E-2</c:v>
                </c:pt>
                <c:pt idx="1159">
                  <c:v>2.7760608094832395E-2</c:v>
                </c:pt>
                <c:pt idx="1160">
                  <c:v>2.7760566582559452E-2</c:v>
                </c:pt>
                <c:pt idx="1161">
                  <c:v>2.776052507028651E-2</c:v>
                </c:pt>
                <c:pt idx="1162">
                  <c:v>2.7760483558013568E-2</c:v>
                </c:pt>
                <c:pt idx="1163">
                  <c:v>2.7760442045740623E-2</c:v>
                </c:pt>
                <c:pt idx="1164">
                  <c:v>2.7760400533467674E-2</c:v>
                </c:pt>
                <c:pt idx="1165">
                  <c:v>2.7760359021194739E-2</c:v>
                </c:pt>
                <c:pt idx="1166">
                  <c:v>2.776031750892179E-2</c:v>
                </c:pt>
                <c:pt idx="1167">
                  <c:v>2.7760275996648844E-2</c:v>
                </c:pt>
                <c:pt idx="1168">
                  <c:v>2.7760234484375902E-2</c:v>
                </c:pt>
                <c:pt idx="1169">
                  <c:v>2.776019297210296E-2</c:v>
                </c:pt>
                <c:pt idx="1170">
                  <c:v>2.7760151459830018E-2</c:v>
                </c:pt>
                <c:pt idx="1171">
                  <c:v>2.7760109947557073E-2</c:v>
                </c:pt>
                <c:pt idx="1172">
                  <c:v>2.7760068435284131E-2</c:v>
                </c:pt>
                <c:pt idx="1173">
                  <c:v>2.7760026923011182E-2</c:v>
                </c:pt>
                <c:pt idx="1174">
                  <c:v>2.7759985410738236E-2</c:v>
                </c:pt>
                <c:pt idx="1175">
                  <c:v>2.7759943898465297E-2</c:v>
                </c:pt>
                <c:pt idx="1176">
                  <c:v>2.7759902386192352E-2</c:v>
                </c:pt>
                <c:pt idx="1177">
                  <c:v>2.775986087391941E-2</c:v>
                </c:pt>
                <c:pt idx="1178">
                  <c:v>2.7759819361646461E-2</c:v>
                </c:pt>
                <c:pt idx="1179">
                  <c:v>2.7759777849373519E-2</c:v>
                </c:pt>
                <c:pt idx="1180">
                  <c:v>2.7759736337100577E-2</c:v>
                </c:pt>
                <c:pt idx="1181">
                  <c:v>2.7759694824827635E-2</c:v>
                </c:pt>
                <c:pt idx="1182">
                  <c:v>2.7759653312554689E-2</c:v>
                </c:pt>
                <c:pt idx="1183">
                  <c:v>2.775961180028174E-2</c:v>
                </c:pt>
                <c:pt idx="1184">
                  <c:v>2.7759570288008805E-2</c:v>
                </c:pt>
                <c:pt idx="1185">
                  <c:v>2.7759528775735856E-2</c:v>
                </c:pt>
                <c:pt idx="1186">
                  <c:v>2.7759487263462911E-2</c:v>
                </c:pt>
                <c:pt idx="1187">
                  <c:v>2.7759445751189969E-2</c:v>
                </c:pt>
                <c:pt idx="1188">
                  <c:v>2.7759404238917026E-2</c:v>
                </c:pt>
                <c:pt idx="1189">
                  <c:v>2.7759362726644084E-2</c:v>
                </c:pt>
                <c:pt idx="1190">
                  <c:v>2.7759321214371142E-2</c:v>
                </c:pt>
                <c:pt idx="1191">
                  <c:v>2.77592797020982E-2</c:v>
                </c:pt>
                <c:pt idx="1192">
                  <c:v>2.7759238189825255E-2</c:v>
                </c:pt>
                <c:pt idx="1193">
                  <c:v>2.7759196677552313E-2</c:v>
                </c:pt>
                <c:pt idx="1194">
                  <c:v>2.7759155165279364E-2</c:v>
                </c:pt>
                <c:pt idx="1195">
                  <c:v>2.7759113653006422E-2</c:v>
                </c:pt>
                <c:pt idx="1196">
                  <c:v>2.775907214073348E-2</c:v>
                </c:pt>
                <c:pt idx="1197">
                  <c:v>2.7759030628460538E-2</c:v>
                </c:pt>
                <c:pt idx="1198">
                  <c:v>2.7758989116187592E-2</c:v>
                </c:pt>
                <c:pt idx="1199">
                  <c:v>2.7758947603914643E-2</c:v>
                </c:pt>
                <c:pt idx="1200">
                  <c:v>2.7758906091641708E-2</c:v>
                </c:pt>
                <c:pt idx="1201">
                  <c:v>2.7758864579368759E-2</c:v>
                </c:pt>
                <c:pt idx="1202">
                  <c:v>2.7758823067095817E-2</c:v>
                </c:pt>
                <c:pt idx="1203">
                  <c:v>2.7758781554822871E-2</c:v>
                </c:pt>
                <c:pt idx="1204">
                  <c:v>2.7758740042549929E-2</c:v>
                </c:pt>
                <c:pt idx="1205">
                  <c:v>2.775869853027698E-2</c:v>
                </c:pt>
                <c:pt idx="1206">
                  <c:v>2.7758657018004038E-2</c:v>
                </c:pt>
                <c:pt idx="1207">
                  <c:v>2.7758615505731093E-2</c:v>
                </c:pt>
                <c:pt idx="1208">
                  <c:v>2.7758573993458158E-2</c:v>
                </c:pt>
                <c:pt idx="1209">
                  <c:v>2.7758532481185209E-2</c:v>
                </c:pt>
                <c:pt idx="1210">
                  <c:v>2.7758490968912267E-2</c:v>
                </c:pt>
                <c:pt idx="1211">
                  <c:v>2.7758449456639321E-2</c:v>
                </c:pt>
                <c:pt idx="1212">
                  <c:v>2.7758407944366372E-2</c:v>
                </c:pt>
                <c:pt idx="1213">
                  <c:v>2.7758366432093437E-2</c:v>
                </c:pt>
                <c:pt idx="1214">
                  <c:v>2.7758324919820488E-2</c:v>
                </c:pt>
                <c:pt idx="1215">
                  <c:v>2.7758283407547546E-2</c:v>
                </c:pt>
                <c:pt idx="1216">
                  <c:v>2.77582418952746E-2</c:v>
                </c:pt>
                <c:pt idx="1217">
                  <c:v>2.7758200383001662E-2</c:v>
                </c:pt>
                <c:pt idx="1218">
                  <c:v>2.7758158870728716E-2</c:v>
                </c:pt>
                <c:pt idx="1219">
                  <c:v>2.7758117358455774E-2</c:v>
                </c:pt>
                <c:pt idx="1220">
                  <c:v>2.7758075846182825E-2</c:v>
                </c:pt>
                <c:pt idx="1221">
                  <c:v>2.775803433390988E-2</c:v>
                </c:pt>
                <c:pt idx="1222">
                  <c:v>2.7757992821636941E-2</c:v>
                </c:pt>
                <c:pt idx="1223">
                  <c:v>2.7757951309363996E-2</c:v>
                </c:pt>
                <c:pt idx="1224">
                  <c:v>2.7757909797091047E-2</c:v>
                </c:pt>
                <c:pt idx="1225">
                  <c:v>2.7757868284818105E-2</c:v>
                </c:pt>
                <c:pt idx="1226">
                  <c:v>2.7757826772545163E-2</c:v>
                </c:pt>
                <c:pt idx="1227">
                  <c:v>2.7757785260272224E-2</c:v>
                </c:pt>
                <c:pt idx="1228">
                  <c:v>2.7757743747999275E-2</c:v>
                </c:pt>
                <c:pt idx="1229">
                  <c:v>2.7757702235726333E-2</c:v>
                </c:pt>
                <c:pt idx="1230">
                  <c:v>2.7757660723453387E-2</c:v>
                </c:pt>
                <c:pt idx="1231">
                  <c:v>2.7757619211180445E-2</c:v>
                </c:pt>
                <c:pt idx="1232">
                  <c:v>2.7757577698907503E-2</c:v>
                </c:pt>
                <c:pt idx="1233">
                  <c:v>2.7757536186634554E-2</c:v>
                </c:pt>
                <c:pt idx="1234">
                  <c:v>2.7757494674361612E-2</c:v>
                </c:pt>
                <c:pt idx="1235">
                  <c:v>2.775745316208867E-2</c:v>
                </c:pt>
                <c:pt idx="1236">
                  <c:v>2.7757411649815725E-2</c:v>
                </c:pt>
                <c:pt idx="1237">
                  <c:v>2.7757370137542783E-2</c:v>
                </c:pt>
                <c:pt idx="1238">
                  <c:v>2.7757328625269834E-2</c:v>
                </c:pt>
                <c:pt idx="1239">
                  <c:v>2.7757287112996899E-2</c:v>
                </c:pt>
                <c:pt idx="1240">
                  <c:v>2.7757245600723946E-2</c:v>
                </c:pt>
                <c:pt idx="1241">
                  <c:v>2.7757204088451008E-2</c:v>
                </c:pt>
                <c:pt idx="1242">
                  <c:v>2.7757162576178062E-2</c:v>
                </c:pt>
                <c:pt idx="1243">
                  <c:v>2.7757121063905113E-2</c:v>
                </c:pt>
                <c:pt idx="1244">
                  <c:v>2.7757079551632171E-2</c:v>
                </c:pt>
                <c:pt idx="1245">
                  <c:v>2.7757038039359229E-2</c:v>
                </c:pt>
                <c:pt idx="1246">
                  <c:v>2.7756996527086283E-2</c:v>
                </c:pt>
                <c:pt idx="1247">
                  <c:v>2.7756955014813341E-2</c:v>
                </c:pt>
                <c:pt idx="1248">
                  <c:v>2.7756913502540399E-2</c:v>
                </c:pt>
                <c:pt idx="1249">
                  <c:v>2.7756871990267454E-2</c:v>
                </c:pt>
                <c:pt idx="1250">
                  <c:v>2.7756830477994512E-2</c:v>
                </c:pt>
                <c:pt idx="1251">
                  <c:v>2.7756788965721563E-2</c:v>
                </c:pt>
                <c:pt idx="1252">
                  <c:v>2.7756747453448621E-2</c:v>
                </c:pt>
                <c:pt idx="1253">
                  <c:v>2.7756705941175675E-2</c:v>
                </c:pt>
                <c:pt idx="1254">
                  <c:v>2.7756664428902737E-2</c:v>
                </c:pt>
                <c:pt idx="1255">
                  <c:v>2.7756622916629791E-2</c:v>
                </c:pt>
                <c:pt idx="1256">
                  <c:v>2.7756581404356849E-2</c:v>
                </c:pt>
                <c:pt idx="1257">
                  <c:v>2.77565398920839E-2</c:v>
                </c:pt>
                <c:pt idx="1258">
                  <c:v>2.7756498379810965E-2</c:v>
                </c:pt>
                <c:pt idx="1259">
                  <c:v>2.7756456867538016E-2</c:v>
                </c:pt>
                <c:pt idx="1260">
                  <c:v>2.775641535526507E-2</c:v>
                </c:pt>
                <c:pt idx="1261">
                  <c:v>2.7756373842992128E-2</c:v>
                </c:pt>
                <c:pt idx="1262">
                  <c:v>2.7756332330719179E-2</c:v>
                </c:pt>
                <c:pt idx="1263">
                  <c:v>2.7756290818446244E-2</c:v>
                </c:pt>
                <c:pt idx="1264">
                  <c:v>2.7756249306173292E-2</c:v>
                </c:pt>
                <c:pt idx="1265">
                  <c:v>2.7756207793900353E-2</c:v>
                </c:pt>
                <c:pt idx="1266">
                  <c:v>2.7756166281627408E-2</c:v>
                </c:pt>
                <c:pt idx="1267">
                  <c:v>2.7756124769354466E-2</c:v>
                </c:pt>
                <c:pt idx="1268">
                  <c:v>2.775608325708152E-2</c:v>
                </c:pt>
                <c:pt idx="1269">
                  <c:v>2.7756041744808578E-2</c:v>
                </c:pt>
                <c:pt idx="1270">
                  <c:v>2.7756000232535636E-2</c:v>
                </c:pt>
                <c:pt idx="1271">
                  <c:v>2.7755958720262684E-2</c:v>
                </c:pt>
                <c:pt idx="1272">
                  <c:v>2.7755917207989745E-2</c:v>
                </c:pt>
                <c:pt idx="1273">
                  <c:v>2.7755875695716799E-2</c:v>
                </c:pt>
                <c:pt idx="1274">
                  <c:v>2.7755834183443857E-2</c:v>
                </c:pt>
                <c:pt idx="1275">
                  <c:v>2.7755792671170908E-2</c:v>
                </c:pt>
                <c:pt idx="1276">
                  <c:v>2.7755751158897966E-2</c:v>
                </c:pt>
                <c:pt idx="1277">
                  <c:v>2.7755709646625024E-2</c:v>
                </c:pt>
                <c:pt idx="1278">
                  <c:v>2.7755668134352082E-2</c:v>
                </c:pt>
                <c:pt idx="1279">
                  <c:v>2.7755626622079147E-2</c:v>
                </c:pt>
                <c:pt idx="1280">
                  <c:v>2.7755585109806198E-2</c:v>
                </c:pt>
                <c:pt idx="1281">
                  <c:v>2.7755543597533253E-2</c:v>
                </c:pt>
                <c:pt idx="1282">
                  <c:v>2.7755502085260311E-2</c:v>
                </c:pt>
                <c:pt idx="1283">
                  <c:v>2.7755460572987362E-2</c:v>
                </c:pt>
                <c:pt idx="1284">
                  <c:v>2.7755419060714426E-2</c:v>
                </c:pt>
                <c:pt idx="1285">
                  <c:v>2.7755377548441477E-2</c:v>
                </c:pt>
                <c:pt idx="1286">
                  <c:v>2.7755336036168539E-2</c:v>
                </c:pt>
                <c:pt idx="1287">
                  <c:v>2.775529452389559E-2</c:v>
                </c:pt>
                <c:pt idx="1288">
                  <c:v>2.7755253011622655E-2</c:v>
                </c:pt>
                <c:pt idx="1289">
                  <c:v>2.7755211499349702E-2</c:v>
                </c:pt>
                <c:pt idx="1290">
                  <c:v>2.775516998707676E-2</c:v>
                </c:pt>
                <c:pt idx="1291">
                  <c:v>2.7755128474803818E-2</c:v>
                </c:pt>
                <c:pt idx="1292">
                  <c:v>2.7755086962530869E-2</c:v>
                </c:pt>
                <c:pt idx="1293">
                  <c:v>2.7755045450257927E-2</c:v>
                </c:pt>
                <c:pt idx="1294">
                  <c:v>2.7755003937984985E-2</c:v>
                </c:pt>
                <c:pt idx="1295">
                  <c:v>2.7754962425712043E-2</c:v>
                </c:pt>
                <c:pt idx="1296">
                  <c:v>2.7754920913439098E-2</c:v>
                </c:pt>
                <c:pt idx="1297">
                  <c:v>2.7754879401166156E-2</c:v>
                </c:pt>
                <c:pt idx="1298">
                  <c:v>2.7754837888893207E-2</c:v>
                </c:pt>
                <c:pt idx="1299">
                  <c:v>2.7754796376620264E-2</c:v>
                </c:pt>
                <c:pt idx="1300">
                  <c:v>2.7754754864347319E-2</c:v>
                </c:pt>
                <c:pt idx="1301">
                  <c:v>2.7754713352074377E-2</c:v>
                </c:pt>
                <c:pt idx="1302">
                  <c:v>2.7754671839801435E-2</c:v>
                </c:pt>
                <c:pt idx="1303">
                  <c:v>2.7754630327528486E-2</c:v>
                </c:pt>
                <c:pt idx="1304">
                  <c:v>2.7754588815255544E-2</c:v>
                </c:pt>
                <c:pt idx="1305">
                  <c:v>2.7754547302982598E-2</c:v>
                </c:pt>
                <c:pt idx="1306">
                  <c:v>2.7754505790709663E-2</c:v>
                </c:pt>
                <c:pt idx="1307">
                  <c:v>2.7754464278436714E-2</c:v>
                </c:pt>
                <c:pt idx="1308">
                  <c:v>2.7557808832820024E-2</c:v>
                </c:pt>
                <c:pt idx="1309">
                  <c:v>2.7557767320547075E-2</c:v>
                </c:pt>
                <c:pt idx="1310">
                  <c:v>2.7557725808274133E-2</c:v>
                </c:pt>
                <c:pt idx="1311">
                  <c:v>2.7557684296001191E-2</c:v>
                </c:pt>
                <c:pt idx="1312">
                  <c:v>2.7557642783728246E-2</c:v>
                </c:pt>
                <c:pt idx="1313">
                  <c:v>2.7557601271455307E-2</c:v>
                </c:pt>
                <c:pt idx="1314">
                  <c:v>2.7557559759182362E-2</c:v>
                </c:pt>
                <c:pt idx="1315">
                  <c:v>2.755751824690942E-2</c:v>
                </c:pt>
                <c:pt idx="1316">
                  <c:v>2.7557476734636471E-2</c:v>
                </c:pt>
                <c:pt idx="1317">
                  <c:v>2.7557435222363529E-2</c:v>
                </c:pt>
                <c:pt idx="1318">
                  <c:v>2.7557393710090583E-2</c:v>
                </c:pt>
                <c:pt idx="1319">
                  <c:v>2.7557352197817634E-2</c:v>
                </c:pt>
                <c:pt idx="1320">
                  <c:v>2.7557310685544699E-2</c:v>
                </c:pt>
                <c:pt idx="1321">
                  <c:v>2.755726917327175E-2</c:v>
                </c:pt>
                <c:pt idx="1322">
                  <c:v>2.7557227660998811E-2</c:v>
                </c:pt>
                <c:pt idx="1323">
                  <c:v>2.7557186148725862E-2</c:v>
                </c:pt>
                <c:pt idx="1324">
                  <c:v>2.755714463645292E-2</c:v>
                </c:pt>
                <c:pt idx="1325">
                  <c:v>2.7557103124179978E-2</c:v>
                </c:pt>
                <c:pt idx="1326">
                  <c:v>2.7557061611907036E-2</c:v>
                </c:pt>
                <c:pt idx="1327">
                  <c:v>2.7557020099634091E-2</c:v>
                </c:pt>
                <c:pt idx="1328">
                  <c:v>2.7556978587361142E-2</c:v>
                </c:pt>
                <c:pt idx="1329">
                  <c:v>2.75569370750882E-2</c:v>
                </c:pt>
                <c:pt idx="1330">
                  <c:v>2.7556895562815258E-2</c:v>
                </c:pt>
                <c:pt idx="1331">
                  <c:v>2.7556854050542312E-2</c:v>
                </c:pt>
                <c:pt idx="1332">
                  <c:v>2.755681253826937E-2</c:v>
                </c:pt>
                <c:pt idx="1333">
                  <c:v>2.7556771025996428E-2</c:v>
                </c:pt>
                <c:pt idx="1334">
                  <c:v>2.7556729513723486E-2</c:v>
                </c:pt>
                <c:pt idx="1335">
                  <c:v>2.7556688001450537E-2</c:v>
                </c:pt>
                <c:pt idx="1336">
                  <c:v>2.7556646489177595E-2</c:v>
                </c:pt>
                <c:pt idx="1337">
                  <c:v>2.7556604976904649E-2</c:v>
                </c:pt>
                <c:pt idx="1338">
                  <c:v>2.7556563464631711E-2</c:v>
                </c:pt>
                <c:pt idx="1339">
                  <c:v>2.7556521952358765E-2</c:v>
                </c:pt>
                <c:pt idx="1340">
                  <c:v>2.7556480440085816E-2</c:v>
                </c:pt>
                <c:pt idx="1341">
                  <c:v>2.7556438927812874E-2</c:v>
                </c:pt>
                <c:pt idx="1342">
                  <c:v>2.7556397415539936E-2</c:v>
                </c:pt>
                <c:pt idx="1343">
                  <c:v>2.7556355903266987E-2</c:v>
                </c:pt>
                <c:pt idx="1344">
                  <c:v>2.7556314390994045E-2</c:v>
                </c:pt>
                <c:pt idx="1345">
                  <c:v>2.7556272878721099E-2</c:v>
                </c:pt>
                <c:pt idx="1346">
                  <c:v>2.7556231366448157E-2</c:v>
                </c:pt>
                <c:pt idx="1347">
                  <c:v>2.7556189854175208E-2</c:v>
                </c:pt>
                <c:pt idx="1348">
                  <c:v>2.7556148341902273E-2</c:v>
                </c:pt>
                <c:pt idx="1349">
                  <c:v>2.755610682962932E-2</c:v>
                </c:pt>
                <c:pt idx="1350">
                  <c:v>2.7556065317356378E-2</c:v>
                </c:pt>
                <c:pt idx="1351">
                  <c:v>2.7556023805083436E-2</c:v>
                </c:pt>
                <c:pt idx="1352">
                  <c:v>2.7555982292810494E-2</c:v>
                </c:pt>
                <c:pt idx="1353">
                  <c:v>2.7555940780537545E-2</c:v>
                </c:pt>
                <c:pt idx="1354">
                  <c:v>2.7555899268264603E-2</c:v>
                </c:pt>
                <c:pt idx="1355">
                  <c:v>2.7555857755991661E-2</c:v>
                </c:pt>
                <c:pt idx="1356">
                  <c:v>2.7555816243718719E-2</c:v>
                </c:pt>
                <c:pt idx="1357">
                  <c:v>2.7555774731445774E-2</c:v>
                </c:pt>
                <c:pt idx="1358">
                  <c:v>2.7555733219172825E-2</c:v>
                </c:pt>
                <c:pt idx="1359">
                  <c:v>2.7555691706899883E-2</c:v>
                </c:pt>
                <c:pt idx="1360">
                  <c:v>2.7555650194626941E-2</c:v>
                </c:pt>
                <c:pt idx="1361">
                  <c:v>2.7555608682353995E-2</c:v>
                </c:pt>
                <c:pt idx="1362">
                  <c:v>2.7555567170081053E-2</c:v>
                </c:pt>
                <c:pt idx="1363">
                  <c:v>2.7555525657808111E-2</c:v>
                </c:pt>
                <c:pt idx="1364">
                  <c:v>2.7555484145535165E-2</c:v>
                </c:pt>
                <c:pt idx="1365">
                  <c:v>2.7555442633262227E-2</c:v>
                </c:pt>
                <c:pt idx="1366">
                  <c:v>2.7555401120989274E-2</c:v>
                </c:pt>
                <c:pt idx="1367">
                  <c:v>2.7555359608716332E-2</c:v>
                </c:pt>
                <c:pt idx="1368">
                  <c:v>2.7555318096443397E-2</c:v>
                </c:pt>
                <c:pt idx="1369">
                  <c:v>2.7555276584170448E-2</c:v>
                </c:pt>
                <c:pt idx="1370">
                  <c:v>2.7555235071897506E-2</c:v>
                </c:pt>
                <c:pt idx="1371">
                  <c:v>2.7555193559624564E-2</c:v>
                </c:pt>
                <c:pt idx="1372">
                  <c:v>2.7555152047351619E-2</c:v>
                </c:pt>
                <c:pt idx="1373">
                  <c:v>2.7555110535078677E-2</c:v>
                </c:pt>
                <c:pt idx="1374">
                  <c:v>2.7555069022805734E-2</c:v>
                </c:pt>
                <c:pt idx="1375">
                  <c:v>2.7555027510532785E-2</c:v>
                </c:pt>
                <c:pt idx="1376">
                  <c:v>2.7554985998259843E-2</c:v>
                </c:pt>
                <c:pt idx="1377">
                  <c:v>2.7554944485986901E-2</c:v>
                </c:pt>
                <c:pt idx="1378">
                  <c:v>2.7554902973713956E-2</c:v>
                </c:pt>
                <c:pt idx="1379">
                  <c:v>2.7554861461441007E-2</c:v>
                </c:pt>
                <c:pt idx="1380">
                  <c:v>2.7554819949168065E-2</c:v>
                </c:pt>
                <c:pt idx="1381">
                  <c:v>2.755477843689513E-2</c:v>
                </c:pt>
                <c:pt idx="1382">
                  <c:v>2.7554736924622184E-2</c:v>
                </c:pt>
                <c:pt idx="1383">
                  <c:v>2.7554695412349235E-2</c:v>
                </c:pt>
                <c:pt idx="1384">
                  <c:v>2.7554653900076293E-2</c:v>
                </c:pt>
                <c:pt idx="1385">
                  <c:v>2.7554612387803348E-2</c:v>
                </c:pt>
                <c:pt idx="1386">
                  <c:v>2.7554570875530409E-2</c:v>
                </c:pt>
                <c:pt idx="1387">
                  <c:v>2.7554529363257464E-2</c:v>
                </c:pt>
                <c:pt idx="1388">
                  <c:v>2.7554487850984511E-2</c:v>
                </c:pt>
                <c:pt idx="1389">
                  <c:v>2.7554446338711572E-2</c:v>
                </c:pt>
                <c:pt idx="1390">
                  <c:v>2.7554404826438627E-2</c:v>
                </c:pt>
                <c:pt idx="1391">
                  <c:v>2.7554363314165688E-2</c:v>
                </c:pt>
                <c:pt idx="1392">
                  <c:v>2.7554321801892736E-2</c:v>
                </c:pt>
                <c:pt idx="1393">
                  <c:v>2.7554280289619801E-2</c:v>
                </c:pt>
                <c:pt idx="1394">
                  <c:v>2.7554238777346859E-2</c:v>
                </c:pt>
                <c:pt idx="1395">
                  <c:v>2.7554197265073917E-2</c:v>
                </c:pt>
                <c:pt idx="1396">
                  <c:v>2.7554155752800964E-2</c:v>
                </c:pt>
                <c:pt idx="1397">
                  <c:v>2.7554114240528022E-2</c:v>
                </c:pt>
                <c:pt idx="1398">
                  <c:v>2.755407272825508E-2</c:v>
                </c:pt>
                <c:pt idx="1399">
                  <c:v>2.7554031215982131E-2</c:v>
                </c:pt>
                <c:pt idx="1400">
                  <c:v>2.7553989703709193E-2</c:v>
                </c:pt>
                <c:pt idx="1401">
                  <c:v>2.7553948191436251E-2</c:v>
                </c:pt>
                <c:pt idx="1402">
                  <c:v>2.7553906679163308E-2</c:v>
                </c:pt>
                <c:pt idx="1403">
                  <c:v>2.7553865166890359E-2</c:v>
                </c:pt>
                <c:pt idx="1404">
                  <c:v>2.7553823654617417E-2</c:v>
                </c:pt>
                <c:pt idx="1405">
                  <c:v>2.7553782142344475E-2</c:v>
                </c:pt>
                <c:pt idx="1406">
                  <c:v>2.755374063007153E-2</c:v>
                </c:pt>
                <c:pt idx="1407">
                  <c:v>2.7553699117798581E-2</c:v>
                </c:pt>
                <c:pt idx="1408">
                  <c:v>2.7553657605525639E-2</c:v>
                </c:pt>
                <c:pt idx="1409">
                  <c:v>2.7553616093252693E-2</c:v>
                </c:pt>
                <c:pt idx="1410">
                  <c:v>2.7553574580979751E-2</c:v>
                </c:pt>
                <c:pt idx="1411">
                  <c:v>2.7553533068706809E-2</c:v>
                </c:pt>
                <c:pt idx="1412">
                  <c:v>2.755349155643386E-2</c:v>
                </c:pt>
                <c:pt idx="1413">
                  <c:v>2.7553450044160918E-2</c:v>
                </c:pt>
                <c:pt idx="1414">
                  <c:v>2.7553408531887976E-2</c:v>
                </c:pt>
                <c:pt idx="1415">
                  <c:v>2.7553367019615034E-2</c:v>
                </c:pt>
                <c:pt idx="1416">
                  <c:v>2.7553325507342082E-2</c:v>
                </c:pt>
                <c:pt idx="1417">
                  <c:v>2.7553283995069146E-2</c:v>
                </c:pt>
                <c:pt idx="1418">
                  <c:v>2.7553242482796197E-2</c:v>
                </c:pt>
                <c:pt idx="1419">
                  <c:v>2.7553200970523252E-2</c:v>
                </c:pt>
                <c:pt idx="1420">
                  <c:v>2.755315945825031E-2</c:v>
                </c:pt>
                <c:pt idx="1421">
                  <c:v>2.7553117945977368E-2</c:v>
                </c:pt>
                <c:pt idx="1422">
                  <c:v>2.7553076433704426E-2</c:v>
                </c:pt>
                <c:pt idx="1423">
                  <c:v>2.755303492143148E-2</c:v>
                </c:pt>
                <c:pt idx="1424">
                  <c:v>2.7552993409158538E-2</c:v>
                </c:pt>
                <c:pt idx="1425">
                  <c:v>2.7552951896885589E-2</c:v>
                </c:pt>
                <c:pt idx="1426">
                  <c:v>2.7552910384612654E-2</c:v>
                </c:pt>
                <c:pt idx="1427">
                  <c:v>2.7552868872339705E-2</c:v>
                </c:pt>
                <c:pt idx="1428">
                  <c:v>2.755282736006676E-2</c:v>
                </c:pt>
                <c:pt idx="1429">
                  <c:v>2.7552785847793818E-2</c:v>
                </c:pt>
                <c:pt idx="1430">
                  <c:v>2.7552744335520869E-2</c:v>
                </c:pt>
                <c:pt idx="1431">
                  <c:v>2.7552702823247927E-2</c:v>
                </c:pt>
                <c:pt idx="1432">
                  <c:v>2.7552661310974984E-2</c:v>
                </c:pt>
                <c:pt idx="1433">
                  <c:v>2.7552619798702042E-2</c:v>
                </c:pt>
                <c:pt idx="1434">
                  <c:v>2.7552578286429097E-2</c:v>
                </c:pt>
                <c:pt idx="1435">
                  <c:v>2.7552536774156155E-2</c:v>
                </c:pt>
                <c:pt idx="1436">
                  <c:v>2.7552495261883213E-2</c:v>
                </c:pt>
                <c:pt idx="1437">
                  <c:v>2.7552453749610264E-2</c:v>
                </c:pt>
                <c:pt idx="1438">
                  <c:v>2.7552412237337318E-2</c:v>
                </c:pt>
                <c:pt idx="1439">
                  <c:v>2.7552370725064376E-2</c:v>
                </c:pt>
                <c:pt idx="1440">
                  <c:v>2.7552329212791434E-2</c:v>
                </c:pt>
                <c:pt idx="1441">
                  <c:v>2.7552287700518492E-2</c:v>
                </c:pt>
                <c:pt idx="1442">
                  <c:v>2.7552246188245547E-2</c:v>
                </c:pt>
                <c:pt idx="1443">
                  <c:v>2.7552204675972605E-2</c:v>
                </c:pt>
                <c:pt idx="1444">
                  <c:v>2.7552163163699663E-2</c:v>
                </c:pt>
                <c:pt idx="1445">
                  <c:v>2.755212165142672E-2</c:v>
                </c:pt>
                <c:pt idx="1446">
                  <c:v>2.7552080139153771E-2</c:v>
                </c:pt>
                <c:pt idx="1447">
                  <c:v>2.7552038626880826E-2</c:v>
                </c:pt>
                <c:pt idx="1448">
                  <c:v>2.7551997114607884E-2</c:v>
                </c:pt>
                <c:pt idx="1449">
                  <c:v>2.7551955602334942E-2</c:v>
                </c:pt>
                <c:pt idx="1450">
                  <c:v>2.7551914090061993E-2</c:v>
                </c:pt>
                <c:pt idx="1451">
                  <c:v>2.7551872577789051E-2</c:v>
                </c:pt>
                <c:pt idx="1452">
                  <c:v>2.7551831065516109E-2</c:v>
                </c:pt>
                <c:pt idx="1453">
                  <c:v>2.7551789553243167E-2</c:v>
                </c:pt>
                <c:pt idx="1454">
                  <c:v>2.7551748040970221E-2</c:v>
                </c:pt>
                <c:pt idx="1455">
                  <c:v>2.7551706528697272E-2</c:v>
                </c:pt>
                <c:pt idx="1456">
                  <c:v>2.755166501642433E-2</c:v>
                </c:pt>
                <c:pt idx="1457">
                  <c:v>2.7551623504151388E-2</c:v>
                </c:pt>
                <c:pt idx="1458">
                  <c:v>2.7551581991878453E-2</c:v>
                </c:pt>
                <c:pt idx="1459">
                  <c:v>2.7551540479605501E-2</c:v>
                </c:pt>
                <c:pt idx="1460">
                  <c:v>2.7551498967332565E-2</c:v>
                </c:pt>
                <c:pt idx="1461">
                  <c:v>2.7551457455059616E-2</c:v>
                </c:pt>
                <c:pt idx="1462">
                  <c:v>2.7551415942786674E-2</c:v>
                </c:pt>
                <c:pt idx="1463">
                  <c:v>2.7551374430513729E-2</c:v>
                </c:pt>
                <c:pt idx="1464">
                  <c:v>2.7551332918240787E-2</c:v>
                </c:pt>
                <c:pt idx="1465">
                  <c:v>2.7551291405967845E-2</c:v>
                </c:pt>
                <c:pt idx="1466">
                  <c:v>2.7551249893694896E-2</c:v>
                </c:pt>
                <c:pt idx="1467">
                  <c:v>2.7551208381421954E-2</c:v>
                </c:pt>
                <c:pt idx="1468">
                  <c:v>2.7551166869149008E-2</c:v>
                </c:pt>
                <c:pt idx="1469">
                  <c:v>2.755112535687607E-2</c:v>
                </c:pt>
                <c:pt idx="1470">
                  <c:v>2.7551083844603124E-2</c:v>
                </c:pt>
                <c:pt idx="1471">
                  <c:v>2.7551042332330182E-2</c:v>
                </c:pt>
                <c:pt idx="1472">
                  <c:v>2.7551000820057233E-2</c:v>
                </c:pt>
                <c:pt idx="1473">
                  <c:v>2.7550959307784288E-2</c:v>
                </c:pt>
                <c:pt idx="1474">
                  <c:v>2.7550917795511349E-2</c:v>
                </c:pt>
                <c:pt idx="1475">
                  <c:v>2.7550876283238403E-2</c:v>
                </c:pt>
                <c:pt idx="1476">
                  <c:v>2.7550834770965461E-2</c:v>
                </c:pt>
                <c:pt idx="1477">
                  <c:v>2.7550793258692512E-2</c:v>
                </c:pt>
                <c:pt idx="1478">
                  <c:v>2.7550751746419574E-2</c:v>
                </c:pt>
                <c:pt idx="1479">
                  <c:v>2.7550710234146632E-2</c:v>
                </c:pt>
                <c:pt idx="1480">
                  <c:v>2.755066872187369E-2</c:v>
                </c:pt>
                <c:pt idx="1481">
                  <c:v>2.7550627209600741E-2</c:v>
                </c:pt>
                <c:pt idx="1482">
                  <c:v>2.7550585697327795E-2</c:v>
                </c:pt>
                <c:pt idx="1483">
                  <c:v>2.7550544185054853E-2</c:v>
                </c:pt>
                <c:pt idx="1484">
                  <c:v>2.7550502672781911E-2</c:v>
                </c:pt>
                <c:pt idx="1485">
                  <c:v>2.7550461160508962E-2</c:v>
                </c:pt>
                <c:pt idx="1486">
                  <c:v>2.7550419648236017E-2</c:v>
                </c:pt>
                <c:pt idx="1487">
                  <c:v>2.7550378135963078E-2</c:v>
                </c:pt>
                <c:pt idx="1488">
                  <c:v>2.7550336623690132E-2</c:v>
                </c:pt>
                <c:pt idx="1489">
                  <c:v>2.755029511141719E-2</c:v>
                </c:pt>
                <c:pt idx="1490">
                  <c:v>2.7550253599144241E-2</c:v>
                </c:pt>
                <c:pt idx="1491">
                  <c:v>2.7354823920984733E-2</c:v>
                </c:pt>
                <c:pt idx="1492">
                  <c:v>2.7354782408711791E-2</c:v>
                </c:pt>
                <c:pt idx="1493">
                  <c:v>2.7354740896438849E-2</c:v>
                </c:pt>
                <c:pt idx="1494">
                  <c:v>2.7354699384165904E-2</c:v>
                </c:pt>
                <c:pt idx="1495">
                  <c:v>2.7354657871892962E-2</c:v>
                </c:pt>
                <c:pt idx="1496">
                  <c:v>2.735461635962002E-2</c:v>
                </c:pt>
                <c:pt idx="1497">
                  <c:v>2.7354574847347074E-2</c:v>
                </c:pt>
                <c:pt idx="1498">
                  <c:v>2.7354533335074132E-2</c:v>
                </c:pt>
                <c:pt idx="1499">
                  <c:v>2.735449182280119E-2</c:v>
                </c:pt>
                <c:pt idx="1500">
                  <c:v>2.7354450310528241E-2</c:v>
                </c:pt>
                <c:pt idx="1501">
                  <c:v>2.7354408798255299E-2</c:v>
                </c:pt>
                <c:pt idx="1502">
                  <c:v>2.7354367285982353E-2</c:v>
                </c:pt>
                <c:pt idx="1503">
                  <c:v>2.7354325773709411E-2</c:v>
                </c:pt>
                <c:pt idx="1504">
                  <c:v>2.7354284261436462E-2</c:v>
                </c:pt>
                <c:pt idx="1505">
                  <c:v>2.7354242749163527E-2</c:v>
                </c:pt>
                <c:pt idx="1506">
                  <c:v>2.7354201236890578E-2</c:v>
                </c:pt>
                <c:pt idx="1507">
                  <c:v>2.7354159724617633E-2</c:v>
                </c:pt>
                <c:pt idx="1508">
                  <c:v>2.7354118212344691E-2</c:v>
                </c:pt>
                <c:pt idx="1509">
                  <c:v>2.7354076700071742E-2</c:v>
                </c:pt>
                <c:pt idx="1510">
                  <c:v>2.7354035187798807E-2</c:v>
                </c:pt>
                <c:pt idx="1511">
                  <c:v>2.7353993675525858E-2</c:v>
                </c:pt>
                <c:pt idx="1512">
                  <c:v>2.7353952163252915E-2</c:v>
                </c:pt>
                <c:pt idx="1513">
                  <c:v>2.735391065097997E-2</c:v>
                </c:pt>
                <c:pt idx="1514">
                  <c:v>2.7353869138707028E-2</c:v>
                </c:pt>
                <c:pt idx="1515">
                  <c:v>2.7353827626434086E-2</c:v>
                </c:pt>
                <c:pt idx="1516">
                  <c:v>2.7353786114161137E-2</c:v>
                </c:pt>
                <c:pt idx="1517">
                  <c:v>2.7353744601888191E-2</c:v>
                </c:pt>
                <c:pt idx="1518">
                  <c:v>2.7353703089615249E-2</c:v>
                </c:pt>
                <c:pt idx="1519">
                  <c:v>2.7353661577342314E-2</c:v>
                </c:pt>
                <c:pt idx="1520">
                  <c:v>2.7353620065069365E-2</c:v>
                </c:pt>
                <c:pt idx="1521">
                  <c:v>2.735357855279642E-2</c:v>
                </c:pt>
                <c:pt idx="1522">
                  <c:v>2.7353537040523478E-2</c:v>
                </c:pt>
                <c:pt idx="1523">
                  <c:v>2.7353495528250536E-2</c:v>
                </c:pt>
                <c:pt idx="1524">
                  <c:v>2.7353454015977594E-2</c:v>
                </c:pt>
                <c:pt idx="1525">
                  <c:v>2.7353412503704645E-2</c:v>
                </c:pt>
                <c:pt idx="1526">
                  <c:v>2.7353370991431699E-2</c:v>
                </c:pt>
                <c:pt idx="1527">
                  <c:v>2.7353329479158757E-2</c:v>
                </c:pt>
                <c:pt idx="1528">
                  <c:v>2.7353287966885808E-2</c:v>
                </c:pt>
                <c:pt idx="1529">
                  <c:v>2.7353246454612873E-2</c:v>
                </c:pt>
                <c:pt idx="1530">
                  <c:v>2.7353204942339924E-2</c:v>
                </c:pt>
                <c:pt idx="1531">
                  <c:v>2.7353163430066982E-2</c:v>
                </c:pt>
                <c:pt idx="1532">
                  <c:v>2.7353121917794036E-2</c:v>
                </c:pt>
                <c:pt idx="1533">
                  <c:v>2.7353080405521087E-2</c:v>
                </c:pt>
                <c:pt idx="1534">
                  <c:v>2.7353038893248152E-2</c:v>
                </c:pt>
                <c:pt idx="1535">
                  <c:v>2.7352997380975203E-2</c:v>
                </c:pt>
                <c:pt idx="1536">
                  <c:v>2.7352955868702258E-2</c:v>
                </c:pt>
                <c:pt idx="1537">
                  <c:v>2.7352914356429316E-2</c:v>
                </c:pt>
                <c:pt idx="1538">
                  <c:v>2.7352872844156381E-2</c:v>
                </c:pt>
                <c:pt idx="1539">
                  <c:v>2.7352831331883428E-2</c:v>
                </c:pt>
                <c:pt idx="1540">
                  <c:v>2.7352789819610489E-2</c:v>
                </c:pt>
                <c:pt idx="1541">
                  <c:v>2.7352748307337544E-2</c:v>
                </c:pt>
                <c:pt idx="1542">
                  <c:v>2.7352706795064595E-2</c:v>
                </c:pt>
                <c:pt idx="1543">
                  <c:v>2.7352665282791653E-2</c:v>
                </c:pt>
                <c:pt idx="1544">
                  <c:v>2.7352623770518707E-2</c:v>
                </c:pt>
                <c:pt idx="1545">
                  <c:v>2.7352582258245765E-2</c:v>
                </c:pt>
                <c:pt idx="1546">
                  <c:v>2.7352540745972827E-2</c:v>
                </c:pt>
                <c:pt idx="1547">
                  <c:v>2.7352499233699881E-2</c:v>
                </c:pt>
                <c:pt idx="1548">
                  <c:v>2.7352457721426939E-2</c:v>
                </c:pt>
                <c:pt idx="1549">
                  <c:v>2.7352416209153997E-2</c:v>
                </c:pt>
                <c:pt idx="1550">
                  <c:v>2.7352374696881055E-2</c:v>
                </c:pt>
                <c:pt idx="1551">
                  <c:v>2.7352333184608106E-2</c:v>
                </c:pt>
                <c:pt idx="1552">
                  <c:v>2.7352291672335161E-2</c:v>
                </c:pt>
                <c:pt idx="1553">
                  <c:v>2.7352250160062222E-2</c:v>
                </c:pt>
                <c:pt idx="1554">
                  <c:v>2.7352208647789276E-2</c:v>
                </c:pt>
                <c:pt idx="1555">
                  <c:v>2.7352167135516334E-2</c:v>
                </c:pt>
                <c:pt idx="1556">
                  <c:v>2.7352125623243389E-2</c:v>
                </c:pt>
                <c:pt idx="1557">
                  <c:v>2.7352084110970447E-2</c:v>
                </c:pt>
                <c:pt idx="1558">
                  <c:v>2.7352042598697505E-2</c:v>
                </c:pt>
                <c:pt idx="1559">
                  <c:v>2.7352001086424563E-2</c:v>
                </c:pt>
                <c:pt idx="1560">
                  <c:v>2.7351959574151614E-2</c:v>
                </c:pt>
                <c:pt idx="1561">
                  <c:v>2.7351918061878668E-2</c:v>
                </c:pt>
                <c:pt idx="1562">
                  <c:v>2.7351876549605726E-2</c:v>
                </c:pt>
                <c:pt idx="1563">
                  <c:v>2.7351835037332784E-2</c:v>
                </c:pt>
                <c:pt idx="1564">
                  <c:v>2.7351793525059835E-2</c:v>
                </c:pt>
                <c:pt idx="1565">
                  <c:v>2.7351752012786893E-2</c:v>
                </c:pt>
                <c:pt idx="1566">
                  <c:v>2.7351710500513951E-2</c:v>
                </c:pt>
                <c:pt idx="1567">
                  <c:v>2.7351668988241009E-2</c:v>
                </c:pt>
                <c:pt idx="1568">
                  <c:v>2.7351627475968063E-2</c:v>
                </c:pt>
                <c:pt idx="1569">
                  <c:v>2.7351585963695121E-2</c:v>
                </c:pt>
                <c:pt idx="1570">
                  <c:v>2.7351544451422172E-2</c:v>
                </c:pt>
                <c:pt idx="1571">
                  <c:v>2.735150293914923E-2</c:v>
                </c:pt>
                <c:pt idx="1572">
                  <c:v>2.7351461426876288E-2</c:v>
                </c:pt>
                <c:pt idx="1573">
                  <c:v>2.7351419914603343E-2</c:v>
                </c:pt>
                <c:pt idx="1574">
                  <c:v>2.7351378402330401E-2</c:v>
                </c:pt>
                <c:pt idx="1575">
                  <c:v>2.7351336890057455E-2</c:v>
                </c:pt>
                <c:pt idx="1576">
                  <c:v>2.7351295377784513E-2</c:v>
                </c:pt>
                <c:pt idx="1577">
                  <c:v>2.7351253865511571E-2</c:v>
                </c:pt>
                <c:pt idx="1578">
                  <c:v>2.7351212353238622E-2</c:v>
                </c:pt>
                <c:pt idx="1579">
                  <c:v>2.735117084096568E-2</c:v>
                </c:pt>
                <c:pt idx="1580">
                  <c:v>2.7351129328692735E-2</c:v>
                </c:pt>
                <c:pt idx="1581">
                  <c:v>2.7351087816419796E-2</c:v>
                </c:pt>
                <c:pt idx="1582">
                  <c:v>2.735104630414685E-2</c:v>
                </c:pt>
                <c:pt idx="1583">
                  <c:v>2.7351004791873901E-2</c:v>
                </c:pt>
                <c:pt idx="1584">
                  <c:v>2.7350963279600959E-2</c:v>
                </c:pt>
                <c:pt idx="1585">
                  <c:v>2.7350921767328014E-2</c:v>
                </c:pt>
                <c:pt idx="1586">
                  <c:v>2.7350880255055072E-2</c:v>
                </c:pt>
                <c:pt idx="1587">
                  <c:v>2.7350838742782123E-2</c:v>
                </c:pt>
                <c:pt idx="1588">
                  <c:v>2.7350797230509188E-2</c:v>
                </c:pt>
                <c:pt idx="1589">
                  <c:v>2.7350755718236239E-2</c:v>
                </c:pt>
                <c:pt idx="1590">
                  <c:v>2.7350714205963297E-2</c:v>
                </c:pt>
                <c:pt idx="1591">
                  <c:v>2.7350672693690351E-2</c:v>
                </c:pt>
                <c:pt idx="1592">
                  <c:v>2.7350631181417402E-2</c:v>
                </c:pt>
                <c:pt idx="1593">
                  <c:v>2.735058966914446E-2</c:v>
                </c:pt>
                <c:pt idx="1594">
                  <c:v>2.7350548156871518E-2</c:v>
                </c:pt>
                <c:pt idx="1595">
                  <c:v>2.7350506644598579E-2</c:v>
                </c:pt>
                <c:pt idx="1596">
                  <c:v>2.7350465132325631E-2</c:v>
                </c:pt>
                <c:pt idx="1597">
                  <c:v>2.7350423620052688E-2</c:v>
                </c:pt>
                <c:pt idx="1598">
                  <c:v>2.7350382107779746E-2</c:v>
                </c:pt>
                <c:pt idx="1599">
                  <c:v>2.7350340595506804E-2</c:v>
                </c:pt>
                <c:pt idx="1600">
                  <c:v>2.7350299083233859E-2</c:v>
                </c:pt>
                <c:pt idx="1601">
                  <c:v>2.7350257570960917E-2</c:v>
                </c:pt>
                <c:pt idx="1602">
                  <c:v>2.7350216058687968E-2</c:v>
                </c:pt>
                <c:pt idx="1603">
                  <c:v>2.7350174546415026E-2</c:v>
                </c:pt>
                <c:pt idx="1604">
                  <c:v>2.735013303414208E-2</c:v>
                </c:pt>
                <c:pt idx="1605">
                  <c:v>2.7350091521869138E-2</c:v>
                </c:pt>
                <c:pt idx="1606">
                  <c:v>2.7350050009596196E-2</c:v>
                </c:pt>
                <c:pt idx="1607">
                  <c:v>2.7350008497323247E-2</c:v>
                </c:pt>
                <c:pt idx="1608">
                  <c:v>2.7349966985050305E-2</c:v>
                </c:pt>
                <c:pt idx="1609">
                  <c:v>2.7349925472777363E-2</c:v>
                </c:pt>
                <c:pt idx="1610">
                  <c:v>2.7349883960504418E-2</c:v>
                </c:pt>
                <c:pt idx="1611">
                  <c:v>2.7349842448231469E-2</c:v>
                </c:pt>
                <c:pt idx="1612">
                  <c:v>2.7349800935958533E-2</c:v>
                </c:pt>
                <c:pt idx="1613">
                  <c:v>2.7349759423685584E-2</c:v>
                </c:pt>
                <c:pt idx="1614">
                  <c:v>2.7349717911412646E-2</c:v>
                </c:pt>
                <c:pt idx="1615">
                  <c:v>2.7349676399139697E-2</c:v>
                </c:pt>
                <c:pt idx="1616">
                  <c:v>2.7349634886866755E-2</c:v>
                </c:pt>
                <c:pt idx="1617">
                  <c:v>2.7349593374593813E-2</c:v>
                </c:pt>
                <c:pt idx="1618">
                  <c:v>2.7349551862320867E-2</c:v>
                </c:pt>
                <c:pt idx="1619">
                  <c:v>2.7349510350047925E-2</c:v>
                </c:pt>
                <c:pt idx="1620">
                  <c:v>2.7349468837774976E-2</c:v>
                </c:pt>
                <c:pt idx="1621">
                  <c:v>2.7349427325502034E-2</c:v>
                </c:pt>
                <c:pt idx="1622">
                  <c:v>2.7349385813229092E-2</c:v>
                </c:pt>
                <c:pt idx="1623">
                  <c:v>2.734934430095615E-2</c:v>
                </c:pt>
                <c:pt idx="1624">
                  <c:v>2.7349302788683204E-2</c:v>
                </c:pt>
                <c:pt idx="1625">
                  <c:v>2.7349261276410262E-2</c:v>
                </c:pt>
                <c:pt idx="1626">
                  <c:v>2.7349219764137313E-2</c:v>
                </c:pt>
                <c:pt idx="1627">
                  <c:v>2.7349178251864371E-2</c:v>
                </c:pt>
                <c:pt idx="1628">
                  <c:v>2.7349136739591426E-2</c:v>
                </c:pt>
                <c:pt idx="1629">
                  <c:v>2.7349095227318484E-2</c:v>
                </c:pt>
                <c:pt idx="1630">
                  <c:v>2.7349053715045542E-2</c:v>
                </c:pt>
                <c:pt idx="1631">
                  <c:v>2.73490122027726E-2</c:v>
                </c:pt>
                <c:pt idx="1632">
                  <c:v>2.7348970690499651E-2</c:v>
                </c:pt>
                <c:pt idx="1633">
                  <c:v>2.7348929178226705E-2</c:v>
                </c:pt>
                <c:pt idx="1634">
                  <c:v>2.734888766595377E-2</c:v>
                </c:pt>
                <c:pt idx="1635">
                  <c:v>2.7348846153680828E-2</c:v>
                </c:pt>
                <c:pt idx="1636">
                  <c:v>2.7348804641407879E-2</c:v>
                </c:pt>
                <c:pt idx="1637">
                  <c:v>2.7348763129134944E-2</c:v>
                </c:pt>
                <c:pt idx="1638">
                  <c:v>2.7348721616861995E-2</c:v>
                </c:pt>
                <c:pt idx="1639">
                  <c:v>2.7348680104589049E-2</c:v>
                </c:pt>
                <c:pt idx="1640">
                  <c:v>2.7348638592316107E-2</c:v>
                </c:pt>
                <c:pt idx="1641">
                  <c:v>2.7348597080043169E-2</c:v>
                </c:pt>
                <c:pt idx="1642">
                  <c:v>2.7348555567770223E-2</c:v>
                </c:pt>
                <c:pt idx="1643">
                  <c:v>2.7348514055497281E-2</c:v>
                </c:pt>
                <c:pt idx="1644">
                  <c:v>2.7348472543224332E-2</c:v>
                </c:pt>
                <c:pt idx="1645">
                  <c:v>2.7348431030951387E-2</c:v>
                </c:pt>
                <c:pt idx="1646">
                  <c:v>2.7348389518678445E-2</c:v>
                </c:pt>
                <c:pt idx="1647">
                  <c:v>2.7348348006405496E-2</c:v>
                </c:pt>
                <c:pt idx="1648">
                  <c:v>2.7348306494132554E-2</c:v>
                </c:pt>
                <c:pt idx="1649">
                  <c:v>2.7348264981859612E-2</c:v>
                </c:pt>
                <c:pt idx="1650">
                  <c:v>2.734822346958667E-2</c:v>
                </c:pt>
                <c:pt idx="1651">
                  <c:v>2.7348181957313724E-2</c:v>
                </c:pt>
                <c:pt idx="1652">
                  <c:v>2.7348140445040775E-2</c:v>
                </c:pt>
                <c:pt idx="1653">
                  <c:v>2.7348098932767836E-2</c:v>
                </c:pt>
                <c:pt idx="1654">
                  <c:v>2.7348057420494887E-2</c:v>
                </c:pt>
                <c:pt idx="1655">
                  <c:v>2.7348015908221952E-2</c:v>
                </c:pt>
                <c:pt idx="1656">
                  <c:v>2.7347974395949003E-2</c:v>
                </c:pt>
                <c:pt idx="1657">
                  <c:v>2.7347932883676061E-2</c:v>
                </c:pt>
                <c:pt idx="1658">
                  <c:v>2.7347891371403116E-2</c:v>
                </c:pt>
                <c:pt idx="1659">
                  <c:v>2.7347849859130174E-2</c:v>
                </c:pt>
                <c:pt idx="1660">
                  <c:v>2.7347808346857232E-2</c:v>
                </c:pt>
                <c:pt idx="1661">
                  <c:v>2.7347766834584283E-2</c:v>
                </c:pt>
                <c:pt idx="1662">
                  <c:v>2.7347725322311341E-2</c:v>
                </c:pt>
                <c:pt idx="1663">
                  <c:v>2.7347683810038395E-2</c:v>
                </c:pt>
                <c:pt idx="1664">
                  <c:v>2.7347642297765453E-2</c:v>
                </c:pt>
                <c:pt idx="1665">
                  <c:v>2.7347600785492511E-2</c:v>
                </c:pt>
                <c:pt idx="1666">
                  <c:v>2.7347559273219569E-2</c:v>
                </c:pt>
                <c:pt idx="1667">
                  <c:v>2.734751776094662E-2</c:v>
                </c:pt>
                <c:pt idx="1668">
                  <c:v>2.7347476248673678E-2</c:v>
                </c:pt>
                <c:pt idx="1669">
                  <c:v>2.7347434736400736E-2</c:v>
                </c:pt>
                <c:pt idx="1670">
                  <c:v>2.734739322412779E-2</c:v>
                </c:pt>
                <c:pt idx="1671">
                  <c:v>2.7347351711854841E-2</c:v>
                </c:pt>
                <c:pt idx="1672">
                  <c:v>2.7347310199581899E-2</c:v>
                </c:pt>
                <c:pt idx="1673">
                  <c:v>2.7153006312960779E-2</c:v>
                </c:pt>
                <c:pt idx="1674">
                  <c:v>2.7152964800687834E-2</c:v>
                </c:pt>
                <c:pt idx="1675">
                  <c:v>2.7152923288414892E-2</c:v>
                </c:pt>
                <c:pt idx="1676">
                  <c:v>2.715288177614195E-2</c:v>
                </c:pt>
                <c:pt idx="1677">
                  <c:v>2.7152840263869008E-2</c:v>
                </c:pt>
                <c:pt idx="1678">
                  <c:v>2.7152798751596059E-2</c:v>
                </c:pt>
                <c:pt idx="1679">
                  <c:v>2.715275723932312E-2</c:v>
                </c:pt>
                <c:pt idx="1680">
                  <c:v>2.7152715727050171E-2</c:v>
                </c:pt>
                <c:pt idx="1681">
                  <c:v>2.7152674214777225E-2</c:v>
                </c:pt>
                <c:pt idx="1682">
                  <c:v>2.7152632702504287E-2</c:v>
                </c:pt>
                <c:pt idx="1683">
                  <c:v>2.7152591190231341E-2</c:v>
                </c:pt>
                <c:pt idx="1684">
                  <c:v>2.7152549677958399E-2</c:v>
                </c:pt>
                <c:pt idx="1685">
                  <c:v>2.715250816568545E-2</c:v>
                </c:pt>
                <c:pt idx="1686">
                  <c:v>2.7152466653412515E-2</c:v>
                </c:pt>
                <c:pt idx="1687">
                  <c:v>2.7152425141139566E-2</c:v>
                </c:pt>
                <c:pt idx="1688">
                  <c:v>2.7152383628866624E-2</c:v>
                </c:pt>
                <c:pt idx="1689">
                  <c:v>2.7152342116593679E-2</c:v>
                </c:pt>
                <c:pt idx="1690">
                  <c:v>2.715230060432073E-2</c:v>
                </c:pt>
                <c:pt idx="1691">
                  <c:v>2.7152259092047795E-2</c:v>
                </c:pt>
                <c:pt idx="1692">
                  <c:v>2.7152217579774842E-2</c:v>
                </c:pt>
                <c:pt idx="1693">
                  <c:v>2.71521760675019E-2</c:v>
                </c:pt>
                <c:pt idx="1694">
                  <c:v>2.7152134555228958E-2</c:v>
                </c:pt>
                <c:pt idx="1695">
                  <c:v>2.7152093042956016E-2</c:v>
                </c:pt>
                <c:pt idx="1696">
                  <c:v>2.7152051530683067E-2</c:v>
                </c:pt>
                <c:pt idx="1697">
                  <c:v>2.7152010018410132E-2</c:v>
                </c:pt>
                <c:pt idx="1698">
                  <c:v>2.7151968506137183E-2</c:v>
                </c:pt>
                <c:pt idx="1699">
                  <c:v>2.7151926993864237E-2</c:v>
                </c:pt>
                <c:pt idx="1700">
                  <c:v>2.7151885481591295E-2</c:v>
                </c:pt>
                <c:pt idx="1701">
                  <c:v>2.715184396931835E-2</c:v>
                </c:pt>
                <c:pt idx="1702">
                  <c:v>2.7151802457045411E-2</c:v>
                </c:pt>
                <c:pt idx="1703">
                  <c:v>2.7151760944772466E-2</c:v>
                </c:pt>
                <c:pt idx="1704">
                  <c:v>2.7151719432499524E-2</c:v>
                </c:pt>
                <c:pt idx="1705">
                  <c:v>2.7151677920226575E-2</c:v>
                </c:pt>
                <c:pt idx="1706">
                  <c:v>2.7151636407953639E-2</c:v>
                </c:pt>
                <c:pt idx="1707">
                  <c:v>2.715159489568069E-2</c:v>
                </c:pt>
                <c:pt idx="1708">
                  <c:v>2.7151553383407745E-2</c:v>
                </c:pt>
                <c:pt idx="1709">
                  <c:v>2.7151511871134803E-2</c:v>
                </c:pt>
                <c:pt idx="1710">
                  <c:v>2.7151470358861861E-2</c:v>
                </c:pt>
                <c:pt idx="1711">
                  <c:v>2.7151428846588912E-2</c:v>
                </c:pt>
                <c:pt idx="1712">
                  <c:v>2.715138733431597E-2</c:v>
                </c:pt>
                <c:pt idx="1713">
                  <c:v>2.7151345822043024E-2</c:v>
                </c:pt>
                <c:pt idx="1714">
                  <c:v>2.7151304309770075E-2</c:v>
                </c:pt>
                <c:pt idx="1715">
                  <c:v>2.715126279749714E-2</c:v>
                </c:pt>
                <c:pt idx="1716">
                  <c:v>2.7151221285224191E-2</c:v>
                </c:pt>
                <c:pt idx="1717">
                  <c:v>2.7151179772951246E-2</c:v>
                </c:pt>
                <c:pt idx="1718">
                  <c:v>2.7151138260678304E-2</c:v>
                </c:pt>
                <c:pt idx="1719">
                  <c:v>2.7151096748405368E-2</c:v>
                </c:pt>
                <c:pt idx="1720">
                  <c:v>2.715105523613242E-2</c:v>
                </c:pt>
                <c:pt idx="1721">
                  <c:v>2.7151013723859477E-2</c:v>
                </c:pt>
                <c:pt idx="1722">
                  <c:v>2.7150972211586532E-2</c:v>
                </c:pt>
                <c:pt idx="1723">
                  <c:v>2.7150930699313583E-2</c:v>
                </c:pt>
                <c:pt idx="1724">
                  <c:v>2.7150889187040648E-2</c:v>
                </c:pt>
                <c:pt idx="1725">
                  <c:v>2.7150847674767699E-2</c:v>
                </c:pt>
                <c:pt idx="1726">
                  <c:v>2.7150806162494757E-2</c:v>
                </c:pt>
                <c:pt idx="1727">
                  <c:v>2.7150764650221811E-2</c:v>
                </c:pt>
                <c:pt idx="1728">
                  <c:v>2.7150723137948869E-2</c:v>
                </c:pt>
                <c:pt idx="1729">
                  <c:v>2.7150681625675927E-2</c:v>
                </c:pt>
                <c:pt idx="1730">
                  <c:v>2.7150640113402978E-2</c:v>
                </c:pt>
                <c:pt idx="1731">
                  <c:v>2.7150598601130033E-2</c:v>
                </c:pt>
                <c:pt idx="1732">
                  <c:v>2.7150557088857091E-2</c:v>
                </c:pt>
                <c:pt idx="1733">
                  <c:v>2.7150515576584149E-2</c:v>
                </c:pt>
                <c:pt idx="1734">
                  <c:v>2.7150474064311206E-2</c:v>
                </c:pt>
                <c:pt idx="1735">
                  <c:v>2.7150432552038258E-2</c:v>
                </c:pt>
                <c:pt idx="1736">
                  <c:v>2.7150391039765315E-2</c:v>
                </c:pt>
                <c:pt idx="1737">
                  <c:v>2.7150349527492373E-2</c:v>
                </c:pt>
                <c:pt idx="1738">
                  <c:v>2.7150308015219435E-2</c:v>
                </c:pt>
                <c:pt idx="1739">
                  <c:v>2.7150266502946486E-2</c:v>
                </c:pt>
                <c:pt idx="1740">
                  <c:v>2.7150224990673544E-2</c:v>
                </c:pt>
                <c:pt idx="1741">
                  <c:v>2.7150183478400598E-2</c:v>
                </c:pt>
                <c:pt idx="1742">
                  <c:v>2.7150141966127649E-2</c:v>
                </c:pt>
                <c:pt idx="1743">
                  <c:v>2.7150100453854714E-2</c:v>
                </c:pt>
                <c:pt idx="1744">
                  <c:v>2.7150058941581765E-2</c:v>
                </c:pt>
                <c:pt idx="1745">
                  <c:v>2.715001742930882E-2</c:v>
                </c:pt>
                <c:pt idx="1746">
                  <c:v>2.7149975917035878E-2</c:v>
                </c:pt>
                <c:pt idx="1747">
                  <c:v>2.7149934404762936E-2</c:v>
                </c:pt>
                <c:pt idx="1748">
                  <c:v>2.7149892892489993E-2</c:v>
                </c:pt>
                <c:pt idx="1749">
                  <c:v>2.7149851380217044E-2</c:v>
                </c:pt>
                <c:pt idx="1750">
                  <c:v>2.7149809867944102E-2</c:v>
                </c:pt>
                <c:pt idx="1751">
                  <c:v>2.7149768355671157E-2</c:v>
                </c:pt>
                <c:pt idx="1752">
                  <c:v>2.7149726843398215E-2</c:v>
                </c:pt>
                <c:pt idx="1753">
                  <c:v>2.7149685331125273E-2</c:v>
                </c:pt>
                <c:pt idx="1754">
                  <c:v>2.7149643818852331E-2</c:v>
                </c:pt>
                <c:pt idx="1755">
                  <c:v>2.7149602306579382E-2</c:v>
                </c:pt>
                <c:pt idx="1756">
                  <c:v>2.714956079430644E-2</c:v>
                </c:pt>
                <c:pt idx="1757">
                  <c:v>2.7149519282033501E-2</c:v>
                </c:pt>
                <c:pt idx="1758">
                  <c:v>2.7149477769760559E-2</c:v>
                </c:pt>
                <c:pt idx="1759">
                  <c:v>2.7149436257487607E-2</c:v>
                </c:pt>
                <c:pt idx="1760">
                  <c:v>2.7149394745214668E-2</c:v>
                </c:pt>
                <c:pt idx="1761">
                  <c:v>2.7149353232941723E-2</c:v>
                </c:pt>
                <c:pt idx="1762">
                  <c:v>2.714931172066878E-2</c:v>
                </c:pt>
                <c:pt idx="1763">
                  <c:v>2.7149270208395831E-2</c:v>
                </c:pt>
                <c:pt idx="1764">
                  <c:v>2.7149228696122889E-2</c:v>
                </c:pt>
                <c:pt idx="1765">
                  <c:v>2.7149187183849947E-2</c:v>
                </c:pt>
                <c:pt idx="1766">
                  <c:v>2.7149145671577005E-2</c:v>
                </c:pt>
                <c:pt idx="1767">
                  <c:v>2.714910415930406E-2</c:v>
                </c:pt>
                <c:pt idx="1768">
                  <c:v>2.7149062647031111E-2</c:v>
                </c:pt>
                <c:pt idx="1769">
                  <c:v>2.7149021134758169E-2</c:v>
                </c:pt>
                <c:pt idx="1770">
                  <c:v>2.7148979622485227E-2</c:v>
                </c:pt>
                <c:pt idx="1771">
                  <c:v>2.7148938110212281E-2</c:v>
                </c:pt>
                <c:pt idx="1772">
                  <c:v>2.7148896597939339E-2</c:v>
                </c:pt>
                <c:pt idx="1773">
                  <c:v>2.714885508566639E-2</c:v>
                </c:pt>
                <c:pt idx="1774">
                  <c:v>2.7148813573393448E-2</c:v>
                </c:pt>
                <c:pt idx="1775">
                  <c:v>2.7148772061120506E-2</c:v>
                </c:pt>
                <c:pt idx="1776">
                  <c:v>2.7148730548847564E-2</c:v>
                </c:pt>
                <c:pt idx="1777">
                  <c:v>2.7148689036574618E-2</c:v>
                </c:pt>
                <c:pt idx="1778">
                  <c:v>2.7148647524301673E-2</c:v>
                </c:pt>
                <c:pt idx="1779">
                  <c:v>2.7148606012028734E-2</c:v>
                </c:pt>
                <c:pt idx="1780">
                  <c:v>2.7148564499755789E-2</c:v>
                </c:pt>
                <c:pt idx="1781">
                  <c:v>2.7148522987482847E-2</c:v>
                </c:pt>
                <c:pt idx="1782">
                  <c:v>2.7148481475209898E-2</c:v>
                </c:pt>
                <c:pt idx="1783">
                  <c:v>2.7148439962936956E-2</c:v>
                </c:pt>
                <c:pt idx="1784">
                  <c:v>2.7148398450664014E-2</c:v>
                </c:pt>
                <c:pt idx="1785">
                  <c:v>2.7148356938391068E-2</c:v>
                </c:pt>
                <c:pt idx="1786">
                  <c:v>2.7148315426118126E-2</c:v>
                </c:pt>
                <c:pt idx="1787">
                  <c:v>2.7148273913845184E-2</c:v>
                </c:pt>
                <c:pt idx="1788">
                  <c:v>2.7148232401572242E-2</c:v>
                </c:pt>
                <c:pt idx="1789">
                  <c:v>2.7148190889299293E-2</c:v>
                </c:pt>
                <c:pt idx="1790">
                  <c:v>2.7148149377026348E-2</c:v>
                </c:pt>
                <c:pt idx="1791">
                  <c:v>2.7148107864753409E-2</c:v>
                </c:pt>
                <c:pt idx="1792">
                  <c:v>2.7148066352480456E-2</c:v>
                </c:pt>
                <c:pt idx="1793">
                  <c:v>2.7148024840207521E-2</c:v>
                </c:pt>
                <c:pt idx="1794">
                  <c:v>2.7147983327934572E-2</c:v>
                </c:pt>
                <c:pt idx="1795">
                  <c:v>2.714794181566163E-2</c:v>
                </c:pt>
                <c:pt idx="1796">
                  <c:v>2.7147900303388685E-2</c:v>
                </c:pt>
                <c:pt idx="1797">
                  <c:v>2.714785879111575E-2</c:v>
                </c:pt>
                <c:pt idx="1798">
                  <c:v>2.7147817278842797E-2</c:v>
                </c:pt>
                <c:pt idx="1799">
                  <c:v>2.7147775766569859E-2</c:v>
                </c:pt>
                <c:pt idx="1800">
                  <c:v>2.7147734254296913E-2</c:v>
                </c:pt>
                <c:pt idx="1801">
                  <c:v>2.7147692742023964E-2</c:v>
                </c:pt>
                <c:pt idx="1802">
                  <c:v>2.7147651229751022E-2</c:v>
                </c:pt>
                <c:pt idx="1803">
                  <c:v>2.714760971747808E-2</c:v>
                </c:pt>
                <c:pt idx="1804">
                  <c:v>2.7147568205205138E-2</c:v>
                </c:pt>
                <c:pt idx="1805">
                  <c:v>2.7147526692932192E-2</c:v>
                </c:pt>
                <c:pt idx="1806">
                  <c:v>2.714748518065925E-2</c:v>
                </c:pt>
                <c:pt idx="1807">
                  <c:v>2.7147443668386301E-2</c:v>
                </c:pt>
                <c:pt idx="1808">
                  <c:v>2.7147402156113366E-2</c:v>
                </c:pt>
                <c:pt idx="1809">
                  <c:v>2.7147360643840417E-2</c:v>
                </c:pt>
                <c:pt idx="1810">
                  <c:v>2.7147319131567472E-2</c:v>
                </c:pt>
                <c:pt idx="1811">
                  <c:v>2.714727761929453E-2</c:v>
                </c:pt>
                <c:pt idx="1812">
                  <c:v>2.7147236107021588E-2</c:v>
                </c:pt>
                <c:pt idx="1813">
                  <c:v>2.7147194594748639E-2</c:v>
                </c:pt>
                <c:pt idx="1814">
                  <c:v>2.7147153082475693E-2</c:v>
                </c:pt>
                <c:pt idx="1815">
                  <c:v>2.7147111570202755E-2</c:v>
                </c:pt>
                <c:pt idx="1816">
                  <c:v>2.7147070057929809E-2</c:v>
                </c:pt>
                <c:pt idx="1817">
                  <c:v>2.7147028545656867E-2</c:v>
                </c:pt>
                <c:pt idx="1818">
                  <c:v>2.7146987033383922E-2</c:v>
                </c:pt>
                <c:pt idx="1819">
                  <c:v>2.7146945521110983E-2</c:v>
                </c:pt>
                <c:pt idx="1820">
                  <c:v>2.714690400883803E-2</c:v>
                </c:pt>
                <c:pt idx="1821">
                  <c:v>2.7146862496565095E-2</c:v>
                </c:pt>
                <c:pt idx="1822">
                  <c:v>2.7146820984292146E-2</c:v>
                </c:pt>
                <c:pt idx="1823">
                  <c:v>2.7146779472019204E-2</c:v>
                </c:pt>
                <c:pt idx="1824">
                  <c:v>2.7146737959746259E-2</c:v>
                </c:pt>
                <c:pt idx="1825">
                  <c:v>2.714669644747331E-2</c:v>
                </c:pt>
                <c:pt idx="1826">
                  <c:v>2.7146654935200375E-2</c:v>
                </c:pt>
                <c:pt idx="1827">
                  <c:v>2.7146613422927426E-2</c:v>
                </c:pt>
                <c:pt idx="1828">
                  <c:v>2.7146571910654484E-2</c:v>
                </c:pt>
                <c:pt idx="1829">
                  <c:v>2.7146530398381538E-2</c:v>
                </c:pt>
                <c:pt idx="1830">
                  <c:v>2.71464888861086E-2</c:v>
                </c:pt>
                <c:pt idx="1831">
                  <c:v>2.7146447373835654E-2</c:v>
                </c:pt>
                <c:pt idx="1832">
                  <c:v>2.7146405861562705E-2</c:v>
                </c:pt>
                <c:pt idx="1833">
                  <c:v>2.7146364349289763E-2</c:v>
                </c:pt>
                <c:pt idx="1834">
                  <c:v>2.7146322837016817E-2</c:v>
                </c:pt>
                <c:pt idx="1835">
                  <c:v>2.7146281324743875E-2</c:v>
                </c:pt>
                <c:pt idx="1836">
                  <c:v>2.714623981247094E-2</c:v>
                </c:pt>
                <c:pt idx="1837">
                  <c:v>2.7146198300197991E-2</c:v>
                </c:pt>
                <c:pt idx="1838">
                  <c:v>2.7146156787925046E-2</c:v>
                </c:pt>
                <c:pt idx="1839">
                  <c:v>2.7146115275652104E-2</c:v>
                </c:pt>
                <c:pt idx="1840">
                  <c:v>2.7146073763379162E-2</c:v>
                </c:pt>
                <c:pt idx="1841">
                  <c:v>2.7146032251106213E-2</c:v>
                </c:pt>
                <c:pt idx="1842">
                  <c:v>2.7145990738833271E-2</c:v>
                </c:pt>
                <c:pt idx="1843">
                  <c:v>2.7145949226560329E-2</c:v>
                </c:pt>
                <c:pt idx="1844">
                  <c:v>2.7145907714287376E-2</c:v>
                </c:pt>
                <c:pt idx="1845">
                  <c:v>2.7145866202014441E-2</c:v>
                </c:pt>
                <c:pt idx="1846">
                  <c:v>2.7145824689741499E-2</c:v>
                </c:pt>
                <c:pt idx="1847">
                  <c:v>2.714578317746855E-2</c:v>
                </c:pt>
                <c:pt idx="1848">
                  <c:v>2.7145741665195604E-2</c:v>
                </c:pt>
                <c:pt idx="1849">
                  <c:v>2.7145700152922666E-2</c:v>
                </c:pt>
                <c:pt idx="1850">
                  <c:v>2.714565864064972E-2</c:v>
                </c:pt>
                <c:pt idx="1851">
                  <c:v>2.7145617128376778E-2</c:v>
                </c:pt>
                <c:pt idx="1852">
                  <c:v>2.7145575616103829E-2</c:v>
                </c:pt>
                <c:pt idx="1853">
                  <c:v>2.7145534103830887E-2</c:v>
                </c:pt>
                <c:pt idx="1854">
                  <c:v>2.7145492591557945E-2</c:v>
                </c:pt>
                <c:pt idx="1855">
                  <c:v>2.7145451079285007E-2</c:v>
                </c:pt>
                <c:pt idx="1856">
                  <c:v>2.6952416000904197E-2</c:v>
                </c:pt>
                <c:pt idx="1857">
                  <c:v>2.6952374488631251E-2</c:v>
                </c:pt>
                <c:pt idx="1858">
                  <c:v>2.6952332976358309E-2</c:v>
                </c:pt>
                <c:pt idx="1859">
                  <c:v>2.695229146408536E-2</c:v>
                </c:pt>
                <c:pt idx="1860">
                  <c:v>2.6952249951812425E-2</c:v>
                </c:pt>
                <c:pt idx="1861">
                  <c:v>2.6952208439539476E-2</c:v>
                </c:pt>
                <c:pt idx="1862">
                  <c:v>2.6952166927266534E-2</c:v>
                </c:pt>
                <c:pt idx="1863">
                  <c:v>2.6952125414993588E-2</c:v>
                </c:pt>
                <c:pt idx="1864">
                  <c:v>2.6952083902720646E-2</c:v>
                </c:pt>
                <c:pt idx="1865">
                  <c:v>2.6952042390447704E-2</c:v>
                </c:pt>
                <c:pt idx="1866">
                  <c:v>2.6952000878174752E-2</c:v>
                </c:pt>
                <c:pt idx="1867">
                  <c:v>2.6951959365901817E-2</c:v>
                </c:pt>
                <c:pt idx="1868">
                  <c:v>2.6951917853628868E-2</c:v>
                </c:pt>
                <c:pt idx="1869">
                  <c:v>2.6951876341355933E-2</c:v>
                </c:pt>
                <c:pt idx="1870">
                  <c:v>2.695183482908298E-2</c:v>
                </c:pt>
                <c:pt idx="1871">
                  <c:v>2.6951793316810038E-2</c:v>
                </c:pt>
                <c:pt idx="1872">
                  <c:v>2.6951751804537096E-2</c:v>
                </c:pt>
                <c:pt idx="1873">
                  <c:v>2.6951710292264158E-2</c:v>
                </c:pt>
                <c:pt idx="1874">
                  <c:v>2.6951668779991205E-2</c:v>
                </c:pt>
                <c:pt idx="1875">
                  <c:v>2.6951627267718263E-2</c:v>
                </c:pt>
                <c:pt idx="1876">
                  <c:v>2.6951585755445321E-2</c:v>
                </c:pt>
                <c:pt idx="1877">
                  <c:v>2.6951544243172375E-2</c:v>
                </c:pt>
                <c:pt idx="1878">
                  <c:v>2.6951502730899426E-2</c:v>
                </c:pt>
                <c:pt idx="1879">
                  <c:v>2.6951461218626484E-2</c:v>
                </c:pt>
                <c:pt idx="1880">
                  <c:v>2.6951419706353549E-2</c:v>
                </c:pt>
                <c:pt idx="1881">
                  <c:v>2.69513781940806E-2</c:v>
                </c:pt>
                <c:pt idx="1882">
                  <c:v>2.6951336681807658E-2</c:v>
                </c:pt>
                <c:pt idx="1883">
                  <c:v>2.6951295169534716E-2</c:v>
                </c:pt>
                <c:pt idx="1884">
                  <c:v>2.6951253657261771E-2</c:v>
                </c:pt>
                <c:pt idx="1885">
                  <c:v>2.6951212144988829E-2</c:v>
                </c:pt>
                <c:pt idx="1886">
                  <c:v>2.6951170632715883E-2</c:v>
                </c:pt>
                <c:pt idx="1887">
                  <c:v>2.6951129120442941E-2</c:v>
                </c:pt>
                <c:pt idx="1888">
                  <c:v>2.6951087608169999E-2</c:v>
                </c:pt>
                <c:pt idx="1889">
                  <c:v>2.695104609589705E-2</c:v>
                </c:pt>
                <c:pt idx="1890">
                  <c:v>2.6951004583624105E-2</c:v>
                </c:pt>
                <c:pt idx="1891">
                  <c:v>2.6950963071351166E-2</c:v>
                </c:pt>
                <c:pt idx="1892">
                  <c:v>2.695092155907822E-2</c:v>
                </c:pt>
                <c:pt idx="1893">
                  <c:v>2.6950880046805278E-2</c:v>
                </c:pt>
                <c:pt idx="1894">
                  <c:v>2.6950838534532329E-2</c:v>
                </c:pt>
                <c:pt idx="1895">
                  <c:v>2.6950797022259387E-2</c:v>
                </c:pt>
                <c:pt idx="1896">
                  <c:v>2.6950755509986445E-2</c:v>
                </c:pt>
                <c:pt idx="1897">
                  <c:v>2.6950713997713503E-2</c:v>
                </c:pt>
                <c:pt idx="1898">
                  <c:v>2.6950672485440551E-2</c:v>
                </c:pt>
                <c:pt idx="1899">
                  <c:v>2.6950630973167609E-2</c:v>
                </c:pt>
                <c:pt idx="1900">
                  <c:v>2.6950589460894667E-2</c:v>
                </c:pt>
                <c:pt idx="1901">
                  <c:v>2.6950547948621725E-2</c:v>
                </c:pt>
                <c:pt idx="1902">
                  <c:v>2.6950506436348779E-2</c:v>
                </c:pt>
                <c:pt idx="1903">
                  <c:v>2.6950464924075837E-2</c:v>
                </c:pt>
                <c:pt idx="1904">
                  <c:v>2.6950423411802895E-2</c:v>
                </c:pt>
                <c:pt idx="1905">
                  <c:v>2.6950381899529953E-2</c:v>
                </c:pt>
                <c:pt idx="1906">
                  <c:v>2.6950340387257007E-2</c:v>
                </c:pt>
                <c:pt idx="1907">
                  <c:v>2.6950298874984065E-2</c:v>
                </c:pt>
                <c:pt idx="1908">
                  <c:v>2.6950257362711116E-2</c:v>
                </c:pt>
                <c:pt idx="1909">
                  <c:v>2.6950215850438174E-2</c:v>
                </c:pt>
                <c:pt idx="1910">
                  <c:v>2.6950174338165232E-2</c:v>
                </c:pt>
                <c:pt idx="1911">
                  <c:v>2.6950132825892287E-2</c:v>
                </c:pt>
                <c:pt idx="1912">
                  <c:v>2.6950091313619345E-2</c:v>
                </c:pt>
                <c:pt idx="1913">
                  <c:v>2.6950049801346396E-2</c:v>
                </c:pt>
                <c:pt idx="1914">
                  <c:v>2.6950008289073461E-2</c:v>
                </c:pt>
                <c:pt idx="1915">
                  <c:v>2.6949966776800512E-2</c:v>
                </c:pt>
                <c:pt idx="1916">
                  <c:v>2.694992526452757E-2</c:v>
                </c:pt>
                <c:pt idx="1917">
                  <c:v>2.6949883752254624E-2</c:v>
                </c:pt>
                <c:pt idx="1918">
                  <c:v>2.6949842239981675E-2</c:v>
                </c:pt>
                <c:pt idx="1919">
                  <c:v>2.694980072770874E-2</c:v>
                </c:pt>
                <c:pt idx="1920">
                  <c:v>2.6949759215435787E-2</c:v>
                </c:pt>
                <c:pt idx="1921">
                  <c:v>2.6949717703162845E-2</c:v>
                </c:pt>
                <c:pt idx="1922">
                  <c:v>2.6949676190889903E-2</c:v>
                </c:pt>
                <c:pt idx="1923">
                  <c:v>2.6949634678616961E-2</c:v>
                </c:pt>
                <c:pt idx="1924">
                  <c:v>2.6949593166344019E-2</c:v>
                </c:pt>
                <c:pt idx="1925">
                  <c:v>2.6949551654071074E-2</c:v>
                </c:pt>
                <c:pt idx="1926">
                  <c:v>2.6949510141798132E-2</c:v>
                </c:pt>
                <c:pt idx="1927">
                  <c:v>2.694946862952519E-2</c:v>
                </c:pt>
                <c:pt idx="1928">
                  <c:v>2.6949427117252241E-2</c:v>
                </c:pt>
                <c:pt idx="1929">
                  <c:v>2.6949385604979299E-2</c:v>
                </c:pt>
                <c:pt idx="1930">
                  <c:v>2.6949344092706357E-2</c:v>
                </c:pt>
                <c:pt idx="1931">
                  <c:v>2.6949302580433411E-2</c:v>
                </c:pt>
                <c:pt idx="1932">
                  <c:v>2.6949261068160469E-2</c:v>
                </c:pt>
                <c:pt idx="1933">
                  <c:v>2.6949219555887527E-2</c:v>
                </c:pt>
                <c:pt idx="1934">
                  <c:v>2.6949178043614585E-2</c:v>
                </c:pt>
                <c:pt idx="1935">
                  <c:v>2.6949136531341632E-2</c:v>
                </c:pt>
                <c:pt idx="1936">
                  <c:v>2.694909501906869E-2</c:v>
                </c:pt>
                <c:pt idx="1937">
                  <c:v>2.6949053506795748E-2</c:v>
                </c:pt>
                <c:pt idx="1938">
                  <c:v>2.6949011994522806E-2</c:v>
                </c:pt>
                <c:pt idx="1939">
                  <c:v>2.6948970482249857E-2</c:v>
                </c:pt>
                <c:pt idx="1940">
                  <c:v>2.6948928969976915E-2</c:v>
                </c:pt>
                <c:pt idx="1941">
                  <c:v>2.694888745770397E-2</c:v>
                </c:pt>
                <c:pt idx="1942">
                  <c:v>2.6948845945431028E-2</c:v>
                </c:pt>
                <c:pt idx="1943">
                  <c:v>2.6948804433158086E-2</c:v>
                </c:pt>
                <c:pt idx="1944">
                  <c:v>2.694876292088514E-2</c:v>
                </c:pt>
                <c:pt idx="1945">
                  <c:v>2.6948721408612191E-2</c:v>
                </c:pt>
                <c:pt idx="1946">
                  <c:v>2.6948679896339249E-2</c:v>
                </c:pt>
                <c:pt idx="1947">
                  <c:v>2.6948638384066307E-2</c:v>
                </c:pt>
                <c:pt idx="1948">
                  <c:v>2.6948596871793365E-2</c:v>
                </c:pt>
                <c:pt idx="1949">
                  <c:v>2.6948555359520423E-2</c:v>
                </c:pt>
                <c:pt idx="1950">
                  <c:v>2.6948513847247477E-2</c:v>
                </c:pt>
                <c:pt idx="1951">
                  <c:v>2.6948472334974535E-2</c:v>
                </c:pt>
                <c:pt idx="1952">
                  <c:v>2.6948430822701593E-2</c:v>
                </c:pt>
                <c:pt idx="1953">
                  <c:v>2.6948389310428644E-2</c:v>
                </c:pt>
                <c:pt idx="1954">
                  <c:v>2.6948347798155699E-2</c:v>
                </c:pt>
                <c:pt idx="1955">
                  <c:v>2.6948306285882757E-2</c:v>
                </c:pt>
                <c:pt idx="1956">
                  <c:v>2.6948264773609815E-2</c:v>
                </c:pt>
                <c:pt idx="1957">
                  <c:v>2.6948223261336866E-2</c:v>
                </c:pt>
                <c:pt idx="1958">
                  <c:v>2.6948181749063924E-2</c:v>
                </c:pt>
                <c:pt idx="1959">
                  <c:v>2.6948140236790982E-2</c:v>
                </c:pt>
                <c:pt idx="1960">
                  <c:v>2.694809872451804E-2</c:v>
                </c:pt>
                <c:pt idx="1961">
                  <c:v>2.6948057212245094E-2</c:v>
                </c:pt>
                <c:pt idx="1962">
                  <c:v>2.6948015699972152E-2</c:v>
                </c:pt>
                <c:pt idx="1963">
                  <c:v>2.6947974187699206E-2</c:v>
                </c:pt>
                <c:pt idx="1964">
                  <c:v>2.6947932675426257E-2</c:v>
                </c:pt>
                <c:pt idx="1965">
                  <c:v>2.6947891163153322E-2</c:v>
                </c:pt>
                <c:pt idx="1966">
                  <c:v>2.6947849650880373E-2</c:v>
                </c:pt>
                <c:pt idx="1967">
                  <c:v>2.6947808138607431E-2</c:v>
                </c:pt>
                <c:pt idx="1968">
                  <c:v>2.6947766626334489E-2</c:v>
                </c:pt>
                <c:pt idx="1969">
                  <c:v>2.6947725114061547E-2</c:v>
                </c:pt>
                <c:pt idx="1970">
                  <c:v>2.6947683601788595E-2</c:v>
                </c:pt>
                <c:pt idx="1971">
                  <c:v>2.694764208951566E-2</c:v>
                </c:pt>
                <c:pt idx="1972">
                  <c:v>2.6947600577242718E-2</c:v>
                </c:pt>
                <c:pt idx="1973">
                  <c:v>2.6947559064969775E-2</c:v>
                </c:pt>
                <c:pt idx="1974">
                  <c:v>2.6947517552696823E-2</c:v>
                </c:pt>
                <c:pt idx="1975">
                  <c:v>2.6947476040423884E-2</c:v>
                </c:pt>
                <c:pt idx="1976">
                  <c:v>2.6947434528150939E-2</c:v>
                </c:pt>
                <c:pt idx="1977">
                  <c:v>2.694739301587799E-2</c:v>
                </c:pt>
                <c:pt idx="1978">
                  <c:v>2.6947351503605048E-2</c:v>
                </c:pt>
                <c:pt idx="1979">
                  <c:v>2.6947309991332102E-2</c:v>
                </c:pt>
                <c:pt idx="1980">
                  <c:v>2.6947268479059164E-2</c:v>
                </c:pt>
                <c:pt idx="1981">
                  <c:v>2.6947226966786218E-2</c:v>
                </c:pt>
                <c:pt idx="1982">
                  <c:v>2.6947185454513276E-2</c:v>
                </c:pt>
                <c:pt idx="1983">
                  <c:v>2.6947143942240331E-2</c:v>
                </c:pt>
                <c:pt idx="1984">
                  <c:v>2.6947102429967392E-2</c:v>
                </c:pt>
                <c:pt idx="1985">
                  <c:v>2.6947060917694447E-2</c:v>
                </c:pt>
                <c:pt idx="1986">
                  <c:v>2.6947019405421498E-2</c:v>
                </c:pt>
                <c:pt idx="1987">
                  <c:v>2.6946977893148552E-2</c:v>
                </c:pt>
                <c:pt idx="1988">
                  <c:v>2.694693638087561E-2</c:v>
                </c:pt>
                <c:pt idx="1989">
                  <c:v>2.6946894868602668E-2</c:v>
                </c:pt>
                <c:pt idx="1990">
                  <c:v>2.6946853356329719E-2</c:v>
                </c:pt>
                <c:pt idx="1991">
                  <c:v>2.6946811844056777E-2</c:v>
                </c:pt>
                <c:pt idx="1992">
                  <c:v>2.6946770331783835E-2</c:v>
                </c:pt>
                <c:pt idx="1993">
                  <c:v>2.6946728819510893E-2</c:v>
                </c:pt>
                <c:pt idx="1994">
                  <c:v>2.6946687307237951E-2</c:v>
                </c:pt>
                <c:pt idx="1995">
                  <c:v>2.6946645794965005E-2</c:v>
                </c:pt>
                <c:pt idx="1996">
                  <c:v>2.6946604282692056E-2</c:v>
                </c:pt>
                <c:pt idx="1997">
                  <c:v>2.6946562770419114E-2</c:v>
                </c:pt>
                <c:pt idx="1998">
                  <c:v>2.6946521258146172E-2</c:v>
                </c:pt>
                <c:pt idx="1999">
                  <c:v>2.6946479745873227E-2</c:v>
                </c:pt>
                <c:pt idx="2000">
                  <c:v>2.6946438233600285E-2</c:v>
                </c:pt>
                <c:pt idx="2001">
                  <c:v>2.6946396721327339E-2</c:v>
                </c:pt>
                <c:pt idx="2002">
                  <c:v>2.6946355209054397E-2</c:v>
                </c:pt>
                <c:pt idx="2003">
                  <c:v>2.6946313696781455E-2</c:v>
                </c:pt>
                <c:pt idx="2004">
                  <c:v>2.6946272184508513E-2</c:v>
                </c:pt>
                <c:pt idx="2005">
                  <c:v>2.6946230672235564E-2</c:v>
                </c:pt>
                <c:pt idx="2006">
                  <c:v>2.6946189159962622E-2</c:v>
                </c:pt>
                <c:pt idx="2007">
                  <c:v>2.694614764768968E-2</c:v>
                </c:pt>
                <c:pt idx="2008">
                  <c:v>2.6946106135416734E-2</c:v>
                </c:pt>
                <c:pt idx="2009">
                  <c:v>2.6946064623143785E-2</c:v>
                </c:pt>
                <c:pt idx="2010">
                  <c:v>2.6946023110870843E-2</c:v>
                </c:pt>
                <c:pt idx="2011">
                  <c:v>2.6945981598597901E-2</c:v>
                </c:pt>
                <c:pt idx="2012">
                  <c:v>2.6945940086324959E-2</c:v>
                </c:pt>
                <c:pt idx="2013">
                  <c:v>2.6945898574052014E-2</c:v>
                </c:pt>
                <c:pt idx="2014">
                  <c:v>2.6945857061779072E-2</c:v>
                </c:pt>
                <c:pt idx="2015">
                  <c:v>2.694581554950613E-2</c:v>
                </c:pt>
                <c:pt idx="2016">
                  <c:v>2.6945774037233187E-2</c:v>
                </c:pt>
                <c:pt idx="2017">
                  <c:v>2.6945732524960245E-2</c:v>
                </c:pt>
                <c:pt idx="2018">
                  <c:v>2.6945691012687303E-2</c:v>
                </c:pt>
                <c:pt idx="2019">
                  <c:v>2.6945649500414354E-2</c:v>
                </c:pt>
                <c:pt idx="2020">
                  <c:v>2.6945607988141409E-2</c:v>
                </c:pt>
                <c:pt idx="2021">
                  <c:v>2.6945566475868463E-2</c:v>
                </c:pt>
                <c:pt idx="2022">
                  <c:v>2.6945524963595525E-2</c:v>
                </c:pt>
                <c:pt idx="2023">
                  <c:v>2.6945483451322579E-2</c:v>
                </c:pt>
                <c:pt idx="2024">
                  <c:v>2.694544193904963E-2</c:v>
                </c:pt>
                <c:pt idx="2025">
                  <c:v>2.6945400426776688E-2</c:v>
                </c:pt>
                <c:pt idx="2026">
                  <c:v>2.6945358914503746E-2</c:v>
                </c:pt>
                <c:pt idx="2027">
                  <c:v>2.6945317402230804E-2</c:v>
                </c:pt>
                <c:pt idx="2028">
                  <c:v>2.6945275889957859E-2</c:v>
                </c:pt>
                <c:pt idx="2029">
                  <c:v>2.6945234377684917E-2</c:v>
                </c:pt>
                <c:pt idx="2030">
                  <c:v>2.6945192865411968E-2</c:v>
                </c:pt>
                <c:pt idx="2031">
                  <c:v>2.6945151353139032E-2</c:v>
                </c:pt>
                <c:pt idx="2032">
                  <c:v>2.6945109840866083E-2</c:v>
                </c:pt>
                <c:pt idx="2033">
                  <c:v>2.6945068328593131E-2</c:v>
                </c:pt>
                <c:pt idx="2034">
                  <c:v>2.6945026816320196E-2</c:v>
                </c:pt>
                <c:pt idx="2035">
                  <c:v>2.6944985304047247E-2</c:v>
                </c:pt>
                <c:pt idx="2036">
                  <c:v>2.6944943791774312E-2</c:v>
                </c:pt>
                <c:pt idx="2037">
                  <c:v>2.6944902279501363E-2</c:v>
                </c:pt>
                <c:pt idx="2038">
                  <c:v>2.6753028903525468E-2</c:v>
                </c:pt>
                <c:pt idx="2039">
                  <c:v>2.6752987391252519E-2</c:v>
                </c:pt>
                <c:pt idx="2040">
                  <c:v>2.6752945878979584E-2</c:v>
                </c:pt>
                <c:pt idx="2041">
                  <c:v>2.6752904366706635E-2</c:v>
                </c:pt>
                <c:pt idx="2042">
                  <c:v>2.6752862854433689E-2</c:v>
                </c:pt>
                <c:pt idx="2043">
                  <c:v>2.6752821342160747E-2</c:v>
                </c:pt>
                <c:pt idx="2044">
                  <c:v>2.6752779829887805E-2</c:v>
                </c:pt>
                <c:pt idx="2045">
                  <c:v>2.6752738317614856E-2</c:v>
                </c:pt>
                <c:pt idx="2046">
                  <c:v>2.6752696805341918E-2</c:v>
                </c:pt>
                <c:pt idx="2047">
                  <c:v>2.6752655293068976E-2</c:v>
                </c:pt>
                <c:pt idx="2048">
                  <c:v>2.6752613780796027E-2</c:v>
                </c:pt>
                <c:pt idx="2049">
                  <c:v>2.6752572268523084E-2</c:v>
                </c:pt>
                <c:pt idx="2050">
                  <c:v>2.6752530756250142E-2</c:v>
                </c:pt>
                <c:pt idx="2051">
                  <c:v>2.6752489243977197E-2</c:v>
                </c:pt>
                <c:pt idx="2052">
                  <c:v>2.6752447731704248E-2</c:v>
                </c:pt>
                <c:pt idx="2053">
                  <c:v>2.6752406219431313E-2</c:v>
                </c:pt>
                <c:pt idx="2054">
                  <c:v>2.675236470715836E-2</c:v>
                </c:pt>
                <c:pt idx="2055">
                  <c:v>2.6752323194885422E-2</c:v>
                </c:pt>
                <c:pt idx="2056">
                  <c:v>2.6752281682612476E-2</c:v>
                </c:pt>
                <c:pt idx="2057">
                  <c:v>2.6752240170339534E-2</c:v>
                </c:pt>
                <c:pt idx="2058">
                  <c:v>2.6752198658066585E-2</c:v>
                </c:pt>
                <c:pt idx="2059">
                  <c:v>2.675215714579365E-2</c:v>
                </c:pt>
                <c:pt idx="2060">
                  <c:v>2.6752115633520701E-2</c:v>
                </c:pt>
                <c:pt idx="2061">
                  <c:v>2.6752074121247766E-2</c:v>
                </c:pt>
                <c:pt idx="2062">
                  <c:v>2.6752032608974814E-2</c:v>
                </c:pt>
                <c:pt idx="2063">
                  <c:v>2.6751991096701865E-2</c:v>
                </c:pt>
                <c:pt idx="2064">
                  <c:v>2.6751949584428929E-2</c:v>
                </c:pt>
                <c:pt idx="2065">
                  <c:v>2.6751908072155987E-2</c:v>
                </c:pt>
                <c:pt idx="2066">
                  <c:v>2.6751866559883042E-2</c:v>
                </c:pt>
                <c:pt idx="2067">
                  <c:v>2.6751825047610093E-2</c:v>
                </c:pt>
                <c:pt idx="2068">
                  <c:v>2.6751783535337158E-2</c:v>
                </c:pt>
                <c:pt idx="2069">
                  <c:v>2.6751742023064205E-2</c:v>
                </c:pt>
                <c:pt idx="2070">
                  <c:v>2.6751700510791267E-2</c:v>
                </c:pt>
                <c:pt idx="2071">
                  <c:v>2.6751658998518321E-2</c:v>
                </c:pt>
                <c:pt idx="2072">
                  <c:v>2.6751617486245372E-2</c:v>
                </c:pt>
                <c:pt idx="2073">
                  <c:v>2.6751575973972437E-2</c:v>
                </c:pt>
                <c:pt idx="2074">
                  <c:v>2.6751534461699488E-2</c:v>
                </c:pt>
                <c:pt idx="2075">
                  <c:v>2.6751492949426546E-2</c:v>
                </c:pt>
                <c:pt idx="2076">
                  <c:v>2.6751451437153594E-2</c:v>
                </c:pt>
                <c:pt idx="2077">
                  <c:v>2.6751409924880658E-2</c:v>
                </c:pt>
                <c:pt idx="2078">
                  <c:v>2.6751368412607709E-2</c:v>
                </c:pt>
                <c:pt idx="2079">
                  <c:v>2.6751326900334767E-2</c:v>
                </c:pt>
                <c:pt idx="2080">
                  <c:v>2.6751285388061825E-2</c:v>
                </c:pt>
                <c:pt idx="2081">
                  <c:v>2.675124387578888E-2</c:v>
                </c:pt>
                <c:pt idx="2082">
                  <c:v>2.6751202363515938E-2</c:v>
                </c:pt>
                <c:pt idx="2083">
                  <c:v>2.6751160851242999E-2</c:v>
                </c:pt>
                <c:pt idx="2084">
                  <c:v>2.6751119338970047E-2</c:v>
                </c:pt>
                <c:pt idx="2085">
                  <c:v>2.6751077826697101E-2</c:v>
                </c:pt>
                <c:pt idx="2086">
                  <c:v>2.6751036314424166E-2</c:v>
                </c:pt>
                <c:pt idx="2087">
                  <c:v>2.6750994802151217E-2</c:v>
                </c:pt>
                <c:pt idx="2088">
                  <c:v>2.6750953289878275E-2</c:v>
                </c:pt>
                <c:pt idx="2089">
                  <c:v>2.6750911777605333E-2</c:v>
                </c:pt>
                <c:pt idx="2090">
                  <c:v>2.6750870265332388E-2</c:v>
                </c:pt>
                <c:pt idx="2091">
                  <c:v>2.6750828753059445E-2</c:v>
                </c:pt>
                <c:pt idx="2092">
                  <c:v>2.6750787240786503E-2</c:v>
                </c:pt>
                <c:pt idx="2093">
                  <c:v>2.6750745728513554E-2</c:v>
                </c:pt>
                <c:pt idx="2094">
                  <c:v>2.6750704216240609E-2</c:v>
                </c:pt>
                <c:pt idx="2095">
                  <c:v>2.675066270396767E-2</c:v>
                </c:pt>
                <c:pt idx="2096">
                  <c:v>2.6750621191694725E-2</c:v>
                </c:pt>
                <c:pt idx="2097">
                  <c:v>2.6750579679421776E-2</c:v>
                </c:pt>
                <c:pt idx="2098">
                  <c:v>2.6750538167148834E-2</c:v>
                </c:pt>
                <c:pt idx="2099">
                  <c:v>2.6750496654875888E-2</c:v>
                </c:pt>
                <c:pt idx="2100">
                  <c:v>2.675045514260295E-2</c:v>
                </c:pt>
                <c:pt idx="2101">
                  <c:v>2.6750413630330004E-2</c:v>
                </c:pt>
                <c:pt idx="2102">
                  <c:v>2.6750372118057062E-2</c:v>
                </c:pt>
                <c:pt idx="2103">
                  <c:v>2.675033060578412E-2</c:v>
                </c:pt>
                <c:pt idx="2104">
                  <c:v>2.6750289093511178E-2</c:v>
                </c:pt>
                <c:pt idx="2105">
                  <c:v>2.6750247581238232E-2</c:v>
                </c:pt>
                <c:pt idx="2106">
                  <c:v>2.6750206068965294E-2</c:v>
                </c:pt>
                <c:pt idx="2107">
                  <c:v>2.6750164556692348E-2</c:v>
                </c:pt>
                <c:pt idx="2108">
                  <c:v>2.6750123044419399E-2</c:v>
                </c:pt>
                <c:pt idx="2109">
                  <c:v>2.6750081532146454E-2</c:v>
                </c:pt>
                <c:pt idx="2110">
                  <c:v>2.6750040019873512E-2</c:v>
                </c:pt>
                <c:pt idx="2111">
                  <c:v>2.674999850760057E-2</c:v>
                </c:pt>
                <c:pt idx="2112">
                  <c:v>2.6749956995327621E-2</c:v>
                </c:pt>
                <c:pt idx="2113">
                  <c:v>2.6749915483054686E-2</c:v>
                </c:pt>
                <c:pt idx="2114">
                  <c:v>2.6749873970781737E-2</c:v>
                </c:pt>
                <c:pt idx="2115">
                  <c:v>2.6749832458508795E-2</c:v>
                </c:pt>
                <c:pt idx="2116">
                  <c:v>2.6749790946235849E-2</c:v>
                </c:pt>
                <c:pt idx="2117">
                  <c:v>2.67497494339629E-2</c:v>
                </c:pt>
                <c:pt idx="2118">
                  <c:v>2.6749707921689958E-2</c:v>
                </c:pt>
                <c:pt idx="2119">
                  <c:v>2.6749666409417023E-2</c:v>
                </c:pt>
                <c:pt idx="2120">
                  <c:v>2.6749624897144074E-2</c:v>
                </c:pt>
                <c:pt idx="2121">
                  <c:v>2.6749583384871128E-2</c:v>
                </c:pt>
                <c:pt idx="2122">
                  <c:v>2.6749541872598186E-2</c:v>
                </c:pt>
                <c:pt idx="2123">
                  <c:v>2.6749500360325237E-2</c:v>
                </c:pt>
                <c:pt idx="2124">
                  <c:v>2.6749458848052299E-2</c:v>
                </c:pt>
                <c:pt idx="2125">
                  <c:v>2.6749417335779357E-2</c:v>
                </c:pt>
                <c:pt idx="2126">
                  <c:v>2.6749375823506408E-2</c:v>
                </c:pt>
                <c:pt idx="2127">
                  <c:v>2.6749334311233466E-2</c:v>
                </c:pt>
                <c:pt idx="2128">
                  <c:v>2.6749292798960524E-2</c:v>
                </c:pt>
                <c:pt idx="2129">
                  <c:v>2.6749251286687582E-2</c:v>
                </c:pt>
                <c:pt idx="2130">
                  <c:v>2.6749209774414629E-2</c:v>
                </c:pt>
                <c:pt idx="2131">
                  <c:v>2.6749168262141694E-2</c:v>
                </c:pt>
                <c:pt idx="2132">
                  <c:v>2.6749126749868745E-2</c:v>
                </c:pt>
                <c:pt idx="2133">
                  <c:v>2.6749085237595803E-2</c:v>
                </c:pt>
                <c:pt idx="2134">
                  <c:v>2.6749043725322857E-2</c:v>
                </c:pt>
                <c:pt idx="2135">
                  <c:v>2.6749002213049915E-2</c:v>
                </c:pt>
                <c:pt idx="2136">
                  <c:v>2.6748960700776973E-2</c:v>
                </c:pt>
                <c:pt idx="2137">
                  <c:v>2.6748919188504035E-2</c:v>
                </c:pt>
                <c:pt idx="2138">
                  <c:v>2.6748877676231082E-2</c:v>
                </c:pt>
                <c:pt idx="2139">
                  <c:v>2.6748836163958137E-2</c:v>
                </c:pt>
                <c:pt idx="2140">
                  <c:v>2.6748794651685195E-2</c:v>
                </c:pt>
                <c:pt idx="2141">
                  <c:v>2.6748753139412246E-2</c:v>
                </c:pt>
                <c:pt idx="2142">
                  <c:v>2.6748711627139311E-2</c:v>
                </c:pt>
                <c:pt idx="2143">
                  <c:v>2.6748670114866362E-2</c:v>
                </c:pt>
                <c:pt idx="2144">
                  <c:v>2.6748628602593423E-2</c:v>
                </c:pt>
                <c:pt idx="2145">
                  <c:v>2.6748587090320474E-2</c:v>
                </c:pt>
                <c:pt idx="2146">
                  <c:v>2.6748545578047532E-2</c:v>
                </c:pt>
                <c:pt idx="2147">
                  <c:v>2.674850406577459E-2</c:v>
                </c:pt>
                <c:pt idx="2148">
                  <c:v>2.6748462553501648E-2</c:v>
                </c:pt>
                <c:pt idx="2149">
                  <c:v>2.6748421041228702E-2</c:v>
                </c:pt>
                <c:pt idx="2150">
                  <c:v>2.674837952895576E-2</c:v>
                </c:pt>
                <c:pt idx="2151">
                  <c:v>2.6748338016682811E-2</c:v>
                </c:pt>
                <c:pt idx="2152">
                  <c:v>2.6748296504409876E-2</c:v>
                </c:pt>
                <c:pt idx="2153">
                  <c:v>2.6748254992136927E-2</c:v>
                </c:pt>
                <c:pt idx="2154">
                  <c:v>2.6748213479863982E-2</c:v>
                </c:pt>
                <c:pt idx="2155">
                  <c:v>2.674817196759104E-2</c:v>
                </c:pt>
                <c:pt idx="2156">
                  <c:v>2.6748130455318098E-2</c:v>
                </c:pt>
                <c:pt idx="2157">
                  <c:v>2.6748088943045156E-2</c:v>
                </c:pt>
                <c:pt idx="2158">
                  <c:v>2.6748047430772207E-2</c:v>
                </c:pt>
                <c:pt idx="2159">
                  <c:v>2.6748005918499265E-2</c:v>
                </c:pt>
                <c:pt idx="2160">
                  <c:v>2.6747964406226319E-2</c:v>
                </c:pt>
                <c:pt idx="2161">
                  <c:v>2.674792289395338E-2</c:v>
                </c:pt>
                <c:pt idx="2162">
                  <c:v>2.6747881381680428E-2</c:v>
                </c:pt>
                <c:pt idx="2163">
                  <c:v>2.6747839869407486E-2</c:v>
                </c:pt>
                <c:pt idx="2164">
                  <c:v>2.674779835713454E-2</c:v>
                </c:pt>
                <c:pt idx="2165">
                  <c:v>2.6747756844861605E-2</c:v>
                </c:pt>
                <c:pt idx="2166">
                  <c:v>2.6747715332588656E-2</c:v>
                </c:pt>
                <c:pt idx="2167">
                  <c:v>2.6747673820315714E-2</c:v>
                </c:pt>
                <c:pt idx="2168">
                  <c:v>2.6747632308042772E-2</c:v>
                </c:pt>
                <c:pt idx="2169">
                  <c:v>2.6747590795769827E-2</c:v>
                </c:pt>
                <c:pt idx="2170">
                  <c:v>2.6747549283496885E-2</c:v>
                </c:pt>
                <c:pt idx="2171">
                  <c:v>2.6747507771223936E-2</c:v>
                </c:pt>
                <c:pt idx="2172">
                  <c:v>2.6747466258950994E-2</c:v>
                </c:pt>
                <c:pt idx="2173">
                  <c:v>2.6747424746678048E-2</c:v>
                </c:pt>
                <c:pt idx="2174">
                  <c:v>2.6747383234405109E-2</c:v>
                </c:pt>
                <c:pt idx="2175">
                  <c:v>2.6747341722132164E-2</c:v>
                </c:pt>
                <c:pt idx="2176">
                  <c:v>2.6747300209859212E-2</c:v>
                </c:pt>
                <c:pt idx="2177">
                  <c:v>2.6747258697586273E-2</c:v>
                </c:pt>
                <c:pt idx="2178">
                  <c:v>2.6747217185313331E-2</c:v>
                </c:pt>
                <c:pt idx="2179">
                  <c:v>2.6747175673040389E-2</c:v>
                </c:pt>
                <c:pt idx="2180">
                  <c:v>2.6747134160767443E-2</c:v>
                </c:pt>
                <c:pt idx="2181">
                  <c:v>2.6747092648494501E-2</c:v>
                </c:pt>
                <c:pt idx="2182">
                  <c:v>2.6747051136221552E-2</c:v>
                </c:pt>
                <c:pt idx="2183">
                  <c:v>2.6747009623948614E-2</c:v>
                </c:pt>
                <c:pt idx="2184">
                  <c:v>2.6746968111675665E-2</c:v>
                </c:pt>
                <c:pt idx="2185">
                  <c:v>2.6746926599402719E-2</c:v>
                </c:pt>
                <c:pt idx="2186">
                  <c:v>2.6746885087129777E-2</c:v>
                </c:pt>
                <c:pt idx="2187">
                  <c:v>2.6746843574856839E-2</c:v>
                </c:pt>
                <c:pt idx="2188">
                  <c:v>2.6746802062583893E-2</c:v>
                </c:pt>
                <c:pt idx="2189">
                  <c:v>2.6746760550310951E-2</c:v>
                </c:pt>
                <c:pt idx="2190">
                  <c:v>2.6746719038038002E-2</c:v>
                </c:pt>
                <c:pt idx="2191">
                  <c:v>2.6746677525765056E-2</c:v>
                </c:pt>
                <c:pt idx="2192">
                  <c:v>2.6746636013492118E-2</c:v>
                </c:pt>
                <c:pt idx="2193">
                  <c:v>2.6746594501219172E-2</c:v>
                </c:pt>
                <c:pt idx="2194">
                  <c:v>2.674655298894623E-2</c:v>
                </c:pt>
                <c:pt idx="2195">
                  <c:v>2.6746511476673288E-2</c:v>
                </c:pt>
                <c:pt idx="2196">
                  <c:v>2.6746469964400346E-2</c:v>
                </c:pt>
                <c:pt idx="2197">
                  <c:v>2.6746428452127394E-2</c:v>
                </c:pt>
                <c:pt idx="2198">
                  <c:v>2.6746386939854455E-2</c:v>
                </c:pt>
                <c:pt idx="2199">
                  <c:v>2.674634542758151E-2</c:v>
                </c:pt>
                <c:pt idx="2200">
                  <c:v>2.6746303915308568E-2</c:v>
                </c:pt>
                <c:pt idx="2201">
                  <c:v>2.6746262403035619E-2</c:v>
                </c:pt>
                <c:pt idx="2202">
                  <c:v>2.6746220890762677E-2</c:v>
                </c:pt>
                <c:pt idx="2203">
                  <c:v>2.6746179378489738E-2</c:v>
                </c:pt>
                <c:pt idx="2204">
                  <c:v>2.6746137866216796E-2</c:v>
                </c:pt>
                <c:pt idx="2205">
                  <c:v>2.6746096353943847E-2</c:v>
                </c:pt>
                <c:pt idx="2206">
                  <c:v>2.6746054841670901E-2</c:v>
                </c:pt>
                <c:pt idx="2207">
                  <c:v>2.6746013329397963E-2</c:v>
                </c:pt>
                <c:pt idx="2208">
                  <c:v>2.6745971817125017E-2</c:v>
                </c:pt>
                <c:pt idx="2209">
                  <c:v>2.6745930304852068E-2</c:v>
                </c:pt>
                <c:pt idx="2210">
                  <c:v>2.6745888792579126E-2</c:v>
                </c:pt>
                <c:pt idx="2211">
                  <c:v>2.6745847280306184E-2</c:v>
                </c:pt>
                <c:pt idx="2212">
                  <c:v>2.6745805768033242E-2</c:v>
                </c:pt>
                <c:pt idx="2213">
                  <c:v>2.6745764255760297E-2</c:v>
                </c:pt>
                <c:pt idx="2214">
                  <c:v>2.6745722743487355E-2</c:v>
                </c:pt>
                <c:pt idx="2215">
                  <c:v>2.6745681231214406E-2</c:v>
                </c:pt>
                <c:pt idx="2216">
                  <c:v>2.6745639718941464E-2</c:v>
                </c:pt>
                <c:pt idx="2217">
                  <c:v>2.6745598206668521E-2</c:v>
                </c:pt>
                <c:pt idx="2218">
                  <c:v>2.6745556694395576E-2</c:v>
                </c:pt>
                <c:pt idx="2219">
                  <c:v>2.6745515182122627E-2</c:v>
                </c:pt>
                <c:pt idx="2220">
                  <c:v>2.6745473669849685E-2</c:v>
                </c:pt>
                <c:pt idx="2221">
                  <c:v>2.6554914060806189E-2</c:v>
                </c:pt>
                <c:pt idx="2222">
                  <c:v>2.655487254853325E-2</c:v>
                </c:pt>
                <c:pt idx="2223">
                  <c:v>2.6554831036260308E-2</c:v>
                </c:pt>
                <c:pt idx="2224">
                  <c:v>2.6554789523987363E-2</c:v>
                </c:pt>
                <c:pt idx="2225">
                  <c:v>2.6554748011714421E-2</c:v>
                </c:pt>
                <c:pt idx="2226">
                  <c:v>2.6554706499441472E-2</c:v>
                </c:pt>
                <c:pt idx="2227">
                  <c:v>2.6554664987168526E-2</c:v>
                </c:pt>
                <c:pt idx="2228">
                  <c:v>2.6554623474895588E-2</c:v>
                </c:pt>
                <c:pt idx="2229">
                  <c:v>2.6554581962622635E-2</c:v>
                </c:pt>
                <c:pt idx="2230">
                  <c:v>2.6554540450349693E-2</c:v>
                </c:pt>
                <c:pt idx="2231">
                  <c:v>2.6554498938076751E-2</c:v>
                </c:pt>
                <c:pt idx="2232">
                  <c:v>2.6554457425803805E-2</c:v>
                </c:pt>
                <c:pt idx="2233">
                  <c:v>2.6554415913530863E-2</c:v>
                </c:pt>
                <c:pt idx="2234">
                  <c:v>2.6554374401257925E-2</c:v>
                </c:pt>
                <c:pt idx="2235">
                  <c:v>2.6554332888984979E-2</c:v>
                </c:pt>
                <c:pt idx="2236">
                  <c:v>2.6554291376712037E-2</c:v>
                </c:pt>
                <c:pt idx="2237">
                  <c:v>2.6554249864439095E-2</c:v>
                </c:pt>
                <c:pt idx="2238">
                  <c:v>2.655420835216615E-2</c:v>
                </c:pt>
                <c:pt idx="2239">
                  <c:v>2.6554166839893201E-2</c:v>
                </c:pt>
                <c:pt idx="2240">
                  <c:v>2.6554125327620266E-2</c:v>
                </c:pt>
                <c:pt idx="2241">
                  <c:v>2.6554083815347317E-2</c:v>
                </c:pt>
                <c:pt idx="2242">
                  <c:v>2.6554042303074371E-2</c:v>
                </c:pt>
                <c:pt idx="2243">
                  <c:v>2.6554000790801429E-2</c:v>
                </c:pt>
                <c:pt idx="2244">
                  <c:v>2.655395927852848E-2</c:v>
                </c:pt>
                <c:pt idx="2245">
                  <c:v>2.6553917766255538E-2</c:v>
                </c:pt>
                <c:pt idx="2246">
                  <c:v>2.6553876253982603E-2</c:v>
                </c:pt>
                <c:pt idx="2247">
                  <c:v>2.6553834741709654E-2</c:v>
                </c:pt>
                <c:pt idx="2248">
                  <c:v>2.6553793229436708E-2</c:v>
                </c:pt>
                <c:pt idx="2249">
                  <c:v>2.655375171716377E-2</c:v>
                </c:pt>
                <c:pt idx="2250">
                  <c:v>2.6553710204890817E-2</c:v>
                </c:pt>
                <c:pt idx="2251">
                  <c:v>2.6553668692617875E-2</c:v>
                </c:pt>
                <c:pt idx="2252">
                  <c:v>2.6553627180344933E-2</c:v>
                </c:pt>
                <c:pt idx="2253">
                  <c:v>2.6553585668071984E-2</c:v>
                </c:pt>
                <c:pt idx="2254">
                  <c:v>2.6553544155799046E-2</c:v>
                </c:pt>
                <c:pt idx="2255">
                  <c:v>2.65535026435261E-2</c:v>
                </c:pt>
                <c:pt idx="2256">
                  <c:v>2.6553461131253158E-2</c:v>
                </c:pt>
                <c:pt idx="2257">
                  <c:v>2.6553419618980216E-2</c:v>
                </c:pt>
                <c:pt idx="2258">
                  <c:v>2.6553378106707274E-2</c:v>
                </c:pt>
                <c:pt idx="2259">
                  <c:v>2.6553336594434325E-2</c:v>
                </c:pt>
                <c:pt idx="2260">
                  <c:v>2.6553295082161383E-2</c:v>
                </c:pt>
                <c:pt idx="2261">
                  <c:v>2.6553253569888437E-2</c:v>
                </c:pt>
                <c:pt idx="2262">
                  <c:v>2.6553212057615495E-2</c:v>
                </c:pt>
                <c:pt idx="2263">
                  <c:v>2.6553170545342553E-2</c:v>
                </c:pt>
                <c:pt idx="2264">
                  <c:v>2.6553129033069604E-2</c:v>
                </c:pt>
                <c:pt idx="2265">
                  <c:v>2.6553087520796662E-2</c:v>
                </c:pt>
                <c:pt idx="2266">
                  <c:v>2.6553046008523717E-2</c:v>
                </c:pt>
                <c:pt idx="2267">
                  <c:v>2.6553004496250778E-2</c:v>
                </c:pt>
                <c:pt idx="2268">
                  <c:v>2.6552962983977833E-2</c:v>
                </c:pt>
                <c:pt idx="2269">
                  <c:v>2.6552921471704891E-2</c:v>
                </c:pt>
                <c:pt idx="2270">
                  <c:v>2.6552879959431942E-2</c:v>
                </c:pt>
                <c:pt idx="2271">
                  <c:v>2.6552838447159E-2</c:v>
                </c:pt>
                <c:pt idx="2272">
                  <c:v>2.6552796934886054E-2</c:v>
                </c:pt>
                <c:pt idx="2273">
                  <c:v>2.6552755422613112E-2</c:v>
                </c:pt>
                <c:pt idx="2274">
                  <c:v>2.655271391034017E-2</c:v>
                </c:pt>
                <c:pt idx="2275">
                  <c:v>2.6552672398067224E-2</c:v>
                </c:pt>
                <c:pt idx="2276">
                  <c:v>2.6552630885794282E-2</c:v>
                </c:pt>
                <c:pt idx="2277">
                  <c:v>2.6552589373521344E-2</c:v>
                </c:pt>
                <c:pt idx="2278">
                  <c:v>2.6552547861248398E-2</c:v>
                </c:pt>
                <c:pt idx="2279">
                  <c:v>2.6552506348975446E-2</c:v>
                </c:pt>
                <c:pt idx="2280">
                  <c:v>2.6552464836702504E-2</c:v>
                </c:pt>
                <c:pt idx="2281">
                  <c:v>2.6552423324429562E-2</c:v>
                </c:pt>
                <c:pt idx="2282">
                  <c:v>2.6552381812156623E-2</c:v>
                </c:pt>
                <c:pt idx="2283">
                  <c:v>2.6552340299883678E-2</c:v>
                </c:pt>
                <c:pt idx="2284">
                  <c:v>2.6552298787610729E-2</c:v>
                </c:pt>
                <c:pt idx="2285">
                  <c:v>2.6552257275337787E-2</c:v>
                </c:pt>
                <c:pt idx="2286">
                  <c:v>2.6552215763064841E-2</c:v>
                </c:pt>
                <c:pt idx="2287">
                  <c:v>2.6552174250791899E-2</c:v>
                </c:pt>
                <c:pt idx="2288">
                  <c:v>2.6552132738518957E-2</c:v>
                </c:pt>
                <c:pt idx="2289">
                  <c:v>2.6552091226246015E-2</c:v>
                </c:pt>
                <c:pt idx="2290">
                  <c:v>2.6552049713973066E-2</c:v>
                </c:pt>
                <c:pt idx="2291">
                  <c:v>2.6552008201700124E-2</c:v>
                </c:pt>
                <c:pt idx="2292">
                  <c:v>2.6551966689427182E-2</c:v>
                </c:pt>
                <c:pt idx="2293">
                  <c:v>2.6551925177154236E-2</c:v>
                </c:pt>
                <c:pt idx="2294">
                  <c:v>2.6551883664881291E-2</c:v>
                </c:pt>
                <c:pt idx="2295">
                  <c:v>2.6551842152608349E-2</c:v>
                </c:pt>
                <c:pt idx="2296">
                  <c:v>2.6551800640335407E-2</c:v>
                </c:pt>
                <c:pt idx="2297">
                  <c:v>2.6551759128062465E-2</c:v>
                </c:pt>
                <c:pt idx="2298">
                  <c:v>2.6551717615789516E-2</c:v>
                </c:pt>
                <c:pt idx="2299">
                  <c:v>2.6551676103516574E-2</c:v>
                </c:pt>
                <c:pt idx="2300">
                  <c:v>2.6551634591243628E-2</c:v>
                </c:pt>
                <c:pt idx="2301">
                  <c:v>2.6551593078970689E-2</c:v>
                </c:pt>
                <c:pt idx="2302">
                  <c:v>2.6551551566697744E-2</c:v>
                </c:pt>
                <c:pt idx="2303">
                  <c:v>2.6551510054424795E-2</c:v>
                </c:pt>
                <c:pt idx="2304">
                  <c:v>2.6551468542151849E-2</c:v>
                </c:pt>
                <c:pt idx="2305">
                  <c:v>2.6551427029878911E-2</c:v>
                </c:pt>
                <c:pt idx="2306">
                  <c:v>2.6551385517605965E-2</c:v>
                </c:pt>
                <c:pt idx="2307">
                  <c:v>2.6551344005333023E-2</c:v>
                </c:pt>
                <c:pt idx="2308">
                  <c:v>2.6551302493060081E-2</c:v>
                </c:pt>
                <c:pt idx="2309">
                  <c:v>2.6551260980787132E-2</c:v>
                </c:pt>
                <c:pt idx="2310">
                  <c:v>2.655121946851419E-2</c:v>
                </c:pt>
                <c:pt idx="2311">
                  <c:v>2.6551177956241245E-2</c:v>
                </c:pt>
                <c:pt idx="2312">
                  <c:v>2.6551136443968303E-2</c:v>
                </c:pt>
                <c:pt idx="2313">
                  <c:v>2.6551094931695361E-2</c:v>
                </c:pt>
                <c:pt idx="2314">
                  <c:v>2.6551053419422418E-2</c:v>
                </c:pt>
                <c:pt idx="2315">
                  <c:v>2.6551011907149473E-2</c:v>
                </c:pt>
                <c:pt idx="2316">
                  <c:v>2.6550970394876524E-2</c:v>
                </c:pt>
                <c:pt idx="2317">
                  <c:v>2.6550928882603582E-2</c:v>
                </c:pt>
                <c:pt idx="2318">
                  <c:v>2.655088737033064E-2</c:v>
                </c:pt>
                <c:pt idx="2319">
                  <c:v>2.6550845858057698E-2</c:v>
                </c:pt>
                <c:pt idx="2320">
                  <c:v>2.6550804345784752E-2</c:v>
                </c:pt>
                <c:pt idx="2321">
                  <c:v>2.655076283351181E-2</c:v>
                </c:pt>
                <c:pt idx="2322">
                  <c:v>2.6550721321238861E-2</c:v>
                </c:pt>
                <c:pt idx="2323">
                  <c:v>2.6550679808965926E-2</c:v>
                </c:pt>
                <c:pt idx="2324">
                  <c:v>2.6550638296692977E-2</c:v>
                </c:pt>
                <c:pt idx="2325">
                  <c:v>2.6550596784420042E-2</c:v>
                </c:pt>
                <c:pt idx="2326">
                  <c:v>2.655055527214709E-2</c:v>
                </c:pt>
                <c:pt idx="2327">
                  <c:v>2.6550513759874148E-2</c:v>
                </c:pt>
                <c:pt idx="2328">
                  <c:v>2.6550472247601205E-2</c:v>
                </c:pt>
                <c:pt idx="2329">
                  <c:v>2.6550430735328256E-2</c:v>
                </c:pt>
                <c:pt idx="2330">
                  <c:v>2.6550389223055314E-2</c:v>
                </c:pt>
                <c:pt idx="2331">
                  <c:v>2.6550347710782369E-2</c:v>
                </c:pt>
                <c:pt idx="2332">
                  <c:v>2.6550306198509434E-2</c:v>
                </c:pt>
                <c:pt idx="2333">
                  <c:v>2.6550264686236481E-2</c:v>
                </c:pt>
                <c:pt idx="2334">
                  <c:v>2.6550223173963543E-2</c:v>
                </c:pt>
                <c:pt idx="2335">
                  <c:v>2.6550181661690597E-2</c:v>
                </c:pt>
                <c:pt idx="2336">
                  <c:v>2.6550140149417648E-2</c:v>
                </c:pt>
                <c:pt idx="2337">
                  <c:v>2.6550098637144713E-2</c:v>
                </c:pt>
                <c:pt idx="2338">
                  <c:v>2.6550057124871764E-2</c:v>
                </c:pt>
                <c:pt idx="2339">
                  <c:v>2.6550015612598819E-2</c:v>
                </c:pt>
                <c:pt idx="2340">
                  <c:v>2.654997410032587E-2</c:v>
                </c:pt>
                <c:pt idx="2341">
                  <c:v>2.6549932588052935E-2</c:v>
                </c:pt>
                <c:pt idx="2342">
                  <c:v>2.6549891075779986E-2</c:v>
                </c:pt>
                <c:pt idx="2343">
                  <c:v>2.6549849563507043E-2</c:v>
                </c:pt>
                <c:pt idx="2344">
                  <c:v>2.6549808051234101E-2</c:v>
                </c:pt>
                <c:pt idx="2345">
                  <c:v>2.6549766538961156E-2</c:v>
                </c:pt>
                <c:pt idx="2346">
                  <c:v>2.6549725026688207E-2</c:v>
                </c:pt>
                <c:pt idx="2347">
                  <c:v>2.6549683514415272E-2</c:v>
                </c:pt>
                <c:pt idx="2348">
                  <c:v>2.6549642002142323E-2</c:v>
                </c:pt>
                <c:pt idx="2349">
                  <c:v>2.6549600489869377E-2</c:v>
                </c:pt>
                <c:pt idx="2350">
                  <c:v>2.6549558977596435E-2</c:v>
                </c:pt>
                <c:pt idx="2351">
                  <c:v>2.6549517465323493E-2</c:v>
                </c:pt>
                <c:pt idx="2352">
                  <c:v>2.6549475953050551E-2</c:v>
                </c:pt>
                <c:pt idx="2353">
                  <c:v>2.6549434440777606E-2</c:v>
                </c:pt>
                <c:pt idx="2354">
                  <c:v>2.6549392928504664E-2</c:v>
                </c:pt>
                <c:pt idx="2355">
                  <c:v>2.6549351416231715E-2</c:v>
                </c:pt>
                <c:pt idx="2356">
                  <c:v>2.6549309903958779E-2</c:v>
                </c:pt>
                <c:pt idx="2357">
                  <c:v>2.654926839168583E-2</c:v>
                </c:pt>
                <c:pt idx="2358">
                  <c:v>2.6549226879412885E-2</c:v>
                </c:pt>
                <c:pt idx="2359">
                  <c:v>2.6549185367139943E-2</c:v>
                </c:pt>
                <c:pt idx="2360">
                  <c:v>2.6549143854867001E-2</c:v>
                </c:pt>
                <c:pt idx="2361">
                  <c:v>2.6549102342594052E-2</c:v>
                </c:pt>
                <c:pt idx="2362">
                  <c:v>2.654906083032111E-2</c:v>
                </c:pt>
                <c:pt idx="2363">
                  <c:v>2.6549019318048168E-2</c:v>
                </c:pt>
                <c:pt idx="2364">
                  <c:v>2.6548977805775222E-2</c:v>
                </c:pt>
                <c:pt idx="2365">
                  <c:v>2.654893629350228E-2</c:v>
                </c:pt>
                <c:pt idx="2366">
                  <c:v>2.6548894781229338E-2</c:v>
                </c:pt>
                <c:pt idx="2367">
                  <c:v>2.6548853268956389E-2</c:v>
                </c:pt>
                <c:pt idx="2368">
                  <c:v>2.6548811756683444E-2</c:v>
                </c:pt>
                <c:pt idx="2369">
                  <c:v>2.6548770244410505E-2</c:v>
                </c:pt>
                <c:pt idx="2370">
                  <c:v>2.6548728732137563E-2</c:v>
                </c:pt>
                <c:pt idx="2371">
                  <c:v>2.6548687219864624E-2</c:v>
                </c:pt>
                <c:pt idx="2372">
                  <c:v>2.6548645707591672E-2</c:v>
                </c:pt>
                <c:pt idx="2373">
                  <c:v>2.654860419531873E-2</c:v>
                </c:pt>
                <c:pt idx="2374">
                  <c:v>2.6548562683045788E-2</c:v>
                </c:pt>
                <c:pt idx="2375">
                  <c:v>2.6548521170772846E-2</c:v>
                </c:pt>
                <c:pt idx="2376">
                  <c:v>2.6548479658499897E-2</c:v>
                </c:pt>
                <c:pt idx="2377">
                  <c:v>2.6548438146226955E-2</c:v>
                </c:pt>
                <c:pt idx="2378">
                  <c:v>2.6548396633954009E-2</c:v>
                </c:pt>
                <c:pt idx="2379">
                  <c:v>2.6548355121681067E-2</c:v>
                </c:pt>
                <c:pt idx="2380">
                  <c:v>2.6548313609408125E-2</c:v>
                </c:pt>
                <c:pt idx="2381">
                  <c:v>2.6548272097135176E-2</c:v>
                </c:pt>
                <c:pt idx="2382">
                  <c:v>2.6548230584862234E-2</c:v>
                </c:pt>
                <c:pt idx="2383">
                  <c:v>2.6548189072589289E-2</c:v>
                </c:pt>
                <c:pt idx="2384">
                  <c:v>2.654814756031635E-2</c:v>
                </c:pt>
                <c:pt idx="2385">
                  <c:v>2.6548106048043398E-2</c:v>
                </c:pt>
                <c:pt idx="2386">
                  <c:v>2.6548064535770455E-2</c:v>
                </c:pt>
                <c:pt idx="2387">
                  <c:v>2.6548023023497513E-2</c:v>
                </c:pt>
                <c:pt idx="2388">
                  <c:v>2.6547981511224578E-2</c:v>
                </c:pt>
                <c:pt idx="2389">
                  <c:v>2.6547939998951626E-2</c:v>
                </c:pt>
                <c:pt idx="2390">
                  <c:v>2.6547898486678687E-2</c:v>
                </c:pt>
                <c:pt idx="2391">
                  <c:v>2.6547856974405742E-2</c:v>
                </c:pt>
                <c:pt idx="2392">
                  <c:v>2.6547815462132789E-2</c:v>
                </c:pt>
                <c:pt idx="2393">
                  <c:v>2.6547773949859854E-2</c:v>
                </c:pt>
                <c:pt idx="2394">
                  <c:v>2.6547732437586905E-2</c:v>
                </c:pt>
                <c:pt idx="2395">
                  <c:v>2.6547690925313963E-2</c:v>
                </c:pt>
                <c:pt idx="2396">
                  <c:v>2.6547649413041018E-2</c:v>
                </c:pt>
                <c:pt idx="2397">
                  <c:v>2.6547607900768079E-2</c:v>
                </c:pt>
                <c:pt idx="2398">
                  <c:v>2.6547566388495134E-2</c:v>
                </c:pt>
                <c:pt idx="2399">
                  <c:v>2.6547524876222195E-2</c:v>
                </c:pt>
                <c:pt idx="2400">
                  <c:v>2.6547483363949242E-2</c:v>
                </c:pt>
                <c:pt idx="2401">
                  <c:v>2.6547441851676297E-2</c:v>
                </c:pt>
                <c:pt idx="2402">
                  <c:v>2.6547400339403358E-2</c:v>
                </c:pt>
                <c:pt idx="2403">
                  <c:v>2.6547358827130413E-2</c:v>
                </c:pt>
                <c:pt idx="2404">
                  <c:v>2.635810867678275E-2</c:v>
                </c:pt>
                <c:pt idx="2405">
                  <c:v>2.6358067164509807E-2</c:v>
                </c:pt>
                <c:pt idx="2406">
                  <c:v>2.6358025652236865E-2</c:v>
                </c:pt>
                <c:pt idx="2407">
                  <c:v>2.635798413996392E-2</c:v>
                </c:pt>
                <c:pt idx="2408">
                  <c:v>2.6357942627690978E-2</c:v>
                </c:pt>
                <c:pt idx="2409">
                  <c:v>2.6357901115418039E-2</c:v>
                </c:pt>
                <c:pt idx="2410">
                  <c:v>2.6357859603145094E-2</c:v>
                </c:pt>
                <c:pt idx="2411">
                  <c:v>2.6357818090872152E-2</c:v>
                </c:pt>
                <c:pt idx="2412">
                  <c:v>2.6357776578599206E-2</c:v>
                </c:pt>
                <c:pt idx="2413">
                  <c:v>2.6357735066326257E-2</c:v>
                </c:pt>
                <c:pt idx="2414">
                  <c:v>2.6357693554053322E-2</c:v>
                </c:pt>
                <c:pt idx="2415">
                  <c:v>2.6357652041780373E-2</c:v>
                </c:pt>
                <c:pt idx="2416">
                  <c:v>2.6357610529507431E-2</c:v>
                </c:pt>
                <c:pt idx="2417">
                  <c:v>2.6357569017234489E-2</c:v>
                </c:pt>
                <c:pt idx="2418">
                  <c:v>2.6357527504961543E-2</c:v>
                </c:pt>
                <c:pt idx="2419">
                  <c:v>2.6357485992688601E-2</c:v>
                </c:pt>
                <c:pt idx="2420">
                  <c:v>2.6357444480415652E-2</c:v>
                </c:pt>
                <c:pt idx="2421">
                  <c:v>2.6357402968142717E-2</c:v>
                </c:pt>
                <c:pt idx="2422">
                  <c:v>2.6357361455869768E-2</c:v>
                </c:pt>
                <c:pt idx="2423">
                  <c:v>2.6357319943596823E-2</c:v>
                </c:pt>
                <c:pt idx="2424">
                  <c:v>2.6357278431323881E-2</c:v>
                </c:pt>
                <c:pt idx="2425">
                  <c:v>2.6357236919050932E-2</c:v>
                </c:pt>
                <c:pt idx="2426">
                  <c:v>2.6357195406777997E-2</c:v>
                </c:pt>
                <c:pt idx="2427">
                  <c:v>2.6357153894505048E-2</c:v>
                </c:pt>
                <c:pt idx="2428">
                  <c:v>2.6357112382232106E-2</c:v>
                </c:pt>
                <c:pt idx="2429">
                  <c:v>2.635707086995916E-2</c:v>
                </c:pt>
                <c:pt idx="2430">
                  <c:v>2.6357029357686218E-2</c:v>
                </c:pt>
                <c:pt idx="2431">
                  <c:v>2.6356987845413276E-2</c:v>
                </c:pt>
                <c:pt idx="2432">
                  <c:v>2.6356946333140324E-2</c:v>
                </c:pt>
                <c:pt idx="2433">
                  <c:v>2.6356904820867388E-2</c:v>
                </c:pt>
                <c:pt idx="2434">
                  <c:v>2.6356863308594439E-2</c:v>
                </c:pt>
                <c:pt idx="2435">
                  <c:v>2.6356821796321504E-2</c:v>
                </c:pt>
                <c:pt idx="2436">
                  <c:v>2.6356780284048552E-2</c:v>
                </c:pt>
                <c:pt idx="2437">
                  <c:v>2.635673877177561E-2</c:v>
                </c:pt>
                <c:pt idx="2438">
                  <c:v>2.6356697259502668E-2</c:v>
                </c:pt>
                <c:pt idx="2439">
                  <c:v>2.6356655747229726E-2</c:v>
                </c:pt>
                <c:pt idx="2440">
                  <c:v>2.6356614234956777E-2</c:v>
                </c:pt>
                <c:pt idx="2441">
                  <c:v>2.6356572722683831E-2</c:v>
                </c:pt>
                <c:pt idx="2442">
                  <c:v>2.6356531210410893E-2</c:v>
                </c:pt>
                <c:pt idx="2443">
                  <c:v>2.635648969813794E-2</c:v>
                </c:pt>
                <c:pt idx="2444">
                  <c:v>2.6356448185865005E-2</c:v>
                </c:pt>
                <c:pt idx="2445">
                  <c:v>2.6356406673592056E-2</c:v>
                </c:pt>
                <c:pt idx="2446">
                  <c:v>2.6356365161319114E-2</c:v>
                </c:pt>
                <c:pt idx="2447">
                  <c:v>2.6356323649046168E-2</c:v>
                </c:pt>
                <c:pt idx="2448">
                  <c:v>2.635628213677323E-2</c:v>
                </c:pt>
                <c:pt idx="2449">
                  <c:v>2.6356240624500284E-2</c:v>
                </c:pt>
                <c:pt idx="2450">
                  <c:v>2.6356199112227335E-2</c:v>
                </c:pt>
                <c:pt idx="2451">
                  <c:v>2.6356157599954397E-2</c:v>
                </c:pt>
                <c:pt idx="2452">
                  <c:v>2.6356116087681448E-2</c:v>
                </c:pt>
                <c:pt idx="2453">
                  <c:v>2.6356074575408513E-2</c:v>
                </c:pt>
                <c:pt idx="2454">
                  <c:v>2.6356033063135564E-2</c:v>
                </c:pt>
                <c:pt idx="2455">
                  <c:v>2.6355991550862622E-2</c:v>
                </c:pt>
                <c:pt idx="2456">
                  <c:v>2.6355950038589676E-2</c:v>
                </c:pt>
                <c:pt idx="2457">
                  <c:v>2.6355908526316734E-2</c:v>
                </c:pt>
                <c:pt idx="2458">
                  <c:v>2.6355867014043785E-2</c:v>
                </c:pt>
                <c:pt idx="2459">
                  <c:v>2.635582550177085E-2</c:v>
                </c:pt>
                <c:pt idx="2460">
                  <c:v>2.6355783989497901E-2</c:v>
                </c:pt>
                <c:pt idx="2461">
                  <c:v>2.6355742477224955E-2</c:v>
                </c:pt>
                <c:pt idx="2462">
                  <c:v>2.6355700964952013E-2</c:v>
                </c:pt>
                <c:pt idx="2463">
                  <c:v>2.6355659452679071E-2</c:v>
                </c:pt>
                <c:pt idx="2464">
                  <c:v>2.6355617940406129E-2</c:v>
                </c:pt>
                <c:pt idx="2465">
                  <c:v>2.6355576428133187E-2</c:v>
                </c:pt>
                <c:pt idx="2466">
                  <c:v>2.6355534915860238E-2</c:v>
                </c:pt>
                <c:pt idx="2467">
                  <c:v>2.6355493403587293E-2</c:v>
                </c:pt>
                <c:pt idx="2468">
                  <c:v>2.6355451891314351E-2</c:v>
                </c:pt>
                <c:pt idx="2469">
                  <c:v>2.6355410379041409E-2</c:v>
                </c:pt>
                <c:pt idx="2470">
                  <c:v>2.635536886676846E-2</c:v>
                </c:pt>
                <c:pt idx="2471">
                  <c:v>2.6355327354495521E-2</c:v>
                </c:pt>
                <c:pt idx="2472">
                  <c:v>2.6355285842222579E-2</c:v>
                </c:pt>
                <c:pt idx="2473">
                  <c:v>2.635524432994963E-2</c:v>
                </c:pt>
                <c:pt idx="2474">
                  <c:v>2.6355202817676688E-2</c:v>
                </c:pt>
                <c:pt idx="2475">
                  <c:v>2.6355161305403742E-2</c:v>
                </c:pt>
                <c:pt idx="2476">
                  <c:v>2.63551197931308E-2</c:v>
                </c:pt>
                <c:pt idx="2477">
                  <c:v>2.6355078280857862E-2</c:v>
                </c:pt>
                <c:pt idx="2478">
                  <c:v>2.6355036768584916E-2</c:v>
                </c:pt>
                <c:pt idx="2479">
                  <c:v>2.6354995256311967E-2</c:v>
                </c:pt>
                <c:pt idx="2480">
                  <c:v>2.6354953744039022E-2</c:v>
                </c:pt>
                <c:pt idx="2481">
                  <c:v>2.6354912231766083E-2</c:v>
                </c:pt>
                <c:pt idx="2482">
                  <c:v>2.6354870719493138E-2</c:v>
                </c:pt>
                <c:pt idx="2483">
                  <c:v>2.6354829207220196E-2</c:v>
                </c:pt>
                <c:pt idx="2484">
                  <c:v>2.6354787694947247E-2</c:v>
                </c:pt>
                <c:pt idx="2485">
                  <c:v>2.6354746182674305E-2</c:v>
                </c:pt>
                <c:pt idx="2486">
                  <c:v>2.6354704670401363E-2</c:v>
                </c:pt>
                <c:pt idx="2487">
                  <c:v>2.635466315812842E-2</c:v>
                </c:pt>
                <c:pt idx="2488">
                  <c:v>2.6354621645855475E-2</c:v>
                </c:pt>
                <c:pt idx="2489">
                  <c:v>2.6354580133582526E-2</c:v>
                </c:pt>
                <c:pt idx="2490">
                  <c:v>2.6354538621309587E-2</c:v>
                </c:pt>
                <c:pt idx="2491">
                  <c:v>2.6354497109036645E-2</c:v>
                </c:pt>
                <c:pt idx="2492">
                  <c:v>2.6354455596763696E-2</c:v>
                </c:pt>
                <c:pt idx="2493">
                  <c:v>2.6354414084490754E-2</c:v>
                </c:pt>
                <c:pt idx="2494">
                  <c:v>2.6354372572217812E-2</c:v>
                </c:pt>
                <c:pt idx="2495">
                  <c:v>2.6354331059944867E-2</c:v>
                </c:pt>
                <c:pt idx="2496">
                  <c:v>2.6354289547671928E-2</c:v>
                </c:pt>
                <c:pt idx="2497">
                  <c:v>2.6354248035398976E-2</c:v>
                </c:pt>
                <c:pt idx="2498">
                  <c:v>2.6354206523126034E-2</c:v>
                </c:pt>
                <c:pt idx="2499">
                  <c:v>2.6354165010853092E-2</c:v>
                </c:pt>
                <c:pt idx="2500">
                  <c:v>2.635412349858015E-2</c:v>
                </c:pt>
                <c:pt idx="2501">
                  <c:v>2.6354081986307204E-2</c:v>
                </c:pt>
                <c:pt idx="2502">
                  <c:v>2.6354040474034255E-2</c:v>
                </c:pt>
                <c:pt idx="2503">
                  <c:v>2.6353998961761313E-2</c:v>
                </c:pt>
                <c:pt idx="2504">
                  <c:v>2.6353957449488371E-2</c:v>
                </c:pt>
                <c:pt idx="2505">
                  <c:v>2.6353915937215429E-2</c:v>
                </c:pt>
                <c:pt idx="2506">
                  <c:v>2.6353874424942483E-2</c:v>
                </c:pt>
                <c:pt idx="2507">
                  <c:v>2.6353832912669541E-2</c:v>
                </c:pt>
                <c:pt idx="2508">
                  <c:v>2.6353791400396599E-2</c:v>
                </c:pt>
                <c:pt idx="2509">
                  <c:v>2.6353749888123657E-2</c:v>
                </c:pt>
                <c:pt idx="2510">
                  <c:v>2.6353708375850712E-2</c:v>
                </c:pt>
                <c:pt idx="2511">
                  <c:v>2.635366686357777E-2</c:v>
                </c:pt>
                <c:pt idx="2512">
                  <c:v>2.6353625351304821E-2</c:v>
                </c:pt>
                <c:pt idx="2513">
                  <c:v>2.6353583839031875E-2</c:v>
                </c:pt>
                <c:pt idx="2514">
                  <c:v>2.6353542326758937E-2</c:v>
                </c:pt>
                <c:pt idx="2515">
                  <c:v>2.6353500814485991E-2</c:v>
                </c:pt>
                <c:pt idx="2516">
                  <c:v>2.6353459302213049E-2</c:v>
                </c:pt>
                <c:pt idx="2517">
                  <c:v>2.63534177899401E-2</c:v>
                </c:pt>
                <c:pt idx="2518">
                  <c:v>2.6353376277667158E-2</c:v>
                </c:pt>
                <c:pt idx="2519">
                  <c:v>2.6353334765394216E-2</c:v>
                </c:pt>
                <c:pt idx="2520">
                  <c:v>2.6353293253121274E-2</c:v>
                </c:pt>
                <c:pt idx="2521">
                  <c:v>2.6353251740848328E-2</c:v>
                </c:pt>
                <c:pt idx="2522">
                  <c:v>2.6353210228575379E-2</c:v>
                </c:pt>
                <c:pt idx="2523">
                  <c:v>2.6353168716302444E-2</c:v>
                </c:pt>
                <c:pt idx="2524">
                  <c:v>2.6353127204029495E-2</c:v>
                </c:pt>
                <c:pt idx="2525">
                  <c:v>2.635308569175655E-2</c:v>
                </c:pt>
                <c:pt idx="2526">
                  <c:v>2.6353044179483608E-2</c:v>
                </c:pt>
                <c:pt idx="2527">
                  <c:v>2.6353002667210659E-2</c:v>
                </c:pt>
                <c:pt idx="2528">
                  <c:v>2.6352961154937717E-2</c:v>
                </c:pt>
                <c:pt idx="2529">
                  <c:v>2.6352919642664778E-2</c:v>
                </c:pt>
                <c:pt idx="2530">
                  <c:v>2.6352878130391836E-2</c:v>
                </c:pt>
                <c:pt idx="2531">
                  <c:v>2.6352836618118887E-2</c:v>
                </c:pt>
                <c:pt idx="2532">
                  <c:v>2.6352795105845952E-2</c:v>
                </c:pt>
                <c:pt idx="2533">
                  <c:v>2.6352753593573003E-2</c:v>
                </c:pt>
                <c:pt idx="2534">
                  <c:v>2.6352712081300057E-2</c:v>
                </c:pt>
                <c:pt idx="2535">
                  <c:v>2.6352670569027108E-2</c:v>
                </c:pt>
                <c:pt idx="2536">
                  <c:v>2.6352629056754166E-2</c:v>
                </c:pt>
                <c:pt idx="2537">
                  <c:v>2.6352587544481224E-2</c:v>
                </c:pt>
                <c:pt idx="2538">
                  <c:v>2.6352546032208282E-2</c:v>
                </c:pt>
                <c:pt idx="2539">
                  <c:v>2.635250451993534E-2</c:v>
                </c:pt>
                <c:pt idx="2540">
                  <c:v>2.6352463007662395E-2</c:v>
                </c:pt>
                <c:pt idx="2541">
                  <c:v>2.6352421495389453E-2</c:v>
                </c:pt>
                <c:pt idx="2542">
                  <c:v>2.6352379983116511E-2</c:v>
                </c:pt>
                <c:pt idx="2543">
                  <c:v>2.6352338470843562E-2</c:v>
                </c:pt>
                <c:pt idx="2544">
                  <c:v>2.6352296958570616E-2</c:v>
                </c:pt>
                <c:pt idx="2545">
                  <c:v>2.6352255446297674E-2</c:v>
                </c:pt>
                <c:pt idx="2546">
                  <c:v>2.6352213934024732E-2</c:v>
                </c:pt>
                <c:pt idx="2547">
                  <c:v>2.6352172421751783E-2</c:v>
                </c:pt>
                <c:pt idx="2548">
                  <c:v>2.6352130909478848E-2</c:v>
                </c:pt>
                <c:pt idx="2549">
                  <c:v>2.6352089397205895E-2</c:v>
                </c:pt>
                <c:pt idx="2550">
                  <c:v>2.635204788493296E-2</c:v>
                </c:pt>
                <c:pt idx="2551">
                  <c:v>2.6352006372660011E-2</c:v>
                </c:pt>
                <c:pt idx="2552">
                  <c:v>2.6351964860387066E-2</c:v>
                </c:pt>
                <c:pt idx="2553">
                  <c:v>2.6351923348114124E-2</c:v>
                </c:pt>
                <c:pt idx="2554">
                  <c:v>2.6351881835841185E-2</c:v>
                </c:pt>
                <c:pt idx="2555">
                  <c:v>2.635184032356824E-2</c:v>
                </c:pt>
                <c:pt idx="2556">
                  <c:v>2.6351798811295297E-2</c:v>
                </c:pt>
                <c:pt idx="2557">
                  <c:v>2.6351757299022349E-2</c:v>
                </c:pt>
                <c:pt idx="2558">
                  <c:v>2.6351715786749403E-2</c:v>
                </c:pt>
                <c:pt idx="2559">
                  <c:v>2.6351674274476461E-2</c:v>
                </c:pt>
                <c:pt idx="2560">
                  <c:v>2.6351632762203519E-2</c:v>
                </c:pt>
                <c:pt idx="2561">
                  <c:v>2.6351591249930577E-2</c:v>
                </c:pt>
                <c:pt idx="2562">
                  <c:v>2.6351549737657628E-2</c:v>
                </c:pt>
                <c:pt idx="2563">
                  <c:v>2.6351508225384686E-2</c:v>
                </c:pt>
                <c:pt idx="2564">
                  <c:v>2.635146671311174E-2</c:v>
                </c:pt>
                <c:pt idx="2565">
                  <c:v>2.6351425200838802E-2</c:v>
                </c:pt>
                <c:pt idx="2566">
                  <c:v>2.6351383688565856E-2</c:v>
                </c:pt>
                <c:pt idx="2567">
                  <c:v>2.6351342176292907E-2</c:v>
                </c:pt>
                <c:pt idx="2568">
                  <c:v>2.6351300664019969E-2</c:v>
                </c:pt>
                <c:pt idx="2569">
                  <c:v>2.635125915174702E-2</c:v>
                </c:pt>
                <c:pt idx="2570">
                  <c:v>2.6351217639474078E-2</c:v>
                </c:pt>
                <c:pt idx="2571">
                  <c:v>2.6351176127201132E-2</c:v>
                </c:pt>
                <c:pt idx="2572">
                  <c:v>2.6351134614928193E-2</c:v>
                </c:pt>
                <c:pt idx="2573">
                  <c:v>2.6351093102655248E-2</c:v>
                </c:pt>
                <c:pt idx="2574">
                  <c:v>2.6351051590382306E-2</c:v>
                </c:pt>
                <c:pt idx="2575">
                  <c:v>2.6351010078109364E-2</c:v>
                </c:pt>
                <c:pt idx="2576">
                  <c:v>2.6350968565836415E-2</c:v>
                </c:pt>
                <c:pt idx="2577">
                  <c:v>2.6350927053563473E-2</c:v>
                </c:pt>
                <c:pt idx="2578">
                  <c:v>2.6350885541290527E-2</c:v>
                </c:pt>
                <c:pt idx="2579">
                  <c:v>2.6350844029017585E-2</c:v>
                </c:pt>
                <c:pt idx="2580">
                  <c:v>2.6350802516744636E-2</c:v>
                </c:pt>
                <c:pt idx="2581">
                  <c:v>2.6350761004471694E-2</c:v>
                </c:pt>
                <c:pt idx="2582">
                  <c:v>2.6350719492198752E-2</c:v>
                </c:pt>
                <c:pt idx="2583">
                  <c:v>2.6350677979925807E-2</c:v>
                </c:pt>
                <c:pt idx="2584">
                  <c:v>2.6350636467652868E-2</c:v>
                </c:pt>
                <c:pt idx="2585">
                  <c:v>2.6350594955379922E-2</c:v>
                </c:pt>
                <c:pt idx="2586">
                  <c:v>2.6350553443106974E-2</c:v>
                </c:pt>
                <c:pt idx="2587">
                  <c:v>2.6162676903882853E-2</c:v>
                </c:pt>
                <c:pt idx="2588">
                  <c:v>2.6162635391609918E-2</c:v>
                </c:pt>
                <c:pt idx="2589">
                  <c:v>2.6162593879336966E-2</c:v>
                </c:pt>
                <c:pt idx="2590">
                  <c:v>2.6162552367064027E-2</c:v>
                </c:pt>
                <c:pt idx="2591">
                  <c:v>2.6162510854791082E-2</c:v>
                </c:pt>
                <c:pt idx="2592">
                  <c:v>2.616246934251814E-2</c:v>
                </c:pt>
                <c:pt idx="2593">
                  <c:v>2.6162427830245197E-2</c:v>
                </c:pt>
                <c:pt idx="2594">
                  <c:v>2.6162386317972255E-2</c:v>
                </c:pt>
                <c:pt idx="2595">
                  <c:v>2.6162344805699306E-2</c:v>
                </c:pt>
                <c:pt idx="2596">
                  <c:v>2.6162303293426371E-2</c:v>
                </c:pt>
                <c:pt idx="2597">
                  <c:v>2.6162261781153419E-2</c:v>
                </c:pt>
                <c:pt idx="2598">
                  <c:v>2.6162220268880477E-2</c:v>
                </c:pt>
                <c:pt idx="2599">
                  <c:v>2.6162178756607535E-2</c:v>
                </c:pt>
                <c:pt idx="2600">
                  <c:v>2.6162137244334586E-2</c:v>
                </c:pt>
                <c:pt idx="2601">
                  <c:v>2.6162095732061644E-2</c:v>
                </c:pt>
                <c:pt idx="2602">
                  <c:v>2.6162054219788702E-2</c:v>
                </c:pt>
                <c:pt idx="2603">
                  <c:v>2.6162012707515763E-2</c:v>
                </c:pt>
                <c:pt idx="2604">
                  <c:v>2.6161971195242811E-2</c:v>
                </c:pt>
                <c:pt idx="2605">
                  <c:v>2.6161929682969869E-2</c:v>
                </c:pt>
                <c:pt idx="2606">
                  <c:v>2.6161888170696927E-2</c:v>
                </c:pt>
                <c:pt idx="2607">
                  <c:v>2.6161846658423984E-2</c:v>
                </c:pt>
                <c:pt idx="2608">
                  <c:v>2.6161805146151042E-2</c:v>
                </c:pt>
                <c:pt idx="2609">
                  <c:v>2.61617636338781E-2</c:v>
                </c:pt>
                <c:pt idx="2610">
                  <c:v>2.6161722121605148E-2</c:v>
                </c:pt>
                <c:pt idx="2611">
                  <c:v>2.6161680609332209E-2</c:v>
                </c:pt>
                <c:pt idx="2612">
                  <c:v>2.6161639097059264E-2</c:v>
                </c:pt>
                <c:pt idx="2613">
                  <c:v>2.6161597584786315E-2</c:v>
                </c:pt>
                <c:pt idx="2614">
                  <c:v>2.6161556072513373E-2</c:v>
                </c:pt>
                <c:pt idx="2615">
                  <c:v>2.6161514560240431E-2</c:v>
                </c:pt>
                <c:pt idx="2616">
                  <c:v>2.6161473047967489E-2</c:v>
                </c:pt>
                <c:pt idx="2617">
                  <c:v>2.6161431535694543E-2</c:v>
                </c:pt>
                <c:pt idx="2618">
                  <c:v>2.6161390023421601E-2</c:v>
                </c:pt>
                <c:pt idx="2619">
                  <c:v>2.6161348511148652E-2</c:v>
                </c:pt>
                <c:pt idx="2620">
                  <c:v>2.6161306998875717E-2</c:v>
                </c:pt>
                <c:pt idx="2621">
                  <c:v>2.6161265486602768E-2</c:v>
                </c:pt>
                <c:pt idx="2622">
                  <c:v>2.6161223974329822E-2</c:v>
                </c:pt>
                <c:pt idx="2623">
                  <c:v>2.616118246205688E-2</c:v>
                </c:pt>
                <c:pt idx="2624">
                  <c:v>2.6161140949783935E-2</c:v>
                </c:pt>
                <c:pt idx="2625">
                  <c:v>2.6161099437510993E-2</c:v>
                </c:pt>
                <c:pt idx="2626">
                  <c:v>2.6161057925238051E-2</c:v>
                </c:pt>
                <c:pt idx="2627">
                  <c:v>2.6161016412965109E-2</c:v>
                </c:pt>
                <c:pt idx="2628">
                  <c:v>2.616097490069216E-2</c:v>
                </c:pt>
                <c:pt idx="2629">
                  <c:v>2.6160933388419218E-2</c:v>
                </c:pt>
                <c:pt idx="2630">
                  <c:v>2.6160891876146272E-2</c:v>
                </c:pt>
                <c:pt idx="2631">
                  <c:v>2.616085036387333E-2</c:v>
                </c:pt>
                <c:pt idx="2632">
                  <c:v>2.6160808851600381E-2</c:v>
                </c:pt>
                <c:pt idx="2633">
                  <c:v>2.6160767339327439E-2</c:v>
                </c:pt>
                <c:pt idx="2634">
                  <c:v>2.6160725827054497E-2</c:v>
                </c:pt>
                <c:pt idx="2635">
                  <c:v>2.6160684314781552E-2</c:v>
                </c:pt>
                <c:pt idx="2636">
                  <c:v>2.6160642802508609E-2</c:v>
                </c:pt>
                <c:pt idx="2637">
                  <c:v>2.6160601290235667E-2</c:v>
                </c:pt>
                <c:pt idx="2638">
                  <c:v>2.6160559777962725E-2</c:v>
                </c:pt>
                <c:pt idx="2639">
                  <c:v>2.6160518265689783E-2</c:v>
                </c:pt>
                <c:pt idx="2640">
                  <c:v>2.6160476753416834E-2</c:v>
                </c:pt>
                <c:pt idx="2641">
                  <c:v>2.6160435241143889E-2</c:v>
                </c:pt>
                <c:pt idx="2642">
                  <c:v>2.6160393728870954E-2</c:v>
                </c:pt>
                <c:pt idx="2643">
                  <c:v>2.6160352216598001E-2</c:v>
                </c:pt>
                <c:pt idx="2644">
                  <c:v>2.6160310704325063E-2</c:v>
                </c:pt>
                <c:pt idx="2645">
                  <c:v>2.6160269192052117E-2</c:v>
                </c:pt>
                <c:pt idx="2646">
                  <c:v>2.6160227679779175E-2</c:v>
                </c:pt>
                <c:pt idx="2647">
                  <c:v>2.6160186167506226E-2</c:v>
                </c:pt>
                <c:pt idx="2648">
                  <c:v>2.6160144655233284E-2</c:v>
                </c:pt>
                <c:pt idx="2649">
                  <c:v>2.6160103142960342E-2</c:v>
                </c:pt>
                <c:pt idx="2650">
                  <c:v>2.6160061630687396E-2</c:v>
                </c:pt>
                <c:pt idx="2651">
                  <c:v>2.6160020118414454E-2</c:v>
                </c:pt>
                <c:pt idx="2652">
                  <c:v>2.6159978606141505E-2</c:v>
                </c:pt>
                <c:pt idx="2653">
                  <c:v>2.615993709386857E-2</c:v>
                </c:pt>
                <c:pt idx="2654">
                  <c:v>2.6159895581595621E-2</c:v>
                </c:pt>
                <c:pt idx="2655">
                  <c:v>2.6159854069322679E-2</c:v>
                </c:pt>
                <c:pt idx="2656">
                  <c:v>2.6159812557049727E-2</c:v>
                </c:pt>
                <c:pt idx="2657">
                  <c:v>2.6159771044776792E-2</c:v>
                </c:pt>
                <c:pt idx="2658">
                  <c:v>2.6159729532503843E-2</c:v>
                </c:pt>
                <c:pt idx="2659">
                  <c:v>2.6159688020230901E-2</c:v>
                </c:pt>
                <c:pt idx="2660">
                  <c:v>2.6159646507957955E-2</c:v>
                </c:pt>
                <c:pt idx="2661">
                  <c:v>2.6159604995685013E-2</c:v>
                </c:pt>
                <c:pt idx="2662">
                  <c:v>2.6159563483412071E-2</c:v>
                </c:pt>
                <c:pt idx="2663">
                  <c:v>2.6159521971139129E-2</c:v>
                </c:pt>
                <c:pt idx="2664">
                  <c:v>2.6159480458866183E-2</c:v>
                </c:pt>
                <c:pt idx="2665">
                  <c:v>2.6159438946593234E-2</c:v>
                </c:pt>
                <c:pt idx="2666">
                  <c:v>2.6159397434320292E-2</c:v>
                </c:pt>
                <c:pt idx="2667">
                  <c:v>2.615935592204735E-2</c:v>
                </c:pt>
                <c:pt idx="2668">
                  <c:v>2.6159314409774408E-2</c:v>
                </c:pt>
                <c:pt idx="2669">
                  <c:v>2.6159272897501463E-2</c:v>
                </c:pt>
                <c:pt idx="2670">
                  <c:v>2.6159231385228524E-2</c:v>
                </c:pt>
                <c:pt idx="2671">
                  <c:v>2.6159189872955579E-2</c:v>
                </c:pt>
                <c:pt idx="2672">
                  <c:v>2.615914836068263E-2</c:v>
                </c:pt>
                <c:pt idx="2673">
                  <c:v>2.6159106848409688E-2</c:v>
                </c:pt>
                <c:pt idx="2674">
                  <c:v>2.6159065336136742E-2</c:v>
                </c:pt>
                <c:pt idx="2675">
                  <c:v>2.6159023823863793E-2</c:v>
                </c:pt>
                <c:pt idx="2676">
                  <c:v>2.6158982311590858E-2</c:v>
                </c:pt>
                <c:pt idx="2677">
                  <c:v>2.6158940799317916E-2</c:v>
                </c:pt>
                <c:pt idx="2678">
                  <c:v>2.6158899287044964E-2</c:v>
                </c:pt>
                <c:pt idx="2679">
                  <c:v>2.6158857774772021E-2</c:v>
                </c:pt>
                <c:pt idx="2680">
                  <c:v>2.6158816262499079E-2</c:v>
                </c:pt>
                <c:pt idx="2681">
                  <c:v>2.6158774750226137E-2</c:v>
                </c:pt>
                <c:pt idx="2682">
                  <c:v>2.6158733237953195E-2</c:v>
                </c:pt>
                <c:pt idx="2683">
                  <c:v>2.6158691725680253E-2</c:v>
                </c:pt>
                <c:pt idx="2684">
                  <c:v>2.6158650213407308E-2</c:v>
                </c:pt>
                <c:pt idx="2685">
                  <c:v>2.6158608701134366E-2</c:v>
                </c:pt>
                <c:pt idx="2686">
                  <c:v>2.6158567188861417E-2</c:v>
                </c:pt>
                <c:pt idx="2687">
                  <c:v>2.6158525676588482E-2</c:v>
                </c:pt>
                <c:pt idx="2688">
                  <c:v>2.6158484164315533E-2</c:v>
                </c:pt>
                <c:pt idx="2689">
                  <c:v>2.6158442652042587E-2</c:v>
                </c:pt>
                <c:pt idx="2690">
                  <c:v>2.6158401139769645E-2</c:v>
                </c:pt>
                <c:pt idx="2691">
                  <c:v>2.6158359627496703E-2</c:v>
                </c:pt>
                <c:pt idx="2692">
                  <c:v>2.6158318115223754E-2</c:v>
                </c:pt>
                <c:pt idx="2693">
                  <c:v>2.6158276602950812E-2</c:v>
                </c:pt>
                <c:pt idx="2694">
                  <c:v>2.615823509067787E-2</c:v>
                </c:pt>
                <c:pt idx="2695">
                  <c:v>2.6158193578404924E-2</c:v>
                </c:pt>
                <c:pt idx="2696">
                  <c:v>2.6158152066131982E-2</c:v>
                </c:pt>
                <c:pt idx="2697">
                  <c:v>2.6158110553859033E-2</c:v>
                </c:pt>
                <c:pt idx="2698">
                  <c:v>2.6158069041586091E-2</c:v>
                </c:pt>
                <c:pt idx="2699">
                  <c:v>2.6158027529313146E-2</c:v>
                </c:pt>
                <c:pt idx="2700">
                  <c:v>2.6157986017040207E-2</c:v>
                </c:pt>
                <c:pt idx="2701">
                  <c:v>2.6157944504767262E-2</c:v>
                </c:pt>
                <c:pt idx="2702">
                  <c:v>2.615790299249432E-2</c:v>
                </c:pt>
                <c:pt idx="2703">
                  <c:v>2.6157861480221374E-2</c:v>
                </c:pt>
                <c:pt idx="2704">
                  <c:v>2.6157819967948432E-2</c:v>
                </c:pt>
                <c:pt idx="2705">
                  <c:v>2.615777845567549E-2</c:v>
                </c:pt>
                <c:pt idx="2706">
                  <c:v>2.6157736943402541E-2</c:v>
                </c:pt>
                <c:pt idx="2707">
                  <c:v>2.6157695431129599E-2</c:v>
                </c:pt>
                <c:pt idx="2708">
                  <c:v>2.6157653918856653E-2</c:v>
                </c:pt>
                <c:pt idx="2709">
                  <c:v>2.6157612406583715E-2</c:v>
                </c:pt>
                <c:pt idx="2710">
                  <c:v>2.6157570894310762E-2</c:v>
                </c:pt>
                <c:pt idx="2711">
                  <c:v>2.6157529382037817E-2</c:v>
                </c:pt>
                <c:pt idx="2712">
                  <c:v>2.6157487869764878E-2</c:v>
                </c:pt>
                <c:pt idx="2713">
                  <c:v>2.6157446357491936E-2</c:v>
                </c:pt>
                <c:pt idx="2714">
                  <c:v>2.6157404845218991E-2</c:v>
                </c:pt>
                <c:pt idx="2715">
                  <c:v>2.6157363332946042E-2</c:v>
                </c:pt>
                <c:pt idx="2716">
                  <c:v>2.6157321820673107E-2</c:v>
                </c:pt>
                <c:pt idx="2717">
                  <c:v>2.6157280308400154E-2</c:v>
                </c:pt>
                <c:pt idx="2718">
                  <c:v>2.6157238796127216E-2</c:v>
                </c:pt>
                <c:pt idx="2719">
                  <c:v>2.615719728385427E-2</c:v>
                </c:pt>
                <c:pt idx="2720">
                  <c:v>2.6157155771581325E-2</c:v>
                </c:pt>
                <c:pt idx="2721">
                  <c:v>2.6157114259308382E-2</c:v>
                </c:pt>
                <c:pt idx="2722">
                  <c:v>2.615707274703544E-2</c:v>
                </c:pt>
                <c:pt idx="2723">
                  <c:v>2.6157031234762498E-2</c:v>
                </c:pt>
                <c:pt idx="2724">
                  <c:v>2.6156989722489549E-2</c:v>
                </c:pt>
                <c:pt idx="2725">
                  <c:v>2.6156948210216607E-2</c:v>
                </c:pt>
                <c:pt idx="2726">
                  <c:v>2.6156906697943665E-2</c:v>
                </c:pt>
                <c:pt idx="2727">
                  <c:v>2.6156865185670723E-2</c:v>
                </c:pt>
                <c:pt idx="2728">
                  <c:v>2.6156823673397778E-2</c:v>
                </c:pt>
                <c:pt idx="2729">
                  <c:v>2.6156782161124836E-2</c:v>
                </c:pt>
                <c:pt idx="2730">
                  <c:v>2.6156740648851894E-2</c:v>
                </c:pt>
                <c:pt idx="2731">
                  <c:v>2.6156699136578945E-2</c:v>
                </c:pt>
                <c:pt idx="2732">
                  <c:v>2.6156657624305999E-2</c:v>
                </c:pt>
                <c:pt idx="2733">
                  <c:v>2.6156616112033061E-2</c:v>
                </c:pt>
                <c:pt idx="2734">
                  <c:v>2.6156574599760115E-2</c:v>
                </c:pt>
                <c:pt idx="2735">
                  <c:v>2.6156533087487173E-2</c:v>
                </c:pt>
                <c:pt idx="2736">
                  <c:v>2.6156491575214231E-2</c:v>
                </c:pt>
                <c:pt idx="2737">
                  <c:v>2.6156450062941282E-2</c:v>
                </c:pt>
                <c:pt idx="2738">
                  <c:v>2.6156408550668336E-2</c:v>
                </c:pt>
                <c:pt idx="2739">
                  <c:v>2.6156367038395398E-2</c:v>
                </c:pt>
                <c:pt idx="2740">
                  <c:v>2.6156325526122452E-2</c:v>
                </c:pt>
                <c:pt idx="2741">
                  <c:v>2.6156284013849507E-2</c:v>
                </c:pt>
                <c:pt idx="2742">
                  <c:v>2.6156242501576565E-2</c:v>
                </c:pt>
                <c:pt idx="2743">
                  <c:v>2.6156200989303623E-2</c:v>
                </c:pt>
                <c:pt idx="2744">
                  <c:v>2.6156159477030681E-2</c:v>
                </c:pt>
                <c:pt idx="2745">
                  <c:v>2.6156117964757728E-2</c:v>
                </c:pt>
                <c:pt idx="2746">
                  <c:v>2.615607645248479E-2</c:v>
                </c:pt>
                <c:pt idx="2747">
                  <c:v>2.6156034940211844E-2</c:v>
                </c:pt>
                <c:pt idx="2748">
                  <c:v>2.6155993427938905E-2</c:v>
                </c:pt>
                <c:pt idx="2749">
                  <c:v>2.6155951915665953E-2</c:v>
                </c:pt>
                <c:pt idx="2750">
                  <c:v>2.6155910403393011E-2</c:v>
                </c:pt>
                <c:pt idx="2751">
                  <c:v>2.6155868891120069E-2</c:v>
                </c:pt>
                <c:pt idx="2752">
                  <c:v>2.6155827378847127E-2</c:v>
                </c:pt>
                <c:pt idx="2753">
                  <c:v>2.6155785866574181E-2</c:v>
                </c:pt>
                <c:pt idx="2754">
                  <c:v>2.6155744354301232E-2</c:v>
                </c:pt>
                <c:pt idx="2755">
                  <c:v>2.6155702842028297E-2</c:v>
                </c:pt>
                <c:pt idx="2756">
                  <c:v>2.6155661329755348E-2</c:v>
                </c:pt>
                <c:pt idx="2757">
                  <c:v>2.6155619817482406E-2</c:v>
                </c:pt>
                <c:pt idx="2758">
                  <c:v>2.6155578305209461E-2</c:v>
                </c:pt>
                <c:pt idx="2759">
                  <c:v>2.6155536792936519E-2</c:v>
                </c:pt>
                <c:pt idx="2760">
                  <c:v>2.6155495280663577E-2</c:v>
                </c:pt>
                <c:pt idx="2761">
                  <c:v>2.6155453768390634E-2</c:v>
                </c:pt>
                <c:pt idx="2762">
                  <c:v>2.6155412256117689E-2</c:v>
                </c:pt>
                <c:pt idx="2763">
                  <c:v>2.615537074384474E-2</c:v>
                </c:pt>
                <c:pt idx="2764">
                  <c:v>2.6155329231571798E-2</c:v>
                </c:pt>
                <c:pt idx="2765">
                  <c:v>2.6155287719298856E-2</c:v>
                </c:pt>
                <c:pt idx="2766">
                  <c:v>2.6155246207025914E-2</c:v>
                </c:pt>
                <c:pt idx="2767">
                  <c:v>2.6155204694752961E-2</c:v>
                </c:pt>
                <c:pt idx="2768">
                  <c:v>2.6155163182480026E-2</c:v>
                </c:pt>
                <c:pt idx="2769">
                  <c:v>2.5968534700457825E-2</c:v>
                </c:pt>
                <c:pt idx="2770">
                  <c:v>2.596849318818488E-2</c:v>
                </c:pt>
                <c:pt idx="2771">
                  <c:v>2.5968451675911938E-2</c:v>
                </c:pt>
                <c:pt idx="2772">
                  <c:v>2.5968410163638996E-2</c:v>
                </c:pt>
                <c:pt idx="2773">
                  <c:v>2.5968368651366047E-2</c:v>
                </c:pt>
                <c:pt idx="2774">
                  <c:v>2.5968327139093104E-2</c:v>
                </c:pt>
                <c:pt idx="2775">
                  <c:v>2.5968285626820162E-2</c:v>
                </c:pt>
                <c:pt idx="2776">
                  <c:v>2.596824411454722E-2</c:v>
                </c:pt>
                <c:pt idx="2777">
                  <c:v>2.5968202602274268E-2</c:v>
                </c:pt>
                <c:pt idx="2778">
                  <c:v>2.5968161090001333E-2</c:v>
                </c:pt>
                <c:pt idx="2779">
                  <c:v>2.5968119577728387E-2</c:v>
                </c:pt>
                <c:pt idx="2780">
                  <c:v>2.5968078065455445E-2</c:v>
                </c:pt>
                <c:pt idx="2781">
                  <c:v>2.5968036553182496E-2</c:v>
                </c:pt>
                <c:pt idx="2782">
                  <c:v>2.5967995040909554E-2</c:v>
                </c:pt>
                <c:pt idx="2783">
                  <c:v>2.5967953528636612E-2</c:v>
                </c:pt>
                <c:pt idx="2784">
                  <c:v>2.5967912016363667E-2</c:v>
                </c:pt>
                <c:pt idx="2785">
                  <c:v>2.5967870504090725E-2</c:v>
                </c:pt>
                <c:pt idx="2786">
                  <c:v>2.5967828991817776E-2</c:v>
                </c:pt>
                <c:pt idx="2787">
                  <c:v>2.596778747954484E-2</c:v>
                </c:pt>
                <c:pt idx="2788">
                  <c:v>2.5967745967271891E-2</c:v>
                </c:pt>
                <c:pt idx="2789">
                  <c:v>2.5967704454998949E-2</c:v>
                </c:pt>
                <c:pt idx="2790">
                  <c:v>2.5967662942726004E-2</c:v>
                </c:pt>
                <c:pt idx="2791">
                  <c:v>2.5967621430453062E-2</c:v>
                </c:pt>
                <c:pt idx="2792">
                  <c:v>2.5967579918180113E-2</c:v>
                </c:pt>
                <c:pt idx="2793">
                  <c:v>2.5967538405907167E-2</c:v>
                </c:pt>
                <c:pt idx="2794">
                  <c:v>2.5967496893634229E-2</c:v>
                </c:pt>
                <c:pt idx="2795">
                  <c:v>2.5967455381361283E-2</c:v>
                </c:pt>
                <c:pt idx="2796">
                  <c:v>2.5967413869088341E-2</c:v>
                </c:pt>
                <c:pt idx="2797">
                  <c:v>2.5967372356815392E-2</c:v>
                </c:pt>
                <c:pt idx="2798">
                  <c:v>2.596733084454245E-2</c:v>
                </c:pt>
                <c:pt idx="2799">
                  <c:v>2.5967289332269505E-2</c:v>
                </c:pt>
                <c:pt idx="2800">
                  <c:v>2.596724781999657E-2</c:v>
                </c:pt>
                <c:pt idx="2801">
                  <c:v>2.5967206307723621E-2</c:v>
                </c:pt>
                <c:pt idx="2802">
                  <c:v>2.5967164795450675E-2</c:v>
                </c:pt>
                <c:pt idx="2803">
                  <c:v>2.5967123283177733E-2</c:v>
                </c:pt>
                <c:pt idx="2804">
                  <c:v>2.5967081770904791E-2</c:v>
                </c:pt>
                <c:pt idx="2805">
                  <c:v>2.5967040258631842E-2</c:v>
                </c:pt>
                <c:pt idx="2806">
                  <c:v>2.59669987463589E-2</c:v>
                </c:pt>
                <c:pt idx="2807">
                  <c:v>2.5966957234085958E-2</c:v>
                </c:pt>
                <c:pt idx="2808">
                  <c:v>2.5966915721813012E-2</c:v>
                </c:pt>
                <c:pt idx="2809">
                  <c:v>2.596687420954007E-2</c:v>
                </c:pt>
                <c:pt idx="2810">
                  <c:v>2.5966832697267128E-2</c:v>
                </c:pt>
                <c:pt idx="2811">
                  <c:v>2.5966791184994179E-2</c:v>
                </c:pt>
                <c:pt idx="2812">
                  <c:v>2.5966749672721234E-2</c:v>
                </c:pt>
                <c:pt idx="2813">
                  <c:v>2.5966708160448295E-2</c:v>
                </c:pt>
                <c:pt idx="2814">
                  <c:v>2.596666664817535E-2</c:v>
                </c:pt>
                <c:pt idx="2815">
                  <c:v>2.5966625135902411E-2</c:v>
                </c:pt>
                <c:pt idx="2816">
                  <c:v>2.5966583623629459E-2</c:v>
                </c:pt>
                <c:pt idx="2817">
                  <c:v>2.5966542111356516E-2</c:v>
                </c:pt>
                <c:pt idx="2818">
                  <c:v>2.5966500599083578E-2</c:v>
                </c:pt>
                <c:pt idx="2819">
                  <c:v>2.5966459086810636E-2</c:v>
                </c:pt>
                <c:pt idx="2820">
                  <c:v>2.5966417574537687E-2</c:v>
                </c:pt>
                <c:pt idx="2821">
                  <c:v>2.5966376062264752E-2</c:v>
                </c:pt>
                <c:pt idx="2822">
                  <c:v>2.5966334549991803E-2</c:v>
                </c:pt>
                <c:pt idx="2823">
                  <c:v>2.596629303771885E-2</c:v>
                </c:pt>
                <c:pt idx="2824">
                  <c:v>2.5966251525445915E-2</c:v>
                </c:pt>
                <c:pt idx="2825">
                  <c:v>2.5966210013172966E-2</c:v>
                </c:pt>
                <c:pt idx="2826">
                  <c:v>2.5966168500900024E-2</c:v>
                </c:pt>
                <c:pt idx="2827">
                  <c:v>2.5966126988627082E-2</c:v>
                </c:pt>
                <c:pt idx="2828">
                  <c:v>2.596608547635414E-2</c:v>
                </c:pt>
                <c:pt idx="2829">
                  <c:v>2.5966043964081195E-2</c:v>
                </c:pt>
                <c:pt idx="2830">
                  <c:v>2.5966002451808256E-2</c:v>
                </c:pt>
                <c:pt idx="2831">
                  <c:v>2.5965960939535303E-2</c:v>
                </c:pt>
                <c:pt idx="2832">
                  <c:v>2.5965919427262358E-2</c:v>
                </c:pt>
                <c:pt idx="2833">
                  <c:v>2.5965877914989419E-2</c:v>
                </c:pt>
                <c:pt idx="2834">
                  <c:v>2.5965836402716474E-2</c:v>
                </c:pt>
                <c:pt idx="2835">
                  <c:v>2.5965794890443532E-2</c:v>
                </c:pt>
                <c:pt idx="2836">
                  <c:v>2.596575337817059E-2</c:v>
                </c:pt>
                <c:pt idx="2837">
                  <c:v>2.5965711865897641E-2</c:v>
                </c:pt>
                <c:pt idx="2838">
                  <c:v>2.5965670353624695E-2</c:v>
                </c:pt>
                <c:pt idx="2839">
                  <c:v>2.5965628841351753E-2</c:v>
                </c:pt>
                <c:pt idx="2840">
                  <c:v>2.5965587329078811E-2</c:v>
                </c:pt>
                <c:pt idx="2841">
                  <c:v>2.5965545816805866E-2</c:v>
                </c:pt>
                <c:pt idx="2842">
                  <c:v>2.5965504304532927E-2</c:v>
                </c:pt>
                <c:pt idx="2843">
                  <c:v>2.5965462792259981E-2</c:v>
                </c:pt>
                <c:pt idx="2844">
                  <c:v>2.5965421279987039E-2</c:v>
                </c:pt>
                <c:pt idx="2845">
                  <c:v>2.596537976771409E-2</c:v>
                </c:pt>
                <c:pt idx="2846">
                  <c:v>2.5965338255441148E-2</c:v>
                </c:pt>
                <c:pt idx="2847">
                  <c:v>2.5965296743168203E-2</c:v>
                </c:pt>
                <c:pt idx="2848">
                  <c:v>2.5965255230895261E-2</c:v>
                </c:pt>
                <c:pt idx="2849">
                  <c:v>2.5965213718622319E-2</c:v>
                </c:pt>
                <c:pt idx="2850">
                  <c:v>2.596517220634937E-2</c:v>
                </c:pt>
                <c:pt idx="2851">
                  <c:v>2.5965130694076435E-2</c:v>
                </c:pt>
                <c:pt idx="2852">
                  <c:v>2.5965089181803486E-2</c:v>
                </c:pt>
                <c:pt idx="2853">
                  <c:v>2.596504766953054E-2</c:v>
                </c:pt>
                <c:pt idx="2854">
                  <c:v>2.5965006157257598E-2</c:v>
                </c:pt>
                <c:pt idx="2855">
                  <c:v>2.5964964644984649E-2</c:v>
                </c:pt>
                <c:pt idx="2856">
                  <c:v>2.5964923132711707E-2</c:v>
                </c:pt>
                <c:pt idx="2857">
                  <c:v>2.5964881620438768E-2</c:v>
                </c:pt>
                <c:pt idx="2858">
                  <c:v>2.5964840108165826E-2</c:v>
                </c:pt>
                <c:pt idx="2859">
                  <c:v>2.5964798595892877E-2</c:v>
                </c:pt>
                <c:pt idx="2860">
                  <c:v>2.5964757083619942E-2</c:v>
                </c:pt>
                <c:pt idx="2861">
                  <c:v>2.5964715571346993E-2</c:v>
                </c:pt>
                <c:pt idx="2862">
                  <c:v>2.5964674059074048E-2</c:v>
                </c:pt>
                <c:pt idx="2863">
                  <c:v>2.5964632546801106E-2</c:v>
                </c:pt>
                <c:pt idx="2864">
                  <c:v>2.5964591034528164E-2</c:v>
                </c:pt>
                <c:pt idx="2865">
                  <c:v>2.5964549522255215E-2</c:v>
                </c:pt>
                <c:pt idx="2866">
                  <c:v>2.596450800998228E-2</c:v>
                </c:pt>
                <c:pt idx="2867">
                  <c:v>2.5964466497709331E-2</c:v>
                </c:pt>
                <c:pt idx="2868">
                  <c:v>2.5964424985436385E-2</c:v>
                </c:pt>
                <c:pt idx="2869">
                  <c:v>2.5964383473163447E-2</c:v>
                </c:pt>
                <c:pt idx="2870">
                  <c:v>2.5964341960890494E-2</c:v>
                </c:pt>
                <c:pt idx="2871">
                  <c:v>2.5964300448617552E-2</c:v>
                </c:pt>
                <c:pt idx="2872">
                  <c:v>2.596425893634461E-2</c:v>
                </c:pt>
                <c:pt idx="2873">
                  <c:v>2.5964217424071668E-2</c:v>
                </c:pt>
                <c:pt idx="2874">
                  <c:v>2.5964175911798722E-2</c:v>
                </c:pt>
                <c:pt idx="2875">
                  <c:v>2.5964134399525784E-2</c:v>
                </c:pt>
                <c:pt idx="2876">
                  <c:v>2.5964092887252838E-2</c:v>
                </c:pt>
                <c:pt idx="2877">
                  <c:v>2.5964051374979886E-2</c:v>
                </c:pt>
                <c:pt idx="2878">
                  <c:v>2.5964009862706951E-2</c:v>
                </c:pt>
                <c:pt idx="2879">
                  <c:v>2.5963968350434002E-2</c:v>
                </c:pt>
                <c:pt idx="2880">
                  <c:v>2.596392683816106E-2</c:v>
                </c:pt>
                <c:pt idx="2881">
                  <c:v>2.5963885325888114E-2</c:v>
                </c:pt>
                <c:pt idx="2882">
                  <c:v>2.5963843813615172E-2</c:v>
                </c:pt>
                <c:pt idx="2883">
                  <c:v>2.596380230134223E-2</c:v>
                </c:pt>
                <c:pt idx="2884">
                  <c:v>2.5963760789069281E-2</c:v>
                </c:pt>
                <c:pt idx="2885">
                  <c:v>2.5963719276796339E-2</c:v>
                </c:pt>
                <c:pt idx="2886">
                  <c:v>2.5963677764523393E-2</c:v>
                </c:pt>
                <c:pt idx="2887">
                  <c:v>2.5963636252250455E-2</c:v>
                </c:pt>
                <c:pt idx="2888">
                  <c:v>2.5963594739977502E-2</c:v>
                </c:pt>
                <c:pt idx="2889">
                  <c:v>2.5963553227704567E-2</c:v>
                </c:pt>
                <c:pt idx="2890">
                  <c:v>2.5963511715431618E-2</c:v>
                </c:pt>
                <c:pt idx="2891">
                  <c:v>2.5963470203158676E-2</c:v>
                </c:pt>
                <c:pt idx="2892">
                  <c:v>2.5963428690885731E-2</c:v>
                </c:pt>
                <c:pt idx="2893">
                  <c:v>2.5963387178612789E-2</c:v>
                </c:pt>
                <c:pt idx="2894">
                  <c:v>2.596334566633984E-2</c:v>
                </c:pt>
                <c:pt idx="2895">
                  <c:v>2.5963304154066894E-2</c:v>
                </c:pt>
                <c:pt idx="2896">
                  <c:v>2.5963262641793959E-2</c:v>
                </c:pt>
                <c:pt idx="2897">
                  <c:v>2.5963221129521007E-2</c:v>
                </c:pt>
                <c:pt idx="2898">
                  <c:v>2.5963179617248068E-2</c:v>
                </c:pt>
                <c:pt idx="2899">
                  <c:v>2.5963138104975123E-2</c:v>
                </c:pt>
                <c:pt idx="2900">
                  <c:v>2.596309659270218E-2</c:v>
                </c:pt>
                <c:pt idx="2901">
                  <c:v>2.5963055080429238E-2</c:v>
                </c:pt>
                <c:pt idx="2902">
                  <c:v>2.5963013568156296E-2</c:v>
                </c:pt>
                <c:pt idx="2903">
                  <c:v>2.5962972055883347E-2</c:v>
                </c:pt>
                <c:pt idx="2904">
                  <c:v>2.5962930543610405E-2</c:v>
                </c:pt>
                <c:pt idx="2905">
                  <c:v>2.5962889031337463E-2</c:v>
                </c:pt>
                <c:pt idx="2906">
                  <c:v>2.5962847519064521E-2</c:v>
                </c:pt>
                <c:pt idx="2907">
                  <c:v>2.5962806006791576E-2</c:v>
                </c:pt>
                <c:pt idx="2908">
                  <c:v>2.5962764494518634E-2</c:v>
                </c:pt>
                <c:pt idx="2909">
                  <c:v>2.5962722982245685E-2</c:v>
                </c:pt>
                <c:pt idx="2910">
                  <c:v>2.5962681469972743E-2</c:v>
                </c:pt>
                <c:pt idx="2911">
                  <c:v>2.5962639957699801E-2</c:v>
                </c:pt>
                <c:pt idx="2912">
                  <c:v>2.5962598445426855E-2</c:v>
                </c:pt>
                <c:pt idx="2913">
                  <c:v>2.5962556933153913E-2</c:v>
                </c:pt>
                <c:pt idx="2914">
                  <c:v>2.5962515420880964E-2</c:v>
                </c:pt>
                <c:pt idx="2915">
                  <c:v>2.5962473908608022E-2</c:v>
                </c:pt>
                <c:pt idx="2916">
                  <c:v>2.5962432396335083E-2</c:v>
                </c:pt>
                <c:pt idx="2917">
                  <c:v>2.5962390884062141E-2</c:v>
                </c:pt>
                <c:pt idx="2918">
                  <c:v>2.5962349371789192E-2</c:v>
                </c:pt>
                <c:pt idx="2919">
                  <c:v>2.596230785951625E-2</c:v>
                </c:pt>
                <c:pt idx="2920">
                  <c:v>2.5962266347243305E-2</c:v>
                </c:pt>
                <c:pt idx="2921">
                  <c:v>2.5962224834970356E-2</c:v>
                </c:pt>
                <c:pt idx="2922">
                  <c:v>2.5962183322697421E-2</c:v>
                </c:pt>
                <c:pt idx="2923">
                  <c:v>2.5962141810424472E-2</c:v>
                </c:pt>
                <c:pt idx="2924">
                  <c:v>2.596210029815153E-2</c:v>
                </c:pt>
                <c:pt idx="2925">
                  <c:v>2.5962058785878588E-2</c:v>
                </c:pt>
                <c:pt idx="2926">
                  <c:v>2.5962017273605642E-2</c:v>
                </c:pt>
                <c:pt idx="2927">
                  <c:v>2.5961975761332693E-2</c:v>
                </c:pt>
                <c:pt idx="2928">
                  <c:v>2.5961934249059758E-2</c:v>
                </c:pt>
                <c:pt idx="2929">
                  <c:v>2.5961892736786809E-2</c:v>
                </c:pt>
                <c:pt idx="2930">
                  <c:v>2.5961851224513863E-2</c:v>
                </c:pt>
                <c:pt idx="2931">
                  <c:v>2.5961809712240921E-2</c:v>
                </c:pt>
                <c:pt idx="2932">
                  <c:v>2.5961768199967979E-2</c:v>
                </c:pt>
                <c:pt idx="2933">
                  <c:v>2.596172668769503E-2</c:v>
                </c:pt>
                <c:pt idx="2934">
                  <c:v>2.5961685175422095E-2</c:v>
                </c:pt>
                <c:pt idx="2935">
                  <c:v>2.596164366314915E-2</c:v>
                </c:pt>
                <c:pt idx="2936">
                  <c:v>2.5961602150876201E-2</c:v>
                </c:pt>
                <c:pt idx="2937">
                  <c:v>2.5961560638603266E-2</c:v>
                </c:pt>
                <c:pt idx="2938">
                  <c:v>2.5961519126330317E-2</c:v>
                </c:pt>
                <c:pt idx="2939">
                  <c:v>2.5961477614057371E-2</c:v>
                </c:pt>
                <c:pt idx="2940">
                  <c:v>2.5961436101784429E-2</c:v>
                </c:pt>
                <c:pt idx="2941">
                  <c:v>2.5961394589511487E-2</c:v>
                </c:pt>
                <c:pt idx="2942">
                  <c:v>2.5961353077238538E-2</c:v>
                </c:pt>
                <c:pt idx="2943">
                  <c:v>2.5961311564965603E-2</c:v>
                </c:pt>
                <c:pt idx="2944">
                  <c:v>2.596127005269265E-2</c:v>
                </c:pt>
                <c:pt idx="2945">
                  <c:v>2.5961228540419701E-2</c:v>
                </c:pt>
                <c:pt idx="2946">
                  <c:v>2.5961187028146766E-2</c:v>
                </c:pt>
                <c:pt idx="2947">
                  <c:v>2.5961145515873817E-2</c:v>
                </c:pt>
                <c:pt idx="2948">
                  <c:v>2.5961104003600875E-2</c:v>
                </c:pt>
                <c:pt idx="2949">
                  <c:v>2.5961062491327933E-2</c:v>
                </c:pt>
                <c:pt idx="2950">
                  <c:v>2.5961020979054991E-2</c:v>
                </c:pt>
                <c:pt idx="2951">
                  <c:v>2.5960979466782046E-2</c:v>
                </c:pt>
                <c:pt idx="2952">
                  <c:v>2.5775777545407084E-2</c:v>
                </c:pt>
                <c:pt idx="2953">
                  <c:v>2.5775736033134135E-2</c:v>
                </c:pt>
                <c:pt idx="2954">
                  <c:v>2.5775694520861193E-2</c:v>
                </c:pt>
                <c:pt idx="2955">
                  <c:v>2.5775653008588251E-2</c:v>
                </c:pt>
                <c:pt idx="2956">
                  <c:v>2.5775611496315305E-2</c:v>
                </c:pt>
                <c:pt idx="2957">
                  <c:v>2.5775569984042363E-2</c:v>
                </c:pt>
                <c:pt idx="2958">
                  <c:v>2.5775528471769421E-2</c:v>
                </c:pt>
                <c:pt idx="2959">
                  <c:v>2.5775486959496472E-2</c:v>
                </c:pt>
                <c:pt idx="2960">
                  <c:v>2.5775445447223527E-2</c:v>
                </c:pt>
                <c:pt idx="2961">
                  <c:v>2.5775403934950588E-2</c:v>
                </c:pt>
                <c:pt idx="2962">
                  <c:v>2.5775362422677642E-2</c:v>
                </c:pt>
                <c:pt idx="2963">
                  <c:v>2.5775320910404693E-2</c:v>
                </c:pt>
                <c:pt idx="2964">
                  <c:v>2.5775279398131758E-2</c:v>
                </c:pt>
                <c:pt idx="2965">
                  <c:v>2.5775237885858809E-2</c:v>
                </c:pt>
                <c:pt idx="2966">
                  <c:v>2.5775196373585864E-2</c:v>
                </c:pt>
                <c:pt idx="2967">
                  <c:v>2.5775154861312922E-2</c:v>
                </c:pt>
                <c:pt idx="2968">
                  <c:v>2.577511334903998E-2</c:v>
                </c:pt>
                <c:pt idx="2969">
                  <c:v>2.5775071836767031E-2</c:v>
                </c:pt>
                <c:pt idx="2970">
                  <c:v>2.5775030324494096E-2</c:v>
                </c:pt>
                <c:pt idx="2971">
                  <c:v>2.577498881222115E-2</c:v>
                </c:pt>
                <c:pt idx="2972">
                  <c:v>2.5774947299948201E-2</c:v>
                </c:pt>
                <c:pt idx="2973">
                  <c:v>2.5774905787675266E-2</c:v>
                </c:pt>
                <c:pt idx="2974">
                  <c:v>2.5774864275402317E-2</c:v>
                </c:pt>
                <c:pt idx="2975">
                  <c:v>2.5774822763129372E-2</c:v>
                </c:pt>
                <c:pt idx="2976">
                  <c:v>2.5774781250856429E-2</c:v>
                </c:pt>
                <c:pt idx="2977">
                  <c:v>2.5774739738583487E-2</c:v>
                </c:pt>
                <c:pt idx="2978">
                  <c:v>2.5774698226310538E-2</c:v>
                </c:pt>
                <c:pt idx="2979">
                  <c:v>2.5774656714037603E-2</c:v>
                </c:pt>
                <c:pt idx="2980">
                  <c:v>2.5774615201764654E-2</c:v>
                </c:pt>
                <c:pt idx="2981">
                  <c:v>2.5774573689491709E-2</c:v>
                </c:pt>
                <c:pt idx="2982">
                  <c:v>2.5774532177218767E-2</c:v>
                </c:pt>
                <c:pt idx="2983">
                  <c:v>2.5774490664945825E-2</c:v>
                </c:pt>
                <c:pt idx="2984">
                  <c:v>2.5774449152672876E-2</c:v>
                </c:pt>
                <c:pt idx="2985">
                  <c:v>2.5774407640399934E-2</c:v>
                </c:pt>
                <c:pt idx="2986">
                  <c:v>2.5774366128126992E-2</c:v>
                </c:pt>
                <c:pt idx="2987">
                  <c:v>2.5774324615854046E-2</c:v>
                </c:pt>
                <c:pt idx="2988">
                  <c:v>2.5774283103581104E-2</c:v>
                </c:pt>
                <c:pt idx="2989">
                  <c:v>2.5774241591308159E-2</c:v>
                </c:pt>
                <c:pt idx="2990">
                  <c:v>2.5774200079035216E-2</c:v>
                </c:pt>
                <c:pt idx="2991">
                  <c:v>2.5774158566762267E-2</c:v>
                </c:pt>
                <c:pt idx="2992">
                  <c:v>2.5774117054489322E-2</c:v>
                </c:pt>
                <c:pt idx="2993">
                  <c:v>2.5774075542216383E-2</c:v>
                </c:pt>
                <c:pt idx="2994">
                  <c:v>2.5774034029943448E-2</c:v>
                </c:pt>
                <c:pt idx="2995">
                  <c:v>2.5773992517670496E-2</c:v>
                </c:pt>
                <c:pt idx="2996">
                  <c:v>2.5773951005397554E-2</c:v>
                </c:pt>
                <c:pt idx="2997">
                  <c:v>2.5773909493124612E-2</c:v>
                </c:pt>
                <c:pt idx="2998">
                  <c:v>2.5773867980851663E-2</c:v>
                </c:pt>
                <c:pt idx="2999">
                  <c:v>2.5773826468578721E-2</c:v>
                </c:pt>
                <c:pt idx="3000">
                  <c:v>2.5773784956305775E-2</c:v>
                </c:pt>
                <c:pt idx="3001">
                  <c:v>2.5773743444032837E-2</c:v>
                </c:pt>
                <c:pt idx="3002">
                  <c:v>2.5773701931759884E-2</c:v>
                </c:pt>
                <c:pt idx="3003">
                  <c:v>2.5773660419486949E-2</c:v>
                </c:pt>
                <c:pt idx="3004">
                  <c:v>2.5773618907214E-2</c:v>
                </c:pt>
                <c:pt idx="3005">
                  <c:v>2.5773577394941058E-2</c:v>
                </c:pt>
                <c:pt idx="3006">
                  <c:v>2.5773535882668112E-2</c:v>
                </c:pt>
                <c:pt idx="3007">
                  <c:v>2.577349437039517E-2</c:v>
                </c:pt>
                <c:pt idx="3008">
                  <c:v>2.5773452858122228E-2</c:v>
                </c:pt>
                <c:pt idx="3009">
                  <c:v>2.5773411345849283E-2</c:v>
                </c:pt>
                <c:pt idx="3010">
                  <c:v>2.5773369833576341E-2</c:v>
                </c:pt>
                <c:pt idx="3011">
                  <c:v>2.5773328321303392E-2</c:v>
                </c:pt>
                <c:pt idx="3012">
                  <c:v>2.5773286809030457E-2</c:v>
                </c:pt>
                <c:pt idx="3013">
                  <c:v>2.5773245296757508E-2</c:v>
                </c:pt>
                <c:pt idx="3014">
                  <c:v>2.5773203784484562E-2</c:v>
                </c:pt>
                <c:pt idx="3015">
                  <c:v>2.577316227221162E-2</c:v>
                </c:pt>
                <c:pt idx="3016">
                  <c:v>2.5773120759938671E-2</c:v>
                </c:pt>
                <c:pt idx="3017">
                  <c:v>2.5773079247665729E-2</c:v>
                </c:pt>
                <c:pt idx="3018">
                  <c:v>2.5773037735392784E-2</c:v>
                </c:pt>
                <c:pt idx="3019">
                  <c:v>2.5772996223119845E-2</c:v>
                </c:pt>
                <c:pt idx="3020">
                  <c:v>2.5772954710846899E-2</c:v>
                </c:pt>
                <c:pt idx="3021">
                  <c:v>2.5772913198573957E-2</c:v>
                </c:pt>
                <c:pt idx="3022">
                  <c:v>2.5772871686301008E-2</c:v>
                </c:pt>
                <c:pt idx="3023">
                  <c:v>2.5772830174028066E-2</c:v>
                </c:pt>
                <c:pt idx="3024">
                  <c:v>2.5772788661755121E-2</c:v>
                </c:pt>
                <c:pt idx="3025">
                  <c:v>2.5772747149482179E-2</c:v>
                </c:pt>
                <c:pt idx="3026">
                  <c:v>2.5772705637209237E-2</c:v>
                </c:pt>
                <c:pt idx="3027">
                  <c:v>2.5772664124936288E-2</c:v>
                </c:pt>
                <c:pt idx="3028">
                  <c:v>2.5772622612663349E-2</c:v>
                </c:pt>
                <c:pt idx="3029">
                  <c:v>2.5772581100390407E-2</c:v>
                </c:pt>
                <c:pt idx="3030">
                  <c:v>2.5772539588117458E-2</c:v>
                </c:pt>
                <c:pt idx="3031">
                  <c:v>2.5772498075844516E-2</c:v>
                </c:pt>
                <c:pt idx="3032">
                  <c:v>2.5772456563571574E-2</c:v>
                </c:pt>
                <c:pt idx="3033">
                  <c:v>2.5772415051298628E-2</c:v>
                </c:pt>
                <c:pt idx="3034">
                  <c:v>2.5772373539025679E-2</c:v>
                </c:pt>
                <c:pt idx="3035">
                  <c:v>2.5772332026752744E-2</c:v>
                </c:pt>
                <c:pt idx="3036">
                  <c:v>2.5772290514479795E-2</c:v>
                </c:pt>
                <c:pt idx="3037">
                  <c:v>2.577224900220685E-2</c:v>
                </c:pt>
                <c:pt idx="3038">
                  <c:v>2.5772207489933911E-2</c:v>
                </c:pt>
                <c:pt idx="3039">
                  <c:v>2.5772165977660966E-2</c:v>
                </c:pt>
                <c:pt idx="3040">
                  <c:v>2.5772124465388024E-2</c:v>
                </c:pt>
                <c:pt idx="3041">
                  <c:v>2.5772082953115075E-2</c:v>
                </c:pt>
                <c:pt idx="3042">
                  <c:v>2.5772041440842133E-2</c:v>
                </c:pt>
                <c:pt idx="3043">
                  <c:v>2.5771999928569191E-2</c:v>
                </c:pt>
                <c:pt idx="3044">
                  <c:v>2.5771958416296249E-2</c:v>
                </c:pt>
                <c:pt idx="3045">
                  <c:v>2.5771916904023303E-2</c:v>
                </c:pt>
                <c:pt idx="3046">
                  <c:v>2.5771875391750354E-2</c:v>
                </c:pt>
                <c:pt idx="3047">
                  <c:v>2.5771833879477419E-2</c:v>
                </c:pt>
                <c:pt idx="3048">
                  <c:v>2.5771792367204466E-2</c:v>
                </c:pt>
                <c:pt idx="3049">
                  <c:v>2.5771750854931531E-2</c:v>
                </c:pt>
                <c:pt idx="3050">
                  <c:v>2.5771709342658582E-2</c:v>
                </c:pt>
                <c:pt idx="3051">
                  <c:v>2.577166783038564E-2</c:v>
                </c:pt>
                <c:pt idx="3052">
                  <c:v>2.5771626318112695E-2</c:v>
                </c:pt>
                <c:pt idx="3053">
                  <c:v>2.5771584805839756E-2</c:v>
                </c:pt>
                <c:pt idx="3054">
                  <c:v>2.5771543293566811E-2</c:v>
                </c:pt>
                <c:pt idx="3055">
                  <c:v>2.5771501781293872E-2</c:v>
                </c:pt>
                <c:pt idx="3056">
                  <c:v>2.577146026902092E-2</c:v>
                </c:pt>
                <c:pt idx="3057">
                  <c:v>2.5771418756747974E-2</c:v>
                </c:pt>
                <c:pt idx="3058">
                  <c:v>2.5771377244475036E-2</c:v>
                </c:pt>
                <c:pt idx="3059">
                  <c:v>2.577133573220209E-2</c:v>
                </c:pt>
                <c:pt idx="3060">
                  <c:v>2.5771294219929148E-2</c:v>
                </c:pt>
                <c:pt idx="3061">
                  <c:v>2.5771252707656206E-2</c:v>
                </c:pt>
                <c:pt idx="3062">
                  <c:v>2.5771211195383264E-2</c:v>
                </c:pt>
                <c:pt idx="3063">
                  <c:v>2.5771169683110311E-2</c:v>
                </c:pt>
                <c:pt idx="3064">
                  <c:v>2.5771128170837373E-2</c:v>
                </c:pt>
                <c:pt idx="3065">
                  <c:v>2.5771086658564427E-2</c:v>
                </c:pt>
                <c:pt idx="3066">
                  <c:v>2.5771045146291478E-2</c:v>
                </c:pt>
                <c:pt idx="3067">
                  <c:v>2.577100363401854E-2</c:v>
                </c:pt>
                <c:pt idx="3068">
                  <c:v>2.5770962121745598E-2</c:v>
                </c:pt>
                <c:pt idx="3069">
                  <c:v>2.5770920609472656E-2</c:v>
                </c:pt>
                <c:pt idx="3070">
                  <c:v>2.5770879097199714E-2</c:v>
                </c:pt>
                <c:pt idx="3071">
                  <c:v>2.5770837584926765E-2</c:v>
                </c:pt>
                <c:pt idx="3072">
                  <c:v>2.5770796072653819E-2</c:v>
                </c:pt>
                <c:pt idx="3073">
                  <c:v>2.5770754560380877E-2</c:v>
                </c:pt>
                <c:pt idx="3074">
                  <c:v>2.5770713048107935E-2</c:v>
                </c:pt>
                <c:pt idx="3075">
                  <c:v>2.5770671535834986E-2</c:v>
                </c:pt>
                <c:pt idx="3076">
                  <c:v>2.5770630023562044E-2</c:v>
                </c:pt>
                <c:pt idx="3077">
                  <c:v>2.5770588511289102E-2</c:v>
                </c:pt>
                <c:pt idx="3078">
                  <c:v>2.5770546999016156E-2</c:v>
                </c:pt>
                <c:pt idx="3079">
                  <c:v>2.5770505486743214E-2</c:v>
                </c:pt>
                <c:pt idx="3080">
                  <c:v>2.5770463974470272E-2</c:v>
                </c:pt>
                <c:pt idx="3081">
                  <c:v>2.5770422462197323E-2</c:v>
                </c:pt>
                <c:pt idx="3082">
                  <c:v>2.5770380949924388E-2</c:v>
                </c:pt>
                <c:pt idx="3083">
                  <c:v>2.5770339437651439E-2</c:v>
                </c:pt>
                <c:pt idx="3084">
                  <c:v>2.5770297925378494E-2</c:v>
                </c:pt>
                <c:pt idx="3085">
                  <c:v>2.5770256413105555E-2</c:v>
                </c:pt>
                <c:pt idx="3086">
                  <c:v>2.577021490083261E-2</c:v>
                </c:pt>
                <c:pt idx="3087">
                  <c:v>2.5770173388559664E-2</c:v>
                </c:pt>
                <c:pt idx="3088">
                  <c:v>2.5770131876286722E-2</c:v>
                </c:pt>
                <c:pt idx="3089">
                  <c:v>2.5770090364013773E-2</c:v>
                </c:pt>
                <c:pt idx="3090">
                  <c:v>2.5770048851740831E-2</c:v>
                </c:pt>
                <c:pt idx="3091">
                  <c:v>2.5770007339467889E-2</c:v>
                </c:pt>
                <c:pt idx="3092">
                  <c:v>2.5769965827194947E-2</c:v>
                </c:pt>
                <c:pt idx="3093">
                  <c:v>2.5769924314922001E-2</c:v>
                </c:pt>
                <c:pt idx="3094">
                  <c:v>2.5769882802649063E-2</c:v>
                </c:pt>
                <c:pt idx="3095">
                  <c:v>2.576984129037611E-2</c:v>
                </c:pt>
                <c:pt idx="3096">
                  <c:v>2.5769799778103168E-2</c:v>
                </c:pt>
                <c:pt idx="3097">
                  <c:v>2.5769758265830226E-2</c:v>
                </c:pt>
                <c:pt idx="3098">
                  <c:v>2.5769716753557281E-2</c:v>
                </c:pt>
                <c:pt idx="3099">
                  <c:v>2.5769675241284339E-2</c:v>
                </c:pt>
                <c:pt idx="3100">
                  <c:v>2.576963372901139E-2</c:v>
                </c:pt>
                <c:pt idx="3101">
                  <c:v>2.5769592216738454E-2</c:v>
                </c:pt>
                <c:pt idx="3102">
                  <c:v>2.5769550704465502E-2</c:v>
                </c:pt>
                <c:pt idx="3103">
                  <c:v>2.5769509192192563E-2</c:v>
                </c:pt>
                <c:pt idx="3104">
                  <c:v>2.5769467679919618E-2</c:v>
                </c:pt>
                <c:pt idx="3105">
                  <c:v>2.5769426167646676E-2</c:v>
                </c:pt>
                <c:pt idx="3106">
                  <c:v>2.576938465537373E-2</c:v>
                </c:pt>
                <c:pt idx="3107">
                  <c:v>2.5769343143100792E-2</c:v>
                </c:pt>
                <c:pt idx="3108">
                  <c:v>2.5769301630827846E-2</c:v>
                </c:pt>
                <c:pt idx="3109">
                  <c:v>2.5769260118554894E-2</c:v>
                </c:pt>
                <c:pt idx="3110">
                  <c:v>2.5769218606281955E-2</c:v>
                </c:pt>
                <c:pt idx="3111">
                  <c:v>2.576917709400901E-2</c:v>
                </c:pt>
                <c:pt idx="3112">
                  <c:v>2.5769135581736071E-2</c:v>
                </c:pt>
                <c:pt idx="3113">
                  <c:v>2.5769094069463119E-2</c:v>
                </c:pt>
                <c:pt idx="3114">
                  <c:v>2.5769052557190184E-2</c:v>
                </c:pt>
                <c:pt idx="3115">
                  <c:v>2.5769011044917235E-2</c:v>
                </c:pt>
                <c:pt idx="3116">
                  <c:v>2.5768969532644299E-2</c:v>
                </c:pt>
                <c:pt idx="3117">
                  <c:v>2.5768928020371347E-2</c:v>
                </c:pt>
                <c:pt idx="3118">
                  <c:v>2.5768886508098398E-2</c:v>
                </c:pt>
                <c:pt idx="3119">
                  <c:v>2.5768844995825463E-2</c:v>
                </c:pt>
                <c:pt idx="3120">
                  <c:v>2.5768803483552514E-2</c:v>
                </c:pt>
                <c:pt idx="3121">
                  <c:v>2.5768761971279572E-2</c:v>
                </c:pt>
                <c:pt idx="3122">
                  <c:v>2.5768720459006626E-2</c:v>
                </c:pt>
                <c:pt idx="3123">
                  <c:v>2.5768678946733684E-2</c:v>
                </c:pt>
                <c:pt idx="3124">
                  <c:v>2.5768637434460735E-2</c:v>
                </c:pt>
                <c:pt idx="3125">
                  <c:v>2.57685959221878E-2</c:v>
                </c:pt>
                <c:pt idx="3126">
                  <c:v>2.5768554409914855E-2</c:v>
                </c:pt>
                <c:pt idx="3127">
                  <c:v>2.5768512897641913E-2</c:v>
                </c:pt>
                <c:pt idx="3128">
                  <c:v>2.576847138536897E-2</c:v>
                </c:pt>
                <c:pt idx="3129">
                  <c:v>2.5768429873096022E-2</c:v>
                </c:pt>
                <c:pt idx="3130">
                  <c:v>2.5768388360823079E-2</c:v>
                </c:pt>
                <c:pt idx="3131">
                  <c:v>2.5768346848550137E-2</c:v>
                </c:pt>
                <c:pt idx="3132">
                  <c:v>2.5768305336277192E-2</c:v>
                </c:pt>
                <c:pt idx="3133">
                  <c:v>2.576826382400425E-2</c:v>
                </c:pt>
                <c:pt idx="3134">
                  <c:v>2.5584348100887919E-2</c:v>
                </c:pt>
                <c:pt idx="3135">
                  <c:v>2.5584306588614981E-2</c:v>
                </c:pt>
                <c:pt idx="3136">
                  <c:v>2.5584265076342039E-2</c:v>
                </c:pt>
                <c:pt idx="3137">
                  <c:v>2.558422356406909E-2</c:v>
                </c:pt>
                <c:pt idx="3138">
                  <c:v>2.5584182051796148E-2</c:v>
                </c:pt>
                <c:pt idx="3139">
                  <c:v>2.5584140539523202E-2</c:v>
                </c:pt>
                <c:pt idx="3140">
                  <c:v>2.5584099027250264E-2</c:v>
                </c:pt>
                <c:pt idx="3141">
                  <c:v>2.5584057514977311E-2</c:v>
                </c:pt>
                <c:pt idx="3142">
                  <c:v>2.5584016002704376E-2</c:v>
                </c:pt>
                <c:pt idx="3143">
                  <c:v>2.5583974490431427E-2</c:v>
                </c:pt>
                <c:pt idx="3144">
                  <c:v>2.5583932978158485E-2</c:v>
                </c:pt>
                <c:pt idx="3145">
                  <c:v>2.5583891465885539E-2</c:v>
                </c:pt>
                <c:pt idx="3146">
                  <c:v>2.5583849953612597E-2</c:v>
                </c:pt>
                <c:pt idx="3147">
                  <c:v>2.5583808441339655E-2</c:v>
                </c:pt>
                <c:pt idx="3148">
                  <c:v>2.5583766929066703E-2</c:v>
                </c:pt>
                <c:pt idx="3149">
                  <c:v>2.5583725416793764E-2</c:v>
                </c:pt>
                <c:pt idx="3150">
                  <c:v>2.5583683904520822E-2</c:v>
                </c:pt>
                <c:pt idx="3151">
                  <c:v>2.5583642392247877E-2</c:v>
                </c:pt>
                <c:pt idx="3152">
                  <c:v>2.5583600879974928E-2</c:v>
                </c:pt>
                <c:pt idx="3153">
                  <c:v>2.5583559367701993E-2</c:v>
                </c:pt>
                <c:pt idx="3154">
                  <c:v>2.5583517855429047E-2</c:v>
                </c:pt>
                <c:pt idx="3155">
                  <c:v>2.5583476343156098E-2</c:v>
                </c:pt>
                <c:pt idx="3156">
                  <c:v>2.5583434830883156E-2</c:v>
                </c:pt>
                <c:pt idx="3157">
                  <c:v>2.5583393318610211E-2</c:v>
                </c:pt>
                <c:pt idx="3158">
                  <c:v>2.5583351806337268E-2</c:v>
                </c:pt>
                <c:pt idx="3159">
                  <c:v>2.5583310294064326E-2</c:v>
                </c:pt>
                <c:pt idx="3160">
                  <c:v>2.5583268781791384E-2</c:v>
                </c:pt>
                <c:pt idx="3161">
                  <c:v>2.5583227269518432E-2</c:v>
                </c:pt>
                <c:pt idx="3162">
                  <c:v>2.5583185757245493E-2</c:v>
                </c:pt>
                <c:pt idx="3163">
                  <c:v>2.5583144244972548E-2</c:v>
                </c:pt>
                <c:pt idx="3164">
                  <c:v>2.5583102732699606E-2</c:v>
                </c:pt>
                <c:pt idx="3165">
                  <c:v>2.5583061220426664E-2</c:v>
                </c:pt>
                <c:pt idx="3166">
                  <c:v>2.5583019708153715E-2</c:v>
                </c:pt>
                <c:pt idx="3167">
                  <c:v>2.5582978195880773E-2</c:v>
                </c:pt>
                <c:pt idx="3168">
                  <c:v>2.5582936683607831E-2</c:v>
                </c:pt>
                <c:pt idx="3169">
                  <c:v>2.5582895171334885E-2</c:v>
                </c:pt>
                <c:pt idx="3170">
                  <c:v>2.5582853659061936E-2</c:v>
                </c:pt>
                <c:pt idx="3171">
                  <c:v>2.5582812146789001E-2</c:v>
                </c:pt>
                <c:pt idx="3172">
                  <c:v>2.5582770634516052E-2</c:v>
                </c:pt>
                <c:pt idx="3173">
                  <c:v>2.558272912224311E-2</c:v>
                </c:pt>
                <c:pt idx="3174">
                  <c:v>2.5582687609970171E-2</c:v>
                </c:pt>
                <c:pt idx="3175">
                  <c:v>2.5582646097697222E-2</c:v>
                </c:pt>
                <c:pt idx="3176">
                  <c:v>2.558260458542428E-2</c:v>
                </c:pt>
                <c:pt idx="3177">
                  <c:v>2.5582563073151338E-2</c:v>
                </c:pt>
                <c:pt idx="3178">
                  <c:v>2.5582521560878393E-2</c:v>
                </c:pt>
                <c:pt idx="3179">
                  <c:v>2.5582480048605444E-2</c:v>
                </c:pt>
                <c:pt idx="3180">
                  <c:v>2.5582438536332509E-2</c:v>
                </c:pt>
                <c:pt idx="3181">
                  <c:v>2.558239702405956E-2</c:v>
                </c:pt>
                <c:pt idx="3182">
                  <c:v>2.5582355511786618E-2</c:v>
                </c:pt>
                <c:pt idx="3183">
                  <c:v>2.5582313999513676E-2</c:v>
                </c:pt>
                <c:pt idx="3184">
                  <c:v>2.558227248724073E-2</c:v>
                </c:pt>
                <c:pt idx="3185">
                  <c:v>2.5582230974967781E-2</c:v>
                </c:pt>
                <c:pt idx="3186">
                  <c:v>2.5582189462694846E-2</c:v>
                </c:pt>
                <c:pt idx="3187">
                  <c:v>2.5582147950421897E-2</c:v>
                </c:pt>
                <c:pt idx="3188">
                  <c:v>2.5582106438148951E-2</c:v>
                </c:pt>
                <c:pt idx="3189">
                  <c:v>2.5582064925876013E-2</c:v>
                </c:pt>
                <c:pt idx="3190">
                  <c:v>2.5582023413603067E-2</c:v>
                </c:pt>
                <c:pt idx="3191">
                  <c:v>2.5581981901330118E-2</c:v>
                </c:pt>
                <c:pt idx="3192">
                  <c:v>2.5581940389057183E-2</c:v>
                </c:pt>
                <c:pt idx="3193">
                  <c:v>2.5581898876784238E-2</c:v>
                </c:pt>
                <c:pt idx="3194">
                  <c:v>2.5581857364511289E-2</c:v>
                </c:pt>
                <c:pt idx="3195">
                  <c:v>2.5581815852238347E-2</c:v>
                </c:pt>
                <c:pt idx="3196">
                  <c:v>2.5581774339965405E-2</c:v>
                </c:pt>
                <c:pt idx="3197">
                  <c:v>2.5581732827692459E-2</c:v>
                </c:pt>
                <c:pt idx="3198">
                  <c:v>2.5581691315419521E-2</c:v>
                </c:pt>
                <c:pt idx="3199">
                  <c:v>2.5581649803146575E-2</c:v>
                </c:pt>
                <c:pt idx="3200">
                  <c:v>2.5581608290873626E-2</c:v>
                </c:pt>
                <c:pt idx="3201">
                  <c:v>2.5581566778600684E-2</c:v>
                </c:pt>
                <c:pt idx="3202">
                  <c:v>2.5581525266327738E-2</c:v>
                </c:pt>
                <c:pt idx="3203">
                  <c:v>2.5581483754054796E-2</c:v>
                </c:pt>
                <c:pt idx="3204">
                  <c:v>2.5581442241781847E-2</c:v>
                </c:pt>
                <c:pt idx="3205">
                  <c:v>2.5581400729508912E-2</c:v>
                </c:pt>
                <c:pt idx="3206">
                  <c:v>2.5581359217235963E-2</c:v>
                </c:pt>
                <c:pt idx="3207">
                  <c:v>2.5581317704963021E-2</c:v>
                </c:pt>
                <c:pt idx="3208">
                  <c:v>2.5581276192690076E-2</c:v>
                </c:pt>
                <c:pt idx="3209">
                  <c:v>2.5581234680417137E-2</c:v>
                </c:pt>
                <c:pt idx="3210">
                  <c:v>2.5581193168144192E-2</c:v>
                </c:pt>
                <c:pt idx="3211">
                  <c:v>2.5581151655871243E-2</c:v>
                </c:pt>
                <c:pt idx="3212">
                  <c:v>2.5581110143598301E-2</c:v>
                </c:pt>
                <c:pt idx="3213">
                  <c:v>2.5581068631325355E-2</c:v>
                </c:pt>
                <c:pt idx="3214">
                  <c:v>2.558102711905242E-2</c:v>
                </c:pt>
                <c:pt idx="3215">
                  <c:v>2.5580985606779467E-2</c:v>
                </c:pt>
                <c:pt idx="3216">
                  <c:v>2.5580944094506529E-2</c:v>
                </c:pt>
                <c:pt idx="3217">
                  <c:v>2.5580902582233583E-2</c:v>
                </c:pt>
                <c:pt idx="3218">
                  <c:v>2.5580861069960641E-2</c:v>
                </c:pt>
                <c:pt idx="3219">
                  <c:v>2.5580819557687699E-2</c:v>
                </c:pt>
                <c:pt idx="3220">
                  <c:v>2.558077804541475E-2</c:v>
                </c:pt>
                <c:pt idx="3221">
                  <c:v>2.5580736533141808E-2</c:v>
                </c:pt>
                <c:pt idx="3222">
                  <c:v>2.5580695020868866E-2</c:v>
                </c:pt>
                <c:pt idx="3223">
                  <c:v>2.5580653508595921E-2</c:v>
                </c:pt>
                <c:pt idx="3224">
                  <c:v>2.5580611996322979E-2</c:v>
                </c:pt>
                <c:pt idx="3225">
                  <c:v>2.5580570484050037E-2</c:v>
                </c:pt>
                <c:pt idx="3226">
                  <c:v>2.5580528971777088E-2</c:v>
                </c:pt>
                <c:pt idx="3227">
                  <c:v>2.5580487459504146E-2</c:v>
                </c:pt>
                <c:pt idx="3228">
                  <c:v>2.5580445947231203E-2</c:v>
                </c:pt>
                <c:pt idx="3229">
                  <c:v>2.5580404434958258E-2</c:v>
                </c:pt>
                <c:pt idx="3230">
                  <c:v>2.5580362922685309E-2</c:v>
                </c:pt>
                <c:pt idx="3231">
                  <c:v>2.5580321410412374E-2</c:v>
                </c:pt>
                <c:pt idx="3232">
                  <c:v>2.5580279898139428E-2</c:v>
                </c:pt>
                <c:pt idx="3233">
                  <c:v>2.5580238385866486E-2</c:v>
                </c:pt>
                <c:pt idx="3234">
                  <c:v>2.5580196873593537E-2</c:v>
                </c:pt>
                <c:pt idx="3235">
                  <c:v>2.5580155361320595E-2</c:v>
                </c:pt>
                <c:pt idx="3236">
                  <c:v>2.558011384904765E-2</c:v>
                </c:pt>
                <c:pt idx="3237">
                  <c:v>2.5580072336774711E-2</c:v>
                </c:pt>
                <c:pt idx="3238">
                  <c:v>2.5580030824501766E-2</c:v>
                </c:pt>
                <c:pt idx="3239">
                  <c:v>2.5579989312228817E-2</c:v>
                </c:pt>
                <c:pt idx="3240">
                  <c:v>2.5579947799955875E-2</c:v>
                </c:pt>
                <c:pt idx="3241">
                  <c:v>2.5579906287682929E-2</c:v>
                </c:pt>
                <c:pt idx="3242">
                  <c:v>2.5579864775409987E-2</c:v>
                </c:pt>
                <c:pt idx="3243">
                  <c:v>2.5579823263137045E-2</c:v>
                </c:pt>
                <c:pt idx="3244">
                  <c:v>2.5579781750864103E-2</c:v>
                </c:pt>
                <c:pt idx="3245">
                  <c:v>2.5579740238591154E-2</c:v>
                </c:pt>
                <c:pt idx="3246">
                  <c:v>2.5579698726318212E-2</c:v>
                </c:pt>
                <c:pt idx="3247">
                  <c:v>2.5579657214045266E-2</c:v>
                </c:pt>
                <c:pt idx="3248">
                  <c:v>2.5579615701772324E-2</c:v>
                </c:pt>
                <c:pt idx="3249">
                  <c:v>2.5579574189499382E-2</c:v>
                </c:pt>
                <c:pt idx="3250">
                  <c:v>2.5579532677226433E-2</c:v>
                </c:pt>
                <c:pt idx="3251">
                  <c:v>2.5579491164953491E-2</c:v>
                </c:pt>
                <c:pt idx="3252">
                  <c:v>2.5579449652680546E-2</c:v>
                </c:pt>
                <c:pt idx="3253">
                  <c:v>2.5579408140407604E-2</c:v>
                </c:pt>
                <c:pt idx="3254">
                  <c:v>2.5579366628134658E-2</c:v>
                </c:pt>
                <c:pt idx="3255">
                  <c:v>2.5579325115861716E-2</c:v>
                </c:pt>
                <c:pt idx="3256">
                  <c:v>2.5579283603588774E-2</c:v>
                </c:pt>
                <c:pt idx="3257">
                  <c:v>2.5579242091315832E-2</c:v>
                </c:pt>
                <c:pt idx="3258">
                  <c:v>2.5579200579042883E-2</c:v>
                </c:pt>
                <c:pt idx="3259">
                  <c:v>2.5579159066769937E-2</c:v>
                </c:pt>
                <c:pt idx="3260">
                  <c:v>2.5579117554496999E-2</c:v>
                </c:pt>
                <c:pt idx="3261">
                  <c:v>2.5579076042224064E-2</c:v>
                </c:pt>
                <c:pt idx="3262">
                  <c:v>2.5579034529951111E-2</c:v>
                </c:pt>
                <c:pt idx="3263">
                  <c:v>2.5578993017678162E-2</c:v>
                </c:pt>
                <c:pt idx="3264">
                  <c:v>2.5578951505405227E-2</c:v>
                </c:pt>
                <c:pt idx="3265">
                  <c:v>2.5578909993132275E-2</c:v>
                </c:pt>
                <c:pt idx="3266">
                  <c:v>2.5578868480859336E-2</c:v>
                </c:pt>
                <c:pt idx="3267">
                  <c:v>2.5578826968586391E-2</c:v>
                </c:pt>
                <c:pt idx="3268">
                  <c:v>2.5578785456313452E-2</c:v>
                </c:pt>
                <c:pt idx="3269">
                  <c:v>2.55787439440405E-2</c:v>
                </c:pt>
                <c:pt idx="3270">
                  <c:v>2.5578702431767564E-2</c:v>
                </c:pt>
                <c:pt idx="3271">
                  <c:v>2.5578660919494619E-2</c:v>
                </c:pt>
                <c:pt idx="3272">
                  <c:v>2.557861940722167E-2</c:v>
                </c:pt>
                <c:pt idx="3273">
                  <c:v>2.5578577894948728E-2</c:v>
                </c:pt>
                <c:pt idx="3274">
                  <c:v>2.5578536382675782E-2</c:v>
                </c:pt>
                <c:pt idx="3275">
                  <c:v>2.5578494870402844E-2</c:v>
                </c:pt>
                <c:pt idx="3276">
                  <c:v>2.5578453358129891E-2</c:v>
                </c:pt>
                <c:pt idx="3277">
                  <c:v>2.5578411845856956E-2</c:v>
                </c:pt>
                <c:pt idx="3278">
                  <c:v>2.5578370333584007E-2</c:v>
                </c:pt>
                <c:pt idx="3279">
                  <c:v>2.5578328821311072E-2</c:v>
                </c:pt>
                <c:pt idx="3280">
                  <c:v>2.557828730903812E-2</c:v>
                </c:pt>
                <c:pt idx="3281">
                  <c:v>2.5578245796765181E-2</c:v>
                </c:pt>
                <c:pt idx="3282">
                  <c:v>2.5578204284492236E-2</c:v>
                </c:pt>
                <c:pt idx="3283">
                  <c:v>2.5578162772219287E-2</c:v>
                </c:pt>
                <c:pt idx="3284">
                  <c:v>2.5578121259946345E-2</c:v>
                </c:pt>
                <c:pt idx="3285">
                  <c:v>2.5578079747673399E-2</c:v>
                </c:pt>
                <c:pt idx="3286">
                  <c:v>2.557803823540046E-2</c:v>
                </c:pt>
                <c:pt idx="3287">
                  <c:v>2.5577996723127515E-2</c:v>
                </c:pt>
                <c:pt idx="3288">
                  <c:v>2.5577955210854573E-2</c:v>
                </c:pt>
                <c:pt idx="3289">
                  <c:v>2.5577913698581631E-2</c:v>
                </c:pt>
                <c:pt idx="3290">
                  <c:v>2.5577872186308682E-2</c:v>
                </c:pt>
                <c:pt idx="3291">
                  <c:v>2.5577830674035736E-2</c:v>
                </c:pt>
                <c:pt idx="3292">
                  <c:v>2.5577789161762794E-2</c:v>
                </c:pt>
                <c:pt idx="3293">
                  <c:v>2.5577747649489852E-2</c:v>
                </c:pt>
                <c:pt idx="3294">
                  <c:v>2.5577706137216907E-2</c:v>
                </c:pt>
                <c:pt idx="3295">
                  <c:v>2.5577664624943968E-2</c:v>
                </c:pt>
                <c:pt idx="3296">
                  <c:v>2.5577623112671023E-2</c:v>
                </c:pt>
                <c:pt idx="3297">
                  <c:v>2.5577581600398074E-2</c:v>
                </c:pt>
                <c:pt idx="3298">
                  <c:v>2.5577540088125131E-2</c:v>
                </c:pt>
                <c:pt idx="3299">
                  <c:v>2.5577498575852189E-2</c:v>
                </c:pt>
                <c:pt idx="3300">
                  <c:v>2.5577457063579244E-2</c:v>
                </c:pt>
                <c:pt idx="3301">
                  <c:v>2.5577415551306302E-2</c:v>
                </c:pt>
                <c:pt idx="3302">
                  <c:v>2.557737403903336E-2</c:v>
                </c:pt>
                <c:pt idx="3303">
                  <c:v>2.5577332526760411E-2</c:v>
                </c:pt>
                <c:pt idx="3304">
                  <c:v>2.5577291014487469E-2</c:v>
                </c:pt>
                <c:pt idx="3305">
                  <c:v>2.5577249502214527E-2</c:v>
                </c:pt>
                <c:pt idx="3306">
                  <c:v>2.5577207989941581E-2</c:v>
                </c:pt>
                <c:pt idx="3307">
                  <c:v>2.5577166477668643E-2</c:v>
                </c:pt>
                <c:pt idx="3308">
                  <c:v>2.557712496539569E-2</c:v>
                </c:pt>
                <c:pt idx="3309">
                  <c:v>2.5577083453122748E-2</c:v>
                </c:pt>
                <c:pt idx="3310">
                  <c:v>2.557704194084981E-2</c:v>
                </c:pt>
                <c:pt idx="3311">
                  <c:v>2.5577000428576867E-2</c:v>
                </c:pt>
                <c:pt idx="3312">
                  <c:v>2.5576958916303918E-2</c:v>
                </c:pt>
                <c:pt idx="3313">
                  <c:v>2.5576917404030983E-2</c:v>
                </c:pt>
                <c:pt idx="3314">
                  <c:v>2.5576875891758034E-2</c:v>
                </c:pt>
                <c:pt idx="3315">
                  <c:v>2.5576834379485089E-2</c:v>
                </c:pt>
                <c:pt idx="3316">
                  <c:v>2.5576792867212147E-2</c:v>
                </c:pt>
                <c:pt idx="3317">
                  <c:v>2.5394358724467502E-2</c:v>
                </c:pt>
                <c:pt idx="3318">
                  <c:v>2.5394317212194553E-2</c:v>
                </c:pt>
                <c:pt idx="3319">
                  <c:v>2.5394275699921618E-2</c:v>
                </c:pt>
                <c:pt idx="3320">
                  <c:v>2.5394234187648669E-2</c:v>
                </c:pt>
                <c:pt idx="3321">
                  <c:v>2.5394192675375724E-2</c:v>
                </c:pt>
                <c:pt idx="3322">
                  <c:v>2.5394151163102782E-2</c:v>
                </c:pt>
                <c:pt idx="3323">
                  <c:v>2.5394109650829839E-2</c:v>
                </c:pt>
                <c:pt idx="3324">
                  <c:v>2.539406813855689E-2</c:v>
                </c:pt>
                <c:pt idx="3325">
                  <c:v>2.5394026626283948E-2</c:v>
                </c:pt>
                <c:pt idx="3326">
                  <c:v>2.5393985114011006E-2</c:v>
                </c:pt>
                <c:pt idx="3327">
                  <c:v>2.5393943601738061E-2</c:v>
                </c:pt>
                <c:pt idx="3328">
                  <c:v>2.5393902089465119E-2</c:v>
                </c:pt>
                <c:pt idx="3329">
                  <c:v>2.5393860577192177E-2</c:v>
                </c:pt>
                <c:pt idx="3330">
                  <c:v>2.5393819064919228E-2</c:v>
                </c:pt>
                <c:pt idx="3331">
                  <c:v>2.5393777552646286E-2</c:v>
                </c:pt>
                <c:pt idx="3332">
                  <c:v>2.539373604037334E-2</c:v>
                </c:pt>
                <c:pt idx="3333">
                  <c:v>2.5393694528100398E-2</c:v>
                </c:pt>
                <c:pt idx="3334">
                  <c:v>2.5393653015827453E-2</c:v>
                </c:pt>
                <c:pt idx="3335">
                  <c:v>2.5393611503554511E-2</c:v>
                </c:pt>
                <c:pt idx="3336">
                  <c:v>2.5393569991281568E-2</c:v>
                </c:pt>
                <c:pt idx="3337">
                  <c:v>2.539352847900862E-2</c:v>
                </c:pt>
                <c:pt idx="3338">
                  <c:v>2.5393486966735677E-2</c:v>
                </c:pt>
                <c:pt idx="3339">
                  <c:v>2.5393445454462735E-2</c:v>
                </c:pt>
                <c:pt idx="3340">
                  <c:v>2.539340394218979E-2</c:v>
                </c:pt>
                <c:pt idx="3341">
                  <c:v>2.5393362429916848E-2</c:v>
                </c:pt>
                <c:pt idx="3342">
                  <c:v>2.5393320917643906E-2</c:v>
                </c:pt>
                <c:pt idx="3343">
                  <c:v>2.5393279405370957E-2</c:v>
                </c:pt>
                <c:pt idx="3344">
                  <c:v>2.5393237893098011E-2</c:v>
                </c:pt>
                <c:pt idx="3345">
                  <c:v>2.5393196380825073E-2</c:v>
                </c:pt>
                <c:pt idx="3346">
                  <c:v>2.5393154868552127E-2</c:v>
                </c:pt>
                <c:pt idx="3347">
                  <c:v>2.5393113356279185E-2</c:v>
                </c:pt>
                <c:pt idx="3348">
                  <c:v>2.5393071844006236E-2</c:v>
                </c:pt>
                <c:pt idx="3349">
                  <c:v>2.5393030331733301E-2</c:v>
                </c:pt>
                <c:pt idx="3350">
                  <c:v>2.5392988819460352E-2</c:v>
                </c:pt>
                <c:pt idx="3351">
                  <c:v>2.539294730718741E-2</c:v>
                </c:pt>
                <c:pt idx="3352">
                  <c:v>2.5392905794914464E-2</c:v>
                </c:pt>
                <c:pt idx="3353">
                  <c:v>2.5392864282641522E-2</c:v>
                </c:pt>
                <c:pt idx="3354">
                  <c:v>2.539282277036858E-2</c:v>
                </c:pt>
                <c:pt idx="3355">
                  <c:v>2.5392781258095635E-2</c:v>
                </c:pt>
                <c:pt idx="3356">
                  <c:v>2.5392739745822693E-2</c:v>
                </c:pt>
                <c:pt idx="3357">
                  <c:v>2.5392698233549744E-2</c:v>
                </c:pt>
                <c:pt idx="3358">
                  <c:v>2.5392656721276809E-2</c:v>
                </c:pt>
                <c:pt idx="3359">
                  <c:v>2.539261520900386E-2</c:v>
                </c:pt>
                <c:pt idx="3360">
                  <c:v>2.5392573696730918E-2</c:v>
                </c:pt>
                <c:pt idx="3361">
                  <c:v>2.5392532184457972E-2</c:v>
                </c:pt>
                <c:pt idx="3362">
                  <c:v>2.5392490672185023E-2</c:v>
                </c:pt>
                <c:pt idx="3363">
                  <c:v>2.5392449159912081E-2</c:v>
                </c:pt>
                <c:pt idx="3364">
                  <c:v>2.5392407647639139E-2</c:v>
                </c:pt>
                <c:pt idx="3365">
                  <c:v>2.5392366135366197E-2</c:v>
                </c:pt>
                <c:pt idx="3366">
                  <c:v>2.5392324623093251E-2</c:v>
                </c:pt>
                <c:pt idx="3367">
                  <c:v>2.5392283110820302E-2</c:v>
                </c:pt>
                <c:pt idx="3368">
                  <c:v>2.539224159854736E-2</c:v>
                </c:pt>
                <c:pt idx="3369">
                  <c:v>2.5392200086274425E-2</c:v>
                </c:pt>
                <c:pt idx="3370">
                  <c:v>2.5392158574001476E-2</c:v>
                </c:pt>
                <c:pt idx="3371">
                  <c:v>2.5392117061728534E-2</c:v>
                </c:pt>
                <c:pt idx="3372">
                  <c:v>2.5392075549455589E-2</c:v>
                </c:pt>
                <c:pt idx="3373">
                  <c:v>2.5392034037182643E-2</c:v>
                </c:pt>
                <c:pt idx="3374">
                  <c:v>2.5391992524909701E-2</c:v>
                </c:pt>
                <c:pt idx="3375">
                  <c:v>2.5391951012636759E-2</c:v>
                </c:pt>
                <c:pt idx="3376">
                  <c:v>2.539190950036381E-2</c:v>
                </c:pt>
                <c:pt idx="3377">
                  <c:v>2.5391867988090868E-2</c:v>
                </c:pt>
                <c:pt idx="3378">
                  <c:v>2.5391826475817926E-2</c:v>
                </c:pt>
                <c:pt idx="3379">
                  <c:v>2.539178496354498E-2</c:v>
                </c:pt>
                <c:pt idx="3380">
                  <c:v>2.5391743451272032E-2</c:v>
                </c:pt>
                <c:pt idx="3381">
                  <c:v>2.5391701938999096E-2</c:v>
                </c:pt>
                <c:pt idx="3382">
                  <c:v>2.5391660426726147E-2</c:v>
                </c:pt>
                <c:pt idx="3383">
                  <c:v>2.5391618914453205E-2</c:v>
                </c:pt>
                <c:pt idx="3384">
                  <c:v>2.5391577402180263E-2</c:v>
                </c:pt>
                <c:pt idx="3385">
                  <c:v>2.5391535889907318E-2</c:v>
                </c:pt>
                <c:pt idx="3386">
                  <c:v>2.5391494377634369E-2</c:v>
                </c:pt>
                <c:pt idx="3387">
                  <c:v>2.5391452865361434E-2</c:v>
                </c:pt>
                <c:pt idx="3388">
                  <c:v>2.5391411353088485E-2</c:v>
                </c:pt>
                <c:pt idx="3389">
                  <c:v>2.5391369840815539E-2</c:v>
                </c:pt>
                <c:pt idx="3390">
                  <c:v>2.5391328328542601E-2</c:v>
                </c:pt>
                <c:pt idx="3391">
                  <c:v>2.5391286816269655E-2</c:v>
                </c:pt>
                <c:pt idx="3392">
                  <c:v>2.539124530399671E-2</c:v>
                </c:pt>
                <c:pt idx="3393">
                  <c:v>2.5391203791723771E-2</c:v>
                </c:pt>
                <c:pt idx="3394">
                  <c:v>2.5391162279450829E-2</c:v>
                </c:pt>
                <c:pt idx="3395">
                  <c:v>2.5391120767177883E-2</c:v>
                </c:pt>
                <c:pt idx="3396">
                  <c:v>2.5391079254904934E-2</c:v>
                </c:pt>
                <c:pt idx="3397">
                  <c:v>2.5391037742631992E-2</c:v>
                </c:pt>
                <c:pt idx="3398">
                  <c:v>2.5390996230359047E-2</c:v>
                </c:pt>
                <c:pt idx="3399">
                  <c:v>2.5390954718086108E-2</c:v>
                </c:pt>
                <c:pt idx="3400">
                  <c:v>2.5390913205813163E-2</c:v>
                </c:pt>
                <c:pt idx="3401">
                  <c:v>2.5390871693540221E-2</c:v>
                </c:pt>
                <c:pt idx="3402">
                  <c:v>2.5390830181267272E-2</c:v>
                </c:pt>
                <c:pt idx="3403">
                  <c:v>2.5390788668994326E-2</c:v>
                </c:pt>
                <c:pt idx="3404">
                  <c:v>2.5390747156721384E-2</c:v>
                </c:pt>
                <c:pt idx="3405">
                  <c:v>2.5390705644448442E-2</c:v>
                </c:pt>
                <c:pt idx="3406">
                  <c:v>2.53906641321755E-2</c:v>
                </c:pt>
                <c:pt idx="3407">
                  <c:v>2.5390622619902551E-2</c:v>
                </c:pt>
                <c:pt idx="3408">
                  <c:v>2.5390581107629616E-2</c:v>
                </c:pt>
                <c:pt idx="3409">
                  <c:v>2.5390539595356663E-2</c:v>
                </c:pt>
                <c:pt idx="3410">
                  <c:v>2.5390498083083721E-2</c:v>
                </c:pt>
                <c:pt idx="3411">
                  <c:v>2.5390456570810779E-2</c:v>
                </c:pt>
                <c:pt idx="3412">
                  <c:v>2.5390415058537837E-2</c:v>
                </c:pt>
                <c:pt idx="3413">
                  <c:v>2.5390373546264892E-2</c:v>
                </c:pt>
                <c:pt idx="3414">
                  <c:v>2.539033203399195E-2</c:v>
                </c:pt>
                <c:pt idx="3415">
                  <c:v>2.5390290521719008E-2</c:v>
                </c:pt>
                <c:pt idx="3416">
                  <c:v>2.5390249009446055E-2</c:v>
                </c:pt>
                <c:pt idx="3417">
                  <c:v>2.5390207497173117E-2</c:v>
                </c:pt>
                <c:pt idx="3418">
                  <c:v>2.5390165984900171E-2</c:v>
                </c:pt>
                <c:pt idx="3419">
                  <c:v>2.5390124472627229E-2</c:v>
                </c:pt>
                <c:pt idx="3420">
                  <c:v>2.5390082960354287E-2</c:v>
                </c:pt>
                <c:pt idx="3421">
                  <c:v>2.5390041448081345E-2</c:v>
                </c:pt>
                <c:pt idx="3422">
                  <c:v>2.5389999935808392E-2</c:v>
                </c:pt>
                <c:pt idx="3423">
                  <c:v>2.5389958423535454E-2</c:v>
                </c:pt>
                <c:pt idx="3424">
                  <c:v>2.5389916911262508E-2</c:v>
                </c:pt>
                <c:pt idx="3425">
                  <c:v>2.5389875398989559E-2</c:v>
                </c:pt>
                <c:pt idx="3426">
                  <c:v>2.5389833886716624E-2</c:v>
                </c:pt>
                <c:pt idx="3427">
                  <c:v>2.5389792374443675E-2</c:v>
                </c:pt>
                <c:pt idx="3428">
                  <c:v>2.5389750862170733E-2</c:v>
                </c:pt>
                <c:pt idx="3429">
                  <c:v>2.5389709349897788E-2</c:v>
                </c:pt>
                <c:pt idx="3430">
                  <c:v>2.5389667837624846E-2</c:v>
                </c:pt>
                <c:pt idx="3431">
                  <c:v>2.53896263253519E-2</c:v>
                </c:pt>
                <c:pt idx="3432">
                  <c:v>2.5389584813078962E-2</c:v>
                </c:pt>
                <c:pt idx="3433">
                  <c:v>2.5389543300806016E-2</c:v>
                </c:pt>
                <c:pt idx="3434">
                  <c:v>2.5389501788533067E-2</c:v>
                </c:pt>
                <c:pt idx="3435">
                  <c:v>2.5389460276260125E-2</c:v>
                </c:pt>
                <c:pt idx="3436">
                  <c:v>2.5389418763987183E-2</c:v>
                </c:pt>
                <c:pt idx="3437">
                  <c:v>2.5389377251714237E-2</c:v>
                </c:pt>
                <c:pt idx="3438">
                  <c:v>2.5389335739441299E-2</c:v>
                </c:pt>
                <c:pt idx="3439">
                  <c:v>2.5389294227168353E-2</c:v>
                </c:pt>
                <c:pt idx="3440">
                  <c:v>2.5389252714895415E-2</c:v>
                </c:pt>
                <c:pt idx="3441">
                  <c:v>2.5389211202622462E-2</c:v>
                </c:pt>
                <c:pt idx="3442">
                  <c:v>2.538916969034952E-2</c:v>
                </c:pt>
                <c:pt idx="3443">
                  <c:v>2.5389128178076578E-2</c:v>
                </c:pt>
                <c:pt idx="3444">
                  <c:v>2.5389086665803636E-2</c:v>
                </c:pt>
                <c:pt idx="3445">
                  <c:v>2.5389045153530691E-2</c:v>
                </c:pt>
                <c:pt idx="3446">
                  <c:v>2.5389003641257749E-2</c:v>
                </c:pt>
                <c:pt idx="3447">
                  <c:v>2.5388962128984807E-2</c:v>
                </c:pt>
                <c:pt idx="3448">
                  <c:v>2.5388920616711854E-2</c:v>
                </c:pt>
                <c:pt idx="3449">
                  <c:v>2.5388879104438915E-2</c:v>
                </c:pt>
                <c:pt idx="3450">
                  <c:v>2.538883759216597E-2</c:v>
                </c:pt>
                <c:pt idx="3451">
                  <c:v>2.5388796079893028E-2</c:v>
                </c:pt>
                <c:pt idx="3452">
                  <c:v>2.5388754567620082E-2</c:v>
                </c:pt>
                <c:pt idx="3453">
                  <c:v>2.538871305534714E-2</c:v>
                </c:pt>
                <c:pt idx="3454">
                  <c:v>2.5388671543074198E-2</c:v>
                </c:pt>
                <c:pt idx="3455">
                  <c:v>2.5388630030801249E-2</c:v>
                </c:pt>
                <c:pt idx="3456">
                  <c:v>2.5388588518528307E-2</c:v>
                </c:pt>
                <c:pt idx="3457">
                  <c:v>2.5388547006255365E-2</c:v>
                </c:pt>
                <c:pt idx="3458">
                  <c:v>2.5388505493982423E-2</c:v>
                </c:pt>
                <c:pt idx="3459">
                  <c:v>2.5388463981709471E-2</c:v>
                </c:pt>
                <c:pt idx="3460">
                  <c:v>2.5388422469436536E-2</c:v>
                </c:pt>
                <c:pt idx="3461">
                  <c:v>2.5388380957163587E-2</c:v>
                </c:pt>
                <c:pt idx="3462">
                  <c:v>2.5388339444890645E-2</c:v>
                </c:pt>
                <c:pt idx="3463">
                  <c:v>2.5388297932617699E-2</c:v>
                </c:pt>
                <c:pt idx="3464">
                  <c:v>2.5388256420344757E-2</c:v>
                </c:pt>
                <c:pt idx="3465">
                  <c:v>2.5388214908071808E-2</c:v>
                </c:pt>
                <c:pt idx="3466">
                  <c:v>2.5388173395798866E-2</c:v>
                </c:pt>
                <c:pt idx="3467">
                  <c:v>2.5388131883525924E-2</c:v>
                </c:pt>
                <c:pt idx="3468">
                  <c:v>2.5388090371252978E-2</c:v>
                </c:pt>
                <c:pt idx="3469">
                  <c:v>2.5388048858980036E-2</c:v>
                </c:pt>
                <c:pt idx="3470">
                  <c:v>2.5388007346707091E-2</c:v>
                </c:pt>
                <c:pt idx="3471">
                  <c:v>2.5387965834434149E-2</c:v>
                </c:pt>
                <c:pt idx="3472">
                  <c:v>2.5387924322161207E-2</c:v>
                </c:pt>
                <c:pt idx="3473">
                  <c:v>2.5387882809888265E-2</c:v>
                </c:pt>
                <c:pt idx="3474">
                  <c:v>2.5387841297615316E-2</c:v>
                </c:pt>
                <c:pt idx="3475">
                  <c:v>2.538779978534237E-2</c:v>
                </c:pt>
                <c:pt idx="3476">
                  <c:v>2.5387758273069428E-2</c:v>
                </c:pt>
                <c:pt idx="3477">
                  <c:v>2.5387716760796479E-2</c:v>
                </c:pt>
                <c:pt idx="3478">
                  <c:v>2.5387675248523544E-2</c:v>
                </c:pt>
                <c:pt idx="3479">
                  <c:v>2.5387633736250595E-2</c:v>
                </c:pt>
                <c:pt idx="3480">
                  <c:v>2.5387592223977653E-2</c:v>
                </c:pt>
                <c:pt idx="3481">
                  <c:v>2.5387550711704707E-2</c:v>
                </c:pt>
                <c:pt idx="3482">
                  <c:v>2.5387509199431765E-2</c:v>
                </c:pt>
                <c:pt idx="3483">
                  <c:v>2.5387467687158823E-2</c:v>
                </c:pt>
                <c:pt idx="3484">
                  <c:v>2.5387426174885881E-2</c:v>
                </c:pt>
                <c:pt idx="3485">
                  <c:v>2.5387384662612932E-2</c:v>
                </c:pt>
                <c:pt idx="3486">
                  <c:v>2.538734315033999E-2</c:v>
                </c:pt>
                <c:pt idx="3487">
                  <c:v>2.5387301638067048E-2</c:v>
                </c:pt>
                <c:pt idx="3488">
                  <c:v>2.5387260125794103E-2</c:v>
                </c:pt>
                <c:pt idx="3489">
                  <c:v>2.5387218613521161E-2</c:v>
                </c:pt>
                <c:pt idx="3490">
                  <c:v>2.5387177101248218E-2</c:v>
                </c:pt>
                <c:pt idx="3491">
                  <c:v>2.5387135588975273E-2</c:v>
                </c:pt>
                <c:pt idx="3492">
                  <c:v>2.5387094076702331E-2</c:v>
                </c:pt>
                <c:pt idx="3493">
                  <c:v>2.5387052564429389E-2</c:v>
                </c:pt>
                <c:pt idx="3494">
                  <c:v>2.538701105215644E-2</c:v>
                </c:pt>
                <c:pt idx="3495">
                  <c:v>2.5386969539883494E-2</c:v>
                </c:pt>
                <c:pt idx="3496">
                  <c:v>2.5386928027610556E-2</c:v>
                </c:pt>
                <c:pt idx="3497">
                  <c:v>2.538688651533761E-2</c:v>
                </c:pt>
                <c:pt idx="3498">
                  <c:v>2.5386845003064668E-2</c:v>
                </c:pt>
                <c:pt idx="3499">
                  <c:v>2.5205731147052247E-2</c:v>
                </c:pt>
                <c:pt idx="3500">
                  <c:v>2.5205689634779305E-2</c:v>
                </c:pt>
                <c:pt idx="3501">
                  <c:v>2.5205648122506363E-2</c:v>
                </c:pt>
                <c:pt idx="3502">
                  <c:v>2.5205606610233421E-2</c:v>
                </c:pt>
                <c:pt idx="3503">
                  <c:v>2.5205565097960472E-2</c:v>
                </c:pt>
                <c:pt idx="3504">
                  <c:v>2.5205523585687527E-2</c:v>
                </c:pt>
                <c:pt idx="3505">
                  <c:v>2.5205482073414585E-2</c:v>
                </c:pt>
                <c:pt idx="3506">
                  <c:v>2.5205440561141643E-2</c:v>
                </c:pt>
                <c:pt idx="3507">
                  <c:v>2.5205399048868694E-2</c:v>
                </c:pt>
                <c:pt idx="3508">
                  <c:v>2.5205357536595752E-2</c:v>
                </c:pt>
                <c:pt idx="3509">
                  <c:v>2.520531602432281E-2</c:v>
                </c:pt>
                <c:pt idx="3510">
                  <c:v>2.5205274512049864E-2</c:v>
                </c:pt>
                <c:pt idx="3511">
                  <c:v>2.5205232999776922E-2</c:v>
                </c:pt>
                <c:pt idx="3512">
                  <c:v>2.520519148750398E-2</c:v>
                </c:pt>
                <c:pt idx="3513">
                  <c:v>2.5205149975231031E-2</c:v>
                </c:pt>
                <c:pt idx="3514">
                  <c:v>2.5205108462958089E-2</c:v>
                </c:pt>
                <c:pt idx="3515">
                  <c:v>2.520506695068515E-2</c:v>
                </c:pt>
                <c:pt idx="3516">
                  <c:v>2.5205025438412201E-2</c:v>
                </c:pt>
                <c:pt idx="3517">
                  <c:v>2.5204983926139266E-2</c:v>
                </c:pt>
                <c:pt idx="3518">
                  <c:v>2.5204942413866317E-2</c:v>
                </c:pt>
                <c:pt idx="3519">
                  <c:v>2.5204900901593372E-2</c:v>
                </c:pt>
                <c:pt idx="3520">
                  <c:v>2.520485938932043E-2</c:v>
                </c:pt>
                <c:pt idx="3521">
                  <c:v>2.5204817877047481E-2</c:v>
                </c:pt>
                <c:pt idx="3522">
                  <c:v>2.5204776364774539E-2</c:v>
                </c:pt>
                <c:pt idx="3523">
                  <c:v>2.5204734852501597E-2</c:v>
                </c:pt>
                <c:pt idx="3524">
                  <c:v>2.5204693340228655E-2</c:v>
                </c:pt>
                <c:pt idx="3525">
                  <c:v>2.5204651827955709E-2</c:v>
                </c:pt>
                <c:pt idx="3526">
                  <c:v>2.5204610315682767E-2</c:v>
                </c:pt>
                <c:pt idx="3527">
                  <c:v>2.5204568803409818E-2</c:v>
                </c:pt>
                <c:pt idx="3528">
                  <c:v>2.5204527291136876E-2</c:v>
                </c:pt>
                <c:pt idx="3529">
                  <c:v>2.5204485778863934E-2</c:v>
                </c:pt>
                <c:pt idx="3530">
                  <c:v>2.5204444266590992E-2</c:v>
                </c:pt>
                <c:pt idx="3531">
                  <c:v>2.5204402754318046E-2</c:v>
                </c:pt>
                <c:pt idx="3532">
                  <c:v>2.5204361242045104E-2</c:v>
                </c:pt>
                <c:pt idx="3533">
                  <c:v>2.5204319729772162E-2</c:v>
                </c:pt>
                <c:pt idx="3534">
                  <c:v>2.520427821749921E-2</c:v>
                </c:pt>
                <c:pt idx="3535">
                  <c:v>2.5204236705226275E-2</c:v>
                </c:pt>
                <c:pt idx="3536">
                  <c:v>2.5204195192953326E-2</c:v>
                </c:pt>
                <c:pt idx="3537">
                  <c:v>2.5204153680680384E-2</c:v>
                </c:pt>
                <c:pt idx="3538">
                  <c:v>2.5204112168407442E-2</c:v>
                </c:pt>
                <c:pt idx="3539">
                  <c:v>2.5204070656134496E-2</c:v>
                </c:pt>
                <c:pt idx="3540">
                  <c:v>2.5204029143861554E-2</c:v>
                </c:pt>
                <c:pt idx="3541">
                  <c:v>2.5203987631588615E-2</c:v>
                </c:pt>
                <c:pt idx="3542">
                  <c:v>2.5203946119315663E-2</c:v>
                </c:pt>
                <c:pt idx="3543">
                  <c:v>2.5203904607042717E-2</c:v>
                </c:pt>
                <c:pt idx="3544">
                  <c:v>2.5203863094769779E-2</c:v>
                </c:pt>
                <c:pt idx="3545">
                  <c:v>2.5203821582496833E-2</c:v>
                </c:pt>
                <c:pt idx="3546">
                  <c:v>2.5203780070223891E-2</c:v>
                </c:pt>
                <c:pt idx="3547">
                  <c:v>2.5203738557950949E-2</c:v>
                </c:pt>
                <c:pt idx="3548">
                  <c:v>2.5203697045678E-2</c:v>
                </c:pt>
                <c:pt idx="3549">
                  <c:v>2.5203655533405055E-2</c:v>
                </c:pt>
                <c:pt idx="3550">
                  <c:v>2.5203614021132113E-2</c:v>
                </c:pt>
                <c:pt idx="3551">
                  <c:v>2.5203572508859171E-2</c:v>
                </c:pt>
                <c:pt idx="3552">
                  <c:v>2.5203530996586222E-2</c:v>
                </c:pt>
                <c:pt idx="3553">
                  <c:v>2.5203489484313286E-2</c:v>
                </c:pt>
                <c:pt idx="3554">
                  <c:v>2.5203447972040341E-2</c:v>
                </c:pt>
                <c:pt idx="3555">
                  <c:v>2.5203406459767392E-2</c:v>
                </c:pt>
                <c:pt idx="3556">
                  <c:v>2.520336494749445E-2</c:v>
                </c:pt>
                <c:pt idx="3557">
                  <c:v>2.5203323435221508E-2</c:v>
                </c:pt>
                <c:pt idx="3558">
                  <c:v>2.5203281922948562E-2</c:v>
                </c:pt>
                <c:pt idx="3559">
                  <c:v>2.520324041067562E-2</c:v>
                </c:pt>
                <c:pt idx="3560">
                  <c:v>2.5203198898402678E-2</c:v>
                </c:pt>
                <c:pt idx="3561">
                  <c:v>2.5203157386129729E-2</c:v>
                </c:pt>
                <c:pt idx="3562">
                  <c:v>2.5203115873856787E-2</c:v>
                </c:pt>
                <c:pt idx="3563">
                  <c:v>2.5203074361583845E-2</c:v>
                </c:pt>
                <c:pt idx="3564">
                  <c:v>2.52030328493109E-2</c:v>
                </c:pt>
                <c:pt idx="3565">
                  <c:v>2.5202991337037958E-2</c:v>
                </c:pt>
                <c:pt idx="3566">
                  <c:v>2.5202949824765009E-2</c:v>
                </c:pt>
                <c:pt idx="3567">
                  <c:v>2.5202908312492067E-2</c:v>
                </c:pt>
                <c:pt idx="3568">
                  <c:v>2.5202866800219121E-2</c:v>
                </c:pt>
                <c:pt idx="3569">
                  <c:v>2.5202825287946182E-2</c:v>
                </c:pt>
                <c:pt idx="3570">
                  <c:v>2.5202783775673237E-2</c:v>
                </c:pt>
                <c:pt idx="3571">
                  <c:v>2.5202742263400295E-2</c:v>
                </c:pt>
                <c:pt idx="3572">
                  <c:v>2.5202700751127353E-2</c:v>
                </c:pt>
                <c:pt idx="3573">
                  <c:v>2.52026592388544E-2</c:v>
                </c:pt>
                <c:pt idx="3574">
                  <c:v>2.5202617726581465E-2</c:v>
                </c:pt>
                <c:pt idx="3575">
                  <c:v>2.5202576214308516E-2</c:v>
                </c:pt>
                <c:pt idx="3576">
                  <c:v>2.5202534702035574E-2</c:v>
                </c:pt>
                <c:pt idx="3577">
                  <c:v>2.5202493189762632E-2</c:v>
                </c:pt>
                <c:pt idx="3578">
                  <c:v>2.520245167748969E-2</c:v>
                </c:pt>
                <c:pt idx="3579">
                  <c:v>2.5202410165216745E-2</c:v>
                </c:pt>
                <c:pt idx="3580">
                  <c:v>2.5202368652943802E-2</c:v>
                </c:pt>
                <c:pt idx="3581">
                  <c:v>2.5202327140670854E-2</c:v>
                </c:pt>
                <c:pt idx="3582">
                  <c:v>2.5202285628397911E-2</c:v>
                </c:pt>
                <c:pt idx="3583">
                  <c:v>2.5202244116124969E-2</c:v>
                </c:pt>
                <c:pt idx="3584">
                  <c:v>2.5202202603852024E-2</c:v>
                </c:pt>
                <c:pt idx="3585">
                  <c:v>2.5202161091579082E-2</c:v>
                </c:pt>
                <c:pt idx="3586">
                  <c:v>2.5202119579306133E-2</c:v>
                </c:pt>
                <c:pt idx="3587">
                  <c:v>2.5202078067033198E-2</c:v>
                </c:pt>
                <c:pt idx="3588">
                  <c:v>2.5202036554760245E-2</c:v>
                </c:pt>
                <c:pt idx="3589">
                  <c:v>2.5201995042487307E-2</c:v>
                </c:pt>
                <c:pt idx="3590">
                  <c:v>2.5201953530214361E-2</c:v>
                </c:pt>
                <c:pt idx="3591">
                  <c:v>2.5201912017941419E-2</c:v>
                </c:pt>
                <c:pt idx="3592">
                  <c:v>2.520187050566847E-2</c:v>
                </c:pt>
                <c:pt idx="3593">
                  <c:v>2.5201828993395532E-2</c:v>
                </c:pt>
                <c:pt idx="3594">
                  <c:v>2.5201787481122589E-2</c:v>
                </c:pt>
                <c:pt idx="3595">
                  <c:v>2.520174596884964E-2</c:v>
                </c:pt>
                <c:pt idx="3596">
                  <c:v>2.5201704456576698E-2</c:v>
                </c:pt>
                <c:pt idx="3597">
                  <c:v>2.5201662944303753E-2</c:v>
                </c:pt>
                <c:pt idx="3598">
                  <c:v>2.5201621432030804E-2</c:v>
                </c:pt>
                <c:pt idx="3599">
                  <c:v>2.5201579919757862E-2</c:v>
                </c:pt>
                <c:pt idx="3600">
                  <c:v>2.5201538407484927E-2</c:v>
                </c:pt>
                <c:pt idx="3601">
                  <c:v>2.5201496895211974E-2</c:v>
                </c:pt>
                <c:pt idx="3602">
                  <c:v>2.5201455382939032E-2</c:v>
                </c:pt>
                <c:pt idx="3603">
                  <c:v>2.520141387066609E-2</c:v>
                </c:pt>
                <c:pt idx="3604">
                  <c:v>2.5201372358393141E-2</c:v>
                </c:pt>
                <c:pt idx="3605">
                  <c:v>2.5201330846120206E-2</c:v>
                </c:pt>
                <c:pt idx="3606">
                  <c:v>2.5201289333847257E-2</c:v>
                </c:pt>
                <c:pt idx="3607">
                  <c:v>2.5201247821574315E-2</c:v>
                </c:pt>
                <c:pt idx="3608">
                  <c:v>2.520120630930137E-2</c:v>
                </c:pt>
                <c:pt idx="3609">
                  <c:v>2.5201164797028427E-2</c:v>
                </c:pt>
                <c:pt idx="3610">
                  <c:v>2.5201123284755478E-2</c:v>
                </c:pt>
                <c:pt idx="3611">
                  <c:v>2.5201081772482536E-2</c:v>
                </c:pt>
                <c:pt idx="3612">
                  <c:v>2.5201040260209594E-2</c:v>
                </c:pt>
                <c:pt idx="3613">
                  <c:v>2.5200998747936649E-2</c:v>
                </c:pt>
                <c:pt idx="3614">
                  <c:v>2.5200957235663707E-2</c:v>
                </c:pt>
                <c:pt idx="3615">
                  <c:v>2.5200915723390765E-2</c:v>
                </c:pt>
                <c:pt idx="3616">
                  <c:v>2.5200874211117819E-2</c:v>
                </c:pt>
                <c:pt idx="3617">
                  <c:v>2.5200832698844877E-2</c:v>
                </c:pt>
                <c:pt idx="3618">
                  <c:v>2.5200791186571935E-2</c:v>
                </c:pt>
                <c:pt idx="3619">
                  <c:v>2.5200749674298986E-2</c:v>
                </c:pt>
                <c:pt idx="3620">
                  <c:v>2.5200708162026041E-2</c:v>
                </c:pt>
                <c:pt idx="3621">
                  <c:v>2.5200666649753102E-2</c:v>
                </c:pt>
                <c:pt idx="3622">
                  <c:v>2.5200625137480157E-2</c:v>
                </c:pt>
                <c:pt idx="3623">
                  <c:v>2.5200583625207214E-2</c:v>
                </c:pt>
                <c:pt idx="3624">
                  <c:v>2.5200542112934272E-2</c:v>
                </c:pt>
                <c:pt idx="3625">
                  <c:v>2.5200500600661323E-2</c:v>
                </c:pt>
                <c:pt idx="3626">
                  <c:v>2.5200459088388378E-2</c:v>
                </c:pt>
                <c:pt idx="3627">
                  <c:v>2.5200417576115436E-2</c:v>
                </c:pt>
                <c:pt idx="3628">
                  <c:v>2.5200376063842494E-2</c:v>
                </c:pt>
                <c:pt idx="3629">
                  <c:v>2.5200334551569552E-2</c:v>
                </c:pt>
                <c:pt idx="3630">
                  <c:v>2.520029303929661E-2</c:v>
                </c:pt>
                <c:pt idx="3631">
                  <c:v>2.5200251527023661E-2</c:v>
                </c:pt>
                <c:pt idx="3632">
                  <c:v>2.5200210014750715E-2</c:v>
                </c:pt>
                <c:pt idx="3633">
                  <c:v>2.520016850247778E-2</c:v>
                </c:pt>
                <c:pt idx="3634">
                  <c:v>2.5200126990204831E-2</c:v>
                </c:pt>
                <c:pt idx="3635">
                  <c:v>2.5200085477931889E-2</c:v>
                </c:pt>
                <c:pt idx="3636">
                  <c:v>2.5200043965658944E-2</c:v>
                </c:pt>
                <c:pt idx="3637">
                  <c:v>2.5200002453386001E-2</c:v>
                </c:pt>
                <c:pt idx="3638">
                  <c:v>2.5199960941113052E-2</c:v>
                </c:pt>
                <c:pt idx="3639">
                  <c:v>2.5199919428840117E-2</c:v>
                </c:pt>
                <c:pt idx="3640">
                  <c:v>2.5199877916567165E-2</c:v>
                </c:pt>
                <c:pt idx="3641">
                  <c:v>2.5199836404294223E-2</c:v>
                </c:pt>
                <c:pt idx="3642">
                  <c:v>2.5199794892021281E-2</c:v>
                </c:pt>
                <c:pt idx="3643">
                  <c:v>2.5199753379748339E-2</c:v>
                </c:pt>
                <c:pt idx="3644">
                  <c:v>2.519971186747539E-2</c:v>
                </c:pt>
                <c:pt idx="3645">
                  <c:v>2.5199670355202455E-2</c:v>
                </c:pt>
                <c:pt idx="3646">
                  <c:v>2.5199628842929506E-2</c:v>
                </c:pt>
                <c:pt idx="3647">
                  <c:v>2.5199587330656553E-2</c:v>
                </c:pt>
                <c:pt idx="3648">
                  <c:v>2.5199545818383618E-2</c:v>
                </c:pt>
                <c:pt idx="3649">
                  <c:v>2.5199504306110669E-2</c:v>
                </c:pt>
                <c:pt idx="3650">
                  <c:v>2.5199462793837727E-2</c:v>
                </c:pt>
                <c:pt idx="3651">
                  <c:v>2.5199421281564785E-2</c:v>
                </c:pt>
                <c:pt idx="3652">
                  <c:v>2.5199379769291839E-2</c:v>
                </c:pt>
                <c:pt idx="3653">
                  <c:v>2.5199338257018897E-2</c:v>
                </c:pt>
                <c:pt idx="3654">
                  <c:v>2.5199296744745955E-2</c:v>
                </c:pt>
                <c:pt idx="3655">
                  <c:v>2.519925523247301E-2</c:v>
                </c:pt>
                <c:pt idx="3656">
                  <c:v>2.5199213720200061E-2</c:v>
                </c:pt>
                <c:pt idx="3657">
                  <c:v>2.5199172207927126E-2</c:v>
                </c:pt>
                <c:pt idx="3658">
                  <c:v>2.5199130695654177E-2</c:v>
                </c:pt>
                <c:pt idx="3659">
                  <c:v>2.5199089183381235E-2</c:v>
                </c:pt>
                <c:pt idx="3660">
                  <c:v>2.5199047671108293E-2</c:v>
                </c:pt>
                <c:pt idx="3661">
                  <c:v>2.5199006158835347E-2</c:v>
                </c:pt>
                <c:pt idx="3662">
                  <c:v>2.5198964646562398E-2</c:v>
                </c:pt>
                <c:pt idx="3663">
                  <c:v>2.5198923134289463E-2</c:v>
                </c:pt>
                <c:pt idx="3664">
                  <c:v>2.5198881622016514E-2</c:v>
                </c:pt>
                <c:pt idx="3665">
                  <c:v>2.5198840109743569E-2</c:v>
                </c:pt>
                <c:pt idx="3666">
                  <c:v>2.5198798597470626E-2</c:v>
                </c:pt>
                <c:pt idx="3667">
                  <c:v>2.5198757085197684E-2</c:v>
                </c:pt>
                <c:pt idx="3668">
                  <c:v>2.5198715572924742E-2</c:v>
                </c:pt>
                <c:pt idx="3669">
                  <c:v>2.51986740606518E-2</c:v>
                </c:pt>
                <c:pt idx="3670">
                  <c:v>2.5198632548378851E-2</c:v>
                </c:pt>
                <c:pt idx="3671">
                  <c:v>2.5198591036105906E-2</c:v>
                </c:pt>
                <c:pt idx="3672">
                  <c:v>2.5198549523832971E-2</c:v>
                </c:pt>
                <c:pt idx="3673">
                  <c:v>2.5198508011560022E-2</c:v>
                </c:pt>
                <c:pt idx="3674">
                  <c:v>2.519846649928708E-2</c:v>
                </c:pt>
                <c:pt idx="3675">
                  <c:v>2.5198424987014138E-2</c:v>
                </c:pt>
                <c:pt idx="3676">
                  <c:v>2.5198383474741192E-2</c:v>
                </c:pt>
                <c:pt idx="3677">
                  <c:v>2.519834196246825E-2</c:v>
                </c:pt>
                <c:pt idx="3678">
                  <c:v>2.5198300450195301E-2</c:v>
                </c:pt>
                <c:pt idx="3679">
                  <c:v>2.5198258937922359E-2</c:v>
                </c:pt>
                <c:pt idx="3680">
                  <c:v>2.5198217425649417E-2</c:v>
                </c:pt>
                <c:pt idx="3681">
                  <c:v>2.5198175913376471E-2</c:v>
                </c:pt>
                <c:pt idx="3682">
                  <c:v>2.5018598611270097E-2</c:v>
                </c:pt>
                <c:pt idx="3683">
                  <c:v>2.5018557098997151E-2</c:v>
                </c:pt>
                <c:pt idx="3684">
                  <c:v>2.5018515586724209E-2</c:v>
                </c:pt>
                <c:pt idx="3685">
                  <c:v>2.5018474074451267E-2</c:v>
                </c:pt>
                <c:pt idx="3686">
                  <c:v>2.5018432562178325E-2</c:v>
                </c:pt>
                <c:pt idx="3687">
                  <c:v>2.5018391049905376E-2</c:v>
                </c:pt>
                <c:pt idx="3688">
                  <c:v>2.5018349537632434E-2</c:v>
                </c:pt>
                <c:pt idx="3689">
                  <c:v>2.5018308025359488E-2</c:v>
                </c:pt>
                <c:pt idx="3690">
                  <c:v>2.5018266513086546E-2</c:v>
                </c:pt>
                <c:pt idx="3691">
                  <c:v>2.5018225000813604E-2</c:v>
                </c:pt>
                <c:pt idx="3692">
                  <c:v>2.5018183488540655E-2</c:v>
                </c:pt>
                <c:pt idx="3693">
                  <c:v>2.5018141976267713E-2</c:v>
                </c:pt>
                <c:pt idx="3694">
                  <c:v>2.5018100463994771E-2</c:v>
                </c:pt>
                <c:pt idx="3695">
                  <c:v>2.5018058951721826E-2</c:v>
                </c:pt>
                <c:pt idx="3696">
                  <c:v>2.5018017439448887E-2</c:v>
                </c:pt>
                <c:pt idx="3697">
                  <c:v>2.5017975927175942E-2</c:v>
                </c:pt>
                <c:pt idx="3698">
                  <c:v>2.5017934414902999E-2</c:v>
                </c:pt>
                <c:pt idx="3699">
                  <c:v>2.5017892902630054E-2</c:v>
                </c:pt>
                <c:pt idx="3700">
                  <c:v>2.5017851390357112E-2</c:v>
                </c:pt>
                <c:pt idx="3701">
                  <c:v>2.5017809878084163E-2</c:v>
                </c:pt>
                <c:pt idx="3702">
                  <c:v>2.5017768365811221E-2</c:v>
                </c:pt>
                <c:pt idx="3703">
                  <c:v>2.5017726853538279E-2</c:v>
                </c:pt>
                <c:pt idx="3704">
                  <c:v>2.5017685341265333E-2</c:v>
                </c:pt>
                <c:pt idx="3705">
                  <c:v>2.5017643828992391E-2</c:v>
                </c:pt>
                <c:pt idx="3706">
                  <c:v>2.5017602316719442E-2</c:v>
                </c:pt>
                <c:pt idx="3707">
                  <c:v>2.50175608044465E-2</c:v>
                </c:pt>
                <c:pt idx="3708">
                  <c:v>2.5017519292173558E-2</c:v>
                </c:pt>
                <c:pt idx="3709">
                  <c:v>2.5017477779900616E-2</c:v>
                </c:pt>
                <c:pt idx="3710">
                  <c:v>2.5017436267627671E-2</c:v>
                </c:pt>
                <c:pt idx="3711">
                  <c:v>2.5017394755354722E-2</c:v>
                </c:pt>
                <c:pt idx="3712">
                  <c:v>2.501735324308178E-2</c:v>
                </c:pt>
                <c:pt idx="3713">
                  <c:v>2.5017311730808834E-2</c:v>
                </c:pt>
                <c:pt idx="3714">
                  <c:v>2.5017270218535895E-2</c:v>
                </c:pt>
                <c:pt idx="3715">
                  <c:v>2.501722870626295E-2</c:v>
                </c:pt>
                <c:pt idx="3716">
                  <c:v>2.5017187193990011E-2</c:v>
                </c:pt>
                <c:pt idx="3717">
                  <c:v>2.5017145681717062E-2</c:v>
                </c:pt>
                <c:pt idx="3718">
                  <c:v>2.501710416944412E-2</c:v>
                </c:pt>
                <c:pt idx="3719">
                  <c:v>2.5017062657171178E-2</c:v>
                </c:pt>
                <c:pt idx="3720">
                  <c:v>2.5017021144898229E-2</c:v>
                </c:pt>
                <c:pt idx="3721">
                  <c:v>2.5016979632625287E-2</c:v>
                </c:pt>
                <c:pt idx="3722">
                  <c:v>2.5016938120352342E-2</c:v>
                </c:pt>
                <c:pt idx="3723">
                  <c:v>2.5016896608079403E-2</c:v>
                </c:pt>
                <c:pt idx="3724">
                  <c:v>2.5016855095806451E-2</c:v>
                </c:pt>
                <c:pt idx="3725">
                  <c:v>2.5016813583533516E-2</c:v>
                </c:pt>
                <c:pt idx="3726">
                  <c:v>2.5016772071260567E-2</c:v>
                </c:pt>
                <c:pt idx="3727">
                  <c:v>2.5016730558987621E-2</c:v>
                </c:pt>
                <c:pt idx="3728">
                  <c:v>2.5016689046714679E-2</c:v>
                </c:pt>
                <c:pt idx="3729">
                  <c:v>2.501664753444173E-2</c:v>
                </c:pt>
                <c:pt idx="3730">
                  <c:v>2.5016606022168788E-2</c:v>
                </c:pt>
                <c:pt idx="3731">
                  <c:v>2.5016564509895846E-2</c:v>
                </c:pt>
                <c:pt idx="3732">
                  <c:v>2.5016522997622904E-2</c:v>
                </c:pt>
                <c:pt idx="3733">
                  <c:v>2.5016481485349958E-2</c:v>
                </c:pt>
                <c:pt idx="3734">
                  <c:v>2.5016439973077016E-2</c:v>
                </c:pt>
                <c:pt idx="3735">
                  <c:v>2.5016398460804067E-2</c:v>
                </c:pt>
                <c:pt idx="3736">
                  <c:v>2.5016356948531122E-2</c:v>
                </c:pt>
                <c:pt idx="3737">
                  <c:v>2.5016315436258187E-2</c:v>
                </c:pt>
                <c:pt idx="3738">
                  <c:v>2.5016273923985238E-2</c:v>
                </c:pt>
                <c:pt idx="3739">
                  <c:v>2.5016232411712296E-2</c:v>
                </c:pt>
                <c:pt idx="3740">
                  <c:v>2.5016190899439354E-2</c:v>
                </c:pt>
                <c:pt idx="3741">
                  <c:v>2.5016149387166408E-2</c:v>
                </c:pt>
                <c:pt idx="3742">
                  <c:v>2.5016107874893466E-2</c:v>
                </c:pt>
                <c:pt idx="3743">
                  <c:v>2.5016066362620524E-2</c:v>
                </c:pt>
                <c:pt idx="3744">
                  <c:v>2.5016024850347582E-2</c:v>
                </c:pt>
                <c:pt idx="3745">
                  <c:v>2.5015983338074633E-2</c:v>
                </c:pt>
                <c:pt idx="3746">
                  <c:v>2.5015941825801691E-2</c:v>
                </c:pt>
                <c:pt idx="3747">
                  <c:v>2.5015900313528745E-2</c:v>
                </c:pt>
                <c:pt idx="3748">
                  <c:v>2.5015858801255796E-2</c:v>
                </c:pt>
                <c:pt idx="3749">
                  <c:v>2.5015817288982861E-2</c:v>
                </c:pt>
                <c:pt idx="3750">
                  <c:v>2.5015775776709912E-2</c:v>
                </c:pt>
                <c:pt idx="3751">
                  <c:v>2.5015734264436977E-2</c:v>
                </c:pt>
                <c:pt idx="3752">
                  <c:v>2.5015692752164028E-2</c:v>
                </c:pt>
                <c:pt idx="3753">
                  <c:v>2.5015651239891083E-2</c:v>
                </c:pt>
                <c:pt idx="3754">
                  <c:v>2.5015609727618141E-2</c:v>
                </c:pt>
                <c:pt idx="3755">
                  <c:v>2.5015568215345198E-2</c:v>
                </c:pt>
                <c:pt idx="3756">
                  <c:v>2.5015526703072253E-2</c:v>
                </c:pt>
                <c:pt idx="3757">
                  <c:v>2.5015485190799311E-2</c:v>
                </c:pt>
                <c:pt idx="3758">
                  <c:v>2.5015443678526369E-2</c:v>
                </c:pt>
                <c:pt idx="3759">
                  <c:v>2.501540216625342E-2</c:v>
                </c:pt>
                <c:pt idx="3760">
                  <c:v>2.5015360653980478E-2</c:v>
                </c:pt>
                <c:pt idx="3761">
                  <c:v>2.5015319141707536E-2</c:v>
                </c:pt>
                <c:pt idx="3762">
                  <c:v>2.501527762943459E-2</c:v>
                </c:pt>
                <c:pt idx="3763">
                  <c:v>2.5015236117161652E-2</c:v>
                </c:pt>
                <c:pt idx="3764">
                  <c:v>2.5015194604888706E-2</c:v>
                </c:pt>
                <c:pt idx="3765">
                  <c:v>2.5015153092615757E-2</c:v>
                </c:pt>
                <c:pt idx="3766">
                  <c:v>2.5015111580342822E-2</c:v>
                </c:pt>
                <c:pt idx="3767">
                  <c:v>2.501507006806987E-2</c:v>
                </c:pt>
                <c:pt idx="3768">
                  <c:v>2.5015028555796927E-2</c:v>
                </c:pt>
                <c:pt idx="3769">
                  <c:v>2.5014987043523985E-2</c:v>
                </c:pt>
                <c:pt idx="3770">
                  <c:v>2.5014945531251043E-2</c:v>
                </c:pt>
                <c:pt idx="3771">
                  <c:v>2.5014904018978094E-2</c:v>
                </c:pt>
                <c:pt idx="3772">
                  <c:v>2.5014862506705159E-2</c:v>
                </c:pt>
                <c:pt idx="3773">
                  <c:v>2.5014820994432207E-2</c:v>
                </c:pt>
                <c:pt idx="3774">
                  <c:v>2.5014779482159258E-2</c:v>
                </c:pt>
                <c:pt idx="3775">
                  <c:v>2.5014737969886323E-2</c:v>
                </c:pt>
                <c:pt idx="3776">
                  <c:v>2.5014696457613377E-2</c:v>
                </c:pt>
                <c:pt idx="3777">
                  <c:v>2.5014654945340435E-2</c:v>
                </c:pt>
                <c:pt idx="3778">
                  <c:v>2.5014613433067486E-2</c:v>
                </c:pt>
                <c:pt idx="3779">
                  <c:v>2.5014571920794551E-2</c:v>
                </c:pt>
                <c:pt idx="3780">
                  <c:v>2.5014530408521599E-2</c:v>
                </c:pt>
                <c:pt idx="3781">
                  <c:v>2.5014488896248657E-2</c:v>
                </c:pt>
                <c:pt idx="3782">
                  <c:v>2.5014447383975714E-2</c:v>
                </c:pt>
                <c:pt idx="3783">
                  <c:v>2.5014405871702765E-2</c:v>
                </c:pt>
                <c:pt idx="3784">
                  <c:v>2.501436435942983E-2</c:v>
                </c:pt>
                <c:pt idx="3785">
                  <c:v>2.5014322847156881E-2</c:v>
                </c:pt>
                <c:pt idx="3786">
                  <c:v>2.5014281334883939E-2</c:v>
                </c:pt>
                <c:pt idx="3787">
                  <c:v>2.5014239822610994E-2</c:v>
                </c:pt>
                <c:pt idx="3788">
                  <c:v>2.5014198310338052E-2</c:v>
                </c:pt>
                <c:pt idx="3789">
                  <c:v>2.5014156798065103E-2</c:v>
                </c:pt>
                <c:pt idx="3790">
                  <c:v>2.5014115285792161E-2</c:v>
                </c:pt>
                <c:pt idx="3791">
                  <c:v>2.5014073773519219E-2</c:v>
                </c:pt>
                <c:pt idx="3792">
                  <c:v>2.5014032261246273E-2</c:v>
                </c:pt>
                <c:pt idx="3793">
                  <c:v>2.5013990748973331E-2</c:v>
                </c:pt>
                <c:pt idx="3794">
                  <c:v>2.5013949236700389E-2</c:v>
                </c:pt>
                <c:pt idx="3795">
                  <c:v>2.5013907724427444E-2</c:v>
                </c:pt>
                <c:pt idx="3796">
                  <c:v>2.5013866212154501E-2</c:v>
                </c:pt>
                <c:pt idx="3797">
                  <c:v>2.5013824699881559E-2</c:v>
                </c:pt>
                <c:pt idx="3798">
                  <c:v>2.501378318760861E-2</c:v>
                </c:pt>
                <c:pt idx="3799">
                  <c:v>2.5013741675335665E-2</c:v>
                </c:pt>
                <c:pt idx="3800">
                  <c:v>2.5013700163062726E-2</c:v>
                </c:pt>
                <c:pt idx="3801">
                  <c:v>2.5013658650789781E-2</c:v>
                </c:pt>
                <c:pt idx="3802">
                  <c:v>2.5013617138516839E-2</c:v>
                </c:pt>
                <c:pt idx="3803">
                  <c:v>2.501357562624389E-2</c:v>
                </c:pt>
                <c:pt idx="3804">
                  <c:v>2.5013534113970948E-2</c:v>
                </c:pt>
                <c:pt idx="3805">
                  <c:v>2.5013492601698002E-2</c:v>
                </c:pt>
                <c:pt idx="3806">
                  <c:v>2.5013451089425064E-2</c:v>
                </c:pt>
                <c:pt idx="3807">
                  <c:v>2.5013409577152118E-2</c:v>
                </c:pt>
                <c:pt idx="3808">
                  <c:v>2.5013368064879176E-2</c:v>
                </c:pt>
                <c:pt idx="3809">
                  <c:v>2.5013326552606234E-2</c:v>
                </c:pt>
                <c:pt idx="3810">
                  <c:v>2.5013285040333285E-2</c:v>
                </c:pt>
                <c:pt idx="3811">
                  <c:v>2.5013243528060343E-2</c:v>
                </c:pt>
                <c:pt idx="3812">
                  <c:v>2.5013202015787401E-2</c:v>
                </c:pt>
                <c:pt idx="3813">
                  <c:v>2.5013160503514455E-2</c:v>
                </c:pt>
                <c:pt idx="3814">
                  <c:v>2.5013118991241513E-2</c:v>
                </c:pt>
                <c:pt idx="3815">
                  <c:v>2.5013077478968568E-2</c:v>
                </c:pt>
                <c:pt idx="3816">
                  <c:v>2.5013035966695626E-2</c:v>
                </c:pt>
                <c:pt idx="3817">
                  <c:v>2.5012994454422677E-2</c:v>
                </c:pt>
                <c:pt idx="3818">
                  <c:v>2.5012952942149742E-2</c:v>
                </c:pt>
                <c:pt idx="3819">
                  <c:v>2.5012911429876789E-2</c:v>
                </c:pt>
                <c:pt idx="3820">
                  <c:v>2.5012869917603851E-2</c:v>
                </c:pt>
                <c:pt idx="3821">
                  <c:v>2.5012828405330905E-2</c:v>
                </c:pt>
                <c:pt idx="3822">
                  <c:v>2.5012786893057963E-2</c:v>
                </c:pt>
                <c:pt idx="3823">
                  <c:v>2.5012745380785014E-2</c:v>
                </c:pt>
                <c:pt idx="3824">
                  <c:v>2.5012703868512069E-2</c:v>
                </c:pt>
                <c:pt idx="3825">
                  <c:v>2.501266235623913E-2</c:v>
                </c:pt>
                <c:pt idx="3826">
                  <c:v>2.5012620843966177E-2</c:v>
                </c:pt>
                <c:pt idx="3827">
                  <c:v>2.5012579331693242E-2</c:v>
                </c:pt>
                <c:pt idx="3828">
                  <c:v>2.5012537819420293E-2</c:v>
                </c:pt>
                <c:pt idx="3829">
                  <c:v>2.5012496307147351E-2</c:v>
                </c:pt>
                <c:pt idx="3830">
                  <c:v>2.5012454794874409E-2</c:v>
                </c:pt>
                <c:pt idx="3831">
                  <c:v>2.5012413282601467E-2</c:v>
                </c:pt>
                <c:pt idx="3832">
                  <c:v>2.5012371770328522E-2</c:v>
                </c:pt>
                <c:pt idx="3833">
                  <c:v>2.501233025805558E-2</c:v>
                </c:pt>
                <c:pt idx="3834">
                  <c:v>2.5012288745782634E-2</c:v>
                </c:pt>
                <c:pt idx="3835">
                  <c:v>2.5012247233509685E-2</c:v>
                </c:pt>
                <c:pt idx="3836">
                  <c:v>2.501220572123675E-2</c:v>
                </c:pt>
                <c:pt idx="3837">
                  <c:v>2.5012164208963801E-2</c:v>
                </c:pt>
                <c:pt idx="3838">
                  <c:v>2.5012122696690859E-2</c:v>
                </c:pt>
                <c:pt idx="3839">
                  <c:v>2.5012081184417913E-2</c:v>
                </c:pt>
                <c:pt idx="3840">
                  <c:v>2.5012039672144975E-2</c:v>
                </c:pt>
                <c:pt idx="3841">
                  <c:v>2.5011998159872022E-2</c:v>
                </c:pt>
                <c:pt idx="3842">
                  <c:v>2.5011956647599087E-2</c:v>
                </c:pt>
                <c:pt idx="3843">
                  <c:v>2.5011915135326138E-2</c:v>
                </c:pt>
                <c:pt idx="3844">
                  <c:v>2.5011873623053193E-2</c:v>
                </c:pt>
                <c:pt idx="3845">
                  <c:v>2.5011832110780251E-2</c:v>
                </c:pt>
                <c:pt idx="3846">
                  <c:v>2.5011790598507309E-2</c:v>
                </c:pt>
                <c:pt idx="3847">
                  <c:v>2.5011749086234367E-2</c:v>
                </c:pt>
                <c:pt idx="3848">
                  <c:v>2.5011707573961418E-2</c:v>
                </c:pt>
                <c:pt idx="3849">
                  <c:v>2.5011666061688476E-2</c:v>
                </c:pt>
                <c:pt idx="3850">
                  <c:v>2.501162454941553E-2</c:v>
                </c:pt>
                <c:pt idx="3851">
                  <c:v>2.5011583037142588E-2</c:v>
                </c:pt>
                <c:pt idx="3852">
                  <c:v>2.5011541524869646E-2</c:v>
                </c:pt>
                <c:pt idx="3853">
                  <c:v>2.50115000125967E-2</c:v>
                </c:pt>
                <c:pt idx="3854">
                  <c:v>2.5011458500323758E-2</c:v>
                </c:pt>
                <c:pt idx="3855">
                  <c:v>2.5011416988050816E-2</c:v>
                </c:pt>
                <c:pt idx="3856">
                  <c:v>2.5011375475777867E-2</c:v>
                </c:pt>
                <c:pt idx="3857">
                  <c:v>2.5011333963504922E-2</c:v>
                </c:pt>
                <c:pt idx="3858">
                  <c:v>2.5011292451231983E-2</c:v>
                </c:pt>
                <c:pt idx="3859">
                  <c:v>2.5011250938959038E-2</c:v>
                </c:pt>
                <c:pt idx="3860">
                  <c:v>2.5011209426686096E-2</c:v>
                </c:pt>
                <c:pt idx="3861">
                  <c:v>2.5011167914413154E-2</c:v>
                </c:pt>
                <c:pt idx="3862">
                  <c:v>2.5011126402140205E-2</c:v>
                </c:pt>
                <c:pt idx="3863">
                  <c:v>2.5011084889867259E-2</c:v>
                </c:pt>
                <c:pt idx="3864">
                  <c:v>2.5011043377594321E-2</c:v>
                </c:pt>
                <c:pt idx="3865">
                  <c:v>2.4833052191729096E-2</c:v>
                </c:pt>
                <c:pt idx="3866">
                  <c:v>2.4833010679456154E-2</c:v>
                </c:pt>
                <c:pt idx="3867">
                  <c:v>2.4832969167183212E-2</c:v>
                </c:pt>
                <c:pt idx="3868">
                  <c:v>2.483292765491027E-2</c:v>
                </c:pt>
                <c:pt idx="3869">
                  <c:v>2.4832886142637324E-2</c:v>
                </c:pt>
                <c:pt idx="3870">
                  <c:v>2.4832844630364385E-2</c:v>
                </c:pt>
                <c:pt idx="3871">
                  <c:v>2.483280311809144E-2</c:v>
                </c:pt>
                <c:pt idx="3872">
                  <c:v>2.4832761605818491E-2</c:v>
                </c:pt>
                <c:pt idx="3873">
                  <c:v>2.4832720093545549E-2</c:v>
                </c:pt>
                <c:pt idx="3874">
                  <c:v>2.4832678581272603E-2</c:v>
                </c:pt>
                <c:pt idx="3875">
                  <c:v>2.4832637068999661E-2</c:v>
                </c:pt>
                <c:pt idx="3876">
                  <c:v>2.4832595556726719E-2</c:v>
                </c:pt>
                <c:pt idx="3877">
                  <c:v>2.4832554044453774E-2</c:v>
                </c:pt>
                <c:pt idx="3878">
                  <c:v>2.4832512532180832E-2</c:v>
                </c:pt>
                <c:pt idx="3879">
                  <c:v>2.4832471019907893E-2</c:v>
                </c:pt>
                <c:pt idx="3880">
                  <c:v>2.4832429507634941E-2</c:v>
                </c:pt>
                <c:pt idx="3881">
                  <c:v>2.4832387995361995E-2</c:v>
                </c:pt>
                <c:pt idx="3882">
                  <c:v>2.4832346483089057E-2</c:v>
                </c:pt>
                <c:pt idx="3883">
                  <c:v>2.4832304970816111E-2</c:v>
                </c:pt>
                <c:pt idx="3884">
                  <c:v>2.4832263458543169E-2</c:v>
                </c:pt>
                <c:pt idx="3885">
                  <c:v>2.4832221946270227E-2</c:v>
                </c:pt>
                <c:pt idx="3886">
                  <c:v>2.4832180433997285E-2</c:v>
                </c:pt>
                <c:pt idx="3887">
                  <c:v>2.4832138921724332E-2</c:v>
                </c:pt>
                <c:pt idx="3888">
                  <c:v>2.4832097409451394E-2</c:v>
                </c:pt>
                <c:pt idx="3889">
                  <c:v>2.4832055897178448E-2</c:v>
                </c:pt>
                <c:pt idx="3890">
                  <c:v>2.4832014384905499E-2</c:v>
                </c:pt>
                <c:pt idx="3891">
                  <c:v>2.4831972872632564E-2</c:v>
                </c:pt>
                <c:pt idx="3892">
                  <c:v>2.4831931360359615E-2</c:v>
                </c:pt>
                <c:pt idx="3893">
                  <c:v>2.4831889848086673E-2</c:v>
                </c:pt>
                <c:pt idx="3894">
                  <c:v>2.4831848335813728E-2</c:v>
                </c:pt>
                <c:pt idx="3895">
                  <c:v>2.4831806823540786E-2</c:v>
                </c:pt>
                <c:pt idx="3896">
                  <c:v>2.483176531126784E-2</c:v>
                </c:pt>
                <c:pt idx="3897">
                  <c:v>2.4831723798994898E-2</c:v>
                </c:pt>
                <c:pt idx="3898">
                  <c:v>2.4831682286721956E-2</c:v>
                </c:pt>
                <c:pt idx="3899">
                  <c:v>2.4831640774449007E-2</c:v>
                </c:pt>
                <c:pt idx="3900">
                  <c:v>2.4831599262176072E-2</c:v>
                </c:pt>
                <c:pt idx="3901">
                  <c:v>2.4831557749903123E-2</c:v>
                </c:pt>
                <c:pt idx="3902">
                  <c:v>2.4831516237630177E-2</c:v>
                </c:pt>
                <c:pt idx="3903">
                  <c:v>2.4831474725357239E-2</c:v>
                </c:pt>
                <c:pt idx="3904">
                  <c:v>2.4831433213084293E-2</c:v>
                </c:pt>
                <c:pt idx="3905">
                  <c:v>2.4831391700811351E-2</c:v>
                </c:pt>
                <c:pt idx="3906">
                  <c:v>2.4831350188538402E-2</c:v>
                </c:pt>
                <c:pt idx="3907">
                  <c:v>2.483130867626546E-2</c:v>
                </c:pt>
                <c:pt idx="3908">
                  <c:v>2.4831267163992515E-2</c:v>
                </c:pt>
                <c:pt idx="3909">
                  <c:v>2.4831225651719573E-2</c:v>
                </c:pt>
                <c:pt idx="3910">
                  <c:v>2.4831184139446631E-2</c:v>
                </c:pt>
                <c:pt idx="3911">
                  <c:v>2.4831142627173682E-2</c:v>
                </c:pt>
                <c:pt idx="3912">
                  <c:v>2.4831101114900739E-2</c:v>
                </c:pt>
                <c:pt idx="3913">
                  <c:v>2.4831059602627794E-2</c:v>
                </c:pt>
                <c:pt idx="3914">
                  <c:v>2.4831018090354859E-2</c:v>
                </c:pt>
                <c:pt idx="3915">
                  <c:v>2.4830976578081906E-2</c:v>
                </c:pt>
                <c:pt idx="3916">
                  <c:v>2.4830935065808968E-2</c:v>
                </c:pt>
                <c:pt idx="3917">
                  <c:v>2.4830893553536022E-2</c:v>
                </c:pt>
                <c:pt idx="3918">
                  <c:v>2.4830852041263084E-2</c:v>
                </c:pt>
                <c:pt idx="3919">
                  <c:v>2.4830810528990131E-2</c:v>
                </c:pt>
                <c:pt idx="3920">
                  <c:v>2.4830769016717189E-2</c:v>
                </c:pt>
                <c:pt idx="3921">
                  <c:v>2.4830727504444247E-2</c:v>
                </c:pt>
                <c:pt idx="3922">
                  <c:v>2.4830685992171302E-2</c:v>
                </c:pt>
                <c:pt idx="3923">
                  <c:v>2.483064447989836E-2</c:v>
                </c:pt>
                <c:pt idx="3924">
                  <c:v>2.4830602967625418E-2</c:v>
                </c:pt>
                <c:pt idx="3925">
                  <c:v>2.4830561455352475E-2</c:v>
                </c:pt>
                <c:pt idx="3926">
                  <c:v>2.4830519943079526E-2</c:v>
                </c:pt>
                <c:pt idx="3927">
                  <c:v>2.4830478430806584E-2</c:v>
                </c:pt>
                <c:pt idx="3928">
                  <c:v>2.4830436918533639E-2</c:v>
                </c:pt>
                <c:pt idx="3929">
                  <c:v>2.4830395406260697E-2</c:v>
                </c:pt>
                <c:pt idx="3930">
                  <c:v>2.4830353893987748E-2</c:v>
                </c:pt>
                <c:pt idx="3931">
                  <c:v>2.4830312381714802E-2</c:v>
                </c:pt>
                <c:pt idx="3932">
                  <c:v>2.4830270869441864E-2</c:v>
                </c:pt>
                <c:pt idx="3933">
                  <c:v>2.4830229357168915E-2</c:v>
                </c:pt>
                <c:pt idx="3934">
                  <c:v>2.4830187844895976E-2</c:v>
                </c:pt>
                <c:pt idx="3935">
                  <c:v>2.4830146332623031E-2</c:v>
                </c:pt>
                <c:pt idx="3936">
                  <c:v>2.4830104820350092E-2</c:v>
                </c:pt>
                <c:pt idx="3937">
                  <c:v>2.4830063308077147E-2</c:v>
                </c:pt>
                <c:pt idx="3938">
                  <c:v>2.4830021795804205E-2</c:v>
                </c:pt>
                <c:pt idx="3939">
                  <c:v>2.4829980283531262E-2</c:v>
                </c:pt>
                <c:pt idx="3940">
                  <c:v>2.4829938771258313E-2</c:v>
                </c:pt>
                <c:pt idx="3941">
                  <c:v>2.4829897258985368E-2</c:v>
                </c:pt>
                <c:pt idx="3942">
                  <c:v>2.4829855746712426E-2</c:v>
                </c:pt>
                <c:pt idx="3943">
                  <c:v>2.4829814234439477E-2</c:v>
                </c:pt>
                <c:pt idx="3944">
                  <c:v>2.4829772722166535E-2</c:v>
                </c:pt>
                <c:pt idx="3945">
                  <c:v>2.4829731209893593E-2</c:v>
                </c:pt>
                <c:pt idx="3946">
                  <c:v>2.4829689697620651E-2</c:v>
                </c:pt>
                <c:pt idx="3947">
                  <c:v>2.4829648185347705E-2</c:v>
                </c:pt>
                <c:pt idx="3948">
                  <c:v>2.4829606673074767E-2</c:v>
                </c:pt>
                <c:pt idx="3949">
                  <c:v>2.4829565160801821E-2</c:v>
                </c:pt>
                <c:pt idx="3950">
                  <c:v>2.4829523648528872E-2</c:v>
                </c:pt>
                <c:pt idx="3951">
                  <c:v>2.482948213625593E-2</c:v>
                </c:pt>
                <c:pt idx="3952">
                  <c:v>2.4829440623982985E-2</c:v>
                </c:pt>
                <c:pt idx="3953">
                  <c:v>2.4829399111710043E-2</c:v>
                </c:pt>
                <c:pt idx="3954">
                  <c:v>2.4829357599437097E-2</c:v>
                </c:pt>
                <c:pt idx="3955">
                  <c:v>2.4829316087164155E-2</c:v>
                </c:pt>
                <c:pt idx="3956">
                  <c:v>2.4829274574891213E-2</c:v>
                </c:pt>
                <c:pt idx="3957">
                  <c:v>2.4829233062618264E-2</c:v>
                </c:pt>
                <c:pt idx="3958">
                  <c:v>2.4829191550345322E-2</c:v>
                </c:pt>
                <c:pt idx="3959">
                  <c:v>2.482915003807238E-2</c:v>
                </c:pt>
                <c:pt idx="3960">
                  <c:v>2.4829108525799438E-2</c:v>
                </c:pt>
                <c:pt idx="3961">
                  <c:v>2.4829067013526496E-2</c:v>
                </c:pt>
                <c:pt idx="3962">
                  <c:v>2.482902550125355E-2</c:v>
                </c:pt>
                <c:pt idx="3963">
                  <c:v>2.4828983988980608E-2</c:v>
                </c:pt>
                <c:pt idx="3964">
                  <c:v>2.4828942476707659E-2</c:v>
                </c:pt>
                <c:pt idx="3965">
                  <c:v>2.4828900964434717E-2</c:v>
                </c:pt>
                <c:pt idx="3966">
                  <c:v>2.4828859452161772E-2</c:v>
                </c:pt>
                <c:pt idx="3967">
                  <c:v>2.482881793988883E-2</c:v>
                </c:pt>
                <c:pt idx="3968">
                  <c:v>2.4828776427615887E-2</c:v>
                </c:pt>
                <c:pt idx="3969">
                  <c:v>2.4828734915342938E-2</c:v>
                </c:pt>
                <c:pt idx="3970">
                  <c:v>2.4828693403070003E-2</c:v>
                </c:pt>
                <c:pt idx="3971">
                  <c:v>2.4828651890797054E-2</c:v>
                </c:pt>
                <c:pt idx="3972">
                  <c:v>2.4828610378524116E-2</c:v>
                </c:pt>
                <c:pt idx="3973">
                  <c:v>2.4828568866251167E-2</c:v>
                </c:pt>
                <c:pt idx="3974">
                  <c:v>2.4828527353978225E-2</c:v>
                </c:pt>
                <c:pt idx="3975">
                  <c:v>2.4828485841705279E-2</c:v>
                </c:pt>
                <c:pt idx="3976">
                  <c:v>2.482844432943233E-2</c:v>
                </c:pt>
                <c:pt idx="3977">
                  <c:v>2.4828402817159395E-2</c:v>
                </c:pt>
                <c:pt idx="3978">
                  <c:v>2.4828361304886446E-2</c:v>
                </c:pt>
                <c:pt idx="3979">
                  <c:v>2.4828319792613501E-2</c:v>
                </c:pt>
                <c:pt idx="3980">
                  <c:v>2.4828278280340559E-2</c:v>
                </c:pt>
                <c:pt idx="3981">
                  <c:v>2.4828236768067617E-2</c:v>
                </c:pt>
                <c:pt idx="3982">
                  <c:v>2.4828195255794674E-2</c:v>
                </c:pt>
                <c:pt idx="3983">
                  <c:v>2.4828153743521732E-2</c:v>
                </c:pt>
                <c:pt idx="3984">
                  <c:v>2.4828112231248783E-2</c:v>
                </c:pt>
                <c:pt idx="3985">
                  <c:v>2.4828070718975841E-2</c:v>
                </c:pt>
                <c:pt idx="3986">
                  <c:v>2.4828029206702896E-2</c:v>
                </c:pt>
                <c:pt idx="3987">
                  <c:v>2.4827987694429947E-2</c:v>
                </c:pt>
                <c:pt idx="3988">
                  <c:v>2.4827946182157012E-2</c:v>
                </c:pt>
                <c:pt idx="3989">
                  <c:v>2.4827904669884063E-2</c:v>
                </c:pt>
                <c:pt idx="3990">
                  <c:v>2.4827863157611121E-2</c:v>
                </c:pt>
                <c:pt idx="3991">
                  <c:v>2.4827821645338182E-2</c:v>
                </c:pt>
                <c:pt idx="3992">
                  <c:v>2.482778013306524E-2</c:v>
                </c:pt>
                <c:pt idx="3993">
                  <c:v>2.4827738620792288E-2</c:v>
                </c:pt>
                <c:pt idx="3994">
                  <c:v>2.4827697108519346E-2</c:v>
                </c:pt>
                <c:pt idx="3995">
                  <c:v>2.4827655596246404E-2</c:v>
                </c:pt>
                <c:pt idx="3996">
                  <c:v>2.4827614083973455E-2</c:v>
                </c:pt>
                <c:pt idx="3997">
                  <c:v>2.4827572571700519E-2</c:v>
                </c:pt>
                <c:pt idx="3998">
                  <c:v>2.482753105942757E-2</c:v>
                </c:pt>
                <c:pt idx="3999">
                  <c:v>2.4827489547154628E-2</c:v>
                </c:pt>
                <c:pt idx="4000">
                  <c:v>2.4827448034881686E-2</c:v>
                </c:pt>
                <c:pt idx="4001">
                  <c:v>2.4827406522608741E-2</c:v>
                </c:pt>
                <c:pt idx="4002">
                  <c:v>2.4827365010335792E-2</c:v>
                </c:pt>
                <c:pt idx="4003">
                  <c:v>2.482732349806285E-2</c:v>
                </c:pt>
                <c:pt idx="4004">
                  <c:v>2.4827281985789908E-2</c:v>
                </c:pt>
                <c:pt idx="4005">
                  <c:v>2.4827240473516962E-2</c:v>
                </c:pt>
                <c:pt idx="4006">
                  <c:v>2.482719896124402E-2</c:v>
                </c:pt>
                <c:pt idx="4007">
                  <c:v>2.4827157448971078E-2</c:v>
                </c:pt>
                <c:pt idx="4008">
                  <c:v>2.4827115936698129E-2</c:v>
                </c:pt>
                <c:pt idx="4009">
                  <c:v>2.4827074424425194E-2</c:v>
                </c:pt>
                <c:pt idx="4010">
                  <c:v>2.4827032912152245E-2</c:v>
                </c:pt>
                <c:pt idx="4011">
                  <c:v>2.4826991399879299E-2</c:v>
                </c:pt>
                <c:pt idx="4012">
                  <c:v>2.4826949887606357E-2</c:v>
                </c:pt>
                <c:pt idx="4013">
                  <c:v>2.4826908375333415E-2</c:v>
                </c:pt>
                <c:pt idx="4014">
                  <c:v>2.482686686306047E-2</c:v>
                </c:pt>
                <c:pt idx="4015">
                  <c:v>2.4826825350787528E-2</c:v>
                </c:pt>
                <c:pt idx="4016">
                  <c:v>2.4826783838514586E-2</c:v>
                </c:pt>
                <c:pt idx="4017">
                  <c:v>2.4826742326241637E-2</c:v>
                </c:pt>
                <c:pt idx="4018">
                  <c:v>2.4826700813968695E-2</c:v>
                </c:pt>
                <c:pt idx="4019">
                  <c:v>2.4826659301695749E-2</c:v>
                </c:pt>
                <c:pt idx="4020">
                  <c:v>2.4826617789422807E-2</c:v>
                </c:pt>
                <c:pt idx="4021">
                  <c:v>2.4826576277149865E-2</c:v>
                </c:pt>
                <c:pt idx="4022">
                  <c:v>2.4826534764876923E-2</c:v>
                </c:pt>
                <c:pt idx="4023">
                  <c:v>2.4826493252603974E-2</c:v>
                </c:pt>
                <c:pt idx="4024">
                  <c:v>2.4826451740331032E-2</c:v>
                </c:pt>
                <c:pt idx="4025">
                  <c:v>2.482641022805809E-2</c:v>
                </c:pt>
                <c:pt idx="4026">
                  <c:v>2.4826368715785137E-2</c:v>
                </c:pt>
                <c:pt idx="4027">
                  <c:v>2.4826327203512202E-2</c:v>
                </c:pt>
                <c:pt idx="4028">
                  <c:v>2.482628569123926E-2</c:v>
                </c:pt>
                <c:pt idx="4029">
                  <c:v>2.4826244178966311E-2</c:v>
                </c:pt>
                <c:pt idx="4030">
                  <c:v>2.4826202666693366E-2</c:v>
                </c:pt>
                <c:pt idx="4031">
                  <c:v>2.4826161154420431E-2</c:v>
                </c:pt>
                <c:pt idx="4032">
                  <c:v>2.4826119642147478E-2</c:v>
                </c:pt>
                <c:pt idx="4033">
                  <c:v>2.482607812987454E-2</c:v>
                </c:pt>
                <c:pt idx="4034">
                  <c:v>2.4826036617601594E-2</c:v>
                </c:pt>
                <c:pt idx="4035">
                  <c:v>2.4825995105328645E-2</c:v>
                </c:pt>
                <c:pt idx="4036">
                  <c:v>2.4825953593055703E-2</c:v>
                </c:pt>
                <c:pt idx="4037">
                  <c:v>2.4825912080782761E-2</c:v>
                </c:pt>
                <c:pt idx="4038">
                  <c:v>2.4825870568509819E-2</c:v>
                </c:pt>
                <c:pt idx="4039">
                  <c:v>2.4825829056236873E-2</c:v>
                </c:pt>
                <c:pt idx="4040">
                  <c:v>2.4825787543963931E-2</c:v>
                </c:pt>
                <c:pt idx="4041">
                  <c:v>2.4825746031690982E-2</c:v>
                </c:pt>
                <c:pt idx="4042">
                  <c:v>2.482570451941804E-2</c:v>
                </c:pt>
                <c:pt idx="4043">
                  <c:v>2.4825663007145098E-2</c:v>
                </c:pt>
                <c:pt idx="4044">
                  <c:v>2.4825621494872156E-2</c:v>
                </c:pt>
                <c:pt idx="4045">
                  <c:v>2.4825579982599211E-2</c:v>
                </c:pt>
                <c:pt idx="4046">
                  <c:v>2.4825538470326269E-2</c:v>
                </c:pt>
                <c:pt idx="4047">
                  <c:v>2.482549695805332E-2</c:v>
                </c:pt>
                <c:pt idx="4048">
                  <c:v>2.4649152163167504E-2</c:v>
                </c:pt>
                <c:pt idx="4049">
                  <c:v>2.4649110650894555E-2</c:v>
                </c:pt>
                <c:pt idx="4050">
                  <c:v>2.4649069138621613E-2</c:v>
                </c:pt>
                <c:pt idx="4051">
                  <c:v>2.4649027626348671E-2</c:v>
                </c:pt>
                <c:pt idx="4052">
                  <c:v>2.4648986114075726E-2</c:v>
                </c:pt>
                <c:pt idx="4053">
                  <c:v>2.4648944601802784E-2</c:v>
                </c:pt>
                <c:pt idx="4054">
                  <c:v>2.4648903089529838E-2</c:v>
                </c:pt>
                <c:pt idx="4055">
                  <c:v>2.46488615772569E-2</c:v>
                </c:pt>
                <c:pt idx="4056">
                  <c:v>2.4648820064983954E-2</c:v>
                </c:pt>
                <c:pt idx="4057">
                  <c:v>2.4648778552711012E-2</c:v>
                </c:pt>
                <c:pt idx="4058">
                  <c:v>2.464873704043807E-2</c:v>
                </c:pt>
                <c:pt idx="4059">
                  <c:v>2.4648695528165121E-2</c:v>
                </c:pt>
                <c:pt idx="4060">
                  <c:v>2.4648654015892179E-2</c:v>
                </c:pt>
                <c:pt idx="4061">
                  <c:v>2.4648612503619233E-2</c:v>
                </c:pt>
                <c:pt idx="4062">
                  <c:v>2.4648570991346291E-2</c:v>
                </c:pt>
                <c:pt idx="4063">
                  <c:v>2.4648529479073342E-2</c:v>
                </c:pt>
                <c:pt idx="4064">
                  <c:v>2.46484879668004E-2</c:v>
                </c:pt>
                <c:pt idx="4065">
                  <c:v>2.4648446454527458E-2</c:v>
                </c:pt>
                <c:pt idx="4066">
                  <c:v>2.4648404942254513E-2</c:v>
                </c:pt>
                <c:pt idx="4067">
                  <c:v>2.4648363429981574E-2</c:v>
                </c:pt>
                <c:pt idx="4068">
                  <c:v>2.4648321917708629E-2</c:v>
                </c:pt>
                <c:pt idx="4069">
                  <c:v>2.4648280405435687E-2</c:v>
                </c:pt>
                <c:pt idx="4070">
                  <c:v>2.4648238893162738E-2</c:v>
                </c:pt>
                <c:pt idx="4071">
                  <c:v>2.4648197380889796E-2</c:v>
                </c:pt>
                <c:pt idx="4072">
                  <c:v>2.464815586861685E-2</c:v>
                </c:pt>
                <c:pt idx="4073">
                  <c:v>2.4648114356343901E-2</c:v>
                </c:pt>
                <c:pt idx="4074">
                  <c:v>2.4648072844070966E-2</c:v>
                </c:pt>
                <c:pt idx="4075">
                  <c:v>2.464803133179802E-2</c:v>
                </c:pt>
                <c:pt idx="4076">
                  <c:v>2.4647989819525078E-2</c:v>
                </c:pt>
                <c:pt idx="4077">
                  <c:v>2.4647948307252129E-2</c:v>
                </c:pt>
                <c:pt idx="4078">
                  <c:v>2.4647906794979187E-2</c:v>
                </c:pt>
                <c:pt idx="4079">
                  <c:v>2.4647865282706245E-2</c:v>
                </c:pt>
                <c:pt idx="4080">
                  <c:v>2.4647823770433303E-2</c:v>
                </c:pt>
                <c:pt idx="4081">
                  <c:v>2.4647782258160358E-2</c:v>
                </c:pt>
                <c:pt idx="4082">
                  <c:v>2.4647740745887409E-2</c:v>
                </c:pt>
                <c:pt idx="4083">
                  <c:v>2.4647699233614474E-2</c:v>
                </c:pt>
                <c:pt idx="4084">
                  <c:v>2.4647657721341521E-2</c:v>
                </c:pt>
                <c:pt idx="4085">
                  <c:v>2.4647616209068583E-2</c:v>
                </c:pt>
                <c:pt idx="4086">
                  <c:v>2.4647574696795637E-2</c:v>
                </c:pt>
                <c:pt idx="4087">
                  <c:v>2.4647533184522695E-2</c:v>
                </c:pt>
                <c:pt idx="4088">
                  <c:v>2.4647491672249746E-2</c:v>
                </c:pt>
                <c:pt idx="4089">
                  <c:v>2.4647450159976811E-2</c:v>
                </c:pt>
                <c:pt idx="4090">
                  <c:v>2.4647408647703862E-2</c:v>
                </c:pt>
                <c:pt idx="4091">
                  <c:v>2.4647367135430916E-2</c:v>
                </c:pt>
                <c:pt idx="4092">
                  <c:v>2.4647325623157974E-2</c:v>
                </c:pt>
                <c:pt idx="4093">
                  <c:v>2.4647284110885029E-2</c:v>
                </c:pt>
                <c:pt idx="4094">
                  <c:v>2.464724259861209E-2</c:v>
                </c:pt>
                <c:pt idx="4095">
                  <c:v>2.4647201086339145E-2</c:v>
                </c:pt>
                <c:pt idx="4096">
                  <c:v>2.4647159574066203E-2</c:v>
                </c:pt>
                <c:pt idx="4097">
                  <c:v>2.4647118061793254E-2</c:v>
                </c:pt>
                <c:pt idx="4098">
                  <c:v>2.4647076549520312E-2</c:v>
                </c:pt>
                <c:pt idx="4099">
                  <c:v>2.4647035037247366E-2</c:v>
                </c:pt>
                <c:pt idx="4100">
                  <c:v>2.4646993524974417E-2</c:v>
                </c:pt>
                <c:pt idx="4101">
                  <c:v>2.4646952012701482E-2</c:v>
                </c:pt>
                <c:pt idx="4102">
                  <c:v>2.4646910500428533E-2</c:v>
                </c:pt>
                <c:pt idx="4103">
                  <c:v>2.4646868988155591E-2</c:v>
                </c:pt>
                <c:pt idx="4104">
                  <c:v>2.4646827475882649E-2</c:v>
                </c:pt>
                <c:pt idx="4105">
                  <c:v>2.4646785963609707E-2</c:v>
                </c:pt>
                <c:pt idx="4106">
                  <c:v>2.4646744451336761E-2</c:v>
                </c:pt>
                <c:pt idx="4107">
                  <c:v>2.4646702939063819E-2</c:v>
                </c:pt>
                <c:pt idx="4108">
                  <c:v>2.464666142679087E-2</c:v>
                </c:pt>
                <c:pt idx="4109">
                  <c:v>2.4646619914517925E-2</c:v>
                </c:pt>
                <c:pt idx="4110">
                  <c:v>2.4646578402244986E-2</c:v>
                </c:pt>
                <c:pt idx="4111">
                  <c:v>2.4646536889972041E-2</c:v>
                </c:pt>
                <c:pt idx="4112">
                  <c:v>2.4646495377699092E-2</c:v>
                </c:pt>
                <c:pt idx="4113">
                  <c:v>2.4646453865426157E-2</c:v>
                </c:pt>
                <c:pt idx="4114">
                  <c:v>2.4646412353153211E-2</c:v>
                </c:pt>
                <c:pt idx="4115">
                  <c:v>2.4646370840880269E-2</c:v>
                </c:pt>
                <c:pt idx="4116">
                  <c:v>2.464632932860732E-2</c:v>
                </c:pt>
                <c:pt idx="4117">
                  <c:v>2.4646287816334378E-2</c:v>
                </c:pt>
                <c:pt idx="4118">
                  <c:v>2.4646246304061436E-2</c:v>
                </c:pt>
                <c:pt idx="4119">
                  <c:v>2.4646204791788494E-2</c:v>
                </c:pt>
                <c:pt idx="4120">
                  <c:v>2.4646163279515548E-2</c:v>
                </c:pt>
                <c:pt idx="4121">
                  <c:v>2.4646121767242599E-2</c:v>
                </c:pt>
                <c:pt idx="4122">
                  <c:v>2.4646080254969664E-2</c:v>
                </c:pt>
                <c:pt idx="4123">
                  <c:v>2.4646038742696715E-2</c:v>
                </c:pt>
                <c:pt idx="4124">
                  <c:v>2.464599723042377E-2</c:v>
                </c:pt>
                <c:pt idx="4125">
                  <c:v>2.4645955718150831E-2</c:v>
                </c:pt>
                <c:pt idx="4126">
                  <c:v>2.4645914205877886E-2</c:v>
                </c:pt>
                <c:pt idx="4127">
                  <c:v>2.4645872693604937E-2</c:v>
                </c:pt>
                <c:pt idx="4128">
                  <c:v>2.4645831181331995E-2</c:v>
                </c:pt>
                <c:pt idx="4129">
                  <c:v>2.4645789669059052E-2</c:v>
                </c:pt>
                <c:pt idx="4130">
                  <c:v>2.4645748156786107E-2</c:v>
                </c:pt>
                <c:pt idx="4131">
                  <c:v>2.4645706644513165E-2</c:v>
                </c:pt>
                <c:pt idx="4132">
                  <c:v>2.4645665132240223E-2</c:v>
                </c:pt>
                <c:pt idx="4133">
                  <c:v>2.4645623619967277E-2</c:v>
                </c:pt>
                <c:pt idx="4134">
                  <c:v>2.4645582107694335E-2</c:v>
                </c:pt>
                <c:pt idx="4135">
                  <c:v>2.4645540595421393E-2</c:v>
                </c:pt>
                <c:pt idx="4136">
                  <c:v>2.4645499083148444E-2</c:v>
                </c:pt>
                <c:pt idx="4137">
                  <c:v>2.4645457570875502E-2</c:v>
                </c:pt>
                <c:pt idx="4138">
                  <c:v>2.4645416058602557E-2</c:v>
                </c:pt>
                <c:pt idx="4139">
                  <c:v>2.4645374546329618E-2</c:v>
                </c:pt>
                <c:pt idx="4140">
                  <c:v>2.4645333034056673E-2</c:v>
                </c:pt>
                <c:pt idx="4141">
                  <c:v>2.4645291521783731E-2</c:v>
                </c:pt>
                <c:pt idx="4142">
                  <c:v>2.4645250009510788E-2</c:v>
                </c:pt>
                <c:pt idx="4143">
                  <c:v>2.4645208497237846E-2</c:v>
                </c:pt>
                <c:pt idx="4144">
                  <c:v>2.4645166984964897E-2</c:v>
                </c:pt>
                <c:pt idx="4145">
                  <c:v>2.4645125472691952E-2</c:v>
                </c:pt>
                <c:pt idx="4146">
                  <c:v>2.464508396041901E-2</c:v>
                </c:pt>
                <c:pt idx="4147">
                  <c:v>2.4645042448146061E-2</c:v>
                </c:pt>
                <c:pt idx="4148">
                  <c:v>2.4645000935873126E-2</c:v>
                </c:pt>
                <c:pt idx="4149">
                  <c:v>2.4644959423600173E-2</c:v>
                </c:pt>
                <c:pt idx="4150">
                  <c:v>2.4644917911327231E-2</c:v>
                </c:pt>
                <c:pt idx="4151">
                  <c:v>2.4644876399054289E-2</c:v>
                </c:pt>
                <c:pt idx="4152">
                  <c:v>2.4644834886781344E-2</c:v>
                </c:pt>
                <c:pt idx="4153">
                  <c:v>2.4644793374508402E-2</c:v>
                </c:pt>
                <c:pt idx="4154">
                  <c:v>2.464475186223546E-2</c:v>
                </c:pt>
                <c:pt idx="4155">
                  <c:v>2.4644710349962511E-2</c:v>
                </c:pt>
                <c:pt idx="4156">
                  <c:v>2.4644668837689569E-2</c:v>
                </c:pt>
                <c:pt idx="4157">
                  <c:v>2.4644627325416626E-2</c:v>
                </c:pt>
                <c:pt idx="4158">
                  <c:v>2.4644585813143681E-2</c:v>
                </c:pt>
                <c:pt idx="4159">
                  <c:v>2.4644544300870739E-2</c:v>
                </c:pt>
                <c:pt idx="4160">
                  <c:v>2.464450278859779E-2</c:v>
                </c:pt>
                <c:pt idx="4161">
                  <c:v>2.4644461276324848E-2</c:v>
                </c:pt>
                <c:pt idx="4162">
                  <c:v>2.4644419764051902E-2</c:v>
                </c:pt>
                <c:pt idx="4163">
                  <c:v>2.464437825177896E-2</c:v>
                </c:pt>
                <c:pt idx="4164">
                  <c:v>2.4644336739506018E-2</c:v>
                </c:pt>
                <c:pt idx="4165">
                  <c:v>2.4644295227233076E-2</c:v>
                </c:pt>
                <c:pt idx="4166">
                  <c:v>2.4644253714960134E-2</c:v>
                </c:pt>
                <c:pt idx="4167">
                  <c:v>2.4644212202687185E-2</c:v>
                </c:pt>
                <c:pt idx="4168">
                  <c:v>2.4644170690414243E-2</c:v>
                </c:pt>
                <c:pt idx="4169">
                  <c:v>2.4644129178141301E-2</c:v>
                </c:pt>
                <c:pt idx="4170">
                  <c:v>2.4644087665868356E-2</c:v>
                </c:pt>
                <c:pt idx="4171">
                  <c:v>2.464404615359541E-2</c:v>
                </c:pt>
                <c:pt idx="4172">
                  <c:v>2.4644004641322468E-2</c:v>
                </c:pt>
                <c:pt idx="4173">
                  <c:v>2.4643963129049526E-2</c:v>
                </c:pt>
                <c:pt idx="4174">
                  <c:v>2.4643921616776577E-2</c:v>
                </c:pt>
                <c:pt idx="4175">
                  <c:v>2.4643880104503635E-2</c:v>
                </c:pt>
                <c:pt idx="4176">
                  <c:v>2.4643838592230689E-2</c:v>
                </c:pt>
                <c:pt idx="4177">
                  <c:v>2.4643797079957747E-2</c:v>
                </c:pt>
                <c:pt idx="4178">
                  <c:v>2.4643755567684809E-2</c:v>
                </c:pt>
                <c:pt idx="4179">
                  <c:v>2.4643714055411863E-2</c:v>
                </c:pt>
                <c:pt idx="4180">
                  <c:v>2.4643672543138914E-2</c:v>
                </c:pt>
                <c:pt idx="4181">
                  <c:v>2.4643631030865972E-2</c:v>
                </c:pt>
                <c:pt idx="4182">
                  <c:v>2.464358951859303E-2</c:v>
                </c:pt>
                <c:pt idx="4183">
                  <c:v>2.4643548006320085E-2</c:v>
                </c:pt>
                <c:pt idx="4184">
                  <c:v>2.4643506494047143E-2</c:v>
                </c:pt>
                <c:pt idx="4185">
                  <c:v>2.46434649817742E-2</c:v>
                </c:pt>
                <c:pt idx="4186">
                  <c:v>2.4643423469501251E-2</c:v>
                </c:pt>
                <c:pt idx="4187">
                  <c:v>2.4643381957228309E-2</c:v>
                </c:pt>
                <c:pt idx="4188">
                  <c:v>2.4643340444955364E-2</c:v>
                </c:pt>
                <c:pt idx="4189">
                  <c:v>2.4643298932682425E-2</c:v>
                </c:pt>
                <c:pt idx="4190">
                  <c:v>2.464325742040948E-2</c:v>
                </c:pt>
                <c:pt idx="4191">
                  <c:v>2.4643215908136538E-2</c:v>
                </c:pt>
                <c:pt idx="4192">
                  <c:v>2.4643174395863592E-2</c:v>
                </c:pt>
                <c:pt idx="4193">
                  <c:v>2.464313288359065E-2</c:v>
                </c:pt>
                <c:pt idx="4194">
                  <c:v>2.4643091371317708E-2</c:v>
                </c:pt>
                <c:pt idx="4195">
                  <c:v>2.4643049859044759E-2</c:v>
                </c:pt>
                <c:pt idx="4196">
                  <c:v>2.4643008346771817E-2</c:v>
                </c:pt>
                <c:pt idx="4197">
                  <c:v>2.4642966834498872E-2</c:v>
                </c:pt>
                <c:pt idx="4198">
                  <c:v>2.4642925322225923E-2</c:v>
                </c:pt>
                <c:pt idx="4199">
                  <c:v>2.4642883809952981E-2</c:v>
                </c:pt>
                <c:pt idx="4200">
                  <c:v>2.4642842297680045E-2</c:v>
                </c:pt>
                <c:pt idx="4201">
                  <c:v>2.4642800785407093E-2</c:v>
                </c:pt>
                <c:pt idx="4202">
                  <c:v>2.4642759273134154E-2</c:v>
                </c:pt>
                <c:pt idx="4203">
                  <c:v>2.4642717760861209E-2</c:v>
                </c:pt>
                <c:pt idx="4204">
                  <c:v>2.4642676248588267E-2</c:v>
                </c:pt>
                <c:pt idx="4205">
                  <c:v>2.4642634736315318E-2</c:v>
                </c:pt>
                <c:pt idx="4206">
                  <c:v>2.4642593224042376E-2</c:v>
                </c:pt>
                <c:pt idx="4207">
                  <c:v>2.4642551711769434E-2</c:v>
                </c:pt>
                <c:pt idx="4208">
                  <c:v>2.4642510199496488E-2</c:v>
                </c:pt>
                <c:pt idx="4209">
                  <c:v>2.4642468687223546E-2</c:v>
                </c:pt>
                <c:pt idx="4210">
                  <c:v>2.4642427174950601E-2</c:v>
                </c:pt>
                <c:pt idx="4211">
                  <c:v>2.4642385662677662E-2</c:v>
                </c:pt>
                <c:pt idx="4212">
                  <c:v>2.4642344150404717E-2</c:v>
                </c:pt>
                <c:pt idx="4213">
                  <c:v>2.4642302638131774E-2</c:v>
                </c:pt>
                <c:pt idx="4214">
                  <c:v>2.4642261125858825E-2</c:v>
                </c:pt>
                <c:pt idx="4215">
                  <c:v>2.4642219613585883E-2</c:v>
                </c:pt>
                <c:pt idx="4216">
                  <c:v>2.4642178101312941E-2</c:v>
                </c:pt>
                <c:pt idx="4217">
                  <c:v>2.4642136589039996E-2</c:v>
                </c:pt>
                <c:pt idx="4218">
                  <c:v>2.4642095076767054E-2</c:v>
                </c:pt>
                <c:pt idx="4219">
                  <c:v>2.4642053564494112E-2</c:v>
                </c:pt>
                <c:pt idx="4220">
                  <c:v>2.4642012052221163E-2</c:v>
                </c:pt>
                <c:pt idx="4221">
                  <c:v>2.4641970539948217E-2</c:v>
                </c:pt>
                <c:pt idx="4222">
                  <c:v>2.4641929027675279E-2</c:v>
                </c:pt>
                <c:pt idx="4223">
                  <c:v>2.4641887515402333E-2</c:v>
                </c:pt>
                <c:pt idx="4224">
                  <c:v>2.4641846003129391E-2</c:v>
                </c:pt>
                <c:pt idx="4225">
                  <c:v>2.4641804490856442E-2</c:v>
                </c:pt>
                <c:pt idx="4226">
                  <c:v>2.46417629785835E-2</c:v>
                </c:pt>
                <c:pt idx="4227">
                  <c:v>2.4641721466310555E-2</c:v>
                </c:pt>
                <c:pt idx="4228">
                  <c:v>2.4641679954037616E-2</c:v>
                </c:pt>
                <c:pt idx="4229">
                  <c:v>2.464163844176467E-2</c:v>
                </c:pt>
                <c:pt idx="4230">
                  <c:v>2.4466717539376046E-2</c:v>
                </c:pt>
                <c:pt idx="4231">
                  <c:v>2.4466676027103104E-2</c:v>
                </c:pt>
                <c:pt idx="4232">
                  <c:v>2.4466634514830162E-2</c:v>
                </c:pt>
                <c:pt idx="4233">
                  <c:v>2.4466593002557213E-2</c:v>
                </c:pt>
                <c:pt idx="4234">
                  <c:v>2.4466551490284271E-2</c:v>
                </c:pt>
                <c:pt idx="4235">
                  <c:v>2.4466509978011329E-2</c:v>
                </c:pt>
                <c:pt idx="4236">
                  <c:v>2.446646846573839E-2</c:v>
                </c:pt>
                <c:pt idx="4237">
                  <c:v>2.4466426953465441E-2</c:v>
                </c:pt>
                <c:pt idx="4238">
                  <c:v>2.4466385441192496E-2</c:v>
                </c:pt>
                <c:pt idx="4239">
                  <c:v>2.4466343928919554E-2</c:v>
                </c:pt>
                <c:pt idx="4240">
                  <c:v>2.4466302416646615E-2</c:v>
                </c:pt>
                <c:pt idx="4241">
                  <c:v>2.446626090437367E-2</c:v>
                </c:pt>
                <c:pt idx="4242">
                  <c:v>2.4466219392100721E-2</c:v>
                </c:pt>
                <c:pt idx="4243">
                  <c:v>2.4466177879827779E-2</c:v>
                </c:pt>
                <c:pt idx="4244">
                  <c:v>2.4466136367554833E-2</c:v>
                </c:pt>
                <c:pt idx="4245">
                  <c:v>2.4466094855281891E-2</c:v>
                </c:pt>
                <c:pt idx="4246">
                  <c:v>2.4466053343008949E-2</c:v>
                </c:pt>
                <c:pt idx="4247">
                  <c:v>2.4466011830736E-2</c:v>
                </c:pt>
                <c:pt idx="4248">
                  <c:v>2.4465970318463058E-2</c:v>
                </c:pt>
                <c:pt idx="4249">
                  <c:v>2.4465928806190113E-2</c:v>
                </c:pt>
                <c:pt idx="4250">
                  <c:v>2.4465887293917174E-2</c:v>
                </c:pt>
                <c:pt idx="4251">
                  <c:v>2.4465845781644222E-2</c:v>
                </c:pt>
                <c:pt idx="4252">
                  <c:v>2.4465804269371286E-2</c:v>
                </c:pt>
                <c:pt idx="4253">
                  <c:v>2.4465762757098337E-2</c:v>
                </c:pt>
                <c:pt idx="4254">
                  <c:v>2.4465721244825395E-2</c:v>
                </c:pt>
                <c:pt idx="4255">
                  <c:v>2.446567973255245E-2</c:v>
                </c:pt>
                <c:pt idx="4256">
                  <c:v>2.4465638220279508E-2</c:v>
                </c:pt>
                <c:pt idx="4257">
                  <c:v>2.4465596708006566E-2</c:v>
                </c:pt>
                <c:pt idx="4258">
                  <c:v>2.446555519573362E-2</c:v>
                </c:pt>
                <c:pt idx="4259">
                  <c:v>2.4465513683460678E-2</c:v>
                </c:pt>
                <c:pt idx="4260">
                  <c:v>2.4465472171187729E-2</c:v>
                </c:pt>
                <c:pt idx="4261">
                  <c:v>2.4465430658914794E-2</c:v>
                </c:pt>
                <c:pt idx="4262">
                  <c:v>2.4465389146641845E-2</c:v>
                </c:pt>
                <c:pt idx="4263">
                  <c:v>2.4465347634368903E-2</c:v>
                </c:pt>
                <c:pt idx="4264">
                  <c:v>2.4465306122095958E-2</c:v>
                </c:pt>
                <c:pt idx="4265">
                  <c:v>2.4465264609823015E-2</c:v>
                </c:pt>
                <c:pt idx="4266">
                  <c:v>2.4465223097550066E-2</c:v>
                </c:pt>
                <c:pt idx="4267">
                  <c:v>2.4465181585277124E-2</c:v>
                </c:pt>
                <c:pt idx="4268">
                  <c:v>2.4465140073004182E-2</c:v>
                </c:pt>
                <c:pt idx="4269">
                  <c:v>2.4465098560731237E-2</c:v>
                </c:pt>
                <c:pt idx="4270">
                  <c:v>2.4465057048458295E-2</c:v>
                </c:pt>
                <c:pt idx="4271">
                  <c:v>2.4465015536185346E-2</c:v>
                </c:pt>
                <c:pt idx="4272">
                  <c:v>2.4464974023912411E-2</c:v>
                </c:pt>
                <c:pt idx="4273">
                  <c:v>2.4464932511639462E-2</c:v>
                </c:pt>
                <c:pt idx="4274">
                  <c:v>2.446489099936652E-2</c:v>
                </c:pt>
                <c:pt idx="4275">
                  <c:v>2.4464849487093574E-2</c:v>
                </c:pt>
                <c:pt idx="4276">
                  <c:v>2.4464807974820632E-2</c:v>
                </c:pt>
                <c:pt idx="4277">
                  <c:v>2.446476646254769E-2</c:v>
                </c:pt>
                <c:pt idx="4278">
                  <c:v>2.4464724950274745E-2</c:v>
                </c:pt>
                <c:pt idx="4279">
                  <c:v>2.4464683438001802E-2</c:v>
                </c:pt>
                <c:pt idx="4280">
                  <c:v>2.4464641925728853E-2</c:v>
                </c:pt>
                <c:pt idx="4281">
                  <c:v>2.4464600413455911E-2</c:v>
                </c:pt>
                <c:pt idx="4282">
                  <c:v>2.4464558901182969E-2</c:v>
                </c:pt>
                <c:pt idx="4283">
                  <c:v>2.4464517388910027E-2</c:v>
                </c:pt>
                <c:pt idx="4284">
                  <c:v>2.4464475876637082E-2</c:v>
                </c:pt>
                <c:pt idx="4285">
                  <c:v>2.4464434364364133E-2</c:v>
                </c:pt>
                <c:pt idx="4286">
                  <c:v>2.4464392852091198E-2</c:v>
                </c:pt>
                <c:pt idx="4287">
                  <c:v>2.4464351339818249E-2</c:v>
                </c:pt>
                <c:pt idx="4288">
                  <c:v>2.4464309827545307E-2</c:v>
                </c:pt>
                <c:pt idx="4289">
                  <c:v>2.4464268315272361E-2</c:v>
                </c:pt>
                <c:pt idx="4290">
                  <c:v>2.4464226802999419E-2</c:v>
                </c:pt>
                <c:pt idx="4291">
                  <c:v>2.4464185290726477E-2</c:v>
                </c:pt>
                <c:pt idx="4292">
                  <c:v>2.4464143778453528E-2</c:v>
                </c:pt>
                <c:pt idx="4293">
                  <c:v>2.4464102266180586E-2</c:v>
                </c:pt>
                <c:pt idx="4294">
                  <c:v>2.446406075390764E-2</c:v>
                </c:pt>
                <c:pt idx="4295">
                  <c:v>2.4464019241634698E-2</c:v>
                </c:pt>
                <c:pt idx="4296">
                  <c:v>2.4463977729361756E-2</c:v>
                </c:pt>
                <c:pt idx="4297">
                  <c:v>2.4463936217088811E-2</c:v>
                </c:pt>
                <c:pt idx="4298">
                  <c:v>2.4463894704815869E-2</c:v>
                </c:pt>
                <c:pt idx="4299">
                  <c:v>2.446385319254293E-2</c:v>
                </c:pt>
                <c:pt idx="4300">
                  <c:v>2.4463811680269985E-2</c:v>
                </c:pt>
                <c:pt idx="4301">
                  <c:v>2.4463770167997036E-2</c:v>
                </c:pt>
                <c:pt idx="4302">
                  <c:v>2.4463728655724094E-2</c:v>
                </c:pt>
                <c:pt idx="4303">
                  <c:v>2.4463687143451148E-2</c:v>
                </c:pt>
                <c:pt idx="4304">
                  <c:v>2.4463645631178206E-2</c:v>
                </c:pt>
                <c:pt idx="4305">
                  <c:v>2.4463604118905257E-2</c:v>
                </c:pt>
                <c:pt idx="4306">
                  <c:v>2.4463562606632315E-2</c:v>
                </c:pt>
                <c:pt idx="4307">
                  <c:v>2.446352109435937E-2</c:v>
                </c:pt>
                <c:pt idx="4308">
                  <c:v>2.4463479582086431E-2</c:v>
                </c:pt>
                <c:pt idx="4309">
                  <c:v>2.4463438069813485E-2</c:v>
                </c:pt>
                <c:pt idx="4310">
                  <c:v>2.4463396557540543E-2</c:v>
                </c:pt>
                <c:pt idx="4311">
                  <c:v>2.4463355045267601E-2</c:v>
                </c:pt>
                <c:pt idx="4312">
                  <c:v>2.4463313532994652E-2</c:v>
                </c:pt>
                <c:pt idx="4313">
                  <c:v>2.446327202072171E-2</c:v>
                </c:pt>
                <c:pt idx="4314">
                  <c:v>2.4463230508448765E-2</c:v>
                </c:pt>
                <c:pt idx="4315">
                  <c:v>2.4463188996175823E-2</c:v>
                </c:pt>
                <c:pt idx="4316">
                  <c:v>2.4463147483902877E-2</c:v>
                </c:pt>
                <c:pt idx="4317">
                  <c:v>2.4463105971629939E-2</c:v>
                </c:pt>
                <c:pt idx="4318">
                  <c:v>2.4463064459356993E-2</c:v>
                </c:pt>
                <c:pt idx="4319">
                  <c:v>2.4463022947084041E-2</c:v>
                </c:pt>
                <c:pt idx="4320">
                  <c:v>2.4462981434811102E-2</c:v>
                </c:pt>
                <c:pt idx="4321">
                  <c:v>2.4462939922538156E-2</c:v>
                </c:pt>
                <c:pt idx="4322">
                  <c:v>2.4462898410265218E-2</c:v>
                </c:pt>
                <c:pt idx="4323">
                  <c:v>2.4462856897992272E-2</c:v>
                </c:pt>
                <c:pt idx="4324">
                  <c:v>2.446281538571933E-2</c:v>
                </c:pt>
                <c:pt idx="4325">
                  <c:v>2.4462773873446381E-2</c:v>
                </c:pt>
                <c:pt idx="4326">
                  <c:v>2.4462732361173446E-2</c:v>
                </c:pt>
                <c:pt idx="4327">
                  <c:v>2.4462690848900494E-2</c:v>
                </c:pt>
                <c:pt idx="4328">
                  <c:v>2.4462649336627545E-2</c:v>
                </c:pt>
                <c:pt idx="4329">
                  <c:v>2.446260782435461E-2</c:v>
                </c:pt>
                <c:pt idx="4330">
                  <c:v>2.4462566312081661E-2</c:v>
                </c:pt>
                <c:pt idx="4331">
                  <c:v>2.4462524799808719E-2</c:v>
                </c:pt>
                <c:pt idx="4332">
                  <c:v>2.4462483287535777E-2</c:v>
                </c:pt>
                <c:pt idx="4333">
                  <c:v>2.4462441775262831E-2</c:v>
                </c:pt>
                <c:pt idx="4334">
                  <c:v>2.4462400262989889E-2</c:v>
                </c:pt>
                <c:pt idx="4335">
                  <c:v>2.4462358750716947E-2</c:v>
                </c:pt>
                <c:pt idx="4336">
                  <c:v>2.4462317238444001E-2</c:v>
                </c:pt>
                <c:pt idx="4337">
                  <c:v>2.4462275726171052E-2</c:v>
                </c:pt>
                <c:pt idx="4338">
                  <c:v>2.4462234213898117E-2</c:v>
                </c:pt>
                <c:pt idx="4339">
                  <c:v>2.4462192701625168E-2</c:v>
                </c:pt>
                <c:pt idx="4340">
                  <c:v>2.4462151189352223E-2</c:v>
                </c:pt>
                <c:pt idx="4341">
                  <c:v>2.4462109677079284E-2</c:v>
                </c:pt>
                <c:pt idx="4342">
                  <c:v>2.4462068164806339E-2</c:v>
                </c:pt>
                <c:pt idx="4343">
                  <c:v>2.446202665253339E-2</c:v>
                </c:pt>
                <c:pt idx="4344">
                  <c:v>2.4461985140260455E-2</c:v>
                </c:pt>
                <c:pt idx="4345">
                  <c:v>2.4461943627987506E-2</c:v>
                </c:pt>
                <c:pt idx="4346">
                  <c:v>2.4461902115714564E-2</c:v>
                </c:pt>
                <c:pt idx="4347">
                  <c:v>2.4461860603441622E-2</c:v>
                </c:pt>
                <c:pt idx="4348">
                  <c:v>2.4461819091168676E-2</c:v>
                </c:pt>
                <c:pt idx="4349">
                  <c:v>2.4461777578895727E-2</c:v>
                </c:pt>
                <c:pt idx="4350">
                  <c:v>2.4461736066622792E-2</c:v>
                </c:pt>
                <c:pt idx="4351">
                  <c:v>2.4461694554349843E-2</c:v>
                </c:pt>
                <c:pt idx="4352">
                  <c:v>2.4461653042076897E-2</c:v>
                </c:pt>
                <c:pt idx="4353">
                  <c:v>2.4461611529803962E-2</c:v>
                </c:pt>
                <c:pt idx="4354">
                  <c:v>2.4461570017531013E-2</c:v>
                </c:pt>
                <c:pt idx="4355">
                  <c:v>2.4461528505258068E-2</c:v>
                </c:pt>
                <c:pt idx="4356">
                  <c:v>2.4461486992985126E-2</c:v>
                </c:pt>
                <c:pt idx="4357">
                  <c:v>2.4461445480712177E-2</c:v>
                </c:pt>
                <c:pt idx="4358">
                  <c:v>2.4461403968439235E-2</c:v>
                </c:pt>
                <c:pt idx="4359">
                  <c:v>2.4461362456166293E-2</c:v>
                </c:pt>
                <c:pt idx="4360">
                  <c:v>2.4461320943893351E-2</c:v>
                </c:pt>
                <c:pt idx="4361">
                  <c:v>2.4461279431620405E-2</c:v>
                </c:pt>
                <c:pt idx="4362">
                  <c:v>2.4461237919347466E-2</c:v>
                </c:pt>
                <c:pt idx="4363">
                  <c:v>2.4461196407074521E-2</c:v>
                </c:pt>
                <c:pt idx="4364">
                  <c:v>2.4461154894801572E-2</c:v>
                </c:pt>
                <c:pt idx="4365">
                  <c:v>2.4461113382528637E-2</c:v>
                </c:pt>
                <c:pt idx="4366">
                  <c:v>2.4461071870255684E-2</c:v>
                </c:pt>
                <c:pt idx="4367">
                  <c:v>2.4461030357982746E-2</c:v>
                </c:pt>
                <c:pt idx="4368">
                  <c:v>2.44609888457098E-2</c:v>
                </c:pt>
                <c:pt idx="4369">
                  <c:v>2.4460947333436858E-2</c:v>
                </c:pt>
                <c:pt idx="4370">
                  <c:v>2.4460905821163909E-2</c:v>
                </c:pt>
                <c:pt idx="4371">
                  <c:v>2.4460864308890967E-2</c:v>
                </c:pt>
                <c:pt idx="4372">
                  <c:v>2.4460822796618029E-2</c:v>
                </c:pt>
                <c:pt idx="4373">
                  <c:v>2.446078128434508E-2</c:v>
                </c:pt>
                <c:pt idx="4374">
                  <c:v>2.4460739772072138E-2</c:v>
                </c:pt>
                <c:pt idx="4375">
                  <c:v>2.4460698259799192E-2</c:v>
                </c:pt>
                <c:pt idx="4376">
                  <c:v>2.446065674752625E-2</c:v>
                </c:pt>
                <c:pt idx="4377">
                  <c:v>2.4460615235253301E-2</c:v>
                </c:pt>
                <c:pt idx="4378">
                  <c:v>2.4460573722980359E-2</c:v>
                </c:pt>
                <c:pt idx="4379">
                  <c:v>2.4460532210707413E-2</c:v>
                </c:pt>
                <c:pt idx="4380">
                  <c:v>2.4460490698434471E-2</c:v>
                </c:pt>
                <c:pt idx="4381">
                  <c:v>2.4460449186161529E-2</c:v>
                </c:pt>
                <c:pt idx="4382">
                  <c:v>2.446040767388858E-2</c:v>
                </c:pt>
                <c:pt idx="4383">
                  <c:v>2.4460366161615645E-2</c:v>
                </c:pt>
                <c:pt idx="4384">
                  <c:v>2.4460324649342696E-2</c:v>
                </c:pt>
                <c:pt idx="4385">
                  <c:v>2.4460283137069754E-2</c:v>
                </c:pt>
                <c:pt idx="4386">
                  <c:v>2.4460241624796812E-2</c:v>
                </c:pt>
                <c:pt idx="4387">
                  <c:v>2.4460200112523867E-2</c:v>
                </c:pt>
                <c:pt idx="4388">
                  <c:v>2.4460158600250925E-2</c:v>
                </c:pt>
                <c:pt idx="4389">
                  <c:v>2.4460117087977976E-2</c:v>
                </c:pt>
                <c:pt idx="4390">
                  <c:v>2.446007557570503E-2</c:v>
                </c:pt>
                <c:pt idx="4391">
                  <c:v>2.4460034063432088E-2</c:v>
                </c:pt>
                <c:pt idx="4392">
                  <c:v>2.4459992551159146E-2</c:v>
                </c:pt>
                <c:pt idx="4393">
                  <c:v>2.4459951038886204E-2</c:v>
                </c:pt>
                <c:pt idx="4394">
                  <c:v>2.4459909526613258E-2</c:v>
                </c:pt>
                <c:pt idx="4395">
                  <c:v>2.445986801434032E-2</c:v>
                </c:pt>
                <c:pt idx="4396">
                  <c:v>2.4459826502067374E-2</c:v>
                </c:pt>
                <c:pt idx="4397">
                  <c:v>2.4459784989794432E-2</c:v>
                </c:pt>
                <c:pt idx="4398">
                  <c:v>2.4459743477521483E-2</c:v>
                </c:pt>
                <c:pt idx="4399">
                  <c:v>2.4459701965248538E-2</c:v>
                </c:pt>
                <c:pt idx="4400">
                  <c:v>2.4459660452975596E-2</c:v>
                </c:pt>
                <c:pt idx="4401">
                  <c:v>2.4459618940702654E-2</c:v>
                </c:pt>
                <c:pt idx="4402">
                  <c:v>2.4459577428429705E-2</c:v>
                </c:pt>
                <c:pt idx="4403">
                  <c:v>2.4459535916156763E-2</c:v>
                </c:pt>
                <c:pt idx="4404">
                  <c:v>2.4459494403883817E-2</c:v>
                </c:pt>
                <c:pt idx="4405">
                  <c:v>2.4459452891610878E-2</c:v>
                </c:pt>
                <c:pt idx="4406">
                  <c:v>2.4459411379337933E-2</c:v>
                </c:pt>
                <c:pt idx="4407">
                  <c:v>2.4459369867064991E-2</c:v>
                </c:pt>
                <c:pt idx="4408">
                  <c:v>2.4459328354792049E-2</c:v>
                </c:pt>
                <c:pt idx="4409">
                  <c:v>2.44592868425191E-2</c:v>
                </c:pt>
                <c:pt idx="4410">
                  <c:v>2.4459245330246158E-2</c:v>
                </c:pt>
                <c:pt idx="4411">
                  <c:v>2.4459203817973212E-2</c:v>
                </c:pt>
                <c:pt idx="4412">
                  <c:v>2.445916230570027E-2</c:v>
                </c:pt>
                <c:pt idx="4413">
                  <c:v>2.4285974067057459E-2</c:v>
                </c:pt>
                <c:pt idx="4414">
                  <c:v>2.4285932554784513E-2</c:v>
                </c:pt>
                <c:pt idx="4415">
                  <c:v>2.4285891042511571E-2</c:v>
                </c:pt>
                <c:pt idx="4416">
                  <c:v>2.4285849530238622E-2</c:v>
                </c:pt>
                <c:pt idx="4417">
                  <c:v>2.4285808017965687E-2</c:v>
                </c:pt>
                <c:pt idx="4418">
                  <c:v>2.4285766505692738E-2</c:v>
                </c:pt>
                <c:pt idx="4419">
                  <c:v>2.4285724993419796E-2</c:v>
                </c:pt>
                <c:pt idx="4420">
                  <c:v>2.428568348114685E-2</c:v>
                </c:pt>
                <c:pt idx="4421">
                  <c:v>2.4285641968873908E-2</c:v>
                </c:pt>
                <c:pt idx="4422">
                  <c:v>2.4285600456600966E-2</c:v>
                </c:pt>
                <c:pt idx="4423">
                  <c:v>2.4285558944328021E-2</c:v>
                </c:pt>
                <c:pt idx="4424">
                  <c:v>2.4285517432055079E-2</c:v>
                </c:pt>
                <c:pt idx="4425">
                  <c:v>2.428547591978213E-2</c:v>
                </c:pt>
                <c:pt idx="4426">
                  <c:v>2.4285434407509188E-2</c:v>
                </c:pt>
                <c:pt idx="4427">
                  <c:v>2.4285392895236246E-2</c:v>
                </c:pt>
                <c:pt idx="4428">
                  <c:v>2.42853513829633E-2</c:v>
                </c:pt>
                <c:pt idx="4429">
                  <c:v>2.4285309870690362E-2</c:v>
                </c:pt>
                <c:pt idx="4430">
                  <c:v>2.4285268358417416E-2</c:v>
                </c:pt>
                <c:pt idx="4431">
                  <c:v>2.4285226846144474E-2</c:v>
                </c:pt>
                <c:pt idx="4432">
                  <c:v>2.4285185333871525E-2</c:v>
                </c:pt>
                <c:pt idx="4433">
                  <c:v>2.4285143821598583E-2</c:v>
                </c:pt>
                <c:pt idx="4434">
                  <c:v>2.4285102309325641E-2</c:v>
                </c:pt>
                <c:pt idx="4435">
                  <c:v>2.4285060797052688E-2</c:v>
                </c:pt>
                <c:pt idx="4436">
                  <c:v>2.4285019284779753E-2</c:v>
                </c:pt>
                <c:pt idx="4437">
                  <c:v>2.4284977772506804E-2</c:v>
                </c:pt>
                <c:pt idx="4438">
                  <c:v>2.4284936260233862E-2</c:v>
                </c:pt>
                <c:pt idx="4439">
                  <c:v>2.4284894747960917E-2</c:v>
                </c:pt>
                <c:pt idx="4440">
                  <c:v>2.4284853235687975E-2</c:v>
                </c:pt>
                <c:pt idx="4441">
                  <c:v>2.4284811723415033E-2</c:v>
                </c:pt>
                <c:pt idx="4442">
                  <c:v>2.4284770211142091E-2</c:v>
                </c:pt>
                <c:pt idx="4443">
                  <c:v>2.4284728698869145E-2</c:v>
                </c:pt>
                <c:pt idx="4444">
                  <c:v>2.4284687186596206E-2</c:v>
                </c:pt>
                <c:pt idx="4445">
                  <c:v>2.4284645674323261E-2</c:v>
                </c:pt>
                <c:pt idx="4446">
                  <c:v>2.4284604162050309E-2</c:v>
                </c:pt>
                <c:pt idx="4447">
                  <c:v>2.428456264977737E-2</c:v>
                </c:pt>
                <c:pt idx="4448">
                  <c:v>2.4284521137504424E-2</c:v>
                </c:pt>
                <c:pt idx="4449">
                  <c:v>2.4284479625231482E-2</c:v>
                </c:pt>
                <c:pt idx="4450">
                  <c:v>2.428443811295854E-2</c:v>
                </c:pt>
                <c:pt idx="4451">
                  <c:v>2.4284396600685598E-2</c:v>
                </c:pt>
                <c:pt idx="4452">
                  <c:v>2.4284355088412649E-2</c:v>
                </c:pt>
                <c:pt idx="4453">
                  <c:v>2.4284313576139707E-2</c:v>
                </c:pt>
                <c:pt idx="4454">
                  <c:v>2.4284272063866762E-2</c:v>
                </c:pt>
                <c:pt idx="4455">
                  <c:v>2.428423055159382E-2</c:v>
                </c:pt>
                <c:pt idx="4456">
                  <c:v>2.4284189039320878E-2</c:v>
                </c:pt>
                <c:pt idx="4457">
                  <c:v>2.4284147527047929E-2</c:v>
                </c:pt>
                <c:pt idx="4458">
                  <c:v>2.4284106014774987E-2</c:v>
                </c:pt>
                <c:pt idx="4459">
                  <c:v>2.4284064502502044E-2</c:v>
                </c:pt>
                <c:pt idx="4460">
                  <c:v>2.4284022990229102E-2</c:v>
                </c:pt>
                <c:pt idx="4461">
                  <c:v>2.4283981477956153E-2</c:v>
                </c:pt>
                <c:pt idx="4462">
                  <c:v>2.4283939965683215E-2</c:v>
                </c:pt>
                <c:pt idx="4463">
                  <c:v>2.4283898453410269E-2</c:v>
                </c:pt>
                <c:pt idx="4464">
                  <c:v>2.428385694113732E-2</c:v>
                </c:pt>
                <c:pt idx="4465">
                  <c:v>2.4283815428864378E-2</c:v>
                </c:pt>
                <c:pt idx="4466">
                  <c:v>2.4283773916591433E-2</c:v>
                </c:pt>
                <c:pt idx="4467">
                  <c:v>2.4283732404318494E-2</c:v>
                </c:pt>
                <c:pt idx="4468">
                  <c:v>2.4283690892045552E-2</c:v>
                </c:pt>
                <c:pt idx="4469">
                  <c:v>2.4283649379772607E-2</c:v>
                </c:pt>
                <c:pt idx="4470">
                  <c:v>2.4283607867499658E-2</c:v>
                </c:pt>
                <c:pt idx="4471">
                  <c:v>2.4283566355226716E-2</c:v>
                </c:pt>
                <c:pt idx="4472">
                  <c:v>2.4283524842953774E-2</c:v>
                </c:pt>
                <c:pt idx="4473">
                  <c:v>2.4283483330680828E-2</c:v>
                </c:pt>
                <c:pt idx="4474">
                  <c:v>2.4283441818407889E-2</c:v>
                </c:pt>
                <c:pt idx="4475">
                  <c:v>2.4283400306134944E-2</c:v>
                </c:pt>
                <c:pt idx="4476">
                  <c:v>2.4283358793861995E-2</c:v>
                </c:pt>
                <c:pt idx="4477">
                  <c:v>2.4283317281589053E-2</c:v>
                </c:pt>
                <c:pt idx="4478">
                  <c:v>2.4283275769316107E-2</c:v>
                </c:pt>
                <c:pt idx="4479">
                  <c:v>2.4283234257043165E-2</c:v>
                </c:pt>
                <c:pt idx="4480">
                  <c:v>2.4283192744770223E-2</c:v>
                </c:pt>
                <c:pt idx="4481">
                  <c:v>2.4283151232497281E-2</c:v>
                </c:pt>
                <c:pt idx="4482">
                  <c:v>2.4283109720224336E-2</c:v>
                </c:pt>
                <c:pt idx="4483">
                  <c:v>2.4283068207951397E-2</c:v>
                </c:pt>
                <c:pt idx="4484">
                  <c:v>2.4283026695678452E-2</c:v>
                </c:pt>
                <c:pt idx="4485">
                  <c:v>2.4282985183405503E-2</c:v>
                </c:pt>
                <c:pt idx="4486">
                  <c:v>2.4282943671132561E-2</c:v>
                </c:pt>
                <c:pt idx="4487">
                  <c:v>2.4282902158859615E-2</c:v>
                </c:pt>
                <c:pt idx="4488">
                  <c:v>2.4282860646586673E-2</c:v>
                </c:pt>
                <c:pt idx="4489">
                  <c:v>2.4282819134313724E-2</c:v>
                </c:pt>
                <c:pt idx="4490">
                  <c:v>2.4282777622040782E-2</c:v>
                </c:pt>
                <c:pt idx="4491">
                  <c:v>2.428273610976784E-2</c:v>
                </c:pt>
                <c:pt idx="4492">
                  <c:v>2.4282694597494905E-2</c:v>
                </c:pt>
                <c:pt idx="4493">
                  <c:v>2.4282653085221952E-2</c:v>
                </c:pt>
                <c:pt idx="4494">
                  <c:v>2.428261157294901E-2</c:v>
                </c:pt>
                <c:pt idx="4495">
                  <c:v>2.4282570060676068E-2</c:v>
                </c:pt>
                <c:pt idx="4496">
                  <c:v>2.4282528548403126E-2</c:v>
                </c:pt>
                <c:pt idx="4497">
                  <c:v>2.4282487036130177E-2</c:v>
                </c:pt>
                <c:pt idx="4498">
                  <c:v>2.4282445523857232E-2</c:v>
                </c:pt>
                <c:pt idx="4499">
                  <c:v>2.428240401158429E-2</c:v>
                </c:pt>
                <c:pt idx="4500">
                  <c:v>2.4282362499311344E-2</c:v>
                </c:pt>
                <c:pt idx="4501">
                  <c:v>2.4282320987038405E-2</c:v>
                </c:pt>
                <c:pt idx="4502">
                  <c:v>2.428227947476546E-2</c:v>
                </c:pt>
                <c:pt idx="4503">
                  <c:v>2.4282237962492518E-2</c:v>
                </c:pt>
                <c:pt idx="4504">
                  <c:v>2.4282196450219576E-2</c:v>
                </c:pt>
                <c:pt idx="4505">
                  <c:v>2.4282154937946634E-2</c:v>
                </c:pt>
                <c:pt idx="4506">
                  <c:v>2.4282113425673685E-2</c:v>
                </c:pt>
                <c:pt idx="4507">
                  <c:v>2.4282071913400739E-2</c:v>
                </c:pt>
                <c:pt idx="4508">
                  <c:v>2.4282030401127797E-2</c:v>
                </c:pt>
                <c:pt idx="4509">
                  <c:v>2.4281988888854848E-2</c:v>
                </c:pt>
                <c:pt idx="4510">
                  <c:v>2.4281947376581913E-2</c:v>
                </c:pt>
                <c:pt idx="4511">
                  <c:v>2.4281905864308961E-2</c:v>
                </c:pt>
                <c:pt idx="4512">
                  <c:v>2.4281864352036019E-2</c:v>
                </c:pt>
                <c:pt idx="4513">
                  <c:v>2.428182283976307E-2</c:v>
                </c:pt>
                <c:pt idx="4514">
                  <c:v>2.4281781327490135E-2</c:v>
                </c:pt>
                <c:pt idx="4515">
                  <c:v>2.4281739815217186E-2</c:v>
                </c:pt>
                <c:pt idx="4516">
                  <c:v>2.4281698302944243E-2</c:v>
                </c:pt>
                <c:pt idx="4517">
                  <c:v>2.4281656790671298E-2</c:v>
                </c:pt>
                <c:pt idx="4518">
                  <c:v>2.4281615278398356E-2</c:v>
                </c:pt>
                <c:pt idx="4519">
                  <c:v>2.4281573766125414E-2</c:v>
                </c:pt>
                <c:pt idx="4520">
                  <c:v>2.4281532253852468E-2</c:v>
                </c:pt>
                <c:pt idx="4521">
                  <c:v>2.4281490741579526E-2</c:v>
                </c:pt>
                <c:pt idx="4522">
                  <c:v>2.4281449229306584E-2</c:v>
                </c:pt>
                <c:pt idx="4523">
                  <c:v>2.4281407717033635E-2</c:v>
                </c:pt>
                <c:pt idx="4524">
                  <c:v>2.4281366204760693E-2</c:v>
                </c:pt>
                <c:pt idx="4525">
                  <c:v>2.4281324692487748E-2</c:v>
                </c:pt>
                <c:pt idx="4526">
                  <c:v>2.4281283180214806E-2</c:v>
                </c:pt>
                <c:pt idx="4527">
                  <c:v>2.4281241667941864E-2</c:v>
                </c:pt>
                <c:pt idx="4528">
                  <c:v>2.4281200155668922E-2</c:v>
                </c:pt>
                <c:pt idx="4529">
                  <c:v>2.4281158643395973E-2</c:v>
                </c:pt>
                <c:pt idx="4530">
                  <c:v>2.428111713112303E-2</c:v>
                </c:pt>
                <c:pt idx="4531">
                  <c:v>2.4281075618850088E-2</c:v>
                </c:pt>
                <c:pt idx="4532">
                  <c:v>2.4281034106577143E-2</c:v>
                </c:pt>
                <c:pt idx="4533">
                  <c:v>2.4280992594304201E-2</c:v>
                </c:pt>
                <c:pt idx="4534">
                  <c:v>2.4280951082031252E-2</c:v>
                </c:pt>
                <c:pt idx="4535">
                  <c:v>2.428090956975831E-2</c:v>
                </c:pt>
                <c:pt idx="4536">
                  <c:v>2.4280868057485368E-2</c:v>
                </c:pt>
                <c:pt idx="4537">
                  <c:v>2.4280826545212422E-2</c:v>
                </c:pt>
                <c:pt idx="4538">
                  <c:v>2.428078503293948E-2</c:v>
                </c:pt>
                <c:pt idx="4539">
                  <c:v>2.4280743520666538E-2</c:v>
                </c:pt>
                <c:pt idx="4540">
                  <c:v>2.4280702008393596E-2</c:v>
                </c:pt>
                <c:pt idx="4541">
                  <c:v>2.4280660496120651E-2</c:v>
                </c:pt>
                <c:pt idx="4542">
                  <c:v>2.4280618983847709E-2</c:v>
                </c:pt>
                <c:pt idx="4543">
                  <c:v>2.428057747157476E-2</c:v>
                </c:pt>
                <c:pt idx="4544">
                  <c:v>2.4280535959301817E-2</c:v>
                </c:pt>
                <c:pt idx="4545">
                  <c:v>2.4280494447028875E-2</c:v>
                </c:pt>
                <c:pt idx="4546">
                  <c:v>2.428045293475593E-2</c:v>
                </c:pt>
                <c:pt idx="4547">
                  <c:v>2.4280411422482988E-2</c:v>
                </c:pt>
                <c:pt idx="4548">
                  <c:v>2.4280369910210046E-2</c:v>
                </c:pt>
                <c:pt idx="4549">
                  <c:v>2.4280328397937097E-2</c:v>
                </c:pt>
                <c:pt idx="4550">
                  <c:v>2.4280286885664151E-2</c:v>
                </c:pt>
                <c:pt idx="4551">
                  <c:v>2.4280245373391213E-2</c:v>
                </c:pt>
                <c:pt idx="4552">
                  <c:v>2.4280203861118267E-2</c:v>
                </c:pt>
                <c:pt idx="4553">
                  <c:v>2.4280162348845325E-2</c:v>
                </c:pt>
                <c:pt idx="4554">
                  <c:v>2.4280120836572376E-2</c:v>
                </c:pt>
                <c:pt idx="4555">
                  <c:v>2.4280079324299434E-2</c:v>
                </c:pt>
                <c:pt idx="4556">
                  <c:v>2.4280037812026492E-2</c:v>
                </c:pt>
                <c:pt idx="4557">
                  <c:v>2.427999629975355E-2</c:v>
                </c:pt>
                <c:pt idx="4558">
                  <c:v>2.4279954787480604E-2</c:v>
                </c:pt>
                <c:pt idx="4559">
                  <c:v>2.4279913275207652E-2</c:v>
                </c:pt>
                <c:pt idx="4560">
                  <c:v>2.4279871762934717E-2</c:v>
                </c:pt>
                <c:pt idx="4561">
                  <c:v>2.4279830250661768E-2</c:v>
                </c:pt>
                <c:pt idx="4562">
                  <c:v>2.4279788738388833E-2</c:v>
                </c:pt>
                <c:pt idx="4563">
                  <c:v>2.4279747226115884E-2</c:v>
                </c:pt>
                <c:pt idx="4564">
                  <c:v>2.4279705713842942E-2</c:v>
                </c:pt>
                <c:pt idx="4565">
                  <c:v>2.4279664201569996E-2</c:v>
                </c:pt>
                <c:pt idx="4566">
                  <c:v>2.4279622689297058E-2</c:v>
                </c:pt>
                <c:pt idx="4567">
                  <c:v>2.4279581177024105E-2</c:v>
                </c:pt>
                <c:pt idx="4568">
                  <c:v>2.4279539664751163E-2</c:v>
                </c:pt>
                <c:pt idx="4569">
                  <c:v>2.4279498152478221E-2</c:v>
                </c:pt>
                <c:pt idx="4570">
                  <c:v>2.4279456640205276E-2</c:v>
                </c:pt>
                <c:pt idx="4571">
                  <c:v>2.4279415127932334E-2</c:v>
                </c:pt>
                <c:pt idx="4572">
                  <c:v>2.4279373615659391E-2</c:v>
                </c:pt>
                <c:pt idx="4573">
                  <c:v>2.4279332103386449E-2</c:v>
                </c:pt>
                <c:pt idx="4574">
                  <c:v>2.42792905911135E-2</c:v>
                </c:pt>
                <c:pt idx="4575">
                  <c:v>2.4279249078840558E-2</c:v>
                </c:pt>
                <c:pt idx="4576">
                  <c:v>2.4279207566567613E-2</c:v>
                </c:pt>
                <c:pt idx="4577">
                  <c:v>2.4279166054294671E-2</c:v>
                </c:pt>
                <c:pt idx="4578">
                  <c:v>2.4279124542021729E-2</c:v>
                </c:pt>
                <c:pt idx="4579">
                  <c:v>2.4279083029748783E-2</c:v>
                </c:pt>
                <c:pt idx="4580">
                  <c:v>2.4279041517475841E-2</c:v>
                </c:pt>
                <c:pt idx="4581">
                  <c:v>2.4279000005202899E-2</c:v>
                </c:pt>
                <c:pt idx="4582">
                  <c:v>2.427895849292995E-2</c:v>
                </c:pt>
                <c:pt idx="4583">
                  <c:v>2.4278916980657005E-2</c:v>
                </c:pt>
                <c:pt idx="4584">
                  <c:v>2.4278875468384066E-2</c:v>
                </c:pt>
                <c:pt idx="4585">
                  <c:v>2.427883395611112E-2</c:v>
                </c:pt>
                <c:pt idx="4586">
                  <c:v>2.4278792443838178E-2</c:v>
                </c:pt>
                <c:pt idx="4587">
                  <c:v>2.4278750931565229E-2</c:v>
                </c:pt>
                <c:pt idx="4588">
                  <c:v>2.4278709419292287E-2</c:v>
                </c:pt>
                <c:pt idx="4589">
                  <c:v>2.4278667907019342E-2</c:v>
                </c:pt>
                <c:pt idx="4590">
                  <c:v>2.4278626394746403E-2</c:v>
                </c:pt>
                <c:pt idx="4591">
                  <c:v>2.4278584882473458E-2</c:v>
                </c:pt>
                <c:pt idx="4592">
                  <c:v>2.4278543370200509E-2</c:v>
                </c:pt>
                <c:pt idx="4593">
                  <c:v>2.4278501857927574E-2</c:v>
                </c:pt>
                <c:pt idx="4594">
                  <c:v>2.4278460345654625E-2</c:v>
                </c:pt>
                <c:pt idx="4595">
                  <c:v>2.4106665642186009E-2</c:v>
                </c:pt>
                <c:pt idx="4596">
                  <c:v>2.4106624129913067E-2</c:v>
                </c:pt>
                <c:pt idx="4597">
                  <c:v>2.4106582617640124E-2</c:v>
                </c:pt>
                <c:pt idx="4598">
                  <c:v>2.4106541105367182E-2</c:v>
                </c:pt>
                <c:pt idx="4599">
                  <c:v>2.4106499593094237E-2</c:v>
                </c:pt>
                <c:pt idx="4600">
                  <c:v>2.4106458080821288E-2</c:v>
                </c:pt>
                <c:pt idx="4601">
                  <c:v>2.4106416568548346E-2</c:v>
                </c:pt>
                <c:pt idx="4602">
                  <c:v>2.4106375056275404E-2</c:v>
                </c:pt>
                <c:pt idx="4603">
                  <c:v>2.4106333544002462E-2</c:v>
                </c:pt>
                <c:pt idx="4604">
                  <c:v>2.4106292031729516E-2</c:v>
                </c:pt>
                <c:pt idx="4605">
                  <c:v>2.4106250519456578E-2</c:v>
                </c:pt>
                <c:pt idx="4606">
                  <c:v>2.4106209007183625E-2</c:v>
                </c:pt>
                <c:pt idx="4607">
                  <c:v>2.410616749491069E-2</c:v>
                </c:pt>
                <c:pt idx="4608">
                  <c:v>2.4106125982637741E-2</c:v>
                </c:pt>
                <c:pt idx="4609">
                  <c:v>2.4106084470364789E-2</c:v>
                </c:pt>
                <c:pt idx="4610">
                  <c:v>2.4106042958091854E-2</c:v>
                </c:pt>
                <c:pt idx="4611">
                  <c:v>2.4106001445818905E-2</c:v>
                </c:pt>
                <c:pt idx="4612">
                  <c:v>2.4105959933545969E-2</c:v>
                </c:pt>
                <c:pt idx="4613">
                  <c:v>2.4105918421273024E-2</c:v>
                </c:pt>
                <c:pt idx="4614">
                  <c:v>2.4105876909000082E-2</c:v>
                </c:pt>
                <c:pt idx="4615">
                  <c:v>2.4105835396727133E-2</c:v>
                </c:pt>
                <c:pt idx="4616">
                  <c:v>2.4105793884454198E-2</c:v>
                </c:pt>
                <c:pt idx="4617">
                  <c:v>2.4105752372181245E-2</c:v>
                </c:pt>
                <c:pt idx="4618">
                  <c:v>2.4105710859908303E-2</c:v>
                </c:pt>
                <c:pt idx="4619">
                  <c:v>2.4105669347635361E-2</c:v>
                </c:pt>
                <c:pt idx="4620">
                  <c:v>2.4105627835362412E-2</c:v>
                </c:pt>
                <c:pt idx="4621">
                  <c:v>2.410558632308947E-2</c:v>
                </c:pt>
                <c:pt idx="4622">
                  <c:v>2.4105544810816525E-2</c:v>
                </c:pt>
                <c:pt idx="4623">
                  <c:v>2.4105503298543583E-2</c:v>
                </c:pt>
                <c:pt idx="4624">
                  <c:v>2.4105461786270641E-2</c:v>
                </c:pt>
                <c:pt idx="4625">
                  <c:v>2.4105420273997698E-2</c:v>
                </c:pt>
                <c:pt idx="4626">
                  <c:v>2.4105378761724756E-2</c:v>
                </c:pt>
                <c:pt idx="4627">
                  <c:v>2.4105337249451807E-2</c:v>
                </c:pt>
                <c:pt idx="4628">
                  <c:v>2.4105295737178865E-2</c:v>
                </c:pt>
                <c:pt idx="4629">
                  <c:v>2.410525422490592E-2</c:v>
                </c:pt>
                <c:pt idx="4630">
                  <c:v>2.4105212712632971E-2</c:v>
                </c:pt>
                <c:pt idx="4631">
                  <c:v>2.4105171200360029E-2</c:v>
                </c:pt>
                <c:pt idx="4632">
                  <c:v>2.410512968808709E-2</c:v>
                </c:pt>
                <c:pt idx="4633">
                  <c:v>2.4105088175814141E-2</c:v>
                </c:pt>
                <c:pt idx="4634">
                  <c:v>2.4105046663541199E-2</c:v>
                </c:pt>
                <c:pt idx="4635">
                  <c:v>2.4105005151268254E-2</c:v>
                </c:pt>
                <c:pt idx="4636">
                  <c:v>2.4104963638995315E-2</c:v>
                </c:pt>
                <c:pt idx="4637">
                  <c:v>2.4104922126722373E-2</c:v>
                </c:pt>
                <c:pt idx="4638">
                  <c:v>2.4104880614449428E-2</c:v>
                </c:pt>
                <c:pt idx="4639">
                  <c:v>2.4104839102176485E-2</c:v>
                </c:pt>
                <c:pt idx="4640">
                  <c:v>2.4104797589903543E-2</c:v>
                </c:pt>
                <c:pt idx="4641">
                  <c:v>2.4104756077630594E-2</c:v>
                </c:pt>
                <c:pt idx="4642">
                  <c:v>2.4104714565357649E-2</c:v>
                </c:pt>
                <c:pt idx="4643">
                  <c:v>2.4104673053084707E-2</c:v>
                </c:pt>
                <c:pt idx="4644">
                  <c:v>2.4104631540811758E-2</c:v>
                </c:pt>
                <c:pt idx="4645">
                  <c:v>2.4104590028538816E-2</c:v>
                </c:pt>
                <c:pt idx="4646">
                  <c:v>2.4104548516265874E-2</c:v>
                </c:pt>
                <c:pt idx="4647">
                  <c:v>2.4104507003992928E-2</c:v>
                </c:pt>
                <c:pt idx="4648">
                  <c:v>2.410446549171999E-2</c:v>
                </c:pt>
                <c:pt idx="4649">
                  <c:v>2.4104423979447044E-2</c:v>
                </c:pt>
                <c:pt idx="4650">
                  <c:v>2.4104382467174102E-2</c:v>
                </c:pt>
                <c:pt idx="4651">
                  <c:v>2.4104340954901157E-2</c:v>
                </c:pt>
                <c:pt idx="4652">
                  <c:v>2.4104299442628208E-2</c:v>
                </c:pt>
                <c:pt idx="4653">
                  <c:v>2.4104257930355272E-2</c:v>
                </c:pt>
                <c:pt idx="4654">
                  <c:v>2.4104216418082323E-2</c:v>
                </c:pt>
                <c:pt idx="4655">
                  <c:v>2.4104174905809381E-2</c:v>
                </c:pt>
                <c:pt idx="4656">
                  <c:v>2.4104133393536436E-2</c:v>
                </c:pt>
                <c:pt idx="4657">
                  <c:v>2.4104091881263494E-2</c:v>
                </c:pt>
                <c:pt idx="4658">
                  <c:v>2.4104050368990552E-2</c:v>
                </c:pt>
                <c:pt idx="4659">
                  <c:v>2.4104008856717603E-2</c:v>
                </c:pt>
                <c:pt idx="4660">
                  <c:v>2.4103967344444661E-2</c:v>
                </c:pt>
                <c:pt idx="4661">
                  <c:v>2.4103925832171719E-2</c:v>
                </c:pt>
                <c:pt idx="4662">
                  <c:v>2.4103884319898777E-2</c:v>
                </c:pt>
                <c:pt idx="4663">
                  <c:v>2.4103842807625824E-2</c:v>
                </c:pt>
                <c:pt idx="4664">
                  <c:v>2.4103801295352889E-2</c:v>
                </c:pt>
                <c:pt idx="4665">
                  <c:v>2.410375978307994E-2</c:v>
                </c:pt>
                <c:pt idx="4666">
                  <c:v>2.4103718270806998E-2</c:v>
                </c:pt>
                <c:pt idx="4667">
                  <c:v>2.4103676758534053E-2</c:v>
                </c:pt>
                <c:pt idx="4668">
                  <c:v>2.410363524626111E-2</c:v>
                </c:pt>
                <c:pt idx="4669">
                  <c:v>2.4103593733988168E-2</c:v>
                </c:pt>
                <c:pt idx="4670">
                  <c:v>2.4103552221715219E-2</c:v>
                </c:pt>
                <c:pt idx="4671">
                  <c:v>2.4103510709442281E-2</c:v>
                </c:pt>
                <c:pt idx="4672">
                  <c:v>2.4103469197169332E-2</c:v>
                </c:pt>
                <c:pt idx="4673">
                  <c:v>2.410342768489639E-2</c:v>
                </c:pt>
                <c:pt idx="4674">
                  <c:v>2.4103386172623448E-2</c:v>
                </c:pt>
                <c:pt idx="4675">
                  <c:v>2.4103344660350506E-2</c:v>
                </c:pt>
                <c:pt idx="4676">
                  <c:v>2.410330314807756E-2</c:v>
                </c:pt>
                <c:pt idx="4677">
                  <c:v>2.4103261635804618E-2</c:v>
                </c:pt>
                <c:pt idx="4678">
                  <c:v>2.4103220123531676E-2</c:v>
                </c:pt>
                <c:pt idx="4679">
                  <c:v>2.4103178611258727E-2</c:v>
                </c:pt>
                <c:pt idx="4680">
                  <c:v>2.4103137098985782E-2</c:v>
                </c:pt>
                <c:pt idx="4681">
                  <c:v>2.4103095586712843E-2</c:v>
                </c:pt>
                <c:pt idx="4682">
                  <c:v>2.4103054074439897E-2</c:v>
                </c:pt>
                <c:pt idx="4683">
                  <c:v>2.4103012562166948E-2</c:v>
                </c:pt>
                <c:pt idx="4684">
                  <c:v>2.4102971049894006E-2</c:v>
                </c:pt>
                <c:pt idx="4685">
                  <c:v>2.4102929537621064E-2</c:v>
                </c:pt>
                <c:pt idx="4686">
                  <c:v>2.4102888025348122E-2</c:v>
                </c:pt>
                <c:pt idx="4687">
                  <c:v>2.410284651307518E-2</c:v>
                </c:pt>
                <c:pt idx="4688">
                  <c:v>2.4102805000802235E-2</c:v>
                </c:pt>
                <c:pt idx="4689">
                  <c:v>2.4102763488529286E-2</c:v>
                </c:pt>
                <c:pt idx="4690">
                  <c:v>2.4102721976256351E-2</c:v>
                </c:pt>
                <c:pt idx="4691">
                  <c:v>2.4102680463983405E-2</c:v>
                </c:pt>
                <c:pt idx="4692">
                  <c:v>2.4102638951710456E-2</c:v>
                </c:pt>
                <c:pt idx="4693">
                  <c:v>2.4102597439437514E-2</c:v>
                </c:pt>
                <c:pt idx="4694">
                  <c:v>2.4102555927164572E-2</c:v>
                </c:pt>
                <c:pt idx="4695">
                  <c:v>2.4102514414891626E-2</c:v>
                </c:pt>
                <c:pt idx="4696">
                  <c:v>2.4102472902618684E-2</c:v>
                </c:pt>
                <c:pt idx="4697">
                  <c:v>2.4102431390345742E-2</c:v>
                </c:pt>
                <c:pt idx="4698">
                  <c:v>2.4102389878072793E-2</c:v>
                </c:pt>
                <c:pt idx="4699">
                  <c:v>2.4102348365799851E-2</c:v>
                </c:pt>
                <c:pt idx="4700">
                  <c:v>2.4102306853526909E-2</c:v>
                </c:pt>
                <c:pt idx="4701">
                  <c:v>2.4102265341253964E-2</c:v>
                </c:pt>
                <c:pt idx="4702">
                  <c:v>2.4102223828981025E-2</c:v>
                </c:pt>
                <c:pt idx="4703">
                  <c:v>2.410218231670808E-2</c:v>
                </c:pt>
                <c:pt idx="4704">
                  <c:v>2.4102140804435131E-2</c:v>
                </c:pt>
                <c:pt idx="4705">
                  <c:v>2.4102099292162189E-2</c:v>
                </c:pt>
                <c:pt idx="4706">
                  <c:v>2.4102057779889243E-2</c:v>
                </c:pt>
                <c:pt idx="4707">
                  <c:v>2.4102016267616301E-2</c:v>
                </c:pt>
                <c:pt idx="4708">
                  <c:v>2.4101974755343359E-2</c:v>
                </c:pt>
                <c:pt idx="4709">
                  <c:v>2.4101933243070417E-2</c:v>
                </c:pt>
                <c:pt idx="4710">
                  <c:v>2.4101891730797471E-2</c:v>
                </c:pt>
                <c:pt idx="4711">
                  <c:v>2.4101850218524533E-2</c:v>
                </c:pt>
                <c:pt idx="4712">
                  <c:v>2.4101808706251587E-2</c:v>
                </c:pt>
                <c:pt idx="4713">
                  <c:v>2.4101767193978635E-2</c:v>
                </c:pt>
                <c:pt idx="4714">
                  <c:v>2.4101725681705696E-2</c:v>
                </c:pt>
                <c:pt idx="4715">
                  <c:v>2.4101684169432751E-2</c:v>
                </c:pt>
                <c:pt idx="4716">
                  <c:v>2.4101642657159809E-2</c:v>
                </c:pt>
                <c:pt idx="4717">
                  <c:v>2.410160114488686E-2</c:v>
                </c:pt>
                <c:pt idx="4718">
                  <c:v>2.4101559632613918E-2</c:v>
                </c:pt>
                <c:pt idx="4719">
                  <c:v>2.4101518120340972E-2</c:v>
                </c:pt>
                <c:pt idx="4720">
                  <c:v>2.4101476608068034E-2</c:v>
                </c:pt>
                <c:pt idx="4721">
                  <c:v>2.4101435095795088E-2</c:v>
                </c:pt>
                <c:pt idx="4722">
                  <c:v>2.4101393583522146E-2</c:v>
                </c:pt>
                <c:pt idx="4723">
                  <c:v>2.4101352071249197E-2</c:v>
                </c:pt>
                <c:pt idx="4724">
                  <c:v>2.4101310558976255E-2</c:v>
                </c:pt>
                <c:pt idx="4725">
                  <c:v>2.4101269046703313E-2</c:v>
                </c:pt>
                <c:pt idx="4726">
                  <c:v>2.4101227534430367E-2</c:v>
                </c:pt>
                <c:pt idx="4727">
                  <c:v>2.4101186022157425E-2</c:v>
                </c:pt>
                <c:pt idx="4728">
                  <c:v>2.4101144509884476E-2</c:v>
                </c:pt>
                <c:pt idx="4729">
                  <c:v>2.4101102997611541E-2</c:v>
                </c:pt>
                <c:pt idx="4730">
                  <c:v>2.4101061485338589E-2</c:v>
                </c:pt>
                <c:pt idx="4731">
                  <c:v>2.4101019973065647E-2</c:v>
                </c:pt>
                <c:pt idx="4732">
                  <c:v>2.4100978460792705E-2</c:v>
                </c:pt>
                <c:pt idx="4733">
                  <c:v>2.4100936948519763E-2</c:v>
                </c:pt>
                <c:pt idx="4734">
                  <c:v>2.4100895436246817E-2</c:v>
                </c:pt>
                <c:pt idx="4735">
                  <c:v>2.4100853923973875E-2</c:v>
                </c:pt>
                <c:pt idx="4736">
                  <c:v>2.4100812411700933E-2</c:v>
                </c:pt>
                <c:pt idx="4737">
                  <c:v>2.4100770899427984E-2</c:v>
                </c:pt>
                <c:pt idx="4738">
                  <c:v>2.4100729387155042E-2</c:v>
                </c:pt>
                <c:pt idx="4739">
                  <c:v>2.4100687874882096E-2</c:v>
                </c:pt>
                <c:pt idx="4740">
                  <c:v>2.4100646362609158E-2</c:v>
                </c:pt>
                <c:pt idx="4741">
                  <c:v>2.4100604850336212E-2</c:v>
                </c:pt>
                <c:pt idx="4742">
                  <c:v>2.4100563338063263E-2</c:v>
                </c:pt>
                <c:pt idx="4743">
                  <c:v>2.4100521825790321E-2</c:v>
                </c:pt>
                <c:pt idx="4744">
                  <c:v>2.4100480313517376E-2</c:v>
                </c:pt>
                <c:pt idx="4745">
                  <c:v>2.4100438801244437E-2</c:v>
                </c:pt>
                <c:pt idx="4746">
                  <c:v>2.4100397288971492E-2</c:v>
                </c:pt>
                <c:pt idx="4747">
                  <c:v>2.410035577669855E-2</c:v>
                </c:pt>
                <c:pt idx="4748">
                  <c:v>2.4100314264425608E-2</c:v>
                </c:pt>
                <c:pt idx="4749">
                  <c:v>2.4100272752152662E-2</c:v>
                </c:pt>
                <c:pt idx="4750">
                  <c:v>2.410023123987972E-2</c:v>
                </c:pt>
                <c:pt idx="4751">
                  <c:v>2.4100189727606771E-2</c:v>
                </c:pt>
                <c:pt idx="4752">
                  <c:v>2.4100148215333825E-2</c:v>
                </c:pt>
                <c:pt idx="4753">
                  <c:v>2.4100106703060883E-2</c:v>
                </c:pt>
                <c:pt idx="4754">
                  <c:v>2.4100065190787941E-2</c:v>
                </c:pt>
                <c:pt idx="4755">
                  <c:v>2.4100023678514999E-2</c:v>
                </c:pt>
                <c:pt idx="4756">
                  <c:v>2.409998216624205E-2</c:v>
                </c:pt>
                <c:pt idx="4757">
                  <c:v>2.4099940653969115E-2</c:v>
                </c:pt>
                <c:pt idx="4758">
                  <c:v>2.4099899141696166E-2</c:v>
                </c:pt>
                <c:pt idx="4759">
                  <c:v>2.4099857629423224E-2</c:v>
                </c:pt>
                <c:pt idx="4760">
                  <c:v>2.4099816117150279E-2</c:v>
                </c:pt>
                <c:pt idx="4761">
                  <c:v>2.4099774604877337E-2</c:v>
                </c:pt>
                <c:pt idx="4762">
                  <c:v>2.4099733092604388E-2</c:v>
                </c:pt>
                <c:pt idx="4763">
                  <c:v>2.4099691580331446E-2</c:v>
                </c:pt>
                <c:pt idx="4764">
                  <c:v>2.4099650068058504E-2</c:v>
                </c:pt>
                <c:pt idx="4765">
                  <c:v>2.4099608555785551E-2</c:v>
                </c:pt>
                <c:pt idx="4766">
                  <c:v>2.4099567043512609E-2</c:v>
                </c:pt>
                <c:pt idx="4767">
                  <c:v>2.4099525531239667E-2</c:v>
                </c:pt>
                <c:pt idx="4768">
                  <c:v>2.4099484018966725E-2</c:v>
                </c:pt>
                <c:pt idx="4769">
                  <c:v>2.4099442506693786E-2</c:v>
                </c:pt>
                <c:pt idx="4770">
                  <c:v>2.4099400994420844E-2</c:v>
                </c:pt>
                <c:pt idx="4771">
                  <c:v>2.4099359482147895E-2</c:v>
                </c:pt>
                <c:pt idx="4772">
                  <c:v>2.4099317969874953E-2</c:v>
                </c:pt>
                <c:pt idx="4773">
                  <c:v>2.4099276457602008E-2</c:v>
                </c:pt>
                <c:pt idx="4774">
                  <c:v>2.4099234945329066E-2</c:v>
                </c:pt>
                <c:pt idx="4775">
                  <c:v>2.4099193433056124E-2</c:v>
                </c:pt>
                <c:pt idx="4776">
                  <c:v>2.4099151920783175E-2</c:v>
                </c:pt>
                <c:pt idx="4777">
                  <c:v>2.4099110408510233E-2</c:v>
                </c:pt>
                <c:pt idx="4778">
                  <c:v>2.3929119685806119E-2</c:v>
                </c:pt>
                <c:pt idx="4779">
                  <c:v>2.392907817353318E-2</c:v>
                </c:pt>
                <c:pt idx="4780">
                  <c:v>2.3929036661260228E-2</c:v>
                </c:pt>
                <c:pt idx="4781">
                  <c:v>2.3928995148987286E-2</c:v>
                </c:pt>
                <c:pt idx="4782">
                  <c:v>2.3928953636714344E-2</c:v>
                </c:pt>
                <c:pt idx="4783">
                  <c:v>2.3928912124441402E-2</c:v>
                </c:pt>
                <c:pt idx="4784">
                  <c:v>2.3928870612168456E-2</c:v>
                </c:pt>
                <c:pt idx="4785">
                  <c:v>2.3928829099895514E-2</c:v>
                </c:pt>
                <c:pt idx="4786">
                  <c:v>2.3928787587622572E-2</c:v>
                </c:pt>
                <c:pt idx="4787">
                  <c:v>2.392874607534962E-2</c:v>
                </c:pt>
                <c:pt idx="4788">
                  <c:v>2.3928704563076681E-2</c:v>
                </c:pt>
                <c:pt idx="4789">
                  <c:v>2.3928663050803736E-2</c:v>
                </c:pt>
                <c:pt idx="4790">
                  <c:v>2.392862153853079E-2</c:v>
                </c:pt>
                <c:pt idx="4791">
                  <c:v>2.3928580026257851E-2</c:v>
                </c:pt>
                <c:pt idx="4792">
                  <c:v>2.3928538513984906E-2</c:v>
                </c:pt>
                <c:pt idx="4793">
                  <c:v>2.3928497001711964E-2</c:v>
                </c:pt>
                <c:pt idx="4794">
                  <c:v>2.3928455489439022E-2</c:v>
                </c:pt>
                <c:pt idx="4795">
                  <c:v>2.3928413977166073E-2</c:v>
                </c:pt>
                <c:pt idx="4796">
                  <c:v>2.3928372464893131E-2</c:v>
                </c:pt>
                <c:pt idx="4797">
                  <c:v>2.3928330952620189E-2</c:v>
                </c:pt>
                <c:pt idx="4798">
                  <c:v>2.3928289440347243E-2</c:v>
                </c:pt>
                <c:pt idx="4799">
                  <c:v>2.3928247928074294E-2</c:v>
                </c:pt>
                <c:pt idx="4800">
                  <c:v>2.3928206415801359E-2</c:v>
                </c:pt>
                <c:pt idx="4801">
                  <c:v>2.392816490352841E-2</c:v>
                </c:pt>
                <c:pt idx="4802">
                  <c:v>2.3928123391255465E-2</c:v>
                </c:pt>
                <c:pt idx="4803">
                  <c:v>2.3928081878982526E-2</c:v>
                </c:pt>
                <c:pt idx="4804">
                  <c:v>2.392804036670958E-2</c:v>
                </c:pt>
                <c:pt idx="4805">
                  <c:v>2.3927998854436638E-2</c:v>
                </c:pt>
                <c:pt idx="4806">
                  <c:v>2.3927957342163696E-2</c:v>
                </c:pt>
                <c:pt idx="4807">
                  <c:v>2.3927915829890747E-2</c:v>
                </c:pt>
                <c:pt idx="4808">
                  <c:v>2.3927874317617802E-2</c:v>
                </c:pt>
                <c:pt idx="4809">
                  <c:v>2.3927832805344863E-2</c:v>
                </c:pt>
                <c:pt idx="4810">
                  <c:v>2.3927791293071918E-2</c:v>
                </c:pt>
                <c:pt idx="4811">
                  <c:v>2.3927749780798972E-2</c:v>
                </c:pt>
                <c:pt idx="4812">
                  <c:v>2.392770826852603E-2</c:v>
                </c:pt>
                <c:pt idx="4813">
                  <c:v>2.3927666756253088E-2</c:v>
                </c:pt>
                <c:pt idx="4814">
                  <c:v>2.3927625243980139E-2</c:v>
                </c:pt>
                <c:pt idx="4815">
                  <c:v>2.3927583731707197E-2</c:v>
                </c:pt>
                <c:pt idx="4816">
                  <c:v>2.3927542219434255E-2</c:v>
                </c:pt>
                <c:pt idx="4817">
                  <c:v>2.392750070716131E-2</c:v>
                </c:pt>
                <c:pt idx="4818">
                  <c:v>2.3927459194888371E-2</c:v>
                </c:pt>
                <c:pt idx="4819">
                  <c:v>2.3927417682615418E-2</c:v>
                </c:pt>
                <c:pt idx="4820">
                  <c:v>2.3927376170342476E-2</c:v>
                </c:pt>
                <c:pt idx="4821">
                  <c:v>2.3927334658069534E-2</c:v>
                </c:pt>
                <c:pt idx="4822">
                  <c:v>2.3927293145796592E-2</c:v>
                </c:pt>
                <c:pt idx="4823">
                  <c:v>2.3927251633523647E-2</c:v>
                </c:pt>
                <c:pt idx="4824">
                  <c:v>2.3927210121250708E-2</c:v>
                </c:pt>
                <c:pt idx="4825">
                  <c:v>2.3927168608977763E-2</c:v>
                </c:pt>
                <c:pt idx="4826">
                  <c:v>2.392712709670481E-2</c:v>
                </c:pt>
                <c:pt idx="4827">
                  <c:v>2.3927085584431872E-2</c:v>
                </c:pt>
                <c:pt idx="4828">
                  <c:v>2.3927044072158926E-2</c:v>
                </c:pt>
                <c:pt idx="4829">
                  <c:v>2.3927002559885988E-2</c:v>
                </c:pt>
                <c:pt idx="4830">
                  <c:v>2.3926961047613042E-2</c:v>
                </c:pt>
                <c:pt idx="4831">
                  <c:v>2.39269195353401E-2</c:v>
                </c:pt>
                <c:pt idx="4832">
                  <c:v>2.3926878023067154E-2</c:v>
                </c:pt>
                <c:pt idx="4833">
                  <c:v>2.3926836510794216E-2</c:v>
                </c:pt>
                <c:pt idx="4834">
                  <c:v>2.3926794998521263E-2</c:v>
                </c:pt>
                <c:pt idx="4835">
                  <c:v>2.3926753486248321E-2</c:v>
                </c:pt>
                <c:pt idx="4836">
                  <c:v>2.3926711973975376E-2</c:v>
                </c:pt>
                <c:pt idx="4837">
                  <c:v>2.3926670461702434E-2</c:v>
                </c:pt>
                <c:pt idx="4838">
                  <c:v>2.3926628949429492E-2</c:v>
                </c:pt>
                <c:pt idx="4839">
                  <c:v>2.3926587437156543E-2</c:v>
                </c:pt>
                <c:pt idx="4840">
                  <c:v>2.3926545924883601E-2</c:v>
                </c:pt>
                <c:pt idx="4841">
                  <c:v>2.3926504412610655E-2</c:v>
                </c:pt>
                <c:pt idx="4842">
                  <c:v>2.3926462900337717E-2</c:v>
                </c:pt>
                <c:pt idx="4843">
                  <c:v>2.3926421388064771E-2</c:v>
                </c:pt>
                <c:pt idx="4844">
                  <c:v>2.3926379875791829E-2</c:v>
                </c:pt>
                <c:pt idx="4845">
                  <c:v>2.392633836351888E-2</c:v>
                </c:pt>
                <c:pt idx="4846">
                  <c:v>2.3926296851245938E-2</c:v>
                </c:pt>
                <c:pt idx="4847">
                  <c:v>2.3926255338972996E-2</c:v>
                </c:pt>
                <c:pt idx="4848">
                  <c:v>2.392621382670005E-2</c:v>
                </c:pt>
                <c:pt idx="4849">
                  <c:v>2.3926172314427108E-2</c:v>
                </c:pt>
                <c:pt idx="4850">
                  <c:v>2.3926130802154166E-2</c:v>
                </c:pt>
                <c:pt idx="4851">
                  <c:v>2.3926089289881221E-2</c:v>
                </c:pt>
                <c:pt idx="4852">
                  <c:v>2.3926047777608272E-2</c:v>
                </c:pt>
                <c:pt idx="4853">
                  <c:v>2.392600626533533E-2</c:v>
                </c:pt>
                <c:pt idx="4854">
                  <c:v>2.3925964753062395E-2</c:v>
                </c:pt>
                <c:pt idx="4855">
                  <c:v>2.3925923240789446E-2</c:v>
                </c:pt>
                <c:pt idx="4856">
                  <c:v>2.3925881728516504E-2</c:v>
                </c:pt>
                <c:pt idx="4857">
                  <c:v>2.3925840216243558E-2</c:v>
                </c:pt>
                <c:pt idx="4858">
                  <c:v>2.3925798703970616E-2</c:v>
                </c:pt>
                <c:pt idx="4859">
                  <c:v>2.3925757191697674E-2</c:v>
                </c:pt>
                <c:pt idx="4860">
                  <c:v>2.3925715679424725E-2</c:v>
                </c:pt>
                <c:pt idx="4861">
                  <c:v>2.3925674167151779E-2</c:v>
                </c:pt>
                <c:pt idx="4862">
                  <c:v>2.3925632654878837E-2</c:v>
                </c:pt>
                <c:pt idx="4863">
                  <c:v>2.3925591142605895E-2</c:v>
                </c:pt>
                <c:pt idx="4864">
                  <c:v>2.3925549630332946E-2</c:v>
                </c:pt>
                <c:pt idx="4865">
                  <c:v>2.3925508118060004E-2</c:v>
                </c:pt>
                <c:pt idx="4866">
                  <c:v>2.3925466605787062E-2</c:v>
                </c:pt>
                <c:pt idx="4867">
                  <c:v>2.392542509351412E-2</c:v>
                </c:pt>
                <c:pt idx="4868">
                  <c:v>2.3925383581241178E-2</c:v>
                </c:pt>
                <c:pt idx="4869">
                  <c:v>2.3925342068968233E-2</c:v>
                </c:pt>
                <c:pt idx="4870">
                  <c:v>2.3925300556695287E-2</c:v>
                </c:pt>
                <c:pt idx="4871">
                  <c:v>2.3925259044422345E-2</c:v>
                </c:pt>
                <c:pt idx="4872">
                  <c:v>2.3925217532149403E-2</c:v>
                </c:pt>
                <c:pt idx="4873">
                  <c:v>2.3925176019876454E-2</c:v>
                </c:pt>
                <c:pt idx="4874">
                  <c:v>2.3925134507603512E-2</c:v>
                </c:pt>
                <c:pt idx="4875">
                  <c:v>2.3925092995330566E-2</c:v>
                </c:pt>
                <c:pt idx="4876">
                  <c:v>2.3925051483057628E-2</c:v>
                </c:pt>
                <c:pt idx="4877">
                  <c:v>2.3925009970784682E-2</c:v>
                </c:pt>
                <c:pt idx="4878">
                  <c:v>2.3924968458511733E-2</c:v>
                </c:pt>
                <c:pt idx="4879">
                  <c:v>2.3924926946238791E-2</c:v>
                </c:pt>
                <c:pt idx="4880">
                  <c:v>2.3924885433965849E-2</c:v>
                </c:pt>
                <c:pt idx="4881">
                  <c:v>2.3924843921692907E-2</c:v>
                </c:pt>
                <c:pt idx="4882">
                  <c:v>2.3924802409419955E-2</c:v>
                </c:pt>
                <c:pt idx="4883">
                  <c:v>2.392476089714702E-2</c:v>
                </c:pt>
                <c:pt idx="4884">
                  <c:v>2.3924719384874071E-2</c:v>
                </c:pt>
                <c:pt idx="4885">
                  <c:v>2.3924677872601129E-2</c:v>
                </c:pt>
                <c:pt idx="4886">
                  <c:v>2.3924636360328183E-2</c:v>
                </c:pt>
                <c:pt idx="4887">
                  <c:v>2.3924594848055238E-2</c:v>
                </c:pt>
                <c:pt idx="4888">
                  <c:v>2.3924553335782299E-2</c:v>
                </c:pt>
                <c:pt idx="4889">
                  <c:v>2.3924511823509353E-2</c:v>
                </c:pt>
                <c:pt idx="4890">
                  <c:v>2.3924470311236411E-2</c:v>
                </c:pt>
                <c:pt idx="4891">
                  <c:v>2.3924428798963462E-2</c:v>
                </c:pt>
                <c:pt idx="4892">
                  <c:v>2.3924387286690527E-2</c:v>
                </c:pt>
                <c:pt idx="4893">
                  <c:v>2.3924345774417578E-2</c:v>
                </c:pt>
                <c:pt idx="4894">
                  <c:v>2.3924304262144636E-2</c:v>
                </c:pt>
                <c:pt idx="4895">
                  <c:v>2.3924262749871691E-2</c:v>
                </c:pt>
                <c:pt idx="4896">
                  <c:v>2.3924221237598742E-2</c:v>
                </c:pt>
                <c:pt idx="4897">
                  <c:v>2.39241797253258E-2</c:v>
                </c:pt>
                <c:pt idx="4898">
                  <c:v>2.3924138213052858E-2</c:v>
                </c:pt>
                <c:pt idx="4899">
                  <c:v>2.3924096700779916E-2</c:v>
                </c:pt>
                <c:pt idx="4900">
                  <c:v>2.392405518850697E-2</c:v>
                </c:pt>
                <c:pt idx="4901">
                  <c:v>2.3924013676234028E-2</c:v>
                </c:pt>
                <c:pt idx="4902">
                  <c:v>2.3923972163961086E-2</c:v>
                </c:pt>
                <c:pt idx="4903">
                  <c:v>2.3923930651688144E-2</c:v>
                </c:pt>
                <c:pt idx="4904">
                  <c:v>2.3923889139415195E-2</c:v>
                </c:pt>
                <c:pt idx="4905">
                  <c:v>2.3923847627142253E-2</c:v>
                </c:pt>
                <c:pt idx="4906">
                  <c:v>2.3923806114869307E-2</c:v>
                </c:pt>
                <c:pt idx="4907">
                  <c:v>2.3923764602596365E-2</c:v>
                </c:pt>
                <c:pt idx="4908">
                  <c:v>2.392372309032342E-2</c:v>
                </c:pt>
                <c:pt idx="4909">
                  <c:v>2.3923681578050481E-2</c:v>
                </c:pt>
                <c:pt idx="4910">
                  <c:v>2.3923640065777536E-2</c:v>
                </c:pt>
                <c:pt idx="4911">
                  <c:v>2.3923598553504587E-2</c:v>
                </c:pt>
                <c:pt idx="4912">
                  <c:v>2.3923557041231645E-2</c:v>
                </c:pt>
                <c:pt idx="4913">
                  <c:v>2.3923515528958703E-2</c:v>
                </c:pt>
                <c:pt idx="4914">
                  <c:v>2.3923474016685761E-2</c:v>
                </c:pt>
                <c:pt idx="4915">
                  <c:v>2.3923432504412815E-2</c:v>
                </c:pt>
                <c:pt idx="4916">
                  <c:v>2.3923390992139873E-2</c:v>
                </c:pt>
                <c:pt idx="4917">
                  <c:v>2.3923349479866924E-2</c:v>
                </c:pt>
                <c:pt idx="4918">
                  <c:v>2.3923307967593989E-2</c:v>
                </c:pt>
                <c:pt idx="4919">
                  <c:v>2.392326645532104E-2</c:v>
                </c:pt>
                <c:pt idx="4920">
                  <c:v>2.3923224943048094E-2</c:v>
                </c:pt>
                <c:pt idx="4921">
                  <c:v>2.3923183430775156E-2</c:v>
                </c:pt>
                <c:pt idx="4922">
                  <c:v>2.392314191850221E-2</c:v>
                </c:pt>
                <c:pt idx="4923">
                  <c:v>2.3923100406229261E-2</c:v>
                </c:pt>
                <c:pt idx="4924">
                  <c:v>2.3923058893956319E-2</c:v>
                </c:pt>
                <c:pt idx="4925">
                  <c:v>2.3923017381683374E-2</c:v>
                </c:pt>
                <c:pt idx="4926">
                  <c:v>2.3922975869410435E-2</c:v>
                </c:pt>
                <c:pt idx="4927">
                  <c:v>2.392293435713749E-2</c:v>
                </c:pt>
                <c:pt idx="4928">
                  <c:v>2.3922892844864548E-2</c:v>
                </c:pt>
                <c:pt idx="4929">
                  <c:v>2.3922851332591602E-2</c:v>
                </c:pt>
                <c:pt idx="4930">
                  <c:v>2.3922809820318663E-2</c:v>
                </c:pt>
                <c:pt idx="4931">
                  <c:v>2.3922768308045718E-2</c:v>
                </c:pt>
                <c:pt idx="4932">
                  <c:v>2.3922726795772765E-2</c:v>
                </c:pt>
                <c:pt idx="4933">
                  <c:v>2.3922685283499827E-2</c:v>
                </c:pt>
                <c:pt idx="4934">
                  <c:v>2.3922643771226881E-2</c:v>
                </c:pt>
                <c:pt idx="4935">
                  <c:v>2.3922602258953939E-2</c:v>
                </c:pt>
                <c:pt idx="4936">
                  <c:v>2.392256074668099E-2</c:v>
                </c:pt>
                <c:pt idx="4937">
                  <c:v>2.3922519234408048E-2</c:v>
                </c:pt>
                <c:pt idx="4938">
                  <c:v>2.3922477722135106E-2</c:v>
                </c:pt>
                <c:pt idx="4939">
                  <c:v>2.3922436209862161E-2</c:v>
                </c:pt>
                <c:pt idx="4940">
                  <c:v>2.3922394697589219E-2</c:v>
                </c:pt>
                <c:pt idx="4941">
                  <c:v>2.392235318531627E-2</c:v>
                </c:pt>
                <c:pt idx="4942">
                  <c:v>2.3922311673043335E-2</c:v>
                </c:pt>
                <c:pt idx="4943">
                  <c:v>2.3922270160770386E-2</c:v>
                </c:pt>
                <c:pt idx="4944">
                  <c:v>2.3922228648497443E-2</c:v>
                </c:pt>
                <c:pt idx="4945">
                  <c:v>2.3922187136224498E-2</c:v>
                </c:pt>
                <c:pt idx="4946">
                  <c:v>2.3922145623951559E-2</c:v>
                </c:pt>
                <c:pt idx="4947">
                  <c:v>2.392210411167861E-2</c:v>
                </c:pt>
                <c:pt idx="4948">
                  <c:v>2.3922062599405668E-2</c:v>
                </c:pt>
                <c:pt idx="4949">
                  <c:v>2.3922021087132726E-2</c:v>
                </c:pt>
                <c:pt idx="4950">
                  <c:v>2.3921979574859777E-2</c:v>
                </c:pt>
                <c:pt idx="4951">
                  <c:v>2.3921938062586842E-2</c:v>
                </c:pt>
                <c:pt idx="4952">
                  <c:v>2.3921896550313893E-2</c:v>
                </c:pt>
                <c:pt idx="4953">
                  <c:v>2.3921855038040951E-2</c:v>
                </c:pt>
                <c:pt idx="4954">
                  <c:v>2.3921813525768006E-2</c:v>
                </c:pt>
                <c:pt idx="4955">
                  <c:v>2.3921772013495064E-2</c:v>
                </c:pt>
                <c:pt idx="4956">
                  <c:v>2.3921730501222115E-2</c:v>
                </c:pt>
                <c:pt idx="4957">
                  <c:v>2.3921688988949173E-2</c:v>
                </c:pt>
                <c:pt idx="4958">
                  <c:v>2.3921647476676227E-2</c:v>
                </c:pt>
                <c:pt idx="4959">
                  <c:v>2.3921605964403285E-2</c:v>
                </c:pt>
                <c:pt idx="4960">
                  <c:v>2.3752939127708449E-2</c:v>
                </c:pt>
                <c:pt idx="4961">
                  <c:v>2.3752897615435503E-2</c:v>
                </c:pt>
                <c:pt idx="4962">
                  <c:v>2.3752856103162561E-2</c:v>
                </c:pt>
                <c:pt idx="4963">
                  <c:v>2.3752814590889623E-2</c:v>
                </c:pt>
                <c:pt idx="4964">
                  <c:v>2.3752773078616677E-2</c:v>
                </c:pt>
                <c:pt idx="4965">
                  <c:v>2.3752731566343728E-2</c:v>
                </c:pt>
                <c:pt idx="4966">
                  <c:v>2.3752690054070786E-2</c:v>
                </c:pt>
                <c:pt idx="4967">
                  <c:v>2.375264854179784E-2</c:v>
                </c:pt>
                <c:pt idx="4968">
                  <c:v>2.3752607029524898E-2</c:v>
                </c:pt>
                <c:pt idx="4969">
                  <c:v>2.3752565517251956E-2</c:v>
                </c:pt>
                <c:pt idx="4970">
                  <c:v>2.3752524004979007E-2</c:v>
                </c:pt>
                <c:pt idx="4971">
                  <c:v>2.3752482492706065E-2</c:v>
                </c:pt>
                <c:pt idx="4972">
                  <c:v>2.3752440980433123E-2</c:v>
                </c:pt>
                <c:pt idx="4973">
                  <c:v>2.3752399468160178E-2</c:v>
                </c:pt>
                <c:pt idx="4974">
                  <c:v>2.3752357955887236E-2</c:v>
                </c:pt>
                <c:pt idx="4975">
                  <c:v>2.3752316443614294E-2</c:v>
                </c:pt>
                <c:pt idx="4976">
                  <c:v>2.3752274931341352E-2</c:v>
                </c:pt>
                <c:pt idx="4977">
                  <c:v>2.3752233419068403E-2</c:v>
                </c:pt>
                <c:pt idx="4978">
                  <c:v>2.3752191906795464E-2</c:v>
                </c:pt>
                <c:pt idx="4979">
                  <c:v>2.3752150394522515E-2</c:v>
                </c:pt>
                <c:pt idx="4980">
                  <c:v>2.3752108882249573E-2</c:v>
                </c:pt>
                <c:pt idx="4981">
                  <c:v>2.3752067369976631E-2</c:v>
                </c:pt>
                <c:pt idx="4982">
                  <c:v>2.3752025857703685E-2</c:v>
                </c:pt>
                <c:pt idx="4983">
                  <c:v>2.3751984345430736E-2</c:v>
                </c:pt>
                <c:pt idx="4984">
                  <c:v>2.3751942833157794E-2</c:v>
                </c:pt>
                <c:pt idx="4985">
                  <c:v>2.3751901320884852E-2</c:v>
                </c:pt>
                <c:pt idx="4986">
                  <c:v>2.375185980861191E-2</c:v>
                </c:pt>
                <c:pt idx="4987">
                  <c:v>2.3751818296338968E-2</c:v>
                </c:pt>
                <c:pt idx="4988">
                  <c:v>2.3751776784066023E-2</c:v>
                </c:pt>
                <c:pt idx="4989">
                  <c:v>2.3751735271793084E-2</c:v>
                </c:pt>
                <c:pt idx="4990">
                  <c:v>2.3751693759520139E-2</c:v>
                </c:pt>
                <c:pt idx="4991">
                  <c:v>2.375165224724719E-2</c:v>
                </c:pt>
                <c:pt idx="4992">
                  <c:v>2.3751610734974248E-2</c:v>
                </c:pt>
                <c:pt idx="4993">
                  <c:v>2.3751569222701305E-2</c:v>
                </c:pt>
                <c:pt idx="4994">
                  <c:v>2.375152771042836E-2</c:v>
                </c:pt>
                <c:pt idx="4995">
                  <c:v>2.3751486198155411E-2</c:v>
                </c:pt>
                <c:pt idx="4996">
                  <c:v>2.3751444685882469E-2</c:v>
                </c:pt>
                <c:pt idx="4997">
                  <c:v>2.3751403173609523E-2</c:v>
                </c:pt>
                <c:pt idx="4998">
                  <c:v>2.3751361661336588E-2</c:v>
                </c:pt>
                <c:pt idx="4999">
                  <c:v>2.3751320149063639E-2</c:v>
                </c:pt>
                <c:pt idx="5000">
                  <c:v>2.3751278636790697E-2</c:v>
                </c:pt>
                <c:pt idx="5001">
                  <c:v>2.3751237124517752E-2</c:v>
                </c:pt>
                <c:pt idx="5002">
                  <c:v>2.3751195612244813E-2</c:v>
                </c:pt>
                <c:pt idx="5003">
                  <c:v>2.3751154099971868E-2</c:v>
                </c:pt>
                <c:pt idx="5004">
                  <c:v>2.3751112587698919E-2</c:v>
                </c:pt>
                <c:pt idx="5005">
                  <c:v>2.3751071075425977E-2</c:v>
                </c:pt>
                <c:pt idx="5006">
                  <c:v>2.3751029563153031E-2</c:v>
                </c:pt>
                <c:pt idx="5007">
                  <c:v>2.3750988050880092E-2</c:v>
                </c:pt>
                <c:pt idx="5008">
                  <c:v>2.375094653860714E-2</c:v>
                </c:pt>
                <c:pt idx="5009">
                  <c:v>2.3750905026334198E-2</c:v>
                </c:pt>
                <c:pt idx="5010">
                  <c:v>2.3750863514061256E-2</c:v>
                </c:pt>
                <c:pt idx="5011">
                  <c:v>2.3750822001788321E-2</c:v>
                </c:pt>
                <c:pt idx="5012">
                  <c:v>2.3750780489515368E-2</c:v>
                </c:pt>
                <c:pt idx="5013">
                  <c:v>2.3750738977242426E-2</c:v>
                </c:pt>
                <c:pt idx="5014">
                  <c:v>2.3750697464969484E-2</c:v>
                </c:pt>
                <c:pt idx="5015">
                  <c:v>2.3750655952696535E-2</c:v>
                </c:pt>
                <c:pt idx="5016">
                  <c:v>2.3750614440423593E-2</c:v>
                </c:pt>
                <c:pt idx="5017">
                  <c:v>2.3750572928150648E-2</c:v>
                </c:pt>
                <c:pt idx="5018">
                  <c:v>2.3750531415877706E-2</c:v>
                </c:pt>
                <c:pt idx="5019">
                  <c:v>2.3750489903604764E-2</c:v>
                </c:pt>
                <c:pt idx="5020">
                  <c:v>2.3750448391331822E-2</c:v>
                </c:pt>
                <c:pt idx="5021">
                  <c:v>2.3750406879058876E-2</c:v>
                </c:pt>
                <c:pt idx="5022">
                  <c:v>2.3750365366785927E-2</c:v>
                </c:pt>
                <c:pt idx="5023">
                  <c:v>2.3750323854512992E-2</c:v>
                </c:pt>
                <c:pt idx="5024">
                  <c:v>2.3750282342240043E-2</c:v>
                </c:pt>
                <c:pt idx="5025">
                  <c:v>2.3750240829967101E-2</c:v>
                </c:pt>
                <c:pt idx="5026">
                  <c:v>2.3750199317694155E-2</c:v>
                </c:pt>
                <c:pt idx="5027">
                  <c:v>2.3750157805421213E-2</c:v>
                </c:pt>
                <c:pt idx="5028">
                  <c:v>2.3750116293148271E-2</c:v>
                </c:pt>
                <c:pt idx="5029">
                  <c:v>2.3750074780875329E-2</c:v>
                </c:pt>
                <c:pt idx="5030">
                  <c:v>2.3750033268602377E-2</c:v>
                </c:pt>
                <c:pt idx="5031">
                  <c:v>2.3749991756329438E-2</c:v>
                </c:pt>
                <c:pt idx="5032">
                  <c:v>2.3749950244056493E-2</c:v>
                </c:pt>
                <c:pt idx="5033">
                  <c:v>2.3749908731783544E-2</c:v>
                </c:pt>
                <c:pt idx="5034">
                  <c:v>2.3749867219510602E-2</c:v>
                </c:pt>
                <c:pt idx="5035">
                  <c:v>2.3749825707237666E-2</c:v>
                </c:pt>
                <c:pt idx="5036">
                  <c:v>2.3749784194964717E-2</c:v>
                </c:pt>
                <c:pt idx="5037">
                  <c:v>2.3749742682691779E-2</c:v>
                </c:pt>
                <c:pt idx="5038">
                  <c:v>2.374970117041883E-2</c:v>
                </c:pt>
                <c:pt idx="5039">
                  <c:v>2.3749659658145884E-2</c:v>
                </c:pt>
                <c:pt idx="5040">
                  <c:v>2.3749618145872942E-2</c:v>
                </c:pt>
                <c:pt idx="5041">
                  <c:v>2.37495766336E-2</c:v>
                </c:pt>
                <c:pt idx="5042">
                  <c:v>2.3749535121327051E-2</c:v>
                </c:pt>
                <c:pt idx="5043">
                  <c:v>2.3749493609054116E-2</c:v>
                </c:pt>
                <c:pt idx="5044">
                  <c:v>2.3749452096781167E-2</c:v>
                </c:pt>
                <c:pt idx="5045">
                  <c:v>2.3749410584508225E-2</c:v>
                </c:pt>
                <c:pt idx="5046">
                  <c:v>2.374936907223528E-2</c:v>
                </c:pt>
                <c:pt idx="5047">
                  <c:v>2.3749327559962338E-2</c:v>
                </c:pt>
                <c:pt idx="5048">
                  <c:v>2.3749286047689395E-2</c:v>
                </c:pt>
                <c:pt idx="5049">
                  <c:v>2.3749244535416447E-2</c:v>
                </c:pt>
                <c:pt idx="5050">
                  <c:v>2.3749203023143504E-2</c:v>
                </c:pt>
                <c:pt idx="5051">
                  <c:v>2.3749161510870559E-2</c:v>
                </c:pt>
                <c:pt idx="5052">
                  <c:v>2.374911999859762E-2</c:v>
                </c:pt>
                <c:pt idx="5053">
                  <c:v>2.3749078486324675E-2</c:v>
                </c:pt>
                <c:pt idx="5054">
                  <c:v>2.3749036974051726E-2</c:v>
                </c:pt>
                <c:pt idx="5055">
                  <c:v>2.3748995461778784E-2</c:v>
                </c:pt>
                <c:pt idx="5056">
                  <c:v>2.3748953949505838E-2</c:v>
                </c:pt>
                <c:pt idx="5057">
                  <c:v>2.3748912437232903E-2</c:v>
                </c:pt>
                <c:pt idx="5058">
                  <c:v>2.3748870924959951E-2</c:v>
                </c:pt>
                <c:pt idx="5059">
                  <c:v>2.3748829412687012E-2</c:v>
                </c:pt>
                <c:pt idx="5060">
                  <c:v>2.3748787900414067E-2</c:v>
                </c:pt>
                <c:pt idx="5061">
                  <c:v>2.3748746388141128E-2</c:v>
                </c:pt>
                <c:pt idx="5062">
                  <c:v>2.3748704875868176E-2</c:v>
                </c:pt>
                <c:pt idx="5063">
                  <c:v>2.374866336359524E-2</c:v>
                </c:pt>
                <c:pt idx="5064">
                  <c:v>2.3748621851322291E-2</c:v>
                </c:pt>
                <c:pt idx="5065">
                  <c:v>2.3748580339049346E-2</c:v>
                </c:pt>
                <c:pt idx="5066">
                  <c:v>2.3748538826776404E-2</c:v>
                </c:pt>
                <c:pt idx="5067">
                  <c:v>2.3748497314503455E-2</c:v>
                </c:pt>
                <c:pt idx="5068">
                  <c:v>2.3748455802230513E-2</c:v>
                </c:pt>
                <c:pt idx="5069">
                  <c:v>2.3748414289957571E-2</c:v>
                </c:pt>
                <c:pt idx="5070">
                  <c:v>2.3748372777684629E-2</c:v>
                </c:pt>
                <c:pt idx="5071">
                  <c:v>2.3748331265411683E-2</c:v>
                </c:pt>
                <c:pt idx="5072">
                  <c:v>2.3748289753138741E-2</c:v>
                </c:pt>
                <c:pt idx="5073">
                  <c:v>2.3748248240865799E-2</c:v>
                </c:pt>
                <c:pt idx="5074">
                  <c:v>2.374820672859285E-2</c:v>
                </c:pt>
                <c:pt idx="5075">
                  <c:v>2.3748165216319908E-2</c:v>
                </c:pt>
                <c:pt idx="5076">
                  <c:v>2.3748123704046963E-2</c:v>
                </c:pt>
                <c:pt idx="5077">
                  <c:v>2.374808219177402E-2</c:v>
                </c:pt>
                <c:pt idx="5078">
                  <c:v>2.3748040679501078E-2</c:v>
                </c:pt>
                <c:pt idx="5079">
                  <c:v>2.3747999167228136E-2</c:v>
                </c:pt>
                <c:pt idx="5080">
                  <c:v>2.3747957654955184E-2</c:v>
                </c:pt>
                <c:pt idx="5081">
                  <c:v>2.3747916142682249E-2</c:v>
                </c:pt>
                <c:pt idx="5082">
                  <c:v>2.37478746304093E-2</c:v>
                </c:pt>
                <c:pt idx="5083">
                  <c:v>2.3747833118136358E-2</c:v>
                </c:pt>
                <c:pt idx="5084">
                  <c:v>2.3747791605863412E-2</c:v>
                </c:pt>
                <c:pt idx="5085">
                  <c:v>2.3747750093590474E-2</c:v>
                </c:pt>
                <c:pt idx="5086">
                  <c:v>2.3747708581317528E-2</c:v>
                </c:pt>
                <c:pt idx="5087">
                  <c:v>2.3747667069044586E-2</c:v>
                </c:pt>
                <c:pt idx="5088">
                  <c:v>2.3747625556771637E-2</c:v>
                </c:pt>
                <c:pt idx="5089">
                  <c:v>2.3747584044498695E-2</c:v>
                </c:pt>
                <c:pt idx="5090">
                  <c:v>2.3747542532225753E-2</c:v>
                </c:pt>
                <c:pt idx="5091">
                  <c:v>2.3747501019952807E-2</c:v>
                </c:pt>
                <c:pt idx="5092">
                  <c:v>2.3747459507679858E-2</c:v>
                </c:pt>
                <c:pt idx="5093">
                  <c:v>2.3747417995406916E-2</c:v>
                </c:pt>
                <c:pt idx="5094">
                  <c:v>2.3747376483133974E-2</c:v>
                </c:pt>
                <c:pt idx="5095">
                  <c:v>2.3747334970861036E-2</c:v>
                </c:pt>
                <c:pt idx="5096">
                  <c:v>2.3747293458588087E-2</c:v>
                </c:pt>
                <c:pt idx="5097">
                  <c:v>2.3747251946315145E-2</c:v>
                </c:pt>
                <c:pt idx="5098">
                  <c:v>2.3747210434042203E-2</c:v>
                </c:pt>
                <c:pt idx="5099">
                  <c:v>2.3747168921769261E-2</c:v>
                </c:pt>
                <c:pt idx="5100">
                  <c:v>2.3747127409496315E-2</c:v>
                </c:pt>
                <c:pt idx="5101">
                  <c:v>2.3747085897223366E-2</c:v>
                </c:pt>
                <c:pt idx="5102">
                  <c:v>2.3747044384950424E-2</c:v>
                </c:pt>
                <c:pt idx="5103">
                  <c:v>2.3747002872677482E-2</c:v>
                </c:pt>
                <c:pt idx="5104">
                  <c:v>2.3746961360404537E-2</c:v>
                </c:pt>
                <c:pt idx="5105">
                  <c:v>2.3746919848131594E-2</c:v>
                </c:pt>
                <c:pt idx="5106">
                  <c:v>2.3746878335858645E-2</c:v>
                </c:pt>
                <c:pt idx="5107">
                  <c:v>2.374683682358571E-2</c:v>
                </c:pt>
                <c:pt idx="5108">
                  <c:v>2.3746795311312758E-2</c:v>
                </c:pt>
                <c:pt idx="5109">
                  <c:v>2.3746753799039819E-2</c:v>
                </c:pt>
                <c:pt idx="5110">
                  <c:v>2.3746712286766874E-2</c:v>
                </c:pt>
                <c:pt idx="5111">
                  <c:v>2.3746670774493935E-2</c:v>
                </c:pt>
                <c:pt idx="5112">
                  <c:v>2.3746629262220983E-2</c:v>
                </c:pt>
                <c:pt idx="5113">
                  <c:v>2.3746587749948041E-2</c:v>
                </c:pt>
                <c:pt idx="5114">
                  <c:v>2.3746546237675099E-2</c:v>
                </c:pt>
                <c:pt idx="5115">
                  <c:v>2.3746504725402153E-2</c:v>
                </c:pt>
                <c:pt idx="5116">
                  <c:v>2.3746463213129211E-2</c:v>
                </c:pt>
                <c:pt idx="5117">
                  <c:v>2.3746421700856269E-2</c:v>
                </c:pt>
                <c:pt idx="5118">
                  <c:v>2.3746380188583324E-2</c:v>
                </c:pt>
                <c:pt idx="5119">
                  <c:v>2.3746338676310381E-2</c:v>
                </c:pt>
                <c:pt idx="5120">
                  <c:v>2.3746297164037439E-2</c:v>
                </c:pt>
                <c:pt idx="5121">
                  <c:v>2.374625565176449E-2</c:v>
                </c:pt>
                <c:pt idx="5122">
                  <c:v>2.3746214139491548E-2</c:v>
                </c:pt>
                <c:pt idx="5123">
                  <c:v>2.3746172627218603E-2</c:v>
                </c:pt>
                <c:pt idx="5124">
                  <c:v>2.3746131114945664E-2</c:v>
                </c:pt>
                <c:pt idx="5125">
                  <c:v>2.3746089602672712E-2</c:v>
                </c:pt>
                <c:pt idx="5126">
                  <c:v>2.374604809039977E-2</c:v>
                </c:pt>
                <c:pt idx="5127">
                  <c:v>2.3746006578126828E-2</c:v>
                </c:pt>
                <c:pt idx="5128">
                  <c:v>2.3745965065853882E-2</c:v>
                </c:pt>
                <c:pt idx="5129">
                  <c:v>2.374592355358094E-2</c:v>
                </c:pt>
                <c:pt idx="5130">
                  <c:v>2.3745882041307991E-2</c:v>
                </c:pt>
                <c:pt idx="5131">
                  <c:v>2.3745840529035056E-2</c:v>
                </c:pt>
                <c:pt idx="5132">
                  <c:v>2.3745799016762114E-2</c:v>
                </c:pt>
                <c:pt idx="5133">
                  <c:v>2.3745757504489165E-2</c:v>
                </c:pt>
                <c:pt idx="5134">
                  <c:v>2.3745715992216219E-2</c:v>
                </c:pt>
                <c:pt idx="5135">
                  <c:v>2.3745674479943277E-2</c:v>
                </c:pt>
                <c:pt idx="5136">
                  <c:v>2.3745632967670335E-2</c:v>
                </c:pt>
                <c:pt idx="5137">
                  <c:v>2.374559145539739E-2</c:v>
                </c:pt>
                <c:pt idx="5138">
                  <c:v>2.3745549943124448E-2</c:v>
                </c:pt>
                <c:pt idx="5139">
                  <c:v>2.3745508430851499E-2</c:v>
                </c:pt>
                <c:pt idx="5140">
                  <c:v>2.3745466918578564E-2</c:v>
                </c:pt>
                <c:pt idx="5141">
                  <c:v>2.3745425406305615E-2</c:v>
                </c:pt>
                <c:pt idx="5142">
                  <c:v>2.3745383894032673E-2</c:v>
                </c:pt>
                <c:pt idx="5143">
                  <c:v>2.3578466037055844E-2</c:v>
                </c:pt>
                <c:pt idx="5144">
                  <c:v>2.3578424524782902E-2</c:v>
                </c:pt>
                <c:pt idx="5145">
                  <c:v>2.357838301250996E-2</c:v>
                </c:pt>
                <c:pt idx="5146">
                  <c:v>2.3578341500237018E-2</c:v>
                </c:pt>
                <c:pt idx="5147">
                  <c:v>2.3578299987964069E-2</c:v>
                </c:pt>
                <c:pt idx="5148">
                  <c:v>2.3578258475691123E-2</c:v>
                </c:pt>
                <c:pt idx="5149">
                  <c:v>2.3578216963418185E-2</c:v>
                </c:pt>
                <c:pt idx="5150">
                  <c:v>2.3578175451145239E-2</c:v>
                </c:pt>
                <c:pt idx="5151">
                  <c:v>2.357813393887229E-2</c:v>
                </c:pt>
                <c:pt idx="5152">
                  <c:v>2.3578092426599348E-2</c:v>
                </c:pt>
                <c:pt idx="5153">
                  <c:v>2.3578050914326406E-2</c:v>
                </c:pt>
                <c:pt idx="5154">
                  <c:v>2.357800940205346E-2</c:v>
                </c:pt>
                <c:pt idx="5155">
                  <c:v>2.3577967889780518E-2</c:v>
                </c:pt>
                <c:pt idx="5156">
                  <c:v>2.3577926377507576E-2</c:v>
                </c:pt>
                <c:pt idx="5157">
                  <c:v>2.3577884865234634E-2</c:v>
                </c:pt>
                <c:pt idx="5158">
                  <c:v>2.3577843352961692E-2</c:v>
                </c:pt>
                <c:pt idx="5159">
                  <c:v>2.3577801840688747E-2</c:v>
                </c:pt>
                <c:pt idx="5160">
                  <c:v>2.3577760328415798E-2</c:v>
                </c:pt>
                <c:pt idx="5161">
                  <c:v>2.3577718816142863E-2</c:v>
                </c:pt>
                <c:pt idx="5162">
                  <c:v>2.3577677303869914E-2</c:v>
                </c:pt>
                <c:pt idx="5163">
                  <c:v>2.3577635791596968E-2</c:v>
                </c:pt>
                <c:pt idx="5164">
                  <c:v>2.3577594279324026E-2</c:v>
                </c:pt>
                <c:pt idx="5165">
                  <c:v>2.3577552767051084E-2</c:v>
                </c:pt>
                <c:pt idx="5166">
                  <c:v>2.3577511254778135E-2</c:v>
                </c:pt>
                <c:pt idx="5167">
                  <c:v>2.3577469742505193E-2</c:v>
                </c:pt>
                <c:pt idx="5168">
                  <c:v>2.3577428230232251E-2</c:v>
                </c:pt>
                <c:pt idx="5169">
                  <c:v>2.3577386717959305E-2</c:v>
                </c:pt>
                <c:pt idx="5170">
                  <c:v>2.3577345205686363E-2</c:v>
                </c:pt>
                <c:pt idx="5171">
                  <c:v>2.3577303693413421E-2</c:v>
                </c:pt>
                <c:pt idx="5172">
                  <c:v>2.3577262181140472E-2</c:v>
                </c:pt>
                <c:pt idx="5173">
                  <c:v>2.3577220668867527E-2</c:v>
                </c:pt>
                <c:pt idx="5174">
                  <c:v>2.3577179156594592E-2</c:v>
                </c:pt>
                <c:pt idx="5175">
                  <c:v>2.3577137644321639E-2</c:v>
                </c:pt>
                <c:pt idx="5176">
                  <c:v>2.3577096132048701E-2</c:v>
                </c:pt>
                <c:pt idx="5177">
                  <c:v>2.3577054619775755E-2</c:v>
                </c:pt>
                <c:pt idx="5178">
                  <c:v>2.3577013107502813E-2</c:v>
                </c:pt>
                <c:pt idx="5179">
                  <c:v>2.3576971595229864E-2</c:v>
                </c:pt>
                <c:pt idx="5180">
                  <c:v>2.3576930082956929E-2</c:v>
                </c:pt>
                <c:pt idx="5181">
                  <c:v>2.357688857068398E-2</c:v>
                </c:pt>
                <c:pt idx="5182">
                  <c:v>2.3576847058411045E-2</c:v>
                </c:pt>
                <c:pt idx="5183">
                  <c:v>2.3576805546138092E-2</c:v>
                </c:pt>
                <c:pt idx="5184">
                  <c:v>2.3576764033865143E-2</c:v>
                </c:pt>
                <c:pt idx="5185">
                  <c:v>2.3576722521592208E-2</c:v>
                </c:pt>
                <c:pt idx="5186">
                  <c:v>2.3576681009319256E-2</c:v>
                </c:pt>
                <c:pt idx="5187">
                  <c:v>2.3576639497046317E-2</c:v>
                </c:pt>
                <c:pt idx="5188">
                  <c:v>2.3576597984773372E-2</c:v>
                </c:pt>
                <c:pt idx="5189">
                  <c:v>2.357655647250043E-2</c:v>
                </c:pt>
                <c:pt idx="5190">
                  <c:v>2.3576514960227481E-2</c:v>
                </c:pt>
                <c:pt idx="5191">
                  <c:v>2.3576473447954539E-2</c:v>
                </c:pt>
                <c:pt idx="5192">
                  <c:v>2.3576431935681597E-2</c:v>
                </c:pt>
                <c:pt idx="5193">
                  <c:v>2.3576390423408651E-2</c:v>
                </c:pt>
                <c:pt idx="5194">
                  <c:v>2.3576348911135709E-2</c:v>
                </c:pt>
                <c:pt idx="5195">
                  <c:v>2.3576307398862767E-2</c:v>
                </c:pt>
                <c:pt idx="5196">
                  <c:v>2.3576265886589825E-2</c:v>
                </c:pt>
                <c:pt idx="5197">
                  <c:v>2.3576224374316879E-2</c:v>
                </c:pt>
                <c:pt idx="5198">
                  <c:v>2.3576182862043937E-2</c:v>
                </c:pt>
                <c:pt idx="5199">
                  <c:v>2.3576141349770988E-2</c:v>
                </c:pt>
                <c:pt idx="5200">
                  <c:v>2.3576099837498046E-2</c:v>
                </c:pt>
                <c:pt idx="5201">
                  <c:v>2.3576058325225101E-2</c:v>
                </c:pt>
                <c:pt idx="5202">
                  <c:v>2.3576016812952152E-2</c:v>
                </c:pt>
                <c:pt idx="5203">
                  <c:v>2.3575975300679217E-2</c:v>
                </c:pt>
                <c:pt idx="5204">
                  <c:v>2.3575933788406275E-2</c:v>
                </c:pt>
                <c:pt idx="5205">
                  <c:v>2.3575892276133326E-2</c:v>
                </c:pt>
                <c:pt idx="5206">
                  <c:v>2.3575850763860384E-2</c:v>
                </c:pt>
                <c:pt idx="5207">
                  <c:v>2.3575809251587442E-2</c:v>
                </c:pt>
                <c:pt idx="5208">
                  <c:v>2.3575767739314496E-2</c:v>
                </c:pt>
                <c:pt idx="5209">
                  <c:v>2.3575726227041554E-2</c:v>
                </c:pt>
                <c:pt idx="5210">
                  <c:v>2.3575684714768605E-2</c:v>
                </c:pt>
                <c:pt idx="5211">
                  <c:v>2.3575643202495659E-2</c:v>
                </c:pt>
                <c:pt idx="5212">
                  <c:v>2.3575601690222721E-2</c:v>
                </c:pt>
                <c:pt idx="5213">
                  <c:v>2.3575560177949775E-2</c:v>
                </c:pt>
                <c:pt idx="5214">
                  <c:v>2.3575518665676833E-2</c:v>
                </c:pt>
                <c:pt idx="5215">
                  <c:v>2.3575477153403888E-2</c:v>
                </c:pt>
                <c:pt idx="5216">
                  <c:v>2.3575435641130949E-2</c:v>
                </c:pt>
                <c:pt idx="5217">
                  <c:v>2.3575394128858004E-2</c:v>
                </c:pt>
                <c:pt idx="5218">
                  <c:v>2.3575352616585062E-2</c:v>
                </c:pt>
                <c:pt idx="5219">
                  <c:v>2.3575311104312113E-2</c:v>
                </c:pt>
                <c:pt idx="5220">
                  <c:v>2.3575269592039171E-2</c:v>
                </c:pt>
                <c:pt idx="5221">
                  <c:v>2.3575228079766229E-2</c:v>
                </c:pt>
                <c:pt idx="5222">
                  <c:v>2.3575186567493283E-2</c:v>
                </c:pt>
                <c:pt idx="5223">
                  <c:v>2.3575145055220341E-2</c:v>
                </c:pt>
                <c:pt idx="5224">
                  <c:v>2.3575103542947392E-2</c:v>
                </c:pt>
                <c:pt idx="5225">
                  <c:v>2.357506203067445E-2</c:v>
                </c:pt>
                <c:pt idx="5226">
                  <c:v>2.3575020518401508E-2</c:v>
                </c:pt>
                <c:pt idx="5227">
                  <c:v>2.3574979006128562E-2</c:v>
                </c:pt>
                <c:pt idx="5228">
                  <c:v>2.3574937493855624E-2</c:v>
                </c:pt>
                <c:pt idx="5229">
                  <c:v>2.3574895981582671E-2</c:v>
                </c:pt>
                <c:pt idx="5230">
                  <c:v>2.3574854469309736E-2</c:v>
                </c:pt>
                <c:pt idx="5231">
                  <c:v>2.3574812957036787E-2</c:v>
                </c:pt>
                <c:pt idx="5232">
                  <c:v>2.3574771444763849E-2</c:v>
                </c:pt>
                <c:pt idx="5233">
                  <c:v>2.35747299324909E-2</c:v>
                </c:pt>
                <c:pt idx="5234">
                  <c:v>2.3574688420217958E-2</c:v>
                </c:pt>
                <c:pt idx="5235">
                  <c:v>2.3574646907945015E-2</c:v>
                </c:pt>
                <c:pt idx="5236">
                  <c:v>2.3574605395672063E-2</c:v>
                </c:pt>
                <c:pt idx="5237">
                  <c:v>2.3574563883399128E-2</c:v>
                </c:pt>
                <c:pt idx="5238">
                  <c:v>2.3574522371126179E-2</c:v>
                </c:pt>
                <c:pt idx="5239">
                  <c:v>2.3574480858853237E-2</c:v>
                </c:pt>
                <c:pt idx="5240">
                  <c:v>2.3574439346580291E-2</c:v>
                </c:pt>
                <c:pt idx="5241">
                  <c:v>2.3574397834307353E-2</c:v>
                </c:pt>
                <c:pt idx="5242">
                  <c:v>2.3574356322034407E-2</c:v>
                </c:pt>
                <c:pt idx="5243">
                  <c:v>2.3574314809761465E-2</c:v>
                </c:pt>
                <c:pt idx="5244">
                  <c:v>2.3574273297488516E-2</c:v>
                </c:pt>
                <c:pt idx="5245">
                  <c:v>2.3574231785215571E-2</c:v>
                </c:pt>
                <c:pt idx="5246">
                  <c:v>2.3574190272942632E-2</c:v>
                </c:pt>
                <c:pt idx="5247">
                  <c:v>2.3574148760669687E-2</c:v>
                </c:pt>
                <c:pt idx="5248">
                  <c:v>2.3574107248396745E-2</c:v>
                </c:pt>
                <c:pt idx="5249">
                  <c:v>2.3574065736123796E-2</c:v>
                </c:pt>
                <c:pt idx="5250">
                  <c:v>2.357402422385086E-2</c:v>
                </c:pt>
                <c:pt idx="5251">
                  <c:v>2.3573982711577908E-2</c:v>
                </c:pt>
                <c:pt idx="5252">
                  <c:v>2.3573941199304973E-2</c:v>
                </c:pt>
                <c:pt idx="5253">
                  <c:v>2.3573899687032024E-2</c:v>
                </c:pt>
                <c:pt idx="5254">
                  <c:v>2.3573858174759082E-2</c:v>
                </c:pt>
                <c:pt idx="5255">
                  <c:v>2.3573816662486136E-2</c:v>
                </c:pt>
                <c:pt idx="5256">
                  <c:v>2.3573775150213194E-2</c:v>
                </c:pt>
                <c:pt idx="5257">
                  <c:v>2.3573733637940252E-2</c:v>
                </c:pt>
                <c:pt idx="5258">
                  <c:v>2.3573692125667303E-2</c:v>
                </c:pt>
                <c:pt idx="5259">
                  <c:v>2.3573650613394361E-2</c:v>
                </c:pt>
                <c:pt idx="5260">
                  <c:v>2.3573609101121416E-2</c:v>
                </c:pt>
                <c:pt idx="5261">
                  <c:v>2.3573567588848467E-2</c:v>
                </c:pt>
                <c:pt idx="5262">
                  <c:v>2.3573526076575532E-2</c:v>
                </c:pt>
                <c:pt idx="5263">
                  <c:v>2.3573484564302583E-2</c:v>
                </c:pt>
                <c:pt idx="5264">
                  <c:v>2.357344305202964E-2</c:v>
                </c:pt>
                <c:pt idx="5265">
                  <c:v>2.3573401539756695E-2</c:v>
                </c:pt>
                <c:pt idx="5266">
                  <c:v>2.3573360027483753E-2</c:v>
                </c:pt>
                <c:pt idx="5267">
                  <c:v>2.3573318515210811E-2</c:v>
                </c:pt>
                <c:pt idx="5268">
                  <c:v>2.3573277002937869E-2</c:v>
                </c:pt>
                <c:pt idx="5269">
                  <c:v>2.357323549066492E-2</c:v>
                </c:pt>
                <c:pt idx="5270">
                  <c:v>2.3573193978391978E-2</c:v>
                </c:pt>
                <c:pt idx="5271">
                  <c:v>2.3573152466119039E-2</c:v>
                </c:pt>
                <c:pt idx="5272">
                  <c:v>2.357311095384609E-2</c:v>
                </c:pt>
                <c:pt idx="5273">
                  <c:v>2.3573069441573145E-2</c:v>
                </c:pt>
                <c:pt idx="5274">
                  <c:v>2.3573027929300203E-2</c:v>
                </c:pt>
                <c:pt idx="5275">
                  <c:v>2.3572986417027261E-2</c:v>
                </c:pt>
                <c:pt idx="5276">
                  <c:v>2.3572944904754319E-2</c:v>
                </c:pt>
                <c:pt idx="5277">
                  <c:v>2.357290339248137E-2</c:v>
                </c:pt>
                <c:pt idx="5278">
                  <c:v>2.3572861880208427E-2</c:v>
                </c:pt>
                <c:pt idx="5279">
                  <c:v>2.3572820367935485E-2</c:v>
                </c:pt>
                <c:pt idx="5280">
                  <c:v>2.3572778855662543E-2</c:v>
                </c:pt>
                <c:pt idx="5281">
                  <c:v>2.3572737343389598E-2</c:v>
                </c:pt>
                <c:pt idx="5282">
                  <c:v>2.3572695831116649E-2</c:v>
                </c:pt>
                <c:pt idx="5283">
                  <c:v>2.3572654318843707E-2</c:v>
                </c:pt>
                <c:pt idx="5284">
                  <c:v>2.3572612806570765E-2</c:v>
                </c:pt>
                <c:pt idx="5285">
                  <c:v>2.3572571294297819E-2</c:v>
                </c:pt>
                <c:pt idx="5286">
                  <c:v>2.3572529782024877E-2</c:v>
                </c:pt>
                <c:pt idx="5287">
                  <c:v>2.3572488269751935E-2</c:v>
                </c:pt>
                <c:pt idx="5288">
                  <c:v>2.3572446757478986E-2</c:v>
                </c:pt>
                <c:pt idx="5289">
                  <c:v>2.3572405245206051E-2</c:v>
                </c:pt>
                <c:pt idx="5290">
                  <c:v>2.3572363732933099E-2</c:v>
                </c:pt>
                <c:pt idx="5291">
                  <c:v>2.3572322220660157E-2</c:v>
                </c:pt>
                <c:pt idx="5292">
                  <c:v>2.3572280708387214E-2</c:v>
                </c:pt>
                <c:pt idx="5293">
                  <c:v>2.3572239196114272E-2</c:v>
                </c:pt>
                <c:pt idx="5294">
                  <c:v>2.3572197683841327E-2</c:v>
                </c:pt>
                <c:pt idx="5295">
                  <c:v>2.3572156171568385E-2</c:v>
                </c:pt>
                <c:pt idx="5296">
                  <c:v>2.3572114659295443E-2</c:v>
                </c:pt>
                <c:pt idx="5297">
                  <c:v>2.3572073147022494E-2</c:v>
                </c:pt>
                <c:pt idx="5298">
                  <c:v>2.3572031634749552E-2</c:v>
                </c:pt>
                <c:pt idx="5299">
                  <c:v>2.3571990122476606E-2</c:v>
                </c:pt>
                <c:pt idx="5300">
                  <c:v>2.3571948610203668E-2</c:v>
                </c:pt>
                <c:pt idx="5301">
                  <c:v>2.3571907097930722E-2</c:v>
                </c:pt>
                <c:pt idx="5302">
                  <c:v>2.357186558565778E-2</c:v>
                </c:pt>
                <c:pt idx="5303">
                  <c:v>2.3571824073384831E-2</c:v>
                </c:pt>
                <c:pt idx="5304">
                  <c:v>2.3571782561111896E-2</c:v>
                </c:pt>
                <c:pt idx="5305">
                  <c:v>2.3571741048838944E-2</c:v>
                </c:pt>
                <c:pt idx="5306">
                  <c:v>2.3571699536566001E-2</c:v>
                </c:pt>
                <c:pt idx="5307">
                  <c:v>2.3571658024293059E-2</c:v>
                </c:pt>
                <c:pt idx="5308">
                  <c:v>2.3571616512020107E-2</c:v>
                </c:pt>
                <c:pt idx="5309">
                  <c:v>2.3571574999747168E-2</c:v>
                </c:pt>
                <c:pt idx="5310">
                  <c:v>2.3571533487474223E-2</c:v>
                </c:pt>
                <c:pt idx="5311">
                  <c:v>2.3571491975201281E-2</c:v>
                </c:pt>
                <c:pt idx="5312">
                  <c:v>2.3571450462928335E-2</c:v>
                </c:pt>
                <c:pt idx="5313">
                  <c:v>2.3571408950655397E-2</c:v>
                </c:pt>
                <c:pt idx="5314">
                  <c:v>2.3571367438382451E-2</c:v>
                </c:pt>
                <c:pt idx="5315">
                  <c:v>2.3571325926109509E-2</c:v>
                </c:pt>
                <c:pt idx="5316">
                  <c:v>2.357128441383656E-2</c:v>
                </c:pt>
                <c:pt idx="5317">
                  <c:v>2.3571242901563618E-2</c:v>
                </c:pt>
                <c:pt idx="5318">
                  <c:v>2.3571201389290676E-2</c:v>
                </c:pt>
                <c:pt idx="5319">
                  <c:v>2.3571159877017731E-2</c:v>
                </c:pt>
                <c:pt idx="5320">
                  <c:v>2.3571118364744788E-2</c:v>
                </c:pt>
                <c:pt idx="5321">
                  <c:v>2.3571076852471846E-2</c:v>
                </c:pt>
                <c:pt idx="5322">
                  <c:v>2.3571035340198897E-2</c:v>
                </c:pt>
                <c:pt idx="5323">
                  <c:v>2.3570993827925952E-2</c:v>
                </c:pt>
                <c:pt idx="5324">
                  <c:v>2.357095231565301E-2</c:v>
                </c:pt>
                <c:pt idx="5325">
                  <c:v>2.3570910803380071E-2</c:v>
                </c:pt>
                <c:pt idx="5326">
                  <c:v>2.3405781204917497E-2</c:v>
                </c:pt>
                <c:pt idx="5327">
                  <c:v>2.3405739692644551E-2</c:v>
                </c:pt>
                <c:pt idx="5328">
                  <c:v>2.3405698180371609E-2</c:v>
                </c:pt>
                <c:pt idx="5329">
                  <c:v>2.3405656668098664E-2</c:v>
                </c:pt>
                <c:pt idx="5330">
                  <c:v>2.3405615155825725E-2</c:v>
                </c:pt>
                <c:pt idx="5331">
                  <c:v>2.3405573643552773E-2</c:v>
                </c:pt>
                <c:pt idx="5332">
                  <c:v>2.340553213127983E-2</c:v>
                </c:pt>
                <c:pt idx="5333">
                  <c:v>2.3405490619006888E-2</c:v>
                </c:pt>
                <c:pt idx="5334">
                  <c:v>2.3405449106733943E-2</c:v>
                </c:pt>
                <c:pt idx="5335">
                  <c:v>2.3405407594461001E-2</c:v>
                </c:pt>
                <c:pt idx="5336">
                  <c:v>2.3405366082188052E-2</c:v>
                </c:pt>
                <c:pt idx="5337">
                  <c:v>2.3405324569915117E-2</c:v>
                </c:pt>
                <c:pt idx="5338">
                  <c:v>2.3405283057642168E-2</c:v>
                </c:pt>
                <c:pt idx="5339">
                  <c:v>2.3405241545369226E-2</c:v>
                </c:pt>
                <c:pt idx="5340">
                  <c:v>2.340520003309628E-2</c:v>
                </c:pt>
                <c:pt idx="5341">
                  <c:v>2.3405158520823338E-2</c:v>
                </c:pt>
                <c:pt idx="5342">
                  <c:v>2.3405117008550396E-2</c:v>
                </c:pt>
                <c:pt idx="5343">
                  <c:v>2.3405075496277447E-2</c:v>
                </c:pt>
                <c:pt idx="5344">
                  <c:v>2.3405033984004505E-2</c:v>
                </c:pt>
                <c:pt idx="5345">
                  <c:v>2.340499247173156E-2</c:v>
                </c:pt>
                <c:pt idx="5346">
                  <c:v>2.3404950959458617E-2</c:v>
                </c:pt>
                <c:pt idx="5347">
                  <c:v>2.3404909447185672E-2</c:v>
                </c:pt>
                <c:pt idx="5348">
                  <c:v>2.3404867934912733E-2</c:v>
                </c:pt>
                <c:pt idx="5349">
                  <c:v>2.3404826422639788E-2</c:v>
                </c:pt>
                <c:pt idx="5350">
                  <c:v>2.3404784910366846E-2</c:v>
                </c:pt>
                <c:pt idx="5351">
                  <c:v>2.3404743398093904E-2</c:v>
                </c:pt>
                <c:pt idx="5352">
                  <c:v>2.3404701885820955E-2</c:v>
                </c:pt>
                <c:pt idx="5353">
                  <c:v>2.3404660373548009E-2</c:v>
                </c:pt>
                <c:pt idx="5354">
                  <c:v>2.3404618861275067E-2</c:v>
                </c:pt>
                <c:pt idx="5355">
                  <c:v>2.3404577349002125E-2</c:v>
                </c:pt>
                <c:pt idx="5356">
                  <c:v>2.3404535836729176E-2</c:v>
                </c:pt>
                <c:pt idx="5357">
                  <c:v>2.3404494324456234E-2</c:v>
                </c:pt>
                <c:pt idx="5358">
                  <c:v>2.3404452812183289E-2</c:v>
                </c:pt>
                <c:pt idx="5359">
                  <c:v>2.340441129991035E-2</c:v>
                </c:pt>
                <c:pt idx="5360">
                  <c:v>2.3404369787637404E-2</c:v>
                </c:pt>
                <c:pt idx="5361">
                  <c:v>2.3404328275364462E-2</c:v>
                </c:pt>
                <c:pt idx="5362">
                  <c:v>2.3404286763091513E-2</c:v>
                </c:pt>
                <c:pt idx="5363">
                  <c:v>2.3404245250818578E-2</c:v>
                </c:pt>
                <c:pt idx="5364">
                  <c:v>2.3404203738545629E-2</c:v>
                </c:pt>
                <c:pt idx="5365">
                  <c:v>2.3404162226272684E-2</c:v>
                </c:pt>
                <c:pt idx="5366">
                  <c:v>2.3404120713999742E-2</c:v>
                </c:pt>
                <c:pt idx="5367">
                  <c:v>2.3404079201726796E-2</c:v>
                </c:pt>
                <c:pt idx="5368">
                  <c:v>2.3404037689453854E-2</c:v>
                </c:pt>
                <c:pt idx="5369">
                  <c:v>2.3403996177180912E-2</c:v>
                </c:pt>
                <c:pt idx="5370">
                  <c:v>2.3403954664907963E-2</c:v>
                </c:pt>
                <c:pt idx="5371">
                  <c:v>2.3403913152635018E-2</c:v>
                </c:pt>
                <c:pt idx="5372">
                  <c:v>2.3403871640362079E-2</c:v>
                </c:pt>
                <c:pt idx="5373">
                  <c:v>2.3403830128089137E-2</c:v>
                </c:pt>
                <c:pt idx="5374">
                  <c:v>2.3403788615816191E-2</c:v>
                </c:pt>
                <c:pt idx="5375">
                  <c:v>2.3403747103543249E-2</c:v>
                </c:pt>
                <c:pt idx="5376">
                  <c:v>2.3403705591270307E-2</c:v>
                </c:pt>
                <c:pt idx="5377">
                  <c:v>2.3403664078997358E-2</c:v>
                </c:pt>
                <c:pt idx="5378">
                  <c:v>2.3403622566724416E-2</c:v>
                </c:pt>
                <c:pt idx="5379">
                  <c:v>2.3403581054451471E-2</c:v>
                </c:pt>
                <c:pt idx="5380">
                  <c:v>2.3403539542178532E-2</c:v>
                </c:pt>
                <c:pt idx="5381">
                  <c:v>2.340349802990558E-2</c:v>
                </c:pt>
                <c:pt idx="5382">
                  <c:v>2.3403456517632638E-2</c:v>
                </c:pt>
                <c:pt idx="5383">
                  <c:v>2.3403415005359696E-2</c:v>
                </c:pt>
                <c:pt idx="5384">
                  <c:v>2.3403373493086754E-2</c:v>
                </c:pt>
                <c:pt idx="5385">
                  <c:v>2.3403331980813808E-2</c:v>
                </c:pt>
                <c:pt idx="5386">
                  <c:v>2.3403290468540863E-2</c:v>
                </c:pt>
                <c:pt idx="5387">
                  <c:v>2.3403248956267924E-2</c:v>
                </c:pt>
                <c:pt idx="5388">
                  <c:v>2.3403207443994972E-2</c:v>
                </c:pt>
                <c:pt idx="5389">
                  <c:v>2.3403165931722036E-2</c:v>
                </c:pt>
                <c:pt idx="5390">
                  <c:v>2.3403124419449087E-2</c:v>
                </c:pt>
                <c:pt idx="5391">
                  <c:v>2.3403082907176145E-2</c:v>
                </c:pt>
                <c:pt idx="5392">
                  <c:v>2.34030413949032E-2</c:v>
                </c:pt>
                <c:pt idx="5393">
                  <c:v>2.3402999882630261E-2</c:v>
                </c:pt>
                <c:pt idx="5394">
                  <c:v>2.3402958370357316E-2</c:v>
                </c:pt>
                <c:pt idx="5395">
                  <c:v>2.3402916858084367E-2</c:v>
                </c:pt>
                <c:pt idx="5396">
                  <c:v>2.3402875345811425E-2</c:v>
                </c:pt>
                <c:pt idx="5397">
                  <c:v>2.3402833833538483E-2</c:v>
                </c:pt>
                <c:pt idx="5398">
                  <c:v>2.3402792321265541E-2</c:v>
                </c:pt>
                <c:pt idx="5399">
                  <c:v>2.3402750808992595E-2</c:v>
                </c:pt>
                <c:pt idx="5400">
                  <c:v>2.3402709296719653E-2</c:v>
                </c:pt>
                <c:pt idx="5401">
                  <c:v>2.3402667784446711E-2</c:v>
                </c:pt>
                <c:pt idx="5402">
                  <c:v>2.3402626272173769E-2</c:v>
                </c:pt>
                <c:pt idx="5403">
                  <c:v>2.3402584759900816E-2</c:v>
                </c:pt>
                <c:pt idx="5404">
                  <c:v>2.3402543247627874E-2</c:v>
                </c:pt>
                <c:pt idx="5405">
                  <c:v>2.3402501735354932E-2</c:v>
                </c:pt>
                <c:pt idx="5406">
                  <c:v>2.3402460223081987E-2</c:v>
                </c:pt>
                <c:pt idx="5407">
                  <c:v>2.3402418710809045E-2</c:v>
                </c:pt>
                <c:pt idx="5408">
                  <c:v>2.3402377198536096E-2</c:v>
                </c:pt>
                <c:pt idx="5409">
                  <c:v>2.3402335686263161E-2</c:v>
                </c:pt>
                <c:pt idx="5410">
                  <c:v>2.3402294173990212E-2</c:v>
                </c:pt>
                <c:pt idx="5411">
                  <c:v>2.340225266171727E-2</c:v>
                </c:pt>
                <c:pt idx="5412">
                  <c:v>2.3402211149444324E-2</c:v>
                </c:pt>
                <c:pt idx="5413">
                  <c:v>2.3402169637171382E-2</c:v>
                </c:pt>
                <c:pt idx="5414">
                  <c:v>2.340212812489844E-2</c:v>
                </c:pt>
                <c:pt idx="5415">
                  <c:v>2.3402086612625491E-2</c:v>
                </c:pt>
                <c:pt idx="5416">
                  <c:v>2.3402045100352549E-2</c:v>
                </c:pt>
                <c:pt idx="5417">
                  <c:v>2.3402003588079603E-2</c:v>
                </c:pt>
                <c:pt idx="5418">
                  <c:v>2.3401962075806661E-2</c:v>
                </c:pt>
                <c:pt idx="5419">
                  <c:v>2.3401920563533719E-2</c:v>
                </c:pt>
                <c:pt idx="5420">
                  <c:v>2.340187905126077E-2</c:v>
                </c:pt>
                <c:pt idx="5421">
                  <c:v>2.3401837538987828E-2</c:v>
                </c:pt>
                <c:pt idx="5422">
                  <c:v>2.3401796026714886E-2</c:v>
                </c:pt>
                <c:pt idx="5423">
                  <c:v>2.3401754514441944E-2</c:v>
                </c:pt>
                <c:pt idx="5424">
                  <c:v>2.3401713002168999E-2</c:v>
                </c:pt>
                <c:pt idx="5425">
                  <c:v>2.3401671489896057E-2</c:v>
                </c:pt>
                <c:pt idx="5426">
                  <c:v>2.3401629977623115E-2</c:v>
                </c:pt>
                <c:pt idx="5427">
                  <c:v>2.3401588465350169E-2</c:v>
                </c:pt>
                <c:pt idx="5428">
                  <c:v>2.3401546953077227E-2</c:v>
                </c:pt>
                <c:pt idx="5429">
                  <c:v>2.3401505440804278E-2</c:v>
                </c:pt>
                <c:pt idx="5430">
                  <c:v>2.3401463928531333E-2</c:v>
                </c:pt>
                <c:pt idx="5431">
                  <c:v>2.340142241625839E-2</c:v>
                </c:pt>
                <c:pt idx="5432">
                  <c:v>2.3401380903985448E-2</c:v>
                </c:pt>
                <c:pt idx="5433">
                  <c:v>2.3401339391712506E-2</c:v>
                </c:pt>
                <c:pt idx="5434">
                  <c:v>2.3401297879439557E-2</c:v>
                </c:pt>
                <c:pt idx="5435">
                  <c:v>2.3401256367166615E-2</c:v>
                </c:pt>
                <c:pt idx="5436">
                  <c:v>2.3401214854893673E-2</c:v>
                </c:pt>
                <c:pt idx="5437">
                  <c:v>2.3401173342620731E-2</c:v>
                </c:pt>
                <c:pt idx="5438">
                  <c:v>2.3401131830347786E-2</c:v>
                </c:pt>
                <c:pt idx="5439">
                  <c:v>2.3401090318074844E-2</c:v>
                </c:pt>
                <c:pt idx="5440">
                  <c:v>2.3401048805801895E-2</c:v>
                </c:pt>
                <c:pt idx="5441">
                  <c:v>2.3401007293528953E-2</c:v>
                </c:pt>
                <c:pt idx="5442">
                  <c:v>2.3400965781256007E-2</c:v>
                </c:pt>
                <c:pt idx="5443">
                  <c:v>2.3400924268983068E-2</c:v>
                </c:pt>
                <c:pt idx="5444">
                  <c:v>2.3400882756710123E-2</c:v>
                </c:pt>
                <c:pt idx="5445">
                  <c:v>2.3400841244437181E-2</c:v>
                </c:pt>
                <c:pt idx="5446">
                  <c:v>2.3400799732164235E-2</c:v>
                </c:pt>
                <c:pt idx="5447">
                  <c:v>2.3400758219891297E-2</c:v>
                </c:pt>
                <c:pt idx="5448">
                  <c:v>2.3400716707618351E-2</c:v>
                </c:pt>
                <c:pt idx="5449">
                  <c:v>2.3400675195345402E-2</c:v>
                </c:pt>
                <c:pt idx="5450">
                  <c:v>2.340063368307246E-2</c:v>
                </c:pt>
                <c:pt idx="5451">
                  <c:v>2.3400592170799515E-2</c:v>
                </c:pt>
                <c:pt idx="5452">
                  <c:v>2.3400550658526576E-2</c:v>
                </c:pt>
                <c:pt idx="5453">
                  <c:v>2.3400509146253624E-2</c:v>
                </c:pt>
                <c:pt idx="5454">
                  <c:v>2.3400467633980689E-2</c:v>
                </c:pt>
                <c:pt idx="5455">
                  <c:v>2.340042612170774E-2</c:v>
                </c:pt>
                <c:pt idx="5456">
                  <c:v>2.3400384609434798E-2</c:v>
                </c:pt>
                <c:pt idx="5457">
                  <c:v>2.3400343097161852E-2</c:v>
                </c:pt>
                <c:pt idx="5458">
                  <c:v>2.340030158488891E-2</c:v>
                </c:pt>
                <c:pt idx="5459">
                  <c:v>2.3400260072615968E-2</c:v>
                </c:pt>
                <c:pt idx="5460">
                  <c:v>2.3400218560343026E-2</c:v>
                </c:pt>
                <c:pt idx="5461">
                  <c:v>2.3400177048070077E-2</c:v>
                </c:pt>
                <c:pt idx="5462">
                  <c:v>2.3400135535797131E-2</c:v>
                </c:pt>
                <c:pt idx="5463">
                  <c:v>2.3400094023524189E-2</c:v>
                </c:pt>
                <c:pt idx="5464">
                  <c:v>2.3400052511251247E-2</c:v>
                </c:pt>
                <c:pt idx="5465">
                  <c:v>2.3400010998978305E-2</c:v>
                </c:pt>
                <c:pt idx="5466">
                  <c:v>2.339996948670536E-2</c:v>
                </c:pt>
                <c:pt idx="5467">
                  <c:v>2.3399927974432411E-2</c:v>
                </c:pt>
                <c:pt idx="5468">
                  <c:v>2.3399886462159469E-2</c:v>
                </c:pt>
                <c:pt idx="5469">
                  <c:v>2.3399844949886527E-2</c:v>
                </c:pt>
                <c:pt idx="5470">
                  <c:v>2.3399803437613585E-2</c:v>
                </c:pt>
                <c:pt idx="5471">
                  <c:v>2.3399761925340639E-2</c:v>
                </c:pt>
                <c:pt idx="5472">
                  <c:v>2.3399720413067697E-2</c:v>
                </c:pt>
                <c:pt idx="5473">
                  <c:v>2.3399678900794748E-2</c:v>
                </c:pt>
                <c:pt idx="5474">
                  <c:v>2.3399637388521806E-2</c:v>
                </c:pt>
                <c:pt idx="5475">
                  <c:v>2.3399595876248864E-2</c:v>
                </c:pt>
                <c:pt idx="5476">
                  <c:v>2.3399554363975911E-2</c:v>
                </c:pt>
                <c:pt idx="5477">
                  <c:v>2.3399512851702976E-2</c:v>
                </c:pt>
                <c:pt idx="5478">
                  <c:v>2.3399471339430034E-2</c:v>
                </c:pt>
                <c:pt idx="5479">
                  <c:v>2.3399429827157085E-2</c:v>
                </c:pt>
                <c:pt idx="5480">
                  <c:v>2.339938831488414E-2</c:v>
                </c:pt>
                <c:pt idx="5481">
                  <c:v>2.3399346802611201E-2</c:v>
                </c:pt>
                <c:pt idx="5482">
                  <c:v>2.3399305290338256E-2</c:v>
                </c:pt>
                <c:pt idx="5483">
                  <c:v>2.3399263778065314E-2</c:v>
                </c:pt>
                <c:pt idx="5484">
                  <c:v>2.3399222265792372E-2</c:v>
                </c:pt>
                <c:pt idx="5485">
                  <c:v>2.3399180753519426E-2</c:v>
                </c:pt>
                <c:pt idx="5486">
                  <c:v>2.3399139241246484E-2</c:v>
                </c:pt>
                <c:pt idx="5487">
                  <c:v>2.3399097728973542E-2</c:v>
                </c:pt>
                <c:pt idx="5488">
                  <c:v>2.33990562167006E-2</c:v>
                </c:pt>
                <c:pt idx="5489">
                  <c:v>2.3399014704427647E-2</c:v>
                </c:pt>
                <c:pt idx="5490">
                  <c:v>2.3398973192154709E-2</c:v>
                </c:pt>
                <c:pt idx="5491">
                  <c:v>2.3398931679881767E-2</c:v>
                </c:pt>
                <c:pt idx="5492">
                  <c:v>2.3398890167608814E-2</c:v>
                </c:pt>
                <c:pt idx="5493">
                  <c:v>2.3398848655335872E-2</c:v>
                </c:pt>
                <c:pt idx="5494">
                  <c:v>2.339880714306293E-2</c:v>
                </c:pt>
                <c:pt idx="5495">
                  <c:v>2.3398765630789988E-2</c:v>
                </c:pt>
                <c:pt idx="5496">
                  <c:v>2.3398724118517043E-2</c:v>
                </c:pt>
                <c:pt idx="5497">
                  <c:v>2.3398682606244101E-2</c:v>
                </c:pt>
                <c:pt idx="5498">
                  <c:v>2.3398641093971159E-2</c:v>
                </c:pt>
                <c:pt idx="5499">
                  <c:v>2.3398599581698216E-2</c:v>
                </c:pt>
                <c:pt idx="5500">
                  <c:v>2.3398558069425267E-2</c:v>
                </c:pt>
                <c:pt idx="5501">
                  <c:v>2.3398516557152322E-2</c:v>
                </c:pt>
                <c:pt idx="5502">
                  <c:v>2.3398475044879383E-2</c:v>
                </c:pt>
                <c:pt idx="5503">
                  <c:v>2.3398433532606438E-2</c:v>
                </c:pt>
                <c:pt idx="5504">
                  <c:v>2.3398392020333492E-2</c:v>
                </c:pt>
                <c:pt idx="5505">
                  <c:v>2.339835050806055E-2</c:v>
                </c:pt>
                <c:pt idx="5506">
                  <c:v>2.3398308995787612E-2</c:v>
                </c:pt>
                <c:pt idx="5507">
                  <c:v>2.3398267483514659E-2</c:v>
                </c:pt>
                <c:pt idx="5508">
                  <c:v>2.3398225971241724E-2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7C-4221-9976-DF71A8B3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956895"/>
        <c:axId val="1805117455"/>
      </c:scatterChart>
      <c:valAx>
        <c:axId val="1576956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05117455"/>
        <c:crosses val="autoZero"/>
        <c:crossBetween val="midCat"/>
      </c:valAx>
      <c:valAx>
        <c:axId val="180511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76956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452436</xdr:colOff>
      <xdr:row>1605</xdr:row>
      <xdr:rowOff>171449</xdr:rowOff>
    </xdr:from>
    <xdr:to>
      <xdr:col>16</xdr:col>
      <xdr:colOff>495299</xdr:colOff>
      <xdr:row>1626</xdr:row>
      <xdr:rowOff>161924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0C2A17-EDCF-43B7-B701-79E0466ACD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609599</xdr:colOff>
      <xdr:row>3</xdr:row>
      <xdr:rowOff>0</xdr:rowOff>
    </xdr:from>
    <xdr:to>
      <xdr:col>37</xdr:col>
      <xdr:colOff>47624</xdr:colOff>
      <xdr:row>23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A024705-50B2-4DC0-8E46-7F0824C840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workbookViewId="0">
      <selection activeCell="C7" sqref="C7"/>
    </sheetView>
  </sheetViews>
  <sheetFormatPr baseColWidth="10" defaultColWidth="9.140625" defaultRowHeight="15" x14ac:dyDescent="0.25"/>
  <sheetData>
    <row r="2" spans="2:3" x14ac:dyDescent="0.25">
      <c r="B2" t="s">
        <v>0</v>
      </c>
      <c r="C2">
        <v>2</v>
      </c>
    </row>
    <row r="3" spans="2:3" x14ac:dyDescent="0.25">
      <c r="B3" t="s">
        <v>1</v>
      </c>
      <c r="C3">
        <v>1</v>
      </c>
    </row>
    <row r="4" spans="2:3" x14ac:dyDescent="0.25">
      <c r="B4" t="s">
        <v>2</v>
      </c>
      <c r="C4">
        <v>3</v>
      </c>
    </row>
    <row r="5" spans="2:3" x14ac:dyDescent="0.25">
      <c r="B5" t="s">
        <v>3</v>
      </c>
      <c r="C5">
        <v>1</v>
      </c>
    </row>
    <row r="6" spans="2:3" x14ac:dyDescent="0.25">
      <c r="B6" t="s">
        <v>4</v>
      </c>
      <c r="C6">
        <v>3</v>
      </c>
    </row>
    <row r="7" spans="2:3" x14ac:dyDescent="0.25">
      <c r="B7" t="s">
        <v>5</v>
      </c>
      <c r="C7">
        <f>interpola(C2,C3,C4,C5,C6)</f>
        <v>2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5709"/>
  <sheetViews>
    <sheetView tabSelected="1" topLeftCell="N3" workbookViewId="0">
      <selection activeCell="X5512" sqref="X4:X5512"/>
    </sheetView>
  </sheetViews>
  <sheetFormatPr baseColWidth="10" defaultColWidth="9.140625" defaultRowHeight="15" x14ac:dyDescent="0.25"/>
  <cols>
    <col min="1" max="1" width="9.140625" customWidth="1"/>
    <col min="2" max="2" width="10.42578125" bestFit="1" customWidth="1"/>
    <col min="3" max="6" width="9.140625" customWidth="1"/>
    <col min="7" max="7" width="10.7109375" bestFit="1" customWidth="1"/>
    <col min="8" max="10" width="9.140625" customWidth="1"/>
    <col min="11" max="11" width="10.42578125" bestFit="1" customWidth="1"/>
    <col min="19" max="19" width="10.7109375" bestFit="1" customWidth="1"/>
    <col min="20" max="20" width="9.42578125" bestFit="1" customWidth="1"/>
    <col min="22" max="22" width="20.28515625" bestFit="1" customWidth="1"/>
    <col min="24" max="24" width="8.28515625" customWidth="1"/>
  </cols>
  <sheetData>
    <row r="2" spans="1:24" x14ac:dyDescent="0.25">
      <c r="A2" t="s">
        <v>25</v>
      </c>
      <c r="B2">
        <v>31</v>
      </c>
      <c r="J2" t="s">
        <v>6</v>
      </c>
      <c r="K2" s="19">
        <v>3.1800000000000002E-2</v>
      </c>
    </row>
    <row r="3" spans="1:24" x14ac:dyDescent="0.25">
      <c r="A3" t="s">
        <v>8</v>
      </c>
      <c r="B3" s="1">
        <v>43054</v>
      </c>
      <c r="J3" t="s">
        <v>8</v>
      </c>
      <c r="K3" s="1">
        <v>41497</v>
      </c>
      <c r="T3" s="30">
        <v>2.3400000000000001E-2</v>
      </c>
      <c r="U3" s="33">
        <v>3.3399999999999999E-2</v>
      </c>
      <c r="V3" t="s">
        <v>26</v>
      </c>
      <c r="W3" t="s">
        <v>27</v>
      </c>
      <c r="X3" t="s">
        <v>28</v>
      </c>
    </row>
    <row r="4" spans="1:24" ht="15.75" thickBot="1" x14ac:dyDescent="0.3">
      <c r="A4" t="s">
        <v>13</v>
      </c>
      <c r="D4" t="s">
        <v>24</v>
      </c>
      <c r="J4" t="s">
        <v>13</v>
      </c>
      <c r="M4" t="s">
        <v>21</v>
      </c>
      <c r="S4" s="44">
        <f>+B3</f>
        <v>43054</v>
      </c>
      <c r="T4" s="12">
        <f>DurMod($S4,$B2,$F$7:$G$37,T$3)</f>
        <v>7.3704627061629413</v>
      </c>
      <c r="U4" s="12">
        <f>DurMod($S4,$B$2,$F$7:$G$37,U$3)</f>
        <v>7.1475170792842766</v>
      </c>
      <c r="V4" s="30">
        <f>+$U$3*($S$5512-S4)/365+$T$3*(S4-$S$4)/365</f>
        <v>0.5040197260273972</v>
      </c>
      <c r="W4" s="46">
        <f>+-T4*($U$3-$T$3)</f>
        <v>-7.3704627061629405E-2</v>
      </c>
      <c r="X4" s="33">
        <f>+(V4+W4)*365/($S$5512-$S$4)</f>
        <v>2.8515797226308141E-2</v>
      </c>
    </row>
    <row r="5" spans="1:24" x14ac:dyDescent="0.25">
      <c r="A5" s="27" t="s">
        <v>7</v>
      </c>
      <c r="B5" s="28" t="s">
        <v>8</v>
      </c>
      <c r="C5" s="28" t="s">
        <v>9</v>
      </c>
      <c r="D5" s="28" t="s">
        <v>10</v>
      </c>
      <c r="E5" s="28" t="s">
        <v>11</v>
      </c>
      <c r="F5" s="28" t="s">
        <v>12</v>
      </c>
      <c r="G5" s="29" t="s">
        <v>14</v>
      </c>
      <c r="J5" s="2" t="s">
        <v>7</v>
      </c>
      <c r="K5" s="3" t="s">
        <v>8</v>
      </c>
      <c r="L5" s="3" t="s">
        <v>9</v>
      </c>
      <c r="M5" s="3" t="s">
        <v>10</v>
      </c>
      <c r="N5" s="3" t="s">
        <v>11</v>
      </c>
      <c r="O5" s="3" t="s">
        <v>12</v>
      </c>
      <c r="P5" s="4" t="s">
        <v>14</v>
      </c>
      <c r="S5" s="44">
        <f>+S4+1</f>
        <v>43055</v>
      </c>
      <c r="T5" s="12">
        <f>DurMod(S5,B$2,$F$7:$G$37,$T$3)</f>
        <v>7.3677856238614021</v>
      </c>
      <c r="U5" s="12">
        <f t="shared" ref="U5:U68" si="0">DurMod($S5,$B$2,$F$7:$G$37,U$3)</f>
        <v>7.1448659025594914</v>
      </c>
      <c r="V5" s="30">
        <f t="shared" ref="V5:V68" si="1">+$U$3*($S$5512-S5)/365+$T$3*(S5-$S$4)/365</f>
        <v>0.5039923287671233</v>
      </c>
      <c r="W5" s="46">
        <f t="shared" ref="W5:W68" si="2">+-T5*($U$3-$T$3)</f>
        <v>-7.3677856238614003E-2</v>
      </c>
      <c r="X5" s="33">
        <f t="shared" ref="X5:X68" si="3">+(V5+W5)*365/($S$5512-$S$4)</f>
        <v>2.8515755714035203E-2</v>
      </c>
    </row>
    <row r="6" spans="1:24" x14ac:dyDescent="0.25">
      <c r="A6" s="38"/>
      <c r="B6" s="39"/>
      <c r="C6" s="39"/>
      <c r="D6" s="39"/>
      <c r="E6" s="39"/>
      <c r="F6" s="39"/>
      <c r="G6" s="40"/>
      <c r="J6" s="41"/>
      <c r="K6" s="42"/>
      <c r="L6" s="42"/>
      <c r="M6" s="42"/>
      <c r="N6" s="42"/>
      <c r="O6" s="42"/>
      <c r="P6" s="43"/>
      <c r="S6" s="44">
        <f t="shared" ref="S6:S69" si="4">+S5+1</f>
        <v>43056</v>
      </c>
      <c r="T6" s="12">
        <f>DurMod(S6,B$2,$F$7:$G$37,$T$3)</f>
        <v>7.3651085415598594</v>
      </c>
      <c r="U6" s="12">
        <f t="shared" si="0"/>
        <v>7.1422147258347</v>
      </c>
      <c r="V6" s="30">
        <f t="shared" si="1"/>
        <v>0.50396493150684929</v>
      </c>
      <c r="W6" s="46">
        <f t="shared" si="2"/>
        <v>-7.3651085415598588E-2</v>
      </c>
      <c r="X6" s="33">
        <f t="shared" si="3"/>
        <v>2.851571420176225E-2</v>
      </c>
    </row>
    <row r="7" spans="1:24" x14ac:dyDescent="0.25">
      <c r="A7" s="5">
        <v>1</v>
      </c>
      <c r="B7" s="16">
        <v>43084</v>
      </c>
      <c r="C7" s="6">
        <v>2.323</v>
      </c>
      <c r="D7" s="6">
        <v>0</v>
      </c>
      <c r="E7" s="6">
        <v>100</v>
      </c>
      <c r="F7" s="6">
        <v>2.323</v>
      </c>
      <c r="G7" s="45">
        <f>+B7</f>
        <v>43084</v>
      </c>
      <c r="H7" s="21"/>
      <c r="J7" s="5">
        <v>0</v>
      </c>
      <c r="K7" s="16">
        <v>40057</v>
      </c>
      <c r="L7" s="6">
        <v>0</v>
      </c>
      <c r="M7" s="6">
        <v>0</v>
      </c>
      <c r="N7" s="6">
        <v>100</v>
      </c>
      <c r="O7" s="6">
        <v>0</v>
      </c>
      <c r="P7" s="17"/>
      <c r="S7" s="44">
        <f t="shared" si="4"/>
        <v>43057</v>
      </c>
      <c r="T7" s="12">
        <f>DurMod(S7,B$2,$F$7:$G$37,$T$3)</f>
        <v>7.3624314592583167</v>
      </c>
      <c r="U7" s="12">
        <f t="shared" si="0"/>
        <v>7.1395635491099076</v>
      </c>
      <c r="V7" s="30">
        <f t="shared" si="1"/>
        <v>0.50393753424657528</v>
      </c>
      <c r="W7" s="46">
        <f t="shared" si="2"/>
        <v>-7.3624314592583159E-2</v>
      </c>
      <c r="X7" s="33">
        <f t="shared" si="3"/>
        <v>2.8515672689489308E-2</v>
      </c>
    </row>
    <row r="8" spans="1:24" x14ac:dyDescent="0.25">
      <c r="A8" s="5">
        <v>2</v>
      </c>
      <c r="B8" s="16">
        <v>43266</v>
      </c>
      <c r="C8" s="6">
        <v>2.323</v>
      </c>
      <c r="D8" s="6">
        <v>0</v>
      </c>
      <c r="E8" s="6">
        <v>100</v>
      </c>
      <c r="F8" s="6">
        <v>2.323</v>
      </c>
      <c r="G8" s="45">
        <f t="shared" ref="G8:G37" si="5">+B8</f>
        <v>43266</v>
      </c>
      <c r="H8" s="21"/>
      <c r="J8" s="5">
        <v>1</v>
      </c>
      <c r="K8" s="16">
        <v>40238</v>
      </c>
      <c r="L8" s="6">
        <v>1.75</v>
      </c>
      <c r="M8" s="6">
        <v>0</v>
      </c>
      <c r="N8" s="6">
        <v>100</v>
      </c>
      <c r="O8" s="6">
        <v>1.75</v>
      </c>
      <c r="P8" s="17"/>
      <c r="S8" s="44">
        <f t="shared" si="4"/>
        <v>43058</v>
      </c>
      <c r="T8" s="12">
        <f>DurMod(S8,B$2,$F$7:$G$37,$T$3)</f>
        <v>7.3597543769567757</v>
      </c>
      <c r="U8" s="12">
        <f t="shared" si="0"/>
        <v>7.1369123723851198</v>
      </c>
      <c r="V8" s="30">
        <f t="shared" si="1"/>
        <v>0.50391013698630138</v>
      </c>
      <c r="W8" s="46">
        <f t="shared" si="2"/>
        <v>-7.3597543769567744E-2</v>
      </c>
      <c r="X8" s="33">
        <f t="shared" si="3"/>
        <v>2.8515631177216373E-2</v>
      </c>
    </row>
    <row r="9" spans="1:24" x14ac:dyDescent="0.25">
      <c r="A9" s="5">
        <v>3</v>
      </c>
      <c r="B9" s="16">
        <v>43449</v>
      </c>
      <c r="C9" s="6">
        <v>2.323</v>
      </c>
      <c r="D9" s="6">
        <v>0</v>
      </c>
      <c r="E9" s="6">
        <v>100</v>
      </c>
      <c r="F9" s="6">
        <v>2.323</v>
      </c>
      <c r="G9" s="45">
        <f t="shared" si="5"/>
        <v>43449</v>
      </c>
      <c r="H9" s="21"/>
      <c r="J9" s="5">
        <v>2</v>
      </c>
      <c r="K9" s="16">
        <v>40422</v>
      </c>
      <c r="L9" s="6">
        <v>1.75</v>
      </c>
      <c r="M9" s="6">
        <v>0</v>
      </c>
      <c r="N9" s="6">
        <v>100</v>
      </c>
      <c r="O9" s="6">
        <v>1.75</v>
      </c>
      <c r="P9" s="7"/>
      <c r="S9" s="44">
        <f t="shared" si="4"/>
        <v>43059</v>
      </c>
      <c r="T9" s="12">
        <f>DurMod(S9,B$2,$F$7:$G$37,$T$3)</f>
        <v>7.3570772946552356</v>
      </c>
      <c r="U9" s="12">
        <f t="shared" si="0"/>
        <v>7.134261195660331</v>
      </c>
      <c r="V9" s="30">
        <f t="shared" si="1"/>
        <v>0.50388273972602737</v>
      </c>
      <c r="W9" s="46">
        <f t="shared" si="2"/>
        <v>-7.3570772946552343E-2</v>
      </c>
      <c r="X9" s="33">
        <f t="shared" si="3"/>
        <v>2.8515589664943424E-2</v>
      </c>
    </row>
    <row r="10" spans="1:24" x14ac:dyDescent="0.25">
      <c r="A10" s="5">
        <v>4</v>
      </c>
      <c r="B10" s="16">
        <v>43631</v>
      </c>
      <c r="C10" s="6">
        <v>2.323</v>
      </c>
      <c r="D10" s="6">
        <v>0</v>
      </c>
      <c r="E10" s="6">
        <v>100</v>
      </c>
      <c r="F10" s="6">
        <v>2.323</v>
      </c>
      <c r="G10" s="45">
        <f t="shared" si="5"/>
        <v>43631</v>
      </c>
      <c r="H10" s="21"/>
      <c r="J10" s="5">
        <v>3</v>
      </c>
      <c r="K10" s="16">
        <v>40603</v>
      </c>
      <c r="L10" s="6">
        <v>1.75</v>
      </c>
      <c r="M10" s="6">
        <v>0</v>
      </c>
      <c r="N10" s="6">
        <v>100</v>
      </c>
      <c r="O10" s="6">
        <v>1.75</v>
      </c>
      <c r="P10" s="7"/>
      <c r="S10" s="44">
        <f t="shared" si="4"/>
        <v>43060</v>
      </c>
      <c r="T10" s="12">
        <f>DurMod(S10,B$2,$F$7:$G$37,$T$3)</f>
        <v>7.3544002123536938</v>
      </c>
      <c r="U10" s="12">
        <f t="shared" si="0"/>
        <v>7.1316100189355414</v>
      </c>
      <c r="V10" s="30">
        <f t="shared" si="1"/>
        <v>0.50385534246575336</v>
      </c>
      <c r="W10" s="46">
        <f t="shared" si="2"/>
        <v>-7.3544002123536928E-2</v>
      </c>
      <c r="X10" s="33">
        <f t="shared" si="3"/>
        <v>2.8515548152670479E-2</v>
      </c>
    </row>
    <row r="11" spans="1:24" x14ac:dyDescent="0.25">
      <c r="A11" s="5">
        <v>5</v>
      </c>
      <c r="B11" s="16">
        <v>43814</v>
      </c>
      <c r="C11" s="6">
        <v>2.323</v>
      </c>
      <c r="D11" s="6">
        <v>0</v>
      </c>
      <c r="E11" s="6">
        <v>100</v>
      </c>
      <c r="F11" s="6">
        <v>2.323</v>
      </c>
      <c r="G11" s="45">
        <f t="shared" si="5"/>
        <v>43814</v>
      </c>
      <c r="H11" s="21"/>
      <c r="J11" s="5">
        <v>4</v>
      </c>
      <c r="K11" s="16">
        <v>40787</v>
      </c>
      <c r="L11" s="6">
        <v>1.75</v>
      </c>
      <c r="M11" s="6">
        <v>0</v>
      </c>
      <c r="N11" s="6">
        <v>100</v>
      </c>
      <c r="O11" s="6">
        <v>1.75</v>
      </c>
      <c r="P11" s="7"/>
      <c r="S11" s="44">
        <f t="shared" si="4"/>
        <v>43061</v>
      </c>
      <c r="T11" s="12">
        <f>DurMod(S11,B$2,$F$7:$G$37,$T$3)</f>
        <v>7.3517231300521555</v>
      </c>
      <c r="U11" s="12">
        <f t="shared" si="0"/>
        <v>7.1289588422107508</v>
      </c>
      <c r="V11" s="30">
        <f t="shared" si="1"/>
        <v>0.50382794520547947</v>
      </c>
      <c r="W11" s="46">
        <f t="shared" si="2"/>
        <v>-7.3517231300521541E-2</v>
      </c>
      <c r="X11" s="33">
        <f t="shared" si="3"/>
        <v>2.8515506640397537E-2</v>
      </c>
    </row>
    <row r="12" spans="1:24" x14ac:dyDescent="0.25">
      <c r="A12" s="5">
        <v>6</v>
      </c>
      <c r="B12" s="16">
        <v>43997</v>
      </c>
      <c r="C12" s="6">
        <v>2.323</v>
      </c>
      <c r="D12" s="6">
        <v>0</v>
      </c>
      <c r="E12" s="6">
        <v>100</v>
      </c>
      <c r="F12" s="6">
        <v>2.323</v>
      </c>
      <c r="G12" s="45">
        <f t="shared" si="5"/>
        <v>43997</v>
      </c>
      <c r="H12" s="21"/>
      <c r="J12" s="5">
        <v>5</v>
      </c>
      <c r="K12" s="16">
        <v>40969</v>
      </c>
      <c r="L12" s="6">
        <v>1.75</v>
      </c>
      <c r="M12" s="6">
        <v>0</v>
      </c>
      <c r="N12" s="6">
        <v>100</v>
      </c>
      <c r="O12" s="6">
        <v>1.75</v>
      </c>
      <c r="P12" s="7"/>
      <c r="S12" s="44">
        <f t="shared" si="4"/>
        <v>43062</v>
      </c>
      <c r="T12" s="12">
        <f>DurMod(S12,B$2,$F$7:$G$37,$T$3)</f>
        <v>7.3490460477506137</v>
      </c>
      <c r="U12" s="12">
        <f t="shared" si="0"/>
        <v>7.1263076654859656</v>
      </c>
      <c r="V12" s="30">
        <f t="shared" si="1"/>
        <v>0.50380054794520546</v>
      </c>
      <c r="W12" s="46">
        <f t="shared" si="2"/>
        <v>-7.3490460477506125E-2</v>
      </c>
      <c r="X12" s="33">
        <f t="shared" si="3"/>
        <v>2.8515465128124595E-2</v>
      </c>
    </row>
    <row r="13" spans="1:24" x14ac:dyDescent="0.25">
      <c r="A13" s="5">
        <v>7</v>
      </c>
      <c r="B13" s="16">
        <v>44180</v>
      </c>
      <c r="C13" s="6">
        <v>2.323</v>
      </c>
      <c r="D13" s="6">
        <v>4</v>
      </c>
      <c r="E13" s="6">
        <v>96</v>
      </c>
      <c r="F13" s="6">
        <v>6.3230000000000004</v>
      </c>
      <c r="G13" s="45">
        <f t="shared" si="5"/>
        <v>44180</v>
      </c>
      <c r="H13" s="21"/>
      <c r="J13" s="5">
        <v>6</v>
      </c>
      <c r="K13" s="16">
        <v>41153</v>
      </c>
      <c r="L13" s="6">
        <v>1.75</v>
      </c>
      <c r="M13" s="6">
        <v>0</v>
      </c>
      <c r="N13" s="6">
        <v>100</v>
      </c>
      <c r="O13" s="6">
        <v>1.75</v>
      </c>
      <c r="P13" s="7"/>
      <c r="S13" s="44">
        <f t="shared" si="4"/>
        <v>43063</v>
      </c>
      <c r="T13" s="12">
        <f>DurMod(S13,B$2,$F$7:$G$37,$T$3)</f>
        <v>7.3463689654490691</v>
      </c>
      <c r="U13" s="12">
        <f t="shared" si="0"/>
        <v>7.1236564887611742</v>
      </c>
      <c r="V13" s="30">
        <f t="shared" si="1"/>
        <v>0.50377315068493145</v>
      </c>
      <c r="W13" s="46">
        <f t="shared" si="2"/>
        <v>-7.3463689654490683E-2</v>
      </c>
      <c r="X13" s="33">
        <f t="shared" si="3"/>
        <v>2.8515423615851649E-2</v>
      </c>
    </row>
    <row r="14" spans="1:24" x14ac:dyDescent="0.25">
      <c r="A14" s="5">
        <v>8</v>
      </c>
      <c r="B14" s="16">
        <v>44362</v>
      </c>
      <c r="C14" s="6">
        <v>2.23</v>
      </c>
      <c r="D14" s="6">
        <v>4</v>
      </c>
      <c r="E14" s="6">
        <v>92</v>
      </c>
      <c r="F14" s="6">
        <v>6.23</v>
      </c>
      <c r="G14" s="45">
        <f t="shared" si="5"/>
        <v>44362</v>
      </c>
      <c r="H14" s="21"/>
      <c r="J14" s="5">
        <v>7</v>
      </c>
      <c r="K14" s="16">
        <v>41334</v>
      </c>
      <c r="L14" s="6">
        <v>1.75</v>
      </c>
      <c r="M14" s="6">
        <v>0</v>
      </c>
      <c r="N14" s="6">
        <v>100</v>
      </c>
      <c r="O14" s="6">
        <v>1.75</v>
      </c>
      <c r="P14" s="7"/>
      <c r="S14" s="44">
        <f t="shared" si="4"/>
        <v>43064</v>
      </c>
      <c r="T14" s="12">
        <f>DurMod(S14,B$2,$F$7:$G$37,$T$3)</f>
        <v>7.3436918831475273</v>
      </c>
      <c r="U14" s="12">
        <f t="shared" si="0"/>
        <v>7.1210053120363845</v>
      </c>
      <c r="V14" s="30">
        <f t="shared" si="1"/>
        <v>0.50374575342465744</v>
      </c>
      <c r="W14" s="46">
        <f t="shared" si="2"/>
        <v>-7.3436918831475267E-2</v>
      </c>
      <c r="X14" s="33">
        <f t="shared" si="3"/>
        <v>2.85153821035787E-2</v>
      </c>
    </row>
    <row r="15" spans="1:24" x14ac:dyDescent="0.25">
      <c r="A15" s="5">
        <v>9</v>
      </c>
      <c r="B15" s="16">
        <v>44545</v>
      </c>
      <c r="C15" s="6">
        <v>2.137</v>
      </c>
      <c r="D15" s="6">
        <v>4</v>
      </c>
      <c r="E15" s="6">
        <v>88</v>
      </c>
      <c r="F15" s="6">
        <v>6.1369999999999996</v>
      </c>
      <c r="G15" s="45">
        <f t="shared" si="5"/>
        <v>44545</v>
      </c>
      <c r="H15" s="21"/>
      <c r="J15" s="5">
        <v>8</v>
      </c>
      <c r="K15" s="16">
        <v>41518</v>
      </c>
      <c r="L15" s="6">
        <v>1.75</v>
      </c>
      <c r="M15" s="6">
        <v>0</v>
      </c>
      <c r="N15" s="6">
        <v>100</v>
      </c>
      <c r="O15" s="6">
        <v>1.75</v>
      </c>
      <c r="P15" s="7">
        <f t="shared" ref="P15:P17" si="6">(K15-$K$3)/365</f>
        <v>5.7534246575342465E-2</v>
      </c>
      <c r="S15" s="44">
        <f t="shared" si="4"/>
        <v>43065</v>
      </c>
      <c r="T15" s="12">
        <f>DurMod(S15,B$2,$F$7:$G$37,$T$3)</f>
        <v>7.3410148008459863</v>
      </c>
      <c r="U15" s="12">
        <f t="shared" si="0"/>
        <v>7.1183541353115958</v>
      </c>
      <c r="V15" s="30">
        <f t="shared" si="1"/>
        <v>0.50371835616438354</v>
      </c>
      <c r="W15" s="46">
        <f t="shared" si="2"/>
        <v>-7.3410148008459852E-2</v>
      </c>
      <c r="X15" s="33">
        <f t="shared" si="3"/>
        <v>2.8515340591305765E-2</v>
      </c>
    </row>
    <row r="16" spans="1:24" x14ac:dyDescent="0.25">
      <c r="A16" s="5">
        <v>10</v>
      </c>
      <c r="B16" s="16">
        <v>44727</v>
      </c>
      <c r="C16" s="6">
        <v>2.044</v>
      </c>
      <c r="D16" s="6">
        <v>4</v>
      </c>
      <c r="E16" s="6">
        <v>84</v>
      </c>
      <c r="F16" s="6">
        <v>6.0439999999999996</v>
      </c>
      <c r="G16" s="45">
        <f t="shared" si="5"/>
        <v>44727</v>
      </c>
      <c r="H16" s="21"/>
      <c r="J16" s="5">
        <v>9</v>
      </c>
      <c r="K16" s="16">
        <v>41699</v>
      </c>
      <c r="L16" s="6">
        <v>1.75</v>
      </c>
      <c r="M16" s="6">
        <v>0</v>
      </c>
      <c r="N16" s="6">
        <v>100</v>
      </c>
      <c r="O16" s="6">
        <v>1.75</v>
      </c>
      <c r="P16" s="7">
        <f t="shared" si="6"/>
        <v>0.55342465753424652</v>
      </c>
      <c r="S16" s="44">
        <f t="shared" si="4"/>
        <v>43066</v>
      </c>
      <c r="T16" s="12">
        <f>DurMod(S16,B$2,$F$7:$G$37,$T$3)</f>
        <v>7.3383377185444454</v>
      </c>
      <c r="U16" s="12">
        <f t="shared" si="0"/>
        <v>7.115702958586807</v>
      </c>
      <c r="V16" s="30">
        <f t="shared" si="1"/>
        <v>0.50369095890410964</v>
      </c>
      <c r="W16" s="46">
        <f t="shared" si="2"/>
        <v>-7.3383377185444437E-2</v>
      </c>
      <c r="X16" s="33">
        <f t="shared" si="3"/>
        <v>2.8515299079032826E-2</v>
      </c>
    </row>
    <row r="17" spans="1:24" ht="15.75" thickBot="1" x14ac:dyDescent="0.3">
      <c r="A17" s="5">
        <v>11</v>
      </c>
      <c r="B17" s="16">
        <v>44910</v>
      </c>
      <c r="C17" s="6">
        <v>1.9510000000000001</v>
      </c>
      <c r="D17" s="6">
        <v>4</v>
      </c>
      <c r="E17" s="6">
        <v>80</v>
      </c>
      <c r="F17" s="6">
        <v>5.9509999999999996</v>
      </c>
      <c r="G17" s="45">
        <f t="shared" si="5"/>
        <v>44910</v>
      </c>
      <c r="H17" s="21"/>
      <c r="J17" s="8">
        <v>10</v>
      </c>
      <c r="K17" s="18">
        <v>41883</v>
      </c>
      <c r="L17" s="9">
        <v>1.75</v>
      </c>
      <c r="M17" s="9">
        <v>100</v>
      </c>
      <c r="N17" s="9">
        <v>0</v>
      </c>
      <c r="O17" s="9">
        <v>101.75</v>
      </c>
      <c r="P17" s="10">
        <f t="shared" si="6"/>
        <v>1.0575342465753426</v>
      </c>
      <c r="S17" s="44">
        <f t="shared" si="4"/>
        <v>43067</v>
      </c>
      <c r="T17" s="12">
        <f>DurMod(S17,B$2,$F$7:$G$37,$T$3)</f>
        <v>7.3356606362429027</v>
      </c>
      <c r="U17" s="12">
        <f t="shared" si="0"/>
        <v>7.1130517818620156</v>
      </c>
      <c r="V17" s="30">
        <f t="shared" si="1"/>
        <v>0.50366356164383552</v>
      </c>
      <c r="W17" s="46">
        <f t="shared" si="2"/>
        <v>-7.3356606362429022E-2</v>
      </c>
      <c r="X17" s="33">
        <f t="shared" si="3"/>
        <v>2.851525756675987E-2</v>
      </c>
    </row>
    <row r="18" spans="1:24" x14ac:dyDescent="0.25">
      <c r="A18" s="5">
        <v>12</v>
      </c>
      <c r="B18" s="16">
        <v>45092</v>
      </c>
      <c r="C18" s="6">
        <v>1.8580000000000001</v>
      </c>
      <c r="D18" s="6">
        <v>4</v>
      </c>
      <c r="E18" s="6">
        <v>76</v>
      </c>
      <c r="F18" s="6">
        <v>5.8579999999999997</v>
      </c>
      <c r="G18" s="45">
        <f t="shared" si="5"/>
        <v>45092</v>
      </c>
      <c r="H18" s="21"/>
      <c r="S18" s="44">
        <f t="shared" si="4"/>
        <v>43068</v>
      </c>
      <c r="T18" s="12">
        <f>DurMod(S18,B$2,$F$7:$G$37,$T$3)</f>
        <v>7.3329835539413644</v>
      </c>
      <c r="U18" s="12">
        <f t="shared" si="0"/>
        <v>7.1104006051372295</v>
      </c>
      <c r="V18" s="30">
        <f t="shared" si="1"/>
        <v>0.50363616438356162</v>
      </c>
      <c r="W18" s="46">
        <f t="shared" si="2"/>
        <v>-7.3329835539413635E-2</v>
      </c>
      <c r="X18" s="33">
        <f t="shared" si="3"/>
        <v>2.8515216054486932E-2</v>
      </c>
    </row>
    <row r="19" spans="1:24" x14ac:dyDescent="0.25">
      <c r="A19" s="5">
        <v>13</v>
      </c>
      <c r="B19" s="16">
        <v>45275</v>
      </c>
      <c r="C19" s="6">
        <v>1.7649999999999999</v>
      </c>
      <c r="D19" s="6">
        <v>4</v>
      </c>
      <c r="E19" s="6">
        <v>72</v>
      </c>
      <c r="F19" s="6">
        <v>5.7649999999999997</v>
      </c>
      <c r="G19" s="45">
        <f t="shared" si="5"/>
        <v>45275</v>
      </c>
      <c r="H19" s="21"/>
      <c r="S19" s="44">
        <f t="shared" si="4"/>
        <v>43069</v>
      </c>
      <c r="T19" s="12">
        <f>DurMod(S19,B$2,$F$7:$G$37,$T$3)</f>
        <v>7.3303064716398225</v>
      </c>
      <c r="U19" s="12">
        <f t="shared" si="0"/>
        <v>7.1077494284124363</v>
      </c>
      <c r="V19" s="30">
        <f t="shared" si="1"/>
        <v>0.50360876712328773</v>
      </c>
      <c r="W19" s="46">
        <f t="shared" si="2"/>
        <v>-7.330306471639822E-2</v>
      </c>
      <c r="X19" s="33">
        <f t="shared" si="3"/>
        <v>2.851517454221399E-2</v>
      </c>
    </row>
    <row r="20" spans="1:24" x14ac:dyDescent="0.25">
      <c r="A20" s="5">
        <v>14</v>
      </c>
      <c r="B20" s="16">
        <v>45458</v>
      </c>
      <c r="C20" s="6">
        <v>1.673</v>
      </c>
      <c r="D20" s="6">
        <v>4</v>
      </c>
      <c r="E20" s="6">
        <v>68</v>
      </c>
      <c r="F20" s="6">
        <v>5.673</v>
      </c>
      <c r="G20" s="45">
        <f t="shared" si="5"/>
        <v>45458</v>
      </c>
      <c r="H20" s="21"/>
      <c r="K20" t="s">
        <v>15</v>
      </c>
      <c r="L20">
        <v>3</v>
      </c>
      <c r="S20" s="44">
        <f t="shared" si="4"/>
        <v>43070</v>
      </c>
      <c r="T20" s="12">
        <f>DurMod(S20,B$2,$F$7:$G$37,$T$3)</f>
        <v>7.3276293893382816</v>
      </c>
      <c r="U20" s="12">
        <f t="shared" si="0"/>
        <v>7.1050982516876511</v>
      </c>
      <c r="V20" s="30">
        <f t="shared" si="1"/>
        <v>0.50358136986301361</v>
      </c>
      <c r="W20" s="46">
        <f t="shared" si="2"/>
        <v>-7.3276293893382805E-2</v>
      </c>
      <c r="X20" s="33">
        <f t="shared" si="3"/>
        <v>2.8515133029941037E-2</v>
      </c>
    </row>
    <row r="21" spans="1:24" x14ac:dyDescent="0.25">
      <c r="A21" s="5">
        <v>15</v>
      </c>
      <c r="B21" s="16">
        <v>45641</v>
      </c>
      <c r="C21" s="6">
        <v>1.58</v>
      </c>
      <c r="D21" s="6">
        <v>4</v>
      </c>
      <c r="E21" s="6">
        <v>64</v>
      </c>
      <c r="F21" s="6">
        <v>5.58</v>
      </c>
      <c r="G21" s="45">
        <f t="shared" si="5"/>
        <v>45641</v>
      </c>
      <c r="H21" s="21"/>
      <c r="K21" t="s">
        <v>22</v>
      </c>
      <c r="L21" s="12" t="e">
        <f>DurMod(L20,O15:P17,K2)</f>
        <v>#VALUE!</v>
      </c>
      <c r="S21" s="44">
        <f t="shared" si="4"/>
        <v>43071</v>
      </c>
      <c r="T21" s="12">
        <f>DurMod(S21,B$2,$F$7:$G$37,$T$3)</f>
        <v>7.3249523070367406</v>
      </c>
      <c r="U21" s="12">
        <f t="shared" si="0"/>
        <v>7.1024470749628588</v>
      </c>
      <c r="V21" s="30">
        <f t="shared" si="1"/>
        <v>0.50355397260273971</v>
      </c>
      <c r="W21" s="46">
        <f t="shared" si="2"/>
        <v>-7.3249523070367389E-2</v>
      </c>
      <c r="X21" s="33">
        <f t="shared" si="3"/>
        <v>2.8515091517668102E-2</v>
      </c>
    </row>
    <row r="22" spans="1:24" x14ac:dyDescent="0.25">
      <c r="A22" s="5">
        <v>16</v>
      </c>
      <c r="B22" s="16">
        <v>45823</v>
      </c>
      <c r="C22" s="6">
        <v>1.4870000000000001</v>
      </c>
      <c r="D22" s="6">
        <v>4</v>
      </c>
      <c r="E22" s="6">
        <v>60</v>
      </c>
      <c r="F22" s="6">
        <v>5.4870000000000001</v>
      </c>
      <c r="G22" s="45">
        <f t="shared" si="5"/>
        <v>45823</v>
      </c>
      <c r="H22" s="21"/>
      <c r="S22" s="44">
        <f t="shared" si="4"/>
        <v>43072</v>
      </c>
      <c r="T22" s="12">
        <f>DurMod(S22,B$2,$F$7:$G$37,$T$3)</f>
        <v>7.3222752247352005</v>
      </c>
      <c r="U22" s="12">
        <f t="shared" si="0"/>
        <v>7.09979589823807</v>
      </c>
      <c r="V22" s="30">
        <f t="shared" si="1"/>
        <v>0.5035265753424657</v>
      </c>
      <c r="W22" s="46">
        <f t="shared" si="2"/>
        <v>-7.3222752247351988E-2</v>
      </c>
      <c r="X22" s="33">
        <f t="shared" si="3"/>
        <v>2.8515050005395153E-2</v>
      </c>
    </row>
    <row r="23" spans="1:24" x14ac:dyDescent="0.25">
      <c r="A23" s="5">
        <v>17</v>
      </c>
      <c r="B23" s="16">
        <v>46006</v>
      </c>
      <c r="C23" s="6">
        <v>1.3939999999999999</v>
      </c>
      <c r="D23" s="6">
        <v>4</v>
      </c>
      <c r="E23" s="6">
        <v>56</v>
      </c>
      <c r="F23" s="6">
        <v>5.3940000000000001</v>
      </c>
      <c r="G23" s="45">
        <f t="shared" si="5"/>
        <v>46006</v>
      </c>
      <c r="H23" s="21"/>
      <c r="S23" s="44">
        <f t="shared" si="4"/>
        <v>43073</v>
      </c>
      <c r="T23" s="12">
        <f>DurMod(S23,B$2,$F$7:$G$37,$T$3)</f>
        <v>7.3195981424336569</v>
      </c>
      <c r="U23" s="12">
        <f t="shared" si="0"/>
        <v>7.0971447215132804</v>
      </c>
      <c r="V23" s="30">
        <f t="shared" si="1"/>
        <v>0.50349917808219169</v>
      </c>
      <c r="W23" s="46">
        <f t="shared" si="2"/>
        <v>-7.3195981424336559E-2</v>
      </c>
      <c r="X23" s="33">
        <f t="shared" si="3"/>
        <v>2.8515008493122208E-2</v>
      </c>
    </row>
    <row r="24" spans="1:24" x14ac:dyDescent="0.25">
      <c r="A24" s="5">
        <v>18</v>
      </c>
      <c r="B24" s="16">
        <v>46188</v>
      </c>
      <c r="C24" s="6">
        <v>1.3009999999999999</v>
      </c>
      <c r="D24" s="6">
        <v>4</v>
      </c>
      <c r="E24" s="6">
        <v>52</v>
      </c>
      <c r="F24" s="6">
        <v>5.3010000000000002</v>
      </c>
      <c r="G24" s="45">
        <f t="shared" si="5"/>
        <v>46188</v>
      </c>
      <c r="H24" s="21"/>
      <c r="S24" s="44">
        <f t="shared" si="4"/>
        <v>43074</v>
      </c>
      <c r="T24" s="12">
        <f>DurMod(S24,B$2,$F$7:$G$37,$T$3)</f>
        <v>7.3169210601321168</v>
      </c>
      <c r="U24" s="12">
        <f t="shared" si="0"/>
        <v>7.0944935447884907</v>
      </c>
      <c r="V24" s="30">
        <f t="shared" si="1"/>
        <v>0.50347178082191779</v>
      </c>
      <c r="W24" s="46">
        <f t="shared" si="2"/>
        <v>-7.3169210601321158E-2</v>
      </c>
      <c r="X24" s="33">
        <f t="shared" si="3"/>
        <v>2.8514966980849269E-2</v>
      </c>
    </row>
    <row r="25" spans="1:24" x14ac:dyDescent="0.25">
      <c r="A25" s="5">
        <v>19</v>
      </c>
      <c r="B25" s="16">
        <v>46371</v>
      </c>
      <c r="C25" s="6">
        <v>1.208</v>
      </c>
      <c r="D25" s="6">
        <v>4</v>
      </c>
      <c r="E25" s="6">
        <v>48</v>
      </c>
      <c r="F25" s="6">
        <v>5.2080000000000002</v>
      </c>
      <c r="G25" s="45">
        <f t="shared" si="5"/>
        <v>46371</v>
      </c>
      <c r="H25" s="21"/>
      <c r="S25" s="44">
        <f t="shared" si="4"/>
        <v>43075</v>
      </c>
      <c r="T25" s="12">
        <f>DurMod(S25,B$2,$F$7:$G$37,$T$3)</f>
        <v>7.3142439778305741</v>
      </c>
      <c r="U25" s="12">
        <f t="shared" si="0"/>
        <v>7.0918423680637055</v>
      </c>
      <c r="V25" s="30">
        <f t="shared" si="1"/>
        <v>0.50344438356164378</v>
      </c>
      <c r="W25" s="46">
        <f t="shared" si="2"/>
        <v>-7.3142439778305729E-2</v>
      </c>
      <c r="X25" s="33">
        <f t="shared" si="3"/>
        <v>2.8514925468576324E-2</v>
      </c>
    </row>
    <row r="26" spans="1:24" x14ac:dyDescent="0.25">
      <c r="A26" s="5">
        <v>20</v>
      </c>
      <c r="B26" s="16">
        <v>46553</v>
      </c>
      <c r="C26" s="6">
        <v>1.115</v>
      </c>
      <c r="D26" s="6">
        <v>4</v>
      </c>
      <c r="E26" s="6">
        <v>44</v>
      </c>
      <c r="F26" s="6">
        <v>5.1150000000000002</v>
      </c>
      <c r="G26" s="45">
        <f t="shared" si="5"/>
        <v>46553</v>
      </c>
      <c r="H26" s="21"/>
      <c r="S26" s="44">
        <f t="shared" si="4"/>
        <v>43076</v>
      </c>
      <c r="T26" s="12">
        <f>DurMod(S26,B$2,$F$7:$G$37,$T$3)</f>
        <v>7.3115668955290349</v>
      </c>
      <c r="U26" s="12">
        <f t="shared" si="0"/>
        <v>7.0891911913389158</v>
      </c>
      <c r="V26" s="30">
        <f t="shared" si="1"/>
        <v>0.50341698630136988</v>
      </c>
      <c r="W26" s="46">
        <f t="shared" si="2"/>
        <v>-7.3115668955290342E-2</v>
      </c>
      <c r="X26" s="33">
        <f t="shared" si="3"/>
        <v>2.8514883956303385E-2</v>
      </c>
    </row>
    <row r="27" spans="1:24" x14ac:dyDescent="0.25">
      <c r="A27" s="5">
        <v>21</v>
      </c>
      <c r="B27" s="16">
        <v>46736</v>
      </c>
      <c r="C27" s="6">
        <v>1.022</v>
      </c>
      <c r="D27" s="6">
        <v>4</v>
      </c>
      <c r="E27" s="6">
        <v>40</v>
      </c>
      <c r="F27" s="6">
        <v>5.0220000000000002</v>
      </c>
      <c r="G27" s="45">
        <f t="shared" si="5"/>
        <v>46736</v>
      </c>
      <c r="H27" s="21"/>
      <c r="S27" s="44">
        <f t="shared" si="4"/>
        <v>43077</v>
      </c>
      <c r="T27" s="12">
        <f>DurMod(S27,B$2,$F$7:$G$37,$T$3)</f>
        <v>7.3088898132274904</v>
      </c>
      <c r="U27" s="12">
        <f t="shared" si="0"/>
        <v>7.0865400146141244</v>
      </c>
      <c r="V27" s="30">
        <f t="shared" si="1"/>
        <v>0.50338958904109576</v>
      </c>
      <c r="W27" s="46">
        <f t="shared" si="2"/>
        <v>-7.3088898132274899E-2</v>
      </c>
      <c r="X27" s="33">
        <f t="shared" si="3"/>
        <v>2.8514842444030429E-2</v>
      </c>
    </row>
    <row r="28" spans="1:24" x14ac:dyDescent="0.25">
      <c r="A28" s="5">
        <v>22</v>
      </c>
      <c r="B28" s="16">
        <v>46919</v>
      </c>
      <c r="C28" s="6">
        <v>0.92900000000000005</v>
      </c>
      <c r="D28" s="6">
        <v>4</v>
      </c>
      <c r="E28" s="6">
        <v>36</v>
      </c>
      <c r="F28" s="6">
        <v>4.9290000000000003</v>
      </c>
      <c r="G28" s="45">
        <f t="shared" si="5"/>
        <v>46919</v>
      </c>
      <c r="S28" s="44">
        <f t="shared" si="4"/>
        <v>43078</v>
      </c>
      <c r="T28" s="12">
        <f>DurMod(S28,B$2,$F$7:$G$37,$T$3)</f>
        <v>7.3062127309259512</v>
      </c>
      <c r="U28" s="12">
        <f t="shared" si="0"/>
        <v>7.0838888378893357</v>
      </c>
      <c r="V28" s="30">
        <f t="shared" si="1"/>
        <v>0.50336219178082187</v>
      </c>
      <c r="W28" s="46">
        <f t="shared" si="2"/>
        <v>-7.3062127309259497E-2</v>
      </c>
      <c r="X28" s="33">
        <f t="shared" si="3"/>
        <v>2.851480093175749E-2</v>
      </c>
    </row>
    <row r="29" spans="1:24" x14ac:dyDescent="0.25">
      <c r="A29" s="5">
        <v>23</v>
      </c>
      <c r="B29" s="16">
        <v>47102</v>
      </c>
      <c r="C29" s="6">
        <v>0.83599999999999997</v>
      </c>
      <c r="D29" s="6">
        <v>4</v>
      </c>
      <c r="E29" s="6">
        <v>32</v>
      </c>
      <c r="F29" s="6">
        <v>4.8360000000000003</v>
      </c>
      <c r="G29" s="45">
        <f t="shared" si="5"/>
        <v>47102</v>
      </c>
      <c r="S29" s="44">
        <f t="shared" si="4"/>
        <v>43079</v>
      </c>
      <c r="T29" s="12">
        <f>DurMod(S29,B$2,$F$7:$G$37,$T$3)</f>
        <v>7.3035356486244103</v>
      </c>
      <c r="U29" s="12">
        <f t="shared" si="0"/>
        <v>7.0812376611645469</v>
      </c>
      <c r="V29" s="30">
        <f t="shared" si="1"/>
        <v>0.50333479452054797</v>
      </c>
      <c r="W29" s="46">
        <f t="shared" si="2"/>
        <v>-7.3035356486244096E-2</v>
      </c>
      <c r="X29" s="33">
        <f t="shared" si="3"/>
        <v>2.8514759419484548E-2</v>
      </c>
    </row>
    <row r="30" spans="1:24" x14ac:dyDescent="0.25">
      <c r="A30" s="5">
        <v>24</v>
      </c>
      <c r="B30" s="16">
        <v>47284</v>
      </c>
      <c r="C30" s="6">
        <v>0.74299999999999999</v>
      </c>
      <c r="D30" s="6">
        <v>4</v>
      </c>
      <c r="E30" s="6">
        <v>28</v>
      </c>
      <c r="F30" s="6">
        <v>4.7430000000000003</v>
      </c>
      <c r="G30" s="45">
        <f t="shared" si="5"/>
        <v>47284</v>
      </c>
      <c r="S30" s="44">
        <f t="shared" si="4"/>
        <v>43080</v>
      </c>
      <c r="T30" s="12">
        <f>DurMod(S30,B$2,$F$7:$G$37,$T$3)</f>
        <v>7.3008585663228693</v>
      </c>
      <c r="U30" s="12">
        <f t="shared" si="0"/>
        <v>7.0785864844397581</v>
      </c>
      <c r="V30" s="30">
        <f t="shared" si="1"/>
        <v>0.50330739726027385</v>
      </c>
      <c r="W30" s="46">
        <f t="shared" si="2"/>
        <v>-7.3008585663228681E-2</v>
      </c>
      <c r="X30" s="33">
        <f t="shared" si="3"/>
        <v>2.8514717907211603E-2</v>
      </c>
    </row>
    <row r="31" spans="1:24" x14ac:dyDescent="0.25">
      <c r="A31" s="5">
        <v>25</v>
      </c>
      <c r="B31" s="16">
        <v>47467</v>
      </c>
      <c r="C31" s="6">
        <v>0.65</v>
      </c>
      <c r="D31" s="6">
        <v>4</v>
      </c>
      <c r="E31" s="6">
        <v>24</v>
      </c>
      <c r="F31" s="6">
        <v>4.6500000000000004</v>
      </c>
      <c r="G31" s="45">
        <f t="shared" si="5"/>
        <v>47467</v>
      </c>
      <c r="S31" s="44">
        <f t="shared" si="4"/>
        <v>43081</v>
      </c>
      <c r="T31" s="12">
        <f>DurMod(S31,B$2,$F$7:$G$37,$T$3)</f>
        <v>7.2981814840213284</v>
      </c>
      <c r="U31" s="12">
        <f t="shared" si="0"/>
        <v>7.0759353077149667</v>
      </c>
      <c r="V31" s="30">
        <f t="shared" si="1"/>
        <v>0.50327999999999995</v>
      </c>
      <c r="W31" s="46">
        <f t="shared" si="2"/>
        <v>-7.2981814840213266E-2</v>
      </c>
      <c r="X31" s="33">
        <f t="shared" si="3"/>
        <v>2.8514676394938661E-2</v>
      </c>
    </row>
    <row r="32" spans="1:24" x14ac:dyDescent="0.25">
      <c r="A32" s="5">
        <v>26</v>
      </c>
      <c r="B32" s="16">
        <v>47649</v>
      </c>
      <c r="C32" s="6">
        <v>0.55800000000000005</v>
      </c>
      <c r="D32" s="6">
        <v>4</v>
      </c>
      <c r="E32" s="6">
        <v>20</v>
      </c>
      <c r="F32" s="6">
        <v>4.5579999999999998</v>
      </c>
      <c r="G32" s="45">
        <f t="shared" si="5"/>
        <v>47649</v>
      </c>
      <c r="S32" s="44">
        <f t="shared" si="4"/>
        <v>43082</v>
      </c>
      <c r="T32" s="12">
        <f>DurMod(S32,B$2,$F$7:$G$37,$T$3)</f>
        <v>7.2955044017197892</v>
      </c>
      <c r="U32" s="12">
        <f t="shared" si="0"/>
        <v>7.0732841309901788</v>
      </c>
      <c r="V32" s="30">
        <f t="shared" si="1"/>
        <v>0.50325260273972594</v>
      </c>
      <c r="W32" s="46">
        <f t="shared" si="2"/>
        <v>-7.2955044017197879E-2</v>
      </c>
      <c r="X32" s="33">
        <f t="shared" si="3"/>
        <v>2.8514634882665715E-2</v>
      </c>
    </row>
    <row r="33" spans="1:24" x14ac:dyDescent="0.25">
      <c r="A33" s="5">
        <v>27</v>
      </c>
      <c r="B33" s="16">
        <v>47832</v>
      </c>
      <c r="C33" s="6">
        <v>0.46500000000000002</v>
      </c>
      <c r="D33" s="6">
        <v>4</v>
      </c>
      <c r="E33" s="6">
        <v>16</v>
      </c>
      <c r="F33" s="6">
        <v>4.4649999999999999</v>
      </c>
      <c r="G33" s="45">
        <f t="shared" si="5"/>
        <v>47832</v>
      </c>
      <c r="S33" s="44">
        <f t="shared" si="4"/>
        <v>43083</v>
      </c>
      <c r="T33" s="12">
        <f>DurMod(S33,B$2,$F$7:$G$37,$T$3)</f>
        <v>7.2928273194182465</v>
      </c>
      <c r="U33" s="12">
        <f t="shared" si="0"/>
        <v>7.0706329542653892</v>
      </c>
      <c r="V33" s="30">
        <f t="shared" si="1"/>
        <v>0.50322520547945204</v>
      </c>
      <c r="W33" s="46">
        <f t="shared" si="2"/>
        <v>-7.292827319418245E-2</v>
      </c>
      <c r="X33" s="33">
        <f t="shared" si="3"/>
        <v>2.8514593370392777E-2</v>
      </c>
    </row>
    <row r="34" spans="1:24" x14ac:dyDescent="0.25">
      <c r="A34" s="5">
        <v>28</v>
      </c>
      <c r="B34" s="16">
        <v>48014</v>
      </c>
      <c r="C34" s="6">
        <v>0.372</v>
      </c>
      <c r="D34" s="6">
        <v>4</v>
      </c>
      <c r="E34" s="6">
        <v>12</v>
      </c>
      <c r="F34" s="6">
        <v>4.3719999999999999</v>
      </c>
      <c r="G34" s="45">
        <f t="shared" si="5"/>
        <v>48014</v>
      </c>
      <c r="S34" s="44">
        <f t="shared" si="4"/>
        <v>43084</v>
      </c>
      <c r="T34" s="12">
        <f>DurMod(S34,B$2,$F$7:$G$37,$T$3)</f>
        <v>7.4331301022458192</v>
      </c>
      <c r="U34" s="12">
        <f t="shared" si="0"/>
        <v>7.2171389309375664</v>
      </c>
      <c r="V34" s="30">
        <f t="shared" si="1"/>
        <v>0.50319780821917803</v>
      </c>
      <c r="W34" s="46">
        <f t="shared" si="2"/>
        <v>-7.4331301022458177E-2</v>
      </c>
      <c r="X34" s="33">
        <f t="shared" si="3"/>
        <v>2.8419803036819673E-2</v>
      </c>
    </row>
    <row r="35" spans="1:24" x14ac:dyDescent="0.25">
      <c r="A35" s="5">
        <v>29</v>
      </c>
      <c r="B35" s="16">
        <v>48197</v>
      </c>
      <c r="C35" s="6">
        <v>0.27900000000000003</v>
      </c>
      <c r="D35" s="6">
        <v>4</v>
      </c>
      <c r="E35" s="6">
        <v>8</v>
      </c>
      <c r="F35" s="6">
        <v>4.2789999999999999</v>
      </c>
      <c r="G35" s="45">
        <f t="shared" si="5"/>
        <v>48197</v>
      </c>
      <c r="S35" s="44">
        <f t="shared" si="4"/>
        <v>43085</v>
      </c>
      <c r="T35" s="12">
        <f>DurMod(S35,B$2,$F$7:$G$37,$T$3)</f>
        <v>7.4304530199442773</v>
      </c>
      <c r="U35" s="12">
        <f t="shared" si="0"/>
        <v>7.214487754212775</v>
      </c>
      <c r="V35" s="30">
        <f t="shared" si="1"/>
        <v>0.50317041095890402</v>
      </c>
      <c r="W35" s="46">
        <f t="shared" si="2"/>
        <v>-7.4304530199442761E-2</v>
      </c>
      <c r="X35" s="33">
        <f t="shared" si="3"/>
        <v>2.841976152454672E-2</v>
      </c>
    </row>
    <row r="36" spans="1:24" x14ac:dyDescent="0.25">
      <c r="A36" s="5">
        <v>30</v>
      </c>
      <c r="B36" s="16">
        <v>48380</v>
      </c>
      <c r="C36" s="6">
        <v>0.186</v>
      </c>
      <c r="D36" s="6">
        <v>4</v>
      </c>
      <c r="E36" s="6">
        <v>4</v>
      </c>
      <c r="F36" s="6">
        <v>4.1859999999999999</v>
      </c>
      <c r="G36" s="45">
        <f t="shared" si="5"/>
        <v>48380</v>
      </c>
      <c r="S36" s="44">
        <f t="shared" si="4"/>
        <v>43086</v>
      </c>
      <c r="T36" s="12">
        <f>DurMod(S36,B$2,$F$7:$G$37,$T$3)</f>
        <v>7.4277759376427364</v>
      </c>
      <c r="U36" s="12">
        <f t="shared" si="0"/>
        <v>7.2118365774879889</v>
      </c>
      <c r="V36" s="30">
        <f t="shared" si="1"/>
        <v>0.50314301369863024</v>
      </c>
      <c r="W36" s="46">
        <f t="shared" si="2"/>
        <v>-7.4277759376427346E-2</v>
      </c>
      <c r="X36" s="33">
        <f t="shared" si="3"/>
        <v>2.8419720012273796E-2</v>
      </c>
    </row>
    <row r="37" spans="1:24" ht="15.75" thickBot="1" x14ac:dyDescent="0.3">
      <c r="A37" s="8">
        <v>31</v>
      </c>
      <c r="B37" s="18">
        <v>48563</v>
      </c>
      <c r="C37" s="9">
        <v>9.2999999999999999E-2</v>
      </c>
      <c r="D37" s="9">
        <v>4</v>
      </c>
      <c r="E37" s="9">
        <v>0</v>
      </c>
      <c r="F37" s="9">
        <v>4.093</v>
      </c>
      <c r="G37" s="10">
        <f t="shared" si="5"/>
        <v>48563</v>
      </c>
      <c r="S37" s="44">
        <f t="shared" si="4"/>
        <v>43087</v>
      </c>
      <c r="T37" s="12">
        <f>DurMod(S37,B$2,$F$7:$G$37,$T$3)</f>
        <v>7.4250988553411927</v>
      </c>
      <c r="U37" s="12">
        <f t="shared" si="0"/>
        <v>7.2091854007631957</v>
      </c>
      <c r="V37" s="30">
        <f t="shared" si="1"/>
        <v>0.50311561643835612</v>
      </c>
      <c r="W37" s="46">
        <f t="shared" si="2"/>
        <v>-7.4250988553411917E-2</v>
      </c>
      <c r="X37" s="33">
        <f t="shared" si="3"/>
        <v>2.8419678500000836E-2</v>
      </c>
    </row>
    <row r="38" spans="1:24" x14ac:dyDescent="0.25">
      <c r="S38" s="44">
        <f t="shared" si="4"/>
        <v>43088</v>
      </c>
      <c r="T38" s="12">
        <f>DurMod(S38,B$2,$F$7:$G$37,$T$3)</f>
        <v>7.4224217730396536</v>
      </c>
      <c r="U38" s="12">
        <f t="shared" si="0"/>
        <v>7.2065342240384052</v>
      </c>
      <c r="V38" s="30">
        <f t="shared" si="1"/>
        <v>0.50308821917808222</v>
      </c>
      <c r="W38" s="46">
        <f t="shared" si="2"/>
        <v>-7.422421773039653E-2</v>
      </c>
      <c r="X38" s="33">
        <f t="shared" si="3"/>
        <v>2.8419636987727901E-2</v>
      </c>
    </row>
    <row r="39" spans="1:24" x14ac:dyDescent="0.25">
      <c r="S39" s="44">
        <f t="shared" si="4"/>
        <v>43089</v>
      </c>
      <c r="T39" s="12">
        <f>DurMod(S39,B$2,$F$7:$G$37,$T$3)</f>
        <v>7.4197446907381126</v>
      </c>
      <c r="U39" s="12">
        <f t="shared" si="0"/>
        <v>7.2038830473136191</v>
      </c>
      <c r="V39" s="30">
        <f t="shared" si="1"/>
        <v>0.50306082191780821</v>
      </c>
      <c r="W39" s="46">
        <f t="shared" si="2"/>
        <v>-7.4197446907381115E-2</v>
      </c>
      <c r="X39" s="33">
        <f t="shared" si="3"/>
        <v>2.8419595475454952E-2</v>
      </c>
    </row>
    <row r="40" spans="1:24" x14ac:dyDescent="0.25">
      <c r="S40" s="44">
        <f t="shared" si="4"/>
        <v>43090</v>
      </c>
      <c r="T40" s="12">
        <f>DurMod(S40,B$2,$F$7:$G$37,$T$3)</f>
        <v>7.417067608436569</v>
      </c>
      <c r="U40" s="12">
        <f t="shared" si="0"/>
        <v>7.2012318705888267</v>
      </c>
      <c r="V40" s="30">
        <f t="shared" si="1"/>
        <v>0.50303342465753431</v>
      </c>
      <c r="W40" s="46">
        <f t="shared" si="2"/>
        <v>-7.4170676084365672E-2</v>
      </c>
      <c r="X40" s="33">
        <f t="shared" si="3"/>
        <v>2.8419553963182017E-2</v>
      </c>
    </row>
    <row r="41" spans="1:24" x14ac:dyDescent="0.25">
      <c r="S41" s="44">
        <f t="shared" si="4"/>
        <v>43091</v>
      </c>
      <c r="T41" s="12">
        <f>DurMod(S41,B$2,$F$7:$G$37,$T$3)</f>
        <v>7.4143905261350298</v>
      </c>
      <c r="U41" s="12">
        <f t="shared" si="0"/>
        <v>7.1985806938640371</v>
      </c>
      <c r="V41" s="30">
        <f t="shared" si="1"/>
        <v>0.5030060273972603</v>
      </c>
      <c r="W41" s="46">
        <f t="shared" si="2"/>
        <v>-7.4143905261350285E-2</v>
      </c>
      <c r="X41" s="33">
        <f t="shared" si="3"/>
        <v>2.8419512450909068E-2</v>
      </c>
    </row>
    <row r="42" spans="1:24" x14ac:dyDescent="0.25">
      <c r="S42" s="44">
        <f t="shared" si="4"/>
        <v>43092</v>
      </c>
      <c r="T42" s="12">
        <f>DurMod(S42,B$2,$F$7:$G$37,$T$3)</f>
        <v>7.4117134438334906</v>
      </c>
      <c r="U42" s="12">
        <f t="shared" si="0"/>
        <v>7.1959295171392492</v>
      </c>
      <c r="V42" s="30">
        <f t="shared" si="1"/>
        <v>0.50297863013698629</v>
      </c>
      <c r="W42" s="46">
        <f t="shared" si="2"/>
        <v>-7.4117134438334897E-2</v>
      </c>
      <c r="X42" s="33">
        <f t="shared" si="3"/>
        <v>2.8419470938636122E-2</v>
      </c>
    </row>
    <row r="43" spans="1:24" x14ac:dyDescent="0.25">
      <c r="S43" s="44">
        <f t="shared" si="4"/>
        <v>43093</v>
      </c>
      <c r="T43" s="12">
        <f>DurMod(S43,B$2,$F$7:$G$37,$T$3)</f>
        <v>7.4090363615319479</v>
      </c>
      <c r="U43" s="12">
        <f t="shared" si="0"/>
        <v>7.1932783404144578</v>
      </c>
      <c r="V43" s="30">
        <f t="shared" si="1"/>
        <v>0.5029512328767124</v>
      </c>
      <c r="W43" s="46">
        <f t="shared" si="2"/>
        <v>-7.4090363615319468E-2</v>
      </c>
      <c r="X43" s="33">
        <f t="shared" si="3"/>
        <v>2.8419429426363187E-2</v>
      </c>
    </row>
    <row r="44" spans="1:24" x14ac:dyDescent="0.25">
      <c r="S44" s="44">
        <f t="shared" si="4"/>
        <v>43094</v>
      </c>
      <c r="T44" s="12">
        <f>DurMod(S44,B$2,$F$7:$G$37,$T$3)</f>
        <v>7.4063592792304069</v>
      </c>
      <c r="U44" s="12">
        <f t="shared" si="0"/>
        <v>7.1906271636896699</v>
      </c>
      <c r="V44" s="30">
        <f t="shared" si="1"/>
        <v>0.50292383561643828</v>
      </c>
      <c r="W44" s="46">
        <f t="shared" si="2"/>
        <v>-7.4063592792304053E-2</v>
      </c>
      <c r="X44" s="33">
        <f t="shared" si="3"/>
        <v>2.8419387914090228E-2</v>
      </c>
    </row>
    <row r="45" spans="1:24" x14ac:dyDescent="0.25">
      <c r="S45" s="44">
        <f t="shared" si="4"/>
        <v>43095</v>
      </c>
      <c r="T45" s="12">
        <f>DurMod(S45,B$2,$F$7:$G$37,$T$3)</f>
        <v>7.4036821969288651</v>
      </c>
      <c r="U45" s="12">
        <f t="shared" si="0"/>
        <v>7.1879759869648776</v>
      </c>
      <c r="V45" s="30">
        <f t="shared" si="1"/>
        <v>0.50289643835616438</v>
      </c>
      <c r="W45" s="46">
        <f t="shared" si="2"/>
        <v>-7.4036821969288638E-2</v>
      </c>
      <c r="X45" s="33">
        <f t="shared" si="3"/>
        <v>2.8419346401817293E-2</v>
      </c>
    </row>
    <row r="46" spans="1:24" x14ac:dyDescent="0.25">
      <c r="S46" s="44">
        <f t="shared" si="4"/>
        <v>43096</v>
      </c>
      <c r="T46" s="12">
        <f>DurMod(S46,B$2,$F$7:$G$37,$T$3)</f>
        <v>7.401005114627325</v>
      </c>
      <c r="U46" s="12">
        <f t="shared" si="0"/>
        <v>7.1853248102400915</v>
      </c>
      <c r="V46" s="30">
        <f t="shared" si="1"/>
        <v>0.50286904109589048</v>
      </c>
      <c r="W46" s="46">
        <f t="shared" si="2"/>
        <v>-7.4010051146273237E-2</v>
      </c>
      <c r="X46" s="33">
        <f t="shared" si="3"/>
        <v>2.8419304889544354E-2</v>
      </c>
    </row>
    <row r="47" spans="1:24" x14ac:dyDescent="0.25">
      <c r="S47" s="44">
        <f t="shared" si="4"/>
        <v>43097</v>
      </c>
      <c r="T47" s="12">
        <f>DurMod(S47,B$2,$F$7:$G$37,$T$3)</f>
        <v>7.3983280323257814</v>
      </c>
      <c r="U47" s="12">
        <f t="shared" si="0"/>
        <v>7.1826736335153036</v>
      </c>
      <c r="V47" s="30">
        <f t="shared" si="1"/>
        <v>0.50284164383561647</v>
      </c>
      <c r="W47" s="46">
        <f t="shared" si="2"/>
        <v>-7.3983280323257808E-2</v>
      </c>
      <c r="X47" s="33">
        <f t="shared" si="3"/>
        <v>2.8419263377271409E-2</v>
      </c>
    </row>
    <row r="48" spans="1:24" x14ac:dyDescent="0.25">
      <c r="S48" s="44">
        <f t="shared" si="4"/>
        <v>43098</v>
      </c>
      <c r="T48" s="12">
        <f>DurMod(S48,B$2,$F$7:$G$37,$T$3)</f>
        <v>7.395650950024244</v>
      </c>
      <c r="U48" s="12">
        <f t="shared" si="0"/>
        <v>7.1800224567905122</v>
      </c>
      <c r="V48" s="30">
        <f t="shared" si="1"/>
        <v>0.50281424657534246</v>
      </c>
      <c r="W48" s="46">
        <f t="shared" si="2"/>
        <v>-7.3956509500242434E-2</v>
      </c>
      <c r="X48" s="33">
        <f t="shared" si="3"/>
        <v>2.8419221864998456E-2</v>
      </c>
    </row>
    <row r="49" spans="19:24" x14ac:dyDescent="0.25">
      <c r="S49" s="44">
        <f t="shared" si="4"/>
        <v>43099</v>
      </c>
      <c r="T49" s="12">
        <f>DurMod(S49,B$2,$F$7:$G$37,$T$3)</f>
        <v>7.3929738677227022</v>
      </c>
      <c r="U49" s="12">
        <f t="shared" si="0"/>
        <v>7.1773712800657261</v>
      </c>
      <c r="V49" s="30">
        <f t="shared" si="1"/>
        <v>0.50278684931506845</v>
      </c>
      <c r="W49" s="46">
        <f t="shared" si="2"/>
        <v>-7.3929738677227005E-2</v>
      </c>
      <c r="X49" s="33">
        <f t="shared" si="3"/>
        <v>2.8419180352725514E-2</v>
      </c>
    </row>
    <row r="50" spans="19:24" x14ac:dyDescent="0.25">
      <c r="S50" s="44">
        <f t="shared" si="4"/>
        <v>43100</v>
      </c>
      <c r="T50" s="12">
        <f>DurMod(S50,B$2,$F$7:$G$37,$T$3)</f>
        <v>7.3902967854211585</v>
      </c>
      <c r="U50" s="12">
        <f t="shared" si="0"/>
        <v>7.174720103340932</v>
      </c>
      <c r="V50" s="30">
        <f t="shared" si="1"/>
        <v>0.50275945205479455</v>
      </c>
      <c r="W50" s="46">
        <f t="shared" si="2"/>
        <v>-7.3902967854211576E-2</v>
      </c>
      <c r="X50" s="33">
        <f t="shared" si="3"/>
        <v>2.8419138840452576E-2</v>
      </c>
    </row>
    <row r="51" spans="19:24" x14ac:dyDescent="0.25">
      <c r="S51" s="44">
        <f t="shared" si="4"/>
        <v>43101</v>
      </c>
      <c r="T51" s="12">
        <f>DurMod(S51,B$2,$F$7:$G$37,$T$3)</f>
        <v>7.3876197031196176</v>
      </c>
      <c r="U51" s="12">
        <f t="shared" si="0"/>
        <v>7.172068926616145</v>
      </c>
      <c r="V51" s="30">
        <f t="shared" si="1"/>
        <v>0.50273205479452054</v>
      </c>
      <c r="W51" s="46">
        <f t="shared" si="2"/>
        <v>-7.3876197031196161E-2</v>
      </c>
      <c r="X51" s="33">
        <f t="shared" si="3"/>
        <v>2.841909732817963E-2</v>
      </c>
    </row>
    <row r="52" spans="19:24" x14ac:dyDescent="0.25">
      <c r="S52" s="44">
        <f t="shared" si="4"/>
        <v>43102</v>
      </c>
      <c r="T52" s="12">
        <f>DurMod(S52,B$2,$F$7:$G$37,$T$3)</f>
        <v>7.3849426208180748</v>
      </c>
      <c r="U52" s="12">
        <f t="shared" si="0"/>
        <v>7.1694177498913536</v>
      </c>
      <c r="V52" s="30">
        <f t="shared" si="1"/>
        <v>0.50270465753424665</v>
      </c>
      <c r="W52" s="46">
        <f t="shared" si="2"/>
        <v>-7.3849426208180732E-2</v>
      </c>
      <c r="X52" s="33">
        <f t="shared" si="3"/>
        <v>2.8419055815906692E-2</v>
      </c>
    </row>
    <row r="53" spans="19:24" x14ac:dyDescent="0.25">
      <c r="S53" s="44">
        <f t="shared" si="4"/>
        <v>43103</v>
      </c>
      <c r="T53" s="12">
        <f>DurMod(S53,B$2,$F$7:$G$37,$T$3)</f>
        <v>7.3822655385165366</v>
      </c>
      <c r="U53" s="12">
        <f t="shared" si="0"/>
        <v>7.1667665731665684</v>
      </c>
      <c r="V53" s="30">
        <f t="shared" si="1"/>
        <v>0.50267726027397264</v>
      </c>
      <c r="W53" s="46">
        <f t="shared" si="2"/>
        <v>-7.3822655385165359E-2</v>
      </c>
      <c r="X53" s="33">
        <f t="shared" si="3"/>
        <v>2.8419014303633746E-2</v>
      </c>
    </row>
    <row r="54" spans="19:24" x14ac:dyDescent="0.25">
      <c r="S54" s="44">
        <f t="shared" si="4"/>
        <v>43104</v>
      </c>
      <c r="T54" s="12">
        <f>DurMod(S54,B$2,$F$7:$G$37,$T$3)</f>
        <v>7.3795884562149938</v>
      </c>
      <c r="U54" s="12">
        <f t="shared" si="0"/>
        <v>7.1641153964417787</v>
      </c>
      <c r="V54" s="30">
        <f t="shared" si="1"/>
        <v>0.50264986301369863</v>
      </c>
      <c r="W54" s="46">
        <f t="shared" si="2"/>
        <v>-7.379588456214993E-2</v>
      </c>
      <c r="X54" s="33">
        <f t="shared" si="3"/>
        <v>2.8418972791360797E-2</v>
      </c>
    </row>
    <row r="55" spans="19:24" x14ac:dyDescent="0.25">
      <c r="S55" s="44">
        <f t="shared" si="4"/>
        <v>43105</v>
      </c>
      <c r="T55" s="12">
        <f>DurMod(S55,B$2,$F$7:$G$37,$T$3)</f>
        <v>7.3769113739134511</v>
      </c>
      <c r="U55" s="12">
        <f t="shared" si="0"/>
        <v>7.1614642197169882</v>
      </c>
      <c r="V55" s="30">
        <f t="shared" si="1"/>
        <v>0.50262246575342462</v>
      </c>
      <c r="W55" s="46">
        <f t="shared" si="2"/>
        <v>-7.3769113739134501E-2</v>
      </c>
      <c r="X55" s="33">
        <f t="shared" si="3"/>
        <v>2.8418931279087851E-2</v>
      </c>
    </row>
    <row r="56" spans="19:24" x14ac:dyDescent="0.25">
      <c r="S56" s="44">
        <f t="shared" si="4"/>
        <v>43106</v>
      </c>
      <c r="T56" s="12">
        <f>DurMod(S56,B$2,$F$7:$G$37,$T$3)</f>
        <v>7.3742342916119092</v>
      </c>
      <c r="U56" s="12">
        <f t="shared" si="0"/>
        <v>7.1588130429921986</v>
      </c>
      <c r="V56" s="30">
        <f t="shared" si="1"/>
        <v>0.50259506849315072</v>
      </c>
      <c r="W56" s="46">
        <f t="shared" si="2"/>
        <v>-7.3742342916119086E-2</v>
      </c>
      <c r="X56" s="33">
        <f t="shared" si="3"/>
        <v>2.8418889766814913E-2</v>
      </c>
    </row>
    <row r="57" spans="19:24" x14ac:dyDescent="0.25">
      <c r="S57" s="44">
        <f t="shared" si="4"/>
        <v>43107</v>
      </c>
      <c r="T57" s="12">
        <f>DurMod(S57,B$2,$F$7:$G$37,$T$3)</f>
        <v>7.3715572093103692</v>
      </c>
      <c r="U57" s="12">
        <f t="shared" si="0"/>
        <v>7.1561618662674107</v>
      </c>
      <c r="V57" s="30">
        <f t="shared" si="1"/>
        <v>0.50256767123287671</v>
      </c>
      <c r="W57" s="46">
        <f t="shared" si="2"/>
        <v>-7.3715572093103685E-2</v>
      </c>
      <c r="X57" s="33">
        <f t="shared" si="3"/>
        <v>2.8418848254541967E-2</v>
      </c>
    </row>
    <row r="58" spans="19:24" x14ac:dyDescent="0.25">
      <c r="S58" s="44">
        <f t="shared" si="4"/>
        <v>43108</v>
      </c>
      <c r="T58" s="12">
        <f>DurMod(S58,B$2,$F$7:$G$37,$T$3)</f>
        <v>7.3688801270088318</v>
      </c>
      <c r="U58" s="12">
        <f t="shared" si="0"/>
        <v>7.1535106895426228</v>
      </c>
      <c r="V58" s="30">
        <f t="shared" si="1"/>
        <v>0.5025402739726027</v>
      </c>
      <c r="W58" s="46">
        <f t="shared" si="2"/>
        <v>-7.3688801270088311E-2</v>
      </c>
      <c r="X58" s="33">
        <f t="shared" si="3"/>
        <v>2.8418806742269018E-2</v>
      </c>
    </row>
    <row r="59" spans="19:24" x14ac:dyDescent="0.25">
      <c r="S59" s="44">
        <f t="shared" si="4"/>
        <v>43109</v>
      </c>
      <c r="T59" s="12">
        <f>DurMod(S59,B$2,$F$7:$G$37,$T$3)</f>
        <v>7.3662030447072882</v>
      </c>
      <c r="U59" s="12">
        <f t="shared" si="0"/>
        <v>7.1508595128178314</v>
      </c>
      <c r="V59" s="30">
        <f t="shared" si="1"/>
        <v>0.5025128767123288</v>
      </c>
      <c r="W59" s="46">
        <f t="shared" si="2"/>
        <v>-7.3662030447072868E-2</v>
      </c>
      <c r="X59" s="33">
        <f t="shared" si="3"/>
        <v>2.8418765229996083E-2</v>
      </c>
    </row>
    <row r="60" spans="19:24" x14ac:dyDescent="0.25">
      <c r="S60" s="44">
        <f t="shared" si="4"/>
        <v>43110</v>
      </c>
      <c r="T60" s="12">
        <f>DurMod(S60,B$2,$F$7:$G$37,$T$3)</f>
        <v>7.363525962405749</v>
      </c>
      <c r="U60" s="12">
        <f t="shared" si="0"/>
        <v>7.1482083360930417</v>
      </c>
      <c r="V60" s="30">
        <f t="shared" si="1"/>
        <v>0.5024854794520548</v>
      </c>
      <c r="W60" s="46">
        <f t="shared" si="2"/>
        <v>-7.3635259624057481E-2</v>
      </c>
      <c r="X60" s="33">
        <f t="shared" si="3"/>
        <v>2.8418723717723134E-2</v>
      </c>
    </row>
    <row r="61" spans="19:24" x14ac:dyDescent="0.25">
      <c r="S61" s="44">
        <f t="shared" si="4"/>
        <v>43111</v>
      </c>
      <c r="T61" s="12">
        <f>DurMod(S61,B$2,$F$7:$G$37,$T$3)</f>
        <v>7.360848880104208</v>
      </c>
      <c r="U61" s="12">
        <f t="shared" si="0"/>
        <v>7.1455571593682521</v>
      </c>
      <c r="V61" s="30">
        <f t="shared" si="1"/>
        <v>0.50245808219178079</v>
      </c>
      <c r="W61" s="46">
        <f t="shared" si="2"/>
        <v>-7.3608488801042066E-2</v>
      </c>
      <c r="X61" s="33">
        <f t="shared" si="3"/>
        <v>2.8418682205450185E-2</v>
      </c>
    </row>
    <row r="62" spans="19:24" x14ac:dyDescent="0.25">
      <c r="S62" s="44">
        <f t="shared" si="4"/>
        <v>43112</v>
      </c>
      <c r="T62" s="12">
        <f>DurMod(S62,B$2,$F$7:$G$37,$T$3)</f>
        <v>7.3581717978026662</v>
      </c>
      <c r="U62" s="12">
        <f t="shared" si="0"/>
        <v>7.1429059826434624</v>
      </c>
      <c r="V62" s="30">
        <f t="shared" si="1"/>
        <v>0.50243068493150689</v>
      </c>
      <c r="W62" s="46">
        <f t="shared" si="2"/>
        <v>-7.3581717978026651E-2</v>
      </c>
      <c r="X62" s="33">
        <f t="shared" si="3"/>
        <v>2.8418640693177247E-2</v>
      </c>
    </row>
    <row r="63" spans="19:24" x14ac:dyDescent="0.25">
      <c r="S63" s="44">
        <f t="shared" si="4"/>
        <v>43113</v>
      </c>
      <c r="T63" s="12">
        <f>DurMod(S63,B$2,$F$7:$G$37,$T$3)</f>
        <v>7.3554947155011217</v>
      </c>
      <c r="U63" s="12">
        <f t="shared" si="0"/>
        <v>7.1402548059186746</v>
      </c>
      <c r="V63" s="30">
        <f t="shared" si="1"/>
        <v>0.50240328767123288</v>
      </c>
      <c r="W63" s="46">
        <f t="shared" si="2"/>
        <v>-7.3554947155011208E-2</v>
      </c>
      <c r="X63" s="33">
        <f t="shared" si="3"/>
        <v>2.8418599180904305E-2</v>
      </c>
    </row>
    <row r="64" spans="19:24" x14ac:dyDescent="0.25">
      <c r="S64" s="44">
        <f t="shared" si="4"/>
        <v>43114</v>
      </c>
      <c r="T64" s="12">
        <f>DurMod(S64,B$2,$F$7:$G$37,$T$3)</f>
        <v>7.3528176331995816</v>
      </c>
      <c r="U64" s="12">
        <f t="shared" si="0"/>
        <v>7.1376036291938831</v>
      </c>
      <c r="V64" s="30">
        <f t="shared" si="1"/>
        <v>0.50237589041095887</v>
      </c>
      <c r="W64" s="46">
        <f t="shared" si="2"/>
        <v>-7.3528176331995806E-2</v>
      </c>
      <c r="X64" s="33">
        <f t="shared" si="3"/>
        <v>2.8418557668631359E-2</v>
      </c>
    </row>
    <row r="65" spans="19:24" x14ac:dyDescent="0.25">
      <c r="S65" s="44">
        <f t="shared" si="4"/>
        <v>43115</v>
      </c>
      <c r="T65" s="12">
        <f>DurMod(S65,B$2,$F$7:$G$37,$T$3)</f>
        <v>7.3501405508980397</v>
      </c>
      <c r="U65" s="12">
        <f t="shared" si="0"/>
        <v>7.1349524524690953</v>
      </c>
      <c r="V65" s="30">
        <f t="shared" si="1"/>
        <v>0.50234849315068497</v>
      </c>
      <c r="W65" s="46">
        <f t="shared" si="2"/>
        <v>-7.3501405508980391E-2</v>
      </c>
      <c r="X65" s="33">
        <f t="shared" si="3"/>
        <v>2.8418516156358421E-2</v>
      </c>
    </row>
    <row r="66" spans="19:24" x14ac:dyDescent="0.25">
      <c r="S66" s="44">
        <f t="shared" si="4"/>
        <v>43116</v>
      </c>
      <c r="T66" s="12">
        <f>DurMod(S66,B$2,$F$7:$G$37,$T$3)</f>
        <v>7.3474634685964979</v>
      </c>
      <c r="U66" s="12">
        <f t="shared" si="0"/>
        <v>7.1323012757443065</v>
      </c>
      <c r="V66" s="30">
        <f t="shared" si="1"/>
        <v>0.50232109589041096</v>
      </c>
      <c r="W66" s="46">
        <f t="shared" si="2"/>
        <v>-7.3474634685964962E-2</v>
      </c>
      <c r="X66" s="33">
        <f t="shared" si="3"/>
        <v>2.8418474644085475E-2</v>
      </c>
    </row>
    <row r="67" spans="19:24" x14ac:dyDescent="0.25">
      <c r="S67" s="44">
        <f t="shared" si="4"/>
        <v>43117</v>
      </c>
      <c r="T67" s="12">
        <f>DurMod(S67,B$2,$F$7:$G$37,$T$3)</f>
        <v>7.3447863862949605</v>
      </c>
      <c r="U67" s="12">
        <f t="shared" si="0"/>
        <v>7.1296500990195133</v>
      </c>
      <c r="V67" s="30">
        <f t="shared" si="1"/>
        <v>0.50229369863013695</v>
      </c>
      <c r="W67" s="46">
        <f t="shared" si="2"/>
        <v>-7.3447863862949589E-2</v>
      </c>
      <c r="X67" s="33">
        <f t="shared" si="3"/>
        <v>2.8418433131812526E-2</v>
      </c>
    </row>
    <row r="68" spans="19:24" x14ac:dyDescent="0.25">
      <c r="S68" s="44">
        <f t="shared" si="4"/>
        <v>43118</v>
      </c>
      <c r="T68" s="12">
        <f>DurMod(S68,B$2,$F$7:$G$37,$T$3)</f>
        <v>7.3421093039934195</v>
      </c>
      <c r="U68" s="12">
        <f t="shared" si="0"/>
        <v>7.1269989222947263</v>
      </c>
      <c r="V68" s="30">
        <f t="shared" si="1"/>
        <v>0.50226630136986294</v>
      </c>
      <c r="W68" s="46">
        <f t="shared" si="2"/>
        <v>-7.3421093039934188E-2</v>
      </c>
      <c r="X68" s="33">
        <f t="shared" si="3"/>
        <v>2.8418391619539581E-2</v>
      </c>
    </row>
    <row r="69" spans="19:24" x14ac:dyDescent="0.25">
      <c r="S69" s="44">
        <f t="shared" si="4"/>
        <v>43119</v>
      </c>
      <c r="T69" s="12">
        <f>DurMod(S69,B$2,$F$7:$G$37,$T$3)</f>
        <v>7.3394322216918759</v>
      </c>
      <c r="U69" s="12">
        <f t="shared" ref="U69:U132" si="7">DurMod($S69,$B$2,$F$7:$G$37,U$3)</f>
        <v>7.1243477455699384</v>
      </c>
      <c r="V69" s="30">
        <f t="shared" ref="V69:V132" si="8">+$U$3*($S$5512-S69)/365+$T$3*(S69-$S$4)/365</f>
        <v>0.50223890410958905</v>
      </c>
      <c r="W69" s="46">
        <f t="shared" ref="W69:W132" si="9">+-T69*($U$3-$T$3)</f>
        <v>-7.3394322216918745E-2</v>
      </c>
      <c r="X69" s="33">
        <f t="shared" ref="X69:X132" si="10">+(V69+W69)*365/($S$5512-$S$4)</f>
        <v>2.8418350107266638E-2</v>
      </c>
    </row>
    <row r="70" spans="19:24" x14ac:dyDescent="0.25">
      <c r="S70" s="44">
        <f t="shared" ref="S70:S133" si="11">+S69+1</f>
        <v>43120</v>
      </c>
      <c r="T70" s="12">
        <f>DurMod(S70,B$2,$F$7:$G$37,$T$3)</f>
        <v>7.3367551393903359</v>
      </c>
      <c r="U70" s="12">
        <f t="shared" si="7"/>
        <v>7.1216965688451488</v>
      </c>
      <c r="V70" s="30">
        <f t="shared" si="8"/>
        <v>0.50221150684931504</v>
      </c>
      <c r="W70" s="46">
        <f t="shared" si="9"/>
        <v>-7.3367551393903344E-2</v>
      </c>
      <c r="X70" s="33">
        <f t="shared" si="10"/>
        <v>2.8418308594993696E-2</v>
      </c>
    </row>
    <row r="71" spans="19:24" x14ac:dyDescent="0.25">
      <c r="S71" s="44">
        <f t="shared" si="11"/>
        <v>43121</v>
      </c>
      <c r="T71" s="12">
        <f>DurMod(S71,B$2,$F$7:$G$37,$T$3)</f>
        <v>7.3340780570887922</v>
      </c>
      <c r="U71" s="12">
        <f t="shared" si="7"/>
        <v>7.11904539212036</v>
      </c>
      <c r="V71" s="30">
        <f t="shared" si="8"/>
        <v>0.50218410958904114</v>
      </c>
      <c r="W71" s="46">
        <f t="shared" si="9"/>
        <v>-7.3340780570887915E-2</v>
      </c>
      <c r="X71" s="33">
        <f t="shared" si="10"/>
        <v>2.8418267082720758E-2</v>
      </c>
    </row>
    <row r="72" spans="19:24" x14ac:dyDescent="0.25">
      <c r="S72" s="44">
        <f t="shared" si="11"/>
        <v>43122</v>
      </c>
      <c r="T72" s="12">
        <f>DurMod(S72,B$2,$F$7:$G$37,$T$3)</f>
        <v>7.3314009747872531</v>
      </c>
      <c r="U72" s="12">
        <f t="shared" si="7"/>
        <v>7.1163942153955686</v>
      </c>
      <c r="V72" s="30">
        <f t="shared" si="8"/>
        <v>0.50215671232876713</v>
      </c>
      <c r="W72" s="46">
        <f t="shared" si="9"/>
        <v>-7.3314009747872513E-2</v>
      </c>
      <c r="X72" s="33">
        <f t="shared" si="10"/>
        <v>2.8418225570447812E-2</v>
      </c>
    </row>
    <row r="73" spans="19:24" x14ac:dyDescent="0.25">
      <c r="S73" s="44">
        <f t="shared" si="11"/>
        <v>43123</v>
      </c>
      <c r="T73" s="12">
        <f>DurMod(S73,B$2,$F$7:$G$37,$T$3)</f>
        <v>7.3287238924857121</v>
      </c>
      <c r="U73" s="12">
        <f t="shared" si="7"/>
        <v>7.1137430386707807</v>
      </c>
      <c r="V73" s="30">
        <f t="shared" si="8"/>
        <v>0.50212931506849312</v>
      </c>
      <c r="W73" s="46">
        <f t="shared" si="9"/>
        <v>-7.3287238924857112E-2</v>
      </c>
      <c r="X73" s="33">
        <f t="shared" si="10"/>
        <v>2.8418184058174863E-2</v>
      </c>
    </row>
    <row r="74" spans="19:24" x14ac:dyDescent="0.25">
      <c r="S74" s="44">
        <f t="shared" si="11"/>
        <v>43124</v>
      </c>
      <c r="T74" s="12">
        <f>DurMod(S74,B$2,$F$7:$G$37,$T$3)</f>
        <v>7.3260468101841703</v>
      </c>
      <c r="U74" s="12">
        <f t="shared" si="7"/>
        <v>7.111091861945992</v>
      </c>
      <c r="V74" s="30">
        <f t="shared" si="8"/>
        <v>0.50210191780821922</v>
      </c>
      <c r="W74" s="46">
        <f t="shared" si="9"/>
        <v>-7.3260468101841697E-2</v>
      </c>
      <c r="X74" s="33">
        <f t="shared" si="10"/>
        <v>2.8418142545901921E-2</v>
      </c>
    </row>
    <row r="75" spans="19:24" x14ac:dyDescent="0.25">
      <c r="S75" s="44">
        <f t="shared" si="11"/>
        <v>43125</v>
      </c>
      <c r="T75" s="12">
        <f>DurMod(S75,B$2,$F$7:$G$37,$T$3)</f>
        <v>7.3233697278826284</v>
      </c>
      <c r="U75" s="12">
        <f t="shared" si="7"/>
        <v>7.1084406852212014</v>
      </c>
      <c r="V75" s="30">
        <f t="shared" si="8"/>
        <v>0.50207452054794521</v>
      </c>
      <c r="W75" s="46">
        <f t="shared" si="9"/>
        <v>-7.3233697278826268E-2</v>
      </c>
      <c r="X75" s="33">
        <f t="shared" si="10"/>
        <v>2.8418101033628976E-2</v>
      </c>
    </row>
    <row r="76" spans="19:24" x14ac:dyDescent="0.25">
      <c r="S76" s="44">
        <f t="shared" si="11"/>
        <v>43126</v>
      </c>
      <c r="T76" s="12">
        <f>DurMod(S76,B$2,$F$7:$G$37,$T$3)</f>
        <v>7.3206926455810901</v>
      </c>
      <c r="U76" s="12">
        <f t="shared" si="7"/>
        <v>7.1057895084964127</v>
      </c>
      <c r="V76" s="30">
        <f t="shared" si="8"/>
        <v>0.5020471232876712</v>
      </c>
      <c r="W76" s="46">
        <f t="shared" si="9"/>
        <v>-7.3206926455810895E-2</v>
      </c>
      <c r="X76" s="33">
        <f t="shared" si="10"/>
        <v>2.8418059521356027E-2</v>
      </c>
    </row>
    <row r="77" spans="19:24" x14ac:dyDescent="0.25">
      <c r="S77" s="44">
        <f t="shared" si="11"/>
        <v>43127</v>
      </c>
      <c r="T77" s="12">
        <f>DurMod(S77,B$2,$F$7:$G$37,$T$3)</f>
        <v>7.3180155632795492</v>
      </c>
      <c r="U77" s="12">
        <f t="shared" si="7"/>
        <v>7.1031383317716257</v>
      </c>
      <c r="V77" s="30">
        <f t="shared" si="8"/>
        <v>0.5020197260273972</v>
      </c>
      <c r="W77" s="46">
        <f t="shared" si="9"/>
        <v>-7.3180155632795479E-2</v>
      </c>
      <c r="X77" s="33">
        <f t="shared" si="10"/>
        <v>2.8418018009083085E-2</v>
      </c>
    </row>
    <row r="78" spans="19:24" x14ac:dyDescent="0.25">
      <c r="S78" s="44">
        <f t="shared" si="11"/>
        <v>43128</v>
      </c>
      <c r="T78" s="12">
        <f>DurMod(S78,B$2,$F$7:$G$37,$T$3)</f>
        <v>7.3153384809780055</v>
      </c>
      <c r="U78" s="12">
        <f t="shared" si="7"/>
        <v>7.1004871550468351</v>
      </c>
      <c r="V78" s="30">
        <f t="shared" si="8"/>
        <v>0.5019923287671233</v>
      </c>
      <c r="W78" s="46">
        <f t="shared" si="9"/>
        <v>-7.315338480978005E-2</v>
      </c>
      <c r="X78" s="33">
        <f t="shared" si="10"/>
        <v>2.8417976496810143E-2</v>
      </c>
    </row>
    <row r="79" spans="19:24" x14ac:dyDescent="0.25">
      <c r="S79" s="44">
        <f t="shared" si="11"/>
        <v>43129</v>
      </c>
      <c r="T79" s="12">
        <f>DurMod(S79,B$2,$F$7:$G$37,$T$3)</f>
        <v>7.3126613986764655</v>
      </c>
      <c r="U79" s="12">
        <f t="shared" si="7"/>
        <v>7.0978359783220464</v>
      </c>
      <c r="V79" s="30">
        <f t="shared" si="8"/>
        <v>0.50196493150684929</v>
      </c>
      <c r="W79" s="46">
        <f t="shared" si="9"/>
        <v>-7.3126613986764649E-2</v>
      </c>
      <c r="X79" s="33">
        <f t="shared" si="10"/>
        <v>2.8417934984537197E-2</v>
      </c>
    </row>
    <row r="80" spans="19:24" x14ac:dyDescent="0.25">
      <c r="S80" s="44">
        <f t="shared" si="11"/>
        <v>43130</v>
      </c>
      <c r="T80" s="12">
        <f>DurMod(S80,B$2,$F$7:$G$37,$T$3)</f>
        <v>7.3099843163749219</v>
      </c>
      <c r="U80" s="12">
        <f t="shared" si="7"/>
        <v>7.0951848015972558</v>
      </c>
      <c r="V80" s="30">
        <f t="shared" si="8"/>
        <v>0.50193753424657528</v>
      </c>
      <c r="W80" s="46">
        <f t="shared" si="9"/>
        <v>-7.3099843163749206E-2</v>
      </c>
      <c r="X80" s="33">
        <f t="shared" si="10"/>
        <v>2.8417893472264255E-2</v>
      </c>
    </row>
    <row r="81" spans="19:24" x14ac:dyDescent="0.25">
      <c r="S81" s="44">
        <f t="shared" si="11"/>
        <v>43131</v>
      </c>
      <c r="T81" s="12">
        <f>DurMod(S81,B$2,$F$7:$G$37,$T$3)</f>
        <v>7.3073072340733836</v>
      </c>
      <c r="U81" s="12">
        <f t="shared" si="7"/>
        <v>7.0925336248724653</v>
      </c>
      <c r="V81" s="30">
        <f t="shared" si="8"/>
        <v>0.50191013698630138</v>
      </c>
      <c r="W81" s="46">
        <f t="shared" si="9"/>
        <v>-7.3073072340733819E-2</v>
      </c>
      <c r="X81" s="33">
        <f t="shared" si="10"/>
        <v>2.841785195999132E-2</v>
      </c>
    </row>
    <row r="82" spans="19:24" x14ac:dyDescent="0.25">
      <c r="S82" s="44">
        <f t="shared" si="11"/>
        <v>43132</v>
      </c>
      <c r="T82" s="12">
        <f>DurMod(S82,B$2,$F$7:$G$37,$T$3)</f>
        <v>7.3046301517718391</v>
      </c>
      <c r="U82" s="12">
        <f t="shared" si="7"/>
        <v>7.0898824481476783</v>
      </c>
      <c r="V82" s="30">
        <f t="shared" si="8"/>
        <v>0.50188273972602737</v>
      </c>
      <c r="W82" s="46">
        <f t="shared" si="9"/>
        <v>-7.3046301517718376E-2</v>
      </c>
      <c r="X82" s="33">
        <f t="shared" si="10"/>
        <v>2.8417810447718368E-2</v>
      </c>
    </row>
    <row r="83" spans="19:24" x14ac:dyDescent="0.25">
      <c r="S83" s="44">
        <f t="shared" si="11"/>
        <v>43133</v>
      </c>
      <c r="T83" s="12">
        <f>DurMod(S83,B$2,$F$7:$G$37,$T$3)</f>
        <v>7.301953069470299</v>
      </c>
      <c r="U83" s="12">
        <f t="shared" si="7"/>
        <v>7.0872312714228904</v>
      </c>
      <c r="V83" s="30">
        <f t="shared" si="8"/>
        <v>0.50185534246575347</v>
      </c>
      <c r="W83" s="46">
        <f t="shared" si="9"/>
        <v>-7.3019530694702975E-2</v>
      </c>
      <c r="X83" s="33">
        <f t="shared" si="10"/>
        <v>2.8417768935445429E-2</v>
      </c>
    </row>
    <row r="84" spans="19:24" x14ac:dyDescent="0.25">
      <c r="S84" s="44">
        <f t="shared" si="11"/>
        <v>43134</v>
      </c>
      <c r="T84" s="12">
        <f>DurMod(S84,B$2,$F$7:$G$37,$T$3)</f>
        <v>7.299275987168758</v>
      </c>
      <c r="U84" s="12">
        <f t="shared" si="7"/>
        <v>7.0845800946980972</v>
      </c>
      <c r="V84" s="30">
        <f t="shared" si="8"/>
        <v>0.50182794520547946</v>
      </c>
      <c r="W84" s="46">
        <f t="shared" si="9"/>
        <v>-7.2992759871687574E-2</v>
      </c>
      <c r="X84" s="33">
        <f t="shared" si="10"/>
        <v>2.8417727423172483E-2</v>
      </c>
    </row>
    <row r="85" spans="19:24" x14ac:dyDescent="0.25">
      <c r="S85" s="44">
        <f t="shared" si="11"/>
        <v>43135</v>
      </c>
      <c r="T85" s="12">
        <f>DurMod(S85,B$2,$F$7:$G$37,$T$3)</f>
        <v>7.296598904867218</v>
      </c>
      <c r="U85" s="12">
        <f t="shared" si="7"/>
        <v>7.0819289179733085</v>
      </c>
      <c r="V85" s="30">
        <f t="shared" si="8"/>
        <v>0.50180054794520546</v>
      </c>
      <c r="W85" s="46">
        <f t="shared" si="9"/>
        <v>-7.2965989048672172E-2</v>
      </c>
      <c r="X85" s="33">
        <f t="shared" si="10"/>
        <v>2.8417685910899534E-2</v>
      </c>
    </row>
    <row r="86" spans="19:24" x14ac:dyDescent="0.25">
      <c r="S86" s="44">
        <f t="shared" si="11"/>
        <v>43136</v>
      </c>
      <c r="T86" s="12">
        <f>DurMod(S86,B$2,$F$7:$G$37,$T$3)</f>
        <v>7.2939218225656743</v>
      </c>
      <c r="U86" s="12">
        <f t="shared" si="7"/>
        <v>7.0792777412485206</v>
      </c>
      <c r="V86" s="30">
        <f t="shared" si="8"/>
        <v>0.50177315068493145</v>
      </c>
      <c r="W86" s="46">
        <f t="shared" si="9"/>
        <v>-7.293921822565673E-2</v>
      </c>
      <c r="X86" s="33">
        <f t="shared" si="10"/>
        <v>2.8417644398626592E-2</v>
      </c>
    </row>
    <row r="87" spans="19:24" x14ac:dyDescent="0.25">
      <c r="S87" s="44">
        <f t="shared" si="11"/>
        <v>43137</v>
      </c>
      <c r="T87" s="12">
        <f>DurMod(S87,B$2,$F$7:$G$37,$T$3)</f>
        <v>7.2912447402641325</v>
      </c>
      <c r="U87" s="12">
        <f t="shared" si="7"/>
        <v>7.0766265645237283</v>
      </c>
      <c r="V87" s="30">
        <f t="shared" si="8"/>
        <v>0.50174575342465755</v>
      </c>
      <c r="W87" s="46">
        <f t="shared" si="9"/>
        <v>-7.2912447402641314E-2</v>
      </c>
      <c r="X87" s="33">
        <f t="shared" si="10"/>
        <v>2.8417602886353657E-2</v>
      </c>
    </row>
    <row r="88" spans="19:24" x14ac:dyDescent="0.25">
      <c r="S88" s="44">
        <f t="shared" si="11"/>
        <v>43138</v>
      </c>
      <c r="T88" s="12">
        <f>DurMod(S88,B$2,$F$7:$G$37,$T$3)</f>
        <v>7.2885676579625951</v>
      </c>
      <c r="U88" s="12">
        <f t="shared" si="7"/>
        <v>7.0739753877989413</v>
      </c>
      <c r="V88" s="30">
        <f t="shared" si="8"/>
        <v>0.50171835616438354</v>
      </c>
      <c r="W88" s="46">
        <f t="shared" si="9"/>
        <v>-7.2885676579625941E-2</v>
      </c>
      <c r="X88" s="33">
        <f t="shared" si="10"/>
        <v>2.8417561374080705E-2</v>
      </c>
    </row>
    <row r="89" spans="19:24" x14ac:dyDescent="0.25">
      <c r="S89" s="44">
        <f t="shared" si="11"/>
        <v>43139</v>
      </c>
      <c r="T89" s="12">
        <f>DurMod(S89,B$2,$F$7:$G$37,$T$3)</f>
        <v>7.2858905756610532</v>
      </c>
      <c r="U89" s="12">
        <f t="shared" si="7"/>
        <v>7.0713242110741508</v>
      </c>
      <c r="V89" s="30">
        <f t="shared" si="8"/>
        <v>0.50169095890410953</v>
      </c>
      <c r="W89" s="46">
        <f t="shared" si="9"/>
        <v>-7.2858905756610526E-2</v>
      </c>
      <c r="X89" s="33">
        <f t="shared" si="10"/>
        <v>2.8417519861807756E-2</v>
      </c>
    </row>
    <row r="90" spans="19:24" x14ac:dyDescent="0.25">
      <c r="S90" s="44">
        <f t="shared" si="11"/>
        <v>43140</v>
      </c>
      <c r="T90" s="12">
        <f>DurMod(S90,B$2,$F$7:$G$37,$T$3)</f>
        <v>7.2832134933595114</v>
      </c>
      <c r="U90" s="12">
        <f t="shared" si="7"/>
        <v>7.0686730343493629</v>
      </c>
      <c r="V90" s="30">
        <f t="shared" si="8"/>
        <v>0.50166356164383563</v>
      </c>
      <c r="W90" s="46">
        <f t="shared" si="9"/>
        <v>-7.2832134933595097E-2</v>
      </c>
      <c r="X90" s="33">
        <f t="shared" si="10"/>
        <v>2.8417478349534821E-2</v>
      </c>
    </row>
    <row r="91" spans="19:24" x14ac:dyDescent="0.25">
      <c r="S91" s="44">
        <f t="shared" si="11"/>
        <v>43141</v>
      </c>
      <c r="T91" s="12">
        <f>DurMod(S91,B$2,$F$7:$G$37,$T$3)</f>
        <v>7.2805364110579696</v>
      </c>
      <c r="U91" s="12">
        <f t="shared" si="7"/>
        <v>7.0660218576245724</v>
      </c>
      <c r="V91" s="30">
        <f t="shared" si="8"/>
        <v>0.50163616438356162</v>
      </c>
      <c r="W91" s="46">
        <f t="shared" si="9"/>
        <v>-7.2805364110579682E-2</v>
      </c>
      <c r="X91" s="33">
        <f t="shared" si="10"/>
        <v>2.8417436837261872E-2</v>
      </c>
    </row>
    <row r="92" spans="19:24" x14ac:dyDescent="0.25">
      <c r="S92" s="44">
        <f t="shared" si="11"/>
        <v>43142</v>
      </c>
      <c r="T92" s="12">
        <f>DurMod(S92,B$2,$F$7:$G$37,$T$3)</f>
        <v>7.2778593287564277</v>
      </c>
      <c r="U92" s="12">
        <f t="shared" si="7"/>
        <v>7.0633706808997836</v>
      </c>
      <c r="V92" s="30">
        <f t="shared" si="8"/>
        <v>0.50160876712328761</v>
      </c>
      <c r="W92" s="46">
        <f t="shared" si="9"/>
        <v>-7.2778593287564267E-2</v>
      </c>
      <c r="X92" s="33">
        <f t="shared" si="10"/>
        <v>2.841739532498893E-2</v>
      </c>
    </row>
    <row r="93" spans="19:24" x14ac:dyDescent="0.25">
      <c r="S93" s="44">
        <f t="shared" si="11"/>
        <v>43143</v>
      </c>
      <c r="T93" s="12">
        <f>DurMod(S93,B$2,$F$7:$G$37,$T$3)</f>
        <v>7.2751822464548876</v>
      </c>
      <c r="U93" s="12">
        <f t="shared" si="7"/>
        <v>7.0607195041749957</v>
      </c>
      <c r="V93" s="30">
        <f t="shared" si="8"/>
        <v>0.50158136986301372</v>
      </c>
      <c r="W93" s="46">
        <f t="shared" si="9"/>
        <v>-7.2751822464548865E-2</v>
      </c>
      <c r="X93" s="33">
        <f t="shared" si="10"/>
        <v>2.8417353812715988E-2</v>
      </c>
    </row>
    <row r="94" spans="19:24" x14ac:dyDescent="0.25">
      <c r="S94" s="44">
        <f t="shared" si="11"/>
        <v>43144</v>
      </c>
      <c r="T94" s="12">
        <f>DurMod(S94,B$2,$F$7:$G$37,$T$3)</f>
        <v>7.2725051641533458</v>
      </c>
      <c r="U94" s="12">
        <f t="shared" si="7"/>
        <v>7.0580683274502061</v>
      </c>
      <c r="V94" s="30">
        <f t="shared" si="8"/>
        <v>0.50155397260273971</v>
      </c>
      <c r="W94" s="46">
        <f t="shared" si="9"/>
        <v>-7.272505164153345E-2</v>
      </c>
      <c r="X94" s="33">
        <f t="shared" si="10"/>
        <v>2.8417312300443046E-2</v>
      </c>
    </row>
    <row r="95" spans="19:24" x14ac:dyDescent="0.25">
      <c r="S95" s="44">
        <f t="shared" si="11"/>
        <v>43145</v>
      </c>
      <c r="T95" s="12">
        <f>DurMod(S95,B$2,$F$7:$G$37,$T$3)</f>
        <v>7.2698280818518048</v>
      </c>
      <c r="U95" s="12">
        <f t="shared" si="7"/>
        <v>7.0554171507254155</v>
      </c>
      <c r="V95" s="30">
        <f t="shared" si="8"/>
        <v>0.5015265753424657</v>
      </c>
      <c r="W95" s="46">
        <f t="shared" si="9"/>
        <v>-7.2698280818518035E-2</v>
      </c>
      <c r="X95" s="33">
        <f t="shared" si="10"/>
        <v>2.84172707881701E-2</v>
      </c>
    </row>
    <row r="96" spans="19:24" x14ac:dyDescent="0.25">
      <c r="S96" s="44">
        <f t="shared" si="11"/>
        <v>43146</v>
      </c>
      <c r="T96" s="12">
        <f>DurMod(S96,B$2,$F$7:$G$37,$T$3)</f>
        <v>7.2671509995502648</v>
      </c>
      <c r="U96" s="12">
        <f t="shared" si="7"/>
        <v>7.0527659740006259</v>
      </c>
      <c r="V96" s="30">
        <f t="shared" si="8"/>
        <v>0.5014991780821918</v>
      </c>
      <c r="W96" s="46">
        <f t="shared" si="9"/>
        <v>-7.2671509995502634E-2</v>
      </c>
      <c r="X96" s="33">
        <f t="shared" si="10"/>
        <v>2.8417229275897158E-2</v>
      </c>
    </row>
    <row r="97" spans="19:24" x14ac:dyDescent="0.25">
      <c r="S97" s="44">
        <f t="shared" si="11"/>
        <v>43147</v>
      </c>
      <c r="T97" s="12">
        <f>DurMod(S97,B$2,$F$7:$G$37,$T$3)</f>
        <v>7.264473917248722</v>
      </c>
      <c r="U97" s="12">
        <f t="shared" si="7"/>
        <v>7.0501147972758362</v>
      </c>
      <c r="V97" s="30">
        <f t="shared" si="8"/>
        <v>0.50147178082191779</v>
      </c>
      <c r="W97" s="46">
        <f t="shared" si="9"/>
        <v>-7.2644739172487205E-2</v>
      </c>
      <c r="X97" s="33">
        <f t="shared" si="10"/>
        <v>2.8417187763624209E-2</v>
      </c>
    </row>
    <row r="98" spans="19:24" x14ac:dyDescent="0.25">
      <c r="S98" s="44">
        <f t="shared" si="11"/>
        <v>43148</v>
      </c>
      <c r="T98" s="12">
        <f>DurMod(S98,B$2,$F$7:$G$37,$T$3)</f>
        <v>7.2617968349471829</v>
      </c>
      <c r="U98" s="12">
        <f t="shared" si="7"/>
        <v>7.0474636205510484</v>
      </c>
      <c r="V98" s="30">
        <f t="shared" si="8"/>
        <v>0.50144438356164378</v>
      </c>
      <c r="W98" s="46">
        <f t="shared" si="9"/>
        <v>-7.2617968349471818E-2</v>
      </c>
      <c r="X98" s="33">
        <f t="shared" si="10"/>
        <v>2.8417146251351263E-2</v>
      </c>
    </row>
    <row r="99" spans="19:24" x14ac:dyDescent="0.25">
      <c r="S99" s="44">
        <f t="shared" si="11"/>
        <v>43149</v>
      </c>
      <c r="T99" s="12">
        <f>DurMod(S99,B$2,$F$7:$G$37,$T$3)</f>
        <v>7.2591197526456428</v>
      </c>
      <c r="U99" s="12">
        <f t="shared" si="7"/>
        <v>7.0448124438262596</v>
      </c>
      <c r="V99" s="30">
        <f t="shared" si="8"/>
        <v>0.50141698630136977</v>
      </c>
      <c r="W99" s="46">
        <f t="shared" si="9"/>
        <v>-7.2591197526456416E-2</v>
      </c>
      <c r="X99" s="33">
        <f t="shared" si="10"/>
        <v>2.8417104739078318E-2</v>
      </c>
    </row>
    <row r="100" spans="19:24" x14ac:dyDescent="0.25">
      <c r="S100" s="44">
        <f t="shared" si="11"/>
        <v>43150</v>
      </c>
      <c r="T100" s="12">
        <f>DurMod(S100,B$2,$F$7:$G$37,$T$3)</f>
        <v>7.2564426703440992</v>
      </c>
      <c r="U100" s="12">
        <f t="shared" si="7"/>
        <v>7.0421612671014708</v>
      </c>
      <c r="V100" s="30">
        <f t="shared" si="8"/>
        <v>0.50138958904109587</v>
      </c>
      <c r="W100" s="46">
        <f t="shared" si="9"/>
        <v>-7.2564426703440987E-2</v>
      </c>
      <c r="X100" s="33">
        <f t="shared" si="10"/>
        <v>2.8417063226805379E-2</v>
      </c>
    </row>
    <row r="101" spans="19:24" x14ac:dyDescent="0.25">
      <c r="S101" s="44">
        <f t="shared" si="11"/>
        <v>43151</v>
      </c>
      <c r="T101" s="12">
        <f>DurMod(S101,B$2,$F$7:$G$37,$T$3)</f>
        <v>7.2537655880425591</v>
      </c>
      <c r="U101" s="12">
        <f t="shared" si="7"/>
        <v>7.0395100903766821</v>
      </c>
      <c r="V101" s="30">
        <f t="shared" si="8"/>
        <v>0.50136219178082186</v>
      </c>
      <c r="W101" s="46">
        <f t="shared" si="9"/>
        <v>-7.2537655880425586E-2</v>
      </c>
      <c r="X101" s="33">
        <f t="shared" si="10"/>
        <v>2.8417021714532434E-2</v>
      </c>
    </row>
    <row r="102" spans="19:24" x14ac:dyDescent="0.25">
      <c r="S102" s="44">
        <f t="shared" si="11"/>
        <v>43152</v>
      </c>
      <c r="T102" s="12">
        <f>DurMod(S102,B$2,$F$7:$G$37,$T$3)</f>
        <v>7.2510885057410173</v>
      </c>
      <c r="U102" s="12">
        <f t="shared" si="7"/>
        <v>7.0368589136518906</v>
      </c>
      <c r="V102" s="30">
        <f t="shared" si="8"/>
        <v>0.50133479452054797</v>
      </c>
      <c r="W102" s="46">
        <f t="shared" si="9"/>
        <v>-7.2510885057410157E-2</v>
      </c>
      <c r="X102" s="33">
        <f t="shared" si="10"/>
        <v>2.8416980202259495E-2</v>
      </c>
    </row>
    <row r="103" spans="19:24" x14ac:dyDescent="0.25">
      <c r="S103" s="44">
        <f t="shared" si="11"/>
        <v>43153</v>
      </c>
      <c r="T103" s="12">
        <f>DurMod(S103,B$2,$F$7:$G$37,$T$3)</f>
        <v>7.2484114234394754</v>
      </c>
      <c r="U103" s="12">
        <f t="shared" si="7"/>
        <v>7.0342077369271001</v>
      </c>
      <c r="V103" s="30">
        <f t="shared" si="8"/>
        <v>0.50130739726027396</v>
      </c>
      <c r="W103" s="46">
        <f t="shared" si="9"/>
        <v>-7.2484114234394742E-2</v>
      </c>
      <c r="X103" s="33">
        <f t="shared" si="10"/>
        <v>2.8416938689986553E-2</v>
      </c>
    </row>
    <row r="104" spans="19:24" x14ac:dyDescent="0.25">
      <c r="S104" s="44">
        <f t="shared" si="11"/>
        <v>43154</v>
      </c>
      <c r="T104" s="12">
        <f>DurMod(S104,B$2,$F$7:$G$37,$T$3)</f>
        <v>7.2457343411379371</v>
      </c>
      <c r="U104" s="12">
        <f t="shared" si="7"/>
        <v>7.0315565602023122</v>
      </c>
      <c r="V104" s="30">
        <f t="shared" si="8"/>
        <v>0.50127999999999995</v>
      </c>
      <c r="W104" s="46">
        <f t="shared" si="9"/>
        <v>-7.2457343411379355E-2</v>
      </c>
      <c r="X104" s="33">
        <f t="shared" si="10"/>
        <v>2.8416897177713601E-2</v>
      </c>
    </row>
    <row r="105" spans="19:24" x14ac:dyDescent="0.25">
      <c r="S105" s="44">
        <f t="shared" si="11"/>
        <v>43155</v>
      </c>
      <c r="T105" s="12">
        <f>DurMod(S105,B$2,$F$7:$G$37,$T$3)</f>
        <v>7.2430572588363926</v>
      </c>
      <c r="U105" s="12">
        <f t="shared" si="7"/>
        <v>7.0289053834775226</v>
      </c>
      <c r="V105" s="30">
        <f t="shared" si="8"/>
        <v>0.50125260273972605</v>
      </c>
      <c r="W105" s="46">
        <f t="shared" si="9"/>
        <v>-7.2430572588363912E-2</v>
      </c>
      <c r="X105" s="33">
        <f t="shared" si="10"/>
        <v>2.8416855665440666E-2</v>
      </c>
    </row>
    <row r="106" spans="19:24" x14ac:dyDescent="0.25">
      <c r="S106" s="44">
        <f t="shared" si="11"/>
        <v>43156</v>
      </c>
      <c r="T106" s="12">
        <f>DurMod(S106,B$2,$F$7:$G$37,$T$3)</f>
        <v>7.240380176534849</v>
      </c>
      <c r="U106" s="12">
        <f t="shared" si="7"/>
        <v>7.026254206752732</v>
      </c>
      <c r="V106" s="30">
        <f t="shared" si="8"/>
        <v>0.50122520547945204</v>
      </c>
      <c r="W106" s="46">
        <f t="shared" si="9"/>
        <v>-7.2403801765348483E-2</v>
      </c>
      <c r="X106" s="33">
        <f t="shared" si="10"/>
        <v>2.8416814153167717E-2</v>
      </c>
    </row>
    <row r="107" spans="19:24" x14ac:dyDescent="0.25">
      <c r="S107" s="44">
        <f t="shared" si="11"/>
        <v>43157</v>
      </c>
      <c r="T107" s="12">
        <f>DurMod(S107,B$2,$F$7:$G$37,$T$3)</f>
        <v>7.2377030942333116</v>
      </c>
      <c r="U107" s="12">
        <f t="shared" si="7"/>
        <v>7.0236030300279451</v>
      </c>
      <c r="V107" s="30">
        <f t="shared" si="8"/>
        <v>0.50119780821917803</v>
      </c>
      <c r="W107" s="46">
        <f t="shared" si="9"/>
        <v>-7.2377030942333109E-2</v>
      </c>
      <c r="X107" s="33">
        <f t="shared" si="10"/>
        <v>2.8416772640894771E-2</v>
      </c>
    </row>
    <row r="108" spans="19:24" x14ac:dyDescent="0.25">
      <c r="S108" s="44">
        <f t="shared" si="11"/>
        <v>43158</v>
      </c>
      <c r="T108" s="12">
        <f>DurMod(S108,B$2,$F$7:$G$37,$T$3)</f>
        <v>7.235026011931768</v>
      </c>
      <c r="U108" s="12">
        <f t="shared" si="7"/>
        <v>7.0209518533031536</v>
      </c>
      <c r="V108" s="30">
        <f t="shared" si="8"/>
        <v>0.50117041095890402</v>
      </c>
      <c r="W108" s="46">
        <f t="shared" si="9"/>
        <v>-7.2350260119317666E-2</v>
      </c>
      <c r="X108" s="33">
        <f t="shared" si="10"/>
        <v>2.8416731128621829E-2</v>
      </c>
    </row>
    <row r="109" spans="19:24" x14ac:dyDescent="0.25">
      <c r="S109" s="44">
        <f t="shared" si="11"/>
        <v>43159</v>
      </c>
      <c r="T109" s="12">
        <f>DurMod(S109,B$2,$F$7:$G$37,$T$3)</f>
        <v>7.2323489296302288</v>
      </c>
      <c r="U109" s="12">
        <f t="shared" si="7"/>
        <v>7.0183006765783631</v>
      </c>
      <c r="V109" s="30">
        <f t="shared" si="8"/>
        <v>0.50114301369863012</v>
      </c>
      <c r="W109" s="46">
        <f t="shared" si="9"/>
        <v>-7.2323489296302279E-2</v>
      </c>
      <c r="X109" s="33">
        <f t="shared" si="10"/>
        <v>2.8416689616348887E-2</v>
      </c>
    </row>
    <row r="110" spans="19:24" x14ac:dyDescent="0.25">
      <c r="S110" s="44">
        <f t="shared" si="11"/>
        <v>43160</v>
      </c>
      <c r="T110" s="12">
        <f>DurMod(S110,B$2,$F$7:$G$37,$T$3)</f>
        <v>7.2296718473286861</v>
      </c>
      <c r="U110" s="12">
        <f t="shared" si="7"/>
        <v>7.015649499853577</v>
      </c>
      <c r="V110" s="30">
        <f t="shared" si="8"/>
        <v>0.50111561643835612</v>
      </c>
      <c r="W110" s="46">
        <f t="shared" si="9"/>
        <v>-7.229671847328685E-2</v>
      </c>
      <c r="X110" s="33">
        <f t="shared" si="10"/>
        <v>2.8416648104075945E-2</v>
      </c>
    </row>
    <row r="111" spans="19:24" x14ac:dyDescent="0.25">
      <c r="S111" s="44">
        <f t="shared" si="11"/>
        <v>43161</v>
      </c>
      <c r="T111" s="12">
        <f>DurMod(S111,B$2,$F$7:$G$37,$T$3)</f>
        <v>7.2269947650271469</v>
      </c>
      <c r="U111" s="12">
        <f t="shared" si="7"/>
        <v>7.0129983231287856</v>
      </c>
      <c r="V111" s="30">
        <f t="shared" si="8"/>
        <v>0.50108821917808211</v>
      </c>
      <c r="W111" s="46">
        <f t="shared" si="9"/>
        <v>-7.2269947650271463E-2</v>
      </c>
      <c r="X111" s="33">
        <f t="shared" si="10"/>
        <v>2.8416606591802993E-2</v>
      </c>
    </row>
    <row r="112" spans="19:24" x14ac:dyDescent="0.25">
      <c r="S112" s="44">
        <f t="shared" si="11"/>
        <v>43162</v>
      </c>
      <c r="T112" s="12">
        <f>DurMod(S112,B$2,$F$7:$G$37,$T$3)</f>
        <v>7.2243176827256059</v>
      </c>
      <c r="U112" s="12">
        <f t="shared" si="7"/>
        <v>7.0103471464039968</v>
      </c>
      <c r="V112" s="30">
        <f t="shared" si="8"/>
        <v>0.50106082191780821</v>
      </c>
      <c r="W112" s="46">
        <f t="shared" si="9"/>
        <v>-7.2243176827256048E-2</v>
      </c>
      <c r="X112" s="33">
        <f t="shared" si="10"/>
        <v>2.8416565079530054E-2</v>
      </c>
    </row>
    <row r="113" spans="19:24" x14ac:dyDescent="0.25">
      <c r="S113" s="44">
        <f t="shared" si="11"/>
        <v>43163</v>
      </c>
      <c r="T113" s="12">
        <f>DurMod(S113,B$2,$F$7:$G$37,$T$3)</f>
        <v>7.2216406004240659</v>
      </c>
      <c r="U113" s="12">
        <f t="shared" si="7"/>
        <v>7.0076959696792098</v>
      </c>
      <c r="V113" s="30">
        <f t="shared" si="8"/>
        <v>0.5010334246575342</v>
      </c>
      <c r="W113" s="46">
        <f t="shared" si="9"/>
        <v>-7.2216406004240646E-2</v>
      </c>
      <c r="X113" s="33">
        <f t="shared" si="10"/>
        <v>2.8416523567257108E-2</v>
      </c>
    </row>
    <row r="114" spans="19:24" x14ac:dyDescent="0.25">
      <c r="S114" s="44">
        <f t="shared" si="11"/>
        <v>43164</v>
      </c>
      <c r="T114" s="12">
        <f>DurMod(S114,B$2,$F$7:$G$37,$T$3)</f>
        <v>7.2189635181225231</v>
      </c>
      <c r="U114" s="12">
        <f t="shared" si="7"/>
        <v>7.0050447929544184</v>
      </c>
      <c r="V114" s="30">
        <f t="shared" si="8"/>
        <v>0.5010060273972603</v>
      </c>
      <c r="W114" s="46">
        <f t="shared" si="9"/>
        <v>-7.2189635181225217E-2</v>
      </c>
      <c r="X114" s="33">
        <f t="shared" si="10"/>
        <v>2.841648205498417E-2</v>
      </c>
    </row>
    <row r="115" spans="19:24" x14ac:dyDescent="0.25">
      <c r="S115" s="44">
        <f t="shared" si="11"/>
        <v>43165</v>
      </c>
      <c r="T115" s="12">
        <f>DurMod(S115,B$2,$F$7:$G$37,$T$3)</f>
        <v>7.2162864358209822</v>
      </c>
      <c r="U115" s="12">
        <f t="shared" si="7"/>
        <v>7.0023936162296314</v>
      </c>
      <c r="V115" s="30">
        <f t="shared" si="8"/>
        <v>0.50097863013698629</v>
      </c>
      <c r="W115" s="46">
        <f t="shared" si="9"/>
        <v>-7.2162864358209816E-2</v>
      </c>
      <c r="X115" s="33">
        <f t="shared" si="10"/>
        <v>2.8416440542711217E-2</v>
      </c>
    </row>
    <row r="116" spans="19:24" x14ac:dyDescent="0.25">
      <c r="S116" s="44">
        <f t="shared" si="11"/>
        <v>43166</v>
      </c>
      <c r="T116" s="12">
        <f>DurMod(S116,B$2,$F$7:$G$37,$T$3)</f>
        <v>7.2136093535194403</v>
      </c>
      <c r="U116" s="12">
        <f t="shared" si="7"/>
        <v>6.9997424395048427</v>
      </c>
      <c r="V116" s="30">
        <f t="shared" si="8"/>
        <v>0.50095123287671228</v>
      </c>
      <c r="W116" s="46">
        <f t="shared" si="9"/>
        <v>-7.2136093535194387E-2</v>
      </c>
      <c r="X116" s="33">
        <f t="shared" si="10"/>
        <v>2.8416399030438275E-2</v>
      </c>
    </row>
    <row r="117" spans="19:24" x14ac:dyDescent="0.25">
      <c r="S117" s="44">
        <f t="shared" si="11"/>
        <v>43167</v>
      </c>
      <c r="T117" s="12">
        <f>DurMod(S117,B$2,$F$7:$G$37,$T$3)</f>
        <v>7.210932271217902</v>
      </c>
      <c r="U117" s="12">
        <f t="shared" si="7"/>
        <v>6.9970912627800512</v>
      </c>
      <c r="V117" s="30">
        <f t="shared" si="8"/>
        <v>0.50092383561643827</v>
      </c>
      <c r="W117" s="46">
        <f t="shared" si="9"/>
        <v>-7.2109322712179014E-2</v>
      </c>
      <c r="X117" s="33">
        <f t="shared" si="10"/>
        <v>2.841635751816533E-2</v>
      </c>
    </row>
    <row r="118" spans="19:24" x14ac:dyDescent="0.25">
      <c r="S118" s="44">
        <f t="shared" si="11"/>
        <v>43168</v>
      </c>
      <c r="T118" s="12">
        <f>DurMod(S118,B$2,$F$7:$G$37,$T$3)</f>
        <v>7.2082551889163566</v>
      </c>
      <c r="U118" s="12">
        <f t="shared" si="7"/>
        <v>6.9944400860552642</v>
      </c>
      <c r="V118" s="30">
        <f t="shared" si="8"/>
        <v>0.50089643835616426</v>
      </c>
      <c r="W118" s="46">
        <f t="shared" si="9"/>
        <v>-7.2082551889163557E-2</v>
      </c>
      <c r="X118" s="33">
        <f t="shared" si="10"/>
        <v>2.8416316005892384E-2</v>
      </c>
    </row>
    <row r="119" spans="19:24" x14ac:dyDescent="0.25">
      <c r="S119" s="44">
        <f t="shared" si="11"/>
        <v>43169</v>
      </c>
      <c r="T119" s="12">
        <f>DurMod(S119,B$2,$F$7:$G$37,$T$3)</f>
        <v>7.2055781066148139</v>
      </c>
      <c r="U119" s="12">
        <f t="shared" si="7"/>
        <v>6.991788909330471</v>
      </c>
      <c r="V119" s="30">
        <f t="shared" si="8"/>
        <v>0.50086904109589037</v>
      </c>
      <c r="W119" s="46">
        <f t="shared" si="9"/>
        <v>-7.2055781066148128E-2</v>
      </c>
      <c r="X119" s="33">
        <f t="shared" si="10"/>
        <v>2.8416274493619446E-2</v>
      </c>
    </row>
    <row r="120" spans="19:24" x14ac:dyDescent="0.25">
      <c r="S120" s="44">
        <f t="shared" si="11"/>
        <v>43170</v>
      </c>
      <c r="T120" s="12">
        <f>DurMod(S120,B$2,$F$7:$G$37,$T$3)</f>
        <v>7.2029010243132765</v>
      </c>
      <c r="U120" s="12">
        <f t="shared" si="7"/>
        <v>6.9891377326056823</v>
      </c>
      <c r="V120" s="30">
        <f t="shared" si="8"/>
        <v>0.50084164383561636</v>
      </c>
      <c r="W120" s="46">
        <f t="shared" si="9"/>
        <v>-7.2029010243132754E-2</v>
      </c>
      <c r="X120" s="33">
        <f t="shared" si="10"/>
        <v>2.84162329813465E-2</v>
      </c>
    </row>
    <row r="121" spans="19:24" x14ac:dyDescent="0.25">
      <c r="S121" s="44">
        <f t="shared" si="11"/>
        <v>43171</v>
      </c>
      <c r="T121" s="12">
        <f>DurMod(S121,B$2,$F$7:$G$37,$T$3)</f>
        <v>7.2002239420117355</v>
      </c>
      <c r="U121" s="12">
        <f t="shared" si="7"/>
        <v>6.9864865558808962</v>
      </c>
      <c r="V121" s="30">
        <f t="shared" si="8"/>
        <v>0.50081424657534246</v>
      </c>
      <c r="W121" s="46">
        <f t="shared" si="9"/>
        <v>-7.2002239420117339E-2</v>
      </c>
      <c r="X121" s="33">
        <f t="shared" si="10"/>
        <v>2.8416191469073558E-2</v>
      </c>
    </row>
    <row r="122" spans="19:24" x14ac:dyDescent="0.25">
      <c r="S122" s="44">
        <f t="shared" si="11"/>
        <v>43172</v>
      </c>
      <c r="T122" s="12">
        <f>DurMod(S122,B$2,$F$7:$G$37,$T$3)</f>
        <v>7.1975468597101981</v>
      </c>
      <c r="U122" s="12">
        <f t="shared" si="7"/>
        <v>6.9838353791561056</v>
      </c>
      <c r="V122" s="30">
        <f t="shared" si="8"/>
        <v>0.50078684931506845</v>
      </c>
      <c r="W122" s="46">
        <f t="shared" si="9"/>
        <v>-7.1975468597101966E-2</v>
      </c>
      <c r="X122" s="33">
        <f t="shared" si="10"/>
        <v>2.8416149956800609E-2</v>
      </c>
    </row>
    <row r="123" spans="19:24" x14ac:dyDescent="0.25">
      <c r="S123" s="44">
        <f t="shared" si="11"/>
        <v>43173</v>
      </c>
      <c r="T123" s="12">
        <f>DurMod(S123,B$2,$F$7:$G$37,$T$3)</f>
        <v>7.1948697774086519</v>
      </c>
      <c r="U123" s="12">
        <f t="shared" si="7"/>
        <v>6.981184202431316</v>
      </c>
      <c r="V123" s="30">
        <f t="shared" si="8"/>
        <v>0.50075945205479455</v>
      </c>
      <c r="W123" s="46">
        <f t="shared" si="9"/>
        <v>-7.1948697774086509E-2</v>
      </c>
      <c r="X123" s="33">
        <f t="shared" si="10"/>
        <v>2.8416108444527674E-2</v>
      </c>
    </row>
    <row r="124" spans="19:24" x14ac:dyDescent="0.25">
      <c r="S124" s="44">
        <f t="shared" si="11"/>
        <v>43174</v>
      </c>
      <c r="T124" s="12">
        <f>DurMod(S124,B$2,$F$7:$G$37,$T$3)</f>
        <v>7.19219269510711</v>
      </c>
      <c r="U124" s="12">
        <f t="shared" si="7"/>
        <v>6.9785330257065263</v>
      </c>
      <c r="V124" s="30">
        <f t="shared" si="8"/>
        <v>0.50073205479452054</v>
      </c>
      <c r="W124" s="46">
        <f t="shared" si="9"/>
        <v>-7.1921926951071094E-2</v>
      </c>
      <c r="X124" s="33">
        <f t="shared" si="10"/>
        <v>2.8416066932254732E-2</v>
      </c>
    </row>
    <row r="125" spans="19:24" x14ac:dyDescent="0.25">
      <c r="S125" s="44">
        <f t="shared" si="11"/>
        <v>43175</v>
      </c>
      <c r="T125" s="12">
        <f>DurMod(S125,B$2,$F$7:$G$37,$T$3)</f>
        <v>7.1895156128055682</v>
      </c>
      <c r="U125" s="12">
        <f t="shared" si="7"/>
        <v>6.9758818489817385</v>
      </c>
      <c r="V125" s="30">
        <f t="shared" si="8"/>
        <v>0.50070465753424653</v>
      </c>
      <c r="W125" s="46">
        <f t="shared" si="9"/>
        <v>-7.1895156128055665E-2</v>
      </c>
      <c r="X125" s="33">
        <f t="shared" si="10"/>
        <v>2.8416025419981783E-2</v>
      </c>
    </row>
    <row r="126" spans="19:24" x14ac:dyDescent="0.25">
      <c r="S126" s="44">
        <f t="shared" si="11"/>
        <v>43176</v>
      </c>
      <c r="T126" s="12">
        <f>DurMod(S126,B$2,$F$7:$G$37,$T$3)</f>
        <v>7.1868385305040272</v>
      </c>
      <c r="U126" s="12">
        <f t="shared" si="7"/>
        <v>6.9732306722569479</v>
      </c>
      <c r="V126" s="30">
        <f t="shared" si="8"/>
        <v>0.50067726027397264</v>
      </c>
      <c r="W126" s="46">
        <f t="shared" si="9"/>
        <v>-7.1868385305040264E-2</v>
      </c>
      <c r="X126" s="33">
        <f t="shared" si="10"/>
        <v>2.8415983907708848E-2</v>
      </c>
    </row>
    <row r="127" spans="19:24" x14ac:dyDescent="0.25">
      <c r="S127" s="44">
        <f t="shared" si="11"/>
        <v>43177</v>
      </c>
      <c r="T127" s="12">
        <f>DurMod(S127,B$2,$F$7:$G$37,$T$3)</f>
        <v>7.1841614482024898</v>
      </c>
      <c r="U127" s="12">
        <f t="shared" si="7"/>
        <v>6.9705794955321601</v>
      </c>
      <c r="V127" s="30">
        <f t="shared" si="8"/>
        <v>0.50064986301369863</v>
      </c>
      <c r="W127" s="46">
        <f t="shared" si="9"/>
        <v>-7.184161448202489E-2</v>
      </c>
      <c r="X127" s="33">
        <f t="shared" si="10"/>
        <v>2.8415942395435899E-2</v>
      </c>
    </row>
    <row r="128" spans="19:24" x14ac:dyDescent="0.25">
      <c r="S128" s="44">
        <f t="shared" si="11"/>
        <v>43178</v>
      </c>
      <c r="T128" s="12">
        <f>DurMod(S128,B$2,$F$7:$G$37,$T$3)</f>
        <v>7.1814843659009453</v>
      </c>
      <c r="U128" s="12">
        <f t="shared" si="7"/>
        <v>6.9679283188073713</v>
      </c>
      <c r="V128" s="30">
        <f t="shared" si="8"/>
        <v>0.50062246575342473</v>
      </c>
      <c r="W128" s="46">
        <f t="shared" si="9"/>
        <v>-7.1814843659009447E-2</v>
      </c>
      <c r="X128" s="33">
        <f t="shared" si="10"/>
        <v>2.8415900883162957E-2</v>
      </c>
    </row>
    <row r="129" spans="19:24" x14ac:dyDescent="0.25">
      <c r="S129" s="44">
        <f t="shared" si="11"/>
        <v>43179</v>
      </c>
      <c r="T129" s="12">
        <f>DurMod(S129,B$2,$F$7:$G$37,$T$3)</f>
        <v>7.1788072835994061</v>
      </c>
      <c r="U129" s="12">
        <f t="shared" si="7"/>
        <v>6.9652771420825808</v>
      </c>
      <c r="V129" s="30">
        <f t="shared" si="8"/>
        <v>0.50059506849315072</v>
      </c>
      <c r="W129" s="46">
        <f t="shared" si="9"/>
        <v>-7.1788072835994046E-2</v>
      </c>
      <c r="X129" s="33">
        <f t="shared" si="10"/>
        <v>2.8415859370890011E-2</v>
      </c>
    </row>
    <row r="130" spans="19:24" x14ac:dyDescent="0.25">
      <c r="S130" s="44">
        <f t="shared" si="11"/>
        <v>43180</v>
      </c>
      <c r="T130" s="12">
        <f>DurMod(S130,B$2,$F$7:$G$37,$T$3)</f>
        <v>7.1761302012978643</v>
      </c>
      <c r="U130" s="12">
        <f t="shared" si="7"/>
        <v>6.9626259653577911</v>
      </c>
      <c r="V130" s="30">
        <f t="shared" si="8"/>
        <v>0.50056767123287671</v>
      </c>
      <c r="W130" s="46">
        <f t="shared" si="9"/>
        <v>-7.1761302012978631E-2</v>
      </c>
      <c r="X130" s="33">
        <f t="shared" si="10"/>
        <v>2.8415817858617062E-2</v>
      </c>
    </row>
    <row r="131" spans="19:24" x14ac:dyDescent="0.25">
      <c r="S131" s="44">
        <f t="shared" si="11"/>
        <v>43181</v>
      </c>
      <c r="T131" s="12">
        <f>DurMod(S131,B$2,$F$7:$G$37,$T$3)</f>
        <v>7.1734531189963251</v>
      </c>
      <c r="U131" s="12">
        <f t="shared" si="7"/>
        <v>6.9599747886330015</v>
      </c>
      <c r="V131" s="30">
        <f t="shared" si="8"/>
        <v>0.50054027397260281</v>
      </c>
      <c r="W131" s="46">
        <f t="shared" si="9"/>
        <v>-7.1734531189963244E-2</v>
      </c>
      <c r="X131" s="33">
        <f t="shared" si="10"/>
        <v>2.8415776346344127E-2</v>
      </c>
    </row>
    <row r="132" spans="19:24" x14ac:dyDescent="0.25">
      <c r="S132" s="44">
        <f t="shared" si="11"/>
        <v>43182</v>
      </c>
      <c r="T132" s="12">
        <f>DurMod(S132,B$2,$F$7:$G$37,$T$3)</f>
        <v>7.1707760366947815</v>
      </c>
      <c r="U132" s="12">
        <f t="shared" si="7"/>
        <v>6.9573236119082145</v>
      </c>
      <c r="V132" s="30">
        <f t="shared" si="8"/>
        <v>0.5005128767123288</v>
      </c>
      <c r="W132" s="46">
        <f t="shared" si="9"/>
        <v>-7.1707760366947801E-2</v>
      </c>
      <c r="X132" s="33">
        <f t="shared" si="10"/>
        <v>2.8415734834071178E-2</v>
      </c>
    </row>
    <row r="133" spans="19:24" x14ac:dyDescent="0.25">
      <c r="S133" s="44">
        <f t="shared" si="11"/>
        <v>43183</v>
      </c>
      <c r="T133" s="12">
        <f>DurMod(S133,B$2,$F$7:$G$37,$T$3)</f>
        <v>7.168098954393237</v>
      </c>
      <c r="U133" s="12">
        <f t="shared" ref="U133:U196" si="12">DurMod($S133,$B$2,$F$7:$G$37,U$3)</f>
        <v>6.9546724351834213</v>
      </c>
      <c r="V133" s="30">
        <f t="shared" ref="V133:V196" si="13">+$U$3*($S$5512-S133)/365+$T$3*(S133-$S$4)/365</f>
        <v>0.50048547945205479</v>
      </c>
      <c r="W133" s="46">
        <f t="shared" ref="W133:W196" si="14">+-T133*($U$3-$T$3)</f>
        <v>-7.1680989543932358E-2</v>
      </c>
      <c r="X133" s="33">
        <f t="shared" ref="X133:X196" si="15">+(V133+W133)*365/($S$5512-$S$4)</f>
        <v>2.8415693321798236E-2</v>
      </c>
    </row>
    <row r="134" spans="19:24" x14ac:dyDescent="0.25">
      <c r="S134" s="44">
        <f t="shared" ref="S134:S197" si="16">+S133+1</f>
        <v>43184</v>
      </c>
      <c r="T134" s="12">
        <f>DurMod(S134,B$2,$F$7:$G$37,$T$3)</f>
        <v>7.1654218720917005</v>
      </c>
      <c r="U134" s="12">
        <f t="shared" si="12"/>
        <v>6.9520212584586361</v>
      </c>
      <c r="V134" s="30">
        <f t="shared" si="13"/>
        <v>0.50045808219178078</v>
      </c>
      <c r="W134" s="46">
        <f t="shared" si="14"/>
        <v>-7.1654218720916998E-2</v>
      </c>
      <c r="X134" s="33">
        <f t="shared" si="15"/>
        <v>2.8415651809525291E-2</v>
      </c>
    </row>
    <row r="135" spans="19:24" x14ac:dyDescent="0.25">
      <c r="S135" s="44">
        <f t="shared" si="16"/>
        <v>43185</v>
      </c>
      <c r="T135" s="12">
        <f>DurMod(S135,B$2,$F$7:$G$37,$T$3)</f>
        <v>7.1627447897901586</v>
      </c>
      <c r="U135" s="12">
        <f t="shared" si="12"/>
        <v>6.9493700817338455</v>
      </c>
      <c r="V135" s="30">
        <f t="shared" si="13"/>
        <v>0.50043068493150689</v>
      </c>
      <c r="W135" s="46">
        <f t="shared" si="14"/>
        <v>-7.1627447897901569E-2</v>
      </c>
      <c r="X135" s="33">
        <f t="shared" si="15"/>
        <v>2.8415610297252352E-2</v>
      </c>
    </row>
    <row r="136" spans="19:24" x14ac:dyDescent="0.25">
      <c r="S136" s="44">
        <f t="shared" si="16"/>
        <v>43186</v>
      </c>
      <c r="T136" s="12">
        <f>DurMod(S136,B$2,$F$7:$G$37,$T$3)</f>
        <v>7.1600677074886168</v>
      </c>
      <c r="U136" s="12">
        <f t="shared" si="12"/>
        <v>6.946718905009055</v>
      </c>
      <c r="V136" s="30">
        <f t="shared" si="13"/>
        <v>0.50040328767123288</v>
      </c>
      <c r="W136" s="46">
        <f t="shared" si="14"/>
        <v>-7.1600677074886154E-2</v>
      </c>
      <c r="X136" s="33">
        <f t="shared" si="15"/>
        <v>2.84155687849794E-2</v>
      </c>
    </row>
    <row r="137" spans="19:24" x14ac:dyDescent="0.25">
      <c r="S137" s="44">
        <f t="shared" si="16"/>
        <v>43187</v>
      </c>
      <c r="T137" s="12">
        <f>DurMod(S137,B$2,$F$7:$G$37,$T$3)</f>
        <v>7.1573906251870749</v>
      </c>
      <c r="U137" s="12">
        <f t="shared" si="12"/>
        <v>6.9440677282842653</v>
      </c>
      <c r="V137" s="30">
        <f t="shared" si="13"/>
        <v>0.50037589041095887</v>
      </c>
      <c r="W137" s="46">
        <f t="shared" si="14"/>
        <v>-7.1573906251870739E-2</v>
      </c>
      <c r="X137" s="33">
        <f t="shared" si="15"/>
        <v>2.8415527272706454E-2</v>
      </c>
    </row>
    <row r="138" spans="19:24" x14ac:dyDescent="0.25">
      <c r="S138" s="44">
        <f t="shared" si="16"/>
        <v>43188</v>
      </c>
      <c r="T138" s="12">
        <f>DurMod(S138,B$2,$F$7:$G$37,$T$3)</f>
        <v>7.154713542885534</v>
      </c>
      <c r="U138" s="12">
        <f t="shared" si="12"/>
        <v>6.9414165515594783</v>
      </c>
      <c r="V138" s="30">
        <f t="shared" si="13"/>
        <v>0.50034849315068497</v>
      </c>
      <c r="W138" s="46">
        <f t="shared" si="14"/>
        <v>-7.1547135428855324E-2</v>
      </c>
      <c r="X138" s="33">
        <f t="shared" si="15"/>
        <v>2.8415485760433516E-2</v>
      </c>
    </row>
    <row r="139" spans="19:24" x14ac:dyDescent="0.25">
      <c r="S139" s="44">
        <f t="shared" si="16"/>
        <v>43189</v>
      </c>
      <c r="T139" s="12">
        <f>DurMod(S139,B$2,$F$7:$G$37,$T$3)</f>
        <v>7.1520364605839921</v>
      </c>
      <c r="U139" s="12">
        <f t="shared" si="12"/>
        <v>6.938765374834686</v>
      </c>
      <c r="V139" s="30">
        <f t="shared" si="13"/>
        <v>0.50032109589041096</v>
      </c>
      <c r="W139" s="46">
        <f t="shared" si="14"/>
        <v>-7.1520364605839909E-2</v>
      </c>
      <c r="X139" s="33">
        <f t="shared" si="15"/>
        <v>2.8415444248160577E-2</v>
      </c>
    </row>
    <row r="140" spans="19:24" x14ac:dyDescent="0.25">
      <c r="S140" s="44">
        <f t="shared" si="16"/>
        <v>43190</v>
      </c>
      <c r="T140" s="12">
        <f>DurMod(S140,B$2,$F$7:$G$37,$T$3)</f>
        <v>7.1493593782824503</v>
      </c>
      <c r="U140" s="12">
        <f t="shared" si="12"/>
        <v>6.9361141981098982</v>
      </c>
      <c r="V140" s="30">
        <f t="shared" si="13"/>
        <v>0.50029369863013706</v>
      </c>
      <c r="W140" s="46">
        <f t="shared" si="14"/>
        <v>-7.1493593782824494E-2</v>
      </c>
      <c r="X140" s="33">
        <f t="shared" si="15"/>
        <v>2.8415402735887635E-2</v>
      </c>
    </row>
    <row r="141" spans="19:24" x14ac:dyDescent="0.25">
      <c r="S141" s="44">
        <f t="shared" si="16"/>
        <v>43191</v>
      </c>
      <c r="T141" s="12">
        <f>DurMod(S141,B$2,$F$7:$G$37,$T$3)</f>
        <v>7.1466822959809111</v>
      </c>
      <c r="U141" s="12">
        <f t="shared" si="12"/>
        <v>6.9334630213851076</v>
      </c>
      <c r="V141" s="30">
        <f t="shared" si="13"/>
        <v>0.50026630136986305</v>
      </c>
      <c r="W141" s="46">
        <f t="shared" si="14"/>
        <v>-7.1466822959809106E-2</v>
      </c>
      <c r="X141" s="33">
        <f t="shared" si="15"/>
        <v>2.8415361223614686E-2</v>
      </c>
    </row>
    <row r="142" spans="19:24" x14ac:dyDescent="0.25">
      <c r="S142" s="44">
        <f t="shared" si="16"/>
        <v>43192</v>
      </c>
      <c r="T142" s="12">
        <f>DurMod(S142,B$2,$F$7:$G$37,$T$3)</f>
        <v>7.1440052136793684</v>
      </c>
      <c r="U142" s="12">
        <f t="shared" si="12"/>
        <v>6.9308118446603189</v>
      </c>
      <c r="V142" s="30">
        <f t="shared" si="13"/>
        <v>0.50023890410958904</v>
      </c>
      <c r="W142" s="46">
        <f t="shared" si="14"/>
        <v>-7.1440052136793677E-2</v>
      </c>
      <c r="X142" s="33">
        <f t="shared" si="15"/>
        <v>2.8415319711341744E-2</v>
      </c>
    </row>
    <row r="143" spans="19:24" x14ac:dyDescent="0.25">
      <c r="S143" s="44">
        <f t="shared" si="16"/>
        <v>43193</v>
      </c>
      <c r="T143" s="12">
        <f>DurMod(S143,B$2,$F$7:$G$37,$T$3)</f>
        <v>7.1413281313778274</v>
      </c>
      <c r="U143" s="12">
        <f t="shared" si="12"/>
        <v>6.9281606679355283</v>
      </c>
      <c r="V143" s="30">
        <f t="shared" si="13"/>
        <v>0.50021150684931504</v>
      </c>
      <c r="W143" s="46">
        <f t="shared" si="14"/>
        <v>-7.1413281313778262E-2</v>
      </c>
      <c r="X143" s="33">
        <f t="shared" si="15"/>
        <v>2.8415278199068791E-2</v>
      </c>
    </row>
    <row r="144" spans="19:24" x14ac:dyDescent="0.25">
      <c r="S144" s="44">
        <f t="shared" si="16"/>
        <v>43194</v>
      </c>
      <c r="T144" s="12">
        <f>DurMod(S144,B$2,$F$7:$G$37,$T$3)</f>
        <v>7.1386510490762847</v>
      </c>
      <c r="U144" s="12">
        <f t="shared" si="12"/>
        <v>6.9255094912107404</v>
      </c>
      <c r="V144" s="30">
        <f t="shared" si="13"/>
        <v>0.50018410958904114</v>
      </c>
      <c r="W144" s="46">
        <f t="shared" si="14"/>
        <v>-7.1386510490762833E-2</v>
      </c>
      <c r="X144" s="33">
        <f t="shared" si="15"/>
        <v>2.8415236686795856E-2</v>
      </c>
    </row>
    <row r="145" spans="19:24" x14ac:dyDescent="0.25">
      <c r="S145" s="44">
        <f t="shared" si="16"/>
        <v>43195</v>
      </c>
      <c r="T145" s="12">
        <f>DurMod(S145,B$2,$F$7:$G$37,$T$3)</f>
        <v>7.1359739667747437</v>
      </c>
      <c r="U145" s="12">
        <f t="shared" si="12"/>
        <v>6.9228583144859517</v>
      </c>
      <c r="V145" s="30">
        <f t="shared" si="13"/>
        <v>0.50015671232876713</v>
      </c>
      <c r="W145" s="46">
        <f t="shared" si="14"/>
        <v>-7.1359739667747432E-2</v>
      </c>
      <c r="X145" s="33">
        <f t="shared" si="15"/>
        <v>2.8415195174522907E-2</v>
      </c>
    </row>
    <row r="146" spans="19:24" x14ac:dyDescent="0.25">
      <c r="S146" s="44">
        <f t="shared" si="16"/>
        <v>43196</v>
      </c>
      <c r="T146" s="12">
        <f>DurMod(S146,B$2,$F$7:$G$37,$T$3)</f>
        <v>7.1332968844732045</v>
      </c>
      <c r="U146" s="12">
        <f t="shared" si="12"/>
        <v>6.9202071377611594</v>
      </c>
      <c r="V146" s="30">
        <f t="shared" si="13"/>
        <v>0.50012931506849312</v>
      </c>
      <c r="W146" s="46">
        <f t="shared" si="14"/>
        <v>-7.1332968844732031E-2</v>
      </c>
      <c r="X146" s="33">
        <f t="shared" si="15"/>
        <v>2.8415153662249962E-2</v>
      </c>
    </row>
    <row r="147" spans="19:24" x14ac:dyDescent="0.25">
      <c r="S147" s="44">
        <f t="shared" si="16"/>
        <v>43197</v>
      </c>
      <c r="T147" s="12">
        <f>DurMod(S147,B$2,$F$7:$G$37,$T$3)</f>
        <v>7.1306198021716645</v>
      </c>
      <c r="U147" s="12">
        <f t="shared" si="12"/>
        <v>6.9175559610363742</v>
      </c>
      <c r="V147" s="30">
        <f t="shared" si="13"/>
        <v>0.50010191780821922</v>
      </c>
      <c r="W147" s="46">
        <f t="shared" si="14"/>
        <v>-7.130619802171663E-2</v>
      </c>
      <c r="X147" s="33">
        <f t="shared" si="15"/>
        <v>2.8415112149977023E-2</v>
      </c>
    </row>
    <row r="148" spans="19:24" x14ac:dyDescent="0.25">
      <c r="S148" s="44">
        <f t="shared" si="16"/>
        <v>43198</v>
      </c>
      <c r="T148" s="12">
        <f>DurMod(S148,B$2,$F$7:$G$37,$T$3)</f>
        <v>7.1279427198701217</v>
      </c>
      <c r="U148" s="12">
        <f t="shared" si="12"/>
        <v>6.9149047843115863</v>
      </c>
      <c r="V148" s="30">
        <f t="shared" si="13"/>
        <v>0.50007452054794521</v>
      </c>
      <c r="W148" s="46">
        <f t="shared" si="14"/>
        <v>-7.1279427198701201E-2</v>
      </c>
      <c r="X148" s="33">
        <f t="shared" si="15"/>
        <v>2.8415070637704081E-2</v>
      </c>
    </row>
    <row r="149" spans="19:24" x14ac:dyDescent="0.25">
      <c r="S149" s="44">
        <f t="shared" si="16"/>
        <v>43199</v>
      </c>
      <c r="T149" s="12">
        <f>DurMod(S149,B$2,$F$7:$G$37,$T$3)</f>
        <v>7.1252656375685808</v>
      </c>
      <c r="U149" s="12">
        <f t="shared" si="12"/>
        <v>6.9122536075867949</v>
      </c>
      <c r="V149" s="30">
        <f t="shared" si="13"/>
        <v>0.5000471232876712</v>
      </c>
      <c r="W149" s="46">
        <f t="shared" si="14"/>
        <v>-7.1252656375685799E-2</v>
      </c>
      <c r="X149" s="33">
        <f t="shared" si="15"/>
        <v>2.8415029125431136E-2</v>
      </c>
    </row>
    <row r="150" spans="19:24" x14ac:dyDescent="0.25">
      <c r="S150" s="44">
        <f t="shared" si="16"/>
        <v>43200</v>
      </c>
      <c r="T150" s="12">
        <f>DurMod(S150,B$2,$F$7:$G$37,$T$3)</f>
        <v>7.122588555267038</v>
      </c>
      <c r="U150" s="12">
        <f t="shared" si="12"/>
        <v>6.9096024308620052</v>
      </c>
      <c r="V150" s="30">
        <f t="shared" si="13"/>
        <v>0.5000197260273973</v>
      </c>
      <c r="W150" s="46">
        <f t="shared" si="14"/>
        <v>-7.122588555267037E-2</v>
      </c>
      <c r="X150" s="33">
        <f t="shared" si="15"/>
        <v>2.8414987613158194E-2</v>
      </c>
    </row>
    <row r="151" spans="19:24" x14ac:dyDescent="0.25">
      <c r="S151" s="44">
        <f t="shared" si="16"/>
        <v>43201</v>
      </c>
      <c r="T151" s="12">
        <f>DurMod(S151,B$2,$F$7:$G$37,$T$3)</f>
        <v>7.119911472965498</v>
      </c>
      <c r="U151" s="12">
        <f t="shared" si="12"/>
        <v>6.9069512541372147</v>
      </c>
      <c r="V151" s="30">
        <f t="shared" si="13"/>
        <v>0.4999923287671233</v>
      </c>
      <c r="W151" s="46">
        <f t="shared" si="14"/>
        <v>-7.1199114729654969E-2</v>
      </c>
      <c r="X151" s="33">
        <f t="shared" si="15"/>
        <v>2.8414946100885245E-2</v>
      </c>
    </row>
    <row r="152" spans="19:24" x14ac:dyDescent="0.25">
      <c r="S152" s="44">
        <f t="shared" si="16"/>
        <v>43202</v>
      </c>
      <c r="T152" s="12">
        <f>DurMod(S152,B$2,$F$7:$G$37,$T$3)</f>
        <v>7.1172343906639588</v>
      </c>
      <c r="U152" s="12">
        <f t="shared" si="12"/>
        <v>6.9043000774124277</v>
      </c>
      <c r="V152" s="30">
        <f t="shared" si="13"/>
        <v>0.49996493150684929</v>
      </c>
      <c r="W152" s="46">
        <f t="shared" si="14"/>
        <v>-7.1172343906639582E-2</v>
      </c>
      <c r="X152" s="33">
        <f t="shared" si="15"/>
        <v>2.8414904588612299E-2</v>
      </c>
    </row>
    <row r="153" spans="19:24" x14ac:dyDescent="0.25">
      <c r="S153" s="44">
        <f t="shared" si="16"/>
        <v>43203</v>
      </c>
      <c r="T153" s="12">
        <f>DurMod(S153,B$2,$F$7:$G$37,$T$3)</f>
        <v>7.114557308362417</v>
      </c>
      <c r="U153" s="12">
        <f t="shared" si="12"/>
        <v>6.901648900687638</v>
      </c>
      <c r="V153" s="30">
        <f t="shared" si="13"/>
        <v>0.49993753424657539</v>
      </c>
      <c r="W153" s="46">
        <f t="shared" si="14"/>
        <v>-7.1145573083624153E-2</v>
      </c>
      <c r="X153" s="33">
        <f t="shared" si="15"/>
        <v>2.841486307633936E-2</v>
      </c>
    </row>
    <row r="154" spans="19:24" x14ac:dyDescent="0.25">
      <c r="S154" s="44">
        <f t="shared" si="16"/>
        <v>43204</v>
      </c>
      <c r="T154" s="12">
        <f>DurMod(S154,B$2,$F$7:$G$37,$T$3)</f>
        <v>7.111880226060876</v>
      </c>
      <c r="U154" s="12">
        <f t="shared" si="12"/>
        <v>6.8989977239628475</v>
      </c>
      <c r="V154" s="30">
        <f t="shared" si="13"/>
        <v>0.49991013698630138</v>
      </c>
      <c r="W154" s="46">
        <f t="shared" si="14"/>
        <v>-7.1118802260608752E-2</v>
      </c>
      <c r="X154" s="33">
        <f t="shared" si="15"/>
        <v>2.8414821564066415E-2</v>
      </c>
    </row>
    <row r="155" spans="19:24" x14ac:dyDescent="0.25">
      <c r="S155" s="44">
        <f t="shared" si="16"/>
        <v>43205</v>
      </c>
      <c r="T155" s="12">
        <f>DurMod(S155,B$2,$F$7:$G$37,$T$3)</f>
        <v>7.1092031437593324</v>
      </c>
      <c r="U155" s="12">
        <f t="shared" si="12"/>
        <v>6.8963465472380587</v>
      </c>
      <c r="V155" s="30">
        <f t="shared" si="13"/>
        <v>0.49988273972602737</v>
      </c>
      <c r="W155" s="46">
        <f t="shared" si="14"/>
        <v>-7.1092031437593309E-2</v>
      </c>
      <c r="X155" s="33">
        <f t="shared" si="15"/>
        <v>2.8414780051793473E-2</v>
      </c>
    </row>
    <row r="156" spans="19:24" x14ac:dyDescent="0.25">
      <c r="S156" s="44">
        <f t="shared" si="16"/>
        <v>43206</v>
      </c>
      <c r="T156" s="12">
        <f>DurMod(S156,B$2,$F$7:$G$37,$T$3)</f>
        <v>7.1065260614577923</v>
      </c>
      <c r="U156" s="12">
        <f t="shared" si="12"/>
        <v>6.8936953705132673</v>
      </c>
      <c r="V156" s="30">
        <f t="shared" si="13"/>
        <v>0.49985534246575342</v>
      </c>
      <c r="W156" s="46">
        <f t="shared" si="14"/>
        <v>-7.1065260614577908E-2</v>
      </c>
      <c r="X156" s="33">
        <f t="shared" si="15"/>
        <v>2.8414738539520524E-2</v>
      </c>
    </row>
    <row r="157" spans="19:24" x14ac:dyDescent="0.25">
      <c r="S157" s="44">
        <f t="shared" si="16"/>
        <v>43207</v>
      </c>
      <c r="T157" s="12">
        <f>DurMod(S157,B$2,$F$7:$G$37,$T$3)</f>
        <v>7.1038489791562531</v>
      </c>
      <c r="U157" s="12">
        <f t="shared" si="12"/>
        <v>6.8910441937884812</v>
      </c>
      <c r="V157" s="30">
        <f t="shared" si="13"/>
        <v>0.49982794520547941</v>
      </c>
      <c r="W157" s="46">
        <f t="shared" si="14"/>
        <v>-7.103848979156252E-2</v>
      </c>
      <c r="X157" s="33">
        <f t="shared" si="15"/>
        <v>2.8414697027247578E-2</v>
      </c>
    </row>
    <row r="158" spans="19:24" x14ac:dyDescent="0.25">
      <c r="S158" s="44">
        <f t="shared" si="16"/>
        <v>43208</v>
      </c>
      <c r="T158" s="12">
        <f>DurMod(S158,B$2,$F$7:$G$37,$T$3)</f>
        <v>7.1011718968547095</v>
      </c>
      <c r="U158" s="12">
        <f t="shared" si="12"/>
        <v>6.8883930170636889</v>
      </c>
      <c r="V158" s="30">
        <f t="shared" si="13"/>
        <v>0.49980054794520551</v>
      </c>
      <c r="W158" s="46">
        <f t="shared" si="14"/>
        <v>-7.1011718968547077E-2</v>
      </c>
      <c r="X158" s="33">
        <f t="shared" si="15"/>
        <v>2.841465551497464E-2</v>
      </c>
    </row>
    <row r="159" spans="19:24" x14ac:dyDescent="0.25">
      <c r="S159" s="44">
        <f t="shared" si="16"/>
        <v>43209</v>
      </c>
      <c r="T159" s="12">
        <f>DurMod(S159,B$2,$F$7:$G$37,$T$3)</f>
        <v>7.0984948145531712</v>
      </c>
      <c r="U159" s="12">
        <f t="shared" si="12"/>
        <v>6.8857418403389028</v>
      </c>
      <c r="V159" s="30">
        <f t="shared" si="13"/>
        <v>0.4997731506849315</v>
      </c>
      <c r="W159" s="46">
        <f t="shared" si="14"/>
        <v>-7.0984948145531704E-2</v>
      </c>
      <c r="X159" s="33">
        <f t="shared" si="15"/>
        <v>2.8414614002701694E-2</v>
      </c>
    </row>
    <row r="160" spans="19:24" x14ac:dyDescent="0.25">
      <c r="S160" s="44">
        <f t="shared" si="16"/>
        <v>43210</v>
      </c>
      <c r="T160" s="12">
        <f>DurMod(S160,B$2,$F$7:$G$37,$T$3)</f>
        <v>7.0958177322516258</v>
      </c>
      <c r="U160" s="12">
        <f t="shared" si="12"/>
        <v>6.8830906636141149</v>
      </c>
      <c r="V160" s="30">
        <f t="shared" si="13"/>
        <v>0.49974575342465755</v>
      </c>
      <c r="W160" s="46">
        <f t="shared" si="14"/>
        <v>-7.0958177322516247E-2</v>
      </c>
      <c r="X160" s="33">
        <f t="shared" si="15"/>
        <v>2.8414572490428752E-2</v>
      </c>
    </row>
    <row r="161" spans="19:24" x14ac:dyDescent="0.25">
      <c r="S161" s="44">
        <f t="shared" si="16"/>
        <v>43211</v>
      </c>
      <c r="T161" s="12">
        <f>DurMod(S161,B$2,$F$7:$G$37,$T$3)</f>
        <v>7.0931406499500875</v>
      </c>
      <c r="U161" s="12">
        <f t="shared" si="12"/>
        <v>6.8804394868893226</v>
      </c>
      <c r="V161" s="30">
        <f t="shared" si="13"/>
        <v>0.49971835616438354</v>
      </c>
      <c r="W161" s="46">
        <f t="shared" si="14"/>
        <v>-7.093140649950086E-2</v>
      </c>
      <c r="X161" s="33">
        <f t="shared" si="15"/>
        <v>2.8414530978155807E-2</v>
      </c>
    </row>
    <row r="162" spans="19:24" x14ac:dyDescent="0.25">
      <c r="S162" s="44">
        <f t="shared" si="16"/>
        <v>43212</v>
      </c>
      <c r="T162" s="12">
        <f>DurMod(S162,B$2,$F$7:$G$37,$T$3)</f>
        <v>7.0904635676485448</v>
      </c>
      <c r="U162" s="12">
        <f t="shared" si="12"/>
        <v>6.877788310164533</v>
      </c>
      <c r="V162" s="30">
        <f t="shared" si="13"/>
        <v>0.49969095890410958</v>
      </c>
      <c r="W162" s="46">
        <f t="shared" si="14"/>
        <v>-7.0904635676485431E-2</v>
      </c>
      <c r="X162" s="33">
        <f t="shared" si="15"/>
        <v>2.8414489465882865E-2</v>
      </c>
    </row>
    <row r="163" spans="19:24" x14ac:dyDescent="0.25">
      <c r="S163" s="44">
        <f t="shared" si="16"/>
        <v>43213</v>
      </c>
      <c r="T163" s="12">
        <f>DurMod(S163,B$2,$F$7:$G$37,$T$3)</f>
        <v>7.0877864853470038</v>
      </c>
      <c r="U163" s="12">
        <f t="shared" si="12"/>
        <v>6.875137133439746</v>
      </c>
      <c r="V163" s="30">
        <f t="shared" si="13"/>
        <v>0.49966356164383563</v>
      </c>
      <c r="W163" s="46">
        <f t="shared" si="14"/>
        <v>-7.087786485347003E-2</v>
      </c>
      <c r="X163" s="33">
        <f t="shared" si="15"/>
        <v>2.8414447953609923E-2</v>
      </c>
    </row>
    <row r="164" spans="19:24" x14ac:dyDescent="0.25">
      <c r="S164" s="44">
        <f t="shared" si="16"/>
        <v>43214</v>
      </c>
      <c r="T164" s="12">
        <f>DurMod(S164,B$2,$F$7:$G$37,$T$3)</f>
        <v>7.085109403045462</v>
      </c>
      <c r="U164" s="12">
        <f t="shared" si="12"/>
        <v>6.8724859567149545</v>
      </c>
      <c r="V164" s="30">
        <f t="shared" si="13"/>
        <v>0.49963616438356162</v>
      </c>
      <c r="W164" s="46">
        <f t="shared" si="14"/>
        <v>-7.0851094030454614E-2</v>
      </c>
      <c r="X164" s="33">
        <f t="shared" si="15"/>
        <v>2.8414406441336974E-2</v>
      </c>
    </row>
    <row r="165" spans="19:24" x14ac:dyDescent="0.25">
      <c r="S165" s="44">
        <f t="shared" si="16"/>
        <v>43215</v>
      </c>
      <c r="T165" s="12">
        <f>DurMod(S165,B$2,$F$7:$G$37,$T$3)</f>
        <v>7.0824323207439219</v>
      </c>
      <c r="U165" s="12">
        <f t="shared" si="12"/>
        <v>6.8698347799901649</v>
      </c>
      <c r="V165" s="30">
        <f t="shared" si="13"/>
        <v>0.49960876712328767</v>
      </c>
      <c r="W165" s="46">
        <f t="shared" si="14"/>
        <v>-7.0824323207439213E-2</v>
      </c>
      <c r="X165" s="33">
        <f t="shared" si="15"/>
        <v>2.8414364929064032E-2</v>
      </c>
    </row>
    <row r="166" spans="19:24" x14ac:dyDescent="0.25">
      <c r="S166" s="44">
        <f t="shared" si="16"/>
        <v>43216</v>
      </c>
      <c r="T166" s="12">
        <f>DurMod(S166,B$2,$F$7:$G$37,$T$3)</f>
        <v>7.0797552384423783</v>
      </c>
      <c r="U166" s="12">
        <f t="shared" si="12"/>
        <v>6.8671836032653761</v>
      </c>
      <c r="V166" s="30">
        <f t="shared" si="13"/>
        <v>0.49958136986301366</v>
      </c>
      <c r="W166" s="46">
        <f t="shared" si="14"/>
        <v>-7.079755238442377E-2</v>
      </c>
      <c r="X166" s="33">
        <f t="shared" si="15"/>
        <v>2.8414323416791089E-2</v>
      </c>
    </row>
    <row r="167" spans="19:24" x14ac:dyDescent="0.25">
      <c r="S167" s="44">
        <f t="shared" si="16"/>
        <v>43217</v>
      </c>
      <c r="T167" s="12">
        <f>DurMod(S167,B$2,$F$7:$G$37,$T$3)</f>
        <v>7.0770781561408374</v>
      </c>
      <c r="U167" s="12">
        <f t="shared" si="12"/>
        <v>6.86453242654059</v>
      </c>
      <c r="V167" s="30">
        <f t="shared" si="13"/>
        <v>0.49955397260273976</v>
      </c>
      <c r="W167" s="46">
        <f t="shared" si="14"/>
        <v>-7.0770781561408369E-2</v>
      </c>
      <c r="X167" s="33">
        <f t="shared" si="15"/>
        <v>2.8414281904518147E-2</v>
      </c>
    </row>
    <row r="168" spans="19:24" x14ac:dyDescent="0.25">
      <c r="S168" s="44">
        <f t="shared" si="16"/>
        <v>43218</v>
      </c>
      <c r="T168" s="12">
        <f>DurMod(S168,B$2,$F$7:$G$37,$T$3)</f>
        <v>7.0744010738392982</v>
      </c>
      <c r="U168" s="12">
        <f t="shared" si="12"/>
        <v>6.8618812498157942</v>
      </c>
      <c r="V168" s="30">
        <f t="shared" si="13"/>
        <v>0.49952657534246575</v>
      </c>
      <c r="W168" s="46">
        <f t="shared" si="14"/>
        <v>-7.0744010738392968E-2</v>
      </c>
      <c r="X168" s="33">
        <f t="shared" si="15"/>
        <v>2.8414240392245202E-2</v>
      </c>
    </row>
    <row r="169" spans="19:24" x14ac:dyDescent="0.25">
      <c r="S169" s="44">
        <f t="shared" si="16"/>
        <v>43219</v>
      </c>
      <c r="T169" s="12">
        <f>DurMod(S169,B$2,$F$7:$G$37,$T$3)</f>
        <v>7.0717239915377554</v>
      </c>
      <c r="U169" s="12">
        <f t="shared" si="12"/>
        <v>6.8592300730910081</v>
      </c>
      <c r="V169" s="30">
        <f t="shared" si="13"/>
        <v>0.49949917808219174</v>
      </c>
      <c r="W169" s="46">
        <f t="shared" si="14"/>
        <v>-7.0717239915377539E-2</v>
      </c>
      <c r="X169" s="33">
        <f t="shared" si="15"/>
        <v>2.8414198879972253E-2</v>
      </c>
    </row>
    <row r="170" spans="19:24" x14ac:dyDescent="0.25">
      <c r="S170" s="44">
        <f t="shared" si="16"/>
        <v>43220</v>
      </c>
      <c r="T170" s="12">
        <f>DurMod(S170,B$2,$F$7:$G$37,$T$3)</f>
        <v>7.0690469092362163</v>
      </c>
      <c r="U170" s="12">
        <f t="shared" si="12"/>
        <v>6.8565788963662193</v>
      </c>
      <c r="V170" s="30">
        <f t="shared" si="13"/>
        <v>0.49947178082191779</v>
      </c>
      <c r="W170" s="46">
        <f t="shared" si="14"/>
        <v>-7.0690469092362151E-2</v>
      </c>
      <c r="X170" s="33">
        <f t="shared" si="15"/>
        <v>2.8414157367699311E-2</v>
      </c>
    </row>
    <row r="171" spans="19:24" x14ac:dyDescent="0.25">
      <c r="S171" s="44">
        <f t="shared" si="16"/>
        <v>43221</v>
      </c>
      <c r="T171" s="12">
        <f>DurMod(S171,B$2,$F$7:$G$37,$T$3)</f>
        <v>7.0663698269346753</v>
      </c>
      <c r="U171" s="12">
        <f t="shared" si="12"/>
        <v>6.8539277196414279</v>
      </c>
      <c r="V171" s="30">
        <f t="shared" si="13"/>
        <v>0.49944438356164383</v>
      </c>
      <c r="W171" s="46">
        <f t="shared" si="14"/>
        <v>-7.0663698269346736E-2</v>
      </c>
      <c r="X171" s="33">
        <f t="shared" si="15"/>
        <v>2.8414115855426365E-2</v>
      </c>
    </row>
    <row r="172" spans="19:24" x14ac:dyDescent="0.25">
      <c r="S172" s="44">
        <f t="shared" si="16"/>
        <v>43222</v>
      </c>
      <c r="T172" s="12">
        <f>DurMod(S172,B$2,$F$7:$G$37,$T$3)</f>
        <v>7.0636927446331326</v>
      </c>
      <c r="U172" s="12">
        <f t="shared" si="12"/>
        <v>6.85127654291664</v>
      </c>
      <c r="V172" s="30">
        <f t="shared" si="13"/>
        <v>0.49941698630136988</v>
      </c>
      <c r="W172" s="46">
        <f t="shared" si="14"/>
        <v>-7.0636927446331321E-2</v>
      </c>
      <c r="X172" s="33">
        <f t="shared" si="15"/>
        <v>2.8414074343153427E-2</v>
      </c>
    </row>
    <row r="173" spans="19:24" x14ac:dyDescent="0.25">
      <c r="S173" s="44">
        <f t="shared" si="16"/>
        <v>43223</v>
      </c>
      <c r="T173" s="12">
        <f>DurMod(S173,B$2,$F$7:$G$37,$T$3)</f>
        <v>7.0610156623315925</v>
      </c>
      <c r="U173" s="12">
        <f t="shared" si="12"/>
        <v>6.848625366191853</v>
      </c>
      <c r="V173" s="30">
        <f t="shared" si="13"/>
        <v>0.49938958904109587</v>
      </c>
      <c r="W173" s="46">
        <f t="shared" si="14"/>
        <v>-7.061015662331592E-2</v>
      </c>
      <c r="X173" s="33">
        <f t="shared" si="15"/>
        <v>2.8414032830880481E-2</v>
      </c>
    </row>
    <row r="174" spans="19:24" x14ac:dyDescent="0.25">
      <c r="S174" s="44">
        <f t="shared" si="16"/>
        <v>43224</v>
      </c>
      <c r="T174" s="12">
        <f>DurMod(S174,B$2,$F$7:$G$37,$T$3)</f>
        <v>7.058338580030048</v>
      </c>
      <c r="U174" s="12">
        <f t="shared" si="12"/>
        <v>6.8459741894670616</v>
      </c>
      <c r="V174" s="30">
        <f t="shared" si="13"/>
        <v>0.49936219178082186</v>
      </c>
      <c r="W174" s="46">
        <f t="shared" si="14"/>
        <v>-7.0583385800300463E-2</v>
      </c>
      <c r="X174" s="33">
        <f t="shared" si="15"/>
        <v>2.8413991318607539E-2</v>
      </c>
    </row>
    <row r="175" spans="19:24" x14ac:dyDescent="0.25">
      <c r="S175" s="44">
        <f t="shared" si="16"/>
        <v>43225</v>
      </c>
      <c r="T175" s="12">
        <f>DurMod(S175,B$2,$F$7:$G$37,$T$3)</f>
        <v>7.0556614977285115</v>
      </c>
      <c r="U175" s="12">
        <f t="shared" si="12"/>
        <v>6.8433230127422702</v>
      </c>
      <c r="V175" s="30">
        <f t="shared" si="13"/>
        <v>0.49933479452054791</v>
      </c>
      <c r="W175" s="46">
        <f t="shared" si="14"/>
        <v>-7.0556614977285104E-2</v>
      </c>
      <c r="X175" s="33">
        <f t="shared" si="15"/>
        <v>2.841394980633459E-2</v>
      </c>
    </row>
    <row r="176" spans="19:24" x14ac:dyDescent="0.25">
      <c r="S176" s="44">
        <f t="shared" si="16"/>
        <v>43226</v>
      </c>
      <c r="T176" s="12">
        <f>DurMod(S176,B$2,$F$7:$G$37,$T$3)</f>
        <v>7.0529844154269687</v>
      </c>
      <c r="U176" s="12">
        <f t="shared" si="12"/>
        <v>6.8406718360174841</v>
      </c>
      <c r="V176" s="30">
        <f t="shared" si="13"/>
        <v>0.49930739726027396</v>
      </c>
      <c r="W176" s="46">
        <f t="shared" si="14"/>
        <v>-7.0529844154269675E-2</v>
      </c>
      <c r="X176" s="33">
        <f t="shared" si="15"/>
        <v>2.8413908294061648E-2</v>
      </c>
    </row>
    <row r="177" spans="19:24" x14ac:dyDescent="0.25">
      <c r="S177" s="44">
        <f t="shared" si="16"/>
        <v>43227</v>
      </c>
      <c r="T177" s="12">
        <f>DurMod(S177,B$2,$F$7:$G$37,$T$3)</f>
        <v>7.050307333125426</v>
      </c>
      <c r="U177" s="12">
        <f t="shared" si="12"/>
        <v>6.8380206592926926</v>
      </c>
      <c r="V177" s="30">
        <f t="shared" si="13"/>
        <v>0.49928</v>
      </c>
      <c r="W177" s="46">
        <f t="shared" si="14"/>
        <v>-7.0503073331254246E-2</v>
      </c>
      <c r="X177" s="33">
        <f t="shared" si="15"/>
        <v>2.8413866781788706E-2</v>
      </c>
    </row>
    <row r="178" spans="19:24" x14ac:dyDescent="0.25">
      <c r="S178" s="44">
        <f t="shared" si="16"/>
        <v>43228</v>
      </c>
      <c r="T178" s="12">
        <f>DurMod(S178,B$2,$F$7:$G$37,$T$3)</f>
        <v>7.0476302508238877</v>
      </c>
      <c r="U178" s="12">
        <f t="shared" si="12"/>
        <v>6.8353694825679039</v>
      </c>
      <c r="V178" s="30">
        <f t="shared" si="13"/>
        <v>0.49925260273972599</v>
      </c>
      <c r="W178" s="46">
        <f t="shared" si="14"/>
        <v>-7.0476302508238872E-2</v>
      </c>
      <c r="X178" s="33">
        <f t="shared" si="15"/>
        <v>2.8413825269515757E-2</v>
      </c>
    </row>
    <row r="179" spans="19:24" x14ac:dyDescent="0.25">
      <c r="S179" s="44">
        <f t="shared" si="16"/>
        <v>43229</v>
      </c>
      <c r="T179" s="12">
        <f>DurMod(S179,B$2,$F$7:$G$37,$T$3)</f>
        <v>7.044953168522345</v>
      </c>
      <c r="U179" s="12">
        <f t="shared" si="12"/>
        <v>6.832718305843116</v>
      </c>
      <c r="V179" s="30">
        <f t="shared" si="13"/>
        <v>0.49922520547945204</v>
      </c>
      <c r="W179" s="46">
        <f t="shared" si="14"/>
        <v>-7.0449531685223443E-2</v>
      </c>
      <c r="X179" s="33">
        <f t="shared" si="15"/>
        <v>2.8413783757242819E-2</v>
      </c>
    </row>
    <row r="180" spans="19:24" x14ac:dyDescent="0.25">
      <c r="S180" s="44">
        <f t="shared" si="16"/>
        <v>43230</v>
      </c>
      <c r="T180" s="12">
        <f>DurMod(S180,B$2,$F$7:$G$37,$T$3)</f>
        <v>7.0422760862208014</v>
      </c>
      <c r="U180" s="12">
        <f t="shared" si="12"/>
        <v>6.830067129118329</v>
      </c>
      <c r="V180" s="30">
        <f t="shared" si="13"/>
        <v>0.49919780821917809</v>
      </c>
      <c r="W180" s="46">
        <f t="shared" si="14"/>
        <v>-7.0422760862208E-2</v>
      </c>
      <c r="X180" s="33">
        <f t="shared" si="15"/>
        <v>2.8413742244969876E-2</v>
      </c>
    </row>
    <row r="181" spans="19:24" x14ac:dyDescent="0.25">
      <c r="S181" s="44">
        <f t="shared" si="16"/>
        <v>43231</v>
      </c>
      <c r="T181" s="12">
        <f>DurMod(S181,B$2,$F$7:$G$37,$T$3)</f>
        <v>7.0395990039192613</v>
      </c>
      <c r="U181" s="12">
        <f t="shared" si="12"/>
        <v>6.8274159523935367</v>
      </c>
      <c r="V181" s="30">
        <f t="shared" si="13"/>
        <v>0.49917041095890408</v>
      </c>
      <c r="W181" s="46">
        <f t="shared" si="14"/>
        <v>-7.0395990039192599E-2</v>
      </c>
      <c r="X181" s="33">
        <f t="shared" si="15"/>
        <v>2.8413700732696931E-2</v>
      </c>
    </row>
    <row r="182" spans="19:24" x14ac:dyDescent="0.25">
      <c r="S182" s="44">
        <f t="shared" si="16"/>
        <v>43232</v>
      </c>
      <c r="T182" s="12">
        <f>DurMod(S182,B$2,$F$7:$G$37,$T$3)</f>
        <v>7.0369219216177221</v>
      </c>
      <c r="U182" s="12">
        <f t="shared" si="12"/>
        <v>6.8247647756687462</v>
      </c>
      <c r="V182" s="30">
        <f t="shared" si="13"/>
        <v>0.49914301369863012</v>
      </c>
      <c r="W182" s="46">
        <f t="shared" si="14"/>
        <v>-7.0369219216177212E-2</v>
      </c>
      <c r="X182" s="33">
        <f t="shared" si="15"/>
        <v>2.8413659220423982E-2</v>
      </c>
    </row>
    <row r="183" spans="19:24" x14ac:dyDescent="0.25">
      <c r="S183" s="44">
        <f t="shared" si="16"/>
        <v>43233</v>
      </c>
      <c r="T183" s="12">
        <f>DurMod(S183,B$2,$F$7:$G$37,$T$3)</f>
        <v>7.0342448393161803</v>
      </c>
      <c r="U183" s="12">
        <f t="shared" si="12"/>
        <v>6.822113598943961</v>
      </c>
      <c r="V183" s="30">
        <f t="shared" si="13"/>
        <v>0.49911561643835611</v>
      </c>
      <c r="W183" s="46">
        <f t="shared" si="14"/>
        <v>-7.0342448393161797E-2</v>
      </c>
      <c r="X183" s="33">
        <f t="shared" si="15"/>
        <v>2.841361770815104E-2</v>
      </c>
    </row>
    <row r="184" spans="19:24" x14ac:dyDescent="0.25">
      <c r="S184" s="44">
        <f t="shared" si="16"/>
        <v>43234</v>
      </c>
      <c r="T184" s="12">
        <f>DurMod(S184,B$2,$F$7:$G$37,$T$3)</f>
        <v>7.0315677570146384</v>
      </c>
      <c r="U184" s="12">
        <f t="shared" si="12"/>
        <v>6.8194624222191695</v>
      </c>
      <c r="V184" s="30">
        <f t="shared" si="13"/>
        <v>0.49908821917808216</v>
      </c>
      <c r="W184" s="46">
        <f t="shared" si="14"/>
        <v>-7.0315677570146368E-2</v>
      </c>
      <c r="X184" s="33">
        <f t="shared" si="15"/>
        <v>2.8413576195878098E-2</v>
      </c>
    </row>
    <row r="185" spans="19:24" x14ac:dyDescent="0.25">
      <c r="S185" s="44">
        <f t="shared" si="16"/>
        <v>43235</v>
      </c>
      <c r="T185" s="12">
        <f>DurMod(S185,B$2,$F$7:$G$37,$T$3)</f>
        <v>7.0288906747130984</v>
      </c>
      <c r="U185" s="12">
        <f t="shared" si="12"/>
        <v>6.8168112454943817</v>
      </c>
      <c r="V185" s="30">
        <f t="shared" si="13"/>
        <v>0.49906082191780821</v>
      </c>
      <c r="W185" s="46">
        <f t="shared" si="14"/>
        <v>-7.0288906747130966E-2</v>
      </c>
      <c r="X185" s="33">
        <f t="shared" si="15"/>
        <v>2.8413534683605156E-2</v>
      </c>
    </row>
    <row r="186" spans="19:24" x14ac:dyDescent="0.25">
      <c r="S186" s="44">
        <f t="shared" si="16"/>
        <v>43236</v>
      </c>
      <c r="T186" s="12">
        <f>DurMod(S186,B$2,$F$7:$G$37,$T$3)</f>
        <v>7.0262135924115556</v>
      </c>
      <c r="U186" s="12">
        <f t="shared" si="12"/>
        <v>6.8141600687695902</v>
      </c>
      <c r="V186" s="30">
        <f t="shared" si="13"/>
        <v>0.4990334246575342</v>
      </c>
      <c r="W186" s="46">
        <f t="shared" si="14"/>
        <v>-7.0262135924115551E-2</v>
      </c>
      <c r="X186" s="33">
        <f t="shared" si="15"/>
        <v>2.841349317133221E-2</v>
      </c>
    </row>
    <row r="187" spans="19:24" x14ac:dyDescent="0.25">
      <c r="S187" s="44">
        <f t="shared" si="16"/>
        <v>43237</v>
      </c>
      <c r="T187" s="12">
        <f>DurMod(S187,B$2,$F$7:$G$37,$T$3)</f>
        <v>7.0235365101100173</v>
      </c>
      <c r="U187" s="12">
        <f t="shared" si="12"/>
        <v>6.8115088920448006</v>
      </c>
      <c r="V187" s="30">
        <f t="shared" si="13"/>
        <v>0.49900602739726024</v>
      </c>
      <c r="W187" s="46">
        <f t="shared" si="14"/>
        <v>-7.0235365101100164E-2</v>
      </c>
      <c r="X187" s="33">
        <f t="shared" si="15"/>
        <v>2.8413451659059261E-2</v>
      </c>
    </row>
    <row r="188" spans="19:24" x14ac:dyDescent="0.25">
      <c r="S188" s="44">
        <f t="shared" si="16"/>
        <v>43238</v>
      </c>
      <c r="T188" s="12">
        <f>DurMod(S188,B$2,$F$7:$G$37,$T$3)</f>
        <v>7.0208594278084728</v>
      </c>
      <c r="U188" s="12">
        <f t="shared" si="12"/>
        <v>6.8088577153200101</v>
      </c>
      <c r="V188" s="30">
        <f t="shared" si="13"/>
        <v>0.49897863013698623</v>
      </c>
      <c r="W188" s="46">
        <f t="shared" si="14"/>
        <v>-7.0208594278084721E-2</v>
      </c>
      <c r="X188" s="33">
        <f t="shared" si="15"/>
        <v>2.8413410146786319E-2</v>
      </c>
    </row>
    <row r="189" spans="19:24" x14ac:dyDescent="0.25">
      <c r="S189" s="44">
        <f t="shared" si="16"/>
        <v>43239</v>
      </c>
      <c r="T189" s="12">
        <f>DurMod(S189,B$2,$F$7:$G$37,$T$3)</f>
        <v>7.0181823455069354</v>
      </c>
      <c r="U189" s="12">
        <f t="shared" si="12"/>
        <v>6.8062065385952213</v>
      </c>
      <c r="V189" s="30">
        <f t="shared" si="13"/>
        <v>0.49895123287671234</v>
      </c>
      <c r="W189" s="46">
        <f t="shared" si="14"/>
        <v>-7.0181823455069348E-2</v>
      </c>
      <c r="X189" s="33">
        <f t="shared" si="15"/>
        <v>2.8413368634513377E-2</v>
      </c>
    </row>
    <row r="190" spans="19:24" x14ac:dyDescent="0.25">
      <c r="S190" s="44">
        <f t="shared" si="16"/>
        <v>43240</v>
      </c>
      <c r="T190" s="12">
        <f>DurMod(S190,B$2,$F$7:$G$37,$T$3)</f>
        <v>7.0155052632053936</v>
      </c>
      <c r="U190" s="12">
        <f t="shared" si="12"/>
        <v>6.8035553618704316</v>
      </c>
      <c r="V190" s="30">
        <f t="shared" si="13"/>
        <v>0.49892383561643833</v>
      </c>
      <c r="W190" s="46">
        <f t="shared" si="14"/>
        <v>-7.0155052632053919E-2</v>
      </c>
      <c r="X190" s="33">
        <f t="shared" si="15"/>
        <v>2.8413327122240435E-2</v>
      </c>
    </row>
    <row r="191" spans="19:24" x14ac:dyDescent="0.25">
      <c r="S191" s="44">
        <f t="shared" si="16"/>
        <v>43241</v>
      </c>
      <c r="T191" s="12">
        <f>DurMod(S191,B$2,$F$7:$G$37,$T$3)</f>
        <v>7.0128281809038491</v>
      </c>
      <c r="U191" s="12">
        <f t="shared" si="12"/>
        <v>6.8009041851456438</v>
      </c>
      <c r="V191" s="30">
        <f t="shared" si="13"/>
        <v>0.49889643835616437</v>
      </c>
      <c r="W191" s="46">
        <f t="shared" si="14"/>
        <v>-7.0128281809038476E-2</v>
      </c>
      <c r="X191" s="33">
        <f t="shared" si="15"/>
        <v>2.8413285609967493E-2</v>
      </c>
    </row>
    <row r="192" spans="19:24" x14ac:dyDescent="0.25">
      <c r="S192" s="44">
        <f t="shared" si="16"/>
        <v>43242</v>
      </c>
      <c r="T192" s="12">
        <f>DurMod(S192,B$2,$F$7:$G$37,$T$3)</f>
        <v>7.0101510986023099</v>
      </c>
      <c r="U192" s="12">
        <f t="shared" si="12"/>
        <v>6.7982530084208568</v>
      </c>
      <c r="V192" s="30">
        <f t="shared" si="13"/>
        <v>0.49886904109589036</v>
      </c>
      <c r="W192" s="46">
        <f t="shared" si="14"/>
        <v>-7.0101510986023088E-2</v>
      </c>
      <c r="X192" s="33">
        <f t="shared" si="15"/>
        <v>2.8413244097694548E-2</v>
      </c>
    </row>
    <row r="193" spans="19:24" x14ac:dyDescent="0.25">
      <c r="S193" s="44">
        <f t="shared" si="16"/>
        <v>43243</v>
      </c>
      <c r="T193" s="12">
        <f>DurMod(S193,B$2,$F$7:$G$37,$T$3)</f>
        <v>7.0074740163007689</v>
      </c>
      <c r="U193" s="12">
        <f t="shared" si="12"/>
        <v>6.7956018316960645</v>
      </c>
      <c r="V193" s="30">
        <f t="shared" si="13"/>
        <v>0.49884164383561636</v>
      </c>
      <c r="W193" s="46">
        <f t="shared" si="14"/>
        <v>-7.0074740163007673E-2</v>
      </c>
      <c r="X193" s="33">
        <f t="shared" si="15"/>
        <v>2.8413202585421599E-2</v>
      </c>
    </row>
    <row r="194" spans="19:24" x14ac:dyDescent="0.25">
      <c r="S194" s="44">
        <f t="shared" si="16"/>
        <v>43244</v>
      </c>
      <c r="T194" s="12">
        <f>DurMod(S194,B$2,$F$7:$G$37,$T$3)</f>
        <v>7.0047969339992253</v>
      </c>
      <c r="U194" s="12">
        <f t="shared" si="12"/>
        <v>6.7929506549712766</v>
      </c>
      <c r="V194" s="30">
        <f t="shared" si="13"/>
        <v>0.49881424657534246</v>
      </c>
      <c r="W194" s="46">
        <f t="shared" si="14"/>
        <v>-7.0047969339992244E-2</v>
      </c>
      <c r="X194" s="33">
        <f t="shared" si="15"/>
        <v>2.8413161073148663E-2</v>
      </c>
    </row>
    <row r="195" spans="19:24" x14ac:dyDescent="0.25">
      <c r="S195" s="44">
        <f t="shared" si="16"/>
        <v>43245</v>
      </c>
      <c r="T195" s="12">
        <f>DurMod(S195,B$2,$F$7:$G$37,$T$3)</f>
        <v>7.0021198516976852</v>
      </c>
      <c r="U195" s="12">
        <f t="shared" si="12"/>
        <v>6.7902994782464869</v>
      </c>
      <c r="V195" s="30">
        <f t="shared" si="13"/>
        <v>0.49878684931506845</v>
      </c>
      <c r="W195" s="46">
        <f t="shared" si="14"/>
        <v>-7.0021198516976843E-2</v>
      </c>
      <c r="X195" s="33">
        <f t="shared" si="15"/>
        <v>2.8413119560875714E-2</v>
      </c>
    </row>
    <row r="196" spans="19:24" x14ac:dyDescent="0.25">
      <c r="S196" s="44">
        <f t="shared" si="16"/>
        <v>43246</v>
      </c>
      <c r="T196" s="12">
        <f>DurMod(S196,B$2,$F$7:$G$37,$T$3)</f>
        <v>6.9994427693961452</v>
      </c>
      <c r="U196" s="12">
        <f t="shared" si="12"/>
        <v>6.7876483015216973</v>
      </c>
      <c r="V196" s="30">
        <f t="shared" si="13"/>
        <v>0.49875945205479449</v>
      </c>
      <c r="W196" s="46">
        <f t="shared" si="14"/>
        <v>-6.9994427693961442E-2</v>
      </c>
      <c r="X196" s="33">
        <f t="shared" si="15"/>
        <v>2.8413078048602772E-2</v>
      </c>
    </row>
    <row r="197" spans="19:24" x14ac:dyDescent="0.25">
      <c r="S197" s="44">
        <f t="shared" si="16"/>
        <v>43247</v>
      </c>
      <c r="T197" s="12">
        <f>DurMod(S197,B$2,$F$7:$G$37,$T$3)</f>
        <v>6.9967656870946033</v>
      </c>
      <c r="U197" s="12">
        <f t="shared" ref="U197:U260" si="17">DurMod($S197,$B$2,$F$7:$G$37,U$3)</f>
        <v>6.7849971247969068</v>
      </c>
      <c r="V197" s="30">
        <f t="shared" ref="V197:V260" si="18">+$U$3*($S$5512-S197)/365+$T$3*(S197-$S$4)/365</f>
        <v>0.49873205479452049</v>
      </c>
      <c r="W197" s="46">
        <f t="shared" ref="W197:W260" si="19">+-T197*($U$3-$T$3)</f>
        <v>-6.9967656870946027E-2</v>
      </c>
      <c r="X197" s="33">
        <f t="shared" ref="X197:X260" si="20">+(V197+W197)*365/($S$5512-$S$4)</f>
        <v>2.8413036536329827E-2</v>
      </c>
    </row>
    <row r="198" spans="19:24" x14ac:dyDescent="0.25">
      <c r="S198" s="44">
        <f t="shared" ref="S198:S261" si="21">+S197+1</f>
        <v>43248</v>
      </c>
      <c r="T198" s="12">
        <f>DurMod(S198,B$2,$F$7:$G$37,$T$3)</f>
        <v>6.9940886047930633</v>
      </c>
      <c r="U198" s="12">
        <f t="shared" si="17"/>
        <v>6.7823459480721189</v>
      </c>
      <c r="V198" s="30">
        <f t="shared" si="18"/>
        <v>0.49870465753424659</v>
      </c>
      <c r="W198" s="46">
        <f t="shared" si="19"/>
        <v>-6.9940886047930625E-2</v>
      </c>
      <c r="X198" s="33">
        <f t="shared" si="20"/>
        <v>2.8412995024056885E-2</v>
      </c>
    </row>
    <row r="199" spans="19:24" x14ac:dyDescent="0.25">
      <c r="S199" s="44">
        <f t="shared" si="21"/>
        <v>43249</v>
      </c>
      <c r="T199" s="12">
        <f>DurMod(S199,B$2,$F$7:$G$37,$T$3)</f>
        <v>6.9914115224915196</v>
      </c>
      <c r="U199" s="12">
        <f t="shared" si="17"/>
        <v>6.779694771347331</v>
      </c>
      <c r="V199" s="30">
        <f t="shared" si="18"/>
        <v>0.49867726027397258</v>
      </c>
      <c r="W199" s="46">
        <f t="shared" si="19"/>
        <v>-6.9914115224915183E-2</v>
      </c>
      <c r="X199" s="33">
        <f t="shared" si="20"/>
        <v>2.8412953511783943E-2</v>
      </c>
    </row>
    <row r="200" spans="19:24" x14ac:dyDescent="0.25">
      <c r="S200" s="44">
        <f t="shared" si="21"/>
        <v>43250</v>
      </c>
      <c r="T200" s="12">
        <f>DurMod(S200,B$2,$F$7:$G$37,$T$3)</f>
        <v>6.9887344401899787</v>
      </c>
      <c r="U200" s="12">
        <f t="shared" si="17"/>
        <v>6.7770435946225414</v>
      </c>
      <c r="V200" s="30">
        <f t="shared" si="18"/>
        <v>0.49864986301369857</v>
      </c>
      <c r="W200" s="46">
        <f t="shared" si="19"/>
        <v>-6.9887344401899781E-2</v>
      </c>
      <c r="X200" s="33">
        <f t="shared" si="20"/>
        <v>2.8412911999510997E-2</v>
      </c>
    </row>
    <row r="201" spans="19:24" x14ac:dyDescent="0.25">
      <c r="S201" s="44">
        <f t="shared" si="21"/>
        <v>43251</v>
      </c>
      <c r="T201" s="12">
        <f>DurMod(S201,B$2,$F$7:$G$37,$T$3)</f>
        <v>6.9860573578884368</v>
      </c>
      <c r="U201" s="12">
        <f t="shared" si="17"/>
        <v>6.7743924178977508</v>
      </c>
      <c r="V201" s="30">
        <f t="shared" si="18"/>
        <v>0.49862246575342462</v>
      </c>
      <c r="W201" s="46">
        <f t="shared" si="19"/>
        <v>-6.9860573578884352E-2</v>
      </c>
      <c r="X201" s="33">
        <f t="shared" si="20"/>
        <v>2.8412870487238055E-2</v>
      </c>
    </row>
    <row r="202" spans="19:24" x14ac:dyDescent="0.25">
      <c r="S202" s="44">
        <f t="shared" si="21"/>
        <v>43252</v>
      </c>
      <c r="T202" s="12">
        <f>DurMod(S202,B$2,$F$7:$G$37,$T$3)</f>
        <v>6.9833802755868977</v>
      </c>
      <c r="U202" s="12">
        <f t="shared" si="17"/>
        <v>6.7717412411729621</v>
      </c>
      <c r="V202" s="30">
        <f t="shared" si="18"/>
        <v>0.49859506849315061</v>
      </c>
      <c r="W202" s="46">
        <f t="shared" si="19"/>
        <v>-6.9833802755868965E-2</v>
      </c>
      <c r="X202" s="33">
        <f t="shared" si="20"/>
        <v>2.8412828974965106E-2</v>
      </c>
    </row>
    <row r="203" spans="19:24" x14ac:dyDescent="0.25">
      <c r="S203" s="44">
        <f t="shared" si="21"/>
        <v>43253</v>
      </c>
      <c r="T203" s="12">
        <f>DurMod(S203,B$2,$F$7:$G$37,$T$3)</f>
        <v>6.9807031932853558</v>
      </c>
      <c r="U203" s="12">
        <f t="shared" si="17"/>
        <v>6.7690900644481724</v>
      </c>
      <c r="V203" s="30">
        <f t="shared" si="18"/>
        <v>0.49856767123287671</v>
      </c>
      <c r="W203" s="46">
        <f t="shared" si="19"/>
        <v>-6.980703193285355E-2</v>
      </c>
      <c r="X203" s="33">
        <f t="shared" si="20"/>
        <v>2.8412787462692171E-2</v>
      </c>
    </row>
    <row r="204" spans="19:24" x14ac:dyDescent="0.25">
      <c r="S204" s="44">
        <f t="shared" si="21"/>
        <v>43254</v>
      </c>
      <c r="T204" s="12">
        <f>DurMod(S204,B$2,$F$7:$G$37,$T$3)</f>
        <v>6.978026110983814</v>
      </c>
      <c r="U204" s="12">
        <f t="shared" si="17"/>
        <v>6.7664388877233836</v>
      </c>
      <c r="V204" s="30">
        <f t="shared" si="18"/>
        <v>0.4985402739726027</v>
      </c>
      <c r="W204" s="46">
        <f t="shared" si="19"/>
        <v>-6.9780261109838135E-2</v>
      </c>
      <c r="X204" s="33">
        <f t="shared" si="20"/>
        <v>2.8412745950419219E-2</v>
      </c>
    </row>
    <row r="205" spans="19:24" x14ac:dyDescent="0.25">
      <c r="S205" s="44">
        <f t="shared" si="21"/>
        <v>43255</v>
      </c>
      <c r="T205" s="12">
        <f>DurMod(S205,B$2,$F$7:$G$37,$T$3)</f>
        <v>6.975349028682273</v>
      </c>
      <c r="U205" s="12">
        <f t="shared" si="17"/>
        <v>6.7637877109985949</v>
      </c>
      <c r="V205" s="30">
        <f t="shared" si="18"/>
        <v>0.49851287671232869</v>
      </c>
      <c r="W205" s="46">
        <f t="shared" si="19"/>
        <v>-6.975349028682272E-2</v>
      </c>
      <c r="X205" s="33">
        <f t="shared" si="20"/>
        <v>2.8412704438146277E-2</v>
      </c>
    </row>
    <row r="206" spans="19:24" x14ac:dyDescent="0.25">
      <c r="S206" s="44">
        <f t="shared" si="21"/>
        <v>43256</v>
      </c>
      <c r="T206" s="12">
        <f>DurMod(S206,B$2,$F$7:$G$37,$T$3)</f>
        <v>6.972671946380733</v>
      </c>
      <c r="U206" s="12">
        <f t="shared" si="17"/>
        <v>6.7611365342738052</v>
      </c>
      <c r="V206" s="30">
        <f t="shared" si="18"/>
        <v>0.49848547945205474</v>
      </c>
      <c r="W206" s="46">
        <f t="shared" si="19"/>
        <v>-6.9726719463807318E-2</v>
      </c>
      <c r="X206" s="33">
        <f t="shared" si="20"/>
        <v>2.8412662925873328E-2</v>
      </c>
    </row>
    <row r="207" spans="19:24" x14ac:dyDescent="0.25">
      <c r="S207" s="44">
        <f t="shared" si="21"/>
        <v>43257</v>
      </c>
      <c r="T207" s="12">
        <f>DurMod(S207,B$2,$F$7:$G$37,$T$3)</f>
        <v>6.9699948640791911</v>
      </c>
      <c r="U207" s="12">
        <f t="shared" si="17"/>
        <v>6.7584853575490174</v>
      </c>
      <c r="V207" s="30">
        <f t="shared" si="18"/>
        <v>0.49845808219178078</v>
      </c>
      <c r="W207" s="46">
        <f t="shared" si="19"/>
        <v>-6.9699948640791903E-2</v>
      </c>
      <c r="X207" s="33">
        <f t="shared" si="20"/>
        <v>2.8412621413600393E-2</v>
      </c>
    </row>
    <row r="208" spans="19:24" x14ac:dyDescent="0.25">
      <c r="S208" s="44">
        <f t="shared" si="21"/>
        <v>43258</v>
      </c>
      <c r="T208" s="12">
        <f>DurMod(S208,B$2,$F$7:$G$37,$T$3)</f>
        <v>6.967317781777651</v>
      </c>
      <c r="U208" s="12">
        <f t="shared" si="17"/>
        <v>6.7558341808242277</v>
      </c>
      <c r="V208" s="30">
        <f t="shared" si="18"/>
        <v>0.49843068493150683</v>
      </c>
      <c r="W208" s="46">
        <f t="shared" si="19"/>
        <v>-6.9673177817776502E-2</v>
      </c>
      <c r="X208" s="33">
        <f t="shared" si="20"/>
        <v>2.8412579901327444E-2</v>
      </c>
    </row>
    <row r="209" spans="19:24" x14ac:dyDescent="0.25">
      <c r="S209" s="44">
        <f t="shared" si="21"/>
        <v>43259</v>
      </c>
      <c r="T209" s="12">
        <f>DurMod(S209,B$2,$F$7:$G$37,$T$3)</f>
        <v>6.964640699476111</v>
      </c>
      <c r="U209" s="12">
        <f t="shared" si="17"/>
        <v>6.7531830040994336</v>
      </c>
      <c r="V209" s="30">
        <f t="shared" si="18"/>
        <v>0.49840328767123282</v>
      </c>
      <c r="W209" s="46">
        <f t="shared" si="19"/>
        <v>-6.9646406994761101E-2</v>
      </c>
      <c r="X209" s="33">
        <f t="shared" si="20"/>
        <v>2.8412538389054498E-2</v>
      </c>
    </row>
    <row r="210" spans="19:24" x14ac:dyDescent="0.25">
      <c r="S210" s="44">
        <f t="shared" si="21"/>
        <v>43260</v>
      </c>
      <c r="T210" s="12">
        <f>DurMod(S210,B$2,$F$7:$G$37,$T$3)</f>
        <v>6.9619636171745674</v>
      </c>
      <c r="U210" s="12">
        <f t="shared" si="17"/>
        <v>6.7505318273746475</v>
      </c>
      <c r="V210" s="30">
        <f t="shared" si="18"/>
        <v>0.49837589041095887</v>
      </c>
      <c r="W210" s="46">
        <f t="shared" si="19"/>
        <v>-6.9619636171745658E-2</v>
      </c>
      <c r="X210" s="33">
        <f t="shared" si="20"/>
        <v>2.8412496876781556E-2</v>
      </c>
    </row>
    <row r="211" spans="19:24" x14ac:dyDescent="0.25">
      <c r="S211" s="44">
        <f t="shared" si="21"/>
        <v>43261</v>
      </c>
      <c r="T211" s="12">
        <f>DurMod(S211,B$2,$F$7:$G$37,$T$3)</f>
        <v>6.95928653487303</v>
      </c>
      <c r="U211" s="12">
        <f t="shared" si="17"/>
        <v>6.7478806506498596</v>
      </c>
      <c r="V211" s="30">
        <f t="shared" si="18"/>
        <v>0.49834849315068486</v>
      </c>
      <c r="W211" s="46">
        <f t="shared" si="19"/>
        <v>-6.9592865348730285E-2</v>
      </c>
      <c r="X211" s="33">
        <f t="shared" si="20"/>
        <v>2.8412455364508607E-2</v>
      </c>
    </row>
    <row r="212" spans="19:24" x14ac:dyDescent="0.25">
      <c r="S212" s="44">
        <f t="shared" si="21"/>
        <v>43262</v>
      </c>
      <c r="T212" s="12">
        <f>DurMod(S212,B$2,$F$7:$G$37,$T$3)</f>
        <v>6.9566094525714854</v>
      </c>
      <c r="U212" s="12">
        <f t="shared" si="17"/>
        <v>6.7452294739250682</v>
      </c>
      <c r="V212" s="30">
        <f t="shared" si="18"/>
        <v>0.4983210958904109</v>
      </c>
      <c r="W212" s="46">
        <f t="shared" si="19"/>
        <v>-6.9566094525714842E-2</v>
      </c>
      <c r="X212" s="33">
        <f t="shared" si="20"/>
        <v>2.8412413852235672E-2</v>
      </c>
    </row>
    <row r="213" spans="19:24" x14ac:dyDescent="0.25">
      <c r="S213" s="44">
        <f t="shared" si="21"/>
        <v>43263</v>
      </c>
      <c r="T213" s="12">
        <f>DurMod(S213,B$2,$F$7:$G$37,$T$3)</f>
        <v>6.9539323702699463</v>
      </c>
      <c r="U213" s="12">
        <f t="shared" si="17"/>
        <v>6.7425782972002786</v>
      </c>
      <c r="V213" s="30">
        <f t="shared" si="18"/>
        <v>0.49829369863013695</v>
      </c>
      <c r="W213" s="46">
        <f t="shared" si="19"/>
        <v>-6.9539323702699454E-2</v>
      </c>
      <c r="X213" s="33">
        <f t="shared" si="20"/>
        <v>2.8412372339962723E-2</v>
      </c>
    </row>
    <row r="214" spans="19:24" x14ac:dyDescent="0.25">
      <c r="S214" s="44">
        <f t="shared" si="21"/>
        <v>43264</v>
      </c>
      <c r="T214" s="12">
        <f>DurMod(S214,B$2,$F$7:$G$37,$T$3)</f>
        <v>6.9512552879684035</v>
      </c>
      <c r="U214" s="12">
        <f t="shared" si="17"/>
        <v>6.7399271204754871</v>
      </c>
      <c r="V214" s="30">
        <f t="shared" si="18"/>
        <v>0.49826630136986305</v>
      </c>
      <c r="W214" s="46">
        <f t="shared" si="19"/>
        <v>-6.9512552879684025E-2</v>
      </c>
      <c r="X214" s="33">
        <f t="shared" si="20"/>
        <v>2.8412330827689781E-2</v>
      </c>
    </row>
    <row r="215" spans="19:24" x14ac:dyDescent="0.25">
      <c r="S215" s="44">
        <f t="shared" si="21"/>
        <v>43265</v>
      </c>
      <c r="T215" s="12">
        <f>DurMod(S215,B$2,$F$7:$G$37,$T$3)</f>
        <v>6.9485782056668617</v>
      </c>
      <c r="U215" s="12">
        <f t="shared" si="17"/>
        <v>6.7372759437506984</v>
      </c>
      <c r="V215" s="30">
        <f t="shared" si="18"/>
        <v>0.4982389041095891</v>
      </c>
      <c r="W215" s="46">
        <f t="shared" si="19"/>
        <v>-6.948578205666861E-2</v>
      </c>
      <c r="X215" s="33">
        <f t="shared" si="20"/>
        <v>2.8412289315416846E-2</v>
      </c>
    </row>
    <row r="216" spans="19:24" x14ac:dyDescent="0.25">
      <c r="S216" s="44">
        <f t="shared" si="21"/>
        <v>43266</v>
      </c>
      <c r="T216" s="12">
        <f>DurMod(S216,B$2,$F$7:$G$37,$T$3)</f>
        <v>7.0832296567932502</v>
      </c>
      <c r="U216" s="12">
        <f t="shared" si="17"/>
        <v>6.8774018093216744</v>
      </c>
      <c r="V216" s="30">
        <f t="shared" si="18"/>
        <v>0.49821150684931509</v>
      </c>
      <c r="W216" s="46">
        <f t="shared" si="19"/>
        <v>-7.0832296567932496E-2</v>
      </c>
      <c r="X216" s="33">
        <f t="shared" si="20"/>
        <v>2.8321243963817112E-2</v>
      </c>
    </row>
    <row r="217" spans="19:24" x14ac:dyDescent="0.25">
      <c r="S217" s="44">
        <f t="shared" si="21"/>
        <v>43267</v>
      </c>
      <c r="T217" s="12">
        <f>DurMod(S217,B$2,$F$7:$G$37,$T$3)</f>
        <v>7.0805525744917093</v>
      </c>
      <c r="U217" s="12">
        <f t="shared" si="17"/>
        <v>6.8747506325968848</v>
      </c>
      <c r="V217" s="30">
        <f t="shared" si="18"/>
        <v>0.49818410958904114</v>
      </c>
      <c r="W217" s="46">
        <f t="shared" si="19"/>
        <v>-7.0805525744917081E-2</v>
      </c>
      <c r="X217" s="33">
        <f t="shared" si="20"/>
        <v>2.832120245154417E-2</v>
      </c>
    </row>
    <row r="218" spans="19:24" x14ac:dyDescent="0.25">
      <c r="S218" s="44">
        <f t="shared" si="21"/>
        <v>43268</v>
      </c>
      <c r="T218" s="12">
        <f>DurMod(S218,B$2,$F$7:$G$37,$T$3)</f>
        <v>7.0778754921901665</v>
      </c>
      <c r="U218" s="12">
        <f t="shared" si="17"/>
        <v>6.8720994558720934</v>
      </c>
      <c r="V218" s="30">
        <f t="shared" si="18"/>
        <v>0.49815671232876713</v>
      </c>
      <c r="W218" s="46">
        <f t="shared" si="19"/>
        <v>-7.0778754921901652E-2</v>
      </c>
      <c r="X218" s="33">
        <f t="shared" si="20"/>
        <v>2.8321160939271221E-2</v>
      </c>
    </row>
    <row r="219" spans="19:24" x14ac:dyDescent="0.25">
      <c r="S219" s="44">
        <f t="shared" si="21"/>
        <v>43269</v>
      </c>
      <c r="T219" s="12">
        <f>DurMod(S219,B$2,$F$7:$G$37,$T$3)</f>
        <v>7.0751984098886274</v>
      </c>
      <c r="U219" s="12">
        <f t="shared" si="17"/>
        <v>6.8694482791473046</v>
      </c>
      <c r="V219" s="30">
        <f t="shared" si="18"/>
        <v>0.49812931506849317</v>
      </c>
      <c r="W219" s="46">
        <f t="shared" si="19"/>
        <v>-7.0751984098886264E-2</v>
      </c>
      <c r="X219" s="33">
        <f t="shared" si="20"/>
        <v>2.8321119426998279E-2</v>
      </c>
    </row>
    <row r="220" spans="19:24" x14ac:dyDescent="0.25">
      <c r="S220" s="44">
        <f t="shared" si="21"/>
        <v>43270</v>
      </c>
      <c r="T220" s="12">
        <f>DurMod(S220,B$2,$F$7:$G$37,$T$3)</f>
        <v>7.0725213275870846</v>
      </c>
      <c r="U220" s="12">
        <f t="shared" si="17"/>
        <v>6.8667971024225141</v>
      </c>
      <c r="V220" s="30">
        <f t="shared" si="18"/>
        <v>0.49810191780821922</v>
      </c>
      <c r="W220" s="46">
        <f t="shared" si="19"/>
        <v>-7.0725213275870835E-2</v>
      </c>
      <c r="X220" s="33">
        <f t="shared" si="20"/>
        <v>2.8321077914725337E-2</v>
      </c>
    </row>
    <row r="221" spans="19:24" x14ac:dyDescent="0.25">
      <c r="S221" s="44">
        <f t="shared" si="21"/>
        <v>43271</v>
      </c>
      <c r="T221" s="12">
        <f>DurMod(S221,B$2,$F$7:$G$37,$T$3)</f>
        <v>7.0698442452855446</v>
      </c>
      <c r="U221" s="12">
        <f t="shared" si="17"/>
        <v>6.8641459256977271</v>
      </c>
      <c r="V221" s="30">
        <f t="shared" si="18"/>
        <v>0.49807452054794521</v>
      </c>
      <c r="W221" s="46">
        <f t="shared" si="19"/>
        <v>-7.0698442452855434E-2</v>
      </c>
      <c r="X221" s="33">
        <f t="shared" si="20"/>
        <v>2.8321036402452392E-2</v>
      </c>
    </row>
    <row r="222" spans="19:24" x14ac:dyDescent="0.25">
      <c r="S222" s="44">
        <f t="shared" si="21"/>
        <v>43272</v>
      </c>
      <c r="T222" s="12">
        <f>DurMod(S222,B$2,$F$7:$G$37,$T$3)</f>
        <v>7.0671671629840027</v>
      </c>
      <c r="U222" s="12">
        <f t="shared" si="17"/>
        <v>6.8614947489729401</v>
      </c>
      <c r="V222" s="30">
        <f t="shared" si="18"/>
        <v>0.49804712328767126</v>
      </c>
      <c r="W222" s="46">
        <f t="shared" si="19"/>
        <v>-7.0671671629840019E-2</v>
      </c>
      <c r="X222" s="33">
        <f t="shared" si="20"/>
        <v>2.832099489017945E-2</v>
      </c>
    </row>
    <row r="223" spans="19:24" x14ac:dyDescent="0.25">
      <c r="S223" s="44">
        <f t="shared" si="21"/>
        <v>43273</v>
      </c>
      <c r="T223" s="12">
        <f>DurMod(S223,B$2,$F$7:$G$37,$T$3)</f>
        <v>7.06449008068246</v>
      </c>
      <c r="U223" s="12">
        <f t="shared" si="17"/>
        <v>6.8588435722481496</v>
      </c>
      <c r="V223" s="30">
        <f t="shared" si="18"/>
        <v>0.4980197260273973</v>
      </c>
      <c r="W223" s="46">
        <f t="shared" si="19"/>
        <v>-7.064490080682459E-2</v>
      </c>
      <c r="X223" s="33">
        <f t="shared" si="20"/>
        <v>2.8320953377906508E-2</v>
      </c>
    </row>
    <row r="224" spans="19:24" x14ac:dyDescent="0.25">
      <c r="S224" s="44">
        <f t="shared" si="21"/>
        <v>43274</v>
      </c>
      <c r="T224" s="12">
        <f>DurMod(S224,B$2,$F$7:$G$37,$T$3)</f>
        <v>7.0618129983809199</v>
      </c>
      <c r="U224" s="12">
        <f t="shared" si="17"/>
        <v>6.8561923955233635</v>
      </c>
      <c r="V224" s="30">
        <f t="shared" si="18"/>
        <v>0.49799232876712329</v>
      </c>
      <c r="W224" s="46">
        <f t="shared" si="19"/>
        <v>-7.0618129983809189E-2</v>
      </c>
      <c r="X224" s="33">
        <f t="shared" si="20"/>
        <v>2.8320911865633559E-2</v>
      </c>
    </row>
    <row r="225" spans="19:24" x14ac:dyDescent="0.25">
      <c r="S225" s="44">
        <f t="shared" si="21"/>
        <v>43275</v>
      </c>
      <c r="T225" s="12">
        <f>DurMod(S225,B$2,$F$7:$G$37,$T$3)</f>
        <v>7.0591359160793781</v>
      </c>
      <c r="U225" s="12">
        <f t="shared" si="17"/>
        <v>6.853541218798572</v>
      </c>
      <c r="V225" s="30">
        <f t="shared" si="18"/>
        <v>0.49796493150684934</v>
      </c>
      <c r="W225" s="46">
        <f t="shared" si="19"/>
        <v>-7.0591359160793773E-2</v>
      </c>
      <c r="X225" s="33">
        <f t="shared" si="20"/>
        <v>2.8320870353360617E-2</v>
      </c>
    </row>
    <row r="226" spans="19:24" x14ac:dyDescent="0.25">
      <c r="S226" s="44">
        <f t="shared" si="21"/>
        <v>43276</v>
      </c>
      <c r="T226" s="12">
        <f>DurMod(S226,B$2,$F$7:$G$37,$T$3)</f>
        <v>7.056458833777838</v>
      </c>
      <c r="U226" s="12">
        <f t="shared" si="17"/>
        <v>6.8508900420737806</v>
      </c>
      <c r="V226" s="30">
        <f t="shared" si="18"/>
        <v>0.49793753424657533</v>
      </c>
      <c r="W226" s="46">
        <f t="shared" si="19"/>
        <v>-7.0564588337778372E-2</v>
      </c>
      <c r="X226" s="33">
        <f t="shared" si="20"/>
        <v>2.8320828841087671E-2</v>
      </c>
    </row>
    <row r="227" spans="19:24" x14ac:dyDescent="0.25">
      <c r="S227" s="44">
        <f t="shared" si="21"/>
        <v>43277</v>
      </c>
      <c r="T227" s="12">
        <f>DurMod(S227,B$2,$F$7:$G$37,$T$3)</f>
        <v>7.0537817514762962</v>
      </c>
      <c r="U227" s="12">
        <f t="shared" si="17"/>
        <v>6.8482388653489945</v>
      </c>
      <c r="V227" s="30">
        <f t="shared" si="18"/>
        <v>0.49791013698630138</v>
      </c>
      <c r="W227" s="46">
        <f t="shared" si="19"/>
        <v>-7.0537817514762957E-2</v>
      </c>
      <c r="X227" s="33">
        <f t="shared" si="20"/>
        <v>2.8320787328814729E-2</v>
      </c>
    </row>
    <row r="228" spans="19:24" x14ac:dyDescent="0.25">
      <c r="S228" s="44">
        <f t="shared" si="21"/>
        <v>43278</v>
      </c>
      <c r="T228" s="12">
        <f>DurMod(S228,B$2,$F$7:$G$37,$T$3)</f>
        <v>7.0511046691747543</v>
      </c>
      <c r="U228" s="12">
        <f t="shared" si="17"/>
        <v>6.8455876886242013</v>
      </c>
      <c r="V228" s="30">
        <f t="shared" si="18"/>
        <v>0.49788273972602742</v>
      </c>
      <c r="W228" s="46">
        <f t="shared" si="19"/>
        <v>-7.0511046691747528E-2</v>
      </c>
      <c r="X228" s="33">
        <f t="shared" si="20"/>
        <v>2.8320745816541787E-2</v>
      </c>
    </row>
    <row r="229" spans="19:24" x14ac:dyDescent="0.25">
      <c r="S229" s="44">
        <f t="shared" si="21"/>
        <v>43279</v>
      </c>
      <c r="T229" s="12">
        <f>DurMod(S229,B$2,$F$7:$G$37,$T$3)</f>
        <v>7.0484275868732142</v>
      </c>
      <c r="U229" s="12">
        <f t="shared" si="17"/>
        <v>6.842936511899417</v>
      </c>
      <c r="V229" s="30">
        <f t="shared" si="18"/>
        <v>0.49785534246575347</v>
      </c>
      <c r="W229" s="46">
        <f t="shared" si="19"/>
        <v>-7.0484275868732127E-2</v>
      </c>
      <c r="X229" s="33">
        <f t="shared" si="20"/>
        <v>2.8320704304268845E-2</v>
      </c>
    </row>
    <row r="230" spans="19:24" x14ac:dyDescent="0.25">
      <c r="S230" s="44">
        <f t="shared" si="21"/>
        <v>43280</v>
      </c>
      <c r="T230" s="12">
        <f>DurMod(S230,B$2,$F$7:$G$37,$T$3)</f>
        <v>7.0457505045716742</v>
      </c>
      <c r="U230" s="12">
        <f t="shared" si="17"/>
        <v>6.8402853351746256</v>
      </c>
      <c r="V230" s="30">
        <f t="shared" si="18"/>
        <v>0.49782794520547946</v>
      </c>
      <c r="W230" s="46">
        <f t="shared" si="19"/>
        <v>-7.0457505045716726E-2</v>
      </c>
      <c r="X230" s="33">
        <f t="shared" si="20"/>
        <v>2.8320662791995896E-2</v>
      </c>
    </row>
    <row r="231" spans="19:24" x14ac:dyDescent="0.25">
      <c r="S231" s="44">
        <f t="shared" si="21"/>
        <v>43281</v>
      </c>
      <c r="T231" s="12">
        <f>DurMod(S231,B$2,$F$7:$G$37,$T$3)</f>
        <v>7.0430734222701288</v>
      </c>
      <c r="U231" s="12">
        <f t="shared" si="17"/>
        <v>6.837634158449835</v>
      </c>
      <c r="V231" s="30">
        <f t="shared" si="18"/>
        <v>0.49780054794520545</v>
      </c>
      <c r="W231" s="46">
        <f t="shared" si="19"/>
        <v>-7.0430734222701283E-2</v>
      </c>
      <c r="X231" s="33">
        <f t="shared" si="20"/>
        <v>2.832062127972295E-2</v>
      </c>
    </row>
    <row r="232" spans="19:24" x14ac:dyDescent="0.25">
      <c r="S232" s="44">
        <f t="shared" si="21"/>
        <v>43282</v>
      </c>
      <c r="T232" s="12">
        <f>DurMod(S232,B$2,$F$7:$G$37,$T$3)</f>
        <v>7.0403963399685887</v>
      </c>
      <c r="U232" s="12">
        <f t="shared" si="17"/>
        <v>6.8349829817250445</v>
      </c>
      <c r="V232" s="30">
        <f t="shared" si="18"/>
        <v>0.49777315068493155</v>
      </c>
      <c r="W232" s="46">
        <f t="shared" si="19"/>
        <v>-7.0403963399685882E-2</v>
      </c>
      <c r="X232" s="33">
        <f t="shared" si="20"/>
        <v>2.8320579767450012E-2</v>
      </c>
    </row>
    <row r="233" spans="19:24" x14ac:dyDescent="0.25">
      <c r="S233" s="44">
        <f t="shared" si="21"/>
        <v>43283</v>
      </c>
      <c r="T233" s="12">
        <f>DurMod(S233,B$2,$F$7:$G$37,$T$3)</f>
        <v>7.0377192576670504</v>
      </c>
      <c r="U233" s="12">
        <f t="shared" si="17"/>
        <v>6.8323318050002584</v>
      </c>
      <c r="V233" s="30">
        <f t="shared" si="18"/>
        <v>0.49774575342465754</v>
      </c>
      <c r="W233" s="46">
        <f t="shared" si="19"/>
        <v>-7.0377192576670494E-2</v>
      </c>
      <c r="X233" s="33">
        <f t="shared" si="20"/>
        <v>2.8320538255177059E-2</v>
      </c>
    </row>
    <row r="234" spans="19:24" x14ac:dyDescent="0.25">
      <c r="S234" s="44">
        <f t="shared" si="21"/>
        <v>43284</v>
      </c>
      <c r="T234" s="12">
        <f>DurMod(S234,B$2,$F$7:$G$37,$T$3)</f>
        <v>7.0350421753655068</v>
      </c>
      <c r="U234" s="12">
        <f t="shared" si="17"/>
        <v>6.8296806282754678</v>
      </c>
      <c r="V234" s="30">
        <f t="shared" si="18"/>
        <v>0.49771835616438359</v>
      </c>
      <c r="W234" s="46">
        <f t="shared" si="19"/>
        <v>-7.0350421753655051E-2</v>
      </c>
      <c r="X234" s="33">
        <f t="shared" si="20"/>
        <v>2.8320496742904124E-2</v>
      </c>
    </row>
    <row r="235" spans="19:24" x14ac:dyDescent="0.25">
      <c r="S235" s="44">
        <f t="shared" si="21"/>
        <v>43285</v>
      </c>
      <c r="T235" s="12">
        <f>DurMod(S235,B$2,$F$7:$G$37,$T$3)</f>
        <v>7.0323650930639685</v>
      </c>
      <c r="U235" s="12">
        <f t="shared" si="17"/>
        <v>6.8270294515506782</v>
      </c>
      <c r="V235" s="30">
        <f t="shared" si="18"/>
        <v>0.49769095890410958</v>
      </c>
      <c r="W235" s="46">
        <f t="shared" si="19"/>
        <v>-7.0323650930639678E-2</v>
      </c>
      <c r="X235" s="33">
        <f t="shared" si="20"/>
        <v>2.8320455230631175E-2</v>
      </c>
    </row>
    <row r="236" spans="19:24" x14ac:dyDescent="0.25">
      <c r="S236" s="44">
        <f t="shared" si="21"/>
        <v>43286</v>
      </c>
      <c r="T236" s="12">
        <f>DurMod(S236,B$2,$F$7:$G$37,$T$3)</f>
        <v>7.0296880107624276</v>
      </c>
      <c r="U236" s="12">
        <f t="shared" si="17"/>
        <v>6.8243782748258877</v>
      </c>
      <c r="V236" s="30">
        <f t="shared" si="18"/>
        <v>0.49766356164383563</v>
      </c>
      <c r="W236" s="46">
        <f t="shared" si="19"/>
        <v>-7.0296880107624263E-2</v>
      </c>
      <c r="X236" s="33">
        <f t="shared" si="20"/>
        <v>2.8320413718358237E-2</v>
      </c>
    </row>
    <row r="237" spans="19:24" x14ac:dyDescent="0.25">
      <c r="S237" s="44">
        <f t="shared" si="21"/>
        <v>43287</v>
      </c>
      <c r="T237" s="12">
        <f>DurMod(S237,B$2,$F$7:$G$37,$T$3)</f>
        <v>7.027010928460883</v>
      </c>
      <c r="U237" s="12">
        <f t="shared" si="17"/>
        <v>6.8217270981011007</v>
      </c>
      <c r="V237" s="30">
        <f t="shared" si="18"/>
        <v>0.49763616438356167</v>
      </c>
      <c r="W237" s="46">
        <f t="shared" si="19"/>
        <v>-7.027010928460882E-2</v>
      </c>
      <c r="X237" s="33">
        <f t="shared" si="20"/>
        <v>2.8320372206085295E-2</v>
      </c>
    </row>
    <row r="238" spans="19:24" x14ac:dyDescent="0.25">
      <c r="S238" s="44">
        <f t="shared" si="21"/>
        <v>43288</v>
      </c>
      <c r="T238" s="12">
        <f>DurMod(S238,B$2,$F$7:$G$37,$T$3)</f>
        <v>7.0243338461593421</v>
      </c>
      <c r="U238" s="12">
        <f t="shared" si="17"/>
        <v>6.8190759213763092</v>
      </c>
      <c r="V238" s="30">
        <f t="shared" si="18"/>
        <v>0.49760876712328767</v>
      </c>
      <c r="W238" s="46">
        <f t="shared" si="19"/>
        <v>-7.0243338461593405E-2</v>
      </c>
      <c r="X238" s="33">
        <f t="shared" si="20"/>
        <v>2.8320330693812346E-2</v>
      </c>
    </row>
    <row r="239" spans="19:24" x14ac:dyDescent="0.25">
      <c r="S239" s="44">
        <f t="shared" si="21"/>
        <v>43289</v>
      </c>
      <c r="T239" s="12">
        <f>DurMod(S239,B$2,$F$7:$G$37,$T$3)</f>
        <v>7.0216567638578038</v>
      </c>
      <c r="U239" s="12">
        <f t="shared" si="17"/>
        <v>6.8164247446515187</v>
      </c>
      <c r="V239" s="30">
        <f t="shared" si="18"/>
        <v>0.49758136986301371</v>
      </c>
      <c r="W239" s="46">
        <f t="shared" si="19"/>
        <v>-7.0216567638578031E-2</v>
      </c>
      <c r="X239" s="33">
        <f t="shared" si="20"/>
        <v>2.8320289181539404E-2</v>
      </c>
    </row>
    <row r="240" spans="19:24" x14ac:dyDescent="0.25">
      <c r="S240" s="44">
        <f t="shared" si="21"/>
        <v>43290</v>
      </c>
      <c r="T240" s="12">
        <f>DurMod(S240,B$2,$F$7:$G$37,$T$3)</f>
        <v>7.018979681556262</v>
      </c>
      <c r="U240" s="12">
        <f t="shared" si="17"/>
        <v>6.8137735679267291</v>
      </c>
      <c r="V240" s="30">
        <f t="shared" si="18"/>
        <v>0.4975539726027397</v>
      </c>
      <c r="W240" s="46">
        <f t="shared" si="19"/>
        <v>-7.0189796815562602E-2</v>
      </c>
      <c r="X240" s="33">
        <f t="shared" si="20"/>
        <v>2.8320247669266458E-2</v>
      </c>
    </row>
    <row r="241" spans="19:24" x14ac:dyDescent="0.25">
      <c r="S241" s="44">
        <f t="shared" si="21"/>
        <v>43291</v>
      </c>
      <c r="T241" s="12">
        <f>DurMod(S241,B$2,$F$7:$G$37,$T$3)</f>
        <v>7.0163025992547174</v>
      </c>
      <c r="U241" s="12">
        <f t="shared" si="17"/>
        <v>6.8111223912019403</v>
      </c>
      <c r="V241" s="30">
        <f t="shared" si="18"/>
        <v>0.4975265753424658</v>
      </c>
      <c r="W241" s="46">
        <f t="shared" si="19"/>
        <v>-7.0163025992547159E-2</v>
      </c>
      <c r="X241" s="33">
        <f t="shared" si="20"/>
        <v>2.8320206156993519E-2</v>
      </c>
    </row>
    <row r="242" spans="19:24" x14ac:dyDescent="0.25">
      <c r="S242" s="44">
        <f t="shared" si="21"/>
        <v>43292</v>
      </c>
      <c r="T242" s="12">
        <f>DurMod(S242,B$2,$F$7:$G$37,$T$3)</f>
        <v>7.01362551695318</v>
      </c>
      <c r="U242" s="12">
        <f t="shared" si="17"/>
        <v>6.8084712144771515</v>
      </c>
      <c r="V242" s="30">
        <f t="shared" si="18"/>
        <v>0.4974991780821918</v>
      </c>
      <c r="W242" s="46">
        <f t="shared" si="19"/>
        <v>-7.0136255169531786E-2</v>
      </c>
      <c r="X242" s="33">
        <f t="shared" si="20"/>
        <v>2.8320164644720567E-2</v>
      </c>
    </row>
    <row r="243" spans="19:24" x14ac:dyDescent="0.25">
      <c r="S243" s="44">
        <f t="shared" si="21"/>
        <v>43293</v>
      </c>
      <c r="T243" s="12">
        <f>DurMod(S243,B$2,$F$7:$G$37,$T$3)</f>
        <v>7.0109484346516364</v>
      </c>
      <c r="U243" s="12">
        <f t="shared" si="17"/>
        <v>6.8058200377523628</v>
      </c>
      <c r="V243" s="30">
        <f t="shared" si="18"/>
        <v>0.49747178082191779</v>
      </c>
      <c r="W243" s="46">
        <f t="shared" si="19"/>
        <v>-7.0109484346516357E-2</v>
      </c>
      <c r="X243" s="33">
        <f t="shared" si="20"/>
        <v>2.8320123132447625E-2</v>
      </c>
    </row>
    <row r="244" spans="19:24" x14ac:dyDescent="0.25">
      <c r="S244" s="44">
        <f t="shared" si="21"/>
        <v>43294</v>
      </c>
      <c r="T244" s="12">
        <f>DurMod(S244,B$2,$F$7:$G$37,$T$3)</f>
        <v>7.0082713523500955</v>
      </c>
      <c r="U244" s="12">
        <f t="shared" si="17"/>
        <v>6.8031688610275722</v>
      </c>
      <c r="V244" s="30">
        <f t="shared" si="18"/>
        <v>0.49744438356164383</v>
      </c>
      <c r="W244" s="46">
        <f t="shared" si="19"/>
        <v>-7.0082713523500942E-2</v>
      </c>
      <c r="X244" s="33">
        <f t="shared" si="20"/>
        <v>2.8320081620174683E-2</v>
      </c>
    </row>
    <row r="245" spans="19:24" x14ac:dyDescent="0.25">
      <c r="S245" s="44">
        <f t="shared" si="21"/>
        <v>43295</v>
      </c>
      <c r="T245" s="12">
        <f>DurMod(S245,B$2,$F$7:$G$37,$T$3)</f>
        <v>7.0055942700485563</v>
      </c>
      <c r="U245" s="12">
        <f t="shared" si="17"/>
        <v>6.8005176843027844</v>
      </c>
      <c r="V245" s="30">
        <f t="shared" si="18"/>
        <v>0.49741698630136982</v>
      </c>
      <c r="W245" s="46">
        <f t="shared" si="19"/>
        <v>-7.0055942700485554E-2</v>
      </c>
      <c r="X245" s="33">
        <f t="shared" si="20"/>
        <v>2.8320040107901737E-2</v>
      </c>
    </row>
    <row r="246" spans="19:24" x14ac:dyDescent="0.25">
      <c r="S246" s="44">
        <f t="shared" si="21"/>
        <v>43296</v>
      </c>
      <c r="T246" s="12">
        <f>DurMod(S246,B$2,$F$7:$G$37,$T$3)</f>
        <v>7.0029171877470127</v>
      </c>
      <c r="U246" s="12">
        <f t="shared" si="17"/>
        <v>6.7978665075779938</v>
      </c>
      <c r="V246" s="30">
        <f t="shared" si="18"/>
        <v>0.49738958904109593</v>
      </c>
      <c r="W246" s="46">
        <f t="shared" si="19"/>
        <v>-7.0029171877470112E-2</v>
      </c>
      <c r="X246" s="33">
        <f t="shared" si="20"/>
        <v>2.8319998595628799E-2</v>
      </c>
    </row>
    <row r="247" spans="19:24" x14ac:dyDescent="0.25">
      <c r="S247" s="44">
        <f t="shared" si="21"/>
        <v>43297</v>
      </c>
      <c r="T247" s="12">
        <f>DurMod(S247,B$2,$F$7:$G$37,$T$3)</f>
        <v>7.0002401054454699</v>
      </c>
      <c r="U247" s="12">
        <f t="shared" si="17"/>
        <v>6.7952153308532068</v>
      </c>
      <c r="V247" s="30">
        <f t="shared" si="18"/>
        <v>0.49736219178082192</v>
      </c>
      <c r="W247" s="46">
        <f t="shared" si="19"/>
        <v>-7.0002401054454683E-2</v>
      </c>
      <c r="X247" s="33">
        <f t="shared" si="20"/>
        <v>2.8319957083355853E-2</v>
      </c>
    </row>
    <row r="248" spans="19:24" x14ac:dyDescent="0.25">
      <c r="S248" s="44">
        <f t="shared" si="21"/>
        <v>43298</v>
      </c>
      <c r="T248" s="12">
        <f>DurMod(S248,B$2,$F$7:$G$37,$T$3)</f>
        <v>6.9975630231439316</v>
      </c>
      <c r="U248" s="12">
        <f t="shared" si="17"/>
        <v>6.7925641541284154</v>
      </c>
      <c r="V248" s="30">
        <f t="shared" si="18"/>
        <v>0.49733479452054796</v>
      </c>
      <c r="W248" s="46">
        <f t="shared" si="19"/>
        <v>-6.9975630231439309E-2</v>
      </c>
      <c r="X248" s="33">
        <f t="shared" si="20"/>
        <v>2.8319915571082904E-2</v>
      </c>
    </row>
    <row r="249" spans="19:24" x14ac:dyDescent="0.25">
      <c r="S249" s="44">
        <f t="shared" si="21"/>
        <v>43299</v>
      </c>
      <c r="T249" s="12">
        <f>DurMod(S249,B$2,$F$7:$G$37,$T$3)</f>
        <v>6.9948859408423898</v>
      </c>
      <c r="U249" s="12">
        <f t="shared" si="17"/>
        <v>6.7899129774036266</v>
      </c>
      <c r="V249" s="30">
        <f t="shared" si="18"/>
        <v>0.49730739726027395</v>
      </c>
      <c r="W249" s="46">
        <f t="shared" si="19"/>
        <v>-6.9948859408423894E-2</v>
      </c>
      <c r="X249" s="33">
        <f t="shared" si="20"/>
        <v>2.8319874058809962E-2</v>
      </c>
    </row>
    <row r="250" spans="19:24" x14ac:dyDescent="0.25">
      <c r="S250" s="44">
        <f t="shared" si="21"/>
        <v>43300</v>
      </c>
      <c r="T250" s="12">
        <f>DurMod(S250,B$2,$F$7:$G$37,$T$3)</f>
        <v>6.9922088585408479</v>
      </c>
      <c r="U250" s="12">
        <f t="shared" si="17"/>
        <v>6.7872618006788379</v>
      </c>
      <c r="V250" s="30">
        <f t="shared" si="18"/>
        <v>0.49728</v>
      </c>
      <c r="W250" s="46">
        <f t="shared" si="19"/>
        <v>-6.9922088585408465E-2</v>
      </c>
      <c r="X250" s="33">
        <f t="shared" si="20"/>
        <v>2.831983254653702E-2</v>
      </c>
    </row>
    <row r="251" spans="19:24" x14ac:dyDescent="0.25">
      <c r="S251" s="44">
        <f t="shared" si="21"/>
        <v>43301</v>
      </c>
      <c r="T251" s="12">
        <f>DurMod(S251,B$2,$F$7:$G$37,$T$3)</f>
        <v>6.9895317762393097</v>
      </c>
      <c r="U251" s="12">
        <f t="shared" si="17"/>
        <v>6.78461062395405</v>
      </c>
      <c r="V251" s="30">
        <f t="shared" si="18"/>
        <v>0.49725260273972605</v>
      </c>
      <c r="W251" s="46">
        <f t="shared" si="19"/>
        <v>-6.9895317762393092E-2</v>
      </c>
      <c r="X251" s="33">
        <f t="shared" si="20"/>
        <v>2.8319791034264075E-2</v>
      </c>
    </row>
    <row r="252" spans="19:24" x14ac:dyDescent="0.25">
      <c r="S252" s="44">
        <f t="shared" si="21"/>
        <v>43302</v>
      </c>
      <c r="T252" s="12">
        <f>DurMod(S252,B$2,$F$7:$G$37,$T$3)</f>
        <v>6.9868546939377651</v>
      </c>
      <c r="U252" s="12">
        <f t="shared" si="17"/>
        <v>6.7819594472292595</v>
      </c>
      <c r="V252" s="30">
        <f t="shared" si="18"/>
        <v>0.49722520547945204</v>
      </c>
      <c r="W252" s="46">
        <f t="shared" si="19"/>
        <v>-6.9868546939377635E-2</v>
      </c>
      <c r="X252" s="33">
        <f t="shared" si="20"/>
        <v>2.8319749521991133E-2</v>
      </c>
    </row>
    <row r="253" spans="19:24" x14ac:dyDescent="0.25">
      <c r="S253" s="44">
        <f t="shared" si="21"/>
        <v>43303</v>
      </c>
      <c r="T253" s="12">
        <f>DurMod(S253,B$2,$F$7:$G$37,$T$3)</f>
        <v>6.9841776116362269</v>
      </c>
      <c r="U253" s="12">
        <f t="shared" si="17"/>
        <v>6.7793082705044698</v>
      </c>
      <c r="V253" s="30">
        <f t="shared" si="18"/>
        <v>0.49719780821917808</v>
      </c>
      <c r="W253" s="46">
        <f t="shared" si="19"/>
        <v>-6.9841776116362261E-2</v>
      </c>
      <c r="X253" s="33">
        <f t="shared" si="20"/>
        <v>2.8319708009718184E-2</v>
      </c>
    </row>
    <row r="254" spans="19:24" x14ac:dyDescent="0.25">
      <c r="S254" s="44">
        <f t="shared" si="21"/>
        <v>43304</v>
      </c>
      <c r="T254" s="12">
        <f>DurMod(S254,B$2,$F$7:$G$37,$T$3)</f>
        <v>6.9815005293346815</v>
      </c>
      <c r="U254" s="12">
        <f t="shared" si="17"/>
        <v>6.7766570937796793</v>
      </c>
      <c r="V254" s="30">
        <f t="shared" si="18"/>
        <v>0.49717041095890407</v>
      </c>
      <c r="W254" s="46">
        <f t="shared" si="19"/>
        <v>-6.9815005293346805E-2</v>
      </c>
      <c r="X254" s="33">
        <f t="shared" si="20"/>
        <v>2.8319666497445242E-2</v>
      </c>
    </row>
    <row r="255" spans="19:24" x14ac:dyDescent="0.25">
      <c r="S255" s="44">
        <f t="shared" si="21"/>
        <v>43305</v>
      </c>
      <c r="T255" s="12">
        <f>DurMod(S255,B$2,$F$7:$G$37,$T$3)</f>
        <v>6.9788234470331449</v>
      </c>
      <c r="U255" s="12">
        <f t="shared" si="17"/>
        <v>6.7740059170548914</v>
      </c>
      <c r="V255" s="30">
        <f t="shared" si="18"/>
        <v>0.49714301369863012</v>
      </c>
      <c r="W255" s="46">
        <f t="shared" si="19"/>
        <v>-6.9788234470331445E-2</v>
      </c>
      <c r="X255" s="33">
        <f t="shared" si="20"/>
        <v>2.8319624985172296E-2</v>
      </c>
    </row>
    <row r="256" spans="19:24" x14ac:dyDescent="0.25">
      <c r="S256" s="44">
        <f t="shared" si="21"/>
        <v>43306</v>
      </c>
      <c r="T256" s="12">
        <f>DurMod(S256,B$2,$F$7:$G$37,$T$3)</f>
        <v>6.976146364731604</v>
      </c>
      <c r="U256" s="12">
        <f t="shared" si="17"/>
        <v>6.7713547403301018</v>
      </c>
      <c r="V256" s="30">
        <f t="shared" si="18"/>
        <v>0.49711561643835617</v>
      </c>
      <c r="W256" s="46">
        <f t="shared" si="19"/>
        <v>-6.976146364731603E-2</v>
      </c>
      <c r="X256" s="33">
        <f t="shared" si="20"/>
        <v>2.8319583472899361E-2</v>
      </c>
    </row>
    <row r="257" spans="19:24" x14ac:dyDescent="0.25">
      <c r="S257" s="44">
        <f t="shared" si="21"/>
        <v>43307</v>
      </c>
      <c r="T257" s="12">
        <f>DurMod(S257,B$2,$F$7:$G$37,$T$3)</f>
        <v>6.9734692824300595</v>
      </c>
      <c r="U257" s="12">
        <f t="shared" si="17"/>
        <v>6.7687035636053121</v>
      </c>
      <c r="V257" s="30">
        <f t="shared" si="18"/>
        <v>0.49708821917808216</v>
      </c>
      <c r="W257" s="46">
        <f t="shared" si="19"/>
        <v>-6.9734692824300587E-2</v>
      </c>
      <c r="X257" s="33">
        <f t="shared" si="20"/>
        <v>2.8319541960626408E-2</v>
      </c>
    </row>
    <row r="258" spans="19:24" x14ac:dyDescent="0.25">
      <c r="S258" s="44">
        <f t="shared" si="21"/>
        <v>43308</v>
      </c>
      <c r="T258" s="12">
        <f>DurMod(S258,B$2,$F$7:$G$37,$T$3)</f>
        <v>6.9707922001285194</v>
      </c>
      <c r="U258" s="12">
        <f t="shared" si="17"/>
        <v>6.7660523868805251</v>
      </c>
      <c r="V258" s="30">
        <f t="shared" si="18"/>
        <v>0.4970608219178082</v>
      </c>
      <c r="W258" s="46">
        <f t="shared" si="19"/>
        <v>-6.9707922001285186E-2</v>
      </c>
      <c r="X258" s="33">
        <f t="shared" si="20"/>
        <v>2.831950044835347E-2</v>
      </c>
    </row>
    <row r="259" spans="19:24" x14ac:dyDescent="0.25">
      <c r="S259" s="44">
        <f t="shared" si="21"/>
        <v>43309</v>
      </c>
      <c r="T259" s="12">
        <f>DurMod(S259,B$2,$F$7:$G$37,$T$3)</f>
        <v>6.9681151178269785</v>
      </c>
      <c r="U259" s="12">
        <f t="shared" si="17"/>
        <v>6.7634012101557328</v>
      </c>
      <c r="V259" s="30">
        <f t="shared" si="18"/>
        <v>0.49703342465753425</v>
      </c>
      <c r="W259" s="46">
        <f t="shared" si="19"/>
        <v>-6.9681151178269771E-2</v>
      </c>
      <c r="X259" s="33">
        <f t="shared" si="20"/>
        <v>2.8319458936080524E-2</v>
      </c>
    </row>
    <row r="260" spans="19:24" x14ac:dyDescent="0.25">
      <c r="S260" s="44">
        <f t="shared" si="21"/>
        <v>43310</v>
      </c>
      <c r="T260" s="12">
        <f>DurMod(S260,B$2,$F$7:$G$37,$T$3)</f>
        <v>6.9654380355254366</v>
      </c>
      <c r="U260" s="12">
        <f t="shared" si="17"/>
        <v>6.7607500334309449</v>
      </c>
      <c r="V260" s="30">
        <f t="shared" si="18"/>
        <v>0.4970060273972603</v>
      </c>
      <c r="W260" s="46">
        <f t="shared" si="19"/>
        <v>-6.9654380355254356E-2</v>
      </c>
      <c r="X260" s="33">
        <f t="shared" si="20"/>
        <v>2.8319417423807586E-2</v>
      </c>
    </row>
    <row r="261" spans="19:24" x14ac:dyDescent="0.25">
      <c r="S261" s="44">
        <f t="shared" si="21"/>
        <v>43311</v>
      </c>
      <c r="T261" s="12">
        <f>DurMod(S261,B$2,$F$7:$G$37,$T$3)</f>
        <v>6.9627609532238939</v>
      </c>
      <c r="U261" s="12">
        <f t="shared" ref="U261:U324" si="22">DurMod($S261,$B$2,$F$7:$G$37,U$3)</f>
        <v>6.7580988567061544</v>
      </c>
      <c r="V261" s="30">
        <f t="shared" ref="V261:V324" si="23">+$U$3*($S$5512-S261)/365+$T$3*(S261-$S$4)/365</f>
        <v>0.49697863013698629</v>
      </c>
      <c r="W261" s="46">
        <f t="shared" ref="W261:W324" si="24">+-T261*($U$3-$T$3)</f>
        <v>-6.9627609532238927E-2</v>
      </c>
      <c r="X261" s="33">
        <f t="shared" ref="X261:X324" si="25">+(V261+W261)*365/($S$5512-$S$4)</f>
        <v>2.831937591153464E-2</v>
      </c>
    </row>
    <row r="262" spans="19:24" x14ac:dyDescent="0.25">
      <c r="S262" s="44">
        <f t="shared" ref="S262:S325" si="26">+S261+1</f>
        <v>43312</v>
      </c>
      <c r="T262" s="12">
        <f>DurMod(S262,B$2,$F$7:$G$37,$T$3)</f>
        <v>6.9600838709223529</v>
      </c>
      <c r="U262" s="12">
        <f t="shared" si="22"/>
        <v>6.7554476799813639</v>
      </c>
      <c r="V262" s="30">
        <f t="shared" si="23"/>
        <v>0.49695123287671228</v>
      </c>
      <c r="W262" s="46">
        <f t="shared" si="24"/>
        <v>-6.9600838709223525E-2</v>
      </c>
      <c r="X262" s="33">
        <f t="shared" si="25"/>
        <v>2.8319334399261691E-2</v>
      </c>
    </row>
    <row r="263" spans="19:24" x14ac:dyDescent="0.25">
      <c r="S263" s="44">
        <f t="shared" si="26"/>
        <v>43313</v>
      </c>
      <c r="T263" s="12">
        <f>DurMod(S263,B$2,$F$7:$G$37,$T$3)</f>
        <v>6.957406788620812</v>
      </c>
      <c r="U263" s="12">
        <f t="shared" si="22"/>
        <v>6.7527965032565769</v>
      </c>
      <c r="V263" s="30">
        <f t="shared" si="23"/>
        <v>0.49692383561643833</v>
      </c>
      <c r="W263" s="46">
        <f t="shared" si="24"/>
        <v>-6.957406788620811E-2</v>
      </c>
      <c r="X263" s="33">
        <f t="shared" si="25"/>
        <v>2.8319292886988749E-2</v>
      </c>
    </row>
    <row r="264" spans="19:24" x14ac:dyDescent="0.25">
      <c r="S264" s="44">
        <f t="shared" si="26"/>
        <v>43314</v>
      </c>
      <c r="T264" s="12">
        <f>DurMod(S264,B$2,$F$7:$G$37,$T$3)</f>
        <v>6.9547297063192701</v>
      </c>
      <c r="U264" s="12">
        <f t="shared" si="22"/>
        <v>6.7501453265317872</v>
      </c>
      <c r="V264" s="30">
        <f t="shared" si="23"/>
        <v>0.49689643835616437</v>
      </c>
      <c r="W264" s="46">
        <f t="shared" si="24"/>
        <v>-6.9547297063192695E-2</v>
      </c>
      <c r="X264" s="33">
        <f t="shared" si="25"/>
        <v>2.8319251374715807E-2</v>
      </c>
    </row>
    <row r="265" spans="19:24" x14ac:dyDescent="0.25">
      <c r="S265" s="44">
        <f t="shared" si="26"/>
        <v>43315</v>
      </c>
      <c r="T265" s="12">
        <f>DurMod(S265,B$2,$F$7:$G$37,$T$3)</f>
        <v>6.9520526240177309</v>
      </c>
      <c r="U265" s="12">
        <f t="shared" si="22"/>
        <v>6.7474941498069967</v>
      </c>
      <c r="V265" s="30">
        <f t="shared" si="23"/>
        <v>0.49686904109589042</v>
      </c>
      <c r="W265" s="46">
        <f t="shared" si="24"/>
        <v>-6.9520526240177294E-2</v>
      </c>
      <c r="X265" s="33">
        <f t="shared" si="25"/>
        <v>2.8319209862442862E-2</v>
      </c>
    </row>
    <row r="266" spans="19:24" x14ac:dyDescent="0.25">
      <c r="S266" s="44">
        <f t="shared" si="26"/>
        <v>43316</v>
      </c>
      <c r="T266" s="12">
        <f>DurMod(S266,B$2,$F$7:$G$37,$T$3)</f>
        <v>6.9493755417161891</v>
      </c>
      <c r="U266" s="12">
        <f t="shared" si="22"/>
        <v>6.7448429730822079</v>
      </c>
      <c r="V266" s="30">
        <f t="shared" si="23"/>
        <v>0.49684164383561641</v>
      </c>
      <c r="W266" s="46">
        <f t="shared" si="24"/>
        <v>-6.9493755417161879E-2</v>
      </c>
      <c r="X266" s="33">
        <f t="shared" si="25"/>
        <v>2.8319168350169913E-2</v>
      </c>
    </row>
    <row r="267" spans="19:24" x14ac:dyDescent="0.25">
      <c r="S267" s="44">
        <f t="shared" si="26"/>
        <v>43317</v>
      </c>
      <c r="T267" s="12">
        <f>DurMod(S267,B$2,$F$7:$G$37,$T$3)</f>
        <v>6.946698459414649</v>
      </c>
      <c r="U267" s="12">
        <f t="shared" si="22"/>
        <v>6.7421917963574201</v>
      </c>
      <c r="V267" s="30">
        <f t="shared" si="23"/>
        <v>0.49681424657534246</v>
      </c>
      <c r="W267" s="46">
        <f t="shared" si="24"/>
        <v>-6.9466984594146478E-2</v>
      </c>
      <c r="X267" s="33">
        <f t="shared" si="25"/>
        <v>2.8319126837896978E-2</v>
      </c>
    </row>
    <row r="268" spans="19:24" x14ac:dyDescent="0.25">
      <c r="S268" s="44">
        <f t="shared" si="26"/>
        <v>43318</v>
      </c>
      <c r="T268" s="12">
        <f>DurMod(S268,B$2,$F$7:$G$37,$T$3)</f>
        <v>6.9440213771131072</v>
      </c>
      <c r="U268" s="12">
        <f t="shared" si="22"/>
        <v>6.7395406196326304</v>
      </c>
      <c r="V268" s="30">
        <f t="shared" si="23"/>
        <v>0.4967868493150685</v>
      </c>
      <c r="W268" s="46">
        <f t="shared" si="24"/>
        <v>-6.9440213771131062E-2</v>
      </c>
      <c r="X268" s="33">
        <f t="shared" si="25"/>
        <v>2.8319085325624029E-2</v>
      </c>
    </row>
    <row r="269" spans="19:24" x14ac:dyDescent="0.25">
      <c r="S269" s="44">
        <f t="shared" si="26"/>
        <v>43319</v>
      </c>
      <c r="T269" s="12">
        <f>DurMod(S269,B$2,$F$7:$G$37,$T$3)</f>
        <v>6.9413442948115662</v>
      </c>
      <c r="U269" s="12">
        <f t="shared" si="22"/>
        <v>6.7368894429078399</v>
      </c>
      <c r="V269" s="30">
        <f t="shared" si="23"/>
        <v>0.49675945205479449</v>
      </c>
      <c r="W269" s="46">
        <f t="shared" si="24"/>
        <v>-6.9413442948115647E-2</v>
      </c>
      <c r="X269" s="33">
        <f t="shared" si="25"/>
        <v>2.8319043813351086E-2</v>
      </c>
    </row>
    <row r="270" spans="19:24" x14ac:dyDescent="0.25">
      <c r="S270" s="44">
        <f t="shared" si="26"/>
        <v>43320</v>
      </c>
      <c r="T270" s="12">
        <f>DurMod(S270,B$2,$F$7:$G$37,$T$3)</f>
        <v>6.9386672125100217</v>
      </c>
      <c r="U270" s="12">
        <f t="shared" si="22"/>
        <v>6.734238266183052</v>
      </c>
      <c r="V270" s="30">
        <f t="shared" si="23"/>
        <v>0.49673205479452054</v>
      </c>
      <c r="W270" s="46">
        <f t="shared" si="24"/>
        <v>-6.9386672125100204E-2</v>
      </c>
      <c r="X270" s="33">
        <f t="shared" si="25"/>
        <v>2.8319002301078144E-2</v>
      </c>
    </row>
    <row r="271" spans="19:24" x14ac:dyDescent="0.25">
      <c r="S271" s="44">
        <f t="shared" si="26"/>
        <v>43321</v>
      </c>
      <c r="T271" s="12">
        <f>DurMod(S271,B$2,$F$7:$G$37,$T$3)</f>
        <v>6.9359901302084834</v>
      </c>
      <c r="U271" s="12">
        <f t="shared" si="22"/>
        <v>6.7315870894582641</v>
      </c>
      <c r="V271" s="30">
        <f t="shared" si="23"/>
        <v>0.49670465753424653</v>
      </c>
      <c r="W271" s="46">
        <f t="shared" si="24"/>
        <v>-6.9359901302084817E-2</v>
      </c>
      <c r="X271" s="33">
        <f t="shared" si="25"/>
        <v>2.8318960788805199E-2</v>
      </c>
    </row>
    <row r="272" spans="19:24" x14ac:dyDescent="0.25">
      <c r="S272" s="44">
        <f t="shared" si="26"/>
        <v>43322</v>
      </c>
      <c r="T272" s="12">
        <f>DurMod(S272,B$2,$F$7:$G$37,$T$3)</f>
        <v>6.9333130479069442</v>
      </c>
      <c r="U272" s="12">
        <f t="shared" si="22"/>
        <v>6.7289359127334736</v>
      </c>
      <c r="V272" s="30">
        <f t="shared" si="23"/>
        <v>0.49667726027397258</v>
      </c>
      <c r="W272" s="46">
        <f t="shared" si="24"/>
        <v>-6.933313047906943E-2</v>
      </c>
      <c r="X272" s="33">
        <f t="shared" si="25"/>
        <v>2.831891927653225E-2</v>
      </c>
    </row>
    <row r="273" spans="19:24" x14ac:dyDescent="0.25">
      <c r="S273" s="44">
        <f t="shared" si="26"/>
        <v>43323</v>
      </c>
      <c r="T273" s="12">
        <f>DurMod(S273,B$2,$F$7:$G$37,$T$3)</f>
        <v>6.9306359656054024</v>
      </c>
      <c r="U273" s="12">
        <f t="shared" si="22"/>
        <v>6.726284736008683</v>
      </c>
      <c r="V273" s="30">
        <f t="shared" si="23"/>
        <v>0.49664986301369862</v>
      </c>
      <c r="W273" s="46">
        <f t="shared" si="24"/>
        <v>-6.9306359656054015E-2</v>
      </c>
      <c r="X273" s="33">
        <f t="shared" si="25"/>
        <v>2.8318877764259308E-2</v>
      </c>
    </row>
    <row r="274" spans="19:24" x14ac:dyDescent="0.25">
      <c r="S274" s="44">
        <f t="shared" si="26"/>
        <v>43324</v>
      </c>
      <c r="T274" s="12">
        <f>DurMod(S274,B$2,$F$7:$G$37,$T$3)</f>
        <v>6.9279588833038597</v>
      </c>
      <c r="U274" s="12">
        <f t="shared" si="22"/>
        <v>6.7236335592838969</v>
      </c>
      <c r="V274" s="30">
        <f t="shared" si="23"/>
        <v>0.49662246575342461</v>
      </c>
      <c r="W274" s="46">
        <f t="shared" si="24"/>
        <v>-6.9279588833038586E-2</v>
      </c>
      <c r="X274" s="33">
        <f t="shared" si="25"/>
        <v>2.8318836251986366E-2</v>
      </c>
    </row>
    <row r="275" spans="19:24" x14ac:dyDescent="0.25">
      <c r="S275" s="44">
        <f t="shared" si="26"/>
        <v>43325</v>
      </c>
      <c r="T275" s="12">
        <f>DurMod(S275,B$2,$F$7:$G$37,$T$3)</f>
        <v>6.9252818010023196</v>
      </c>
      <c r="U275" s="12">
        <f t="shared" si="22"/>
        <v>6.7209823825591055</v>
      </c>
      <c r="V275" s="30">
        <f t="shared" si="23"/>
        <v>0.49659506849315066</v>
      </c>
      <c r="W275" s="46">
        <f t="shared" si="24"/>
        <v>-6.9252818010023184E-2</v>
      </c>
      <c r="X275" s="33">
        <f t="shared" si="25"/>
        <v>2.831879473971342E-2</v>
      </c>
    </row>
    <row r="276" spans="19:24" x14ac:dyDescent="0.25">
      <c r="S276" s="44">
        <f t="shared" si="26"/>
        <v>43326</v>
      </c>
      <c r="T276" s="12">
        <f>DurMod(S276,B$2,$F$7:$G$37,$T$3)</f>
        <v>6.9226047187007795</v>
      </c>
      <c r="U276" s="12">
        <f t="shared" si="22"/>
        <v>6.7183312058343141</v>
      </c>
      <c r="V276" s="30">
        <f t="shared" si="23"/>
        <v>0.49656767123287665</v>
      </c>
      <c r="W276" s="46">
        <f t="shared" si="24"/>
        <v>-6.9226047187007783E-2</v>
      </c>
      <c r="X276" s="33">
        <f t="shared" si="25"/>
        <v>2.8318753227440475E-2</v>
      </c>
    </row>
    <row r="277" spans="19:24" x14ac:dyDescent="0.25">
      <c r="S277" s="44">
        <f t="shared" si="26"/>
        <v>43327</v>
      </c>
      <c r="T277" s="12">
        <f>DurMod(S277,B$2,$F$7:$G$37,$T$3)</f>
        <v>6.9199276363992386</v>
      </c>
      <c r="U277" s="12">
        <f t="shared" si="22"/>
        <v>6.7156800291095253</v>
      </c>
      <c r="V277" s="30">
        <f t="shared" si="23"/>
        <v>0.4965402739726027</v>
      </c>
      <c r="W277" s="46">
        <f t="shared" si="24"/>
        <v>-6.9199276363992382E-2</v>
      </c>
      <c r="X277" s="33">
        <f t="shared" si="25"/>
        <v>2.8318711715167533E-2</v>
      </c>
    </row>
    <row r="278" spans="19:24" x14ac:dyDescent="0.25">
      <c r="S278" s="44">
        <f t="shared" si="26"/>
        <v>43328</v>
      </c>
      <c r="T278" s="12">
        <f>DurMod(S278,B$2,$F$7:$G$37,$T$3)</f>
        <v>6.9172505540976958</v>
      </c>
      <c r="U278" s="12">
        <f t="shared" si="22"/>
        <v>6.7130288523847357</v>
      </c>
      <c r="V278" s="30">
        <f t="shared" si="23"/>
        <v>0.49651287671232874</v>
      </c>
      <c r="W278" s="46">
        <f t="shared" si="24"/>
        <v>-6.9172505540976953E-2</v>
      </c>
      <c r="X278" s="33">
        <f t="shared" si="25"/>
        <v>2.8318670202894594E-2</v>
      </c>
    </row>
    <row r="279" spans="19:24" x14ac:dyDescent="0.25">
      <c r="S279" s="44">
        <f t="shared" si="26"/>
        <v>43329</v>
      </c>
      <c r="T279" s="12">
        <f>DurMod(S279,B$2,$F$7:$G$37,$T$3)</f>
        <v>6.9145734717961549</v>
      </c>
      <c r="U279" s="12">
        <f t="shared" si="22"/>
        <v>6.7103776756599487</v>
      </c>
      <c r="V279" s="30">
        <f t="shared" si="23"/>
        <v>0.49648547945205479</v>
      </c>
      <c r="W279" s="46">
        <f t="shared" si="24"/>
        <v>-6.9145734717961538E-2</v>
      </c>
      <c r="X279" s="33">
        <f t="shared" si="25"/>
        <v>2.8318628690621649E-2</v>
      </c>
    </row>
    <row r="280" spans="19:24" x14ac:dyDescent="0.25">
      <c r="S280" s="44">
        <f t="shared" si="26"/>
        <v>43330</v>
      </c>
      <c r="T280" s="12">
        <f>DurMod(S280,B$2,$F$7:$G$37,$T$3)</f>
        <v>6.9118963894946122</v>
      </c>
      <c r="U280" s="12">
        <f t="shared" si="22"/>
        <v>6.7077264989351582</v>
      </c>
      <c r="V280" s="30">
        <f t="shared" si="23"/>
        <v>0.49645808219178078</v>
      </c>
      <c r="W280" s="46">
        <f t="shared" si="24"/>
        <v>-6.9118963894946109E-2</v>
      </c>
      <c r="X280" s="33">
        <f t="shared" si="25"/>
        <v>2.8318587178348707E-2</v>
      </c>
    </row>
    <row r="281" spans="19:24" x14ac:dyDescent="0.25">
      <c r="S281" s="44">
        <f t="shared" si="26"/>
        <v>43331</v>
      </c>
      <c r="T281" s="12">
        <f>DurMod(S281,B$2,$F$7:$G$37,$T$3)</f>
        <v>6.9092193071930712</v>
      </c>
      <c r="U281" s="12">
        <f t="shared" si="22"/>
        <v>6.7050753222103676</v>
      </c>
      <c r="V281" s="30">
        <f t="shared" si="23"/>
        <v>0.49643068493150677</v>
      </c>
      <c r="W281" s="46">
        <f t="shared" si="24"/>
        <v>-6.9092193071930708E-2</v>
      </c>
      <c r="X281" s="33">
        <f t="shared" si="25"/>
        <v>2.8318545666075758E-2</v>
      </c>
    </row>
    <row r="282" spans="19:24" x14ac:dyDescent="0.25">
      <c r="S282" s="44">
        <f t="shared" si="26"/>
        <v>43332</v>
      </c>
      <c r="T282" s="12">
        <f>DurMod(S282,B$2,$F$7:$G$37,$T$3)</f>
        <v>6.906542224891532</v>
      </c>
      <c r="U282" s="12">
        <f t="shared" si="22"/>
        <v>6.7024241454855815</v>
      </c>
      <c r="V282" s="30">
        <f t="shared" si="23"/>
        <v>0.49640328767123287</v>
      </c>
      <c r="W282" s="46">
        <f t="shared" si="24"/>
        <v>-6.9065422248915306E-2</v>
      </c>
      <c r="X282" s="33">
        <f t="shared" si="25"/>
        <v>2.8318504153802816E-2</v>
      </c>
    </row>
    <row r="283" spans="19:24" x14ac:dyDescent="0.25">
      <c r="S283" s="44">
        <f t="shared" si="26"/>
        <v>43333</v>
      </c>
      <c r="T283" s="12">
        <f>DurMod(S283,B$2,$F$7:$G$37,$T$3)</f>
        <v>6.9038651425899893</v>
      </c>
      <c r="U283" s="12">
        <f t="shared" si="22"/>
        <v>6.699772968760791</v>
      </c>
      <c r="V283" s="30">
        <f t="shared" si="23"/>
        <v>0.49637589041095886</v>
      </c>
      <c r="W283" s="46">
        <f t="shared" si="24"/>
        <v>-6.9038651425899877E-2</v>
      </c>
      <c r="X283" s="33">
        <f t="shared" si="25"/>
        <v>2.831846264152987E-2</v>
      </c>
    </row>
    <row r="284" spans="19:24" x14ac:dyDescent="0.25">
      <c r="S284" s="44">
        <f t="shared" si="26"/>
        <v>43334</v>
      </c>
      <c r="T284" s="12">
        <f>DurMod(S284,B$2,$F$7:$G$37,$T$3)</f>
        <v>6.9011880602884483</v>
      </c>
      <c r="U284" s="12">
        <f t="shared" si="22"/>
        <v>6.6971217920360013</v>
      </c>
      <c r="V284" s="30">
        <f t="shared" si="23"/>
        <v>0.49634849315068491</v>
      </c>
      <c r="W284" s="46">
        <f t="shared" si="24"/>
        <v>-6.9011880602884476E-2</v>
      </c>
      <c r="X284" s="33">
        <f t="shared" si="25"/>
        <v>2.8318421129256928E-2</v>
      </c>
    </row>
    <row r="285" spans="19:24" x14ac:dyDescent="0.25">
      <c r="S285" s="44">
        <f t="shared" si="26"/>
        <v>43335</v>
      </c>
      <c r="T285" s="12">
        <f>DurMod(S285,B$2,$F$7:$G$37,$T$3)</f>
        <v>6.8985109779869065</v>
      </c>
      <c r="U285" s="12">
        <f t="shared" si="22"/>
        <v>6.6944706153112117</v>
      </c>
      <c r="V285" s="30">
        <f t="shared" si="23"/>
        <v>0.4963210958904109</v>
      </c>
      <c r="W285" s="46">
        <f t="shared" si="24"/>
        <v>-6.8985109779869061E-2</v>
      </c>
      <c r="X285" s="33">
        <f t="shared" si="25"/>
        <v>2.8318379616983986E-2</v>
      </c>
    </row>
    <row r="286" spans="19:24" x14ac:dyDescent="0.25">
      <c r="S286" s="44">
        <f t="shared" si="26"/>
        <v>43336</v>
      </c>
      <c r="T286" s="12">
        <f>DurMod(S286,B$2,$F$7:$G$37,$T$3)</f>
        <v>6.8958338956853638</v>
      </c>
      <c r="U286" s="12">
        <f t="shared" si="22"/>
        <v>6.691819438586422</v>
      </c>
      <c r="V286" s="30">
        <f t="shared" si="23"/>
        <v>0.49629369863013695</v>
      </c>
      <c r="W286" s="46">
        <f t="shared" si="24"/>
        <v>-6.8958338956853632E-2</v>
      </c>
      <c r="X286" s="33">
        <f t="shared" si="25"/>
        <v>2.8318338104711037E-2</v>
      </c>
    </row>
    <row r="287" spans="19:24" x14ac:dyDescent="0.25">
      <c r="S287" s="44">
        <f t="shared" si="26"/>
        <v>43337</v>
      </c>
      <c r="T287" s="12">
        <f>DurMod(S287,B$2,$F$7:$G$37,$T$3)</f>
        <v>6.8931568133838246</v>
      </c>
      <c r="U287" s="12">
        <f t="shared" si="22"/>
        <v>6.6891682618616359</v>
      </c>
      <c r="V287" s="30">
        <f t="shared" si="23"/>
        <v>0.49626630136986299</v>
      </c>
      <c r="W287" s="46">
        <f t="shared" si="24"/>
        <v>-6.8931568133838231E-2</v>
      </c>
      <c r="X287" s="33">
        <f t="shared" si="25"/>
        <v>2.8318296592438095E-2</v>
      </c>
    </row>
    <row r="288" spans="19:24" x14ac:dyDescent="0.25">
      <c r="S288" s="44">
        <f t="shared" si="26"/>
        <v>43338</v>
      </c>
      <c r="T288" s="12">
        <f>DurMod(S288,B$2,$F$7:$G$37,$T$3)</f>
        <v>6.8904797310822845</v>
      </c>
      <c r="U288" s="12">
        <f t="shared" si="22"/>
        <v>6.6865170851368454</v>
      </c>
      <c r="V288" s="30">
        <f t="shared" si="23"/>
        <v>0.49623890410958899</v>
      </c>
      <c r="W288" s="46">
        <f t="shared" si="24"/>
        <v>-6.890479731082283E-2</v>
      </c>
      <c r="X288" s="33">
        <f t="shared" si="25"/>
        <v>2.8318255080165149E-2</v>
      </c>
    </row>
    <row r="289" spans="19:24" x14ac:dyDescent="0.25">
      <c r="S289" s="44">
        <f t="shared" si="26"/>
        <v>43339</v>
      </c>
      <c r="T289" s="12">
        <f>DurMod(S289,B$2,$F$7:$G$37,$T$3)</f>
        <v>6.8878026487807427</v>
      </c>
      <c r="U289" s="12">
        <f t="shared" si="22"/>
        <v>6.6838659084120575</v>
      </c>
      <c r="V289" s="30">
        <f t="shared" si="23"/>
        <v>0.49621150684931503</v>
      </c>
      <c r="W289" s="46">
        <f t="shared" si="24"/>
        <v>-6.8878026487807414E-2</v>
      </c>
      <c r="X289" s="33">
        <f t="shared" si="25"/>
        <v>2.8318213567892211E-2</v>
      </c>
    </row>
    <row r="290" spans="19:24" x14ac:dyDescent="0.25">
      <c r="S290" s="44">
        <f t="shared" si="26"/>
        <v>43340</v>
      </c>
      <c r="T290" s="12">
        <f>DurMod(S290,B$2,$F$7:$G$37,$T$3)</f>
        <v>6.8851255664791999</v>
      </c>
      <c r="U290" s="12">
        <f t="shared" si="22"/>
        <v>6.6812147316872652</v>
      </c>
      <c r="V290" s="30">
        <f t="shared" si="23"/>
        <v>0.49618410958904102</v>
      </c>
      <c r="W290" s="46">
        <f t="shared" si="24"/>
        <v>-6.8851255664791985E-2</v>
      </c>
      <c r="X290" s="33">
        <f t="shared" si="25"/>
        <v>2.8318172055619258E-2</v>
      </c>
    </row>
    <row r="291" spans="19:24" x14ac:dyDescent="0.25">
      <c r="S291" s="44">
        <f t="shared" si="26"/>
        <v>43341</v>
      </c>
      <c r="T291" s="12">
        <f>DurMod(S291,B$2,$F$7:$G$37,$T$3)</f>
        <v>6.882448484177659</v>
      </c>
      <c r="U291" s="12">
        <f t="shared" si="22"/>
        <v>6.6785635549624756</v>
      </c>
      <c r="V291" s="30">
        <f t="shared" si="23"/>
        <v>0.49615671232876712</v>
      </c>
      <c r="W291" s="46">
        <f t="shared" si="24"/>
        <v>-6.8824484841776584E-2</v>
      </c>
      <c r="X291" s="33">
        <f t="shared" si="25"/>
        <v>2.8318130543346323E-2</v>
      </c>
    </row>
    <row r="292" spans="19:24" x14ac:dyDescent="0.25">
      <c r="S292" s="44">
        <f t="shared" si="26"/>
        <v>43342</v>
      </c>
      <c r="T292" s="12">
        <f>DurMod(S292,B$2,$F$7:$G$37,$T$3)</f>
        <v>6.8797714018761171</v>
      </c>
      <c r="U292" s="12">
        <f t="shared" si="22"/>
        <v>6.6759123782376877</v>
      </c>
      <c r="V292" s="30">
        <f t="shared" si="23"/>
        <v>0.49612931506849312</v>
      </c>
      <c r="W292" s="46">
        <f t="shared" si="24"/>
        <v>-6.8797714018761155E-2</v>
      </c>
      <c r="X292" s="33">
        <f t="shared" si="25"/>
        <v>2.8318089031073374E-2</v>
      </c>
    </row>
    <row r="293" spans="19:24" x14ac:dyDescent="0.25">
      <c r="S293" s="44">
        <f t="shared" si="26"/>
        <v>43343</v>
      </c>
      <c r="T293" s="12">
        <f>DurMod(S293,B$2,$F$7:$G$37,$T$3)</f>
        <v>6.8770943195745771</v>
      </c>
      <c r="U293" s="12">
        <f t="shared" si="22"/>
        <v>6.673261201512898</v>
      </c>
      <c r="V293" s="30">
        <f t="shared" si="23"/>
        <v>0.49610191780821911</v>
      </c>
      <c r="W293" s="46">
        <f t="shared" si="24"/>
        <v>-6.8770943195745754E-2</v>
      </c>
      <c r="X293" s="33">
        <f t="shared" si="25"/>
        <v>2.8318047518800432E-2</v>
      </c>
    </row>
    <row r="294" spans="19:24" x14ac:dyDescent="0.25">
      <c r="S294" s="44">
        <f t="shared" si="26"/>
        <v>43344</v>
      </c>
      <c r="T294" s="12">
        <f>DurMod(S294,B$2,$F$7:$G$37,$T$3)</f>
        <v>6.874417237273037</v>
      </c>
      <c r="U294" s="12">
        <f t="shared" si="22"/>
        <v>6.6706100247881084</v>
      </c>
      <c r="V294" s="30">
        <f t="shared" si="23"/>
        <v>0.49607452054794515</v>
      </c>
      <c r="W294" s="46">
        <f t="shared" si="24"/>
        <v>-6.8744172372730353E-2</v>
      </c>
      <c r="X294" s="33">
        <f t="shared" si="25"/>
        <v>2.8318006006527487E-2</v>
      </c>
    </row>
    <row r="295" spans="19:24" x14ac:dyDescent="0.25">
      <c r="S295" s="44">
        <f t="shared" si="26"/>
        <v>43345</v>
      </c>
      <c r="T295" s="12">
        <f>DurMod(S295,B$2,$F$7:$G$37,$T$3)</f>
        <v>6.8717401549714952</v>
      </c>
      <c r="U295" s="12">
        <f t="shared" si="22"/>
        <v>6.6679588480633178</v>
      </c>
      <c r="V295" s="30">
        <f t="shared" si="23"/>
        <v>0.49604712328767114</v>
      </c>
      <c r="W295" s="46">
        <f t="shared" si="24"/>
        <v>-6.8717401549714938E-2</v>
      </c>
      <c r="X295" s="33">
        <f t="shared" si="25"/>
        <v>2.8317964494254541E-2</v>
      </c>
    </row>
    <row r="296" spans="19:24" x14ac:dyDescent="0.25">
      <c r="S296" s="44">
        <f t="shared" si="26"/>
        <v>43346</v>
      </c>
      <c r="T296" s="12">
        <f>DurMod(S296,B$2,$F$7:$G$37,$T$3)</f>
        <v>6.8690630726699542</v>
      </c>
      <c r="U296" s="12">
        <f t="shared" si="22"/>
        <v>6.6653076713385291</v>
      </c>
      <c r="V296" s="30">
        <f t="shared" si="23"/>
        <v>0.49601972602739725</v>
      </c>
      <c r="W296" s="46">
        <f t="shared" si="24"/>
        <v>-6.8690630726699536E-2</v>
      </c>
      <c r="X296" s="33">
        <f t="shared" si="25"/>
        <v>2.8317922981981603E-2</v>
      </c>
    </row>
    <row r="297" spans="19:24" x14ac:dyDescent="0.25">
      <c r="S297" s="44">
        <f t="shared" si="26"/>
        <v>43347</v>
      </c>
      <c r="T297" s="12">
        <f>DurMod(S297,B$2,$F$7:$G$37,$T$3)</f>
        <v>6.8663859903684124</v>
      </c>
      <c r="U297" s="12">
        <f t="shared" si="22"/>
        <v>6.662656494613743</v>
      </c>
      <c r="V297" s="30">
        <f t="shared" si="23"/>
        <v>0.49599232876712324</v>
      </c>
      <c r="W297" s="46">
        <f t="shared" si="24"/>
        <v>-6.8663859903684107E-2</v>
      </c>
      <c r="X297" s="33">
        <f t="shared" si="25"/>
        <v>2.8317881469708657E-2</v>
      </c>
    </row>
    <row r="298" spans="19:24" x14ac:dyDescent="0.25">
      <c r="S298" s="44">
        <f t="shared" si="26"/>
        <v>43348</v>
      </c>
      <c r="T298" s="12">
        <f>DurMod(S298,B$2,$F$7:$G$37,$T$3)</f>
        <v>6.8637089080668687</v>
      </c>
      <c r="U298" s="12">
        <f t="shared" si="22"/>
        <v>6.6600053178889507</v>
      </c>
      <c r="V298" s="30">
        <f t="shared" si="23"/>
        <v>0.49596493150684928</v>
      </c>
      <c r="W298" s="46">
        <f t="shared" si="24"/>
        <v>-6.8637089080668678E-2</v>
      </c>
      <c r="X298" s="33">
        <f t="shared" si="25"/>
        <v>2.8317839957435715E-2</v>
      </c>
    </row>
    <row r="299" spans="19:24" x14ac:dyDescent="0.25">
      <c r="S299" s="44">
        <f t="shared" si="26"/>
        <v>43349</v>
      </c>
      <c r="T299" s="12">
        <f>DurMod(S299,B$2,$F$7:$G$37,$T$3)</f>
        <v>6.8610318257653296</v>
      </c>
      <c r="U299" s="12">
        <f t="shared" si="22"/>
        <v>6.6573541411641601</v>
      </c>
      <c r="V299" s="30">
        <f t="shared" si="23"/>
        <v>0.49593753424657527</v>
      </c>
      <c r="W299" s="46">
        <f t="shared" si="24"/>
        <v>-6.8610318257653291E-2</v>
      </c>
      <c r="X299" s="33">
        <f t="shared" si="25"/>
        <v>2.8317798445162766E-2</v>
      </c>
    </row>
    <row r="300" spans="19:24" x14ac:dyDescent="0.25">
      <c r="S300" s="44">
        <f t="shared" si="26"/>
        <v>43350</v>
      </c>
      <c r="T300" s="12">
        <f>DurMod(S300,B$2,$F$7:$G$37,$T$3)</f>
        <v>6.8583547434637895</v>
      </c>
      <c r="U300" s="12">
        <f t="shared" si="22"/>
        <v>6.6547029644393714</v>
      </c>
      <c r="V300" s="30">
        <f t="shared" si="23"/>
        <v>0.49591013698630132</v>
      </c>
      <c r="W300" s="46">
        <f t="shared" si="24"/>
        <v>-6.858354743463789E-2</v>
      </c>
      <c r="X300" s="33">
        <f t="shared" si="25"/>
        <v>2.8317756932889824E-2</v>
      </c>
    </row>
    <row r="301" spans="19:24" x14ac:dyDescent="0.25">
      <c r="S301" s="44">
        <f t="shared" si="26"/>
        <v>43351</v>
      </c>
      <c r="T301" s="12">
        <f>DurMod(S301,B$2,$F$7:$G$37,$T$3)</f>
        <v>6.8556776611622476</v>
      </c>
      <c r="U301" s="12">
        <f t="shared" si="22"/>
        <v>6.6520517877145835</v>
      </c>
      <c r="V301" s="30">
        <f t="shared" si="23"/>
        <v>0.49588273972602737</v>
      </c>
      <c r="W301" s="46">
        <f t="shared" si="24"/>
        <v>-6.8556776611622461E-2</v>
      </c>
      <c r="X301" s="33">
        <f t="shared" si="25"/>
        <v>2.8317715420616882E-2</v>
      </c>
    </row>
    <row r="302" spans="19:24" x14ac:dyDescent="0.25">
      <c r="S302" s="44">
        <f t="shared" si="26"/>
        <v>43352</v>
      </c>
      <c r="T302" s="12">
        <f>DurMod(S302,B$2,$F$7:$G$37,$T$3)</f>
        <v>6.8530005788607076</v>
      </c>
      <c r="U302" s="12">
        <f t="shared" si="22"/>
        <v>6.6494006109897938</v>
      </c>
      <c r="V302" s="30">
        <f t="shared" si="23"/>
        <v>0.49585534246575336</v>
      </c>
      <c r="W302" s="46">
        <f t="shared" si="24"/>
        <v>-6.853000578860706E-2</v>
      </c>
      <c r="X302" s="33">
        <f t="shared" si="25"/>
        <v>2.8317673908343936E-2</v>
      </c>
    </row>
    <row r="303" spans="19:24" x14ac:dyDescent="0.25">
      <c r="S303" s="44">
        <f t="shared" si="26"/>
        <v>43353</v>
      </c>
      <c r="T303" s="12">
        <f>DurMod(S303,B$2,$F$7:$G$37,$T$3)</f>
        <v>6.8503234965591648</v>
      </c>
      <c r="U303" s="12">
        <f t="shared" si="22"/>
        <v>6.6467494342650051</v>
      </c>
      <c r="V303" s="30">
        <f t="shared" si="23"/>
        <v>0.49582794520547951</v>
      </c>
      <c r="W303" s="46">
        <f t="shared" si="24"/>
        <v>-6.8503234965591644E-2</v>
      </c>
      <c r="X303" s="33">
        <f t="shared" si="25"/>
        <v>2.8317632396071005E-2</v>
      </c>
    </row>
    <row r="304" spans="19:24" x14ac:dyDescent="0.25">
      <c r="S304" s="44">
        <f t="shared" si="26"/>
        <v>43354</v>
      </c>
      <c r="T304" s="12">
        <f>DurMod(S304,B$2,$F$7:$G$37,$T$3)</f>
        <v>6.8476464142576239</v>
      </c>
      <c r="U304" s="12">
        <f t="shared" si="22"/>
        <v>6.6440982575402154</v>
      </c>
      <c r="V304" s="30">
        <f t="shared" si="23"/>
        <v>0.49580054794520551</v>
      </c>
      <c r="W304" s="46">
        <f t="shared" si="24"/>
        <v>-6.8476464142576229E-2</v>
      </c>
      <c r="X304" s="33">
        <f t="shared" si="25"/>
        <v>2.8317590883798052E-2</v>
      </c>
    </row>
    <row r="305" spans="19:24" x14ac:dyDescent="0.25">
      <c r="S305" s="44">
        <f t="shared" si="26"/>
        <v>43355</v>
      </c>
      <c r="T305" s="12">
        <f>DurMod(S305,B$2,$F$7:$G$37,$T$3)</f>
        <v>6.8449693319560838</v>
      </c>
      <c r="U305" s="12">
        <f t="shared" si="22"/>
        <v>6.6414470808154258</v>
      </c>
      <c r="V305" s="30">
        <f t="shared" si="23"/>
        <v>0.49577315068493155</v>
      </c>
      <c r="W305" s="46">
        <f t="shared" si="24"/>
        <v>-6.8449693319560828E-2</v>
      </c>
      <c r="X305" s="33">
        <f t="shared" si="25"/>
        <v>2.831754937152511E-2</v>
      </c>
    </row>
    <row r="306" spans="19:24" x14ac:dyDescent="0.25">
      <c r="S306" s="44">
        <f t="shared" si="26"/>
        <v>43356</v>
      </c>
      <c r="T306" s="12">
        <f>DurMod(S306,B$2,$F$7:$G$37,$T$3)</f>
        <v>6.842292249654542</v>
      </c>
      <c r="U306" s="12">
        <f t="shared" si="22"/>
        <v>6.6387959040906361</v>
      </c>
      <c r="V306" s="30">
        <f t="shared" si="23"/>
        <v>0.49574575342465754</v>
      </c>
      <c r="W306" s="46">
        <f t="shared" si="24"/>
        <v>-6.8422922496545413E-2</v>
      </c>
      <c r="X306" s="33">
        <f t="shared" si="25"/>
        <v>2.8317507859252168E-2</v>
      </c>
    </row>
    <row r="307" spans="19:24" x14ac:dyDescent="0.25">
      <c r="S307" s="44">
        <f t="shared" si="26"/>
        <v>43357</v>
      </c>
      <c r="T307" s="12">
        <f>DurMod(S307,B$2,$F$7:$G$37,$T$3)</f>
        <v>6.8396151673530019</v>
      </c>
      <c r="U307" s="12">
        <f t="shared" si="22"/>
        <v>6.6361447273658465</v>
      </c>
      <c r="V307" s="30">
        <f t="shared" si="23"/>
        <v>0.49571835616438359</v>
      </c>
      <c r="W307" s="46">
        <f t="shared" si="24"/>
        <v>-6.8396151673530012E-2</v>
      </c>
      <c r="X307" s="33">
        <f t="shared" si="25"/>
        <v>2.8317466346979219E-2</v>
      </c>
    </row>
    <row r="308" spans="19:24" x14ac:dyDescent="0.25">
      <c r="S308" s="44">
        <f t="shared" si="26"/>
        <v>43358</v>
      </c>
      <c r="T308" s="12">
        <f>DurMod(S308,B$2,$F$7:$G$37,$T$3)</f>
        <v>6.8369380850514592</v>
      </c>
      <c r="U308" s="12">
        <f t="shared" si="22"/>
        <v>6.6334935506410604</v>
      </c>
      <c r="V308" s="30">
        <f t="shared" si="23"/>
        <v>0.49569095890410964</v>
      </c>
      <c r="W308" s="46">
        <f t="shared" si="24"/>
        <v>-6.8369380850514583E-2</v>
      </c>
      <c r="X308" s="33">
        <f t="shared" si="25"/>
        <v>2.8317424834706277E-2</v>
      </c>
    </row>
    <row r="309" spans="19:24" x14ac:dyDescent="0.25">
      <c r="S309" s="44">
        <f t="shared" si="26"/>
        <v>43359</v>
      </c>
      <c r="T309" s="12">
        <f>DurMod(S309,B$2,$F$7:$G$37,$T$3)</f>
        <v>6.8342610027499164</v>
      </c>
      <c r="U309" s="12">
        <f t="shared" si="22"/>
        <v>6.6308423739162672</v>
      </c>
      <c r="V309" s="30">
        <f t="shared" si="23"/>
        <v>0.49566356164383563</v>
      </c>
      <c r="W309" s="46">
        <f t="shared" si="24"/>
        <v>-6.8342610027499154E-2</v>
      </c>
      <c r="X309" s="33">
        <f t="shared" si="25"/>
        <v>2.8317383322433335E-2</v>
      </c>
    </row>
    <row r="310" spans="19:24" x14ac:dyDescent="0.25">
      <c r="S310" s="44">
        <f t="shared" si="26"/>
        <v>43360</v>
      </c>
      <c r="T310" s="12">
        <f>DurMod(S310,B$2,$F$7:$G$37,$T$3)</f>
        <v>6.8315839204483773</v>
      </c>
      <c r="U310" s="12">
        <f t="shared" si="22"/>
        <v>6.6281911971914775</v>
      </c>
      <c r="V310" s="30">
        <f t="shared" si="23"/>
        <v>0.49563616438356167</v>
      </c>
      <c r="W310" s="46">
        <f t="shared" si="24"/>
        <v>-6.8315839204483766E-2</v>
      </c>
      <c r="X310" s="33">
        <f t="shared" si="25"/>
        <v>2.8317341810160393E-2</v>
      </c>
    </row>
    <row r="311" spans="19:24" x14ac:dyDescent="0.25">
      <c r="S311" s="44">
        <f t="shared" si="26"/>
        <v>43361</v>
      </c>
      <c r="T311" s="12">
        <f>DurMod(S311,B$2,$F$7:$G$37,$T$3)</f>
        <v>6.8289068381468363</v>
      </c>
      <c r="U311" s="12">
        <f t="shared" si="22"/>
        <v>6.6255400204666905</v>
      </c>
      <c r="V311" s="30">
        <f t="shared" si="23"/>
        <v>0.49560876712328766</v>
      </c>
      <c r="W311" s="46">
        <f t="shared" si="24"/>
        <v>-6.8289068381468351E-2</v>
      </c>
      <c r="X311" s="33">
        <f t="shared" si="25"/>
        <v>2.8317300297887441E-2</v>
      </c>
    </row>
    <row r="312" spans="19:24" x14ac:dyDescent="0.25">
      <c r="S312" s="44">
        <f t="shared" si="26"/>
        <v>43362</v>
      </c>
      <c r="T312" s="12">
        <f>DurMod(S312,B$2,$F$7:$G$37,$T$3)</f>
        <v>6.8262297558452953</v>
      </c>
      <c r="U312" s="12">
        <f t="shared" si="22"/>
        <v>6.6228888437419009</v>
      </c>
      <c r="V312" s="30">
        <f t="shared" si="23"/>
        <v>0.49558136986301371</v>
      </c>
      <c r="W312" s="46">
        <f t="shared" si="24"/>
        <v>-6.8262297558452936E-2</v>
      </c>
      <c r="X312" s="33">
        <f t="shared" si="25"/>
        <v>2.8317258785614505E-2</v>
      </c>
    </row>
    <row r="313" spans="19:24" x14ac:dyDescent="0.25">
      <c r="S313" s="44">
        <f t="shared" si="26"/>
        <v>43363</v>
      </c>
      <c r="T313" s="12">
        <f>DurMod(S313,B$2,$F$7:$G$37,$T$3)</f>
        <v>6.8235526735437535</v>
      </c>
      <c r="U313" s="12">
        <f t="shared" si="22"/>
        <v>6.6202376670171121</v>
      </c>
      <c r="V313" s="30">
        <f t="shared" si="23"/>
        <v>0.49555397260273976</v>
      </c>
      <c r="W313" s="46">
        <f t="shared" si="24"/>
        <v>-6.8235526735437521E-2</v>
      </c>
      <c r="X313" s="33">
        <f t="shared" si="25"/>
        <v>2.8317217273341556E-2</v>
      </c>
    </row>
    <row r="314" spans="19:24" x14ac:dyDescent="0.25">
      <c r="S314" s="44">
        <f t="shared" si="26"/>
        <v>43364</v>
      </c>
      <c r="T314" s="12">
        <f>DurMod(S314,B$2,$F$7:$G$37,$T$3)</f>
        <v>6.8208755912422117</v>
      </c>
      <c r="U314" s="12">
        <f t="shared" si="22"/>
        <v>6.6175864902923225</v>
      </c>
      <c r="V314" s="30">
        <f t="shared" si="23"/>
        <v>0.49552657534246575</v>
      </c>
      <c r="W314" s="46">
        <f t="shared" si="24"/>
        <v>-6.8208755912422106E-2</v>
      </c>
      <c r="X314" s="33">
        <f t="shared" si="25"/>
        <v>2.8317175761068618E-2</v>
      </c>
    </row>
    <row r="315" spans="19:24" x14ac:dyDescent="0.25">
      <c r="S315" s="44">
        <f t="shared" si="26"/>
        <v>43365</v>
      </c>
      <c r="T315" s="12">
        <f>DurMod(S315,B$2,$F$7:$G$37,$T$3)</f>
        <v>6.8181985089406707</v>
      </c>
      <c r="U315" s="12">
        <f t="shared" si="22"/>
        <v>6.6149353135675328</v>
      </c>
      <c r="V315" s="30">
        <f t="shared" si="23"/>
        <v>0.49549917808219179</v>
      </c>
      <c r="W315" s="46">
        <f t="shared" si="24"/>
        <v>-6.8181985089406691E-2</v>
      </c>
      <c r="X315" s="33">
        <f t="shared" si="25"/>
        <v>2.8317134248795669E-2</v>
      </c>
    </row>
    <row r="316" spans="19:24" x14ac:dyDescent="0.25">
      <c r="S316" s="44">
        <f t="shared" si="26"/>
        <v>43366</v>
      </c>
      <c r="T316" s="12">
        <f>DurMod(S316,B$2,$F$7:$G$37,$T$3)</f>
        <v>6.8155214266391306</v>
      </c>
      <c r="U316" s="12">
        <f t="shared" si="22"/>
        <v>6.612284136842745</v>
      </c>
      <c r="V316" s="30">
        <f t="shared" si="23"/>
        <v>0.49547178082191784</v>
      </c>
      <c r="W316" s="46">
        <f t="shared" si="24"/>
        <v>-6.815521426639129E-2</v>
      </c>
      <c r="X316" s="33">
        <f t="shared" si="25"/>
        <v>2.8317092736522727E-2</v>
      </c>
    </row>
    <row r="317" spans="19:24" x14ac:dyDescent="0.25">
      <c r="S317" s="44">
        <f t="shared" si="26"/>
        <v>43367</v>
      </c>
      <c r="T317" s="12">
        <f>DurMod(S317,B$2,$F$7:$G$37,$T$3)</f>
        <v>6.8128443443375888</v>
      </c>
      <c r="U317" s="12">
        <f t="shared" si="22"/>
        <v>6.6096329601179535</v>
      </c>
      <c r="V317" s="30">
        <f t="shared" si="23"/>
        <v>0.49544438356164389</v>
      </c>
      <c r="W317" s="46">
        <f t="shared" si="24"/>
        <v>-6.8128443443375875E-2</v>
      </c>
      <c r="X317" s="33">
        <f t="shared" si="25"/>
        <v>2.8317051224249785E-2</v>
      </c>
    </row>
    <row r="318" spans="19:24" x14ac:dyDescent="0.25">
      <c r="S318" s="44">
        <f t="shared" si="26"/>
        <v>43368</v>
      </c>
      <c r="T318" s="12">
        <f>DurMod(S318,B$2,$F$7:$G$37,$T$3)</f>
        <v>6.8101672620360478</v>
      </c>
      <c r="U318" s="12">
        <f t="shared" si="22"/>
        <v>6.6069817833931657</v>
      </c>
      <c r="V318" s="30">
        <f t="shared" si="23"/>
        <v>0.49541698630136988</v>
      </c>
      <c r="W318" s="46">
        <f t="shared" si="24"/>
        <v>-6.8101672620360473E-2</v>
      </c>
      <c r="X318" s="33">
        <f t="shared" si="25"/>
        <v>2.8317009711976839E-2</v>
      </c>
    </row>
    <row r="319" spans="19:24" x14ac:dyDescent="0.25">
      <c r="S319" s="44">
        <f t="shared" si="26"/>
        <v>43369</v>
      </c>
      <c r="T319" s="12">
        <f>DurMod(S319,B$2,$F$7:$G$37,$T$3)</f>
        <v>6.8074901797345069</v>
      </c>
      <c r="U319" s="12">
        <f t="shared" si="22"/>
        <v>6.6043306066683751</v>
      </c>
      <c r="V319" s="30">
        <f t="shared" si="23"/>
        <v>0.49538958904109587</v>
      </c>
      <c r="W319" s="46">
        <f t="shared" si="24"/>
        <v>-6.8074901797345058E-2</v>
      </c>
      <c r="X319" s="33">
        <f t="shared" si="25"/>
        <v>2.8316968199703897E-2</v>
      </c>
    </row>
    <row r="320" spans="19:24" x14ac:dyDescent="0.25">
      <c r="S320" s="44">
        <f t="shared" si="26"/>
        <v>43370</v>
      </c>
      <c r="T320" s="12">
        <f>DurMod(S320,B$2,$F$7:$G$37,$T$3)</f>
        <v>6.8048130974329633</v>
      </c>
      <c r="U320" s="12">
        <f t="shared" si="22"/>
        <v>6.6016794299435864</v>
      </c>
      <c r="V320" s="30">
        <f t="shared" si="23"/>
        <v>0.49536219178082191</v>
      </c>
      <c r="W320" s="46">
        <f t="shared" si="24"/>
        <v>-6.8048130974329615E-2</v>
      </c>
      <c r="X320" s="33">
        <f t="shared" si="25"/>
        <v>2.8316926687430955E-2</v>
      </c>
    </row>
    <row r="321" spans="19:24" x14ac:dyDescent="0.25">
      <c r="S321" s="44">
        <f t="shared" si="26"/>
        <v>43371</v>
      </c>
      <c r="T321" s="12">
        <f>DurMod(S321,B$2,$F$7:$G$37,$T$3)</f>
        <v>6.8021360151314241</v>
      </c>
      <c r="U321" s="12">
        <f t="shared" si="22"/>
        <v>6.5990282532187949</v>
      </c>
      <c r="V321" s="30">
        <f t="shared" si="23"/>
        <v>0.49533479452054796</v>
      </c>
      <c r="W321" s="46">
        <f t="shared" si="24"/>
        <v>-6.8021360151314228E-2</v>
      </c>
      <c r="X321" s="33">
        <f t="shared" si="25"/>
        <v>2.8316885175158013E-2</v>
      </c>
    </row>
    <row r="322" spans="19:24" x14ac:dyDescent="0.25">
      <c r="S322" s="44">
        <f t="shared" si="26"/>
        <v>43372</v>
      </c>
      <c r="T322" s="12">
        <f>DurMod(S322,B$2,$F$7:$G$37,$T$3)</f>
        <v>6.7994589328298805</v>
      </c>
      <c r="U322" s="12">
        <f t="shared" si="22"/>
        <v>6.5963770764940088</v>
      </c>
      <c r="V322" s="30">
        <f t="shared" si="23"/>
        <v>0.49530739726027401</v>
      </c>
      <c r="W322" s="46">
        <f t="shared" si="24"/>
        <v>-6.7994589328298799E-2</v>
      </c>
      <c r="X322" s="33">
        <f t="shared" si="25"/>
        <v>2.8316843662885071E-2</v>
      </c>
    </row>
    <row r="323" spans="19:24" x14ac:dyDescent="0.25">
      <c r="S323" s="44">
        <f t="shared" si="26"/>
        <v>43373</v>
      </c>
      <c r="T323" s="12">
        <f>DurMod(S323,B$2,$F$7:$G$37,$T$3)</f>
        <v>6.7967818505283404</v>
      </c>
      <c r="U323" s="12">
        <f t="shared" si="22"/>
        <v>6.5937258997692183</v>
      </c>
      <c r="V323" s="30">
        <f t="shared" si="23"/>
        <v>0.49528</v>
      </c>
      <c r="W323" s="46">
        <f t="shared" si="24"/>
        <v>-6.7967818505283398E-2</v>
      </c>
      <c r="X323" s="33">
        <f t="shared" si="25"/>
        <v>2.8316802150612122E-2</v>
      </c>
    </row>
    <row r="324" spans="19:24" x14ac:dyDescent="0.25">
      <c r="S324" s="44">
        <f t="shared" si="26"/>
        <v>43374</v>
      </c>
      <c r="T324" s="12">
        <f>DurMod(S324,B$2,$F$7:$G$37,$T$3)</f>
        <v>6.7941047682268003</v>
      </c>
      <c r="U324" s="12">
        <f t="shared" si="22"/>
        <v>6.5910747230444287</v>
      </c>
      <c r="V324" s="30">
        <f t="shared" si="23"/>
        <v>0.49525260273972604</v>
      </c>
      <c r="W324" s="46">
        <f t="shared" si="24"/>
        <v>-6.7941047682267997E-2</v>
      </c>
      <c r="X324" s="33">
        <f t="shared" si="25"/>
        <v>2.8316760638339177E-2</v>
      </c>
    </row>
    <row r="325" spans="19:24" x14ac:dyDescent="0.25">
      <c r="S325" s="44">
        <f t="shared" si="26"/>
        <v>43375</v>
      </c>
      <c r="T325" s="12">
        <f>DurMod(S325,B$2,$F$7:$G$37,$T$3)</f>
        <v>6.7914276859252585</v>
      </c>
      <c r="U325" s="12">
        <f t="shared" ref="U325:U388" si="27">DurMod($S325,$B$2,$F$7:$G$37,U$3)</f>
        <v>6.5884235463196408</v>
      </c>
      <c r="V325" s="30">
        <f t="shared" ref="V325:V388" si="28">+$U$3*($S$5512-S325)/365+$T$3*(S325-$S$4)/365</f>
        <v>0.49522520547945209</v>
      </c>
      <c r="W325" s="46">
        <f t="shared" ref="W325:W369" si="29">+-T325*($U$3-$T$3)</f>
        <v>-6.7914276859252568E-2</v>
      </c>
      <c r="X325" s="33">
        <f t="shared" ref="X325:X388" si="30">+(V325+W325)*365/($S$5512-$S$4)</f>
        <v>2.8316719126066238E-2</v>
      </c>
    </row>
    <row r="326" spans="19:24" x14ac:dyDescent="0.25">
      <c r="S326" s="44">
        <f t="shared" ref="S326:S389" si="31">+S325+1</f>
        <v>43376</v>
      </c>
      <c r="T326" s="12">
        <f>DurMod(S326,B$2,$F$7:$G$37,$T$3)</f>
        <v>6.7887506036237184</v>
      </c>
      <c r="U326" s="12">
        <f t="shared" si="27"/>
        <v>6.5857723695948502</v>
      </c>
      <c r="V326" s="30">
        <f t="shared" si="28"/>
        <v>0.49519780821917808</v>
      </c>
      <c r="W326" s="46">
        <f t="shared" si="29"/>
        <v>-6.788750603623718E-2</v>
      </c>
      <c r="X326" s="33">
        <f t="shared" si="30"/>
        <v>2.8316677613793285E-2</v>
      </c>
    </row>
    <row r="327" spans="19:24" x14ac:dyDescent="0.25">
      <c r="S327" s="44">
        <f t="shared" si="31"/>
        <v>43377</v>
      </c>
      <c r="T327" s="12">
        <f>DurMod(S327,B$2,$F$7:$G$37,$T$3)</f>
        <v>6.7860735213221766</v>
      </c>
      <c r="U327" s="12">
        <f t="shared" si="27"/>
        <v>6.5831211928700641</v>
      </c>
      <c r="V327" s="30">
        <f t="shared" si="28"/>
        <v>0.49517041095890413</v>
      </c>
      <c r="W327" s="46">
        <f t="shared" si="29"/>
        <v>-6.7860735213221751E-2</v>
      </c>
      <c r="X327" s="33">
        <f t="shared" si="30"/>
        <v>2.8316636101520343E-2</v>
      </c>
    </row>
    <row r="328" spans="19:24" x14ac:dyDescent="0.25">
      <c r="S328" s="44">
        <f t="shared" si="31"/>
        <v>43378</v>
      </c>
      <c r="T328" s="12">
        <f>DurMod(S328,B$2,$F$7:$G$37,$T$3)</f>
        <v>6.7833964390206374</v>
      </c>
      <c r="U328" s="12">
        <f t="shared" si="27"/>
        <v>6.5804700161452727</v>
      </c>
      <c r="V328" s="30">
        <f t="shared" si="28"/>
        <v>0.49514301369863012</v>
      </c>
      <c r="W328" s="46">
        <f t="shared" si="29"/>
        <v>-6.7833964390206364E-2</v>
      </c>
      <c r="X328" s="33">
        <f t="shared" si="30"/>
        <v>2.8316594589247398E-2</v>
      </c>
    </row>
    <row r="329" spans="19:24" x14ac:dyDescent="0.25">
      <c r="S329" s="44">
        <f t="shared" si="31"/>
        <v>43379</v>
      </c>
      <c r="T329" s="12">
        <f>DurMod(S329,B$2,$F$7:$G$37,$T$3)</f>
        <v>6.7807193567190946</v>
      </c>
      <c r="U329" s="12">
        <f t="shared" si="27"/>
        <v>6.5778188394204804</v>
      </c>
      <c r="V329" s="30">
        <f t="shared" si="28"/>
        <v>0.49511561643835617</v>
      </c>
      <c r="W329" s="46">
        <f t="shared" si="29"/>
        <v>-6.7807193567190935E-2</v>
      </c>
      <c r="X329" s="33">
        <f t="shared" si="30"/>
        <v>2.8316553076974456E-2</v>
      </c>
    </row>
    <row r="330" spans="19:24" x14ac:dyDescent="0.25">
      <c r="S330" s="44">
        <f t="shared" si="31"/>
        <v>43380</v>
      </c>
      <c r="T330" s="12">
        <f>DurMod(S330,B$2,$F$7:$G$37,$T$3)</f>
        <v>6.7780422744175519</v>
      </c>
      <c r="U330" s="12">
        <f t="shared" si="27"/>
        <v>6.5751676626956925</v>
      </c>
      <c r="V330" s="30">
        <f t="shared" si="28"/>
        <v>0.49508821917808221</v>
      </c>
      <c r="W330" s="46">
        <f t="shared" si="29"/>
        <v>-6.7780422744175506E-2</v>
      </c>
      <c r="X330" s="33">
        <f t="shared" si="30"/>
        <v>2.8316511564701514E-2</v>
      </c>
    </row>
    <row r="331" spans="19:24" x14ac:dyDescent="0.25">
      <c r="S331" s="44">
        <f t="shared" si="31"/>
        <v>43381</v>
      </c>
      <c r="T331" s="12">
        <f>DurMod(S331,B$2,$F$7:$G$37,$T$3)</f>
        <v>6.7753651921160118</v>
      </c>
      <c r="U331" s="12">
        <f t="shared" si="27"/>
        <v>6.5725164859709047</v>
      </c>
      <c r="V331" s="30">
        <f t="shared" si="28"/>
        <v>0.4950608219178082</v>
      </c>
      <c r="W331" s="46">
        <f t="shared" si="29"/>
        <v>-6.7753651921160105E-2</v>
      </c>
      <c r="X331" s="33">
        <f t="shared" si="30"/>
        <v>2.8316470052428565E-2</v>
      </c>
    </row>
    <row r="332" spans="19:24" x14ac:dyDescent="0.25">
      <c r="S332" s="44">
        <f t="shared" si="31"/>
        <v>43382</v>
      </c>
      <c r="T332" s="12">
        <f>DurMod(S332,B$2,$F$7:$G$37,$T$3)</f>
        <v>6.7726881098144709</v>
      </c>
      <c r="U332" s="12">
        <f t="shared" si="27"/>
        <v>6.569865309246115</v>
      </c>
      <c r="V332" s="30">
        <f t="shared" si="28"/>
        <v>0.49503342465753425</v>
      </c>
      <c r="W332" s="46">
        <f t="shared" si="29"/>
        <v>-6.7726881098144703E-2</v>
      </c>
      <c r="X332" s="33">
        <f t="shared" si="30"/>
        <v>2.831642854015563E-2</v>
      </c>
    </row>
    <row r="333" spans="19:24" x14ac:dyDescent="0.25">
      <c r="S333" s="44">
        <f t="shared" si="31"/>
        <v>43383</v>
      </c>
      <c r="T333" s="12">
        <f>DurMod(S333,B$2,$F$7:$G$37,$T$3)</f>
        <v>6.7700110275129299</v>
      </c>
      <c r="U333" s="12">
        <f t="shared" si="27"/>
        <v>6.5672141325213298</v>
      </c>
      <c r="V333" s="30">
        <f t="shared" si="28"/>
        <v>0.49500602739726024</v>
      </c>
      <c r="W333" s="46">
        <f t="shared" si="29"/>
        <v>-6.7700110275129288E-2</v>
      </c>
      <c r="X333" s="33">
        <f t="shared" si="30"/>
        <v>2.8316387027882677E-2</v>
      </c>
    </row>
    <row r="334" spans="19:24" x14ac:dyDescent="0.25">
      <c r="S334" s="44">
        <f t="shared" si="31"/>
        <v>43384</v>
      </c>
      <c r="T334" s="12">
        <f>DurMod(S334,B$2,$F$7:$G$37,$T$3)</f>
        <v>6.7673339452113908</v>
      </c>
      <c r="U334" s="12">
        <f t="shared" si="27"/>
        <v>6.5645629557965366</v>
      </c>
      <c r="V334" s="30">
        <f t="shared" si="28"/>
        <v>0.49497863013698634</v>
      </c>
      <c r="W334" s="46">
        <f t="shared" si="29"/>
        <v>-6.7673339452113901E-2</v>
      </c>
      <c r="X334" s="33">
        <f t="shared" si="30"/>
        <v>2.8316345515609742E-2</v>
      </c>
    </row>
    <row r="335" spans="19:24" x14ac:dyDescent="0.25">
      <c r="S335" s="44">
        <f t="shared" si="31"/>
        <v>43385</v>
      </c>
      <c r="T335" s="12">
        <f>DurMod(S335,B$2,$F$7:$G$37,$T$3)</f>
        <v>6.7646568629098462</v>
      </c>
      <c r="U335" s="12">
        <f t="shared" si="27"/>
        <v>6.5619117790717478</v>
      </c>
      <c r="V335" s="30">
        <f t="shared" si="28"/>
        <v>0.49495123287671233</v>
      </c>
      <c r="W335" s="46">
        <f t="shared" si="29"/>
        <v>-6.7646568629098458E-2</v>
      </c>
      <c r="X335" s="33">
        <f t="shared" si="30"/>
        <v>2.8316304003336793E-2</v>
      </c>
    </row>
    <row r="336" spans="19:24" x14ac:dyDescent="0.25">
      <c r="S336" s="44">
        <f t="shared" si="31"/>
        <v>43386</v>
      </c>
      <c r="T336" s="12">
        <f>DurMod(S336,B$2,$F$7:$G$37,$T$3)</f>
        <v>6.761979780608308</v>
      </c>
      <c r="U336" s="12">
        <f t="shared" si="27"/>
        <v>6.5592606023469564</v>
      </c>
      <c r="V336" s="30">
        <f t="shared" si="28"/>
        <v>0.49492383561643838</v>
      </c>
      <c r="W336" s="46">
        <f t="shared" si="29"/>
        <v>-6.7619797806083071E-2</v>
      </c>
      <c r="X336" s="33">
        <f t="shared" si="30"/>
        <v>2.8316262491063851E-2</v>
      </c>
    </row>
    <row r="337" spans="19:24" x14ac:dyDescent="0.25">
      <c r="S337" s="44">
        <f t="shared" si="31"/>
        <v>43387</v>
      </c>
      <c r="T337" s="12">
        <f>DurMod(S337,B$2,$F$7:$G$37,$T$3)</f>
        <v>6.759302698306767</v>
      </c>
      <c r="U337" s="12">
        <f t="shared" si="27"/>
        <v>6.5566094256221703</v>
      </c>
      <c r="V337" s="30">
        <f t="shared" si="28"/>
        <v>0.49489643835616437</v>
      </c>
      <c r="W337" s="46">
        <f t="shared" si="29"/>
        <v>-6.7593026983067656E-2</v>
      </c>
      <c r="X337" s="33">
        <f t="shared" si="30"/>
        <v>2.8316220978790906E-2</v>
      </c>
    </row>
    <row r="338" spans="19:24" x14ac:dyDescent="0.25">
      <c r="S338" s="44">
        <f t="shared" si="31"/>
        <v>43388</v>
      </c>
      <c r="T338" s="12">
        <f>DurMod(S338,B$2,$F$7:$G$37,$T$3)</f>
        <v>6.7566256160052252</v>
      </c>
      <c r="U338" s="12">
        <f t="shared" si="27"/>
        <v>6.5539582488973789</v>
      </c>
      <c r="V338" s="30">
        <f t="shared" si="28"/>
        <v>0.49486904109589036</v>
      </c>
      <c r="W338" s="46">
        <f t="shared" si="29"/>
        <v>-6.756625616005224E-2</v>
      </c>
      <c r="X338" s="33">
        <f t="shared" si="30"/>
        <v>2.8316179466517957E-2</v>
      </c>
    </row>
    <row r="339" spans="19:24" x14ac:dyDescent="0.25">
      <c r="S339" s="44">
        <f t="shared" si="31"/>
        <v>43389</v>
      </c>
      <c r="T339" s="12">
        <f>DurMod(S339,B$2,$F$7:$G$37,$T$3)</f>
        <v>6.7539485337036833</v>
      </c>
      <c r="U339" s="12">
        <f t="shared" si="27"/>
        <v>6.5513070721725937</v>
      </c>
      <c r="V339" s="30">
        <f t="shared" si="28"/>
        <v>0.49484164383561646</v>
      </c>
      <c r="W339" s="46">
        <f t="shared" si="29"/>
        <v>-6.7539485337036825E-2</v>
      </c>
      <c r="X339" s="33">
        <f t="shared" si="30"/>
        <v>2.8316137954245021E-2</v>
      </c>
    </row>
    <row r="340" spans="19:24" x14ac:dyDescent="0.25">
      <c r="S340" s="44">
        <f t="shared" si="31"/>
        <v>43390</v>
      </c>
      <c r="T340" s="12">
        <f>DurMod(S340,B$2,$F$7:$G$37,$T$3)</f>
        <v>6.7512714514021424</v>
      </c>
      <c r="U340" s="12">
        <f t="shared" si="27"/>
        <v>6.5486558954478031</v>
      </c>
      <c r="V340" s="30">
        <f t="shared" si="28"/>
        <v>0.49481424657534245</v>
      </c>
      <c r="W340" s="46">
        <f t="shared" si="29"/>
        <v>-6.751271451402141E-2</v>
      </c>
      <c r="X340" s="33">
        <f t="shared" si="30"/>
        <v>2.8316096441972072E-2</v>
      </c>
    </row>
    <row r="341" spans="19:24" x14ac:dyDescent="0.25">
      <c r="S341" s="44">
        <f t="shared" si="31"/>
        <v>43391</v>
      </c>
      <c r="T341" s="12">
        <f>DurMod(S341,B$2,$F$7:$G$37,$T$3)</f>
        <v>6.748594369100597</v>
      </c>
      <c r="U341" s="12">
        <f t="shared" si="27"/>
        <v>6.5460047187230135</v>
      </c>
      <c r="V341" s="30">
        <f t="shared" si="28"/>
        <v>0.4947868493150685</v>
      </c>
      <c r="W341" s="46">
        <f t="shared" si="29"/>
        <v>-6.7485943691005953E-2</v>
      </c>
      <c r="X341" s="33">
        <f t="shared" si="30"/>
        <v>2.831605492969913E-2</v>
      </c>
    </row>
    <row r="342" spans="19:24" x14ac:dyDescent="0.25">
      <c r="S342" s="44">
        <f t="shared" si="31"/>
        <v>43392</v>
      </c>
      <c r="T342" s="12">
        <f>DurMod(S342,B$2,$F$7:$G$37,$T$3)</f>
        <v>6.7459172867990578</v>
      </c>
      <c r="U342" s="12">
        <f t="shared" si="27"/>
        <v>6.5433535419982229</v>
      </c>
      <c r="V342" s="30">
        <f t="shared" si="28"/>
        <v>0.49475945205479449</v>
      </c>
      <c r="W342" s="46">
        <f t="shared" si="29"/>
        <v>-6.7459172867990566E-2</v>
      </c>
      <c r="X342" s="33">
        <f t="shared" si="30"/>
        <v>2.8316013417426185E-2</v>
      </c>
    </row>
    <row r="343" spans="19:24" x14ac:dyDescent="0.25">
      <c r="S343" s="44">
        <f t="shared" si="31"/>
        <v>43393</v>
      </c>
      <c r="T343" s="12">
        <f>DurMod(S343,B$2,$F$7:$G$37,$T$3)</f>
        <v>6.743240204497515</v>
      </c>
      <c r="U343" s="12">
        <f t="shared" si="27"/>
        <v>6.5407023652734324</v>
      </c>
      <c r="V343" s="30">
        <f t="shared" si="28"/>
        <v>0.49473205479452054</v>
      </c>
      <c r="W343" s="46">
        <f t="shared" si="29"/>
        <v>-6.7432402044975137E-2</v>
      </c>
      <c r="X343" s="33">
        <f t="shared" si="30"/>
        <v>2.8315971905153243E-2</v>
      </c>
    </row>
    <row r="344" spans="19:24" x14ac:dyDescent="0.25">
      <c r="S344" s="44">
        <f t="shared" si="31"/>
        <v>43394</v>
      </c>
      <c r="T344" s="12">
        <f>DurMod(S344,B$2,$F$7:$G$37,$T$3)</f>
        <v>6.7405631221959768</v>
      </c>
      <c r="U344" s="12">
        <f t="shared" si="27"/>
        <v>6.5380511885486436</v>
      </c>
      <c r="V344" s="30">
        <f t="shared" si="28"/>
        <v>0.49470465753424658</v>
      </c>
      <c r="W344" s="46">
        <f t="shared" si="29"/>
        <v>-6.7405631221959764E-2</v>
      </c>
      <c r="X344" s="33">
        <f t="shared" si="30"/>
        <v>2.8315930392880301E-2</v>
      </c>
    </row>
    <row r="345" spans="19:24" x14ac:dyDescent="0.25">
      <c r="S345" s="44">
        <f t="shared" si="31"/>
        <v>43395</v>
      </c>
      <c r="T345" s="12">
        <f>DurMod(S345,B$2,$F$7:$G$37,$T$3)</f>
        <v>6.7378860398944376</v>
      </c>
      <c r="U345" s="12">
        <f t="shared" si="27"/>
        <v>6.5354000118238531</v>
      </c>
      <c r="V345" s="30">
        <f t="shared" si="28"/>
        <v>0.49467726027397257</v>
      </c>
      <c r="W345" s="46">
        <f t="shared" si="29"/>
        <v>-6.7378860398944362E-2</v>
      </c>
      <c r="X345" s="33">
        <f t="shared" si="30"/>
        <v>2.8315888880607352E-2</v>
      </c>
    </row>
    <row r="346" spans="19:24" x14ac:dyDescent="0.25">
      <c r="S346" s="44">
        <f t="shared" si="31"/>
        <v>43396</v>
      </c>
      <c r="T346" s="12">
        <f>DurMod(S346,B$2,$F$7:$G$37,$T$3)</f>
        <v>6.735208957592894</v>
      </c>
      <c r="U346" s="12">
        <f t="shared" si="27"/>
        <v>6.5327488350990635</v>
      </c>
      <c r="V346" s="30">
        <f t="shared" si="28"/>
        <v>0.49464986301369862</v>
      </c>
      <c r="W346" s="46">
        <f t="shared" si="29"/>
        <v>-6.7352089575928933E-2</v>
      </c>
      <c r="X346" s="33">
        <f t="shared" si="30"/>
        <v>2.831584736833441E-2</v>
      </c>
    </row>
    <row r="347" spans="19:24" x14ac:dyDescent="0.25">
      <c r="S347" s="44">
        <f t="shared" si="31"/>
        <v>43397</v>
      </c>
      <c r="T347" s="12">
        <f>DurMod(S347,B$2,$F$7:$G$37,$T$3)</f>
        <v>6.7325318752913548</v>
      </c>
      <c r="U347" s="12">
        <f t="shared" si="27"/>
        <v>6.5300976583742747</v>
      </c>
      <c r="V347" s="30">
        <f t="shared" si="28"/>
        <v>0.49462246575342461</v>
      </c>
      <c r="W347" s="46">
        <f t="shared" si="29"/>
        <v>-6.7325318752913532E-2</v>
      </c>
      <c r="X347" s="33">
        <f t="shared" si="30"/>
        <v>2.8315805856061464E-2</v>
      </c>
    </row>
    <row r="348" spans="19:24" x14ac:dyDescent="0.25">
      <c r="S348" s="44">
        <f t="shared" si="31"/>
        <v>43398</v>
      </c>
      <c r="T348" s="12">
        <f>DurMod(S348,B$2,$F$7:$G$37,$T$3)</f>
        <v>6.7298547929898112</v>
      </c>
      <c r="U348" s="12">
        <f t="shared" si="27"/>
        <v>6.5274464816494886</v>
      </c>
      <c r="V348" s="30">
        <f t="shared" si="28"/>
        <v>0.49459506849315071</v>
      </c>
      <c r="W348" s="46">
        <f t="shared" si="29"/>
        <v>-6.7298547929898103E-2</v>
      </c>
      <c r="X348" s="33">
        <f t="shared" si="30"/>
        <v>2.8315764343788526E-2</v>
      </c>
    </row>
    <row r="349" spans="19:24" x14ac:dyDescent="0.25">
      <c r="S349" s="44">
        <f t="shared" si="31"/>
        <v>43399</v>
      </c>
      <c r="T349" s="12">
        <f>DurMod(S349,B$2,$F$7:$G$37,$T$3)</f>
        <v>6.7271777106882693</v>
      </c>
      <c r="U349" s="12">
        <f t="shared" si="27"/>
        <v>6.5247953049246972</v>
      </c>
      <c r="V349" s="30">
        <f t="shared" si="28"/>
        <v>0.4945676712328767</v>
      </c>
      <c r="W349" s="46">
        <f t="shared" si="29"/>
        <v>-6.7271777106882688E-2</v>
      </c>
      <c r="X349" s="33">
        <f t="shared" si="30"/>
        <v>2.831572283151558E-2</v>
      </c>
    </row>
    <row r="350" spans="19:24" x14ac:dyDescent="0.25">
      <c r="S350" s="44">
        <f t="shared" si="31"/>
        <v>43400</v>
      </c>
      <c r="T350" s="12">
        <f>DurMod(S350,B$2,$F$7:$G$37,$T$3)</f>
        <v>6.7245006283867292</v>
      </c>
      <c r="U350" s="12">
        <f t="shared" si="27"/>
        <v>6.5221441281999084</v>
      </c>
      <c r="V350" s="30">
        <f t="shared" si="28"/>
        <v>0.4945402739726027</v>
      </c>
      <c r="W350" s="46">
        <f t="shared" si="29"/>
        <v>-6.7245006283867287E-2</v>
      </c>
      <c r="X350" s="33">
        <f t="shared" si="30"/>
        <v>2.8315681319242631E-2</v>
      </c>
    </row>
    <row r="351" spans="19:24" x14ac:dyDescent="0.25">
      <c r="S351" s="44">
        <f t="shared" si="31"/>
        <v>43401</v>
      </c>
      <c r="T351" s="12">
        <f>DurMod(S351,B$2,$F$7:$G$37,$T$3)</f>
        <v>6.7218235460851865</v>
      </c>
      <c r="U351" s="12">
        <f t="shared" si="27"/>
        <v>6.519492951475117</v>
      </c>
      <c r="V351" s="30">
        <f t="shared" si="28"/>
        <v>0.49451287671232874</v>
      </c>
      <c r="W351" s="46">
        <f t="shared" si="29"/>
        <v>-6.7218235460851858E-2</v>
      </c>
      <c r="X351" s="33">
        <f t="shared" si="30"/>
        <v>2.8315639806969689E-2</v>
      </c>
    </row>
    <row r="352" spans="19:24" x14ac:dyDescent="0.25">
      <c r="S352" s="44">
        <f t="shared" si="31"/>
        <v>43402</v>
      </c>
      <c r="T352" s="12">
        <f>DurMod(S352,B$2,$F$7:$G$37,$T$3)</f>
        <v>6.7191464637836464</v>
      </c>
      <c r="U352" s="12">
        <f t="shared" si="27"/>
        <v>6.5168417747503291</v>
      </c>
      <c r="V352" s="30">
        <f t="shared" si="28"/>
        <v>0.49448547945205479</v>
      </c>
      <c r="W352" s="46">
        <f t="shared" si="29"/>
        <v>-6.7191464637836457E-2</v>
      </c>
      <c r="X352" s="33">
        <f t="shared" si="30"/>
        <v>2.8315598294696747E-2</v>
      </c>
    </row>
    <row r="353" spans="19:24" x14ac:dyDescent="0.25">
      <c r="S353" s="44">
        <f t="shared" si="31"/>
        <v>43403</v>
      </c>
      <c r="T353" s="12">
        <f>DurMod(S353,B$2,$F$7:$G$37,$T$3)</f>
        <v>6.7164693814821046</v>
      </c>
      <c r="U353" s="12">
        <f t="shared" si="27"/>
        <v>6.5141905980255412</v>
      </c>
      <c r="V353" s="30">
        <f t="shared" si="28"/>
        <v>0.49445808219178083</v>
      </c>
      <c r="W353" s="46">
        <f t="shared" si="29"/>
        <v>-6.7164693814821042E-2</v>
      </c>
      <c r="X353" s="33">
        <f t="shared" si="30"/>
        <v>2.8315556782423808E-2</v>
      </c>
    </row>
    <row r="354" spans="19:24" x14ac:dyDescent="0.25">
      <c r="S354" s="44">
        <f t="shared" si="31"/>
        <v>43404</v>
      </c>
      <c r="T354" s="12">
        <f>DurMod(S354,B$2,$F$7:$G$37,$T$3)</f>
        <v>6.7137922991805628</v>
      </c>
      <c r="U354" s="12">
        <f t="shared" si="27"/>
        <v>6.5115394213007525</v>
      </c>
      <c r="V354" s="30">
        <f t="shared" si="28"/>
        <v>0.49443068493150683</v>
      </c>
      <c r="W354" s="46">
        <f t="shared" si="29"/>
        <v>-6.7137922991805613E-2</v>
      </c>
      <c r="X354" s="33">
        <f t="shared" si="30"/>
        <v>2.8315515270150859E-2</v>
      </c>
    </row>
    <row r="355" spans="19:24" x14ac:dyDescent="0.25">
      <c r="S355" s="44">
        <f t="shared" si="31"/>
        <v>43405</v>
      </c>
      <c r="T355" s="12">
        <f>DurMod(S355,B$2,$F$7:$G$37,$T$3)</f>
        <v>6.7111152168790218</v>
      </c>
      <c r="U355" s="12">
        <f t="shared" si="27"/>
        <v>6.5088882445759602</v>
      </c>
      <c r="V355" s="30">
        <f t="shared" si="28"/>
        <v>0.49440328767123287</v>
      </c>
      <c r="W355" s="46">
        <f t="shared" si="29"/>
        <v>-6.7111152168790211E-2</v>
      </c>
      <c r="X355" s="33">
        <f t="shared" si="30"/>
        <v>2.8315473757877917E-2</v>
      </c>
    </row>
    <row r="356" spans="19:24" x14ac:dyDescent="0.25">
      <c r="S356" s="44">
        <f t="shared" si="31"/>
        <v>43406</v>
      </c>
      <c r="T356" s="12">
        <f>DurMod(S356,B$2,$F$7:$G$37,$T$3)</f>
        <v>6.7084381345774835</v>
      </c>
      <c r="U356" s="12">
        <f t="shared" si="27"/>
        <v>6.5062370678511705</v>
      </c>
      <c r="V356" s="30">
        <f t="shared" si="28"/>
        <v>0.49437589041095886</v>
      </c>
      <c r="W356" s="46">
        <f t="shared" si="29"/>
        <v>-6.7084381345774824E-2</v>
      </c>
      <c r="X356" s="33">
        <f t="shared" si="30"/>
        <v>2.8315432245604972E-2</v>
      </c>
    </row>
    <row r="357" spans="19:24" x14ac:dyDescent="0.25">
      <c r="S357" s="44">
        <f t="shared" si="31"/>
        <v>43407</v>
      </c>
      <c r="T357" s="12">
        <f>DurMod(S357,B$2,$F$7:$G$37,$T$3)</f>
        <v>6.7057610522759399</v>
      </c>
      <c r="U357" s="12">
        <f t="shared" si="27"/>
        <v>6.5035858911263826</v>
      </c>
      <c r="V357" s="30">
        <f t="shared" si="28"/>
        <v>0.49434849315068491</v>
      </c>
      <c r="W357" s="46">
        <f t="shared" si="29"/>
        <v>-6.7057610522759395E-2</v>
      </c>
      <c r="X357" s="33">
        <f t="shared" si="30"/>
        <v>2.831539073333203E-2</v>
      </c>
    </row>
    <row r="358" spans="19:24" x14ac:dyDescent="0.25">
      <c r="S358" s="44">
        <f t="shared" si="31"/>
        <v>43408</v>
      </c>
      <c r="T358" s="12">
        <f>DurMod(S358,B$2,$F$7:$G$37,$T$3)</f>
        <v>6.7030839699744016</v>
      </c>
      <c r="U358" s="12">
        <f t="shared" si="27"/>
        <v>6.500934714401593</v>
      </c>
      <c r="V358" s="30">
        <f t="shared" si="28"/>
        <v>0.49432109589041096</v>
      </c>
      <c r="W358" s="46">
        <f t="shared" si="29"/>
        <v>-6.7030839699744008E-2</v>
      </c>
      <c r="X358" s="33">
        <f t="shared" si="30"/>
        <v>2.8315349221059088E-2</v>
      </c>
    </row>
    <row r="359" spans="19:24" x14ac:dyDescent="0.25">
      <c r="S359" s="44">
        <f t="shared" si="31"/>
        <v>43409</v>
      </c>
      <c r="T359" s="12">
        <f>DurMod(S359,B$2,$F$7:$G$37,$T$3)</f>
        <v>6.7004068876728562</v>
      </c>
      <c r="U359" s="12">
        <f t="shared" si="27"/>
        <v>6.4982835376768033</v>
      </c>
      <c r="V359" s="30">
        <f t="shared" si="28"/>
        <v>0.49429369863013695</v>
      </c>
      <c r="W359" s="46">
        <f t="shared" si="29"/>
        <v>-6.7004068876728551E-2</v>
      </c>
      <c r="X359" s="33">
        <f t="shared" si="30"/>
        <v>2.8315307708786139E-2</v>
      </c>
    </row>
    <row r="360" spans="19:24" x14ac:dyDescent="0.25">
      <c r="S360" s="44">
        <f t="shared" si="31"/>
        <v>43410</v>
      </c>
      <c r="T360" s="12">
        <f>DurMod(S360,B$2,$F$7:$G$37,$T$3)</f>
        <v>6.6977298053713161</v>
      </c>
      <c r="U360" s="12">
        <f t="shared" si="27"/>
        <v>6.4956323609520146</v>
      </c>
      <c r="V360" s="30">
        <f t="shared" si="28"/>
        <v>0.49426630136986299</v>
      </c>
      <c r="W360" s="46">
        <f t="shared" si="29"/>
        <v>-6.697729805371315E-2</v>
      </c>
      <c r="X360" s="33">
        <f t="shared" si="30"/>
        <v>2.8315266196513197E-2</v>
      </c>
    </row>
    <row r="361" spans="19:24" x14ac:dyDescent="0.25">
      <c r="S361" s="44">
        <f t="shared" si="31"/>
        <v>43411</v>
      </c>
      <c r="T361" s="12">
        <f>DurMod(S361,B$2,$F$7:$G$37,$T$3)</f>
        <v>6.6950527230697743</v>
      </c>
      <c r="U361" s="12">
        <f t="shared" si="27"/>
        <v>6.4929811842272267</v>
      </c>
      <c r="V361" s="30">
        <f t="shared" si="28"/>
        <v>0.49423890410958904</v>
      </c>
      <c r="W361" s="46">
        <f t="shared" si="29"/>
        <v>-6.6950527230697734E-2</v>
      </c>
      <c r="X361" s="33">
        <f t="shared" si="30"/>
        <v>2.8315224684240255E-2</v>
      </c>
    </row>
    <row r="362" spans="19:24" x14ac:dyDescent="0.25">
      <c r="S362" s="44">
        <f t="shared" si="31"/>
        <v>43412</v>
      </c>
      <c r="T362" s="12">
        <f>DurMod(S362,B$2,$F$7:$G$37,$T$3)</f>
        <v>6.6923756407682369</v>
      </c>
      <c r="U362" s="12">
        <f t="shared" si="27"/>
        <v>6.4903300075024362</v>
      </c>
      <c r="V362" s="30">
        <f t="shared" si="28"/>
        <v>0.49421150684931503</v>
      </c>
      <c r="W362" s="46">
        <f t="shared" si="29"/>
        <v>-6.6923756407682361E-2</v>
      </c>
      <c r="X362" s="33">
        <f t="shared" si="30"/>
        <v>2.8315183171967309E-2</v>
      </c>
    </row>
    <row r="363" spans="19:24" x14ac:dyDescent="0.25">
      <c r="S363" s="44">
        <f t="shared" si="31"/>
        <v>43413</v>
      </c>
      <c r="T363" s="12">
        <f>DurMod(S363,B$2,$F$7:$G$37,$T$3)</f>
        <v>6.6896985584666941</v>
      </c>
      <c r="U363" s="12">
        <f t="shared" si="27"/>
        <v>6.4876788307776474</v>
      </c>
      <c r="V363" s="30">
        <f t="shared" si="28"/>
        <v>0.49418410958904108</v>
      </c>
      <c r="W363" s="46">
        <f t="shared" si="29"/>
        <v>-6.6896985584666932E-2</v>
      </c>
      <c r="X363" s="33">
        <f t="shared" si="30"/>
        <v>2.8315141659694367E-2</v>
      </c>
    </row>
    <row r="364" spans="19:24" x14ac:dyDescent="0.25">
      <c r="S364" s="44">
        <f t="shared" si="31"/>
        <v>43414</v>
      </c>
      <c r="T364" s="12">
        <f>DurMod(S364,B$2,$F$7:$G$37,$T$3)</f>
        <v>6.6870214761651514</v>
      </c>
      <c r="U364" s="12">
        <f t="shared" si="27"/>
        <v>6.485027654052856</v>
      </c>
      <c r="V364" s="30">
        <f t="shared" si="28"/>
        <v>0.49415671232876707</v>
      </c>
      <c r="W364" s="46">
        <f t="shared" si="29"/>
        <v>-6.6870214761651503E-2</v>
      </c>
      <c r="X364" s="33">
        <f t="shared" si="30"/>
        <v>2.8315100147421418E-2</v>
      </c>
    </row>
    <row r="365" spans="19:24" x14ac:dyDescent="0.25">
      <c r="S365" s="44">
        <f t="shared" si="31"/>
        <v>43415</v>
      </c>
      <c r="T365" s="12">
        <f>DurMod(S365,B$2,$F$7:$G$37,$T$3)</f>
        <v>6.6843443938636096</v>
      </c>
      <c r="U365" s="12">
        <f t="shared" si="27"/>
        <v>6.4823764773280681</v>
      </c>
      <c r="V365" s="30">
        <f t="shared" si="28"/>
        <v>0.49412931506849311</v>
      </c>
      <c r="W365" s="46">
        <f t="shared" si="29"/>
        <v>-6.6843443938636088E-2</v>
      </c>
      <c r="X365" s="33">
        <f t="shared" si="30"/>
        <v>2.8315058635148476E-2</v>
      </c>
    </row>
    <row r="366" spans="19:24" x14ac:dyDescent="0.25">
      <c r="S366" s="44">
        <f t="shared" si="31"/>
        <v>43416</v>
      </c>
      <c r="T366" s="12">
        <f>DurMod(S366,B$2,$F$7:$G$37,$T$3)</f>
        <v>6.6816673115620731</v>
      </c>
      <c r="U366" s="12">
        <f t="shared" si="27"/>
        <v>6.4797253006032784</v>
      </c>
      <c r="V366" s="30">
        <f t="shared" si="28"/>
        <v>0.49410191780821916</v>
      </c>
      <c r="W366" s="46">
        <f t="shared" si="29"/>
        <v>-6.6816673115620714E-2</v>
      </c>
      <c r="X366" s="33">
        <f t="shared" si="30"/>
        <v>2.8315017122875531E-2</v>
      </c>
    </row>
    <row r="367" spans="19:24" x14ac:dyDescent="0.25">
      <c r="S367" s="44">
        <f t="shared" si="31"/>
        <v>43417</v>
      </c>
      <c r="T367" s="12">
        <f>DurMod(S367,B$2,$F$7:$G$37,$T$3)</f>
        <v>6.6789902292605285</v>
      </c>
      <c r="U367" s="12">
        <f t="shared" si="27"/>
        <v>6.4770741238784888</v>
      </c>
      <c r="V367" s="30">
        <f t="shared" si="28"/>
        <v>0.49407452054794521</v>
      </c>
      <c r="W367" s="46">
        <f t="shared" si="29"/>
        <v>-6.6789902292605272E-2</v>
      </c>
      <c r="X367" s="33">
        <f t="shared" si="30"/>
        <v>2.8314975610602592E-2</v>
      </c>
    </row>
    <row r="368" spans="19:24" x14ac:dyDescent="0.25">
      <c r="S368" s="44">
        <f t="shared" si="31"/>
        <v>43418</v>
      </c>
      <c r="T368" s="12">
        <f>DurMod(S368,B$2,$F$7:$G$37,$T$3)</f>
        <v>6.6763131469589876</v>
      </c>
      <c r="U368" s="12">
        <f t="shared" si="27"/>
        <v>6.4744229471537027</v>
      </c>
      <c r="V368" s="30">
        <f t="shared" si="28"/>
        <v>0.4940471232876712</v>
      </c>
      <c r="W368" s="46">
        <f t="shared" si="29"/>
        <v>-6.676313146958987E-2</v>
      </c>
      <c r="X368" s="33">
        <f t="shared" si="30"/>
        <v>2.831493409832964E-2</v>
      </c>
    </row>
    <row r="369" spans="19:24" x14ac:dyDescent="0.25">
      <c r="S369" s="44">
        <f t="shared" si="31"/>
        <v>43419</v>
      </c>
      <c r="T369" s="12">
        <f>DurMod(S369,B$2,$F$7:$G$37,$T$3)</f>
        <v>6.6736360646574466</v>
      </c>
      <c r="U369" s="12">
        <f t="shared" si="27"/>
        <v>6.4717717704289113</v>
      </c>
      <c r="V369" s="30">
        <f t="shared" si="28"/>
        <v>0.49401972602739719</v>
      </c>
      <c r="W369" s="46">
        <f t="shared" si="29"/>
        <v>-6.6736360646574455E-2</v>
      </c>
      <c r="X369" s="33">
        <f t="shared" si="30"/>
        <v>2.8314892586056697E-2</v>
      </c>
    </row>
    <row r="370" spans="19:24" x14ac:dyDescent="0.25">
      <c r="S370" s="44">
        <f t="shared" si="31"/>
        <v>43420</v>
      </c>
      <c r="T370" s="12">
        <f t="shared" ref="T370:T433" si="32">DurMod(S370,B$2,$F$7:$G$37,$T$3)</f>
        <v>6.6709589823559066</v>
      </c>
      <c r="U370" s="12">
        <f t="shared" si="27"/>
        <v>6.4691205937041225</v>
      </c>
      <c r="V370" s="30">
        <f t="shared" si="28"/>
        <v>0.49399232876712329</v>
      </c>
      <c r="W370" s="46">
        <f t="shared" ref="W370:W433" si="33">+-T370*($U$3-$T$3)</f>
        <v>-6.6709589823559054E-2</v>
      </c>
      <c r="X370" s="33">
        <f t="shared" si="30"/>
        <v>2.8314851073783755E-2</v>
      </c>
    </row>
    <row r="371" spans="19:24" x14ac:dyDescent="0.25">
      <c r="S371" s="44">
        <f t="shared" si="31"/>
        <v>43421</v>
      </c>
      <c r="T371" s="12">
        <f t="shared" si="32"/>
        <v>6.6682819000543638</v>
      </c>
      <c r="U371" s="12">
        <f t="shared" si="27"/>
        <v>6.4664694169793302</v>
      </c>
      <c r="V371" s="30">
        <f t="shared" si="28"/>
        <v>0.49396493150684928</v>
      </c>
      <c r="W371" s="46">
        <f t="shared" si="33"/>
        <v>-6.6682819000543625E-2</v>
      </c>
      <c r="X371" s="33">
        <f t="shared" si="30"/>
        <v>2.8314809561510813E-2</v>
      </c>
    </row>
    <row r="372" spans="19:24" x14ac:dyDescent="0.25">
      <c r="S372" s="44">
        <f t="shared" si="31"/>
        <v>43422</v>
      </c>
      <c r="T372" s="12">
        <f t="shared" si="32"/>
        <v>6.665604817752822</v>
      </c>
      <c r="U372" s="12">
        <f t="shared" si="27"/>
        <v>6.4638182402545423</v>
      </c>
      <c r="V372" s="30">
        <f t="shared" si="28"/>
        <v>0.49393753424657533</v>
      </c>
      <c r="W372" s="46">
        <f t="shared" si="33"/>
        <v>-6.665604817752821E-2</v>
      </c>
      <c r="X372" s="33">
        <f t="shared" si="30"/>
        <v>2.8314768049237875E-2</v>
      </c>
    </row>
    <row r="373" spans="19:24" x14ac:dyDescent="0.25">
      <c r="S373" s="44">
        <f t="shared" si="31"/>
        <v>43423</v>
      </c>
      <c r="T373" s="12">
        <f t="shared" si="32"/>
        <v>6.6629277354512837</v>
      </c>
      <c r="U373" s="12">
        <f t="shared" si="27"/>
        <v>6.461167063529758</v>
      </c>
      <c r="V373" s="30">
        <f t="shared" si="28"/>
        <v>0.49391013698630132</v>
      </c>
      <c r="W373" s="46">
        <f t="shared" si="33"/>
        <v>-6.6629277354512823E-2</v>
      </c>
      <c r="X373" s="33">
        <f t="shared" si="30"/>
        <v>2.8314726536964926E-2</v>
      </c>
    </row>
    <row r="374" spans="19:24" x14ac:dyDescent="0.25">
      <c r="S374" s="44">
        <f t="shared" si="31"/>
        <v>43424</v>
      </c>
      <c r="T374" s="12">
        <f t="shared" si="32"/>
        <v>6.6602506531497374</v>
      </c>
      <c r="U374" s="12">
        <f t="shared" si="27"/>
        <v>6.4585158868049639</v>
      </c>
      <c r="V374" s="30">
        <f t="shared" si="28"/>
        <v>0.49388273972602736</v>
      </c>
      <c r="W374" s="46">
        <f t="shared" si="33"/>
        <v>-6.6602506531497366E-2</v>
      </c>
      <c r="X374" s="33">
        <f t="shared" si="30"/>
        <v>2.8314685024691984E-2</v>
      </c>
    </row>
    <row r="375" spans="19:24" x14ac:dyDescent="0.25">
      <c r="S375" s="44">
        <f t="shared" si="31"/>
        <v>43425</v>
      </c>
      <c r="T375" s="12">
        <f t="shared" si="32"/>
        <v>6.6575735708481973</v>
      </c>
      <c r="U375" s="12">
        <f t="shared" si="27"/>
        <v>6.4558647100801734</v>
      </c>
      <c r="V375" s="30">
        <f t="shared" si="28"/>
        <v>0.49385534246575341</v>
      </c>
      <c r="W375" s="46">
        <f t="shared" si="33"/>
        <v>-6.6575735708481965E-2</v>
      </c>
      <c r="X375" s="33">
        <f t="shared" si="30"/>
        <v>2.8314643512419042E-2</v>
      </c>
    </row>
    <row r="376" spans="19:24" x14ac:dyDescent="0.25">
      <c r="S376" s="44">
        <f t="shared" si="31"/>
        <v>43426</v>
      </c>
      <c r="T376" s="12">
        <f t="shared" si="32"/>
        <v>6.6548964885466564</v>
      </c>
      <c r="U376" s="12">
        <f t="shared" si="27"/>
        <v>6.4532135333553864</v>
      </c>
      <c r="V376" s="30">
        <f t="shared" si="28"/>
        <v>0.4938279452054794</v>
      </c>
      <c r="W376" s="46">
        <f t="shared" si="33"/>
        <v>-6.6548964885466549E-2</v>
      </c>
      <c r="X376" s="33">
        <f t="shared" si="30"/>
        <v>2.8314602000146096E-2</v>
      </c>
    </row>
    <row r="377" spans="19:24" x14ac:dyDescent="0.25">
      <c r="S377" s="44">
        <f t="shared" si="31"/>
        <v>43427</v>
      </c>
      <c r="T377" s="12">
        <f t="shared" si="32"/>
        <v>6.6522194062451172</v>
      </c>
      <c r="U377" s="12">
        <f t="shared" si="27"/>
        <v>6.4505623566305967</v>
      </c>
      <c r="V377" s="30">
        <f t="shared" si="28"/>
        <v>0.49380054794520545</v>
      </c>
      <c r="W377" s="46">
        <f t="shared" si="33"/>
        <v>-6.6522194062451162E-2</v>
      </c>
      <c r="X377" s="33">
        <f t="shared" si="30"/>
        <v>2.8314560487873147E-2</v>
      </c>
    </row>
    <row r="378" spans="19:24" x14ac:dyDescent="0.25">
      <c r="S378" s="44">
        <f t="shared" si="31"/>
        <v>43428</v>
      </c>
      <c r="T378" s="12">
        <f t="shared" si="32"/>
        <v>6.6495423239435771</v>
      </c>
      <c r="U378" s="12">
        <f t="shared" si="27"/>
        <v>6.4479111799058089</v>
      </c>
      <c r="V378" s="30">
        <f t="shared" si="28"/>
        <v>0.49377315068493144</v>
      </c>
      <c r="W378" s="46">
        <f t="shared" si="33"/>
        <v>-6.6495423239435761E-2</v>
      </c>
      <c r="X378" s="33">
        <f t="shared" si="30"/>
        <v>2.8314518975600205E-2</v>
      </c>
    </row>
    <row r="379" spans="19:24" x14ac:dyDescent="0.25">
      <c r="S379" s="44">
        <f t="shared" si="31"/>
        <v>43429</v>
      </c>
      <c r="T379" s="12">
        <f t="shared" si="32"/>
        <v>6.6468652416420353</v>
      </c>
      <c r="U379" s="12">
        <f t="shared" si="27"/>
        <v>6.4452600031810192</v>
      </c>
      <c r="V379" s="30">
        <f t="shared" si="28"/>
        <v>0.49374575342465754</v>
      </c>
      <c r="W379" s="46">
        <f t="shared" si="33"/>
        <v>-6.6468652416420346E-2</v>
      </c>
      <c r="X379" s="33">
        <f t="shared" si="30"/>
        <v>2.8314477463327263E-2</v>
      </c>
    </row>
    <row r="380" spans="19:24" x14ac:dyDescent="0.25">
      <c r="S380" s="44">
        <f t="shared" si="31"/>
        <v>43430</v>
      </c>
      <c r="T380" s="12">
        <f t="shared" si="32"/>
        <v>6.6441881593404943</v>
      </c>
      <c r="U380" s="12">
        <f t="shared" si="27"/>
        <v>6.4426088264562287</v>
      </c>
      <c r="V380" s="30">
        <f t="shared" si="28"/>
        <v>0.49371835616438353</v>
      </c>
      <c r="W380" s="46">
        <f t="shared" si="33"/>
        <v>-6.6441881593404931E-2</v>
      </c>
      <c r="X380" s="33">
        <f t="shared" si="30"/>
        <v>2.8314435951054321E-2</v>
      </c>
    </row>
    <row r="381" spans="19:24" x14ac:dyDescent="0.25">
      <c r="S381" s="44">
        <f t="shared" si="31"/>
        <v>43431</v>
      </c>
      <c r="T381" s="12">
        <f t="shared" si="32"/>
        <v>6.6415110770389507</v>
      </c>
      <c r="U381" s="12">
        <f t="shared" si="27"/>
        <v>6.4399576497314408</v>
      </c>
      <c r="V381" s="30">
        <f t="shared" si="28"/>
        <v>0.49369095890410952</v>
      </c>
      <c r="W381" s="46">
        <f t="shared" si="33"/>
        <v>-6.6415110770389502E-2</v>
      </c>
      <c r="X381" s="33">
        <f t="shared" si="30"/>
        <v>2.8314394438781375E-2</v>
      </c>
    </row>
    <row r="382" spans="19:24" x14ac:dyDescent="0.25">
      <c r="S382" s="44">
        <f t="shared" si="31"/>
        <v>43432</v>
      </c>
      <c r="T382" s="12">
        <f t="shared" si="32"/>
        <v>6.6388339947374115</v>
      </c>
      <c r="U382" s="12">
        <f t="shared" si="27"/>
        <v>6.4373064730066494</v>
      </c>
      <c r="V382" s="30">
        <f t="shared" si="28"/>
        <v>0.49366356164383557</v>
      </c>
      <c r="W382" s="46">
        <f t="shared" si="33"/>
        <v>-6.63883399473741E-2</v>
      </c>
      <c r="X382" s="33">
        <f t="shared" si="30"/>
        <v>2.8314352926508433E-2</v>
      </c>
    </row>
    <row r="383" spans="19:24" x14ac:dyDescent="0.25">
      <c r="S383" s="44">
        <f t="shared" si="31"/>
        <v>43433</v>
      </c>
      <c r="T383" s="12">
        <f t="shared" si="32"/>
        <v>6.6361569124358715</v>
      </c>
      <c r="U383" s="12">
        <f t="shared" si="27"/>
        <v>6.4346552962818624</v>
      </c>
      <c r="V383" s="30">
        <f t="shared" si="28"/>
        <v>0.49363616438356156</v>
      </c>
      <c r="W383" s="46">
        <f t="shared" si="33"/>
        <v>-6.6361569124358699E-2</v>
      </c>
      <c r="X383" s="33">
        <f t="shared" si="30"/>
        <v>2.8314311414235484E-2</v>
      </c>
    </row>
    <row r="384" spans="19:24" x14ac:dyDescent="0.25">
      <c r="S384" s="44">
        <f t="shared" si="31"/>
        <v>43434</v>
      </c>
      <c r="T384" s="12">
        <f t="shared" si="32"/>
        <v>6.6334798301343305</v>
      </c>
      <c r="U384" s="12">
        <f t="shared" si="27"/>
        <v>6.4320041195570727</v>
      </c>
      <c r="V384" s="30">
        <f t="shared" si="28"/>
        <v>0.49360876712328766</v>
      </c>
      <c r="W384" s="46">
        <f t="shared" si="33"/>
        <v>-6.6334798301343298E-2</v>
      </c>
      <c r="X384" s="33">
        <f t="shared" si="30"/>
        <v>2.8314269901962542E-2</v>
      </c>
    </row>
    <row r="385" spans="19:24" x14ac:dyDescent="0.25">
      <c r="S385" s="44">
        <f t="shared" si="31"/>
        <v>43435</v>
      </c>
      <c r="T385" s="12">
        <f t="shared" si="32"/>
        <v>6.630802747832786</v>
      </c>
      <c r="U385" s="12">
        <f t="shared" si="27"/>
        <v>6.4293529428322831</v>
      </c>
      <c r="V385" s="30">
        <f t="shared" si="28"/>
        <v>0.49358136986301365</v>
      </c>
      <c r="W385" s="46">
        <f t="shared" si="33"/>
        <v>-6.6308027478327855E-2</v>
      </c>
      <c r="X385" s="33">
        <f t="shared" si="30"/>
        <v>2.83142283896896E-2</v>
      </c>
    </row>
    <row r="386" spans="19:24" x14ac:dyDescent="0.25">
      <c r="S386" s="44">
        <f t="shared" si="31"/>
        <v>43436</v>
      </c>
      <c r="T386" s="12">
        <f t="shared" si="32"/>
        <v>6.6281256655312477</v>
      </c>
      <c r="U386" s="12">
        <f t="shared" si="27"/>
        <v>6.4267017661074926</v>
      </c>
      <c r="V386" s="30">
        <f t="shared" si="28"/>
        <v>0.4935539726027397</v>
      </c>
      <c r="W386" s="46">
        <f t="shared" si="33"/>
        <v>-6.6281256655312468E-2</v>
      </c>
      <c r="X386" s="33">
        <f t="shared" si="30"/>
        <v>2.8314186877416655E-2</v>
      </c>
    </row>
    <row r="387" spans="19:24" x14ac:dyDescent="0.25">
      <c r="S387" s="44">
        <f t="shared" si="31"/>
        <v>43437</v>
      </c>
      <c r="T387" s="12">
        <f t="shared" si="32"/>
        <v>6.6254485832297041</v>
      </c>
      <c r="U387" s="12">
        <f t="shared" si="27"/>
        <v>6.4240505893827029</v>
      </c>
      <c r="V387" s="30">
        <f t="shared" si="28"/>
        <v>0.49352657534246569</v>
      </c>
      <c r="W387" s="46">
        <f t="shared" si="33"/>
        <v>-6.6254485832297025E-2</v>
      </c>
      <c r="X387" s="33">
        <f t="shared" si="30"/>
        <v>2.8314145365143713E-2</v>
      </c>
    </row>
    <row r="388" spans="19:24" x14ac:dyDescent="0.25">
      <c r="S388" s="44">
        <f t="shared" si="31"/>
        <v>43438</v>
      </c>
      <c r="T388" s="12">
        <f t="shared" si="32"/>
        <v>6.6227715009281658</v>
      </c>
      <c r="U388" s="12">
        <f t="shared" si="27"/>
        <v>6.421399412657915</v>
      </c>
      <c r="V388" s="30">
        <f t="shared" si="28"/>
        <v>0.49349917808219174</v>
      </c>
      <c r="W388" s="46">
        <f t="shared" si="33"/>
        <v>-6.6227715009281651E-2</v>
      </c>
      <c r="X388" s="33">
        <f t="shared" si="30"/>
        <v>2.8314103852870764E-2</v>
      </c>
    </row>
    <row r="389" spans="19:24" x14ac:dyDescent="0.25">
      <c r="S389" s="44">
        <f t="shared" si="31"/>
        <v>43439</v>
      </c>
      <c r="T389" s="12">
        <f t="shared" si="32"/>
        <v>6.620094418626624</v>
      </c>
      <c r="U389" s="12">
        <f t="shared" ref="U389:U452" si="34">DurMod($S389,$B$2,$F$7:$G$37,U$3)</f>
        <v>6.4187482359331254</v>
      </c>
      <c r="V389" s="30">
        <f t="shared" ref="V389:V452" si="35">+$U$3*($S$5512-S389)/365+$T$3*(S389-$S$4)/365</f>
        <v>0.49347178082191778</v>
      </c>
      <c r="W389" s="46">
        <f t="shared" si="33"/>
        <v>-6.6200944186266236E-2</v>
      </c>
      <c r="X389" s="33">
        <f t="shared" ref="X389:X452" si="36">+(V389+W389)*365/($S$5512-$S$4)</f>
        <v>2.8314062340597822E-2</v>
      </c>
    </row>
    <row r="390" spans="19:24" x14ac:dyDescent="0.25">
      <c r="S390" s="44">
        <f t="shared" ref="S390:S453" si="37">+S389+1</f>
        <v>43440</v>
      </c>
      <c r="T390" s="12">
        <f t="shared" si="32"/>
        <v>6.6174173363250821</v>
      </c>
      <c r="U390" s="12">
        <f t="shared" si="34"/>
        <v>6.4160970592083366</v>
      </c>
      <c r="V390" s="30">
        <f t="shared" si="35"/>
        <v>0.49344438356164377</v>
      </c>
      <c r="W390" s="46">
        <f t="shared" si="33"/>
        <v>-6.6174173363250807E-2</v>
      </c>
      <c r="X390" s="33">
        <f t="shared" si="36"/>
        <v>2.8314020828324876E-2</v>
      </c>
    </row>
    <row r="391" spans="19:24" x14ac:dyDescent="0.25">
      <c r="S391" s="44">
        <f t="shared" si="37"/>
        <v>43441</v>
      </c>
      <c r="T391" s="12">
        <f t="shared" si="32"/>
        <v>6.6147402540235412</v>
      </c>
      <c r="U391" s="12">
        <f t="shared" si="34"/>
        <v>6.413445882483547</v>
      </c>
      <c r="V391" s="30">
        <f t="shared" si="35"/>
        <v>0.49341698630136982</v>
      </c>
      <c r="W391" s="46">
        <f t="shared" si="33"/>
        <v>-6.6147402540235406E-2</v>
      </c>
      <c r="X391" s="33">
        <f t="shared" si="36"/>
        <v>2.8313979316051938E-2</v>
      </c>
    </row>
    <row r="392" spans="19:24" x14ac:dyDescent="0.25">
      <c r="S392" s="44">
        <f t="shared" si="37"/>
        <v>43442</v>
      </c>
      <c r="T392" s="12">
        <f t="shared" si="32"/>
        <v>6.6120631717219984</v>
      </c>
      <c r="U392" s="12">
        <f t="shared" si="34"/>
        <v>6.4107947057587555</v>
      </c>
      <c r="V392" s="30">
        <f t="shared" si="35"/>
        <v>0.49338958904109581</v>
      </c>
      <c r="W392" s="46">
        <f t="shared" si="33"/>
        <v>-6.6120631717219977E-2</v>
      </c>
      <c r="X392" s="33">
        <f t="shared" si="36"/>
        <v>2.8313937803778989E-2</v>
      </c>
    </row>
    <row r="393" spans="19:24" x14ac:dyDescent="0.25">
      <c r="S393" s="44">
        <f t="shared" si="37"/>
        <v>43443</v>
      </c>
      <c r="T393" s="12">
        <f t="shared" si="32"/>
        <v>6.6093860894204584</v>
      </c>
      <c r="U393" s="12">
        <f t="shared" si="34"/>
        <v>6.4081435290339694</v>
      </c>
      <c r="V393" s="30">
        <f t="shared" si="35"/>
        <v>0.49336219178082197</v>
      </c>
      <c r="W393" s="46">
        <f t="shared" si="33"/>
        <v>-6.6093860894204576E-2</v>
      </c>
      <c r="X393" s="33">
        <f t="shared" si="36"/>
        <v>2.8313896291506057E-2</v>
      </c>
    </row>
    <row r="394" spans="19:24" x14ac:dyDescent="0.25">
      <c r="S394" s="44">
        <f t="shared" si="37"/>
        <v>43444</v>
      </c>
      <c r="T394" s="12">
        <f t="shared" si="32"/>
        <v>6.6067090071189138</v>
      </c>
      <c r="U394" s="12">
        <f t="shared" si="34"/>
        <v>6.4054923523091807</v>
      </c>
      <c r="V394" s="30">
        <f t="shared" si="35"/>
        <v>0.49333479452054796</v>
      </c>
      <c r="W394" s="46">
        <f t="shared" si="33"/>
        <v>-6.6067090071189133E-2</v>
      </c>
      <c r="X394" s="33">
        <f t="shared" si="36"/>
        <v>2.8313854779233108E-2</v>
      </c>
    </row>
    <row r="395" spans="19:24" x14ac:dyDescent="0.25">
      <c r="S395" s="44">
        <f t="shared" si="37"/>
        <v>43445</v>
      </c>
      <c r="T395" s="12">
        <f t="shared" si="32"/>
        <v>6.6040319248173773</v>
      </c>
      <c r="U395" s="12">
        <f t="shared" si="34"/>
        <v>6.4028411755843901</v>
      </c>
      <c r="V395" s="30">
        <f t="shared" si="35"/>
        <v>0.49330739726027395</v>
      </c>
      <c r="W395" s="46">
        <f t="shared" si="33"/>
        <v>-6.6040319248173759E-2</v>
      </c>
      <c r="X395" s="33">
        <f t="shared" si="36"/>
        <v>2.8313813266960162E-2</v>
      </c>
    </row>
    <row r="396" spans="19:24" x14ac:dyDescent="0.25">
      <c r="S396" s="44">
        <f t="shared" si="37"/>
        <v>43446</v>
      </c>
      <c r="T396" s="12">
        <f t="shared" si="32"/>
        <v>6.6013548425158355</v>
      </c>
      <c r="U396" s="12">
        <f t="shared" si="34"/>
        <v>6.4001899988596014</v>
      </c>
      <c r="V396" s="30">
        <f t="shared" si="35"/>
        <v>0.49328000000000005</v>
      </c>
      <c r="W396" s="46">
        <f t="shared" si="33"/>
        <v>-6.6013548425158344E-2</v>
      </c>
      <c r="X396" s="33">
        <f t="shared" si="36"/>
        <v>2.8313771754687224E-2</v>
      </c>
    </row>
    <row r="397" spans="19:24" x14ac:dyDescent="0.25">
      <c r="S397" s="44">
        <f t="shared" si="37"/>
        <v>43447</v>
      </c>
      <c r="T397" s="12">
        <f t="shared" si="32"/>
        <v>6.5986777602142936</v>
      </c>
      <c r="U397" s="12">
        <f t="shared" si="34"/>
        <v>6.3975388221348117</v>
      </c>
      <c r="V397" s="30">
        <f t="shared" si="35"/>
        <v>0.49325260273972604</v>
      </c>
      <c r="W397" s="46">
        <f t="shared" si="33"/>
        <v>-6.5986777602142929E-2</v>
      </c>
      <c r="X397" s="33">
        <f t="shared" si="36"/>
        <v>2.8313730242414278E-2</v>
      </c>
    </row>
    <row r="398" spans="19:24" x14ac:dyDescent="0.25">
      <c r="S398" s="44">
        <f t="shared" si="37"/>
        <v>43448</v>
      </c>
      <c r="T398" s="12">
        <f t="shared" si="32"/>
        <v>6.5960006779127527</v>
      </c>
      <c r="U398" s="12">
        <f t="shared" si="34"/>
        <v>6.3948876454100203</v>
      </c>
      <c r="V398" s="30">
        <f t="shared" si="35"/>
        <v>0.49322520547945209</v>
      </c>
      <c r="W398" s="46">
        <f t="shared" si="33"/>
        <v>-6.5960006779127514E-2</v>
      </c>
      <c r="X398" s="33">
        <f t="shared" si="36"/>
        <v>2.8313688730141336E-2</v>
      </c>
    </row>
    <row r="399" spans="19:24" x14ac:dyDescent="0.25">
      <c r="S399" s="44">
        <f t="shared" si="37"/>
        <v>43449</v>
      </c>
      <c r="T399" s="12">
        <f t="shared" si="32"/>
        <v>6.7247466775078815</v>
      </c>
      <c r="U399" s="12">
        <f t="shared" si="34"/>
        <v>6.5283798776638653</v>
      </c>
      <c r="V399" s="30">
        <f t="shared" si="35"/>
        <v>0.49319780821917808</v>
      </c>
      <c r="W399" s="46">
        <f t="shared" si="33"/>
        <v>-6.7247466775078799E-2</v>
      </c>
      <c r="X399" s="33">
        <f t="shared" si="36"/>
        <v>2.822655675873207E-2</v>
      </c>
    </row>
    <row r="400" spans="19:24" x14ac:dyDescent="0.25">
      <c r="S400" s="44">
        <f t="shared" si="37"/>
        <v>43450</v>
      </c>
      <c r="T400" s="12">
        <f t="shared" si="32"/>
        <v>6.7220695952063432</v>
      </c>
      <c r="U400" s="12">
        <f t="shared" si="34"/>
        <v>6.5257287009390774</v>
      </c>
      <c r="V400" s="30">
        <f t="shared" si="35"/>
        <v>0.49317041095890413</v>
      </c>
      <c r="W400" s="46">
        <f t="shared" si="33"/>
        <v>-6.7220695952063425E-2</v>
      </c>
      <c r="X400" s="33">
        <f t="shared" si="36"/>
        <v>2.8226515246459121E-2</v>
      </c>
    </row>
    <row r="401" spans="19:24" x14ac:dyDescent="0.25">
      <c r="S401" s="44">
        <f t="shared" si="37"/>
        <v>43451</v>
      </c>
      <c r="T401" s="12">
        <f t="shared" si="32"/>
        <v>6.7193925129047978</v>
      </c>
      <c r="U401" s="12">
        <f t="shared" si="34"/>
        <v>6.5230775242142887</v>
      </c>
      <c r="V401" s="30">
        <f t="shared" si="35"/>
        <v>0.49314301369863017</v>
      </c>
      <c r="W401" s="46">
        <f t="shared" si="33"/>
        <v>-6.7193925129047968E-2</v>
      </c>
      <c r="X401" s="33">
        <f t="shared" si="36"/>
        <v>2.8226473734186186E-2</v>
      </c>
    </row>
    <row r="402" spans="19:24" x14ac:dyDescent="0.25">
      <c r="S402" s="44">
        <f t="shared" si="37"/>
        <v>43452</v>
      </c>
      <c r="T402" s="12">
        <f t="shared" si="32"/>
        <v>6.7167154306032559</v>
      </c>
      <c r="U402" s="12">
        <f t="shared" si="34"/>
        <v>6.5204263474894981</v>
      </c>
      <c r="V402" s="30">
        <f t="shared" si="35"/>
        <v>0.49311561643835616</v>
      </c>
      <c r="W402" s="46">
        <f t="shared" si="33"/>
        <v>-6.7167154306032553E-2</v>
      </c>
      <c r="X402" s="33">
        <f t="shared" si="36"/>
        <v>2.822643222191324E-2</v>
      </c>
    </row>
    <row r="403" spans="19:24" x14ac:dyDescent="0.25">
      <c r="S403" s="44">
        <f t="shared" si="37"/>
        <v>43453</v>
      </c>
      <c r="T403" s="12">
        <f t="shared" si="32"/>
        <v>6.7140383483017159</v>
      </c>
      <c r="U403" s="12">
        <f t="shared" si="34"/>
        <v>6.5177751707647076</v>
      </c>
      <c r="V403" s="30">
        <f t="shared" si="35"/>
        <v>0.49308821917808221</v>
      </c>
      <c r="W403" s="46">
        <f t="shared" si="33"/>
        <v>-6.7140383483017152E-2</v>
      </c>
      <c r="X403" s="33">
        <f t="shared" si="36"/>
        <v>2.8226390709640298E-2</v>
      </c>
    </row>
    <row r="404" spans="19:24" x14ac:dyDescent="0.25">
      <c r="S404" s="44">
        <f t="shared" si="37"/>
        <v>43454</v>
      </c>
      <c r="T404" s="12">
        <f t="shared" si="32"/>
        <v>6.7113612660001749</v>
      </c>
      <c r="U404" s="12">
        <f t="shared" si="34"/>
        <v>6.5151239940399206</v>
      </c>
      <c r="V404" s="30">
        <f t="shared" si="35"/>
        <v>0.4930608219178082</v>
      </c>
      <c r="W404" s="46">
        <f t="shared" si="33"/>
        <v>-6.7113612660001737E-2</v>
      </c>
      <c r="X404" s="33">
        <f t="shared" si="36"/>
        <v>2.8226349197367349E-2</v>
      </c>
    </row>
    <row r="405" spans="19:24" x14ac:dyDescent="0.25">
      <c r="S405" s="44">
        <f t="shared" si="37"/>
        <v>43455</v>
      </c>
      <c r="T405" s="12">
        <f t="shared" si="32"/>
        <v>6.7086841836986357</v>
      </c>
      <c r="U405" s="12">
        <f t="shared" si="34"/>
        <v>6.5124728173151301</v>
      </c>
      <c r="V405" s="30">
        <f t="shared" si="35"/>
        <v>0.4930334246575343</v>
      </c>
      <c r="W405" s="46">
        <f t="shared" si="33"/>
        <v>-6.708684183698635E-2</v>
      </c>
      <c r="X405" s="33">
        <f t="shared" si="36"/>
        <v>2.8226307685094414E-2</v>
      </c>
    </row>
    <row r="406" spans="19:24" x14ac:dyDescent="0.25">
      <c r="S406" s="44">
        <f t="shared" si="37"/>
        <v>43456</v>
      </c>
      <c r="T406" s="12">
        <f t="shared" si="32"/>
        <v>6.7060071013970939</v>
      </c>
      <c r="U406" s="12">
        <f t="shared" si="34"/>
        <v>6.509821640590344</v>
      </c>
      <c r="V406" s="30">
        <f t="shared" si="35"/>
        <v>0.49300602739726029</v>
      </c>
      <c r="W406" s="46">
        <f t="shared" si="33"/>
        <v>-6.7060071013970934E-2</v>
      </c>
      <c r="X406" s="33">
        <f t="shared" si="36"/>
        <v>2.8226266172821462E-2</v>
      </c>
    </row>
    <row r="407" spans="19:24" x14ac:dyDescent="0.25">
      <c r="S407" s="44">
        <f t="shared" si="37"/>
        <v>43457</v>
      </c>
      <c r="T407" s="12">
        <f t="shared" si="32"/>
        <v>6.703330019095552</v>
      </c>
      <c r="U407" s="12">
        <f t="shared" si="34"/>
        <v>6.5071704638655508</v>
      </c>
      <c r="V407" s="30">
        <f t="shared" si="35"/>
        <v>0.49297863013698628</v>
      </c>
      <c r="W407" s="46">
        <f t="shared" si="33"/>
        <v>-6.7033300190955505E-2</v>
      </c>
      <c r="X407" s="33">
        <f t="shared" si="36"/>
        <v>2.822622466054852E-2</v>
      </c>
    </row>
    <row r="408" spans="19:24" x14ac:dyDescent="0.25">
      <c r="S408" s="44">
        <f t="shared" si="37"/>
        <v>43458</v>
      </c>
      <c r="T408" s="12">
        <f t="shared" si="32"/>
        <v>6.7006529367940093</v>
      </c>
      <c r="U408" s="12">
        <f t="shared" si="34"/>
        <v>6.5045192871407602</v>
      </c>
      <c r="V408" s="30">
        <f t="shared" si="35"/>
        <v>0.49295123287671233</v>
      </c>
      <c r="W408" s="46">
        <f t="shared" si="33"/>
        <v>-6.7006529367940076E-2</v>
      </c>
      <c r="X408" s="33">
        <f t="shared" si="36"/>
        <v>2.8226183148275578E-2</v>
      </c>
    </row>
    <row r="409" spans="19:24" x14ac:dyDescent="0.25">
      <c r="S409" s="44">
        <f t="shared" si="37"/>
        <v>43459</v>
      </c>
      <c r="T409" s="12">
        <f t="shared" si="32"/>
        <v>6.6979758544924684</v>
      </c>
      <c r="U409" s="12">
        <f t="shared" si="34"/>
        <v>6.5018681104159741</v>
      </c>
      <c r="V409" s="30">
        <f t="shared" si="35"/>
        <v>0.49292383561643838</v>
      </c>
      <c r="W409" s="46">
        <f t="shared" si="33"/>
        <v>-6.6979758544924675E-2</v>
      </c>
      <c r="X409" s="33">
        <f t="shared" si="36"/>
        <v>2.8226141636002636E-2</v>
      </c>
    </row>
    <row r="410" spans="19:24" x14ac:dyDescent="0.25">
      <c r="S410" s="44">
        <f t="shared" si="37"/>
        <v>43460</v>
      </c>
      <c r="T410" s="12">
        <f t="shared" si="32"/>
        <v>6.6952987721909292</v>
      </c>
      <c r="U410" s="12">
        <f t="shared" si="34"/>
        <v>6.4992169336911809</v>
      </c>
      <c r="V410" s="30">
        <f t="shared" si="35"/>
        <v>0.49289643835616442</v>
      </c>
      <c r="W410" s="46">
        <f t="shared" si="33"/>
        <v>-6.6952987721909288E-2</v>
      </c>
      <c r="X410" s="33">
        <f t="shared" si="36"/>
        <v>2.8226100123729687E-2</v>
      </c>
    </row>
    <row r="411" spans="19:24" x14ac:dyDescent="0.25">
      <c r="S411" s="44">
        <f t="shared" si="37"/>
        <v>43461</v>
      </c>
      <c r="T411" s="12">
        <f t="shared" si="32"/>
        <v>6.6926216898893873</v>
      </c>
      <c r="U411" s="12">
        <f t="shared" si="34"/>
        <v>6.4965657569663966</v>
      </c>
      <c r="V411" s="30">
        <f t="shared" si="35"/>
        <v>0.49286904109589041</v>
      </c>
      <c r="W411" s="46">
        <f t="shared" si="33"/>
        <v>-6.6926216898893859E-2</v>
      </c>
      <c r="X411" s="33">
        <f t="shared" si="36"/>
        <v>2.8226058611456745E-2</v>
      </c>
    </row>
    <row r="412" spans="19:24" x14ac:dyDescent="0.25">
      <c r="S412" s="44">
        <f t="shared" si="37"/>
        <v>43462</v>
      </c>
      <c r="T412" s="12">
        <f t="shared" si="32"/>
        <v>6.6899446075878446</v>
      </c>
      <c r="U412" s="12">
        <f t="shared" si="34"/>
        <v>6.4939145802416034</v>
      </c>
      <c r="V412" s="30">
        <f t="shared" si="35"/>
        <v>0.49284164383561646</v>
      </c>
      <c r="W412" s="46">
        <f t="shared" si="33"/>
        <v>-6.689944607587843E-2</v>
      </c>
      <c r="X412" s="33">
        <f t="shared" si="36"/>
        <v>2.8226017099183803E-2</v>
      </c>
    </row>
    <row r="413" spans="19:24" x14ac:dyDescent="0.25">
      <c r="S413" s="44">
        <f t="shared" si="37"/>
        <v>43463</v>
      </c>
      <c r="T413" s="12">
        <f t="shared" si="32"/>
        <v>6.6872675252863054</v>
      </c>
      <c r="U413" s="12">
        <f t="shared" si="34"/>
        <v>6.4912634035168173</v>
      </c>
      <c r="V413" s="30">
        <f t="shared" si="35"/>
        <v>0.49281424657534245</v>
      </c>
      <c r="W413" s="46">
        <f t="shared" si="33"/>
        <v>-6.6872675252863042E-2</v>
      </c>
      <c r="X413" s="33">
        <f t="shared" si="36"/>
        <v>2.822597558691085E-2</v>
      </c>
    </row>
    <row r="414" spans="19:24" x14ac:dyDescent="0.25">
      <c r="S414" s="44">
        <f t="shared" si="37"/>
        <v>43464</v>
      </c>
      <c r="T414" s="12">
        <f t="shared" si="32"/>
        <v>6.6845904429847636</v>
      </c>
      <c r="U414" s="12">
        <f t="shared" si="34"/>
        <v>6.488612226792025</v>
      </c>
      <c r="V414" s="30">
        <f t="shared" si="35"/>
        <v>0.4927868493150685</v>
      </c>
      <c r="W414" s="46">
        <f t="shared" si="33"/>
        <v>-6.6845904429847627E-2</v>
      </c>
      <c r="X414" s="33">
        <f t="shared" si="36"/>
        <v>2.8225934074637915E-2</v>
      </c>
    </row>
    <row r="415" spans="19:24" x14ac:dyDescent="0.25">
      <c r="S415" s="44">
        <f t="shared" si="37"/>
        <v>43465</v>
      </c>
      <c r="T415" s="12">
        <f t="shared" si="32"/>
        <v>6.6819133606832217</v>
      </c>
      <c r="U415" s="12">
        <f t="shared" si="34"/>
        <v>6.4859610500672389</v>
      </c>
      <c r="V415" s="30">
        <f t="shared" si="35"/>
        <v>0.49275945205479454</v>
      </c>
      <c r="W415" s="46">
        <f t="shared" si="33"/>
        <v>-6.6819133606832212E-2</v>
      </c>
      <c r="X415" s="33">
        <f t="shared" si="36"/>
        <v>2.8225892562364966E-2</v>
      </c>
    </row>
    <row r="416" spans="19:24" x14ac:dyDescent="0.25">
      <c r="S416" s="44">
        <f t="shared" si="37"/>
        <v>43466</v>
      </c>
      <c r="T416" s="12">
        <f t="shared" si="32"/>
        <v>6.6792362783816817</v>
      </c>
      <c r="U416" s="12">
        <f t="shared" si="34"/>
        <v>6.4833098733424501</v>
      </c>
      <c r="V416" s="30">
        <f t="shared" si="35"/>
        <v>0.49273205479452054</v>
      </c>
      <c r="W416" s="46">
        <f t="shared" si="33"/>
        <v>-6.6792362783816811E-2</v>
      </c>
      <c r="X416" s="33">
        <f t="shared" si="36"/>
        <v>2.8225851050092021E-2</v>
      </c>
    </row>
    <row r="417" spans="19:24" x14ac:dyDescent="0.25">
      <c r="S417" s="44">
        <f t="shared" si="37"/>
        <v>43467</v>
      </c>
      <c r="T417" s="12">
        <f t="shared" si="32"/>
        <v>6.676559196080138</v>
      </c>
      <c r="U417" s="12">
        <f t="shared" si="34"/>
        <v>6.4806586966176596</v>
      </c>
      <c r="V417" s="30">
        <f t="shared" si="35"/>
        <v>0.49270465753424658</v>
      </c>
      <c r="W417" s="46">
        <f t="shared" si="33"/>
        <v>-6.6765591960801368E-2</v>
      </c>
      <c r="X417" s="33">
        <f t="shared" si="36"/>
        <v>2.8225809537819078E-2</v>
      </c>
    </row>
    <row r="418" spans="19:24" x14ac:dyDescent="0.25">
      <c r="S418" s="44">
        <f t="shared" si="37"/>
        <v>43468</v>
      </c>
      <c r="T418" s="12">
        <f t="shared" si="32"/>
        <v>6.6738821137785971</v>
      </c>
      <c r="U418" s="12">
        <f t="shared" si="34"/>
        <v>6.478007519892869</v>
      </c>
      <c r="V418" s="30">
        <f t="shared" si="35"/>
        <v>0.49267726027397263</v>
      </c>
      <c r="W418" s="46">
        <f t="shared" si="33"/>
        <v>-6.6738821137785967E-2</v>
      </c>
      <c r="X418" s="33">
        <f t="shared" si="36"/>
        <v>2.822576802554614E-2</v>
      </c>
    </row>
    <row r="419" spans="19:24" x14ac:dyDescent="0.25">
      <c r="S419" s="44">
        <f t="shared" si="37"/>
        <v>43469</v>
      </c>
      <c r="T419" s="12">
        <f t="shared" si="32"/>
        <v>6.6712050314770561</v>
      </c>
      <c r="U419" s="12">
        <f t="shared" si="34"/>
        <v>6.4753563431680794</v>
      </c>
      <c r="V419" s="30">
        <f t="shared" si="35"/>
        <v>0.49264986301369862</v>
      </c>
      <c r="W419" s="46">
        <f t="shared" si="33"/>
        <v>-6.6712050314770552E-2</v>
      </c>
      <c r="X419" s="33">
        <f t="shared" si="36"/>
        <v>2.8225726513273187E-2</v>
      </c>
    </row>
    <row r="420" spans="19:24" x14ac:dyDescent="0.25">
      <c r="S420" s="44">
        <f t="shared" si="37"/>
        <v>43470</v>
      </c>
      <c r="T420" s="12">
        <f t="shared" si="32"/>
        <v>6.6685279491755143</v>
      </c>
      <c r="U420" s="12">
        <f t="shared" si="34"/>
        <v>6.4727051664432897</v>
      </c>
      <c r="V420" s="30">
        <f t="shared" si="35"/>
        <v>0.49262246575342467</v>
      </c>
      <c r="W420" s="46">
        <f t="shared" si="33"/>
        <v>-6.6685279491755137E-2</v>
      </c>
      <c r="X420" s="33">
        <f t="shared" si="36"/>
        <v>2.8225685001000252E-2</v>
      </c>
    </row>
    <row r="421" spans="19:24" x14ac:dyDescent="0.25">
      <c r="S421" s="44">
        <f t="shared" si="37"/>
        <v>43471</v>
      </c>
      <c r="T421" s="12">
        <f t="shared" si="32"/>
        <v>6.6658508668739715</v>
      </c>
      <c r="U421" s="12">
        <f t="shared" si="34"/>
        <v>6.4700539897185037</v>
      </c>
      <c r="V421" s="30">
        <f t="shared" si="35"/>
        <v>0.49259506849315066</v>
      </c>
      <c r="W421" s="46">
        <f t="shared" si="33"/>
        <v>-6.6658508668739708E-2</v>
      </c>
      <c r="X421" s="33">
        <f t="shared" si="36"/>
        <v>2.8225643488727307E-2</v>
      </c>
    </row>
    <row r="422" spans="19:24" x14ac:dyDescent="0.25">
      <c r="S422" s="44">
        <f t="shared" si="37"/>
        <v>43472</v>
      </c>
      <c r="T422" s="12">
        <f t="shared" si="32"/>
        <v>6.6631737845724306</v>
      </c>
      <c r="U422" s="12">
        <f t="shared" si="34"/>
        <v>6.4674028129937131</v>
      </c>
      <c r="V422" s="30">
        <f t="shared" si="35"/>
        <v>0.4925676712328767</v>
      </c>
      <c r="W422" s="46">
        <f t="shared" si="33"/>
        <v>-6.6631737845724293E-2</v>
      </c>
      <c r="X422" s="33">
        <f t="shared" si="36"/>
        <v>2.8225601976454365E-2</v>
      </c>
    </row>
    <row r="423" spans="19:24" x14ac:dyDescent="0.25">
      <c r="S423" s="44">
        <f t="shared" si="37"/>
        <v>43473</v>
      </c>
      <c r="T423" s="12">
        <f t="shared" si="32"/>
        <v>6.6604967022708905</v>
      </c>
      <c r="U423" s="12">
        <f t="shared" si="34"/>
        <v>6.4647516362689244</v>
      </c>
      <c r="V423" s="30">
        <f t="shared" si="35"/>
        <v>0.49254027397260275</v>
      </c>
      <c r="W423" s="46">
        <f t="shared" si="33"/>
        <v>-6.6604967022708891E-2</v>
      </c>
      <c r="X423" s="33">
        <f t="shared" si="36"/>
        <v>2.8225560464181416E-2</v>
      </c>
    </row>
    <row r="424" spans="19:24" x14ac:dyDescent="0.25">
      <c r="S424" s="44">
        <f t="shared" si="37"/>
        <v>43474</v>
      </c>
      <c r="T424" s="12">
        <f t="shared" si="32"/>
        <v>6.6578196199693531</v>
      </c>
      <c r="U424" s="12">
        <f t="shared" si="34"/>
        <v>6.4621004595441347</v>
      </c>
      <c r="V424" s="30">
        <f t="shared" si="35"/>
        <v>0.4925128767123288</v>
      </c>
      <c r="W424" s="46">
        <f t="shared" si="33"/>
        <v>-6.6578196199693518E-2</v>
      </c>
      <c r="X424" s="33">
        <f t="shared" si="36"/>
        <v>2.8225518951908474E-2</v>
      </c>
    </row>
    <row r="425" spans="19:24" x14ac:dyDescent="0.25">
      <c r="S425" s="44">
        <f t="shared" si="37"/>
        <v>43475</v>
      </c>
      <c r="T425" s="12">
        <f t="shared" si="32"/>
        <v>6.6551425376678113</v>
      </c>
      <c r="U425" s="12">
        <f t="shared" si="34"/>
        <v>6.4594492828193442</v>
      </c>
      <c r="V425" s="30">
        <f t="shared" si="35"/>
        <v>0.49248547945205479</v>
      </c>
      <c r="W425" s="46">
        <f t="shared" si="33"/>
        <v>-6.6551425376678103E-2</v>
      </c>
      <c r="X425" s="33">
        <f t="shared" si="36"/>
        <v>2.8225477439635528E-2</v>
      </c>
    </row>
    <row r="426" spans="19:24" x14ac:dyDescent="0.25">
      <c r="S426" s="44">
        <f t="shared" si="37"/>
        <v>43476</v>
      </c>
      <c r="T426" s="12">
        <f t="shared" si="32"/>
        <v>6.6524654553662685</v>
      </c>
      <c r="U426" s="12">
        <f t="shared" si="34"/>
        <v>6.4567981060945554</v>
      </c>
      <c r="V426" s="30">
        <f t="shared" si="35"/>
        <v>0.49245808219178078</v>
      </c>
      <c r="W426" s="46">
        <f t="shared" si="33"/>
        <v>-6.6524654553662674E-2</v>
      </c>
      <c r="X426" s="33">
        <f t="shared" si="36"/>
        <v>2.8225435927362579E-2</v>
      </c>
    </row>
    <row r="427" spans="19:24" x14ac:dyDescent="0.25">
      <c r="S427" s="44">
        <f t="shared" si="37"/>
        <v>43477</v>
      </c>
      <c r="T427" s="12">
        <f t="shared" si="32"/>
        <v>6.6497883730647267</v>
      </c>
      <c r="U427" s="12">
        <f t="shared" si="34"/>
        <v>6.454146929369764</v>
      </c>
      <c r="V427" s="30">
        <f t="shared" si="35"/>
        <v>0.49243068493150688</v>
      </c>
      <c r="W427" s="46">
        <f t="shared" si="33"/>
        <v>-6.6497883730647259E-2</v>
      </c>
      <c r="X427" s="33">
        <f t="shared" si="36"/>
        <v>2.8225394415089644E-2</v>
      </c>
    </row>
    <row r="428" spans="19:24" x14ac:dyDescent="0.25">
      <c r="S428" s="44">
        <f t="shared" si="37"/>
        <v>43478</v>
      </c>
      <c r="T428" s="12">
        <f t="shared" si="32"/>
        <v>6.6471112907631857</v>
      </c>
      <c r="U428" s="12">
        <f t="shared" si="34"/>
        <v>6.4514957526449761</v>
      </c>
      <c r="V428" s="30">
        <f t="shared" si="35"/>
        <v>0.49240328767123287</v>
      </c>
      <c r="W428" s="46">
        <f t="shared" si="33"/>
        <v>-6.6471112907631844E-2</v>
      </c>
      <c r="X428" s="33">
        <f t="shared" si="36"/>
        <v>2.8225352902816695E-2</v>
      </c>
    </row>
    <row r="429" spans="19:24" x14ac:dyDescent="0.25">
      <c r="S429" s="44">
        <f t="shared" si="37"/>
        <v>43479</v>
      </c>
      <c r="T429" s="12">
        <f t="shared" si="32"/>
        <v>6.6444342084616448</v>
      </c>
      <c r="U429" s="12">
        <f t="shared" si="34"/>
        <v>6.4488445759201856</v>
      </c>
      <c r="V429" s="30">
        <f t="shared" si="35"/>
        <v>0.49237589041095892</v>
      </c>
      <c r="W429" s="46">
        <f t="shared" si="33"/>
        <v>-6.6444342084616442E-2</v>
      </c>
      <c r="X429" s="33">
        <f t="shared" si="36"/>
        <v>2.822531139054376E-2</v>
      </c>
    </row>
    <row r="430" spans="19:24" x14ac:dyDescent="0.25">
      <c r="S430" s="44">
        <f t="shared" si="37"/>
        <v>43480</v>
      </c>
      <c r="T430" s="12">
        <f t="shared" si="32"/>
        <v>6.6417571261601029</v>
      </c>
      <c r="U430" s="12">
        <f t="shared" si="34"/>
        <v>6.4461933991953986</v>
      </c>
      <c r="V430" s="30">
        <f t="shared" si="35"/>
        <v>0.49234849315068491</v>
      </c>
      <c r="W430" s="46">
        <f t="shared" si="33"/>
        <v>-6.6417571261601013E-2</v>
      </c>
      <c r="X430" s="33">
        <f t="shared" si="36"/>
        <v>2.8225269878270808E-2</v>
      </c>
    </row>
    <row r="431" spans="19:24" x14ac:dyDescent="0.25">
      <c r="S431" s="44">
        <f t="shared" si="37"/>
        <v>43481</v>
      </c>
      <c r="T431" s="12">
        <f t="shared" si="32"/>
        <v>6.6390800438585629</v>
      </c>
      <c r="U431" s="12">
        <f t="shared" si="34"/>
        <v>6.4435422224706116</v>
      </c>
      <c r="V431" s="30">
        <f t="shared" si="35"/>
        <v>0.4923210958904109</v>
      </c>
      <c r="W431" s="46">
        <f t="shared" si="33"/>
        <v>-6.6390800438585612E-2</v>
      </c>
      <c r="X431" s="33">
        <f t="shared" si="36"/>
        <v>2.8225228365997859E-2</v>
      </c>
    </row>
    <row r="432" spans="19:24" x14ac:dyDescent="0.25">
      <c r="S432" s="44">
        <f t="shared" si="37"/>
        <v>43482</v>
      </c>
      <c r="T432" s="12">
        <f t="shared" si="32"/>
        <v>6.6364029615570228</v>
      </c>
      <c r="U432" s="12">
        <f t="shared" si="34"/>
        <v>6.4408910457458202</v>
      </c>
      <c r="V432" s="30">
        <f t="shared" si="35"/>
        <v>0.492293698630137</v>
      </c>
      <c r="W432" s="46">
        <f t="shared" si="33"/>
        <v>-6.6364029615570225E-2</v>
      </c>
      <c r="X432" s="33">
        <f t="shared" si="36"/>
        <v>2.8225186853724923E-2</v>
      </c>
    </row>
    <row r="433" spans="19:24" x14ac:dyDescent="0.25">
      <c r="S433" s="44">
        <f t="shared" si="37"/>
        <v>43483</v>
      </c>
      <c r="T433" s="12">
        <f t="shared" si="32"/>
        <v>6.6337258792554801</v>
      </c>
      <c r="U433" s="12">
        <f t="shared" si="34"/>
        <v>6.4382398690210314</v>
      </c>
      <c r="V433" s="30">
        <f t="shared" si="35"/>
        <v>0.49226630136986299</v>
      </c>
      <c r="W433" s="46">
        <f t="shared" si="33"/>
        <v>-6.6337258792554796E-2</v>
      </c>
      <c r="X433" s="33">
        <f t="shared" si="36"/>
        <v>2.8225145341451974E-2</v>
      </c>
    </row>
    <row r="434" spans="19:24" x14ac:dyDescent="0.25">
      <c r="S434" s="44">
        <f t="shared" si="37"/>
        <v>43484</v>
      </c>
      <c r="T434" s="12">
        <f t="shared" ref="T434:T497" si="38">DurMod(S434,B$2,$F$7:$G$37,$T$3)</f>
        <v>6.6310487969539409</v>
      </c>
      <c r="U434" s="12">
        <f t="shared" si="34"/>
        <v>6.4355886922962409</v>
      </c>
      <c r="V434" s="30">
        <f t="shared" si="35"/>
        <v>0.49223890410958904</v>
      </c>
      <c r="W434" s="46">
        <f t="shared" ref="W434:W497" si="39">+-T434*($U$3-$T$3)</f>
        <v>-6.6310487969539395E-2</v>
      </c>
      <c r="X434" s="33">
        <f t="shared" si="36"/>
        <v>2.8225103829179032E-2</v>
      </c>
    </row>
    <row r="435" spans="19:24" x14ac:dyDescent="0.25">
      <c r="S435" s="44">
        <f t="shared" si="37"/>
        <v>43485</v>
      </c>
      <c r="T435" s="12">
        <f t="shared" si="38"/>
        <v>6.6283717146523973</v>
      </c>
      <c r="U435" s="12">
        <f t="shared" si="34"/>
        <v>6.432937515571453</v>
      </c>
      <c r="V435" s="30">
        <f t="shared" si="35"/>
        <v>0.49221150684931503</v>
      </c>
      <c r="W435" s="46">
        <f t="shared" si="39"/>
        <v>-6.6283717146523966E-2</v>
      </c>
      <c r="X435" s="33">
        <f t="shared" si="36"/>
        <v>2.8225062316906087E-2</v>
      </c>
    </row>
    <row r="436" spans="19:24" x14ac:dyDescent="0.25">
      <c r="S436" s="44">
        <f t="shared" si="37"/>
        <v>43486</v>
      </c>
      <c r="T436" s="12">
        <f t="shared" si="38"/>
        <v>6.6256946323508563</v>
      </c>
      <c r="U436" s="12">
        <f t="shared" si="34"/>
        <v>6.4302863388466616</v>
      </c>
      <c r="V436" s="30">
        <f t="shared" si="35"/>
        <v>0.49218410958904113</v>
      </c>
      <c r="W436" s="46">
        <f t="shared" si="39"/>
        <v>-6.625694632350855E-2</v>
      </c>
      <c r="X436" s="33">
        <f t="shared" si="36"/>
        <v>2.8225020804633148E-2</v>
      </c>
    </row>
    <row r="437" spans="19:24" x14ac:dyDescent="0.25">
      <c r="S437" s="44">
        <f t="shared" si="37"/>
        <v>43487</v>
      </c>
      <c r="T437" s="12">
        <f t="shared" si="38"/>
        <v>6.6230175500493154</v>
      </c>
      <c r="U437" s="12">
        <f t="shared" si="34"/>
        <v>6.4276351621218719</v>
      </c>
      <c r="V437" s="30">
        <f t="shared" si="35"/>
        <v>0.49215671232876712</v>
      </c>
      <c r="W437" s="46">
        <f t="shared" si="39"/>
        <v>-6.6230175500493149E-2</v>
      </c>
      <c r="X437" s="33">
        <f t="shared" si="36"/>
        <v>2.8224979292360203E-2</v>
      </c>
    </row>
    <row r="438" spans="19:24" x14ac:dyDescent="0.25">
      <c r="S438" s="44">
        <f t="shared" si="37"/>
        <v>43488</v>
      </c>
      <c r="T438" s="12">
        <f t="shared" si="38"/>
        <v>6.6203404677477744</v>
      </c>
      <c r="U438" s="12">
        <f t="shared" si="34"/>
        <v>6.4249839853970858</v>
      </c>
      <c r="V438" s="30">
        <f t="shared" si="35"/>
        <v>0.49212931506849311</v>
      </c>
      <c r="W438" s="46">
        <f t="shared" si="39"/>
        <v>-6.6203404677477734E-2</v>
      </c>
      <c r="X438" s="33">
        <f t="shared" si="36"/>
        <v>2.8224937780087254E-2</v>
      </c>
    </row>
    <row r="439" spans="19:24" x14ac:dyDescent="0.25">
      <c r="S439" s="44">
        <f t="shared" si="37"/>
        <v>43489</v>
      </c>
      <c r="T439" s="12">
        <f t="shared" si="38"/>
        <v>6.6176633854462343</v>
      </c>
      <c r="U439" s="12">
        <f t="shared" si="34"/>
        <v>6.4223328086722962</v>
      </c>
      <c r="V439" s="30">
        <f t="shared" si="35"/>
        <v>0.49210191780821916</v>
      </c>
      <c r="W439" s="46">
        <f t="shared" si="39"/>
        <v>-6.6176633854462333E-2</v>
      </c>
      <c r="X439" s="33">
        <f t="shared" si="36"/>
        <v>2.8224896267814312E-2</v>
      </c>
    </row>
    <row r="440" spans="19:24" x14ac:dyDescent="0.25">
      <c r="S440" s="44">
        <f t="shared" si="37"/>
        <v>43490</v>
      </c>
      <c r="T440" s="12">
        <f t="shared" si="38"/>
        <v>6.6149863031446916</v>
      </c>
      <c r="U440" s="12">
        <f t="shared" si="34"/>
        <v>6.4196816319475047</v>
      </c>
      <c r="V440" s="30">
        <f t="shared" si="35"/>
        <v>0.49207452054794515</v>
      </c>
      <c r="W440" s="46">
        <f t="shared" si="39"/>
        <v>-6.6149863031446904E-2</v>
      </c>
      <c r="X440" s="33">
        <f t="shared" si="36"/>
        <v>2.8224854755541366E-2</v>
      </c>
    </row>
    <row r="441" spans="19:24" x14ac:dyDescent="0.25">
      <c r="S441" s="44">
        <f t="shared" si="37"/>
        <v>43491</v>
      </c>
      <c r="T441" s="12">
        <f t="shared" si="38"/>
        <v>6.6123092208431524</v>
      </c>
      <c r="U441" s="12">
        <f t="shared" si="34"/>
        <v>6.4170304552227142</v>
      </c>
      <c r="V441" s="30">
        <f t="shared" si="35"/>
        <v>0.49204712328767125</v>
      </c>
      <c r="W441" s="46">
        <f t="shared" si="39"/>
        <v>-6.6123092208431516E-2</v>
      </c>
      <c r="X441" s="33">
        <f t="shared" si="36"/>
        <v>2.8224813243268424E-2</v>
      </c>
    </row>
    <row r="442" spans="19:24" x14ac:dyDescent="0.25">
      <c r="S442" s="44">
        <f t="shared" si="37"/>
        <v>43492</v>
      </c>
      <c r="T442" s="12">
        <f t="shared" si="38"/>
        <v>6.6096321385416079</v>
      </c>
      <c r="U442" s="12">
        <f t="shared" si="34"/>
        <v>6.4143792784979272</v>
      </c>
      <c r="V442" s="30">
        <f t="shared" si="35"/>
        <v>0.49201972602739724</v>
      </c>
      <c r="W442" s="46">
        <f t="shared" si="39"/>
        <v>-6.6096321385416074E-2</v>
      </c>
      <c r="X442" s="33">
        <f t="shared" si="36"/>
        <v>2.8224771730995489E-2</v>
      </c>
    </row>
    <row r="443" spans="19:24" x14ac:dyDescent="0.25">
      <c r="S443" s="44">
        <f t="shared" si="37"/>
        <v>43493</v>
      </c>
      <c r="T443" s="12">
        <f t="shared" si="38"/>
        <v>6.606955056240067</v>
      </c>
      <c r="U443" s="12">
        <f t="shared" si="34"/>
        <v>6.4117281017731367</v>
      </c>
      <c r="V443" s="30">
        <f t="shared" si="35"/>
        <v>0.49199232876712329</v>
      </c>
      <c r="W443" s="46">
        <f t="shared" si="39"/>
        <v>-6.6069550562400658E-2</v>
      </c>
      <c r="X443" s="33">
        <f t="shared" si="36"/>
        <v>2.822473021872254E-2</v>
      </c>
    </row>
    <row r="444" spans="19:24" x14ac:dyDescent="0.25">
      <c r="S444" s="44">
        <f t="shared" si="37"/>
        <v>43494</v>
      </c>
      <c r="T444" s="12">
        <f t="shared" si="38"/>
        <v>6.6042779739385287</v>
      </c>
      <c r="U444" s="12">
        <f t="shared" si="34"/>
        <v>6.409076925048347</v>
      </c>
      <c r="V444" s="30">
        <f t="shared" si="35"/>
        <v>0.49196493150684928</v>
      </c>
      <c r="W444" s="46">
        <f t="shared" si="39"/>
        <v>-6.6042779739385271E-2</v>
      </c>
      <c r="X444" s="33">
        <f t="shared" si="36"/>
        <v>2.8224688706449595E-2</v>
      </c>
    </row>
    <row r="445" spans="19:24" x14ac:dyDescent="0.25">
      <c r="S445" s="44">
        <f t="shared" si="37"/>
        <v>43495</v>
      </c>
      <c r="T445" s="12">
        <f t="shared" si="38"/>
        <v>6.6016008916369859</v>
      </c>
      <c r="U445" s="12">
        <f t="shared" si="34"/>
        <v>6.4064257483235583</v>
      </c>
      <c r="V445" s="30">
        <f t="shared" si="35"/>
        <v>0.49193753424657533</v>
      </c>
      <c r="W445" s="46">
        <f t="shared" si="39"/>
        <v>-6.6016008916369856E-2</v>
      </c>
      <c r="X445" s="33">
        <f t="shared" si="36"/>
        <v>2.8224647194176652E-2</v>
      </c>
    </row>
    <row r="446" spans="19:24" x14ac:dyDescent="0.25">
      <c r="S446" s="44">
        <f t="shared" si="37"/>
        <v>43496</v>
      </c>
      <c r="T446" s="12">
        <f t="shared" si="38"/>
        <v>6.5989238093354423</v>
      </c>
      <c r="U446" s="12">
        <f t="shared" si="34"/>
        <v>6.4037745715987713</v>
      </c>
      <c r="V446" s="30">
        <f t="shared" si="35"/>
        <v>0.49191013698630137</v>
      </c>
      <c r="W446" s="46">
        <f t="shared" si="39"/>
        <v>-6.5989238093354413E-2</v>
      </c>
      <c r="X446" s="33">
        <f t="shared" si="36"/>
        <v>2.822460568190371E-2</v>
      </c>
    </row>
    <row r="447" spans="19:24" x14ac:dyDescent="0.25">
      <c r="S447" s="44">
        <f t="shared" si="37"/>
        <v>43497</v>
      </c>
      <c r="T447" s="12">
        <f t="shared" si="38"/>
        <v>6.5962467270339031</v>
      </c>
      <c r="U447" s="12">
        <f t="shared" si="34"/>
        <v>6.4011233948739807</v>
      </c>
      <c r="V447" s="30">
        <f t="shared" si="35"/>
        <v>0.49188273972602736</v>
      </c>
      <c r="W447" s="46">
        <f t="shared" si="39"/>
        <v>-6.5962467270339026E-2</v>
      </c>
      <c r="X447" s="33">
        <f t="shared" si="36"/>
        <v>2.8224564169630761E-2</v>
      </c>
    </row>
    <row r="448" spans="19:24" x14ac:dyDescent="0.25">
      <c r="S448" s="44">
        <f t="shared" si="37"/>
        <v>43498</v>
      </c>
      <c r="T448" s="12">
        <f t="shared" si="38"/>
        <v>6.593569644732364</v>
      </c>
      <c r="U448" s="12">
        <f t="shared" si="34"/>
        <v>6.3984722181491902</v>
      </c>
      <c r="V448" s="30">
        <f t="shared" si="35"/>
        <v>0.49185534246575341</v>
      </c>
      <c r="W448" s="46">
        <f t="shared" si="39"/>
        <v>-6.5935696447323625E-2</v>
      </c>
      <c r="X448" s="33">
        <f t="shared" si="36"/>
        <v>2.8224522657357819E-2</v>
      </c>
    </row>
    <row r="449" spans="19:24" x14ac:dyDescent="0.25">
      <c r="S449" s="44">
        <f t="shared" si="37"/>
        <v>43499</v>
      </c>
      <c r="T449" s="12">
        <f t="shared" si="38"/>
        <v>6.5908925624308221</v>
      </c>
      <c r="U449" s="12">
        <f t="shared" si="34"/>
        <v>6.3958210414244023</v>
      </c>
      <c r="V449" s="30">
        <f t="shared" si="35"/>
        <v>0.4918279452054794</v>
      </c>
      <c r="W449" s="46">
        <f t="shared" si="39"/>
        <v>-6.5908925624308209E-2</v>
      </c>
      <c r="X449" s="33">
        <f t="shared" si="36"/>
        <v>2.8224481145084874E-2</v>
      </c>
    </row>
    <row r="450" spans="19:24" x14ac:dyDescent="0.25">
      <c r="S450" s="44">
        <f t="shared" si="37"/>
        <v>43500</v>
      </c>
      <c r="T450" s="12">
        <f t="shared" si="38"/>
        <v>6.5882154801292812</v>
      </c>
      <c r="U450" s="12">
        <f t="shared" si="34"/>
        <v>6.3931698646996109</v>
      </c>
      <c r="V450" s="30">
        <f t="shared" si="35"/>
        <v>0.49180054794520545</v>
      </c>
      <c r="W450" s="46">
        <f t="shared" si="39"/>
        <v>-6.5882154801292808E-2</v>
      </c>
      <c r="X450" s="33">
        <f t="shared" si="36"/>
        <v>2.8224439632811932E-2</v>
      </c>
    </row>
    <row r="451" spans="19:24" x14ac:dyDescent="0.25">
      <c r="S451" s="44">
        <f t="shared" si="37"/>
        <v>43501</v>
      </c>
      <c r="T451" s="12">
        <f t="shared" si="38"/>
        <v>6.5855383978277384</v>
      </c>
      <c r="U451" s="12">
        <f t="shared" si="34"/>
        <v>6.3905186879748221</v>
      </c>
      <c r="V451" s="30">
        <f t="shared" si="35"/>
        <v>0.49177315068493149</v>
      </c>
      <c r="W451" s="46">
        <f t="shared" si="39"/>
        <v>-6.5855383978277379E-2</v>
      </c>
      <c r="X451" s="33">
        <f t="shared" si="36"/>
        <v>2.822439812053899E-2</v>
      </c>
    </row>
    <row r="452" spans="19:24" x14ac:dyDescent="0.25">
      <c r="S452" s="44">
        <f t="shared" si="37"/>
        <v>43502</v>
      </c>
      <c r="T452" s="12">
        <f t="shared" si="38"/>
        <v>6.5828613155261984</v>
      </c>
      <c r="U452" s="12">
        <f t="shared" si="34"/>
        <v>6.387867511250036</v>
      </c>
      <c r="V452" s="30">
        <f t="shared" si="35"/>
        <v>0.49174575342465748</v>
      </c>
      <c r="W452" s="46">
        <f t="shared" si="39"/>
        <v>-6.5828613155261978E-2</v>
      </c>
      <c r="X452" s="33">
        <f t="shared" si="36"/>
        <v>2.8224356608266041E-2</v>
      </c>
    </row>
    <row r="453" spans="19:24" x14ac:dyDescent="0.25">
      <c r="S453" s="44">
        <f t="shared" si="37"/>
        <v>43503</v>
      </c>
      <c r="T453" s="12">
        <f t="shared" si="38"/>
        <v>6.5801842332246574</v>
      </c>
      <c r="U453" s="12">
        <f t="shared" ref="U453:U516" si="40">DurMod($S453,$B$2,$F$7:$G$37,U$3)</f>
        <v>6.3852163345252437</v>
      </c>
      <c r="V453" s="30">
        <f t="shared" ref="V453:V516" si="41">+$U$3*($S$5512-S453)/365+$T$3*(S453-$S$4)/365</f>
        <v>0.49171835616438353</v>
      </c>
      <c r="W453" s="46">
        <f t="shared" si="39"/>
        <v>-6.5801842332246563E-2</v>
      </c>
      <c r="X453" s="33">
        <f t="shared" ref="X453:X516" si="42">+(V453+W453)*365/($S$5512-$S$4)</f>
        <v>2.8224315095993099E-2</v>
      </c>
    </row>
    <row r="454" spans="19:24" x14ac:dyDescent="0.25">
      <c r="S454" s="44">
        <f t="shared" ref="S454:S517" si="43">+S453+1</f>
        <v>43504</v>
      </c>
      <c r="T454" s="12">
        <f t="shared" si="38"/>
        <v>6.5775071509231173</v>
      </c>
      <c r="U454" s="12">
        <f t="shared" si="40"/>
        <v>6.382565157800455</v>
      </c>
      <c r="V454" s="30">
        <f t="shared" si="41"/>
        <v>0.49169095890410958</v>
      </c>
      <c r="W454" s="46">
        <f t="shared" si="39"/>
        <v>-6.5775071509231162E-2</v>
      </c>
      <c r="X454" s="33">
        <f t="shared" si="42"/>
        <v>2.8224273583720157E-2</v>
      </c>
    </row>
    <row r="455" spans="19:24" x14ac:dyDescent="0.25">
      <c r="S455" s="44">
        <f t="shared" si="43"/>
        <v>43505</v>
      </c>
      <c r="T455" s="12">
        <f t="shared" si="38"/>
        <v>6.5748300686215737</v>
      </c>
      <c r="U455" s="12">
        <f t="shared" si="40"/>
        <v>6.3799139810756662</v>
      </c>
      <c r="V455" s="30">
        <f t="shared" si="41"/>
        <v>0.49166356164383562</v>
      </c>
      <c r="W455" s="46">
        <f t="shared" si="39"/>
        <v>-6.5748300686215733E-2</v>
      </c>
      <c r="X455" s="33">
        <f t="shared" si="42"/>
        <v>2.8224232071447215E-2</v>
      </c>
    </row>
    <row r="456" spans="19:24" x14ac:dyDescent="0.25">
      <c r="S456" s="44">
        <f t="shared" si="43"/>
        <v>43506</v>
      </c>
      <c r="T456" s="12">
        <f t="shared" si="38"/>
        <v>6.5721529863200336</v>
      </c>
      <c r="U456" s="12">
        <f t="shared" si="40"/>
        <v>6.3772628043508774</v>
      </c>
      <c r="V456" s="30">
        <f t="shared" si="41"/>
        <v>0.49163616438356161</v>
      </c>
      <c r="W456" s="46">
        <f t="shared" si="39"/>
        <v>-6.5721529863200331E-2</v>
      </c>
      <c r="X456" s="33">
        <f t="shared" si="42"/>
        <v>2.8224190559174269E-2</v>
      </c>
    </row>
    <row r="457" spans="19:24" x14ac:dyDescent="0.25">
      <c r="S457" s="44">
        <f t="shared" si="43"/>
        <v>43507</v>
      </c>
      <c r="T457" s="12">
        <f t="shared" si="38"/>
        <v>6.5694759040184936</v>
      </c>
      <c r="U457" s="12">
        <f t="shared" si="40"/>
        <v>6.3746116276260887</v>
      </c>
      <c r="V457" s="30">
        <f t="shared" si="41"/>
        <v>0.4916087671232876</v>
      </c>
      <c r="W457" s="46">
        <f t="shared" si="39"/>
        <v>-6.569475904018493E-2</v>
      </c>
      <c r="X457" s="33">
        <f t="shared" si="42"/>
        <v>2.822414904690132E-2</v>
      </c>
    </row>
    <row r="458" spans="19:24" x14ac:dyDescent="0.25">
      <c r="S458" s="44">
        <f t="shared" si="43"/>
        <v>43508</v>
      </c>
      <c r="T458" s="12">
        <f t="shared" si="38"/>
        <v>6.5667988217169491</v>
      </c>
      <c r="U458" s="12">
        <f t="shared" si="40"/>
        <v>6.371960450901299</v>
      </c>
      <c r="V458" s="30">
        <f t="shared" si="41"/>
        <v>0.49158136986301365</v>
      </c>
      <c r="W458" s="46">
        <f t="shared" si="39"/>
        <v>-6.5667988217169487E-2</v>
      </c>
      <c r="X458" s="33">
        <f t="shared" si="42"/>
        <v>2.8224107534628378E-2</v>
      </c>
    </row>
    <row r="459" spans="19:24" x14ac:dyDescent="0.25">
      <c r="S459" s="44">
        <f t="shared" si="43"/>
        <v>43509</v>
      </c>
      <c r="T459" s="12">
        <f t="shared" si="38"/>
        <v>6.5641217394154125</v>
      </c>
      <c r="U459" s="12">
        <f t="shared" si="40"/>
        <v>6.3693092741765076</v>
      </c>
      <c r="V459" s="30">
        <f t="shared" si="41"/>
        <v>0.4915539726027397</v>
      </c>
      <c r="W459" s="46">
        <f t="shared" si="39"/>
        <v>-6.5641217394154114E-2</v>
      </c>
      <c r="X459" s="33">
        <f t="shared" si="42"/>
        <v>2.8224066022355433E-2</v>
      </c>
    </row>
    <row r="460" spans="19:24" x14ac:dyDescent="0.25">
      <c r="S460" s="44">
        <f t="shared" si="43"/>
        <v>43510</v>
      </c>
      <c r="T460" s="12">
        <f t="shared" si="38"/>
        <v>6.5614446571138707</v>
      </c>
      <c r="U460" s="12">
        <f t="shared" si="40"/>
        <v>6.3666580974517197</v>
      </c>
      <c r="V460" s="30">
        <f t="shared" si="41"/>
        <v>0.49152657534246574</v>
      </c>
      <c r="W460" s="46">
        <f t="shared" si="39"/>
        <v>-6.5614446571138699E-2</v>
      </c>
      <c r="X460" s="33">
        <f t="shared" si="42"/>
        <v>2.8224024510082497E-2</v>
      </c>
    </row>
    <row r="461" spans="19:24" x14ac:dyDescent="0.25">
      <c r="S461" s="44">
        <f t="shared" si="43"/>
        <v>43511</v>
      </c>
      <c r="T461" s="12">
        <f t="shared" si="38"/>
        <v>6.5587675748123262</v>
      </c>
      <c r="U461" s="12">
        <f t="shared" si="40"/>
        <v>6.3640069207269301</v>
      </c>
      <c r="V461" s="30">
        <f t="shared" si="41"/>
        <v>0.49149917808219173</v>
      </c>
      <c r="W461" s="46">
        <f t="shared" si="39"/>
        <v>-6.5587675748123256E-2</v>
      </c>
      <c r="X461" s="33">
        <f t="shared" si="42"/>
        <v>2.8223982997809548E-2</v>
      </c>
    </row>
    <row r="462" spans="19:24" x14ac:dyDescent="0.25">
      <c r="S462" s="44">
        <f t="shared" si="43"/>
        <v>43512</v>
      </c>
      <c r="T462" s="12">
        <f t="shared" si="38"/>
        <v>6.556090492510787</v>
      </c>
      <c r="U462" s="12">
        <f t="shared" si="40"/>
        <v>6.3613557440021413</v>
      </c>
      <c r="V462" s="30">
        <f t="shared" si="41"/>
        <v>0.49147178082191778</v>
      </c>
      <c r="W462" s="46">
        <f t="shared" si="39"/>
        <v>-6.5560904925107855E-2</v>
      </c>
      <c r="X462" s="33">
        <f t="shared" si="42"/>
        <v>2.8223941485536606E-2</v>
      </c>
    </row>
    <row r="463" spans="19:24" x14ac:dyDescent="0.25">
      <c r="S463" s="44">
        <f t="shared" si="43"/>
        <v>43513</v>
      </c>
      <c r="T463" s="12">
        <f t="shared" si="38"/>
        <v>6.5534134102092425</v>
      </c>
      <c r="U463" s="12">
        <f t="shared" si="40"/>
        <v>6.3587045672773508</v>
      </c>
      <c r="V463" s="30">
        <f t="shared" si="41"/>
        <v>0.49144438356164383</v>
      </c>
      <c r="W463" s="46">
        <f t="shared" si="39"/>
        <v>-6.5534134102092412E-2</v>
      </c>
      <c r="X463" s="33">
        <f t="shared" si="42"/>
        <v>2.8223899973263664E-2</v>
      </c>
    </row>
    <row r="464" spans="19:24" x14ac:dyDescent="0.25">
      <c r="S464" s="44">
        <f t="shared" si="43"/>
        <v>43514</v>
      </c>
      <c r="T464" s="12">
        <f t="shared" si="38"/>
        <v>6.5507363279077051</v>
      </c>
      <c r="U464" s="12">
        <f t="shared" si="40"/>
        <v>6.3560533905525611</v>
      </c>
      <c r="V464" s="30">
        <f t="shared" si="41"/>
        <v>0.49141698630136982</v>
      </c>
      <c r="W464" s="46">
        <f t="shared" si="39"/>
        <v>-6.5507363279077038E-2</v>
      </c>
      <c r="X464" s="33">
        <f t="shared" si="42"/>
        <v>2.8223858460990719E-2</v>
      </c>
    </row>
    <row r="465" spans="19:24" x14ac:dyDescent="0.25">
      <c r="S465" s="44">
        <f t="shared" si="43"/>
        <v>43515</v>
      </c>
      <c r="T465" s="12">
        <f t="shared" si="38"/>
        <v>6.548059245606165</v>
      </c>
      <c r="U465" s="12">
        <f t="shared" si="40"/>
        <v>6.3534022138277715</v>
      </c>
      <c r="V465" s="30">
        <f t="shared" si="41"/>
        <v>0.49138958904109586</v>
      </c>
      <c r="W465" s="46">
        <f t="shared" si="39"/>
        <v>-6.5480592456061637E-2</v>
      </c>
      <c r="X465" s="33">
        <f t="shared" si="42"/>
        <v>2.822381694871777E-2</v>
      </c>
    </row>
    <row r="466" spans="19:24" x14ac:dyDescent="0.25">
      <c r="S466" s="44">
        <f t="shared" si="43"/>
        <v>43516</v>
      </c>
      <c r="T466" s="12">
        <f t="shared" si="38"/>
        <v>6.5453821633046214</v>
      </c>
      <c r="U466" s="12">
        <f t="shared" si="40"/>
        <v>6.3507510371029845</v>
      </c>
      <c r="V466" s="30">
        <f t="shared" si="41"/>
        <v>0.49136219178082186</v>
      </c>
      <c r="W466" s="46">
        <f t="shared" si="39"/>
        <v>-6.5453821633046208E-2</v>
      </c>
      <c r="X466" s="33">
        <f t="shared" si="42"/>
        <v>2.8223775436444828E-2</v>
      </c>
    </row>
    <row r="467" spans="19:24" x14ac:dyDescent="0.25">
      <c r="S467" s="44">
        <f t="shared" si="43"/>
        <v>43517</v>
      </c>
      <c r="T467" s="12">
        <f t="shared" si="38"/>
        <v>6.5427050810030787</v>
      </c>
      <c r="U467" s="12">
        <f t="shared" si="40"/>
        <v>6.3480998603781957</v>
      </c>
      <c r="V467" s="30">
        <f t="shared" si="41"/>
        <v>0.4913347945205479</v>
      </c>
      <c r="W467" s="46">
        <f t="shared" si="39"/>
        <v>-6.5427050810030779E-2</v>
      </c>
      <c r="X467" s="33">
        <f t="shared" si="42"/>
        <v>2.8223733924171886E-2</v>
      </c>
    </row>
    <row r="468" spans="19:24" x14ac:dyDescent="0.25">
      <c r="S468" s="44">
        <f t="shared" si="43"/>
        <v>43518</v>
      </c>
      <c r="T468" s="12">
        <f t="shared" si="38"/>
        <v>6.5400279987015404</v>
      </c>
      <c r="U468" s="12">
        <f t="shared" si="40"/>
        <v>6.3454486836534016</v>
      </c>
      <c r="V468" s="30">
        <f t="shared" si="41"/>
        <v>0.49130739726027395</v>
      </c>
      <c r="W468" s="46">
        <f t="shared" si="39"/>
        <v>-6.5400279987015392E-2</v>
      </c>
      <c r="X468" s="33">
        <f t="shared" si="42"/>
        <v>2.8223692411898944E-2</v>
      </c>
    </row>
    <row r="469" spans="19:24" x14ac:dyDescent="0.25">
      <c r="S469" s="44">
        <f t="shared" si="43"/>
        <v>43519</v>
      </c>
      <c r="T469" s="12">
        <f t="shared" si="38"/>
        <v>6.5373509163999977</v>
      </c>
      <c r="U469" s="12">
        <f t="shared" si="40"/>
        <v>6.3427975069286173</v>
      </c>
      <c r="V469" s="30">
        <f t="shared" si="41"/>
        <v>0.49127999999999994</v>
      </c>
      <c r="W469" s="46">
        <f t="shared" si="39"/>
        <v>-6.5373509163999963E-2</v>
      </c>
      <c r="X469" s="33">
        <f t="shared" si="42"/>
        <v>2.8223650899625998E-2</v>
      </c>
    </row>
    <row r="470" spans="19:24" x14ac:dyDescent="0.25">
      <c r="S470" s="44">
        <f t="shared" si="43"/>
        <v>43520</v>
      </c>
      <c r="T470" s="12">
        <f t="shared" si="38"/>
        <v>6.5346738340984585</v>
      </c>
      <c r="U470" s="12">
        <f t="shared" si="40"/>
        <v>6.3401463302038295</v>
      </c>
      <c r="V470" s="30">
        <f t="shared" si="41"/>
        <v>0.49125260273972599</v>
      </c>
      <c r="W470" s="46">
        <f t="shared" si="39"/>
        <v>-6.5346738340984575E-2</v>
      </c>
      <c r="X470" s="33">
        <f t="shared" si="42"/>
        <v>2.8223609387353049E-2</v>
      </c>
    </row>
    <row r="471" spans="19:24" x14ac:dyDescent="0.25">
      <c r="S471" s="44">
        <f t="shared" si="43"/>
        <v>43521</v>
      </c>
      <c r="T471" s="12">
        <f t="shared" si="38"/>
        <v>6.5319967517969157</v>
      </c>
      <c r="U471" s="12">
        <f t="shared" si="40"/>
        <v>6.3374951534790371</v>
      </c>
      <c r="V471" s="30">
        <f t="shared" si="41"/>
        <v>0.49122520547945198</v>
      </c>
      <c r="W471" s="46">
        <f t="shared" si="39"/>
        <v>-6.5319967517969146E-2</v>
      </c>
      <c r="X471" s="33">
        <f t="shared" si="42"/>
        <v>2.8223567875080107E-2</v>
      </c>
    </row>
    <row r="472" spans="19:24" x14ac:dyDescent="0.25">
      <c r="S472" s="44">
        <f t="shared" si="43"/>
        <v>43522</v>
      </c>
      <c r="T472" s="12">
        <f t="shared" si="38"/>
        <v>6.5293196694953748</v>
      </c>
      <c r="U472" s="12">
        <f t="shared" si="40"/>
        <v>6.3348439767542475</v>
      </c>
      <c r="V472" s="30">
        <f t="shared" si="41"/>
        <v>0.49119780821917808</v>
      </c>
      <c r="W472" s="46">
        <f t="shared" si="39"/>
        <v>-6.5293196694953731E-2</v>
      </c>
      <c r="X472" s="33">
        <f t="shared" si="42"/>
        <v>2.8223526362807165E-2</v>
      </c>
    </row>
    <row r="473" spans="19:24" x14ac:dyDescent="0.25">
      <c r="S473" s="44">
        <f t="shared" si="43"/>
        <v>43523</v>
      </c>
      <c r="T473" s="12">
        <f t="shared" si="38"/>
        <v>6.5266425871938294</v>
      </c>
      <c r="U473" s="12">
        <f t="shared" si="40"/>
        <v>6.3321928000294578</v>
      </c>
      <c r="V473" s="30">
        <f t="shared" si="41"/>
        <v>0.49117041095890407</v>
      </c>
      <c r="W473" s="46">
        <f t="shared" si="39"/>
        <v>-6.5266425871938288E-2</v>
      </c>
      <c r="X473" s="33">
        <f t="shared" si="42"/>
        <v>2.8223484850534223E-2</v>
      </c>
    </row>
    <row r="474" spans="19:24" x14ac:dyDescent="0.25">
      <c r="S474" s="44">
        <f t="shared" si="43"/>
        <v>43524</v>
      </c>
      <c r="T474" s="12">
        <f t="shared" si="38"/>
        <v>6.5239655048922902</v>
      </c>
      <c r="U474" s="12">
        <f t="shared" si="40"/>
        <v>6.3295416233046682</v>
      </c>
      <c r="V474" s="30">
        <f t="shared" si="41"/>
        <v>0.49114301369863012</v>
      </c>
      <c r="W474" s="46">
        <f t="shared" si="39"/>
        <v>-6.5239655048922887E-2</v>
      </c>
      <c r="X474" s="33">
        <f t="shared" si="42"/>
        <v>2.8223443338261281E-2</v>
      </c>
    </row>
    <row r="475" spans="19:24" x14ac:dyDescent="0.25">
      <c r="S475" s="44">
        <f t="shared" si="43"/>
        <v>43525</v>
      </c>
      <c r="T475" s="12">
        <f t="shared" si="38"/>
        <v>6.521288422590751</v>
      </c>
      <c r="U475" s="12">
        <f t="shared" si="40"/>
        <v>6.3268904465798803</v>
      </c>
      <c r="V475" s="30">
        <f t="shared" si="41"/>
        <v>0.49111561643835611</v>
      </c>
      <c r="W475" s="46">
        <f t="shared" si="39"/>
        <v>-6.52128842259075E-2</v>
      </c>
      <c r="X475" s="33">
        <f t="shared" si="42"/>
        <v>2.8223401825988335E-2</v>
      </c>
    </row>
    <row r="476" spans="19:24" x14ac:dyDescent="0.25">
      <c r="S476" s="44">
        <f t="shared" si="43"/>
        <v>43526</v>
      </c>
      <c r="T476" s="12">
        <f t="shared" si="38"/>
        <v>6.5186113402892092</v>
      </c>
      <c r="U476" s="12">
        <f t="shared" si="40"/>
        <v>6.3242392698550915</v>
      </c>
      <c r="V476" s="30">
        <f t="shared" si="41"/>
        <v>0.4910882191780821</v>
      </c>
      <c r="W476" s="46">
        <f t="shared" si="39"/>
        <v>-6.5186113402892085E-2</v>
      </c>
      <c r="X476" s="33">
        <f t="shared" si="42"/>
        <v>2.8223360313715386E-2</v>
      </c>
    </row>
    <row r="477" spans="19:24" x14ac:dyDescent="0.25">
      <c r="S477" s="44">
        <f t="shared" si="43"/>
        <v>43527</v>
      </c>
      <c r="T477" s="12">
        <f t="shared" si="38"/>
        <v>6.5159342579876665</v>
      </c>
      <c r="U477" s="12">
        <f t="shared" si="40"/>
        <v>6.3215880931303019</v>
      </c>
      <c r="V477" s="30">
        <f t="shared" si="41"/>
        <v>0.4910608219178082</v>
      </c>
      <c r="W477" s="46">
        <f t="shared" si="39"/>
        <v>-6.5159342579876656E-2</v>
      </c>
      <c r="X477" s="33">
        <f t="shared" si="42"/>
        <v>2.8223318801442451E-2</v>
      </c>
    </row>
    <row r="478" spans="19:24" x14ac:dyDescent="0.25">
      <c r="S478" s="44">
        <f t="shared" si="43"/>
        <v>43528</v>
      </c>
      <c r="T478" s="12">
        <f t="shared" si="38"/>
        <v>6.5132571756861255</v>
      </c>
      <c r="U478" s="12">
        <f t="shared" si="40"/>
        <v>6.3189369164055114</v>
      </c>
      <c r="V478" s="30">
        <f t="shared" si="41"/>
        <v>0.49103342465753419</v>
      </c>
      <c r="W478" s="46">
        <f t="shared" si="39"/>
        <v>-6.5132571756861241E-2</v>
      </c>
      <c r="X478" s="33">
        <f t="shared" si="42"/>
        <v>2.8223277289169502E-2</v>
      </c>
    </row>
    <row r="479" spans="19:24" x14ac:dyDescent="0.25">
      <c r="S479" s="44">
        <f t="shared" si="43"/>
        <v>43529</v>
      </c>
      <c r="T479" s="12">
        <f t="shared" si="38"/>
        <v>6.5105800933845837</v>
      </c>
      <c r="U479" s="12">
        <f t="shared" si="40"/>
        <v>6.3162857396807235</v>
      </c>
      <c r="V479" s="30">
        <f t="shared" si="41"/>
        <v>0.49100602739726024</v>
      </c>
      <c r="W479" s="46">
        <f t="shared" si="39"/>
        <v>-6.5105800933845825E-2</v>
      </c>
      <c r="X479" s="33">
        <f t="shared" si="42"/>
        <v>2.8223235776896564E-2</v>
      </c>
    </row>
    <row r="480" spans="19:24" x14ac:dyDescent="0.25">
      <c r="S480" s="44">
        <f t="shared" si="43"/>
        <v>43530</v>
      </c>
      <c r="T480" s="12">
        <f t="shared" si="38"/>
        <v>6.5079030110830427</v>
      </c>
      <c r="U480" s="12">
        <f t="shared" si="40"/>
        <v>6.3136345629559338</v>
      </c>
      <c r="V480" s="30">
        <f t="shared" si="41"/>
        <v>0.49097863013698623</v>
      </c>
      <c r="W480" s="46">
        <f t="shared" si="39"/>
        <v>-6.507903011083041E-2</v>
      </c>
      <c r="X480" s="33">
        <f t="shared" si="42"/>
        <v>2.8223194264623615E-2</v>
      </c>
    </row>
    <row r="481" spans="19:24" x14ac:dyDescent="0.25">
      <c r="S481" s="44">
        <f t="shared" si="43"/>
        <v>43531</v>
      </c>
      <c r="T481" s="12">
        <f t="shared" si="38"/>
        <v>6.5052259287815035</v>
      </c>
      <c r="U481" s="12">
        <f t="shared" si="40"/>
        <v>6.3109833862311424</v>
      </c>
      <c r="V481" s="30">
        <f t="shared" si="41"/>
        <v>0.49095123287671227</v>
      </c>
      <c r="W481" s="46">
        <f t="shared" si="39"/>
        <v>-6.5052259287815023E-2</v>
      </c>
      <c r="X481" s="33">
        <f t="shared" si="42"/>
        <v>2.8223152752350673E-2</v>
      </c>
    </row>
    <row r="482" spans="19:24" x14ac:dyDescent="0.25">
      <c r="S482" s="44">
        <f t="shared" si="43"/>
        <v>43532</v>
      </c>
      <c r="T482" s="12">
        <f t="shared" si="38"/>
        <v>6.5025488464799643</v>
      </c>
      <c r="U482" s="12">
        <f t="shared" si="40"/>
        <v>6.3083322095063528</v>
      </c>
      <c r="V482" s="30">
        <f t="shared" si="41"/>
        <v>0.49092383561643838</v>
      </c>
      <c r="W482" s="46">
        <f t="shared" si="39"/>
        <v>-6.5025488464799636E-2</v>
      </c>
      <c r="X482" s="33">
        <f t="shared" si="42"/>
        <v>2.8223111240077731E-2</v>
      </c>
    </row>
    <row r="483" spans="19:24" x14ac:dyDescent="0.25">
      <c r="S483" s="44">
        <f t="shared" si="43"/>
        <v>43533</v>
      </c>
      <c r="T483" s="12">
        <f t="shared" si="38"/>
        <v>6.4998717641784198</v>
      </c>
      <c r="U483" s="12">
        <f t="shared" si="40"/>
        <v>6.3056810327815649</v>
      </c>
      <c r="V483" s="30">
        <f t="shared" si="41"/>
        <v>0.49089643835616437</v>
      </c>
      <c r="W483" s="46">
        <f t="shared" si="39"/>
        <v>-6.4998717641784193E-2</v>
      </c>
      <c r="X483" s="33">
        <f t="shared" si="42"/>
        <v>2.8223069727804785E-2</v>
      </c>
    </row>
    <row r="484" spans="19:24" x14ac:dyDescent="0.25">
      <c r="S484" s="44">
        <f t="shared" si="43"/>
        <v>43534</v>
      </c>
      <c r="T484" s="12">
        <f t="shared" si="38"/>
        <v>6.497194681876878</v>
      </c>
      <c r="U484" s="12">
        <f t="shared" si="40"/>
        <v>6.3030298560567761</v>
      </c>
      <c r="V484" s="30">
        <f t="shared" si="41"/>
        <v>0.49086904109589047</v>
      </c>
      <c r="W484" s="46">
        <f t="shared" si="39"/>
        <v>-6.4971946818768764E-2</v>
      </c>
      <c r="X484" s="33">
        <f t="shared" si="42"/>
        <v>2.8223028215531847E-2</v>
      </c>
    </row>
    <row r="485" spans="19:24" x14ac:dyDescent="0.25">
      <c r="S485" s="44">
        <f t="shared" si="43"/>
        <v>43535</v>
      </c>
      <c r="T485" s="12">
        <f t="shared" si="38"/>
        <v>6.4945175995753397</v>
      </c>
      <c r="U485" s="12">
        <f t="shared" si="40"/>
        <v>6.3003786793319865</v>
      </c>
      <c r="V485" s="30">
        <f t="shared" si="41"/>
        <v>0.49084164383561646</v>
      </c>
      <c r="W485" s="46">
        <f t="shared" si="39"/>
        <v>-6.494517599575339E-2</v>
      </c>
      <c r="X485" s="33">
        <f t="shared" si="42"/>
        <v>2.8222986703258901E-2</v>
      </c>
    </row>
    <row r="486" spans="19:24" x14ac:dyDescent="0.25">
      <c r="S486" s="44">
        <f t="shared" si="43"/>
        <v>43536</v>
      </c>
      <c r="T486" s="12">
        <f t="shared" si="38"/>
        <v>6.4918405172737961</v>
      </c>
      <c r="U486" s="12">
        <f t="shared" si="40"/>
        <v>6.2977275026071968</v>
      </c>
      <c r="V486" s="30">
        <f t="shared" si="41"/>
        <v>0.49081424657534251</v>
      </c>
      <c r="W486" s="46">
        <f t="shared" si="39"/>
        <v>-6.4918405172737947E-2</v>
      </c>
      <c r="X486" s="33">
        <f t="shared" si="42"/>
        <v>2.8222945190985959E-2</v>
      </c>
    </row>
    <row r="487" spans="19:24" x14ac:dyDescent="0.25">
      <c r="S487" s="44">
        <f t="shared" si="43"/>
        <v>43537</v>
      </c>
      <c r="T487" s="12">
        <f t="shared" si="38"/>
        <v>6.489163434972256</v>
      </c>
      <c r="U487" s="12">
        <f t="shared" si="40"/>
        <v>6.2950763258824081</v>
      </c>
      <c r="V487" s="30">
        <f t="shared" si="41"/>
        <v>0.4907868493150685</v>
      </c>
      <c r="W487" s="46">
        <f t="shared" si="39"/>
        <v>-6.4891634349722546E-2</v>
      </c>
      <c r="X487" s="33">
        <f t="shared" si="42"/>
        <v>2.822290367871301E-2</v>
      </c>
    </row>
    <row r="488" spans="19:24" x14ac:dyDescent="0.25">
      <c r="S488" s="44">
        <f t="shared" si="43"/>
        <v>43538</v>
      </c>
      <c r="T488" s="12">
        <f t="shared" si="38"/>
        <v>6.486486352670715</v>
      </c>
      <c r="U488" s="12">
        <f t="shared" si="40"/>
        <v>6.2924251491576184</v>
      </c>
      <c r="V488" s="30">
        <f t="shared" si="41"/>
        <v>0.49075945205479454</v>
      </c>
      <c r="W488" s="46">
        <f t="shared" si="39"/>
        <v>-6.4864863526707145E-2</v>
      </c>
      <c r="X488" s="33">
        <f t="shared" si="42"/>
        <v>2.8222862166440068E-2</v>
      </c>
    </row>
    <row r="489" spans="19:24" x14ac:dyDescent="0.25">
      <c r="S489" s="44">
        <f t="shared" si="43"/>
        <v>43539</v>
      </c>
      <c r="T489" s="12">
        <f t="shared" si="38"/>
        <v>6.4838092703691741</v>
      </c>
      <c r="U489" s="12">
        <f t="shared" si="40"/>
        <v>6.2897739724328305</v>
      </c>
      <c r="V489" s="30">
        <f t="shared" si="41"/>
        <v>0.49073205479452059</v>
      </c>
      <c r="W489" s="46">
        <f t="shared" si="39"/>
        <v>-6.483809270369173E-2</v>
      </c>
      <c r="X489" s="33">
        <f t="shared" si="42"/>
        <v>2.8222820654167126E-2</v>
      </c>
    </row>
    <row r="490" spans="19:24" x14ac:dyDescent="0.25">
      <c r="S490" s="44">
        <f t="shared" si="43"/>
        <v>43540</v>
      </c>
      <c r="T490" s="12">
        <f t="shared" si="38"/>
        <v>6.4811321880676322</v>
      </c>
      <c r="U490" s="12">
        <f t="shared" si="40"/>
        <v>6.2871227957080382</v>
      </c>
      <c r="V490" s="30">
        <f t="shared" si="41"/>
        <v>0.49070465753424658</v>
      </c>
      <c r="W490" s="46">
        <f t="shared" si="39"/>
        <v>-6.4811321880676315E-2</v>
      </c>
      <c r="X490" s="33">
        <f t="shared" si="42"/>
        <v>2.822277914189418E-2</v>
      </c>
    </row>
    <row r="491" spans="19:24" x14ac:dyDescent="0.25">
      <c r="S491" s="44">
        <f t="shared" si="43"/>
        <v>43541</v>
      </c>
      <c r="T491" s="12">
        <f t="shared" si="38"/>
        <v>6.4784551057660904</v>
      </c>
      <c r="U491" s="12">
        <f t="shared" si="40"/>
        <v>6.2844716189832504</v>
      </c>
      <c r="V491" s="30">
        <f t="shared" si="41"/>
        <v>0.49067726027397263</v>
      </c>
      <c r="W491" s="46">
        <f t="shared" si="39"/>
        <v>-6.47845510576609E-2</v>
      </c>
      <c r="X491" s="33">
        <f t="shared" si="42"/>
        <v>2.8222737629621238E-2</v>
      </c>
    </row>
    <row r="492" spans="19:24" x14ac:dyDescent="0.25">
      <c r="S492" s="44">
        <f t="shared" si="43"/>
        <v>43542</v>
      </c>
      <c r="T492" s="12">
        <f t="shared" si="38"/>
        <v>6.4757780234645494</v>
      </c>
      <c r="U492" s="12">
        <f t="shared" si="40"/>
        <v>6.2818204422584616</v>
      </c>
      <c r="V492" s="30">
        <f t="shared" si="41"/>
        <v>0.49064986301369862</v>
      </c>
      <c r="W492" s="46">
        <f t="shared" si="39"/>
        <v>-6.4757780234645484E-2</v>
      </c>
      <c r="X492" s="33">
        <f t="shared" si="42"/>
        <v>2.8222696117348289E-2</v>
      </c>
    </row>
    <row r="493" spans="19:24" x14ac:dyDescent="0.25">
      <c r="S493" s="44">
        <f t="shared" si="43"/>
        <v>43543</v>
      </c>
      <c r="T493" s="12">
        <f t="shared" si="38"/>
        <v>6.4731009411630076</v>
      </c>
      <c r="U493" s="12">
        <f t="shared" si="40"/>
        <v>6.2791692655336746</v>
      </c>
      <c r="V493" s="30">
        <f t="shared" si="41"/>
        <v>0.49062246575342472</v>
      </c>
      <c r="W493" s="46">
        <f t="shared" si="39"/>
        <v>-6.4731009411630069E-2</v>
      </c>
      <c r="X493" s="33">
        <f t="shared" si="42"/>
        <v>2.8222654605075354E-2</v>
      </c>
    </row>
    <row r="494" spans="19:24" x14ac:dyDescent="0.25">
      <c r="S494" s="44">
        <f t="shared" si="43"/>
        <v>43544</v>
      </c>
      <c r="T494" s="12">
        <f t="shared" si="38"/>
        <v>6.4704238588614666</v>
      </c>
      <c r="U494" s="12">
        <f t="shared" si="40"/>
        <v>6.2765180888088823</v>
      </c>
      <c r="V494" s="30">
        <f t="shared" si="41"/>
        <v>0.49059506849315071</v>
      </c>
      <c r="W494" s="46">
        <f t="shared" si="39"/>
        <v>-6.4704238588614654E-2</v>
      </c>
      <c r="X494" s="33">
        <f t="shared" si="42"/>
        <v>2.8222613092802412E-2</v>
      </c>
    </row>
    <row r="495" spans="19:24" x14ac:dyDescent="0.25">
      <c r="S495" s="44">
        <f t="shared" si="43"/>
        <v>43545</v>
      </c>
      <c r="T495" s="12">
        <f t="shared" si="38"/>
        <v>6.4677467765599275</v>
      </c>
      <c r="U495" s="12">
        <f t="shared" si="40"/>
        <v>6.2738669120840935</v>
      </c>
      <c r="V495" s="30">
        <f t="shared" si="41"/>
        <v>0.4905676712328767</v>
      </c>
      <c r="W495" s="46">
        <f t="shared" si="39"/>
        <v>-6.4677467765599267E-2</v>
      </c>
      <c r="X495" s="33">
        <f t="shared" si="42"/>
        <v>2.822257158052946E-2</v>
      </c>
    </row>
    <row r="496" spans="19:24" x14ac:dyDescent="0.25">
      <c r="S496" s="44">
        <f t="shared" si="43"/>
        <v>43546</v>
      </c>
      <c r="T496" s="12">
        <f t="shared" si="38"/>
        <v>6.4650696942583856</v>
      </c>
      <c r="U496" s="12">
        <f t="shared" si="40"/>
        <v>6.2712157353593039</v>
      </c>
      <c r="V496" s="30">
        <f t="shared" si="41"/>
        <v>0.49054027397260275</v>
      </c>
      <c r="W496" s="46">
        <f t="shared" si="39"/>
        <v>-6.4650696942583852E-2</v>
      </c>
      <c r="X496" s="33">
        <f t="shared" si="42"/>
        <v>2.8222530068256518E-2</v>
      </c>
    </row>
    <row r="497" spans="19:24" x14ac:dyDescent="0.25">
      <c r="S497" s="44">
        <f t="shared" si="43"/>
        <v>43547</v>
      </c>
      <c r="T497" s="12">
        <f t="shared" si="38"/>
        <v>6.4623926119568447</v>
      </c>
      <c r="U497" s="12">
        <f t="shared" si="40"/>
        <v>6.2685645586345125</v>
      </c>
      <c r="V497" s="30">
        <f t="shared" si="41"/>
        <v>0.49051287671232879</v>
      </c>
      <c r="W497" s="46">
        <f t="shared" si="39"/>
        <v>-6.4623926119568437E-2</v>
      </c>
      <c r="X497" s="33">
        <f t="shared" si="42"/>
        <v>2.8222488555983576E-2</v>
      </c>
    </row>
    <row r="498" spans="19:24" x14ac:dyDescent="0.25">
      <c r="S498" s="44">
        <f t="shared" si="43"/>
        <v>43548</v>
      </c>
      <c r="T498" s="12">
        <f t="shared" ref="T498:T561" si="44">DurMod(S498,B$2,$F$7:$G$37,$T$3)</f>
        <v>6.4597155296553037</v>
      </c>
      <c r="U498" s="12">
        <f t="shared" si="40"/>
        <v>6.2659133819097264</v>
      </c>
      <c r="V498" s="30">
        <f t="shared" si="41"/>
        <v>0.49048547945205484</v>
      </c>
      <c r="W498" s="46">
        <f t="shared" ref="W498:W561" si="45">+-T498*($U$3-$T$3)</f>
        <v>-6.4597155296553022E-2</v>
      </c>
      <c r="X498" s="33">
        <f t="shared" si="42"/>
        <v>2.8222447043710634E-2</v>
      </c>
    </row>
    <row r="499" spans="19:24" x14ac:dyDescent="0.25">
      <c r="S499" s="44">
        <f t="shared" si="43"/>
        <v>43549</v>
      </c>
      <c r="T499" s="12">
        <f t="shared" si="44"/>
        <v>6.4570384473537619</v>
      </c>
      <c r="U499" s="12">
        <f t="shared" si="40"/>
        <v>6.2632622051849349</v>
      </c>
      <c r="V499" s="30">
        <f t="shared" si="41"/>
        <v>0.49045808219178083</v>
      </c>
      <c r="W499" s="46">
        <f t="shared" si="45"/>
        <v>-6.4570384473537606E-2</v>
      </c>
      <c r="X499" s="33">
        <f t="shared" si="42"/>
        <v>2.8222405531437688E-2</v>
      </c>
    </row>
    <row r="500" spans="19:24" x14ac:dyDescent="0.25">
      <c r="S500" s="44">
        <f t="shared" si="43"/>
        <v>43550</v>
      </c>
      <c r="T500" s="12">
        <f t="shared" si="44"/>
        <v>6.45436136505222</v>
      </c>
      <c r="U500" s="12">
        <f t="shared" si="40"/>
        <v>6.2606110284601462</v>
      </c>
      <c r="V500" s="30">
        <f t="shared" si="41"/>
        <v>0.49043068493150688</v>
      </c>
      <c r="W500" s="46">
        <f t="shared" si="45"/>
        <v>-6.4543613650522191E-2</v>
      </c>
      <c r="X500" s="33">
        <f t="shared" si="42"/>
        <v>2.8222364019164746E-2</v>
      </c>
    </row>
    <row r="501" spans="19:24" x14ac:dyDescent="0.25">
      <c r="S501" s="44">
        <f t="shared" si="43"/>
        <v>43551</v>
      </c>
      <c r="T501" s="12">
        <f t="shared" si="44"/>
        <v>6.4516842827506782</v>
      </c>
      <c r="U501" s="12">
        <f t="shared" si="40"/>
        <v>6.2579598517353556</v>
      </c>
      <c r="V501" s="30">
        <f t="shared" si="41"/>
        <v>0.49040328767123287</v>
      </c>
      <c r="W501" s="46">
        <f t="shared" si="45"/>
        <v>-6.4516842827506776E-2</v>
      </c>
      <c r="X501" s="33">
        <f t="shared" si="42"/>
        <v>2.8222322506891797E-2</v>
      </c>
    </row>
    <row r="502" spans="19:24" x14ac:dyDescent="0.25">
      <c r="S502" s="44">
        <f t="shared" si="43"/>
        <v>43552</v>
      </c>
      <c r="T502" s="12">
        <f t="shared" si="44"/>
        <v>6.4490072004491363</v>
      </c>
      <c r="U502" s="12">
        <f t="shared" si="40"/>
        <v>6.2553086750105695</v>
      </c>
      <c r="V502" s="30">
        <f t="shared" si="41"/>
        <v>0.49037589041095891</v>
      </c>
      <c r="W502" s="46">
        <f t="shared" si="45"/>
        <v>-6.4490072004491347E-2</v>
      </c>
      <c r="X502" s="33">
        <f t="shared" si="42"/>
        <v>2.8222280994618855E-2</v>
      </c>
    </row>
    <row r="503" spans="19:24" x14ac:dyDescent="0.25">
      <c r="S503" s="44">
        <f t="shared" si="43"/>
        <v>43553</v>
      </c>
      <c r="T503" s="12">
        <f t="shared" si="44"/>
        <v>6.4463301181475972</v>
      </c>
      <c r="U503" s="12">
        <f t="shared" si="40"/>
        <v>6.252657498285779</v>
      </c>
      <c r="V503" s="30">
        <f t="shared" si="41"/>
        <v>0.49034849315068496</v>
      </c>
      <c r="W503" s="46">
        <f t="shared" si="45"/>
        <v>-6.446330118147596E-2</v>
      </c>
      <c r="X503" s="33">
        <f t="shared" si="42"/>
        <v>2.8222239482345913E-2</v>
      </c>
    </row>
    <row r="504" spans="19:24" x14ac:dyDescent="0.25">
      <c r="S504" s="44">
        <f t="shared" si="43"/>
        <v>43554</v>
      </c>
      <c r="T504" s="12">
        <f t="shared" si="44"/>
        <v>6.4436530358460553</v>
      </c>
      <c r="U504" s="12">
        <f t="shared" si="40"/>
        <v>6.2500063215609902</v>
      </c>
      <c r="V504" s="30">
        <f t="shared" si="41"/>
        <v>0.49032109589041095</v>
      </c>
      <c r="W504" s="46">
        <f t="shared" si="45"/>
        <v>-6.4436530358460545E-2</v>
      </c>
      <c r="X504" s="33">
        <f t="shared" si="42"/>
        <v>2.8222197970072967E-2</v>
      </c>
    </row>
    <row r="505" spans="19:24" x14ac:dyDescent="0.25">
      <c r="S505" s="44">
        <f t="shared" si="43"/>
        <v>43555</v>
      </c>
      <c r="T505" s="12">
        <f t="shared" si="44"/>
        <v>6.4409759535445126</v>
      </c>
      <c r="U505" s="12">
        <f t="shared" si="40"/>
        <v>6.2473551448362015</v>
      </c>
      <c r="V505" s="30">
        <f t="shared" si="41"/>
        <v>0.490293698630137</v>
      </c>
      <c r="W505" s="46">
        <f t="shared" si="45"/>
        <v>-6.4409759535445116E-2</v>
      </c>
      <c r="X505" s="33">
        <f t="shared" si="42"/>
        <v>2.8222156457800025E-2</v>
      </c>
    </row>
    <row r="506" spans="19:24" x14ac:dyDescent="0.25">
      <c r="S506" s="44">
        <f t="shared" si="43"/>
        <v>43556</v>
      </c>
      <c r="T506" s="12">
        <f t="shared" si="44"/>
        <v>6.4382988712429752</v>
      </c>
      <c r="U506" s="12">
        <f t="shared" si="40"/>
        <v>6.2447039681114127</v>
      </c>
      <c r="V506" s="30">
        <f t="shared" si="41"/>
        <v>0.49026630136986304</v>
      </c>
      <c r="W506" s="46">
        <f t="shared" si="45"/>
        <v>-6.4382988712429742E-2</v>
      </c>
      <c r="X506" s="33">
        <f t="shared" si="42"/>
        <v>2.8222114945527076E-2</v>
      </c>
    </row>
    <row r="507" spans="19:24" x14ac:dyDescent="0.25">
      <c r="S507" s="44">
        <f t="shared" si="43"/>
        <v>43557</v>
      </c>
      <c r="T507" s="12">
        <f t="shared" si="44"/>
        <v>6.4356217889414333</v>
      </c>
      <c r="U507" s="12">
        <f t="shared" si="40"/>
        <v>6.2420527913866239</v>
      </c>
      <c r="V507" s="30">
        <f t="shared" si="41"/>
        <v>0.49023890410958904</v>
      </c>
      <c r="W507" s="46">
        <f t="shared" si="45"/>
        <v>-6.4356217889414327E-2</v>
      </c>
      <c r="X507" s="33">
        <f t="shared" si="42"/>
        <v>2.8222073433254134E-2</v>
      </c>
    </row>
    <row r="508" spans="19:24" x14ac:dyDescent="0.25">
      <c r="S508" s="44">
        <f t="shared" si="43"/>
        <v>43558</v>
      </c>
      <c r="T508" s="12">
        <f t="shared" si="44"/>
        <v>6.4329447066398906</v>
      </c>
      <c r="U508" s="12">
        <f t="shared" si="40"/>
        <v>6.2394016146618325</v>
      </c>
      <c r="V508" s="30">
        <f t="shared" si="41"/>
        <v>0.49021150684931508</v>
      </c>
      <c r="W508" s="46">
        <f t="shared" si="45"/>
        <v>-6.4329447066398898E-2</v>
      </c>
      <c r="X508" s="33">
        <f t="shared" si="42"/>
        <v>2.8222031920981189E-2</v>
      </c>
    </row>
    <row r="509" spans="19:24" x14ac:dyDescent="0.25">
      <c r="S509" s="44">
        <f t="shared" si="43"/>
        <v>43559</v>
      </c>
      <c r="T509" s="12">
        <f t="shared" si="44"/>
        <v>6.4302676243383488</v>
      </c>
      <c r="U509" s="12">
        <f t="shared" si="40"/>
        <v>6.2367504379370438</v>
      </c>
      <c r="V509" s="30">
        <f t="shared" si="41"/>
        <v>0.49018410958904107</v>
      </c>
      <c r="W509" s="46">
        <f t="shared" si="45"/>
        <v>-6.4302676243383483E-2</v>
      </c>
      <c r="X509" s="33">
        <f t="shared" si="42"/>
        <v>2.8221990408708247E-2</v>
      </c>
    </row>
    <row r="510" spans="19:24" x14ac:dyDescent="0.25">
      <c r="S510" s="44">
        <f t="shared" si="43"/>
        <v>43560</v>
      </c>
      <c r="T510" s="12">
        <f t="shared" si="44"/>
        <v>6.4275905420368078</v>
      </c>
      <c r="U510" s="12">
        <f t="shared" si="40"/>
        <v>6.2340992612122532</v>
      </c>
      <c r="V510" s="30">
        <f t="shared" si="41"/>
        <v>0.49015671232876712</v>
      </c>
      <c r="W510" s="46">
        <f t="shared" si="45"/>
        <v>-6.4275905420368068E-2</v>
      </c>
      <c r="X510" s="33">
        <f t="shared" si="42"/>
        <v>2.8221948896435305E-2</v>
      </c>
    </row>
    <row r="511" spans="19:24" x14ac:dyDescent="0.25">
      <c r="S511" s="44">
        <f t="shared" si="43"/>
        <v>43561</v>
      </c>
      <c r="T511" s="12">
        <f t="shared" si="44"/>
        <v>6.4249134597352677</v>
      </c>
      <c r="U511" s="12">
        <f t="shared" si="40"/>
        <v>6.2314480844874653</v>
      </c>
      <c r="V511" s="30">
        <f t="shared" si="41"/>
        <v>0.49012931506849317</v>
      </c>
      <c r="W511" s="46">
        <f t="shared" si="45"/>
        <v>-6.4249134597352667E-2</v>
      </c>
      <c r="X511" s="33">
        <f t="shared" si="42"/>
        <v>2.8221907384162363E-2</v>
      </c>
    </row>
    <row r="512" spans="19:24" x14ac:dyDescent="0.25">
      <c r="S512" s="44">
        <f t="shared" si="43"/>
        <v>43562</v>
      </c>
      <c r="T512" s="12">
        <f t="shared" si="44"/>
        <v>6.4222363774337259</v>
      </c>
      <c r="U512" s="12">
        <f t="shared" si="40"/>
        <v>6.2287969077626748</v>
      </c>
      <c r="V512" s="30">
        <f t="shared" si="41"/>
        <v>0.49010191780821921</v>
      </c>
      <c r="W512" s="46">
        <f t="shared" si="45"/>
        <v>-6.4222363774337252E-2</v>
      </c>
      <c r="X512" s="33">
        <f t="shared" si="42"/>
        <v>2.8221865871889414E-2</v>
      </c>
    </row>
    <row r="513" spans="19:24" x14ac:dyDescent="0.25">
      <c r="S513" s="44">
        <f t="shared" si="43"/>
        <v>43563</v>
      </c>
      <c r="T513" s="12">
        <f t="shared" si="44"/>
        <v>6.4195592951321832</v>
      </c>
      <c r="U513" s="12">
        <f t="shared" si="40"/>
        <v>6.2261457310378852</v>
      </c>
      <c r="V513" s="30">
        <f t="shared" si="41"/>
        <v>0.4900745205479452</v>
      </c>
      <c r="W513" s="46">
        <f t="shared" si="45"/>
        <v>-6.4195592951321823E-2</v>
      </c>
      <c r="X513" s="33">
        <f t="shared" si="42"/>
        <v>2.8221824359616472E-2</v>
      </c>
    </row>
    <row r="514" spans="19:24" x14ac:dyDescent="0.25">
      <c r="S514" s="44">
        <f t="shared" si="43"/>
        <v>43564</v>
      </c>
      <c r="T514" s="12">
        <f t="shared" si="44"/>
        <v>6.416882212830644</v>
      </c>
      <c r="U514" s="12">
        <f t="shared" si="40"/>
        <v>6.2234945543130955</v>
      </c>
      <c r="V514" s="30">
        <f t="shared" si="41"/>
        <v>0.49004712328767119</v>
      </c>
      <c r="W514" s="46">
        <f t="shared" si="45"/>
        <v>-6.4168822128306435E-2</v>
      </c>
      <c r="X514" s="33">
        <f t="shared" si="42"/>
        <v>2.8221782847343526E-2</v>
      </c>
    </row>
    <row r="515" spans="19:24" x14ac:dyDescent="0.25">
      <c r="S515" s="44">
        <f t="shared" si="43"/>
        <v>43565</v>
      </c>
      <c r="T515" s="12">
        <f t="shared" si="44"/>
        <v>6.414205130529103</v>
      </c>
      <c r="U515" s="12">
        <f t="shared" si="40"/>
        <v>6.2208433775883067</v>
      </c>
      <c r="V515" s="30">
        <f t="shared" si="41"/>
        <v>0.4900197260273973</v>
      </c>
      <c r="W515" s="46">
        <f t="shared" si="45"/>
        <v>-6.414205130529102E-2</v>
      </c>
      <c r="X515" s="33">
        <f t="shared" si="42"/>
        <v>2.8221741335070584E-2</v>
      </c>
    </row>
    <row r="516" spans="19:24" x14ac:dyDescent="0.25">
      <c r="S516" s="44">
        <f t="shared" si="43"/>
        <v>43566</v>
      </c>
      <c r="T516" s="12">
        <f t="shared" si="44"/>
        <v>6.4115280482275594</v>
      </c>
      <c r="U516" s="12">
        <f t="shared" si="40"/>
        <v>6.2181922008635189</v>
      </c>
      <c r="V516" s="30">
        <f t="shared" si="41"/>
        <v>0.48999232876712329</v>
      </c>
      <c r="W516" s="46">
        <f t="shared" si="45"/>
        <v>-6.4115280482275577E-2</v>
      </c>
      <c r="X516" s="33">
        <f t="shared" si="42"/>
        <v>2.8221699822797642E-2</v>
      </c>
    </row>
    <row r="517" spans="19:24" x14ac:dyDescent="0.25">
      <c r="S517" s="44">
        <f t="shared" si="43"/>
        <v>43567</v>
      </c>
      <c r="T517" s="12">
        <f t="shared" si="44"/>
        <v>6.4088509659260202</v>
      </c>
      <c r="U517" s="12">
        <f t="shared" ref="U517:U580" si="46">DurMod($S517,$B$2,$F$7:$G$37,U$3)</f>
        <v>6.215541024138731</v>
      </c>
      <c r="V517" s="30">
        <f t="shared" ref="V517:V580" si="47">+$U$3*($S$5512-S517)/365+$T$3*(S517-$S$4)/365</f>
        <v>0.48996493150684933</v>
      </c>
      <c r="W517" s="46">
        <f t="shared" si="45"/>
        <v>-6.408850965926019E-2</v>
      </c>
      <c r="X517" s="33">
        <f t="shared" ref="X517:X580" si="48">+(V517+W517)*365/($S$5512-$S$4)</f>
        <v>2.8221658310524693E-2</v>
      </c>
    </row>
    <row r="518" spans="19:24" x14ac:dyDescent="0.25">
      <c r="S518" s="44">
        <f t="shared" ref="S518:S581" si="49">+S517+1</f>
        <v>43568</v>
      </c>
      <c r="T518" s="12">
        <f t="shared" si="44"/>
        <v>6.4061738836244784</v>
      </c>
      <c r="U518" s="12">
        <f t="shared" si="46"/>
        <v>6.2128898474139405</v>
      </c>
      <c r="V518" s="30">
        <f t="shared" si="47"/>
        <v>0.48993753424657532</v>
      </c>
      <c r="W518" s="46">
        <f t="shared" si="45"/>
        <v>-6.4061738836244775E-2</v>
      </c>
      <c r="X518" s="33">
        <f t="shared" si="48"/>
        <v>2.8221616798251754E-2</v>
      </c>
    </row>
    <row r="519" spans="19:24" x14ac:dyDescent="0.25">
      <c r="S519" s="44">
        <f t="shared" si="49"/>
        <v>43569</v>
      </c>
      <c r="T519" s="12">
        <f t="shared" si="44"/>
        <v>6.4034968013229365</v>
      </c>
      <c r="U519" s="12">
        <f t="shared" si="46"/>
        <v>6.210238670689149</v>
      </c>
      <c r="V519" s="30">
        <f t="shared" si="47"/>
        <v>0.48991013698630137</v>
      </c>
      <c r="W519" s="46">
        <f t="shared" si="45"/>
        <v>-6.403496801322936E-2</v>
      </c>
      <c r="X519" s="33">
        <f t="shared" si="48"/>
        <v>2.8221575285978805E-2</v>
      </c>
    </row>
    <row r="520" spans="19:24" x14ac:dyDescent="0.25">
      <c r="S520" s="44">
        <f t="shared" si="49"/>
        <v>43570</v>
      </c>
      <c r="T520" s="12">
        <f t="shared" si="44"/>
        <v>6.4008197190213965</v>
      </c>
      <c r="U520" s="12">
        <f t="shared" si="46"/>
        <v>6.207587493964362</v>
      </c>
      <c r="V520" s="30">
        <f t="shared" si="47"/>
        <v>0.48988273972602742</v>
      </c>
      <c r="W520" s="46">
        <f t="shared" si="45"/>
        <v>-6.4008197190213958E-2</v>
      </c>
      <c r="X520" s="33">
        <f t="shared" si="48"/>
        <v>2.822153377370587E-2</v>
      </c>
    </row>
    <row r="521" spans="19:24" x14ac:dyDescent="0.25">
      <c r="S521" s="44">
        <f t="shared" si="49"/>
        <v>43571</v>
      </c>
      <c r="T521" s="12">
        <f t="shared" si="44"/>
        <v>6.3981426367198555</v>
      </c>
      <c r="U521" s="12">
        <f t="shared" si="46"/>
        <v>6.2049363172395715</v>
      </c>
      <c r="V521" s="30">
        <f t="shared" si="47"/>
        <v>0.48985534246575341</v>
      </c>
      <c r="W521" s="46">
        <f t="shared" si="45"/>
        <v>-6.3981426367198543E-2</v>
      </c>
      <c r="X521" s="33">
        <f t="shared" si="48"/>
        <v>2.8221492261432921E-2</v>
      </c>
    </row>
    <row r="522" spans="19:24" x14ac:dyDescent="0.25">
      <c r="S522" s="44">
        <f t="shared" si="49"/>
        <v>43572</v>
      </c>
      <c r="T522" s="12">
        <f t="shared" si="44"/>
        <v>6.3954655544183145</v>
      </c>
      <c r="U522" s="12">
        <f t="shared" si="46"/>
        <v>6.2022851405147819</v>
      </c>
      <c r="V522" s="30">
        <f t="shared" si="47"/>
        <v>0.48982794520547945</v>
      </c>
      <c r="W522" s="46">
        <f t="shared" si="45"/>
        <v>-6.3954655544183142E-2</v>
      </c>
      <c r="X522" s="33">
        <f t="shared" si="48"/>
        <v>2.8221450749159979E-2</v>
      </c>
    </row>
    <row r="523" spans="19:24" x14ac:dyDescent="0.25">
      <c r="S523" s="44">
        <f t="shared" si="49"/>
        <v>43573</v>
      </c>
      <c r="T523" s="12">
        <f t="shared" si="44"/>
        <v>6.3927884721167718</v>
      </c>
      <c r="U523" s="12">
        <f t="shared" si="46"/>
        <v>6.1996339637899922</v>
      </c>
      <c r="V523" s="30">
        <f t="shared" si="47"/>
        <v>0.48980054794520544</v>
      </c>
      <c r="W523" s="46">
        <f t="shared" si="45"/>
        <v>-6.3927884721167713E-2</v>
      </c>
      <c r="X523" s="33">
        <f t="shared" si="48"/>
        <v>2.8221409236887034E-2</v>
      </c>
    </row>
    <row r="524" spans="19:24" x14ac:dyDescent="0.25">
      <c r="S524" s="44">
        <f t="shared" si="49"/>
        <v>43574</v>
      </c>
      <c r="T524" s="12">
        <f t="shared" si="44"/>
        <v>6.3901113898152309</v>
      </c>
      <c r="U524" s="12">
        <f t="shared" si="46"/>
        <v>6.1969827870652034</v>
      </c>
      <c r="V524" s="30">
        <f t="shared" si="47"/>
        <v>0.48977315068493155</v>
      </c>
      <c r="W524" s="46">
        <f t="shared" si="45"/>
        <v>-6.3901113898152298E-2</v>
      </c>
      <c r="X524" s="33">
        <f t="shared" si="48"/>
        <v>2.8221367724614095E-2</v>
      </c>
    </row>
    <row r="525" spans="19:24" x14ac:dyDescent="0.25">
      <c r="S525" s="44">
        <f t="shared" si="49"/>
        <v>43575</v>
      </c>
      <c r="T525" s="12">
        <f t="shared" si="44"/>
        <v>6.3874343075136908</v>
      </c>
      <c r="U525" s="12">
        <f t="shared" si="46"/>
        <v>6.1943316103404129</v>
      </c>
      <c r="V525" s="30">
        <f t="shared" si="47"/>
        <v>0.48974575342465754</v>
      </c>
      <c r="W525" s="46">
        <f t="shared" si="45"/>
        <v>-6.3874343075136897E-2</v>
      </c>
      <c r="X525" s="33">
        <f t="shared" si="48"/>
        <v>2.822132621234115E-2</v>
      </c>
    </row>
    <row r="526" spans="19:24" x14ac:dyDescent="0.25">
      <c r="S526" s="44">
        <f t="shared" si="49"/>
        <v>43576</v>
      </c>
      <c r="T526" s="12">
        <f t="shared" si="44"/>
        <v>6.3847572252121481</v>
      </c>
      <c r="U526" s="12">
        <f t="shared" si="46"/>
        <v>6.1916804336156259</v>
      </c>
      <c r="V526" s="30">
        <f t="shared" si="47"/>
        <v>0.48971835616438353</v>
      </c>
      <c r="W526" s="46">
        <f t="shared" si="45"/>
        <v>-6.3847572252121468E-2</v>
      </c>
      <c r="X526" s="33">
        <f t="shared" si="48"/>
        <v>2.8221284700068201E-2</v>
      </c>
    </row>
    <row r="527" spans="19:24" x14ac:dyDescent="0.25">
      <c r="S527" s="44">
        <f t="shared" si="49"/>
        <v>43577</v>
      </c>
      <c r="T527" s="12">
        <f t="shared" si="44"/>
        <v>6.3820801429106062</v>
      </c>
      <c r="U527" s="12">
        <f t="shared" si="46"/>
        <v>6.1890292568908372</v>
      </c>
      <c r="V527" s="30">
        <f t="shared" si="47"/>
        <v>0.48969095890410957</v>
      </c>
      <c r="W527" s="46">
        <f t="shared" si="45"/>
        <v>-6.3820801429106053E-2</v>
      </c>
      <c r="X527" s="33">
        <f t="shared" si="48"/>
        <v>2.8221243187795259E-2</v>
      </c>
    </row>
    <row r="528" spans="19:24" x14ac:dyDescent="0.25">
      <c r="S528" s="44">
        <f t="shared" si="49"/>
        <v>43578</v>
      </c>
      <c r="T528" s="12">
        <f t="shared" si="44"/>
        <v>6.3794030606090661</v>
      </c>
      <c r="U528" s="12">
        <f t="shared" si="46"/>
        <v>6.1863780801660466</v>
      </c>
      <c r="V528" s="30">
        <f t="shared" si="47"/>
        <v>0.48966356164383557</v>
      </c>
      <c r="W528" s="46">
        <f t="shared" si="45"/>
        <v>-6.3794030606090651E-2</v>
      </c>
      <c r="X528" s="33">
        <f t="shared" si="48"/>
        <v>2.8221201675522313E-2</v>
      </c>
    </row>
    <row r="529" spans="19:24" x14ac:dyDescent="0.25">
      <c r="S529" s="44">
        <f t="shared" si="49"/>
        <v>43579</v>
      </c>
      <c r="T529" s="12">
        <f t="shared" si="44"/>
        <v>6.376725978307527</v>
      </c>
      <c r="U529" s="12">
        <f t="shared" si="46"/>
        <v>6.1837269034412561</v>
      </c>
      <c r="V529" s="30">
        <f t="shared" si="47"/>
        <v>0.48963616438356167</v>
      </c>
      <c r="W529" s="46">
        <f t="shared" si="45"/>
        <v>-6.3767259783075264E-2</v>
      </c>
      <c r="X529" s="33">
        <f t="shared" si="48"/>
        <v>2.8221160163249374E-2</v>
      </c>
    </row>
    <row r="530" spans="19:24" x14ac:dyDescent="0.25">
      <c r="S530" s="44">
        <f t="shared" si="49"/>
        <v>43580</v>
      </c>
      <c r="T530" s="12">
        <f t="shared" si="44"/>
        <v>6.3740488960059842</v>
      </c>
      <c r="U530" s="12">
        <f t="shared" si="46"/>
        <v>6.1810757267164691</v>
      </c>
      <c r="V530" s="30">
        <f t="shared" si="47"/>
        <v>0.48960876712328766</v>
      </c>
      <c r="W530" s="46">
        <f t="shared" si="45"/>
        <v>-6.3740488960059835E-2</v>
      </c>
      <c r="X530" s="33">
        <f t="shared" si="48"/>
        <v>2.8221118650976422E-2</v>
      </c>
    </row>
    <row r="531" spans="19:24" x14ac:dyDescent="0.25">
      <c r="S531" s="44">
        <f t="shared" si="49"/>
        <v>43581</v>
      </c>
      <c r="T531" s="12">
        <f t="shared" si="44"/>
        <v>6.3713718137044442</v>
      </c>
      <c r="U531" s="12">
        <f t="shared" si="46"/>
        <v>6.1784245499916777</v>
      </c>
      <c r="V531" s="30">
        <f t="shared" si="47"/>
        <v>0.4895813698630137</v>
      </c>
      <c r="W531" s="46">
        <f t="shared" si="45"/>
        <v>-6.3713718137044434E-2</v>
      </c>
      <c r="X531" s="33">
        <f t="shared" si="48"/>
        <v>2.8221077138703487E-2</v>
      </c>
    </row>
    <row r="532" spans="19:24" x14ac:dyDescent="0.25">
      <c r="S532" s="44">
        <f t="shared" si="49"/>
        <v>43582</v>
      </c>
      <c r="T532" s="12">
        <f t="shared" si="44"/>
        <v>6.3686947314029005</v>
      </c>
      <c r="U532" s="12">
        <f t="shared" si="46"/>
        <v>6.175773373266888</v>
      </c>
      <c r="V532" s="30">
        <f t="shared" si="47"/>
        <v>0.4895539726027397</v>
      </c>
      <c r="W532" s="46">
        <f t="shared" si="45"/>
        <v>-6.3686947314028991E-2</v>
      </c>
      <c r="X532" s="33">
        <f t="shared" si="48"/>
        <v>2.8221035626430538E-2</v>
      </c>
    </row>
    <row r="533" spans="19:24" x14ac:dyDescent="0.25">
      <c r="S533" s="44">
        <f t="shared" si="49"/>
        <v>43583</v>
      </c>
      <c r="T533" s="12">
        <f t="shared" si="44"/>
        <v>6.3660176491013596</v>
      </c>
      <c r="U533" s="12">
        <f t="shared" si="46"/>
        <v>6.1731221965421019</v>
      </c>
      <c r="V533" s="30">
        <f t="shared" si="47"/>
        <v>0.48952657534246574</v>
      </c>
      <c r="W533" s="46">
        <f t="shared" si="45"/>
        <v>-6.366017649101359E-2</v>
      </c>
      <c r="X533" s="33">
        <f t="shared" si="48"/>
        <v>2.8220994114157596E-2</v>
      </c>
    </row>
    <row r="534" spans="19:24" x14ac:dyDescent="0.25">
      <c r="S534" s="44">
        <f t="shared" si="49"/>
        <v>43584</v>
      </c>
      <c r="T534" s="12">
        <f t="shared" si="44"/>
        <v>6.3633405667998195</v>
      </c>
      <c r="U534" s="12">
        <f t="shared" si="46"/>
        <v>6.1704710198173096</v>
      </c>
      <c r="V534" s="30">
        <f t="shared" si="47"/>
        <v>0.48949917808219179</v>
      </c>
      <c r="W534" s="46">
        <f t="shared" si="45"/>
        <v>-6.3633405667998189E-2</v>
      </c>
      <c r="X534" s="33">
        <f t="shared" si="48"/>
        <v>2.822095260188465E-2</v>
      </c>
    </row>
    <row r="535" spans="19:24" x14ac:dyDescent="0.25">
      <c r="S535" s="44">
        <f t="shared" si="49"/>
        <v>43585</v>
      </c>
      <c r="T535" s="12">
        <f t="shared" si="44"/>
        <v>6.3606634844982786</v>
      </c>
      <c r="U535" s="12">
        <f t="shared" si="46"/>
        <v>6.1678198430925244</v>
      </c>
      <c r="V535" s="30">
        <f t="shared" si="47"/>
        <v>0.48947178082191778</v>
      </c>
      <c r="W535" s="46">
        <f t="shared" si="45"/>
        <v>-6.3606634844982773E-2</v>
      </c>
      <c r="X535" s="33">
        <f t="shared" si="48"/>
        <v>2.8220911089611708E-2</v>
      </c>
    </row>
    <row r="536" spans="19:24" x14ac:dyDescent="0.25">
      <c r="S536" s="44">
        <f t="shared" si="49"/>
        <v>43586</v>
      </c>
      <c r="T536" s="12">
        <f t="shared" si="44"/>
        <v>6.3579864021967376</v>
      </c>
      <c r="U536" s="12">
        <f t="shared" si="46"/>
        <v>6.1651686663677339</v>
      </c>
      <c r="V536" s="30">
        <f t="shared" si="47"/>
        <v>0.48944438356164383</v>
      </c>
      <c r="W536" s="46">
        <f t="shared" si="45"/>
        <v>-6.3579864021967372E-2</v>
      </c>
      <c r="X536" s="33">
        <f t="shared" si="48"/>
        <v>2.8220869577338766E-2</v>
      </c>
    </row>
    <row r="537" spans="19:24" x14ac:dyDescent="0.25">
      <c r="S537" s="44">
        <f t="shared" si="49"/>
        <v>43587</v>
      </c>
      <c r="T537" s="12">
        <f t="shared" si="44"/>
        <v>6.3553093198951967</v>
      </c>
      <c r="U537" s="12">
        <f t="shared" si="46"/>
        <v>6.1625174896429442</v>
      </c>
      <c r="V537" s="30">
        <f t="shared" si="47"/>
        <v>0.48941698630136982</v>
      </c>
      <c r="W537" s="46">
        <f t="shared" si="45"/>
        <v>-6.3553093198951957E-2</v>
      </c>
      <c r="X537" s="33">
        <f t="shared" si="48"/>
        <v>2.8220828065065814E-2</v>
      </c>
    </row>
    <row r="538" spans="19:24" x14ac:dyDescent="0.25">
      <c r="S538" s="44">
        <f t="shared" si="49"/>
        <v>43588</v>
      </c>
      <c r="T538" s="12">
        <f t="shared" si="44"/>
        <v>6.3526322375936557</v>
      </c>
      <c r="U538" s="12">
        <f t="shared" si="46"/>
        <v>6.1598663129181572</v>
      </c>
      <c r="V538" s="30">
        <f t="shared" si="47"/>
        <v>0.48938958904109586</v>
      </c>
      <c r="W538" s="46">
        <f t="shared" si="45"/>
        <v>-6.3526322375936542E-2</v>
      </c>
      <c r="X538" s="33">
        <f t="shared" si="48"/>
        <v>2.8220786552792879E-2</v>
      </c>
    </row>
    <row r="539" spans="19:24" x14ac:dyDescent="0.25">
      <c r="S539" s="44">
        <f t="shared" si="49"/>
        <v>43589</v>
      </c>
      <c r="T539" s="12">
        <f t="shared" si="44"/>
        <v>6.3499551552921147</v>
      </c>
      <c r="U539" s="12">
        <f t="shared" si="46"/>
        <v>6.1572151361933649</v>
      </c>
      <c r="V539" s="30">
        <f t="shared" si="47"/>
        <v>0.48936219178082191</v>
      </c>
      <c r="W539" s="46">
        <f t="shared" si="45"/>
        <v>-6.3499551552921141E-2</v>
      </c>
      <c r="X539" s="33">
        <f t="shared" si="48"/>
        <v>2.822074504051993E-2</v>
      </c>
    </row>
    <row r="540" spans="19:24" x14ac:dyDescent="0.25">
      <c r="S540" s="44">
        <f t="shared" si="49"/>
        <v>43590</v>
      </c>
      <c r="T540" s="12">
        <f t="shared" si="44"/>
        <v>6.347278072990572</v>
      </c>
      <c r="U540" s="12">
        <f t="shared" si="46"/>
        <v>6.1545639594685762</v>
      </c>
      <c r="V540" s="30">
        <f t="shared" si="47"/>
        <v>0.4893347945205479</v>
      </c>
      <c r="W540" s="46">
        <f t="shared" si="45"/>
        <v>-6.3472780729905712E-2</v>
      </c>
      <c r="X540" s="33">
        <f t="shared" si="48"/>
        <v>2.8220703528246988E-2</v>
      </c>
    </row>
    <row r="541" spans="19:24" x14ac:dyDescent="0.25">
      <c r="S541" s="44">
        <f t="shared" si="49"/>
        <v>43591</v>
      </c>
      <c r="T541" s="12">
        <f t="shared" si="44"/>
        <v>6.3446009906890328</v>
      </c>
      <c r="U541" s="12">
        <f t="shared" si="46"/>
        <v>6.1519127827437874</v>
      </c>
      <c r="V541" s="30">
        <f t="shared" si="47"/>
        <v>0.48930739726027395</v>
      </c>
      <c r="W541" s="46">
        <f t="shared" si="45"/>
        <v>-6.3446009906890324E-2</v>
      </c>
      <c r="X541" s="33">
        <f t="shared" si="48"/>
        <v>2.8220662015974042E-2</v>
      </c>
    </row>
    <row r="542" spans="19:24" x14ac:dyDescent="0.25">
      <c r="S542" s="44">
        <f t="shared" si="49"/>
        <v>43592</v>
      </c>
      <c r="T542" s="12">
        <f t="shared" si="44"/>
        <v>6.341923908387491</v>
      </c>
      <c r="U542" s="12">
        <f t="shared" si="46"/>
        <v>6.149261606018996</v>
      </c>
      <c r="V542" s="30">
        <f t="shared" si="47"/>
        <v>0.48927999999999999</v>
      </c>
      <c r="W542" s="46">
        <f t="shared" si="45"/>
        <v>-6.3419239083874895E-2</v>
      </c>
      <c r="X542" s="33">
        <f t="shared" si="48"/>
        <v>2.8220620503701103E-2</v>
      </c>
    </row>
    <row r="543" spans="19:24" x14ac:dyDescent="0.25">
      <c r="S543" s="44">
        <f t="shared" si="49"/>
        <v>43593</v>
      </c>
      <c r="T543" s="12">
        <f t="shared" si="44"/>
        <v>6.3392468260859465</v>
      </c>
      <c r="U543" s="12">
        <f t="shared" si="46"/>
        <v>6.1466104292942072</v>
      </c>
      <c r="V543" s="30">
        <f t="shared" si="47"/>
        <v>0.48925260273972604</v>
      </c>
      <c r="W543" s="46">
        <f t="shared" si="45"/>
        <v>-6.3392468260859453E-2</v>
      </c>
      <c r="X543" s="33">
        <f t="shared" si="48"/>
        <v>2.8220578991428161E-2</v>
      </c>
    </row>
    <row r="544" spans="19:24" x14ac:dyDescent="0.25">
      <c r="S544" s="44">
        <f t="shared" si="49"/>
        <v>43594</v>
      </c>
      <c r="T544" s="12">
        <f t="shared" si="44"/>
        <v>6.3365697437844073</v>
      </c>
      <c r="U544" s="12">
        <f t="shared" si="46"/>
        <v>6.1439592525694167</v>
      </c>
      <c r="V544" s="30">
        <f t="shared" si="47"/>
        <v>0.48922520547945203</v>
      </c>
      <c r="W544" s="46">
        <f t="shared" si="45"/>
        <v>-6.3365697437844065E-2</v>
      </c>
      <c r="X544" s="33">
        <f t="shared" si="48"/>
        <v>2.8220537479155216E-2</v>
      </c>
    </row>
    <row r="545" spans="19:24" x14ac:dyDescent="0.25">
      <c r="S545" s="44">
        <f t="shared" si="49"/>
        <v>43595</v>
      </c>
      <c r="T545" s="12">
        <f t="shared" si="44"/>
        <v>6.3338926614828663</v>
      </c>
      <c r="U545" s="12">
        <f t="shared" si="46"/>
        <v>6.1413080758446306</v>
      </c>
      <c r="V545" s="30">
        <f t="shared" si="47"/>
        <v>0.48919780821917802</v>
      </c>
      <c r="W545" s="46">
        <f t="shared" si="45"/>
        <v>-6.333892661482865E-2</v>
      </c>
      <c r="X545" s="33">
        <f t="shared" si="48"/>
        <v>2.8220495966882267E-2</v>
      </c>
    </row>
    <row r="546" spans="19:24" x14ac:dyDescent="0.25">
      <c r="S546" s="44">
        <f t="shared" si="49"/>
        <v>43596</v>
      </c>
      <c r="T546" s="12">
        <f t="shared" si="44"/>
        <v>6.3312155791813254</v>
      </c>
      <c r="U546" s="12">
        <f t="shared" si="46"/>
        <v>6.1386568991198391</v>
      </c>
      <c r="V546" s="30">
        <f t="shared" si="47"/>
        <v>0.48917041095890407</v>
      </c>
      <c r="W546" s="46">
        <f t="shared" si="45"/>
        <v>-6.3312155791813249E-2</v>
      </c>
      <c r="X546" s="33">
        <f t="shared" si="48"/>
        <v>2.8220454454609321E-2</v>
      </c>
    </row>
    <row r="547" spans="19:24" x14ac:dyDescent="0.25">
      <c r="S547" s="44">
        <f t="shared" si="49"/>
        <v>43597</v>
      </c>
      <c r="T547" s="12">
        <f t="shared" si="44"/>
        <v>6.3285384968797835</v>
      </c>
      <c r="U547" s="12">
        <f t="shared" si="46"/>
        <v>6.1360057223950486</v>
      </c>
      <c r="V547" s="30">
        <f t="shared" si="47"/>
        <v>0.48914301369863011</v>
      </c>
      <c r="W547" s="46">
        <f t="shared" si="45"/>
        <v>-6.328538496879782E-2</v>
      </c>
      <c r="X547" s="33">
        <f t="shared" si="48"/>
        <v>2.8220412942336383E-2</v>
      </c>
    </row>
    <row r="548" spans="19:24" x14ac:dyDescent="0.25">
      <c r="S548" s="44">
        <f t="shared" si="49"/>
        <v>43598</v>
      </c>
      <c r="T548" s="12">
        <f t="shared" si="44"/>
        <v>6.3258614145782435</v>
      </c>
      <c r="U548" s="12">
        <f t="shared" si="46"/>
        <v>6.1333545456702643</v>
      </c>
      <c r="V548" s="30">
        <f t="shared" si="47"/>
        <v>0.48911561643835616</v>
      </c>
      <c r="W548" s="46">
        <f t="shared" si="45"/>
        <v>-6.3258614145782419E-2</v>
      </c>
      <c r="X548" s="33">
        <f t="shared" si="48"/>
        <v>2.8220371430063437E-2</v>
      </c>
    </row>
    <row r="549" spans="19:24" x14ac:dyDescent="0.25">
      <c r="S549" s="44">
        <f t="shared" si="49"/>
        <v>43599</v>
      </c>
      <c r="T549" s="12">
        <f t="shared" si="44"/>
        <v>6.3231843322766981</v>
      </c>
      <c r="U549" s="12">
        <f t="shared" si="46"/>
        <v>6.1307033689454729</v>
      </c>
      <c r="V549" s="30">
        <f t="shared" si="47"/>
        <v>0.48908821917808215</v>
      </c>
      <c r="W549" s="46">
        <f t="shared" si="45"/>
        <v>-6.3231843322766976E-2</v>
      </c>
      <c r="X549" s="33">
        <f t="shared" si="48"/>
        <v>2.8220329917790495E-2</v>
      </c>
    </row>
    <row r="550" spans="19:24" x14ac:dyDescent="0.25">
      <c r="S550" s="44">
        <f t="shared" si="49"/>
        <v>43600</v>
      </c>
      <c r="T550" s="12">
        <f t="shared" si="44"/>
        <v>6.3205072499751607</v>
      </c>
      <c r="U550" s="12">
        <f t="shared" si="46"/>
        <v>6.1280521922206823</v>
      </c>
      <c r="V550" s="30">
        <f t="shared" si="47"/>
        <v>0.4890608219178082</v>
      </c>
      <c r="W550" s="46">
        <f t="shared" si="45"/>
        <v>-6.3205072499751602E-2</v>
      </c>
      <c r="X550" s="33">
        <f t="shared" si="48"/>
        <v>2.8220288405517546E-2</v>
      </c>
    </row>
    <row r="551" spans="19:24" x14ac:dyDescent="0.25">
      <c r="S551" s="44">
        <f t="shared" si="49"/>
        <v>43601</v>
      </c>
      <c r="T551" s="12">
        <f t="shared" si="44"/>
        <v>6.3178301676736197</v>
      </c>
      <c r="U551" s="12">
        <f t="shared" si="46"/>
        <v>6.1254010154958944</v>
      </c>
      <c r="V551" s="30">
        <f t="shared" si="47"/>
        <v>0.48903342465753424</v>
      </c>
      <c r="W551" s="46">
        <f t="shared" si="45"/>
        <v>-6.3178301676736187E-2</v>
      </c>
      <c r="X551" s="33">
        <f t="shared" si="48"/>
        <v>2.8220246893244604E-2</v>
      </c>
    </row>
    <row r="552" spans="19:24" x14ac:dyDescent="0.25">
      <c r="S552" s="44">
        <f t="shared" si="49"/>
        <v>43602</v>
      </c>
      <c r="T552" s="12">
        <f t="shared" si="44"/>
        <v>6.3151530853720779</v>
      </c>
      <c r="U552" s="12">
        <f t="shared" si="46"/>
        <v>6.122749838771103</v>
      </c>
      <c r="V552" s="30">
        <f t="shared" si="47"/>
        <v>0.48900602739726023</v>
      </c>
      <c r="W552" s="46">
        <f t="shared" si="45"/>
        <v>-6.3151530853720772E-2</v>
      </c>
      <c r="X552" s="33">
        <f t="shared" si="48"/>
        <v>2.8220205380971659E-2</v>
      </c>
    </row>
    <row r="553" spans="19:24" x14ac:dyDescent="0.25">
      <c r="S553" s="44">
        <f t="shared" si="49"/>
        <v>43603</v>
      </c>
      <c r="T553" s="12">
        <f t="shared" si="44"/>
        <v>6.3124760030705369</v>
      </c>
      <c r="U553" s="12">
        <f t="shared" si="46"/>
        <v>6.1200986620463134</v>
      </c>
      <c r="V553" s="30">
        <f t="shared" si="47"/>
        <v>0.48897863013698628</v>
      </c>
      <c r="W553" s="46">
        <f t="shared" si="45"/>
        <v>-6.3124760030705357E-2</v>
      </c>
      <c r="X553" s="33">
        <f t="shared" si="48"/>
        <v>2.822016386869872E-2</v>
      </c>
    </row>
    <row r="554" spans="19:24" x14ac:dyDescent="0.25">
      <c r="S554" s="44">
        <f t="shared" si="49"/>
        <v>43604</v>
      </c>
      <c r="T554" s="12">
        <f t="shared" si="44"/>
        <v>6.3097989207689951</v>
      </c>
      <c r="U554" s="12">
        <f t="shared" si="46"/>
        <v>6.1174474853215246</v>
      </c>
      <c r="V554" s="30">
        <f t="shared" si="47"/>
        <v>0.48895123287671227</v>
      </c>
      <c r="W554" s="46">
        <f t="shared" si="45"/>
        <v>-6.3097989207689942E-2</v>
      </c>
      <c r="X554" s="33">
        <f t="shared" si="48"/>
        <v>2.8220122356425768E-2</v>
      </c>
    </row>
    <row r="555" spans="19:24" x14ac:dyDescent="0.25">
      <c r="S555" s="44">
        <f t="shared" si="49"/>
        <v>43605</v>
      </c>
      <c r="T555" s="12">
        <f t="shared" si="44"/>
        <v>6.3071218384674541</v>
      </c>
      <c r="U555" s="12">
        <f t="shared" si="46"/>
        <v>6.1147963085967358</v>
      </c>
      <c r="V555" s="30">
        <f t="shared" si="47"/>
        <v>0.48892383561643832</v>
      </c>
      <c r="W555" s="46">
        <f t="shared" si="45"/>
        <v>-6.3071218384674527E-2</v>
      </c>
      <c r="X555" s="33">
        <f t="shared" si="48"/>
        <v>2.8220080844152833E-2</v>
      </c>
    </row>
    <row r="556" spans="19:24" x14ac:dyDescent="0.25">
      <c r="S556" s="44">
        <f t="shared" si="49"/>
        <v>43606</v>
      </c>
      <c r="T556" s="12">
        <f t="shared" si="44"/>
        <v>6.304444756165914</v>
      </c>
      <c r="U556" s="12">
        <f t="shared" si="46"/>
        <v>6.1121451318719471</v>
      </c>
      <c r="V556" s="30">
        <f t="shared" si="47"/>
        <v>0.48889643835616436</v>
      </c>
      <c r="W556" s="46">
        <f t="shared" si="45"/>
        <v>-6.3044447561659125E-2</v>
      </c>
      <c r="X556" s="33">
        <f t="shared" si="48"/>
        <v>2.8220039331879884E-2</v>
      </c>
    </row>
    <row r="557" spans="19:24" x14ac:dyDescent="0.25">
      <c r="S557" s="44">
        <f t="shared" si="49"/>
        <v>43607</v>
      </c>
      <c r="T557" s="12">
        <f t="shared" si="44"/>
        <v>6.3017676738643722</v>
      </c>
      <c r="U557" s="12">
        <f t="shared" si="46"/>
        <v>6.1094939551471574</v>
      </c>
      <c r="V557" s="30">
        <f t="shared" si="47"/>
        <v>0.48886904109589036</v>
      </c>
      <c r="W557" s="46">
        <f t="shared" si="45"/>
        <v>-6.301767673864371E-2</v>
      </c>
      <c r="X557" s="33">
        <f t="shared" si="48"/>
        <v>2.8219997819606938E-2</v>
      </c>
    </row>
    <row r="558" spans="19:24" x14ac:dyDescent="0.25">
      <c r="S558" s="44">
        <f t="shared" si="49"/>
        <v>43608</v>
      </c>
      <c r="T558" s="12">
        <f t="shared" si="44"/>
        <v>6.2990905915628348</v>
      </c>
      <c r="U558" s="12">
        <f t="shared" si="46"/>
        <v>6.1068427784223687</v>
      </c>
      <c r="V558" s="30">
        <f t="shared" si="47"/>
        <v>0.4888416438356164</v>
      </c>
      <c r="W558" s="46">
        <f t="shared" si="45"/>
        <v>-6.2990905915628337E-2</v>
      </c>
      <c r="X558" s="33">
        <f t="shared" si="48"/>
        <v>2.8219956307333996E-2</v>
      </c>
    </row>
    <row r="559" spans="19:24" x14ac:dyDescent="0.25">
      <c r="S559" s="44">
        <f t="shared" si="49"/>
        <v>43609</v>
      </c>
      <c r="T559" s="12">
        <f t="shared" si="44"/>
        <v>6.2964135092612903</v>
      </c>
      <c r="U559" s="12">
        <f t="shared" si="46"/>
        <v>6.104191601697579</v>
      </c>
      <c r="V559" s="30">
        <f t="shared" si="47"/>
        <v>0.48881424657534239</v>
      </c>
      <c r="W559" s="46">
        <f t="shared" si="45"/>
        <v>-6.2964135092612894E-2</v>
      </c>
      <c r="X559" s="33">
        <f t="shared" si="48"/>
        <v>2.821991479506105E-2</v>
      </c>
    </row>
    <row r="560" spans="19:24" x14ac:dyDescent="0.25">
      <c r="S560" s="44">
        <f t="shared" si="49"/>
        <v>43610</v>
      </c>
      <c r="T560" s="12">
        <f t="shared" si="44"/>
        <v>6.2937364269597476</v>
      </c>
      <c r="U560" s="12">
        <f t="shared" si="46"/>
        <v>6.1015404249727903</v>
      </c>
      <c r="V560" s="30">
        <f t="shared" si="47"/>
        <v>0.48878684931506849</v>
      </c>
      <c r="W560" s="46">
        <f t="shared" si="45"/>
        <v>-6.2937364269597465E-2</v>
      </c>
      <c r="X560" s="33">
        <f t="shared" si="48"/>
        <v>2.8219873282788112E-2</v>
      </c>
    </row>
    <row r="561" spans="19:24" x14ac:dyDescent="0.25">
      <c r="S561" s="44">
        <f t="shared" si="49"/>
        <v>43611</v>
      </c>
      <c r="T561" s="12">
        <f t="shared" si="44"/>
        <v>6.2910593446582075</v>
      </c>
      <c r="U561" s="12">
        <f t="shared" si="46"/>
        <v>6.0988892482480015</v>
      </c>
      <c r="V561" s="30">
        <f t="shared" si="47"/>
        <v>0.48875945205479449</v>
      </c>
      <c r="W561" s="46">
        <f t="shared" si="45"/>
        <v>-6.2910593446582064E-2</v>
      </c>
      <c r="X561" s="33">
        <f t="shared" si="48"/>
        <v>2.8219831770515166E-2</v>
      </c>
    </row>
    <row r="562" spans="19:24" x14ac:dyDescent="0.25">
      <c r="S562" s="44">
        <f t="shared" si="49"/>
        <v>43612</v>
      </c>
      <c r="T562" s="12">
        <f t="shared" ref="T562:T625" si="50">DurMod(S562,B$2,$F$7:$G$37,$T$3)</f>
        <v>6.2883822623566665</v>
      </c>
      <c r="U562" s="12">
        <f t="shared" si="46"/>
        <v>6.0962380715232136</v>
      </c>
      <c r="V562" s="30">
        <f t="shared" si="47"/>
        <v>0.48873205479452053</v>
      </c>
      <c r="W562" s="46">
        <f t="shared" ref="W562:W625" si="51">+-T562*($U$3-$T$3)</f>
        <v>-6.2883822623566663E-2</v>
      </c>
      <c r="X562" s="33">
        <f t="shared" si="48"/>
        <v>2.8219790258242224E-2</v>
      </c>
    </row>
    <row r="563" spans="19:24" x14ac:dyDescent="0.25">
      <c r="S563" s="44">
        <f t="shared" si="49"/>
        <v>43613</v>
      </c>
      <c r="T563" s="12">
        <f t="shared" si="50"/>
        <v>6.2857051800551256</v>
      </c>
      <c r="U563" s="12">
        <f t="shared" si="46"/>
        <v>6.0935868947984213</v>
      </c>
      <c r="V563" s="30">
        <f t="shared" si="47"/>
        <v>0.48870465753424652</v>
      </c>
      <c r="W563" s="46">
        <f t="shared" si="51"/>
        <v>-6.2857051800551247E-2</v>
      </c>
      <c r="X563" s="33">
        <f t="shared" si="48"/>
        <v>2.8219748745969275E-2</v>
      </c>
    </row>
    <row r="564" spans="19:24" x14ac:dyDescent="0.25">
      <c r="S564" s="44">
        <f t="shared" si="49"/>
        <v>43614</v>
      </c>
      <c r="T564" s="12">
        <f t="shared" si="50"/>
        <v>6.283028097753582</v>
      </c>
      <c r="U564" s="12">
        <f t="shared" si="46"/>
        <v>6.0909357180736325</v>
      </c>
      <c r="V564" s="30">
        <f t="shared" si="47"/>
        <v>0.48867726027397251</v>
      </c>
      <c r="W564" s="46">
        <f t="shared" si="51"/>
        <v>-6.2830280977535805E-2</v>
      </c>
      <c r="X564" s="33">
        <f t="shared" si="48"/>
        <v>2.8219707233696333E-2</v>
      </c>
    </row>
    <row r="565" spans="19:24" x14ac:dyDescent="0.25">
      <c r="S565" s="44">
        <f t="shared" si="49"/>
        <v>43615</v>
      </c>
      <c r="T565" s="12">
        <f t="shared" si="50"/>
        <v>6.2803510154520428</v>
      </c>
      <c r="U565" s="12">
        <f t="shared" si="46"/>
        <v>6.0882845413488429</v>
      </c>
      <c r="V565" s="30">
        <f t="shared" si="47"/>
        <v>0.48864986301369862</v>
      </c>
      <c r="W565" s="46">
        <f t="shared" si="51"/>
        <v>-6.2803510154520417E-2</v>
      </c>
      <c r="X565" s="33">
        <f t="shared" si="48"/>
        <v>2.8219665721423391E-2</v>
      </c>
    </row>
    <row r="566" spans="19:24" x14ac:dyDescent="0.25">
      <c r="S566" s="44">
        <f t="shared" si="49"/>
        <v>43616</v>
      </c>
      <c r="T566" s="12">
        <f t="shared" si="50"/>
        <v>6.2776739331505009</v>
      </c>
      <c r="U566" s="12">
        <f t="shared" si="46"/>
        <v>6.0856333646240532</v>
      </c>
      <c r="V566" s="30">
        <f t="shared" si="47"/>
        <v>0.48862246575342461</v>
      </c>
      <c r="W566" s="46">
        <f t="shared" si="51"/>
        <v>-6.2776739331505002E-2</v>
      </c>
      <c r="X566" s="33">
        <f t="shared" si="48"/>
        <v>2.8219624209150446E-2</v>
      </c>
    </row>
    <row r="567" spans="19:24" x14ac:dyDescent="0.25">
      <c r="S567" s="44">
        <f t="shared" si="49"/>
        <v>43617</v>
      </c>
      <c r="T567" s="12">
        <f t="shared" si="50"/>
        <v>6.2749968508489617</v>
      </c>
      <c r="U567" s="12">
        <f t="shared" si="46"/>
        <v>6.0829821878992654</v>
      </c>
      <c r="V567" s="30">
        <f t="shared" si="47"/>
        <v>0.48859506849315065</v>
      </c>
      <c r="W567" s="46">
        <f t="shared" si="51"/>
        <v>-6.2749968508489615E-2</v>
      </c>
      <c r="X567" s="33">
        <f t="shared" si="48"/>
        <v>2.8219582696877504E-2</v>
      </c>
    </row>
    <row r="568" spans="19:24" x14ac:dyDescent="0.25">
      <c r="S568" s="44">
        <f t="shared" si="49"/>
        <v>43618</v>
      </c>
      <c r="T568" s="12">
        <f t="shared" si="50"/>
        <v>6.2723197685474181</v>
      </c>
      <c r="U568" s="12">
        <f t="shared" si="46"/>
        <v>6.0803310111744757</v>
      </c>
      <c r="V568" s="30">
        <f t="shared" si="47"/>
        <v>0.48856767123287664</v>
      </c>
      <c r="W568" s="46">
        <f t="shared" si="51"/>
        <v>-6.2723197685474172E-2</v>
      </c>
      <c r="X568" s="33">
        <f t="shared" si="48"/>
        <v>2.8219541184604555E-2</v>
      </c>
    </row>
    <row r="569" spans="19:24" x14ac:dyDescent="0.25">
      <c r="S569" s="44">
        <f t="shared" si="49"/>
        <v>43619</v>
      </c>
      <c r="T569" s="12">
        <f t="shared" si="50"/>
        <v>6.2696426862458789</v>
      </c>
      <c r="U569" s="12">
        <f t="shared" si="46"/>
        <v>6.077679834449687</v>
      </c>
      <c r="V569" s="30">
        <f t="shared" si="47"/>
        <v>0.48854027397260269</v>
      </c>
      <c r="W569" s="46">
        <f t="shared" si="51"/>
        <v>-6.2696426862458784E-2</v>
      </c>
      <c r="X569" s="33">
        <f t="shared" si="48"/>
        <v>2.8219499672331613E-2</v>
      </c>
    </row>
    <row r="570" spans="19:24" x14ac:dyDescent="0.25">
      <c r="S570" s="44">
        <f t="shared" si="49"/>
        <v>43620</v>
      </c>
      <c r="T570" s="12">
        <f t="shared" si="50"/>
        <v>6.2669656039443344</v>
      </c>
      <c r="U570" s="12">
        <f t="shared" si="46"/>
        <v>6.0750286577248964</v>
      </c>
      <c r="V570" s="30">
        <f t="shared" si="47"/>
        <v>0.48851287671232874</v>
      </c>
      <c r="W570" s="46">
        <f t="shared" si="51"/>
        <v>-6.2669656039443342E-2</v>
      </c>
      <c r="X570" s="33">
        <f t="shared" si="48"/>
        <v>2.8219458160058671E-2</v>
      </c>
    </row>
    <row r="571" spans="19:24" x14ac:dyDescent="0.25">
      <c r="S571" s="44">
        <f t="shared" si="49"/>
        <v>43621</v>
      </c>
      <c r="T571" s="12">
        <f t="shared" si="50"/>
        <v>6.2642885216427961</v>
      </c>
      <c r="U571" s="12">
        <f t="shared" si="46"/>
        <v>6.0723774810001077</v>
      </c>
      <c r="V571" s="30">
        <f t="shared" si="47"/>
        <v>0.48848547945205478</v>
      </c>
      <c r="W571" s="46">
        <f t="shared" si="51"/>
        <v>-6.2642885216427954E-2</v>
      </c>
      <c r="X571" s="33">
        <f t="shared" si="48"/>
        <v>2.8219416647785728E-2</v>
      </c>
    </row>
    <row r="572" spans="19:24" x14ac:dyDescent="0.25">
      <c r="S572" s="44">
        <f t="shared" si="49"/>
        <v>43622</v>
      </c>
      <c r="T572" s="12">
        <f t="shared" si="50"/>
        <v>6.2616114393412534</v>
      </c>
      <c r="U572" s="12">
        <f t="shared" si="46"/>
        <v>6.0697263042753145</v>
      </c>
      <c r="V572" s="30">
        <f t="shared" si="47"/>
        <v>0.48845808219178088</v>
      </c>
      <c r="W572" s="46">
        <f t="shared" si="51"/>
        <v>-6.2616114393412525E-2</v>
      </c>
      <c r="X572" s="33">
        <f t="shared" si="48"/>
        <v>2.8219375135512793E-2</v>
      </c>
    </row>
    <row r="573" spans="19:24" x14ac:dyDescent="0.25">
      <c r="S573" s="44">
        <f t="shared" si="49"/>
        <v>43623</v>
      </c>
      <c r="T573" s="12">
        <f t="shared" si="50"/>
        <v>6.2589343570397125</v>
      </c>
      <c r="U573" s="12">
        <f t="shared" si="46"/>
        <v>6.0670751275505266</v>
      </c>
      <c r="V573" s="30">
        <f t="shared" si="47"/>
        <v>0.48843068493150688</v>
      </c>
      <c r="W573" s="46">
        <f t="shared" si="51"/>
        <v>-6.258934357039711E-2</v>
      </c>
      <c r="X573" s="33">
        <f t="shared" si="48"/>
        <v>2.8219333623239841E-2</v>
      </c>
    </row>
    <row r="574" spans="19:24" x14ac:dyDescent="0.25">
      <c r="S574" s="44">
        <f t="shared" si="49"/>
        <v>43624</v>
      </c>
      <c r="T574" s="12">
        <f t="shared" si="50"/>
        <v>6.2562572747381697</v>
      </c>
      <c r="U574" s="12">
        <f t="shared" si="46"/>
        <v>6.0644239508257396</v>
      </c>
      <c r="V574" s="30">
        <f t="shared" si="47"/>
        <v>0.48840328767123292</v>
      </c>
      <c r="W574" s="46">
        <f t="shared" si="51"/>
        <v>-6.2562572747381681E-2</v>
      </c>
      <c r="X574" s="33">
        <f t="shared" si="48"/>
        <v>2.8219292110966902E-2</v>
      </c>
    </row>
    <row r="575" spans="19:24" x14ac:dyDescent="0.25">
      <c r="S575" s="44">
        <f t="shared" si="49"/>
        <v>43625</v>
      </c>
      <c r="T575" s="12">
        <f t="shared" si="50"/>
        <v>6.2535801924366314</v>
      </c>
      <c r="U575" s="12">
        <f t="shared" si="46"/>
        <v>6.0617727741009499</v>
      </c>
      <c r="V575" s="30">
        <f t="shared" si="47"/>
        <v>0.48837589041095891</v>
      </c>
      <c r="W575" s="46">
        <f t="shared" si="51"/>
        <v>-6.2535801924366308E-2</v>
      </c>
      <c r="X575" s="33">
        <f t="shared" si="48"/>
        <v>2.8219250598693957E-2</v>
      </c>
    </row>
    <row r="576" spans="19:24" x14ac:dyDescent="0.25">
      <c r="S576" s="44">
        <f t="shared" si="49"/>
        <v>43626</v>
      </c>
      <c r="T576" s="12">
        <f t="shared" si="50"/>
        <v>6.2509031101350878</v>
      </c>
      <c r="U576" s="12">
        <f t="shared" si="46"/>
        <v>6.0591215973761603</v>
      </c>
      <c r="V576" s="30">
        <f t="shared" si="47"/>
        <v>0.48834849315068496</v>
      </c>
      <c r="W576" s="46">
        <f t="shared" si="51"/>
        <v>-6.2509031101350865E-2</v>
      </c>
      <c r="X576" s="33">
        <f t="shared" si="48"/>
        <v>2.8219209086421015E-2</v>
      </c>
    </row>
    <row r="577" spans="19:24" x14ac:dyDescent="0.25">
      <c r="S577" s="44">
        <f t="shared" si="49"/>
        <v>43627</v>
      </c>
      <c r="T577" s="12">
        <f t="shared" si="50"/>
        <v>6.2482260278335495</v>
      </c>
      <c r="U577" s="12">
        <f t="shared" si="46"/>
        <v>6.0564704206513698</v>
      </c>
      <c r="V577" s="30">
        <f t="shared" si="47"/>
        <v>0.48832109589041101</v>
      </c>
      <c r="W577" s="46">
        <f t="shared" si="51"/>
        <v>-6.2482260278335484E-2</v>
      </c>
      <c r="X577" s="33">
        <f t="shared" si="48"/>
        <v>2.8219167574148069E-2</v>
      </c>
    </row>
    <row r="578" spans="19:24" x14ac:dyDescent="0.25">
      <c r="S578" s="44">
        <f t="shared" si="49"/>
        <v>43628</v>
      </c>
      <c r="T578" s="12">
        <f t="shared" si="50"/>
        <v>6.2455489455320068</v>
      </c>
      <c r="U578" s="12">
        <f t="shared" si="46"/>
        <v>6.0538192439265828</v>
      </c>
      <c r="V578" s="30">
        <f t="shared" si="47"/>
        <v>0.488293698630137</v>
      </c>
      <c r="W578" s="46">
        <f t="shared" si="51"/>
        <v>-6.2455489455320055E-2</v>
      </c>
      <c r="X578" s="33">
        <f t="shared" si="48"/>
        <v>2.8219126061875127E-2</v>
      </c>
    </row>
    <row r="579" spans="19:24" x14ac:dyDescent="0.25">
      <c r="S579" s="44">
        <f t="shared" si="49"/>
        <v>43629</v>
      </c>
      <c r="T579" s="12">
        <f t="shared" si="50"/>
        <v>6.2428718632304649</v>
      </c>
      <c r="U579" s="12">
        <f t="shared" si="46"/>
        <v>6.0511680672017922</v>
      </c>
      <c r="V579" s="30">
        <f t="shared" si="47"/>
        <v>0.48826630136986304</v>
      </c>
      <c r="W579" s="46">
        <f t="shared" si="51"/>
        <v>-6.242871863230464E-2</v>
      </c>
      <c r="X579" s="33">
        <f t="shared" si="48"/>
        <v>2.8219084549602185E-2</v>
      </c>
    </row>
    <row r="580" spans="19:24" x14ac:dyDescent="0.25">
      <c r="S580" s="44">
        <f t="shared" si="49"/>
        <v>43630</v>
      </c>
      <c r="T580" s="12">
        <f t="shared" si="50"/>
        <v>6.2401947809289231</v>
      </c>
      <c r="U580" s="12">
        <f t="shared" si="46"/>
        <v>6.0485168904770044</v>
      </c>
      <c r="V580" s="30">
        <f t="shared" si="47"/>
        <v>0.48823890410958903</v>
      </c>
      <c r="W580" s="46">
        <f t="shared" si="51"/>
        <v>-6.2401947809289218E-2</v>
      </c>
      <c r="X580" s="33">
        <f t="shared" si="48"/>
        <v>2.8219043037329236E-2</v>
      </c>
    </row>
    <row r="581" spans="19:24" x14ac:dyDescent="0.25">
      <c r="S581" s="44">
        <f t="shared" si="49"/>
        <v>43631</v>
      </c>
      <c r="T581" s="12">
        <f t="shared" si="50"/>
        <v>6.3628932770496656</v>
      </c>
      <c r="U581" s="12">
        <f t="shared" ref="U581:U644" si="52">DurMod($S581,$B$2,$F$7:$G$37,U$3)</f>
        <v>6.1752506437883907</v>
      </c>
      <c r="V581" s="30">
        <f t="shared" ref="V581:V644" si="53">+$U$3*($S$5512-S581)/365+$T$3*(S581-$S$4)/365</f>
        <v>0.48821150684931514</v>
      </c>
      <c r="W581" s="46">
        <f t="shared" si="51"/>
        <v>-6.3628932770496652E-2</v>
      </c>
      <c r="X581" s="33">
        <f t="shared" ref="X581:X644" si="54">+(V581+W581)*365/($S$5512-$S$4)</f>
        <v>2.8135918580023376E-2</v>
      </c>
    </row>
    <row r="582" spans="19:24" x14ac:dyDescent="0.25">
      <c r="S582" s="44">
        <f t="shared" ref="S582:S645" si="55">+S581+1</f>
        <v>43632</v>
      </c>
      <c r="T582" s="12">
        <f t="shared" si="50"/>
        <v>6.3602161947481246</v>
      </c>
      <c r="U582" s="12">
        <f t="shared" si="52"/>
        <v>6.1725994670636011</v>
      </c>
      <c r="V582" s="30">
        <f t="shared" si="53"/>
        <v>0.48818410958904113</v>
      </c>
      <c r="W582" s="46">
        <f t="shared" si="51"/>
        <v>-6.3602161947481237E-2</v>
      </c>
      <c r="X582" s="33">
        <f t="shared" si="54"/>
        <v>2.813587706775043E-2</v>
      </c>
    </row>
    <row r="583" spans="19:24" x14ac:dyDescent="0.25">
      <c r="S583" s="44">
        <f t="shared" si="55"/>
        <v>43633</v>
      </c>
      <c r="T583" s="12">
        <f t="shared" si="50"/>
        <v>6.3575391124465837</v>
      </c>
      <c r="U583" s="12">
        <f t="shared" si="52"/>
        <v>6.1699482903388096</v>
      </c>
      <c r="V583" s="30">
        <f t="shared" si="53"/>
        <v>0.48815671232876712</v>
      </c>
      <c r="W583" s="46">
        <f t="shared" si="51"/>
        <v>-6.3575391124465822E-2</v>
      </c>
      <c r="X583" s="33">
        <f t="shared" si="54"/>
        <v>2.8135835555477481E-2</v>
      </c>
    </row>
    <row r="584" spans="19:24" x14ac:dyDescent="0.25">
      <c r="S584" s="44">
        <f t="shared" si="55"/>
        <v>43634</v>
      </c>
      <c r="T584" s="12">
        <f t="shared" si="50"/>
        <v>6.3548620301450436</v>
      </c>
      <c r="U584" s="12">
        <f t="shared" si="52"/>
        <v>6.1672971136140244</v>
      </c>
      <c r="V584" s="30">
        <f t="shared" si="53"/>
        <v>0.48812931506849316</v>
      </c>
      <c r="W584" s="46">
        <f t="shared" si="51"/>
        <v>-6.354862030145042E-2</v>
      </c>
      <c r="X584" s="33">
        <f t="shared" si="54"/>
        <v>2.8135794043204539E-2</v>
      </c>
    </row>
    <row r="585" spans="19:24" x14ac:dyDescent="0.25">
      <c r="S585" s="44">
        <f t="shared" si="55"/>
        <v>43635</v>
      </c>
      <c r="T585" s="12">
        <f t="shared" si="50"/>
        <v>6.3521849478435026</v>
      </c>
      <c r="U585" s="12">
        <f t="shared" si="52"/>
        <v>6.164645936889233</v>
      </c>
      <c r="V585" s="30">
        <f t="shared" si="53"/>
        <v>0.48810191780821915</v>
      </c>
      <c r="W585" s="46">
        <f t="shared" si="51"/>
        <v>-6.3521849478435019E-2</v>
      </c>
      <c r="X585" s="33">
        <f t="shared" si="54"/>
        <v>2.8135752530931594E-2</v>
      </c>
    </row>
    <row r="586" spans="19:24" x14ac:dyDescent="0.25">
      <c r="S586" s="44">
        <f t="shared" si="55"/>
        <v>43636</v>
      </c>
      <c r="T586" s="12">
        <f t="shared" si="50"/>
        <v>6.3495078655419617</v>
      </c>
      <c r="U586" s="12">
        <f t="shared" si="52"/>
        <v>6.1619947601644443</v>
      </c>
      <c r="V586" s="30">
        <f t="shared" si="53"/>
        <v>0.48807452054794526</v>
      </c>
      <c r="W586" s="46">
        <f t="shared" si="51"/>
        <v>-6.3495078655419604E-2</v>
      </c>
      <c r="X586" s="33">
        <f t="shared" si="54"/>
        <v>2.8135711018658655E-2</v>
      </c>
    </row>
    <row r="587" spans="19:24" x14ac:dyDescent="0.25">
      <c r="S587" s="44">
        <f t="shared" si="55"/>
        <v>43637</v>
      </c>
      <c r="T587" s="12">
        <f t="shared" si="50"/>
        <v>6.3468307832404207</v>
      </c>
      <c r="U587" s="12">
        <f t="shared" si="52"/>
        <v>6.1593435834396528</v>
      </c>
      <c r="V587" s="30">
        <f t="shared" si="53"/>
        <v>0.48804712328767125</v>
      </c>
      <c r="W587" s="46">
        <f t="shared" si="51"/>
        <v>-6.3468307832404203E-2</v>
      </c>
      <c r="X587" s="33">
        <f t="shared" si="54"/>
        <v>2.8135669506385703E-2</v>
      </c>
    </row>
    <row r="588" spans="19:24" x14ac:dyDescent="0.25">
      <c r="S588" s="44">
        <f t="shared" si="55"/>
        <v>43638</v>
      </c>
      <c r="T588" s="12">
        <f t="shared" si="50"/>
        <v>6.3441537009388798</v>
      </c>
      <c r="U588" s="12">
        <f t="shared" si="52"/>
        <v>6.1566924067148658</v>
      </c>
      <c r="V588" s="30">
        <f t="shared" si="53"/>
        <v>0.48801972602739729</v>
      </c>
      <c r="W588" s="46">
        <f t="shared" si="51"/>
        <v>-6.3441537009388788E-2</v>
      </c>
      <c r="X588" s="33">
        <f t="shared" si="54"/>
        <v>2.8135627994112764E-2</v>
      </c>
    </row>
    <row r="589" spans="19:24" x14ac:dyDescent="0.25">
      <c r="S589" s="44">
        <f t="shared" si="55"/>
        <v>43639</v>
      </c>
      <c r="T589" s="12">
        <f t="shared" si="50"/>
        <v>6.3414766186373361</v>
      </c>
      <c r="U589" s="12">
        <f t="shared" si="52"/>
        <v>6.1540412299900744</v>
      </c>
      <c r="V589" s="30">
        <f t="shared" si="53"/>
        <v>0.48799232876712328</v>
      </c>
      <c r="W589" s="46">
        <f t="shared" si="51"/>
        <v>-6.3414766186373359E-2</v>
      </c>
      <c r="X589" s="33">
        <f t="shared" si="54"/>
        <v>2.8135586481839822E-2</v>
      </c>
    </row>
    <row r="590" spans="19:24" x14ac:dyDescent="0.25">
      <c r="S590" s="44">
        <f t="shared" si="55"/>
        <v>43640</v>
      </c>
      <c r="T590" s="12">
        <f t="shared" si="50"/>
        <v>6.3387995363357952</v>
      </c>
      <c r="U590" s="12">
        <f t="shared" si="52"/>
        <v>6.1513900532652874</v>
      </c>
      <c r="V590" s="30">
        <f t="shared" si="53"/>
        <v>0.48796493150684933</v>
      </c>
      <c r="W590" s="46">
        <f t="shared" si="51"/>
        <v>-6.3387995363357943E-2</v>
      </c>
      <c r="X590" s="33">
        <f t="shared" si="54"/>
        <v>2.813554496956688E-2</v>
      </c>
    </row>
    <row r="591" spans="19:24" x14ac:dyDescent="0.25">
      <c r="S591" s="44">
        <f t="shared" si="55"/>
        <v>43641</v>
      </c>
      <c r="T591" s="12">
        <f t="shared" si="50"/>
        <v>6.3361224540342542</v>
      </c>
      <c r="U591" s="12">
        <f t="shared" si="52"/>
        <v>6.1487388765404978</v>
      </c>
      <c r="V591" s="30">
        <f t="shared" si="53"/>
        <v>0.48793753424657538</v>
      </c>
      <c r="W591" s="46">
        <f t="shared" si="51"/>
        <v>-6.3361224540342528E-2</v>
      </c>
      <c r="X591" s="33">
        <f t="shared" si="54"/>
        <v>2.8135503457293931E-2</v>
      </c>
    </row>
    <row r="592" spans="19:24" x14ac:dyDescent="0.25">
      <c r="S592" s="44">
        <f t="shared" si="55"/>
        <v>43642</v>
      </c>
      <c r="T592" s="12">
        <f t="shared" si="50"/>
        <v>6.3334453717327142</v>
      </c>
      <c r="U592" s="12">
        <f t="shared" si="52"/>
        <v>6.146087699815709</v>
      </c>
      <c r="V592" s="30">
        <f t="shared" si="53"/>
        <v>0.48791013698630137</v>
      </c>
      <c r="W592" s="46">
        <f t="shared" si="51"/>
        <v>-6.3334453717327127E-2</v>
      </c>
      <c r="X592" s="33">
        <f t="shared" si="54"/>
        <v>2.8135461945020986E-2</v>
      </c>
    </row>
    <row r="593" spans="19:24" x14ac:dyDescent="0.25">
      <c r="S593" s="44">
        <f t="shared" si="55"/>
        <v>43643</v>
      </c>
      <c r="T593" s="12">
        <f t="shared" si="50"/>
        <v>6.3307682894311705</v>
      </c>
      <c r="U593" s="12">
        <f t="shared" si="52"/>
        <v>6.1434365230909185</v>
      </c>
      <c r="V593" s="30">
        <f t="shared" si="53"/>
        <v>0.48788273972602741</v>
      </c>
      <c r="W593" s="46">
        <f t="shared" si="51"/>
        <v>-6.3307682894311698E-2</v>
      </c>
      <c r="X593" s="33">
        <f t="shared" si="54"/>
        <v>2.8135420432748047E-2</v>
      </c>
    </row>
    <row r="594" spans="19:24" x14ac:dyDescent="0.25">
      <c r="S594" s="44">
        <f t="shared" si="55"/>
        <v>43644</v>
      </c>
      <c r="T594" s="12">
        <f t="shared" si="50"/>
        <v>6.3280912071296331</v>
      </c>
      <c r="U594" s="12">
        <f t="shared" si="52"/>
        <v>6.1407853463661297</v>
      </c>
      <c r="V594" s="30">
        <f t="shared" si="53"/>
        <v>0.48785534246575341</v>
      </c>
      <c r="W594" s="46">
        <f t="shared" si="51"/>
        <v>-6.3280912071296325E-2</v>
      </c>
      <c r="X594" s="33">
        <f t="shared" si="54"/>
        <v>2.8135378920475095E-2</v>
      </c>
    </row>
    <row r="595" spans="19:24" x14ac:dyDescent="0.25">
      <c r="S595" s="44">
        <f t="shared" si="55"/>
        <v>43645</v>
      </c>
      <c r="T595" s="12">
        <f t="shared" si="50"/>
        <v>6.3254141248280913</v>
      </c>
      <c r="U595" s="12">
        <f t="shared" si="52"/>
        <v>6.1381341696413392</v>
      </c>
      <c r="V595" s="30">
        <f t="shared" si="53"/>
        <v>0.48782794520547945</v>
      </c>
      <c r="W595" s="46">
        <f t="shared" si="51"/>
        <v>-6.325414124828091E-2</v>
      </c>
      <c r="X595" s="33">
        <f t="shared" si="54"/>
        <v>2.8135337408202159E-2</v>
      </c>
    </row>
    <row r="596" spans="19:24" x14ac:dyDescent="0.25">
      <c r="S596" s="44">
        <f t="shared" si="55"/>
        <v>43646</v>
      </c>
      <c r="T596" s="12">
        <f t="shared" si="50"/>
        <v>6.3227370425265486</v>
      </c>
      <c r="U596" s="12">
        <f t="shared" si="52"/>
        <v>6.1354829929165495</v>
      </c>
      <c r="V596" s="30">
        <f t="shared" si="53"/>
        <v>0.4878005479452055</v>
      </c>
      <c r="W596" s="46">
        <f t="shared" si="51"/>
        <v>-6.3227370425265481E-2</v>
      </c>
      <c r="X596" s="33">
        <f t="shared" si="54"/>
        <v>2.813529589592921E-2</v>
      </c>
    </row>
    <row r="597" spans="19:24" x14ac:dyDescent="0.25">
      <c r="S597" s="44">
        <f t="shared" si="55"/>
        <v>43647</v>
      </c>
      <c r="T597" s="12">
        <f t="shared" si="50"/>
        <v>6.3200599602250067</v>
      </c>
      <c r="U597" s="12">
        <f t="shared" si="52"/>
        <v>6.1328318161917617</v>
      </c>
      <c r="V597" s="30">
        <f t="shared" si="53"/>
        <v>0.48777315068493149</v>
      </c>
      <c r="W597" s="46">
        <f t="shared" si="51"/>
        <v>-6.3200599602250052E-2</v>
      </c>
      <c r="X597" s="33">
        <f t="shared" si="54"/>
        <v>2.8135254383656268E-2</v>
      </c>
    </row>
    <row r="598" spans="19:24" x14ac:dyDescent="0.25">
      <c r="S598" s="44">
        <f t="shared" si="55"/>
        <v>43648</v>
      </c>
      <c r="T598" s="12">
        <f t="shared" si="50"/>
        <v>6.3173828779234675</v>
      </c>
      <c r="U598" s="12">
        <f t="shared" si="52"/>
        <v>6.1301806394669711</v>
      </c>
      <c r="V598" s="30">
        <f t="shared" si="53"/>
        <v>0.48774575342465754</v>
      </c>
      <c r="W598" s="46">
        <f t="shared" si="51"/>
        <v>-6.3173828779234664E-2</v>
      </c>
      <c r="X598" s="33">
        <f t="shared" si="54"/>
        <v>2.8135212871383323E-2</v>
      </c>
    </row>
    <row r="599" spans="19:24" x14ac:dyDescent="0.25">
      <c r="S599" s="44">
        <f t="shared" si="55"/>
        <v>43649</v>
      </c>
      <c r="T599" s="12">
        <f t="shared" si="50"/>
        <v>6.3147057956219275</v>
      </c>
      <c r="U599" s="12">
        <f t="shared" si="52"/>
        <v>6.127529462742185</v>
      </c>
      <c r="V599" s="30">
        <f t="shared" si="53"/>
        <v>0.48771835616438358</v>
      </c>
      <c r="W599" s="46">
        <f t="shared" si="51"/>
        <v>-6.3147057956219263E-2</v>
      </c>
      <c r="X599" s="33">
        <f t="shared" si="54"/>
        <v>2.8135171359110381E-2</v>
      </c>
    </row>
    <row r="600" spans="19:24" x14ac:dyDescent="0.25">
      <c r="S600" s="44">
        <f t="shared" si="55"/>
        <v>43650</v>
      </c>
      <c r="T600" s="12">
        <f t="shared" si="50"/>
        <v>6.3120287133203838</v>
      </c>
      <c r="U600" s="12">
        <f t="shared" si="52"/>
        <v>6.1248782860173936</v>
      </c>
      <c r="V600" s="30">
        <f t="shared" si="53"/>
        <v>0.48769095890410963</v>
      </c>
      <c r="W600" s="46">
        <f t="shared" si="51"/>
        <v>-6.3120287133203834E-2</v>
      </c>
      <c r="X600" s="33">
        <f t="shared" si="54"/>
        <v>2.8135129846837439E-2</v>
      </c>
    </row>
    <row r="601" spans="19:24" x14ac:dyDescent="0.25">
      <c r="S601" s="44">
        <f t="shared" si="55"/>
        <v>43651</v>
      </c>
      <c r="T601" s="12">
        <f t="shared" si="50"/>
        <v>6.309351631018842</v>
      </c>
      <c r="U601" s="12">
        <f t="shared" si="52"/>
        <v>6.1222271092926039</v>
      </c>
      <c r="V601" s="30">
        <f t="shared" si="53"/>
        <v>0.48766356164383562</v>
      </c>
      <c r="W601" s="46">
        <f t="shared" si="51"/>
        <v>-6.3093516310188405E-2</v>
      </c>
      <c r="X601" s="33">
        <f t="shared" si="54"/>
        <v>2.8135088334564497E-2</v>
      </c>
    </row>
    <row r="602" spans="19:24" x14ac:dyDescent="0.25">
      <c r="S602" s="44">
        <f t="shared" si="55"/>
        <v>43652</v>
      </c>
      <c r="T602" s="12">
        <f t="shared" si="50"/>
        <v>6.3066745487173028</v>
      </c>
      <c r="U602" s="12">
        <f t="shared" si="52"/>
        <v>6.1195759325678152</v>
      </c>
      <c r="V602" s="30">
        <f t="shared" si="53"/>
        <v>0.48763616438356161</v>
      </c>
      <c r="W602" s="46">
        <f t="shared" si="51"/>
        <v>-6.3066745487173018E-2</v>
      </c>
      <c r="X602" s="33">
        <f t="shared" si="54"/>
        <v>2.8135046822291548E-2</v>
      </c>
    </row>
    <row r="603" spans="19:24" x14ac:dyDescent="0.25">
      <c r="S603" s="44">
        <f t="shared" si="55"/>
        <v>43653</v>
      </c>
      <c r="T603" s="12">
        <f t="shared" si="50"/>
        <v>6.3039974664157583</v>
      </c>
      <c r="U603" s="12">
        <f t="shared" si="52"/>
        <v>6.1169247558430264</v>
      </c>
      <c r="V603" s="30">
        <f t="shared" si="53"/>
        <v>0.48760876712328766</v>
      </c>
      <c r="W603" s="46">
        <f t="shared" si="51"/>
        <v>-6.3039974664157575E-2</v>
      </c>
      <c r="X603" s="33">
        <f t="shared" si="54"/>
        <v>2.8135005310018606E-2</v>
      </c>
    </row>
    <row r="604" spans="19:24" x14ac:dyDescent="0.25">
      <c r="S604" s="44">
        <f t="shared" si="55"/>
        <v>43654</v>
      </c>
      <c r="T604" s="12">
        <f t="shared" si="50"/>
        <v>6.30132038411422</v>
      </c>
      <c r="U604" s="12">
        <f t="shared" si="52"/>
        <v>6.1142735791182341</v>
      </c>
      <c r="V604" s="30">
        <f t="shared" si="53"/>
        <v>0.4875813698630137</v>
      </c>
      <c r="W604" s="46">
        <f t="shared" si="51"/>
        <v>-6.3013203841142187E-2</v>
      </c>
      <c r="X604" s="33">
        <f t="shared" si="54"/>
        <v>2.813496379774566E-2</v>
      </c>
    </row>
    <row r="605" spans="19:24" x14ac:dyDescent="0.25">
      <c r="S605" s="44">
        <f t="shared" si="55"/>
        <v>43655</v>
      </c>
      <c r="T605" s="12">
        <f t="shared" si="50"/>
        <v>6.2986433018126773</v>
      </c>
      <c r="U605" s="12">
        <f t="shared" si="52"/>
        <v>6.111622402393448</v>
      </c>
      <c r="V605" s="30">
        <f t="shared" si="53"/>
        <v>0.48755397260273975</v>
      </c>
      <c r="W605" s="46">
        <f t="shared" si="51"/>
        <v>-6.2986433018126758E-2</v>
      </c>
      <c r="X605" s="33">
        <f t="shared" si="54"/>
        <v>2.8134922285472722E-2</v>
      </c>
    </row>
    <row r="606" spans="19:24" x14ac:dyDescent="0.25">
      <c r="S606" s="44">
        <f t="shared" si="55"/>
        <v>43656</v>
      </c>
      <c r="T606" s="12">
        <f t="shared" si="50"/>
        <v>6.295966219511139</v>
      </c>
      <c r="U606" s="12">
        <f t="shared" si="52"/>
        <v>6.1089712256686592</v>
      </c>
      <c r="V606" s="30">
        <f t="shared" si="53"/>
        <v>0.48752657534246574</v>
      </c>
      <c r="W606" s="46">
        <f t="shared" si="51"/>
        <v>-6.2959662195111385E-2</v>
      </c>
      <c r="X606" s="33">
        <f t="shared" si="54"/>
        <v>2.8134880773199769E-2</v>
      </c>
    </row>
    <row r="607" spans="19:24" x14ac:dyDescent="0.25">
      <c r="S607" s="44">
        <f t="shared" si="55"/>
        <v>43657</v>
      </c>
      <c r="T607" s="12">
        <f t="shared" si="50"/>
        <v>6.2932891372095945</v>
      </c>
      <c r="U607" s="12">
        <f t="shared" si="52"/>
        <v>6.1063200489438705</v>
      </c>
      <c r="V607" s="30">
        <f t="shared" si="53"/>
        <v>0.48749917808219179</v>
      </c>
      <c r="W607" s="46">
        <f t="shared" si="51"/>
        <v>-6.2932891372095942E-2</v>
      </c>
      <c r="X607" s="33">
        <f t="shared" si="54"/>
        <v>2.8134839260926827E-2</v>
      </c>
    </row>
    <row r="608" spans="19:24" x14ac:dyDescent="0.25">
      <c r="S608" s="44">
        <f t="shared" si="55"/>
        <v>43658</v>
      </c>
      <c r="T608" s="12">
        <f t="shared" si="50"/>
        <v>6.2906120549080553</v>
      </c>
      <c r="U608" s="12">
        <f t="shared" si="52"/>
        <v>6.1036688722190808</v>
      </c>
      <c r="V608" s="30">
        <f t="shared" si="53"/>
        <v>0.48747178082191783</v>
      </c>
      <c r="W608" s="46">
        <f t="shared" si="51"/>
        <v>-6.2906120549080541E-2</v>
      </c>
      <c r="X608" s="33">
        <f t="shared" si="54"/>
        <v>2.8134797748653888E-2</v>
      </c>
    </row>
    <row r="609" spans="19:24" x14ac:dyDescent="0.25">
      <c r="S609" s="44">
        <f t="shared" si="55"/>
        <v>43659</v>
      </c>
      <c r="T609" s="12">
        <f t="shared" si="50"/>
        <v>6.2879349726065117</v>
      </c>
      <c r="U609" s="12">
        <f t="shared" si="52"/>
        <v>6.1010176954942894</v>
      </c>
      <c r="V609" s="30">
        <f t="shared" si="53"/>
        <v>0.48744438356164382</v>
      </c>
      <c r="W609" s="46">
        <f t="shared" si="51"/>
        <v>-6.2879349726065112E-2</v>
      </c>
      <c r="X609" s="33">
        <f t="shared" si="54"/>
        <v>2.8134756236380939E-2</v>
      </c>
    </row>
    <row r="610" spans="19:24" x14ac:dyDescent="0.25">
      <c r="S610" s="44">
        <f t="shared" si="55"/>
        <v>43660</v>
      </c>
      <c r="T610" s="12">
        <f t="shared" si="50"/>
        <v>6.2852578903049725</v>
      </c>
      <c r="U610" s="12">
        <f t="shared" si="52"/>
        <v>6.0983665187695015</v>
      </c>
      <c r="V610" s="30">
        <f t="shared" si="53"/>
        <v>0.48741698630136987</v>
      </c>
      <c r="W610" s="46">
        <f t="shared" si="51"/>
        <v>-6.2852578903049711E-2</v>
      </c>
      <c r="X610" s="33">
        <f t="shared" si="54"/>
        <v>2.8134714724107997E-2</v>
      </c>
    </row>
    <row r="611" spans="19:24" x14ac:dyDescent="0.25">
      <c r="S611" s="44">
        <f t="shared" si="55"/>
        <v>43661</v>
      </c>
      <c r="T611" s="12">
        <f t="shared" si="50"/>
        <v>6.2825808080034315</v>
      </c>
      <c r="U611" s="12">
        <f t="shared" si="52"/>
        <v>6.0957153420447101</v>
      </c>
      <c r="V611" s="30">
        <f t="shared" si="53"/>
        <v>0.48738958904109586</v>
      </c>
      <c r="W611" s="46">
        <f t="shared" si="51"/>
        <v>-6.2825808080034309E-2</v>
      </c>
      <c r="X611" s="33">
        <f t="shared" si="54"/>
        <v>2.8134673211835052E-2</v>
      </c>
    </row>
    <row r="612" spans="19:24" x14ac:dyDescent="0.25">
      <c r="S612" s="44">
        <f t="shared" si="55"/>
        <v>43662</v>
      </c>
      <c r="T612" s="12">
        <f t="shared" si="50"/>
        <v>6.2799037257018906</v>
      </c>
      <c r="U612" s="12">
        <f t="shared" si="52"/>
        <v>6.0930641653199213</v>
      </c>
      <c r="V612" s="30">
        <f t="shared" si="53"/>
        <v>0.48736219178082185</v>
      </c>
      <c r="W612" s="46">
        <f t="shared" si="51"/>
        <v>-6.2799037257018894E-2</v>
      </c>
      <c r="X612" s="33">
        <f t="shared" si="54"/>
        <v>2.8134631699562103E-2</v>
      </c>
    </row>
    <row r="613" spans="19:24" x14ac:dyDescent="0.25">
      <c r="S613" s="44">
        <f t="shared" si="55"/>
        <v>43663</v>
      </c>
      <c r="T613" s="12">
        <f t="shared" si="50"/>
        <v>6.2772266434003479</v>
      </c>
      <c r="U613" s="12">
        <f t="shared" si="52"/>
        <v>6.0904129885951317</v>
      </c>
      <c r="V613" s="30">
        <f t="shared" si="53"/>
        <v>0.48733479452054795</v>
      </c>
      <c r="W613" s="46">
        <f t="shared" si="51"/>
        <v>-6.2772266434003465E-2</v>
      </c>
      <c r="X613" s="33">
        <f t="shared" si="54"/>
        <v>2.8134590187289168E-2</v>
      </c>
    </row>
    <row r="614" spans="19:24" x14ac:dyDescent="0.25">
      <c r="S614" s="44">
        <f t="shared" si="55"/>
        <v>43664</v>
      </c>
      <c r="T614" s="12">
        <f t="shared" si="50"/>
        <v>6.2745495610988078</v>
      </c>
      <c r="U614" s="12">
        <f t="shared" si="52"/>
        <v>6.0877618118703438</v>
      </c>
      <c r="V614" s="30">
        <f t="shared" si="53"/>
        <v>0.48730739726027394</v>
      </c>
      <c r="W614" s="46">
        <f t="shared" si="51"/>
        <v>-6.2745495610988064E-2</v>
      </c>
      <c r="X614" s="33">
        <f t="shared" si="54"/>
        <v>2.8134548675016219E-2</v>
      </c>
    </row>
    <row r="615" spans="19:24" x14ac:dyDescent="0.25">
      <c r="S615" s="44">
        <f t="shared" si="55"/>
        <v>43665</v>
      </c>
      <c r="T615" s="12">
        <f t="shared" si="50"/>
        <v>6.2718724787972668</v>
      </c>
      <c r="U615" s="12">
        <f t="shared" si="52"/>
        <v>6.0851106351455533</v>
      </c>
      <c r="V615" s="30">
        <f t="shared" si="53"/>
        <v>0.48727999999999999</v>
      </c>
      <c r="W615" s="46">
        <f t="shared" si="51"/>
        <v>-6.2718724787972663E-2</v>
      </c>
      <c r="X615" s="33">
        <f t="shared" si="54"/>
        <v>2.8134507162743277E-2</v>
      </c>
    </row>
    <row r="616" spans="19:24" x14ac:dyDescent="0.25">
      <c r="S616" s="44">
        <f t="shared" si="55"/>
        <v>43666</v>
      </c>
      <c r="T616" s="12">
        <f t="shared" si="50"/>
        <v>6.269195396495725</v>
      </c>
      <c r="U616" s="12">
        <f t="shared" si="52"/>
        <v>6.0824594584207654</v>
      </c>
      <c r="V616" s="30">
        <f t="shared" si="53"/>
        <v>0.48725260273972598</v>
      </c>
      <c r="W616" s="46">
        <f t="shared" si="51"/>
        <v>-6.2691953964957234E-2</v>
      </c>
      <c r="X616" s="33">
        <f t="shared" si="54"/>
        <v>2.8134465650470331E-2</v>
      </c>
    </row>
    <row r="617" spans="19:24" x14ac:dyDescent="0.25">
      <c r="S617" s="44">
        <f t="shared" si="55"/>
        <v>43667</v>
      </c>
      <c r="T617" s="12">
        <f t="shared" si="50"/>
        <v>6.2665183141941814</v>
      </c>
      <c r="U617" s="12">
        <f t="shared" si="52"/>
        <v>6.0798082816959775</v>
      </c>
      <c r="V617" s="30">
        <f t="shared" si="53"/>
        <v>0.48722520547945208</v>
      </c>
      <c r="W617" s="46">
        <f t="shared" si="51"/>
        <v>-6.2665183141941805E-2</v>
      </c>
      <c r="X617" s="33">
        <f t="shared" si="54"/>
        <v>2.8134424138197393E-2</v>
      </c>
    </row>
    <row r="618" spans="19:24" x14ac:dyDescent="0.25">
      <c r="S618" s="44">
        <f t="shared" si="55"/>
        <v>43668</v>
      </c>
      <c r="T618" s="12">
        <f t="shared" si="50"/>
        <v>6.2638412318926413</v>
      </c>
      <c r="U618" s="12">
        <f t="shared" si="52"/>
        <v>6.0771571049711879</v>
      </c>
      <c r="V618" s="30">
        <f t="shared" si="53"/>
        <v>0.48719780821917807</v>
      </c>
      <c r="W618" s="46">
        <f t="shared" si="51"/>
        <v>-6.2638412318926404E-2</v>
      </c>
      <c r="X618" s="33">
        <f t="shared" si="54"/>
        <v>2.8134382625924447E-2</v>
      </c>
    </row>
    <row r="619" spans="19:24" x14ac:dyDescent="0.25">
      <c r="S619" s="44">
        <f t="shared" si="55"/>
        <v>43669</v>
      </c>
      <c r="T619" s="12">
        <f t="shared" si="50"/>
        <v>6.2611641495910986</v>
      </c>
      <c r="U619" s="12">
        <f t="shared" si="52"/>
        <v>6.0745059282463991</v>
      </c>
      <c r="V619" s="30">
        <f t="shared" si="53"/>
        <v>0.48717041095890412</v>
      </c>
      <c r="W619" s="46">
        <f t="shared" si="51"/>
        <v>-6.2611641495910975E-2</v>
      </c>
      <c r="X619" s="33">
        <f t="shared" si="54"/>
        <v>2.8134341113651505E-2</v>
      </c>
    </row>
    <row r="620" spans="19:24" x14ac:dyDescent="0.25">
      <c r="S620" s="44">
        <f t="shared" si="55"/>
        <v>43670</v>
      </c>
      <c r="T620" s="12">
        <f t="shared" si="50"/>
        <v>6.2584870672895594</v>
      </c>
      <c r="U620" s="12">
        <f t="shared" si="52"/>
        <v>6.0718547515216077</v>
      </c>
      <c r="V620" s="30">
        <f t="shared" si="53"/>
        <v>0.48714301369863011</v>
      </c>
      <c r="W620" s="46">
        <f t="shared" si="51"/>
        <v>-6.2584870672895587E-2</v>
      </c>
      <c r="X620" s="33">
        <f t="shared" si="54"/>
        <v>2.8134299601378556E-2</v>
      </c>
    </row>
    <row r="621" spans="19:24" x14ac:dyDescent="0.25">
      <c r="S621" s="44">
        <f t="shared" si="55"/>
        <v>43671</v>
      </c>
      <c r="T621" s="12">
        <f t="shared" si="50"/>
        <v>6.2558099849880202</v>
      </c>
      <c r="U621" s="12">
        <f t="shared" si="52"/>
        <v>6.0692035747968189</v>
      </c>
      <c r="V621" s="30">
        <f t="shared" si="53"/>
        <v>0.4871156164383561</v>
      </c>
      <c r="W621" s="46">
        <f t="shared" si="51"/>
        <v>-6.2558099849880186E-2</v>
      </c>
      <c r="X621" s="33">
        <f t="shared" si="54"/>
        <v>2.8134258089105611E-2</v>
      </c>
    </row>
    <row r="622" spans="19:24" x14ac:dyDescent="0.25">
      <c r="S622" s="44">
        <f t="shared" si="55"/>
        <v>43672</v>
      </c>
      <c r="T622" s="12">
        <f t="shared" si="50"/>
        <v>6.2531329026864784</v>
      </c>
      <c r="U622" s="12">
        <f t="shared" si="52"/>
        <v>6.0665523980720284</v>
      </c>
      <c r="V622" s="30">
        <f t="shared" si="53"/>
        <v>0.4870882191780822</v>
      </c>
      <c r="W622" s="46">
        <f t="shared" si="51"/>
        <v>-6.2531329026864771E-2</v>
      </c>
      <c r="X622" s="33">
        <f t="shared" si="54"/>
        <v>2.8134216576832672E-2</v>
      </c>
    </row>
    <row r="623" spans="19:24" x14ac:dyDescent="0.25">
      <c r="S623" s="44">
        <f t="shared" si="55"/>
        <v>43673</v>
      </c>
      <c r="T623" s="12">
        <f t="shared" si="50"/>
        <v>6.2504558203849374</v>
      </c>
      <c r="U623" s="12">
        <f t="shared" si="52"/>
        <v>6.0639012213472423</v>
      </c>
      <c r="V623" s="30">
        <f t="shared" si="53"/>
        <v>0.4870608219178082</v>
      </c>
      <c r="W623" s="46">
        <f t="shared" si="51"/>
        <v>-6.250455820384937E-2</v>
      </c>
      <c r="X623" s="33">
        <f t="shared" si="54"/>
        <v>2.8134175064559726E-2</v>
      </c>
    </row>
    <row r="624" spans="19:24" x14ac:dyDescent="0.25">
      <c r="S624" s="44">
        <f t="shared" si="55"/>
        <v>43674</v>
      </c>
      <c r="T624" s="12">
        <f t="shared" si="50"/>
        <v>6.2477787380833947</v>
      </c>
      <c r="U624" s="12">
        <f t="shared" si="52"/>
        <v>6.0612500446224509</v>
      </c>
      <c r="V624" s="30">
        <f t="shared" si="53"/>
        <v>0.48703342465753424</v>
      </c>
      <c r="W624" s="46">
        <f t="shared" si="51"/>
        <v>-6.2477787380833941E-2</v>
      </c>
      <c r="X624" s="33">
        <f t="shared" si="54"/>
        <v>2.8134133552286784E-2</v>
      </c>
    </row>
    <row r="625" spans="19:24" x14ac:dyDescent="0.25">
      <c r="S625" s="44">
        <f t="shared" si="55"/>
        <v>43675</v>
      </c>
      <c r="T625" s="12">
        <f t="shared" si="50"/>
        <v>6.2451016557818564</v>
      </c>
      <c r="U625" s="12">
        <f t="shared" si="52"/>
        <v>6.0585988678976612</v>
      </c>
      <c r="V625" s="30">
        <f t="shared" si="53"/>
        <v>0.48700602739726023</v>
      </c>
      <c r="W625" s="46">
        <f t="shared" si="51"/>
        <v>-6.2451016557818553E-2</v>
      </c>
      <c r="X625" s="33">
        <f t="shared" si="54"/>
        <v>2.8134092040013835E-2</v>
      </c>
    </row>
    <row r="626" spans="19:24" x14ac:dyDescent="0.25">
      <c r="S626" s="44">
        <f t="shared" si="55"/>
        <v>43676</v>
      </c>
      <c r="T626" s="12">
        <f t="shared" ref="T626:T689" si="56">DurMod(S626,B$2,$F$7:$G$37,$T$3)</f>
        <v>6.2424245734803137</v>
      </c>
      <c r="U626" s="12">
        <f t="shared" si="52"/>
        <v>6.0559476911728716</v>
      </c>
      <c r="V626" s="30">
        <f t="shared" si="53"/>
        <v>0.48697863013698628</v>
      </c>
      <c r="W626" s="46">
        <f t="shared" ref="W626:W689" si="57">+-T626*($U$3-$T$3)</f>
        <v>-6.2424245734803124E-2</v>
      </c>
      <c r="X626" s="33">
        <f t="shared" si="54"/>
        <v>2.8134050527740893E-2</v>
      </c>
    </row>
    <row r="627" spans="19:24" x14ac:dyDescent="0.25">
      <c r="S627" s="44">
        <f t="shared" si="55"/>
        <v>43677</v>
      </c>
      <c r="T627" s="12">
        <f t="shared" si="56"/>
        <v>6.2397474911787727</v>
      </c>
      <c r="U627" s="12">
        <f t="shared" si="52"/>
        <v>6.0532965144480837</v>
      </c>
      <c r="V627" s="30">
        <f t="shared" si="53"/>
        <v>0.48695123287671233</v>
      </c>
      <c r="W627" s="46">
        <f t="shared" si="57"/>
        <v>-6.2397474911787716E-2</v>
      </c>
      <c r="X627" s="33">
        <f t="shared" si="54"/>
        <v>2.8134009015467955E-2</v>
      </c>
    </row>
    <row r="628" spans="19:24" x14ac:dyDescent="0.25">
      <c r="S628" s="44">
        <f t="shared" si="55"/>
        <v>43678</v>
      </c>
      <c r="T628" s="12">
        <f t="shared" si="56"/>
        <v>6.2370704088772309</v>
      </c>
      <c r="U628" s="12">
        <f t="shared" si="52"/>
        <v>6.0506453377232923</v>
      </c>
      <c r="V628" s="30">
        <f t="shared" si="53"/>
        <v>0.48692383561643832</v>
      </c>
      <c r="W628" s="46">
        <f t="shared" si="57"/>
        <v>-6.2370704088772301E-2</v>
      </c>
      <c r="X628" s="33">
        <f t="shared" si="54"/>
        <v>2.8133967503195006E-2</v>
      </c>
    </row>
    <row r="629" spans="19:24" x14ac:dyDescent="0.25">
      <c r="S629" s="44">
        <f t="shared" si="55"/>
        <v>43679</v>
      </c>
      <c r="T629" s="12">
        <f t="shared" si="56"/>
        <v>6.2343933265756881</v>
      </c>
      <c r="U629" s="12">
        <f t="shared" si="52"/>
        <v>6.0479941609985035</v>
      </c>
      <c r="V629" s="30">
        <f t="shared" si="53"/>
        <v>0.48689643835616436</v>
      </c>
      <c r="W629" s="46">
        <f t="shared" si="57"/>
        <v>-6.2343933265756872E-2</v>
      </c>
      <c r="X629" s="33">
        <f t="shared" si="54"/>
        <v>2.8133925990922064E-2</v>
      </c>
    </row>
    <row r="630" spans="19:24" x14ac:dyDescent="0.25">
      <c r="S630" s="44">
        <f t="shared" si="55"/>
        <v>43680</v>
      </c>
      <c r="T630" s="12">
        <f t="shared" si="56"/>
        <v>6.2317162442741489</v>
      </c>
      <c r="U630" s="12">
        <f t="shared" si="52"/>
        <v>6.0453429842737156</v>
      </c>
      <c r="V630" s="30">
        <f t="shared" si="53"/>
        <v>0.48686904109589035</v>
      </c>
      <c r="W630" s="46">
        <f t="shared" si="57"/>
        <v>-6.2317162442741478E-2</v>
      </c>
      <c r="X630" s="33">
        <f t="shared" si="54"/>
        <v>2.8133884478649118E-2</v>
      </c>
    </row>
    <row r="631" spans="19:24" x14ac:dyDescent="0.25">
      <c r="S631" s="44">
        <f t="shared" si="55"/>
        <v>43681</v>
      </c>
      <c r="T631" s="12">
        <f t="shared" si="56"/>
        <v>6.2290391619726071</v>
      </c>
      <c r="U631" s="12">
        <f t="shared" si="52"/>
        <v>6.0426918075489251</v>
      </c>
      <c r="V631" s="30">
        <f t="shared" si="53"/>
        <v>0.48684164383561646</v>
      </c>
      <c r="W631" s="46">
        <f t="shared" si="57"/>
        <v>-6.2290391619726063E-2</v>
      </c>
      <c r="X631" s="33">
        <f t="shared" si="54"/>
        <v>2.813384296637618E-2</v>
      </c>
    </row>
    <row r="632" spans="19:24" x14ac:dyDescent="0.25">
      <c r="S632" s="44">
        <f t="shared" si="55"/>
        <v>43682</v>
      </c>
      <c r="T632" s="12">
        <f t="shared" si="56"/>
        <v>6.2263620796710653</v>
      </c>
      <c r="U632" s="12">
        <f t="shared" si="52"/>
        <v>6.0400406308241354</v>
      </c>
      <c r="V632" s="30">
        <f t="shared" si="53"/>
        <v>0.48681424657534245</v>
      </c>
      <c r="W632" s="46">
        <f t="shared" si="57"/>
        <v>-6.2263620796710641E-2</v>
      </c>
      <c r="X632" s="33">
        <f t="shared" si="54"/>
        <v>2.8133801454103234E-2</v>
      </c>
    </row>
    <row r="633" spans="19:24" x14ac:dyDescent="0.25">
      <c r="S633" s="44">
        <f t="shared" si="55"/>
        <v>43683</v>
      </c>
      <c r="T633" s="12">
        <f t="shared" si="56"/>
        <v>6.2236849973695234</v>
      </c>
      <c r="U633" s="12">
        <f t="shared" si="52"/>
        <v>6.0373894540993476</v>
      </c>
      <c r="V633" s="30">
        <f t="shared" si="53"/>
        <v>0.48678684931506844</v>
      </c>
      <c r="W633" s="46">
        <f t="shared" si="57"/>
        <v>-6.2236849973695225E-2</v>
      </c>
      <c r="X633" s="33">
        <f t="shared" si="54"/>
        <v>2.8133759941830285E-2</v>
      </c>
    </row>
    <row r="634" spans="19:24" x14ac:dyDescent="0.25">
      <c r="S634" s="44">
        <f t="shared" si="55"/>
        <v>43684</v>
      </c>
      <c r="T634" s="12">
        <f t="shared" si="56"/>
        <v>6.2210079150679833</v>
      </c>
      <c r="U634" s="12">
        <f t="shared" si="52"/>
        <v>6.0347382773745597</v>
      </c>
      <c r="V634" s="30">
        <f t="shared" si="53"/>
        <v>0.48675945205479448</v>
      </c>
      <c r="W634" s="46">
        <f t="shared" si="57"/>
        <v>-6.2210079150679824E-2</v>
      </c>
      <c r="X634" s="33">
        <f t="shared" si="54"/>
        <v>2.8133718429557343E-2</v>
      </c>
    </row>
    <row r="635" spans="19:24" x14ac:dyDescent="0.25">
      <c r="S635" s="44">
        <f t="shared" si="55"/>
        <v>43685</v>
      </c>
      <c r="T635" s="12">
        <f t="shared" si="56"/>
        <v>6.2183308327664424</v>
      </c>
      <c r="U635" s="12">
        <f t="shared" si="52"/>
        <v>6.0320871006497683</v>
      </c>
      <c r="V635" s="30">
        <f t="shared" si="53"/>
        <v>0.48673205479452053</v>
      </c>
      <c r="W635" s="46">
        <f t="shared" si="57"/>
        <v>-6.2183308327664416E-2</v>
      </c>
      <c r="X635" s="33">
        <f t="shared" si="54"/>
        <v>2.8133676917284401E-2</v>
      </c>
    </row>
    <row r="636" spans="19:24" x14ac:dyDescent="0.25">
      <c r="S636" s="44">
        <f t="shared" si="55"/>
        <v>43686</v>
      </c>
      <c r="T636" s="12">
        <f t="shared" si="56"/>
        <v>6.2156537504649023</v>
      </c>
      <c r="U636" s="12">
        <f t="shared" si="52"/>
        <v>6.0294359239249786</v>
      </c>
      <c r="V636" s="30">
        <f t="shared" si="53"/>
        <v>0.48670465753424658</v>
      </c>
      <c r="W636" s="46">
        <f t="shared" si="57"/>
        <v>-6.2156537504649015E-2</v>
      </c>
      <c r="X636" s="33">
        <f t="shared" si="54"/>
        <v>2.8133635405011459E-2</v>
      </c>
    </row>
    <row r="637" spans="19:24" x14ac:dyDescent="0.25">
      <c r="S637" s="44">
        <f t="shared" si="55"/>
        <v>43687</v>
      </c>
      <c r="T637" s="12">
        <f t="shared" si="56"/>
        <v>6.2129766681633622</v>
      </c>
      <c r="U637" s="12">
        <f t="shared" si="52"/>
        <v>6.0267847472001899</v>
      </c>
      <c r="V637" s="30">
        <f t="shared" si="53"/>
        <v>0.48667726027397257</v>
      </c>
      <c r="W637" s="46">
        <f t="shared" si="57"/>
        <v>-6.2129766681633614E-2</v>
      </c>
      <c r="X637" s="33">
        <f t="shared" si="54"/>
        <v>2.8133593892738513E-2</v>
      </c>
    </row>
    <row r="638" spans="19:24" x14ac:dyDescent="0.25">
      <c r="S638" s="44">
        <f t="shared" si="55"/>
        <v>43688</v>
      </c>
      <c r="T638" s="12">
        <f t="shared" si="56"/>
        <v>6.2102995858618186</v>
      </c>
      <c r="U638" s="12">
        <f t="shared" si="52"/>
        <v>6.0241335704754002</v>
      </c>
      <c r="V638" s="30">
        <f t="shared" si="53"/>
        <v>0.48664986301369861</v>
      </c>
      <c r="W638" s="46">
        <f t="shared" si="57"/>
        <v>-6.2102995858618178E-2</v>
      </c>
      <c r="X638" s="33">
        <f t="shared" si="54"/>
        <v>2.8133552380465571E-2</v>
      </c>
    </row>
    <row r="639" spans="19:24" x14ac:dyDescent="0.25">
      <c r="S639" s="44">
        <f t="shared" si="55"/>
        <v>43689</v>
      </c>
      <c r="T639" s="12">
        <f t="shared" si="56"/>
        <v>6.2076225035602794</v>
      </c>
      <c r="U639" s="12">
        <f t="shared" si="52"/>
        <v>6.0214823937506115</v>
      </c>
      <c r="V639" s="30">
        <f t="shared" si="53"/>
        <v>0.4866224657534246</v>
      </c>
      <c r="W639" s="46">
        <f t="shared" si="57"/>
        <v>-6.2076225035602783E-2</v>
      </c>
      <c r="X639" s="33">
        <f t="shared" si="54"/>
        <v>2.8133510868192622E-2</v>
      </c>
    </row>
    <row r="640" spans="19:24" x14ac:dyDescent="0.25">
      <c r="S640" s="44">
        <f t="shared" si="55"/>
        <v>43690</v>
      </c>
      <c r="T640" s="12">
        <f t="shared" si="56"/>
        <v>6.2049454212587376</v>
      </c>
      <c r="U640" s="12">
        <f t="shared" si="52"/>
        <v>6.0188312170258236</v>
      </c>
      <c r="V640" s="30">
        <f t="shared" si="53"/>
        <v>0.48659506849315065</v>
      </c>
      <c r="W640" s="46">
        <f t="shared" si="57"/>
        <v>-6.2049454212587368E-2</v>
      </c>
      <c r="X640" s="33">
        <f t="shared" si="54"/>
        <v>2.8133469355919677E-2</v>
      </c>
    </row>
    <row r="641" spans="19:24" x14ac:dyDescent="0.25">
      <c r="S641" s="44">
        <f t="shared" si="55"/>
        <v>43691</v>
      </c>
      <c r="T641" s="12">
        <f t="shared" si="56"/>
        <v>6.2022683389571949</v>
      </c>
      <c r="U641" s="12">
        <f t="shared" si="52"/>
        <v>6.016180040301033</v>
      </c>
      <c r="V641" s="30">
        <f t="shared" si="53"/>
        <v>0.4865676712328767</v>
      </c>
      <c r="W641" s="46">
        <f t="shared" si="57"/>
        <v>-6.2022683389571939E-2</v>
      </c>
      <c r="X641" s="33">
        <f t="shared" si="54"/>
        <v>2.8133427843646738E-2</v>
      </c>
    </row>
    <row r="642" spans="19:24" x14ac:dyDescent="0.25">
      <c r="S642" s="44">
        <f t="shared" si="55"/>
        <v>43692</v>
      </c>
      <c r="T642" s="12">
        <f t="shared" si="56"/>
        <v>6.199591256655653</v>
      </c>
      <c r="U642" s="12">
        <f t="shared" si="52"/>
        <v>6.0135288635762452</v>
      </c>
      <c r="V642" s="30">
        <f t="shared" si="53"/>
        <v>0.48654027397260269</v>
      </c>
      <c r="W642" s="46">
        <f t="shared" si="57"/>
        <v>-6.1995912566556524E-2</v>
      </c>
      <c r="X642" s="33">
        <f t="shared" si="54"/>
        <v>2.8133386331373793E-2</v>
      </c>
    </row>
    <row r="643" spans="19:24" x14ac:dyDescent="0.25">
      <c r="S643" s="44">
        <f t="shared" si="55"/>
        <v>43693</v>
      </c>
      <c r="T643" s="12">
        <f t="shared" si="56"/>
        <v>6.1969141743541138</v>
      </c>
      <c r="U643" s="12">
        <f t="shared" si="52"/>
        <v>6.0108776868514529</v>
      </c>
      <c r="V643" s="30">
        <f t="shared" si="53"/>
        <v>0.48651287671232873</v>
      </c>
      <c r="W643" s="46">
        <f t="shared" si="57"/>
        <v>-6.196914174354113E-2</v>
      </c>
      <c r="X643" s="33">
        <f t="shared" si="54"/>
        <v>2.8133344819100851E-2</v>
      </c>
    </row>
    <row r="644" spans="19:24" x14ac:dyDescent="0.25">
      <c r="S644" s="44">
        <f t="shared" si="55"/>
        <v>43694</v>
      </c>
      <c r="T644" s="12">
        <f t="shared" si="56"/>
        <v>6.1942370920525702</v>
      </c>
      <c r="U644" s="12">
        <f t="shared" si="52"/>
        <v>6.0082265101266641</v>
      </c>
      <c r="V644" s="30">
        <f t="shared" si="53"/>
        <v>0.48648547945205478</v>
      </c>
      <c r="W644" s="46">
        <f t="shared" si="57"/>
        <v>-6.1942370920525694E-2</v>
      </c>
      <c r="X644" s="33">
        <f t="shared" si="54"/>
        <v>2.8133303306827909E-2</v>
      </c>
    </row>
    <row r="645" spans="19:24" x14ac:dyDescent="0.25">
      <c r="S645" s="44">
        <f t="shared" si="55"/>
        <v>43695</v>
      </c>
      <c r="T645" s="12">
        <f t="shared" si="56"/>
        <v>6.191560009751031</v>
      </c>
      <c r="U645" s="12">
        <f t="shared" ref="U645:U708" si="58">DurMod($S645,$B$2,$F$7:$G$37,U$3)</f>
        <v>6.0055753334018762</v>
      </c>
      <c r="V645" s="30">
        <f t="shared" ref="V645:V708" si="59">+$U$3*($S$5512-S645)/365+$T$3*(S645-$S$4)/365</f>
        <v>0.48645808219178077</v>
      </c>
      <c r="W645" s="46">
        <f t="shared" si="57"/>
        <v>-6.19156000975103E-2</v>
      </c>
      <c r="X645" s="33">
        <f t="shared" ref="X645:X708" si="60">+(V645+W645)*365/($S$5512-$S$4)</f>
        <v>2.813326179455496E-2</v>
      </c>
    </row>
    <row r="646" spans="19:24" x14ac:dyDescent="0.25">
      <c r="S646" s="44">
        <f t="shared" ref="S646:S709" si="61">+S645+1</f>
        <v>43696</v>
      </c>
      <c r="T646" s="12">
        <f t="shared" si="56"/>
        <v>6.1888829274494883</v>
      </c>
      <c r="U646" s="12">
        <f t="shared" si="58"/>
        <v>6.0029241566770848</v>
      </c>
      <c r="V646" s="30">
        <f t="shared" si="59"/>
        <v>0.48643068493150682</v>
      </c>
      <c r="W646" s="46">
        <f t="shared" si="57"/>
        <v>-6.1888829274494871E-2</v>
      </c>
      <c r="X646" s="33">
        <f t="shared" si="60"/>
        <v>2.8133220282282018E-2</v>
      </c>
    </row>
    <row r="647" spans="19:24" x14ac:dyDescent="0.25">
      <c r="S647" s="44">
        <f t="shared" si="61"/>
        <v>43697</v>
      </c>
      <c r="T647" s="12">
        <f t="shared" si="56"/>
        <v>6.1862058451479474</v>
      </c>
      <c r="U647" s="12">
        <f t="shared" si="58"/>
        <v>6.0002729799522978</v>
      </c>
      <c r="V647" s="30">
        <f t="shared" si="59"/>
        <v>0.48640328767123281</v>
      </c>
      <c r="W647" s="46">
        <f t="shared" si="57"/>
        <v>-6.1862058451479462E-2</v>
      </c>
      <c r="X647" s="33">
        <f t="shared" si="60"/>
        <v>2.8133178770009072E-2</v>
      </c>
    </row>
    <row r="648" spans="19:24" x14ac:dyDescent="0.25">
      <c r="S648" s="44">
        <f t="shared" si="61"/>
        <v>43698</v>
      </c>
      <c r="T648" s="12">
        <f t="shared" si="56"/>
        <v>6.1835287628464073</v>
      </c>
      <c r="U648" s="12">
        <f t="shared" si="58"/>
        <v>5.9976218032275073</v>
      </c>
      <c r="V648" s="30">
        <f t="shared" si="59"/>
        <v>0.48637589041095886</v>
      </c>
      <c r="W648" s="46">
        <f t="shared" si="57"/>
        <v>-6.1835287628464061E-2</v>
      </c>
      <c r="X648" s="33">
        <f t="shared" si="60"/>
        <v>2.813313725773613E-2</v>
      </c>
    </row>
    <row r="649" spans="19:24" x14ac:dyDescent="0.25">
      <c r="S649" s="44">
        <f t="shared" si="61"/>
        <v>43699</v>
      </c>
      <c r="T649" s="12">
        <f t="shared" si="56"/>
        <v>6.1808516805448654</v>
      </c>
      <c r="U649" s="12">
        <f t="shared" si="58"/>
        <v>5.9949706265027167</v>
      </c>
      <c r="V649" s="30">
        <f t="shared" si="59"/>
        <v>0.4863484931506849</v>
      </c>
      <c r="W649" s="46">
        <f t="shared" si="57"/>
        <v>-6.1808516805448646E-2</v>
      </c>
      <c r="X649" s="33">
        <f t="shared" si="60"/>
        <v>2.8133095745463188E-2</v>
      </c>
    </row>
    <row r="650" spans="19:24" x14ac:dyDescent="0.25">
      <c r="S650" s="44">
        <f t="shared" si="61"/>
        <v>43700</v>
      </c>
      <c r="T650" s="12">
        <f t="shared" si="56"/>
        <v>6.1781745982433245</v>
      </c>
      <c r="U650" s="12">
        <f t="shared" si="58"/>
        <v>5.992319449777928</v>
      </c>
      <c r="V650" s="30">
        <f t="shared" si="59"/>
        <v>0.48632109589041095</v>
      </c>
      <c r="W650" s="46">
        <f t="shared" si="57"/>
        <v>-6.1781745982433238E-2</v>
      </c>
      <c r="X650" s="33">
        <f t="shared" si="60"/>
        <v>2.8133054233190243E-2</v>
      </c>
    </row>
    <row r="651" spans="19:24" x14ac:dyDescent="0.25">
      <c r="S651" s="44">
        <f t="shared" si="61"/>
        <v>43701</v>
      </c>
      <c r="T651" s="12">
        <f t="shared" si="56"/>
        <v>6.1754975159417818</v>
      </c>
      <c r="U651" s="12">
        <f t="shared" si="58"/>
        <v>5.9896682730531401</v>
      </c>
      <c r="V651" s="30">
        <f t="shared" si="59"/>
        <v>0.48629369863013694</v>
      </c>
      <c r="W651" s="46">
        <f t="shared" si="57"/>
        <v>-6.1754975159417809E-2</v>
      </c>
      <c r="X651" s="33">
        <f t="shared" si="60"/>
        <v>2.81330127209173E-2</v>
      </c>
    </row>
    <row r="652" spans="19:24" x14ac:dyDescent="0.25">
      <c r="S652" s="44">
        <f t="shared" si="61"/>
        <v>43702</v>
      </c>
      <c r="T652" s="12">
        <f t="shared" si="56"/>
        <v>6.1728204336402417</v>
      </c>
      <c r="U652" s="12">
        <f t="shared" si="58"/>
        <v>5.9870170963283504</v>
      </c>
      <c r="V652" s="30">
        <f t="shared" si="59"/>
        <v>0.48626630136986293</v>
      </c>
      <c r="W652" s="46">
        <f t="shared" si="57"/>
        <v>-6.1728204336402408E-2</v>
      </c>
      <c r="X652" s="33">
        <f t="shared" si="60"/>
        <v>2.8132971208644351E-2</v>
      </c>
    </row>
    <row r="653" spans="19:24" x14ac:dyDescent="0.25">
      <c r="S653" s="44">
        <f t="shared" si="61"/>
        <v>43703</v>
      </c>
      <c r="T653" s="12">
        <f t="shared" si="56"/>
        <v>6.1701433513387016</v>
      </c>
      <c r="U653" s="12">
        <f t="shared" si="58"/>
        <v>5.9843659196035599</v>
      </c>
      <c r="V653" s="30">
        <f t="shared" si="59"/>
        <v>0.48623890410958903</v>
      </c>
      <c r="W653" s="46">
        <f t="shared" si="57"/>
        <v>-6.1701433513387006E-2</v>
      </c>
      <c r="X653" s="33">
        <f t="shared" si="60"/>
        <v>2.8132929696371409E-2</v>
      </c>
    </row>
    <row r="654" spans="19:24" x14ac:dyDescent="0.25">
      <c r="S654" s="44">
        <f t="shared" si="61"/>
        <v>43704</v>
      </c>
      <c r="T654" s="12">
        <f t="shared" si="56"/>
        <v>6.1674662690371607</v>
      </c>
      <c r="U654" s="12">
        <f t="shared" si="58"/>
        <v>5.981714742878772</v>
      </c>
      <c r="V654" s="30">
        <f t="shared" si="59"/>
        <v>0.48621150684931502</v>
      </c>
      <c r="W654" s="46">
        <f t="shared" si="57"/>
        <v>-6.1674662690371598E-2</v>
      </c>
      <c r="X654" s="33">
        <f t="shared" si="60"/>
        <v>2.8132888184098467E-2</v>
      </c>
    </row>
    <row r="655" spans="19:24" x14ac:dyDescent="0.25">
      <c r="S655" s="44">
        <f t="shared" si="61"/>
        <v>43705</v>
      </c>
      <c r="T655" s="12">
        <f t="shared" si="56"/>
        <v>6.1647891867356188</v>
      </c>
      <c r="U655" s="12">
        <f t="shared" si="58"/>
        <v>5.9790635661539806</v>
      </c>
      <c r="V655" s="30">
        <f t="shared" si="59"/>
        <v>0.48618410958904107</v>
      </c>
      <c r="W655" s="46">
        <f t="shared" si="57"/>
        <v>-6.1647891867356176E-2</v>
      </c>
      <c r="X655" s="33">
        <f t="shared" si="60"/>
        <v>2.8132846671825522E-2</v>
      </c>
    </row>
    <row r="656" spans="19:24" x14ac:dyDescent="0.25">
      <c r="S656" s="44">
        <f t="shared" si="61"/>
        <v>43706</v>
      </c>
      <c r="T656" s="12">
        <f t="shared" si="56"/>
        <v>6.162112104434077</v>
      </c>
      <c r="U656" s="12">
        <f t="shared" si="58"/>
        <v>5.976412389429191</v>
      </c>
      <c r="V656" s="30">
        <f t="shared" si="59"/>
        <v>0.48615671232876706</v>
      </c>
      <c r="W656" s="46">
        <f t="shared" si="57"/>
        <v>-6.1621121044340761E-2</v>
      </c>
      <c r="X656" s="33">
        <f t="shared" si="60"/>
        <v>2.813280515955258E-2</v>
      </c>
    </row>
    <row r="657" spans="19:24" x14ac:dyDescent="0.25">
      <c r="S657" s="44">
        <f t="shared" si="61"/>
        <v>43707</v>
      </c>
      <c r="T657" s="12">
        <f t="shared" si="56"/>
        <v>6.1594350221325351</v>
      </c>
      <c r="U657" s="12">
        <f t="shared" si="58"/>
        <v>5.973761212704404</v>
      </c>
      <c r="V657" s="30">
        <f t="shared" si="59"/>
        <v>0.48612931506849311</v>
      </c>
      <c r="W657" s="46">
        <f t="shared" si="57"/>
        <v>-6.1594350221325339E-2</v>
      </c>
      <c r="X657" s="33">
        <f t="shared" si="60"/>
        <v>2.8132763647279638E-2</v>
      </c>
    </row>
    <row r="658" spans="19:24" x14ac:dyDescent="0.25">
      <c r="S658" s="44">
        <f t="shared" si="61"/>
        <v>43708</v>
      </c>
      <c r="T658" s="12">
        <f t="shared" si="56"/>
        <v>6.1567579398309951</v>
      </c>
      <c r="U658" s="12">
        <f t="shared" si="58"/>
        <v>5.9711100359796152</v>
      </c>
      <c r="V658" s="30">
        <f t="shared" si="59"/>
        <v>0.48610191780821915</v>
      </c>
      <c r="W658" s="46">
        <f t="shared" si="57"/>
        <v>-6.1567579398309938E-2</v>
      </c>
      <c r="X658" s="33">
        <f t="shared" si="60"/>
        <v>2.8132722135006696E-2</v>
      </c>
    </row>
    <row r="659" spans="19:24" x14ac:dyDescent="0.25">
      <c r="S659" s="44">
        <f t="shared" si="61"/>
        <v>43709</v>
      </c>
      <c r="T659" s="12">
        <f t="shared" si="56"/>
        <v>6.1540808575294541</v>
      </c>
      <c r="U659" s="12">
        <f t="shared" si="58"/>
        <v>5.9684588592548273</v>
      </c>
      <c r="V659" s="30">
        <f t="shared" si="59"/>
        <v>0.48607452054794514</v>
      </c>
      <c r="W659" s="46">
        <f t="shared" si="57"/>
        <v>-6.154080857529453E-2</v>
      </c>
      <c r="X659" s="33">
        <f t="shared" si="60"/>
        <v>2.8132680622733747E-2</v>
      </c>
    </row>
    <row r="660" spans="19:24" x14ac:dyDescent="0.25">
      <c r="S660" s="44">
        <f t="shared" si="61"/>
        <v>43710</v>
      </c>
      <c r="T660" s="12">
        <f t="shared" si="56"/>
        <v>6.1514037752279123</v>
      </c>
      <c r="U660" s="12">
        <f t="shared" si="58"/>
        <v>5.9658076825300368</v>
      </c>
      <c r="V660" s="30">
        <f t="shared" si="59"/>
        <v>0.4860471232876713</v>
      </c>
      <c r="W660" s="46">
        <f t="shared" si="57"/>
        <v>-6.1514037752279115E-2</v>
      </c>
      <c r="X660" s="33">
        <f t="shared" si="60"/>
        <v>2.8132639110460812E-2</v>
      </c>
    </row>
    <row r="661" spans="19:24" x14ac:dyDescent="0.25">
      <c r="S661" s="44">
        <f t="shared" si="61"/>
        <v>43711</v>
      </c>
      <c r="T661" s="12">
        <f t="shared" si="56"/>
        <v>6.1487266929263713</v>
      </c>
      <c r="U661" s="12">
        <f t="shared" si="58"/>
        <v>5.963156505805248</v>
      </c>
      <c r="V661" s="30">
        <f t="shared" si="59"/>
        <v>0.48601972602739729</v>
      </c>
      <c r="W661" s="46">
        <f t="shared" si="57"/>
        <v>-6.1487266929263706E-2</v>
      </c>
      <c r="X661" s="33">
        <f t="shared" si="60"/>
        <v>2.8132597598187863E-2</v>
      </c>
    </row>
    <row r="662" spans="19:24" x14ac:dyDescent="0.25">
      <c r="S662" s="44">
        <f t="shared" si="61"/>
        <v>43712</v>
      </c>
      <c r="T662" s="12">
        <f t="shared" si="56"/>
        <v>6.1460496106248304</v>
      </c>
      <c r="U662" s="12">
        <f t="shared" si="58"/>
        <v>5.9605053290804575</v>
      </c>
      <c r="V662" s="30">
        <f t="shared" si="59"/>
        <v>0.48599232876712334</v>
      </c>
      <c r="W662" s="46">
        <f t="shared" si="57"/>
        <v>-6.1460496106248291E-2</v>
      </c>
      <c r="X662" s="33">
        <f t="shared" si="60"/>
        <v>2.8132556085914921E-2</v>
      </c>
    </row>
    <row r="663" spans="19:24" x14ac:dyDescent="0.25">
      <c r="S663" s="44">
        <f t="shared" si="61"/>
        <v>43713</v>
      </c>
      <c r="T663" s="12">
        <f t="shared" si="56"/>
        <v>6.1433725283232903</v>
      </c>
      <c r="U663" s="12">
        <f t="shared" si="58"/>
        <v>5.9578541523556687</v>
      </c>
      <c r="V663" s="30">
        <f t="shared" si="59"/>
        <v>0.48596493150684933</v>
      </c>
      <c r="W663" s="46">
        <f t="shared" si="57"/>
        <v>-6.143372528323289E-2</v>
      </c>
      <c r="X663" s="33">
        <f t="shared" si="60"/>
        <v>2.8132514573641975E-2</v>
      </c>
    </row>
    <row r="664" spans="19:24" x14ac:dyDescent="0.25">
      <c r="S664" s="44">
        <f t="shared" si="61"/>
        <v>43714</v>
      </c>
      <c r="T664" s="12">
        <f t="shared" si="56"/>
        <v>6.1406954460217458</v>
      </c>
      <c r="U664" s="12">
        <f t="shared" si="58"/>
        <v>5.9552029756308782</v>
      </c>
      <c r="V664" s="30">
        <f t="shared" si="59"/>
        <v>0.48593753424657538</v>
      </c>
      <c r="W664" s="46">
        <f t="shared" si="57"/>
        <v>-6.1406954460217447E-2</v>
      </c>
      <c r="X664" s="33">
        <f t="shared" si="60"/>
        <v>2.8132473061369036E-2</v>
      </c>
    </row>
    <row r="665" spans="19:24" x14ac:dyDescent="0.25">
      <c r="S665" s="44">
        <f t="shared" si="61"/>
        <v>43715</v>
      </c>
      <c r="T665" s="12">
        <f t="shared" si="56"/>
        <v>6.1380183637202066</v>
      </c>
      <c r="U665" s="12">
        <f t="shared" si="58"/>
        <v>5.9525517989060903</v>
      </c>
      <c r="V665" s="30">
        <f t="shared" si="59"/>
        <v>0.48591013698630142</v>
      </c>
      <c r="W665" s="46">
        <f t="shared" si="57"/>
        <v>-6.138018363720206E-2</v>
      </c>
      <c r="X665" s="33">
        <f t="shared" si="60"/>
        <v>2.8132431549096091E-2</v>
      </c>
    </row>
    <row r="666" spans="19:24" x14ac:dyDescent="0.25">
      <c r="S666" s="44">
        <f t="shared" si="61"/>
        <v>43716</v>
      </c>
      <c r="T666" s="12">
        <f t="shared" si="56"/>
        <v>6.1353412814186656</v>
      </c>
      <c r="U666" s="12">
        <f t="shared" si="58"/>
        <v>5.9499006221813007</v>
      </c>
      <c r="V666" s="30">
        <f t="shared" si="59"/>
        <v>0.48588273972602741</v>
      </c>
      <c r="W666" s="46">
        <f t="shared" si="57"/>
        <v>-6.1353412814186645E-2</v>
      </c>
      <c r="X666" s="33">
        <f t="shared" si="60"/>
        <v>2.8132390036823145E-2</v>
      </c>
    </row>
    <row r="667" spans="19:24" x14ac:dyDescent="0.25">
      <c r="S667" s="44">
        <f t="shared" si="61"/>
        <v>43717</v>
      </c>
      <c r="T667" s="12">
        <f t="shared" si="56"/>
        <v>6.1326641991171238</v>
      </c>
      <c r="U667" s="12">
        <f t="shared" si="58"/>
        <v>5.9472494454565119</v>
      </c>
      <c r="V667" s="30">
        <f t="shared" si="59"/>
        <v>0.48585534246575346</v>
      </c>
      <c r="W667" s="46">
        <f t="shared" si="57"/>
        <v>-6.132664199117123E-2</v>
      </c>
      <c r="X667" s="33">
        <f t="shared" si="60"/>
        <v>2.8132348524550203E-2</v>
      </c>
    </row>
    <row r="668" spans="19:24" x14ac:dyDescent="0.25">
      <c r="S668" s="44">
        <f t="shared" si="61"/>
        <v>43718</v>
      </c>
      <c r="T668" s="12">
        <f t="shared" si="56"/>
        <v>6.1299871168155837</v>
      </c>
      <c r="U668" s="12">
        <f t="shared" si="58"/>
        <v>5.9445982687317231</v>
      </c>
      <c r="V668" s="30">
        <f t="shared" si="59"/>
        <v>0.48582794520547945</v>
      </c>
      <c r="W668" s="46">
        <f t="shared" si="57"/>
        <v>-6.1299871168155828E-2</v>
      </c>
      <c r="X668" s="33">
        <f t="shared" si="60"/>
        <v>2.8132307012277254E-2</v>
      </c>
    </row>
    <row r="669" spans="19:24" x14ac:dyDescent="0.25">
      <c r="S669" s="44">
        <f t="shared" si="61"/>
        <v>43719</v>
      </c>
      <c r="T669" s="12">
        <f t="shared" si="56"/>
        <v>6.1273100345140445</v>
      </c>
      <c r="U669" s="12">
        <f t="shared" si="58"/>
        <v>5.9419470920069317</v>
      </c>
      <c r="V669" s="30">
        <f t="shared" si="59"/>
        <v>0.48580054794520555</v>
      </c>
      <c r="W669" s="46">
        <f t="shared" si="57"/>
        <v>-6.1273100345140434E-2</v>
      </c>
      <c r="X669" s="33">
        <f t="shared" si="60"/>
        <v>2.8132265500004312E-2</v>
      </c>
    </row>
    <row r="670" spans="19:24" x14ac:dyDescent="0.25">
      <c r="S670" s="44">
        <f t="shared" si="61"/>
        <v>43720</v>
      </c>
      <c r="T670" s="12">
        <f t="shared" si="56"/>
        <v>6.1246329522125009</v>
      </c>
      <c r="U670" s="12">
        <f t="shared" si="58"/>
        <v>5.9392959152821421</v>
      </c>
      <c r="V670" s="30">
        <f t="shared" si="59"/>
        <v>0.48577315068493154</v>
      </c>
      <c r="W670" s="46">
        <f t="shared" si="57"/>
        <v>-6.1246329522124998E-2</v>
      </c>
      <c r="X670" s="33">
        <f t="shared" si="60"/>
        <v>2.813222398773137E-2</v>
      </c>
    </row>
    <row r="671" spans="19:24" x14ac:dyDescent="0.25">
      <c r="S671" s="44">
        <f t="shared" si="61"/>
        <v>43721</v>
      </c>
      <c r="T671" s="12">
        <f t="shared" si="56"/>
        <v>6.1219558699109609</v>
      </c>
      <c r="U671" s="12">
        <f t="shared" si="58"/>
        <v>5.9366447385573542</v>
      </c>
      <c r="V671" s="30">
        <f t="shared" si="59"/>
        <v>0.48574575342465753</v>
      </c>
      <c r="W671" s="46">
        <f t="shared" si="57"/>
        <v>-6.1219558699109597E-2</v>
      </c>
      <c r="X671" s="33">
        <f t="shared" si="60"/>
        <v>2.8132182475458425E-2</v>
      </c>
    </row>
    <row r="672" spans="19:24" x14ac:dyDescent="0.25">
      <c r="S672" s="44">
        <f t="shared" si="61"/>
        <v>43722</v>
      </c>
      <c r="T672" s="12">
        <f t="shared" si="56"/>
        <v>6.1192787876094199</v>
      </c>
      <c r="U672" s="12">
        <f t="shared" si="58"/>
        <v>5.9339935618325663</v>
      </c>
      <c r="V672" s="30">
        <f t="shared" si="59"/>
        <v>0.48571835616438358</v>
      </c>
      <c r="W672" s="46">
        <f t="shared" si="57"/>
        <v>-6.1192787876094189E-2</v>
      </c>
      <c r="X672" s="33">
        <f t="shared" si="60"/>
        <v>2.8132140963185483E-2</v>
      </c>
    </row>
    <row r="673" spans="19:24" x14ac:dyDescent="0.25">
      <c r="S673" s="44">
        <f t="shared" si="61"/>
        <v>43723</v>
      </c>
      <c r="T673" s="12">
        <f t="shared" si="56"/>
        <v>6.1166017053078781</v>
      </c>
      <c r="U673" s="12">
        <f t="shared" si="58"/>
        <v>5.9313423851077731</v>
      </c>
      <c r="V673" s="30">
        <f t="shared" si="59"/>
        <v>0.48569095890410957</v>
      </c>
      <c r="W673" s="46">
        <f t="shared" si="57"/>
        <v>-6.1166017053078774E-2</v>
      </c>
      <c r="X673" s="33">
        <f t="shared" si="60"/>
        <v>2.8132099450912534E-2</v>
      </c>
    </row>
    <row r="674" spans="19:24" x14ac:dyDescent="0.25">
      <c r="S674" s="44">
        <f t="shared" si="61"/>
        <v>43724</v>
      </c>
      <c r="T674" s="12">
        <f t="shared" si="56"/>
        <v>6.1139246230063362</v>
      </c>
      <c r="U674" s="12">
        <f t="shared" si="58"/>
        <v>5.9286912083829861</v>
      </c>
      <c r="V674" s="30">
        <f t="shared" si="59"/>
        <v>0.48566356164383567</v>
      </c>
      <c r="W674" s="46">
        <f t="shared" si="57"/>
        <v>-6.1139246230063352E-2</v>
      </c>
      <c r="X674" s="33">
        <f t="shared" si="60"/>
        <v>2.8132057938639599E-2</v>
      </c>
    </row>
    <row r="675" spans="19:24" x14ac:dyDescent="0.25">
      <c r="S675" s="44">
        <f t="shared" si="61"/>
        <v>43725</v>
      </c>
      <c r="T675" s="12">
        <f t="shared" si="56"/>
        <v>6.1112475407047953</v>
      </c>
      <c r="U675" s="12">
        <f t="shared" si="58"/>
        <v>5.9260400316581947</v>
      </c>
      <c r="V675" s="30">
        <f t="shared" si="59"/>
        <v>0.48563616438356166</v>
      </c>
      <c r="W675" s="46">
        <f t="shared" si="57"/>
        <v>-6.1112475407047943E-2</v>
      </c>
      <c r="X675" s="33">
        <f t="shared" si="60"/>
        <v>2.813201642636665E-2</v>
      </c>
    </row>
    <row r="676" spans="19:24" x14ac:dyDescent="0.25">
      <c r="S676" s="44">
        <f t="shared" si="61"/>
        <v>43726</v>
      </c>
      <c r="T676" s="12">
        <f t="shared" si="56"/>
        <v>6.1085704584032525</v>
      </c>
      <c r="U676" s="12">
        <f t="shared" si="58"/>
        <v>5.9233888549334077</v>
      </c>
      <c r="V676" s="30">
        <f t="shared" si="59"/>
        <v>0.48560876712328771</v>
      </c>
      <c r="W676" s="46">
        <f t="shared" si="57"/>
        <v>-6.1085704584032514E-2</v>
      </c>
      <c r="X676" s="33">
        <f t="shared" si="60"/>
        <v>2.8131974914093708E-2</v>
      </c>
    </row>
    <row r="677" spans="19:24" x14ac:dyDescent="0.25">
      <c r="S677" s="44">
        <f t="shared" si="61"/>
        <v>43727</v>
      </c>
      <c r="T677" s="12">
        <f t="shared" si="56"/>
        <v>6.1058933761017107</v>
      </c>
      <c r="U677" s="12">
        <f t="shared" si="58"/>
        <v>5.9207376782086172</v>
      </c>
      <c r="V677" s="30">
        <f t="shared" si="59"/>
        <v>0.4855813698630137</v>
      </c>
      <c r="W677" s="46">
        <f t="shared" si="57"/>
        <v>-6.1058933761017099E-2</v>
      </c>
      <c r="X677" s="33">
        <f t="shared" si="60"/>
        <v>2.8131933401820762E-2</v>
      </c>
    </row>
    <row r="678" spans="19:24" x14ac:dyDescent="0.25">
      <c r="S678" s="44">
        <f t="shared" si="61"/>
        <v>43728</v>
      </c>
      <c r="T678" s="12">
        <f t="shared" si="56"/>
        <v>6.1032162938001724</v>
      </c>
      <c r="U678" s="12">
        <f t="shared" si="58"/>
        <v>5.9180865014838284</v>
      </c>
      <c r="V678" s="30">
        <f t="shared" si="59"/>
        <v>0.48555397260273975</v>
      </c>
      <c r="W678" s="46">
        <f t="shared" si="57"/>
        <v>-6.1032162938001712E-2</v>
      </c>
      <c r="X678" s="33">
        <f t="shared" si="60"/>
        <v>2.813189188954782E-2</v>
      </c>
    </row>
    <row r="679" spans="19:24" x14ac:dyDescent="0.25">
      <c r="S679" s="44">
        <f t="shared" si="61"/>
        <v>43729</v>
      </c>
      <c r="T679" s="12">
        <f t="shared" si="56"/>
        <v>6.1005392114986297</v>
      </c>
      <c r="U679" s="12">
        <f t="shared" si="58"/>
        <v>5.9154353247590379</v>
      </c>
      <c r="V679" s="30">
        <f t="shared" si="59"/>
        <v>0.48552657534246579</v>
      </c>
      <c r="W679" s="46">
        <f t="shared" si="57"/>
        <v>-6.100539211498629E-2</v>
      </c>
      <c r="X679" s="33">
        <f t="shared" si="60"/>
        <v>2.8131850377274878E-2</v>
      </c>
    </row>
    <row r="680" spans="19:24" x14ac:dyDescent="0.25">
      <c r="S680" s="44">
        <f t="shared" si="61"/>
        <v>43730</v>
      </c>
      <c r="T680" s="12">
        <f t="shared" si="56"/>
        <v>6.0978621291970887</v>
      </c>
      <c r="U680" s="12">
        <f t="shared" si="58"/>
        <v>5.91278414803425</v>
      </c>
      <c r="V680" s="30">
        <f t="shared" si="59"/>
        <v>0.48549917808219178</v>
      </c>
      <c r="W680" s="46">
        <f t="shared" si="57"/>
        <v>-6.0978621291970875E-2</v>
      </c>
      <c r="X680" s="33">
        <f t="shared" si="60"/>
        <v>2.8131808865001929E-2</v>
      </c>
    </row>
    <row r="681" spans="19:24" x14ac:dyDescent="0.25">
      <c r="S681" s="44">
        <f t="shared" si="61"/>
        <v>43731</v>
      </c>
      <c r="T681" s="12">
        <f t="shared" si="56"/>
        <v>6.0951850468955469</v>
      </c>
      <c r="U681" s="12">
        <f t="shared" si="58"/>
        <v>5.9101329713094612</v>
      </c>
      <c r="V681" s="30">
        <f t="shared" si="59"/>
        <v>0.48547178082191783</v>
      </c>
      <c r="W681" s="46">
        <f t="shared" si="57"/>
        <v>-6.095185046895546E-2</v>
      </c>
      <c r="X681" s="33">
        <f t="shared" si="60"/>
        <v>2.8131767352728987E-2</v>
      </c>
    </row>
    <row r="682" spans="19:24" x14ac:dyDescent="0.25">
      <c r="S682" s="44">
        <f t="shared" si="61"/>
        <v>43732</v>
      </c>
      <c r="T682" s="12">
        <f t="shared" si="56"/>
        <v>6.0925079645940086</v>
      </c>
      <c r="U682" s="12">
        <f t="shared" si="58"/>
        <v>5.9074817945846698</v>
      </c>
      <c r="V682" s="30">
        <f t="shared" si="59"/>
        <v>0.48544438356164382</v>
      </c>
      <c r="W682" s="46">
        <f t="shared" si="57"/>
        <v>-6.0925079645940079E-2</v>
      </c>
      <c r="X682" s="33">
        <f t="shared" si="60"/>
        <v>2.8131725840456041E-2</v>
      </c>
    </row>
    <row r="683" spans="19:24" x14ac:dyDescent="0.25">
      <c r="S683" s="44">
        <f t="shared" si="61"/>
        <v>43733</v>
      </c>
      <c r="T683" s="12">
        <f t="shared" si="56"/>
        <v>6.0898308822924649</v>
      </c>
      <c r="U683" s="12">
        <f t="shared" si="58"/>
        <v>5.9048306178598846</v>
      </c>
      <c r="V683" s="30">
        <f t="shared" si="59"/>
        <v>0.48541698630136987</v>
      </c>
      <c r="W683" s="46">
        <f t="shared" si="57"/>
        <v>-6.0898308822924643E-2</v>
      </c>
      <c r="X683" s="33">
        <f t="shared" si="60"/>
        <v>2.8131684328183099E-2</v>
      </c>
    </row>
    <row r="684" spans="19:24" x14ac:dyDescent="0.25">
      <c r="S684" s="44">
        <f t="shared" si="61"/>
        <v>43734</v>
      </c>
      <c r="T684" s="12">
        <f t="shared" si="56"/>
        <v>6.0871537999909231</v>
      </c>
      <c r="U684" s="12">
        <f t="shared" si="58"/>
        <v>5.9021794411350923</v>
      </c>
      <c r="V684" s="30">
        <f t="shared" si="59"/>
        <v>0.48538958904109591</v>
      </c>
      <c r="W684" s="46">
        <f t="shared" si="57"/>
        <v>-6.0871537999909221E-2</v>
      </c>
      <c r="X684" s="33">
        <f t="shared" si="60"/>
        <v>2.8131642815910157E-2</v>
      </c>
    </row>
    <row r="685" spans="19:24" x14ac:dyDescent="0.25">
      <c r="S685" s="44">
        <f t="shared" si="61"/>
        <v>43735</v>
      </c>
      <c r="T685" s="12">
        <f t="shared" si="56"/>
        <v>6.084476717689383</v>
      </c>
      <c r="U685" s="12">
        <f t="shared" si="58"/>
        <v>5.8995282644103018</v>
      </c>
      <c r="V685" s="30">
        <f t="shared" si="59"/>
        <v>0.48536219178082191</v>
      </c>
      <c r="W685" s="46">
        <f t="shared" si="57"/>
        <v>-6.084476717689382E-2</v>
      </c>
      <c r="X685" s="33">
        <f t="shared" si="60"/>
        <v>2.8131601303637208E-2</v>
      </c>
    </row>
    <row r="686" spans="19:24" x14ac:dyDescent="0.25">
      <c r="S686" s="44">
        <f t="shared" si="61"/>
        <v>43736</v>
      </c>
      <c r="T686" s="12">
        <f t="shared" si="56"/>
        <v>6.0817996353878438</v>
      </c>
      <c r="U686" s="12">
        <f t="shared" si="58"/>
        <v>5.896877087685513</v>
      </c>
      <c r="V686" s="30">
        <f t="shared" si="59"/>
        <v>0.48533479452054795</v>
      </c>
      <c r="W686" s="46">
        <f t="shared" si="57"/>
        <v>-6.0817996353878433E-2</v>
      </c>
      <c r="X686" s="33">
        <f t="shared" si="60"/>
        <v>2.813155979136427E-2</v>
      </c>
    </row>
    <row r="687" spans="19:24" x14ac:dyDescent="0.25">
      <c r="S687" s="44">
        <f t="shared" si="61"/>
        <v>43737</v>
      </c>
      <c r="T687" s="12">
        <f t="shared" si="56"/>
        <v>6.0791225530863011</v>
      </c>
      <c r="U687" s="12">
        <f t="shared" si="58"/>
        <v>5.8942259109607269</v>
      </c>
      <c r="V687" s="30">
        <f t="shared" si="59"/>
        <v>0.48530739726027394</v>
      </c>
      <c r="W687" s="46">
        <f t="shared" si="57"/>
        <v>-6.0791225530863004E-2</v>
      </c>
      <c r="X687" s="33">
        <f t="shared" si="60"/>
        <v>2.8131518279091321E-2</v>
      </c>
    </row>
    <row r="688" spans="19:24" x14ac:dyDescent="0.25">
      <c r="S688" s="44">
        <f t="shared" si="61"/>
        <v>43738</v>
      </c>
      <c r="T688" s="12">
        <f t="shared" si="56"/>
        <v>6.0764454707847602</v>
      </c>
      <c r="U688" s="12">
        <f t="shared" si="58"/>
        <v>5.8915747342359346</v>
      </c>
      <c r="V688" s="30">
        <f t="shared" si="59"/>
        <v>0.48528000000000004</v>
      </c>
      <c r="W688" s="46">
        <f t="shared" si="57"/>
        <v>-6.0764454707847596E-2</v>
      </c>
      <c r="X688" s="33">
        <f t="shared" si="60"/>
        <v>2.8131476766818386E-2</v>
      </c>
    </row>
    <row r="689" spans="19:24" x14ac:dyDescent="0.25">
      <c r="S689" s="44">
        <f t="shared" si="61"/>
        <v>43739</v>
      </c>
      <c r="T689" s="12">
        <f t="shared" si="56"/>
        <v>6.0737683884832183</v>
      </c>
      <c r="U689" s="12">
        <f t="shared" si="58"/>
        <v>5.8889235575111476</v>
      </c>
      <c r="V689" s="30">
        <f t="shared" si="59"/>
        <v>0.48525260273972604</v>
      </c>
      <c r="W689" s="46">
        <f t="shared" si="57"/>
        <v>-6.0737683884832173E-2</v>
      </c>
      <c r="X689" s="33">
        <f t="shared" si="60"/>
        <v>2.8131435254545433E-2</v>
      </c>
    </row>
    <row r="690" spans="19:24" x14ac:dyDescent="0.25">
      <c r="S690" s="44">
        <f t="shared" si="61"/>
        <v>43740</v>
      </c>
      <c r="T690" s="12">
        <f t="shared" ref="T690:T753" si="62">DurMod(S690,B$2,$F$7:$G$37,$T$3)</f>
        <v>6.0710913061816756</v>
      </c>
      <c r="U690" s="12">
        <f t="shared" si="58"/>
        <v>5.8862723807863544</v>
      </c>
      <c r="V690" s="30">
        <f t="shared" si="59"/>
        <v>0.48522520547945203</v>
      </c>
      <c r="W690" s="46">
        <f t="shared" ref="W690:W753" si="63">+-T690*($U$3-$T$3)</f>
        <v>-6.0710913061816744E-2</v>
      </c>
      <c r="X690" s="33">
        <f t="shared" si="60"/>
        <v>2.8131393742272491E-2</v>
      </c>
    </row>
    <row r="691" spans="19:24" x14ac:dyDescent="0.25">
      <c r="S691" s="44">
        <f t="shared" si="61"/>
        <v>43741</v>
      </c>
      <c r="T691" s="12">
        <f t="shared" si="62"/>
        <v>6.0684142238801355</v>
      </c>
      <c r="U691" s="12">
        <f t="shared" si="58"/>
        <v>5.8836212040615674</v>
      </c>
      <c r="V691" s="30">
        <f t="shared" si="59"/>
        <v>0.48519780821917807</v>
      </c>
      <c r="W691" s="46">
        <f t="shared" si="63"/>
        <v>-6.0684142238801343E-2</v>
      </c>
      <c r="X691" s="33">
        <f t="shared" si="60"/>
        <v>2.8131352229999549E-2</v>
      </c>
    </row>
    <row r="692" spans="19:24" x14ac:dyDescent="0.25">
      <c r="S692" s="44">
        <f t="shared" si="61"/>
        <v>43742</v>
      </c>
      <c r="T692" s="12">
        <f t="shared" si="62"/>
        <v>6.0657371415785928</v>
      </c>
      <c r="U692" s="12">
        <f t="shared" si="58"/>
        <v>5.8809700273367786</v>
      </c>
      <c r="V692" s="30">
        <f t="shared" si="59"/>
        <v>0.48517041095890412</v>
      </c>
      <c r="W692" s="46">
        <f t="shared" si="63"/>
        <v>-6.0657371415785921E-2</v>
      </c>
      <c r="X692" s="33">
        <f t="shared" si="60"/>
        <v>2.8131310717726607E-2</v>
      </c>
    </row>
    <row r="693" spans="19:24" x14ac:dyDescent="0.25">
      <c r="S693" s="44">
        <f t="shared" si="61"/>
        <v>43743</v>
      </c>
      <c r="T693" s="12">
        <f t="shared" si="62"/>
        <v>6.0630600592770527</v>
      </c>
      <c r="U693" s="12">
        <f t="shared" si="58"/>
        <v>5.8783188506119899</v>
      </c>
      <c r="V693" s="30">
        <f t="shared" si="59"/>
        <v>0.48514301369863017</v>
      </c>
      <c r="W693" s="46">
        <f t="shared" si="63"/>
        <v>-6.063060059277052E-2</v>
      </c>
      <c r="X693" s="33">
        <f t="shared" si="60"/>
        <v>2.8131269205453658E-2</v>
      </c>
    </row>
    <row r="694" spans="19:24" x14ac:dyDescent="0.25">
      <c r="S694" s="44">
        <f t="shared" si="61"/>
        <v>43744</v>
      </c>
      <c r="T694" s="12">
        <f t="shared" si="62"/>
        <v>6.0603829769755118</v>
      </c>
      <c r="U694" s="12">
        <f t="shared" si="58"/>
        <v>5.8756676738872011</v>
      </c>
      <c r="V694" s="30">
        <f t="shared" si="59"/>
        <v>0.48511561643835616</v>
      </c>
      <c r="W694" s="46">
        <f t="shared" si="63"/>
        <v>-6.0603829769755112E-2</v>
      </c>
      <c r="X694" s="33">
        <f t="shared" si="60"/>
        <v>2.8131227693180716E-2</v>
      </c>
    </row>
    <row r="695" spans="19:24" x14ac:dyDescent="0.25">
      <c r="S695" s="44">
        <f t="shared" si="61"/>
        <v>43745</v>
      </c>
      <c r="T695" s="12">
        <f t="shared" si="62"/>
        <v>6.0577058946739699</v>
      </c>
      <c r="U695" s="12">
        <f t="shared" si="58"/>
        <v>5.8730164971624115</v>
      </c>
      <c r="V695" s="30">
        <f t="shared" si="59"/>
        <v>0.48508821917808215</v>
      </c>
      <c r="W695" s="46">
        <f t="shared" si="63"/>
        <v>-6.057705894673969E-2</v>
      </c>
      <c r="X695" s="33">
        <f t="shared" si="60"/>
        <v>2.813118618090777E-2</v>
      </c>
    </row>
    <row r="696" spans="19:24" x14ac:dyDescent="0.25">
      <c r="S696" s="44">
        <f t="shared" si="61"/>
        <v>43746</v>
      </c>
      <c r="T696" s="12">
        <f t="shared" si="62"/>
        <v>6.0550288123724298</v>
      </c>
      <c r="U696" s="12">
        <f t="shared" si="58"/>
        <v>5.8703653204376218</v>
      </c>
      <c r="V696" s="30">
        <f t="shared" si="59"/>
        <v>0.48506082191780819</v>
      </c>
      <c r="W696" s="46">
        <f t="shared" si="63"/>
        <v>-6.0550288123724288E-2</v>
      </c>
      <c r="X696" s="33">
        <f t="shared" si="60"/>
        <v>2.8131144668634821E-2</v>
      </c>
    </row>
    <row r="697" spans="19:24" x14ac:dyDescent="0.25">
      <c r="S697" s="44">
        <f t="shared" si="61"/>
        <v>43747</v>
      </c>
      <c r="T697" s="12">
        <f t="shared" si="62"/>
        <v>6.0523517300708871</v>
      </c>
      <c r="U697" s="12">
        <f t="shared" si="58"/>
        <v>5.8677141437128304</v>
      </c>
      <c r="V697" s="30">
        <f t="shared" si="59"/>
        <v>0.48503342465753424</v>
      </c>
      <c r="W697" s="46">
        <f t="shared" si="63"/>
        <v>-6.0523517300708859E-2</v>
      </c>
      <c r="X697" s="33">
        <f t="shared" si="60"/>
        <v>2.8131103156361886E-2</v>
      </c>
    </row>
    <row r="698" spans="19:24" x14ac:dyDescent="0.25">
      <c r="S698" s="44">
        <f t="shared" si="61"/>
        <v>43748</v>
      </c>
      <c r="T698" s="12">
        <f t="shared" si="62"/>
        <v>6.0496746477693453</v>
      </c>
      <c r="U698" s="12">
        <f t="shared" si="58"/>
        <v>5.8650629669880416</v>
      </c>
      <c r="V698" s="30">
        <f t="shared" si="59"/>
        <v>0.48500602739726029</v>
      </c>
      <c r="W698" s="46">
        <f t="shared" si="63"/>
        <v>-6.0496746477693444E-2</v>
      </c>
      <c r="X698" s="33">
        <f t="shared" si="60"/>
        <v>2.8131061644088944E-2</v>
      </c>
    </row>
    <row r="699" spans="19:24" x14ac:dyDescent="0.25">
      <c r="S699" s="44">
        <f t="shared" si="61"/>
        <v>43749</v>
      </c>
      <c r="T699" s="12">
        <f t="shared" si="62"/>
        <v>6.0469975654678043</v>
      </c>
      <c r="U699" s="12">
        <f t="shared" si="58"/>
        <v>5.8624117902632538</v>
      </c>
      <c r="V699" s="30">
        <f t="shared" si="59"/>
        <v>0.48497863013698628</v>
      </c>
      <c r="W699" s="46">
        <f t="shared" si="63"/>
        <v>-6.0469975654678036E-2</v>
      </c>
      <c r="X699" s="33">
        <f t="shared" si="60"/>
        <v>2.8131020131815995E-2</v>
      </c>
    </row>
    <row r="700" spans="19:24" x14ac:dyDescent="0.25">
      <c r="S700" s="44">
        <f t="shared" si="61"/>
        <v>43750</v>
      </c>
      <c r="T700" s="12">
        <f t="shared" si="62"/>
        <v>6.0443204831662625</v>
      </c>
      <c r="U700" s="12">
        <f t="shared" si="58"/>
        <v>5.8597606135384632</v>
      </c>
      <c r="V700" s="30">
        <f t="shared" si="59"/>
        <v>0.48495123287671232</v>
      </c>
      <c r="W700" s="46">
        <f t="shared" si="63"/>
        <v>-6.0443204831662614E-2</v>
      </c>
      <c r="X700" s="33">
        <f t="shared" si="60"/>
        <v>2.8130978619543053E-2</v>
      </c>
    </row>
    <row r="701" spans="19:24" x14ac:dyDescent="0.25">
      <c r="S701" s="44">
        <f t="shared" si="61"/>
        <v>43751</v>
      </c>
      <c r="T701" s="12">
        <f t="shared" si="62"/>
        <v>6.0416434008647233</v>
      </c>
      <c r="U701" s="12">
        <f t="shared" si="58"/>
        <v>5.8571094368136745</v>
      </c>
      <c r="V701" s="30">
        <f t="shared" si="59"/>
        <v>0.48492383561643837</v>
      </c>
      <c r="W701" s="46">
        <f t="shared" si="63"/>
        <v>-6.0416434008647227E-2</v>
      </c>
      <c r="X701" s="33">
        <f t="shared" si="60"/>
        <v>2.8130937107270111E-2</v>
      </c>
    </row>
    <row r="702" spans="19:24" x14ac:dyDescent="0.25">
      <c r="S702" s="44">
        <f t="shared" si="61"/>
        <v>43752</v>
      </c>
      <c r="T702" s="12">
        <f t="shared" si="62"/>
        <v>6.0389663185631823</v>
      </c>
      <c r="U702" s="12">
        <f t="shared" si="58"/>
        <v>5.8544582600888839</v>
      </c>
      <c r="V702" s="30">
        <f t="shared" si="59"/>
        <v>0.48489643835616436</v>
      </c>
      <c r="W702" s="46">
        <f t="shared" si="63"/>
        <v>-6.0389663185631812E-2</v>
      </c>
      <c r="X702" s="33">
        <f t="shared" si="60"/>
        <v>2.8130895594997166E-2</v>
      </c>
    </row>
    <row r="703" spans="19:24" x14ac:dyDescent="0.25">
      <c r="S703" s="44">
        <f t="shared" si="61"/>
        <v>43753</v>
      </c>
      <c r="T703" s="12">
        <f t="shared" si="62"/>
        <v>6.0362892362616387</v>
      </c>
      <c r="U703" s="12">
        <f t="shared" si="58"/>
        <v>5.8518070833640969</v>
      </c>
      <c r="V703" s="30">
        <f t="shared" si="59"/>
        <v>0.48486904109589041</v>
      </c>
      <c r="W703" s="46">
        <f t="shared" si="63"/>
        <v>-6.0362892362616376E-2</v>
      </c>
      <c r="X703" s="33">
        <f t="shared" si="60"/>
        <v>2.8130854082724224E-2</v>
      </c>
    </row>
    <row r="704" spans="19:24" x14ac:dyDescent="0.25">
      <c r="S704" s="44">
        <f t="shared" si="61"/>
        <v>43754</v>
      </c>
      <c r="T704" s="12">
        <f t="shared" si="62"/>
        <v>6.0336121539600986</v>
      </c>
      <c r="U704" s="12">
        <f t="shared" si="58"/>
        <v>5.8491559066393073</v>
      </c>
      <c r="V704" s="30">
        <f t="shared" si="59"/>
        <v>0.4848416438356164</v>
      </c>
      <c r="W704" s="46">
        <f t="shared" si="63"/>
        <v>-6.0336121539600975E-2</v>
      </c>
      <c r="X704" s="33">
        <f t="shared" si="60"/>
        <v>2.8130812570451275E-2</v>
      </c>
    </row>
    <row r="705" spans="19:24" x14ac:dyDescent="0.25">
      <c r="S705" s="44">
        <f t="shared" si="61"/>
        <v>43755</v>
      </c>
      <c r="T705" s="12">
        <f t="shared" si="62"/>
        <v>6.0309350716585568</v>
      </c>
      <c r="U705" s="12">
        <f t="shared" si="58"/>
        <v>5.8465047299145168</v>
      </c>
      <c r="V705" s="30">
        <f t="shared" si="59"/>
        <v>0.48481424657534244</v>
      </c>
      <c r="W705" s="46">
        <f t="shared" si="63"/>
        <v>-6.0309350716585559E-2</v>
      </c>
      <c r="X705" s="33">
        <f t="shared" si="60"/>
        <v>2.8130771058178336E-2</v>
      </c>
    </row>
    <row r="706" spans="19:24" x14ac:dyDescent="0.25">
      <c r="S706" s="44">
        <f t="shared" si="61"/>
        <v>43756</v>
      </c>
      <c r="T706" s="12">
        <f t="shared" si="62"/>
        <v>6.0282579893570158</v>
      </c>
      <c r="U706" s="12">
        <f t="shared" si="58"/>
        <v>5.843853553189728</v>
      </c>
      <c r="V706" s="30">
        <f t="shared" si="59"/>
        <v>0.48478684931506849</v>
      </c>
      <c r="W706" s="46">
        <f t="shared" si="63"/>
        <v>-6.0282579893570151E-2</v>
      </c>
      <c r="X706" s="33">
        <f t="shared" si="60"/>
        <v>2.8130729545905394E-2</v>
      </c>
    </row>
    <row r="707" spans="19:24" x14ac:dyDescent="0.25">
      <c r="S707" s="44">
        <f t="shared" si="61"/>
        <v>43757</v>
      </c>
      <c r="T707" s="12">
        <f t="shared" si="62"/>
        <v>6.0255809070554758</v>
      </c>
      <c r="U707" s="12">
        <f t="shared" si="58"/>
        <v>5.8412023764649401</v>
      </c>
      <c r="V707" s="30">
        <f t="shared" si="59"/>
        <v>0.48475945205479454</v>
      </c>
      <c r="W707" s="46">
        <f t="shared" si="63"/>
        <v>-6.025580907055475E-2</v>
      </c>
      <c r="X707" s="33">
        <f t="shared" si="60"/>
        <v>2.8130688033632452E-2</v>
      </c>
    </row>
    <row r="708" spans="19:24" x14ac:dyDescent="0.25">
      <c r="S708" s="44">
        <f t="shared" si="61"/>
        <v>43758</v>
      </c>
      <c r="T708" s="12">
        <f t="shared" si="62"/>
        <v>6.022903824753933</v>
      </c>
      <c r="U708" s="12">
        <f t="shared" si="58"/>
        <v>5.8385511997401469</v>
      </c>
      <c r="V708" s="30">
        <f t="shared" si="59"/>
        <v>0.48473205479452053</v>
      </c>
      <c r="W708" s="46">
        <f t="shared" si="63"/>
        <v>-6.0229038247539321E-2</v>
      </c>
      <c r="X708" s="33">
        <f t="shared" si="60"/>
        <v>2.8130646521359503E-2</v>
      </c>
    </row>
    <row r="709" spans="19:24" x14ac:dyDescent="0.25">
      <c r="S709" s="44">
        <f t="shared" si="61"/>
        <v>43759</v>
      </c>
      <c r="T709" s="12">
        <f t="shared" si="62"/>
        <v>6.0202267424523921</v>
      </c>
      <c r="U709" s="12">
        <f t="shared" ref="U709:U772" si="64">DurMod($S709,$B$2,$F$7:$G$37,U$3)</f>
        <v>5.835900023015359</v>
      </c>
      <c r="V709" s="30">
        <f t="shared" ref="V709:V772" si="65">+$U$3*($S$5512-S709)/365+$T$3*(S709-$S$4)/365</f>
        <v>0.48470465753424652</v>
      </c>
      <c r="W709" s="46">
        <f t="shared" si="63"/>
        <v>-6.0202267424523913E-2</v>
      </c>
      <c r="X709" s="33">
        <f t="shared" ref="X709:X772" si="66">+(V709+W709)*365/($S$5512-$S$4)</f>
        <v>2.8130605009086557E-2</v>
      </c>
    </row>
    <row r="710" spans="19:24" x14ac:dyDescent="0.25">
      <c r="S710" s="44">
        <f t="shared" ref="S710:S773" si="67">+S709+1</f>
        <v>43760</v>
      </c>
      <c r="T710" s="12">
        <f t="shared" si="62"/>
        <v>6.0175496601508529</v>
      </c>
      <c r="U710" s="12">
        <f t="shared" si="64"/>
        <v>5.8332488462905712</v>
      </c>
      <c r="V710" s="30">
        <f t="shared" si="65"/>
        <v>0.48467726027397262</v>
      </c>
      <c r="W710" s="46">
        <f t="shared" si="63"/>
        <v>-6.0175496601508519E-2</v>
      </c>
      <c r="X710" s="33">
        <f t="shared" si="66"/>
        <v>2.8130563496813619E-2</v>
      </c>
    </row>
    <row r="711" spans="19:24" x14ac:dyDescent="0.25">
      <c r="S711" s="44">
        <f t="shared" si="67"/>
        <v>43761</v>
      </c>
      <c r="T711" s="12">
        <f t="shared" si="62"/>
        <v>6.0148725778493111</v>
      </c>
      <c r="U711" s="12">
        <f t="shared" si="64"/>
        <v>5.8305976695657824</v>
      </c>
      <c r="V711" s="30">
        <f t="shared" si="65"/>
        <v>0.48464986301369861</v>
      </c>
      <c r="W711" s="46">
        <f t="shared" si="63"/>
        <v>-6.0148725778493103E-2</v>
      </c>
      <c r="X711" s="33">
        <f t="shared" si="66"/>
        <v>2.8130521984540666E-2</v>
      </c>
    </row>
    <row r="712" spans="19:24" x14ac:dyDescent="0.25">
      <c r="S712" s="44">
        <f t="shared" si="67"/>
        <v>43762</v>
      </c>
      <c r="T712" s="12">
        <f t="shared" si="62"/>
        <v>6.012195495547771</v>
      </c>
      <c r="U712" s="12">
        <f t="shared" si="64"/>
        <v>5.8279464928409919</v>
      </c>
      <c r="V712" s="30">
        <f t="shared" si="65"/>
        <v>0.48462246575342466</v>
      </c>
      <c r="W712" s="46">
        <f t="shared" si="63"/>
        <v>-6.0121954955477702E-2</v>
      </c>
      <c r="X712" s="33">
        <f t="shared" si="66"/>
        <v>2.8130480472267724E-2</v>
      </c>
    </row>
    <row r="713" spans="19:24" x14ac:dyDescent="0.25">
      <c r="S713" s="44">
        <f t="shared" si="67"/>
        <v>43763</v>
      </c>
      <c r="T713" s="12">
        <f t="shared" si="62"/>
        <v>6.0095184132462292</v>
      </c>
      <c r="U713" s="12">
        <f t="shared" si="64"/>
        <v>5.8252953161162022</v>
      </c>
      <c r="V713" s="30">
        <f t="shared" si="65"/>
        <v>0.48459506849315065</v>
      </c>
      <c r="W713" s="46">
        <f t="shared" si="63"/>
        <v>-6.009518413246228E-2</v>
      </c>
      <c r="X713" s="33">
        <f t="shared" si="66"/>
        <v>2.8130438959994782E-2</v>
      </c>
    </row>
    <row r="714" spans="19:24" x14ac:dyDescent="0.25">
      <c r="S714" s="44">
        <f t="shared" si="67"/>
        <v>43764</v>
      </c>
      <c r="T714" s="12">
        <f t="shared" si="62"/>
        <v>6.0068413309446873</v>
      </c>
      <c r="U714" s="12">
        <f t="shared" si="64"/>
        <v>5.8226441393914152</v>
      </c>
      <c r="V714" s="30">
        <f t="shared" si="65"/>
        <v>0.4845676712328767</v>
      </c>
      <c r="W714" s="46">
        <f t="shared" si="63"/>
        <v>-6.0068413309446865E-2</v>
      </c>
      <c r="X714" s="33">
        <f t="shared" si="66"/>
        <v>2.813039744772184E-2</v>
      </c>
    </row>
    <row r="715" spans="19:24" x14ac:dyDescent="0.25">
      <c r="S715" s="44">
        <f t="shared" si="67"/>
        <v>43765</v>
      </c>
      <c r="T715" s="12">
        <f t="shared" si="62"/>
        <v>6.0041642486431437</v>
      </c>
      <c r="U715" s="12">
        <f t="shared" si="64"/>
        <v>5.8199929626666256</v>
      </c>
      <c r="V715" s="30">
        <f t="shared" si="65"/>
        <v>0.48454027397260274</v>
      </c>
      <c r="W715" s="46">
        <f t="shared" si="63"/>
        <v>-6.0041642486431429E-2</v>
      </c>
      <c r="X715" s="33">
        <f t="shared" si="66"/>
        <v>2.8130355935448895E-2</v>
      </c>
    </row>
    <row r="716" spans="19:24" x14ac:dyDescent="0.25">
      <c r="S716" s="44">
        <f t="shared" si="67"/>
        <v>43766</v>
      </c>
      <c r="T716" s="12">
        <f t="shared" si="62"/>
        <v>6.0014871663416063</v>
      </c>
      <c r="U716" s="12">
        <f t="shared" si="64"/>
        <v>5.8173417859418333</v>
      </c>
      <c r="V716" s="30">
        <f t="shared" si="65"/>
        <v>0.48451287671232873</v>
      </c>
      <c r="W716" s="46">
        <f t="shared" si="63"/>
        <v>-6.0014871663416056E-2</v>
      </c>
      <c r="X716" s="33">
        <f t="shared" si="66"/>
        <v>2.8130314423175946E-2</v>
      </c>
    </row>
    <row r="717" spans="19:24" x14ac:dyDescent="0.25">
      <c r="S717" s="44">
        <f t="shared" si="67"/>
        <v>43767</v>
      </c>
      <c r="T717" s="12">
        <f t="shared" si="62"/>
        <v>5.9988100840400627</v>
      </c>
      <c r="U717" s="12">
        <f t="shared" si="64"/>
        <v>5.8146906092170436</v>
      </c>
      <c r="V717" s="30">
        <f t="shared" si="65"/>
        <v>0.48448547945205478</v>
      </c>
      <c r="W717" s="46">
        <f t="shared" si="63"/>
        <v>-5.998810084040062E-2</v>
      </c>
      <c r="X717" s="33">
        <f t="shared" si="66"/>
        <v>2.8130272910903011E-2</v>
      </c>
    </row>
    <row r="718" spans="19:24" x14ac:dyDescent="0.25">
      <c r="S718" s="44">
        <f t="shared" si="67"/>
        <v>43768</v>
      </c>
      <c r="T718" s="12">
        <f t="shared" si="62"/>
        <v>5.9961330017385226</v>
      </c>
      <c r="U718" s="12">
        <f t="shared" si="64"/>
        <v>5.8120394324922575</v>
      </c>
      <c r="V718" s="30">
        <f t="shared" si="65"/>
        <v>0.48445808219178077</v>
      </c>
      <c r="W718" s="46">
        <f t="shared" si="63"/>
        <v>-5.9961330017385218E-2</v>
      </c>
      <c r="X718" s="33">
        <f t="shared" si="66"/>
        <v>2.8130231398630058E-2</v>
      </c>
    </row>
    <row r="719" spans="19:24" x14ac:dyDescent="0.25">
      <c r="S719" s="44">
        <f t="shared" si="67"/>
        <v>43769</v>
      </c>
      <c r="T719" s="12">
        <f t="shared" si="62"/>
        <v>5.9934559194369834</v>
      </c>
      <c r="U719" s="12">
        <f t="shared" si="64"/>
        <v>5.8093882557674688</v>
      </c>
      <c r="V719" s="30">
        <f t="shared" si="65"/>
        <v>0.48443068493150687</v>
      </c>
      <c r="W719" s="46">
        <f t="shared" si="63"/>
        <v>-5.9934559194369824E-2</v>
      </c>
      <c r="X719" s="33">
        <f t="shared" si="66"/>
        <v>2.813018988635712E-2</v>
      </c>
    </row>
    <row r="720" spans="19:24" x14ac:dyDescent="0.25">
      <c r="S720" s="44">
        <f t="shared" si="67"/>
        <v>43770</v>
      </c>
      <c r="T720" s="12">
        <f t="shared" si="62"/>
        <v>5.9907788371354416</v>
      </c>
      <c r="U720" s="12">
        <f t="shared" si="64"/>
        <v>5.8067370790426791</v>
      </c>
      <c r="V720" s="30">
        <f t="shared" si="65"/>
        <v>0.48440328767123286</v>
      </c>
      <c r="W720" s="46">
        <f t="shared" si="63"/>
        <v>-5.9907788371354409E-2</v>
      </c>
      <c r="X720" s="33">
        <f t="shared" si="66"/>
        <v>2.8130148374084174E-2</v>
      </c>
    </row>
    <row r="721" spans="19:24" x14ac:dyDescent="0.25">
      <c r="S721" s="44">
        <f t="shared" si="67"/>
        <v>43771</v>
      </c>
      <c r="T721" s="12">
        <f t="shared" si="62"/>
        <v>5.9881017548338988</v>
      </c>
      <c r="U721" s="12">
        <f t="shared" si="64"/>
        <v>5.8040859023178868</v>
      </c>
      <c r="V721" s="30">
        <f t="shared" si="65"/>
        <v>0.48437589041095885</v>
      </c>
      <c r="W721" s="46">
        <f t="shared" si="63"/>
        <v>-5.988101754833898E-2</v>
      </c>
      <c r="X721" s="33">
        <f t="shared" si="66"/>
        <v>2.8130106861811232E-2</v>
      </c>
    </row>
    <row r="722" spans="19:24" x14ac:dyDescent="0.25">
      <c r="S722" s="44">
        <f t="shared" si="67"/>
        <v>43772</v>
      </c>
      <c r="T722" s="12">
        <f t="shared" si="62"/>
        <v>5.9854246725323588</v>
      </c>
      <c r="U722" s="12">
        <f t="shared" si="64"/>
        <v>5.8014347255930998</v>
      </c>
      <c r="V722" s="30">
        <f t="shared" si="65"/>
        <v>0.4843484931506849</v>
      </c>
      <c r="W722" s="46">
        <f t="shared" si="63"/>
        <v>-5.9854246725323579E-2</v>
      </c>
      <c r="X722" s="33">
        <f t="shared" si="66"/>
        <v>2.8130065349538283E-2</v>
      </c>
    </row>
    <row r="723" spans="19:24" x14ac:dyDescent="0.25">
      <c r="S723" s="44">
        <f t="shared" si="67"/>
        <v>43773</v>
      </c>
      <c r="T723" s="12">
        <f t="shared" si="62"/>
        <v>5.9827475902308187</v>
      </c>
      <c r="U723" s="12">
        <f t="shared" si="64"/>
        <v>5.7987835488683093</v>
      </c>
      <c r="V723" s="30">
        <f t="shared" si="65"/>
        <v>0.48432109589041089</v>
      </c>
      <c r="W723" s="46">
        <f t="shared" si="63"/>
        <v>-5.9827475902308178E-2</v>
      </c>
      <c r="X723" s="33">
        <f t="shared" si="66"/>
        <v>2.8130023837265337E-2</v>
      </c>
    </row>
    <row r="724" spans="19:24" x14ac:dyDescent="0.25">
      <c r="S724" s="44">
        <f t="shared" si="67"/>
        <v>43774</v>
      </c>
      <c r="T724" s="12">
        <f t="shared" si="62"/>
        <v>5.980070507929276</v>
      </c>
      <c r="U724" s="12">
        <f t="shared" si="64"/>
        <v>5.7961323721435214</v>
      </c>
      <c r="V724" s="30">
        <f t="shared" si="65"/>
        <v>0.48429369863013699</v>
      </c>
      <c r="W724" s="46">
        <f t="shared" si="63"/>
        <v>-5.9800705079292749E-2</v>
      </c>
      <c r="X724" s="33">
        <f t="shared" si="66"/>
        <v>2.8129982324992399E-2</v>
      </c>
    </row>
    <row r="725" spans="19:24" x14ac:dyDescent="0.25">
      <c r="S725" s="44">
        <f t="shared" si="67"/>
        <v>43775</v>
      </c>
      <c r="T725" s="12">
        <f t="shared" si="62"/>
        <v>5.977393425627735</v>
      </c>
      <c r="U725" s="12">
        <f t="shared" si="64"/>
        <v>5.7934811954187317</v>
      </c>
      <c r="V725" s="30">
        <f t="shared" si="65"/>
        <v>0.48426630136986298</v>
      </c>
      <c r="W725" s="46">
        <f t="shared" si="63"/>
        <v>-5.977393425627734E-2</v>
      </c>
      <c r="X725" s="33">
        <f t="shared" si="66"/>
        <v>2.8129940812719453E-2</v>
      </c>
    </row>
    <row r="726" spans="19:24" x14ac:dyDescent="0.25">
      <c r="S726" s="44">
        <f t="shared" si="67"/>
        <v>43776</v>
      </c>
      <c r="T726" s="12">
        <f t="shared" si="62"/>
        <v>5.9747163433261941</v>
      </c>
      <c r="U726" s="12">
        <f t="shared" si="64"/>
        <v>5.790830018693943</v>
      </c>
      <c r="V726" s="30">
        <f t="shared" si="65"/>
        <v>0.48423890410958903</v>
      </c>
      <c r="W726" s="46">
        <f t="shared" si="63"/>
        <v>-5.9747163433261932E-2</v>
      </c>
      <c r="X726" s="33">
        <f t="shared" si="66"/>
        <v>2.8129899300446511E-2</v>
      </c>
    </row>
    <row r="727" spans="19:24" x14ac:dyDescent="0.25">
      <c r="S727" s="44">
        <f t="shared" si="67"/>
        <v>43777</v>
      </c>
      <c r="T727" s="12">
        <f t="shared" si="62"/>
        <v>5.9720392610246531</v>
      </c>
      <c r="U727" s="12">
        <f t="shared" si="64"/>
        <v>5.7881788419691524</v>
      </c>
      <c r="V727" s="30">
        <f t="shared" si="65"/>
        <v>0.48421150684931502</v>
      </c>
      <c r="W727" s="46">
        <f t="shared" si="63"/>
        <v>-5.9720392610246524E-2</v>
      </c>
      <c r="X727" s="33">
        <f t="shared" si="66"/>
        <v>2.8129857788173566E-2</v>
      </c>
    </row>
    <row r="728" spans="19:24" x14ac:dyDescent="0.25">
      <c r="S728" s="44">
        <f t="shared" si="67"/>
        <v>43778</v>
      </c>
      <c r="T728" s="12">
        <f t="shared" si="62"/>
        <v>5.9693621787231095</v>
      </c>
      <c r="U728" s="12">
        <f t="shared" si="64"/>
        <v>5.7855276652443637</v>
      </c>
      <c r="V728" s="30">
        <f t="shared" si="65"/>
        <v>0.48418410958904107</v>
      </c>
      <c r="W728" s="46">
        <f t="shared" si="63"/>
        <v>-5.9693621787231088E-2</v>
      </c>
      <c r="X728" s="33">
        <f t="shared" si="66"/>
        <v>2.8129816275900627E-2</v>
      </c>
    </row>
    <row r="729" spans="19:24" x14ac:dyDescent="0.25">
      <c r="S729" s="44">
        <f t="shared" si="67"/>
        <v>43779</v>
      </c>
      <c r="T729" s="12">
        <f t="shared" si="62"/>
        <v>5.966685096421573</v>
      </c>
      <c r="U729" s="12">
        <f t="shared" si="64"/>
        <v>5.7828764885195731</v>
      </c>
      <c r="V729" s="30">
        <f t="shared" si="65"/>
        <v>0.48415671232876711</v>
      </c>
      <c r="W729" s="46">
        <f t="shared" si="63"/>
        <v>-5.9666850964215722E-2</v>
      </c>
      <c r="X729" s="33">
        <f t="shared" si="66"/>
        <v>2.8129774763627682E-2</v>
      </c>
    </row>
    <row r="730" spans="19:24" x14ac:dyDescent="0.25">
      <c r="S730" s="44">
        <f t="shared" si="67"/>
        <v>43780</v>
      </c>
      <c r="T730" s="12">
        <f t="shared" si="62"/>
        <v>5.9640080141200276</v>
      </c>
      <c r="U730" s="12">
        <f t="shared" si="64"/>
        <v>5.7802253117947844</v>
      </c>
      <c r="V730" s="30">
        <f t="shared" si="65"/>
        <v>0.4841293150684931</v>
      </c>
      <c r="W730" s="46">
        <f t="shared" si="63"/>
        <v>-5.9640080141200265E-2</v>
      </c>
      <c r="X730" s="33">
        <f t="shared" si="66"/>
        <v>2.812973325135474E-2</v>
      </c>
    </row>
    <row r="731" spans="19:24" x14ac:dyDescent="0.25">
      <c r="S731" s="44">
        <f t="shared" si="67"/>
        <v>43781</v>
      </c>
      <c r="T731" s="12">
        <f t="shared" si="62"/>
        <v>5.9613309318184875</v>
      </c>
      <c r="U731" s="12">
        <f t="shared" si="64"/>
        <v>5.7775741350699956</v>
      </c>
      <c r="V731" s="30">
        <f t="shared" si="65"/>
        <v>0.48410191780821915</v>
      </c>
      <c r="W731" s="46">
        <f t="shared" si="63"/>
        <v>-5.9613309318184864E-2</v>
      </c>
      <c r="X731" s="33">
        <f t="shared" si="66"/>
        <v>2.8129691739081791E-2</v>
      </c>
    </row>
    <row r="732" spans="19:24" x14ac:dyDescent="0.25">
      <c r="S732" s="44">
        <f t="shared" si="67"/>
        <v>43782</v>
      </c>
      <c r="T732" s="12">
        <f t="shared" si="62"/>
        <v>5.9586538495169457</v>
      </c>
      <c r="U732" s="12">
        <f t="shared" si="64"/>
        <v>5.7749229583452086</v>
      </c>
      <c r="V732" s="30">
        <f t="shared" si="65"/>
        <v>0.48407452054794514</v>
      </c>
      <c r="W732" s="46">
        <f t="shared" si="63"/>
        <v>-5.9586538495169449E-2</v>
      </c>
      <c r="X732" s="33">
        <f t="shared" si="66"/>
        <v>2.8129650226808849E-2</v>
      </c>
    </row>
    <row r="733" spans="19:24" x14ac:dyDescent="0.25">
      <c r="S733" s="44">
        <f t="shared" si="67"/>
        <v>43783</v>
      </c>
      <c r="T733" s="12">
        <f t="shared" si="62"/>
        <v>5.9559767672154056</v>
      </c>
      <c r="U733" s="12">
        <f t="shared" si="64"/>
        <v>5.7722717816204154</v>
      </c>
      <c r="V733" s="30">
        <f t="shared" si="65"/>
        <v>0.48404712328767119</v>
      </c>
      <c r="W733" s="46">
        <f t="shared" si="63"/>
        <v>-5.9559767672154047E-2</v>
      </c>
      <c r="X733" s="33">
        <f t="shared" si="66"/>
        <v>2.8129608714535903E-2</v>
      </c>
    </row>
    <row r="734" spans="19:24" x14ac:dyDescent="0.25">
      <c r="S734" s="44">
        <f t="shared" si="67"/>
        <v>43784</v>
      </c>
      <c r="T734" s="12">
        <f t="shared" si="62"/>
        <v>5.9532996849138646</v>
      </c>
      <c r="U734" s="12">
        <f t="shared" si="64"/>
        <v>5.7696206048956302</v>
      </c>
      <c r="V734" s="30">
        <f t="shared" si="65"/>
        <v>0.48401972602739723</v>
      </c>
      <c r="W734" s="46">
        <f t="shared" si="63"/>
        <v>-5.9532996849138639E-2</v>
      </c>
      <c r="X734" s="33">
        <f t="shared" si="66"/>
        <v>2.8129567202262961E-2</v>
      </c>
    </row>
    <row r="735" spans="19:24" x14ac:dyDescent="0.25">
      <c r="S735" s="44">
        <f t="shared" si="67"/>
        <v>43785</v>
      </c>
      <c r="T735" s="12">
        <f t="shared" si="62"/>
        <v>5.9506226026123219</v>
      </c>
      <c r="U735" s="12">
        <f t="shared" si="64"/>
        <v>5.7669694281708388</v>
      </c>
      <c r="V735" s="30">
        <f t="shared" si="65"/>
        <v>0.48399232876712323</v>
      </c>
      <c r="W735" s="46">
        <f t="shared" si="63"/>
        <v>-5.950622602612321E-2</v>
      </c>
      <c r="X735" s="33">
        <f t="shared" si="66"/>
        <v>2.8129525689990012E-2</v>
      </c>
    </row>
    <row r="736" spans="19:24" x14ac:dyDescent="0.25">
      <c r="S736" s="44">
        <f t="shared" si="67"/>
        <v>43786</v>
      </c>
      <c r="T736" s="12">
        <f t="shared" si="62"/>
        <v>5.9479455203107809</v>
      </c>
      <c r="U736" s="12">
        <f t="shared" si="64"/>
        <v>5.7643182514460483</v>
      </c>
      <c r="V736" s="30">
        <f t="shared" si="65"/>
        <v>0.48396493150684927</v>
      </c>
      <c r="W736" s="46">
        <f t="shared" si="63"/>
        <v>-5.9479455203107802E-2</v>
      </c>
      <c r="X736" s="33">
        <f t="shared" si="66"/>
        <v>2.812948417771707E-2</v>
      </c>
    </row>
    <row r="737" spans="19:24" x14ac:dyDescent="0.25">
      <c r="S737" s="44">
        <f t="shared" si="67"/>
        <v>43787</v>
      </c>
      <c r="T737" s="12">
        <f t="shared" si="62"/>
        <v>5.9452684380092391</v>
      </c>
      <c r="U737" s="12">
        <f t="shared" si="64"/>
        <v>5.7616670747212595</v>
      </c>
      <c r="V737" s="30">
        <f t="shared" si="65"/>
        <v>0.48393753424657532</v>
      </c>
      <c r="W737" s="46">
        <f t="shared" si="63"/>
        <v>-5.945268438009238E-2</v>
      </c>
      <c r="X737" s="33">
        <f t="shared" si="66"/>
        <v>2.8129442665444128E-2</v>
      </c>
    </row>
    <row r="738" spans="19:24" x14ac:dyDescent="0.25">
      <c r="S738" s="44">
        <f t="shared" si="67"/>
        <v>43788</v>
      </c>
      <c r="T738" s="12">
        <f t="shared" si="62"/>
        <v>5.942591355707699</v>
      </c>
      <c r="U738" s="12">
        <f t="shared" si="64"/>
        <v>5.7590158979964707</v>
      </c>
      <c r="V738" s="30">
        <f t="shared" si="65"/>
        <v>0.48391013698630136</v>
      </c>
      <c r="W738" s="46">
        <f t="shared" si="63"/>
        <v>-5.9425913557076979E-2</v>
      </c>
      <c r="X738" s="33">
        <f t="shared" si="66"/>
        <v>2.8129401153171186E-2</v>
      </c>
    </row>
    <row r="739" spans="19:24" x14ac:dyDescent="0.25">
      <c r="S739" s="44">
        <f t="shared" si="67"/>
        <v>43789</v>
      </c>
      <c r="T739" s="12">
        <f t="shared" si="62"/>
        <v>5.9399142734061572</v>
      </c>
      <c r="U739" s="12">
        <f t="shared" si="64"/>
        <v>5.7563647212716793</v>
      </c>
      <c r="V739" s="30">
        <f t="shared" si="65"/>
        <v>0.48388273972602736</v>
      </c>
      <c r="W739" s="46">
        <f t="shared" si="63"/>
        <v>-5.9399142734061564E-2</v>
      </c>
      <c r="X739" s="33">
        <f t="shared" si="66"/>
        <v>2.812935964089824E-2</v>
      </c>
    </row>
    <row r="740" spans="19:24" x14ac:dyDescent="0.25">
      <c r="S740" s="44">
        <f t="shared" si="67"/>
        <v>43790</v>
      </c>
      <c r="T740" s="12">
        <f t="shared" si="62"/>
        <v>5.9372371911046189</v>
      </c>
      <c r="U740" s="12">
        <f t="shared" si="64"/>
        <v>5.7537135445468941</v>
      </c>
      <c r="V740" s="30">
        <f t="shared" si="65"/>
        <v>0.48385534246575335</v>
      </c>
      <c r="W740" s="46">
        <f t="shared" si="63"/>
        <v>-5.9372371911046183E-2</v>
      </c>
      <c r="X740" s="33">
        <f t="shared" si="66"/>
        <v>2.8129318128625291E-2</v>
      </c>
    </row>
    <row r="741" spans="19:24" x14ac:dyDescent="0.25">
      <c r="S741" s="44">
        <f t="shared" si="67"/>
        <v>43791</v>
      </c>
      <c r="T741" s="12">
        <f t="shared" si="62"/>
        <v>5.934560108803077</v>
      </c>
      <c r="U741" s="12">
        <f t="shared" si="64"/>
        <v>5.7510623678221027</v>
      </c>
      <c r="V741" s="30">
        <f t="shared" si="65"/>
        <v>0.48382794520547939</v>
      </c>
      <c r="W741" s="46">
        <f t="shared" si="63"/>
        <v>-5.9345601088030761E-2</v>
      </c>
      <c r="X741" s="33">
        <f t="shared" si="66"/>
        <v>2.8129276616352349E-2</v>
      </c>
    </row>
    <row r="742" spans="19:24" x14ac:dyDescent="0.25">
      <c r="S742" s="44">
        <f t="shared" si="67"/>
        <v>43792</v>
      </c>
      <c r="T742" s="12">
        <f t="shared" si="62"/>
        <v>5.9318830265015334</v>
      </c>
      <c r="U742" s="12">
        <f t="shared" si="64"/>
        <v>5.748411191097313</v>
      </c>
      <c r="V742" s="30">
        <f t="shared" si="65"/>
        <v>0.48380054794520544</v>
      </c>
      <c r="W742" s="46">
        <f t="shared" si="63"/>
        <v>-5.9318830265015325E-2</v>
      </c>
      <c r="X742" s="33">
        <f t="shared" si="66"/>
        <v>2.8129235104079407E-2</v>
      </c>
    </row>
    <row r="743" spans="19:24" x14ac:dyDescent="0.25">
      <c r="S743" s="44">
        <f t="shared" si="67"/>
        <v>43793</v>
      </c>
      <c r="T743" s="12">
        <f t="shared" si="62"/>
        <v>5.9292059441999934</v>
      </c>
      <c r="U743" s="12">
        <f t="shared" si="64"/>
        <v>5.7457600143725225</v>
      </c>
      <c r="V743" s="30">
        <f t="shared" si="65"/>
        <v>0.48377315068493149</v>
      </c>
      <c r="W743" s="46">
        <f t="shared" si="63"/>
        <v>-5.9292059441999924E-2</v>
      </c>
      <c r="X743" s="33">
        <f t="shared" si="66"/>
        <v>2.8129193591806465E-2</v>
      </c>
    </row>
    <row r="744" spans="19:24" x14ac:dyDescent="0.25">
      <c r="S744" s="44">
        <f t="shared" si="67"/>
        <v>43794</v>
      </c>
      <c r="T744" s="12">
        <f t="shared" si="62"/>
        <v>5.9265288618984515</v>
      </c>
      <c r="U744" s="12">
        <f t="shared" si="64"/>
        <v>5.7431088376477346</v>
      </c>
      <c r="V744" s="30">
        <f t="shared" si="65"/>
        <v>0.48374575342465748</v>
      </c>
      <c r="W744" s="46">
        <f t="shared" si="63"/>
        <v>-5.9265288618984509E-2</v>
      </c>
      <c r="X744" s="33">
        <f t="shared" si="66"/>
        <v>2.812915207953352E-2</v>
      </c>
    </row>
    <row r="745" spans="19:24" x14ac:dyDescent="0.25">
      <c r="S745" s="44">
        <f t="shared" si="67"/>
        <v>43795</v>
      </c>
      <c r="T745" s="12">
        <f t="shared" si="62"/>
        <v>5.9238517795969132</v>
      </c>
      <c r="U745" s="12">
        <f t="shared" si="64"/>
        <v>5.740457660922945</v>
      </c>
      <c r="V745" s="30">
        <f t="shared" si="65"/>
        <v>0.48371835616438352</v>
      </c>
      <c r="W745" s="46">
        <f t="shared" si="63"/>
        <v>-5.9238517795969121E-2</v>
      </c>
      <c r="X745" s="33">
        <f t="shared" si="66"/>
        <v>2.8129110567260578E-2</v>
      </c>
    </row>
    <row r="746" spans="19:24" x14ac:dyDescent="0.25">
      <c r="S746" s="44">
        <f t="shared" si="67"/>
        <v>43796</v>
      </c>
      <c r="T746" s="12">
        <f t="shared" si="62"/>
        <v>5.9211746972953678</v>
      </c>
      <c r="U746" s="12">
        <f t="shared" si="64"/>
        <v>5.7378064841981562</v>
      </c>
      <c r="V746" s="30">
        <f t="shared" si="65"/>
        <v>0.48369095890410957</v>
      </c>
      <c r="W746" s="46">
        <f t="shared" si="63"/>
        <v>-5.9211746972953672E-2</v>
      </c>
      <c r="X746" s="33">
        <f t="shared" si="66"/>
        <v>2.8129069054987636E-2</v>
      </c>
    </row>
    <row r="747" spans="19:24" x14ac:dyDescent="0.25">
      <c r="S747" s="44">
        <f t="shared" si="67"/>
        <v>43797</v>
      </c>
      <c r="T747" s="12">
        <f t="shared" si="62"/>
        <v>5.918497614993826</v>
      </c>
      <c r="U747" s="12">
        <f t="shared" si="64"/>
        <v>5.7351553074733665</v>
      </c>
      <c r="V747" s="30">
        <f t="shared" si="65"/>
        <v>0.48366356164383556</v>
      </c>
      <c r="W747" s="46">
        <f t="shared" si="63"/>
        <v>-5.918497614993825E-2</v>
      </c>
      <c r="X747" s="33">
        <f t="shared" si="66"/>
        <v>2.8129027542714694E-2</v>
      </c>
    </row>
    <row r="748" spans="19:24" x14ac:dyDescent="0.25">
      <c r="S748" s="44">
        <f t="shared" si="67"/>
        <v>43798</v>
      </c>
      <c r="T748" s="12">
        <f t="shared" si="62"/>
        <v>5.9158205326922886</v>
      </c>
      <c r="U748" s="12">
        <f t="shared" si="64"/>
        <v>5.732504130748576</v>
      </c>
      <c r="V748" s="30">
        <f t="shared" si="65"/>
        <v>0.48363616438356161</v>
      </c>
      <c r="W748" s="46">
        <f t="shared" si="63"/>
        <v>-5.9158205326922876E-2</v>
      </c>
      <c r="X748" s="33">
        <f t="shared" si="66"/>
        <v>2.8128986030441748E-2</v>
      </c>
    </row>
    <row r="749" spans="19:24" x14ac:dyDescent="0.25">
      <c r="S749" s="44">
        <f t="shared" si="67"/>
        <v>43799</v>
      </c>
      <c r="T749" s="12">
        <f t="shared" si="62"/>
        <v>5.9131434503907467</v>
      </c>
      <c r="U749" s="12">
        <f t="shared" si="64"/>
        <v>5.729852954023789</v>
      </c>
      <c r="V749" s="30">
        <f t="shared" si="65"/>
        <v>0.48360876712328771</v>
      </c>
      <c r="W749" s="46">
        <f t="shared" si="63"/>
        <v>-5.9131434503907461E-2</v>
      </c>
      <c r="X749" s="33">
        <f t="shared" si="66"/>
        <v>2.8128944518168809E-2</v>
      </c>
    </row>
    <row r="750" spans="19:24" x14ac:dyDescent="0.25">
      <c r="S750" s="44">
        <f t="shared" si="67"/>
        <v>43800</v>
      </c>
      <c r="T750" s="12">
        <f t="shared" si="62"/>
        <v>5.9104663680892022</v>
      </c>
      <c r="U750" s="12">
        <f t="shared" si="64"/>
        <v>5.7272017772990003</v>
      </c>
      <c r="V750" s="30">
        <f t="shared" si="65"/>
        <v>0.48358136986301375</v>
      </c>
      <c r="W750" s="46">
        <f t="shared" si="63"/>
        <v>-5.9104663680892011E-2</v>
      </c>
      <c r="X750" s="33">
        <f t="shared" si="66"/>
        <v>2.8128903005895867E-2</v>
      </c>
    </row>
    <row r="751" spans="19:24" x14ac:dyDescent="0.25">
      <c r="S751" s="44">
        <f t="shared" si="67"/>
        <v>43801</v>
      </c>
      <c r="T751" s="12">
        <f t="shared" si="62"/>
        <v>5.9077892857876622</v>
      </c>
      <c r="U751" s="12">
        <f t="shared" si="64"/>
        <v>5.7245506005742088</v>
      </c>
      <c r="V751" s="30">
        <f t="shared" si="65"/>
        <v>0.48355397260273975</v>
      </c>
      <c r="W751" s="46">
        <f t="shared" si="63"/>
        <v>-5.907789285787661E-2</v>
      </c>
      <c r="X751" s="33">
        <f t="shared" si="66"/>
        <v>2.8128861493622922E-2</v>
      </c>
    </row>
    <row r="752" spans="19:24" x14ac:dyDescent="0.25">
      <c r="S752" s="44">
        <f t="shared" si="67"/>
        <v>43802</v>
      </c>
      <c r="T752" s="12">
        <f t="shared" si="62"/>
        <v>5.9051122034861212</v>
      </c>
      <c r="U752" s="12">
        <f t="shared" si="64"/>
        <v>5.7218994238494201</v>
      </c>
      <c r="V752" s="30">
        <f t="shared" si="65"/>
        <v>0.48352657534246574</v>
      </c>
      <c r="W752" s="46">
        <f t="shared" si="63"/>
        <v>-5.9051122034861202E-2</v>
      </c>
      <c r="X752" s="33">
        <f t="shared" si="66"/>
        <v>2.8128819981349973E-2</v>
      </c>
    </row>
    <row r="753" spans="19:24" x14ac:dyDescent="0.25">
      <c r="S753" s="44">
        <f t="shared" si="67"/>
        <v>43803</v>
      </c>
      <c r="T753" s="12">
        <f t="shared" si="62"/>
        <v>5.902435121184582</v>
      </c>
      <c r="U753" s="12">
        <f t="shared" si="64"/>
        <v>5.7192482471246295</v>
      </c>
      <c r="V753" s="30">
        <f t="shared" si="65"/>
        <v>0.48349917808219184</v>
      </c>
      <c r="W753" s="46">
        <f t="shared" si="63"/>
        <v>-5.9024351211845814E-2</v>
      </c>
      <c r="X753" s="33">
        <f t="shared" si="66"/>
        <v>2.8128778469077038E-2</v>
      </c>
    </row>
    <row r="754" spans="19:24" x14ac:dyDescent="0.25">
      <c r="S754" s="44">
        <f t="shared" si="67"/>
        <v>43804</v>
      </c>
      <c r="T754" s="12">
        <f t="shared" ref="T754:T817" si="68">DurMod(S754,B$2,$F$7:$G$37,$T$3)</f>
        <v>5.8997580388830384</v>
      </c>
      <c r="U754" s="12">
        <f t="shared" si="64"/>
        <v>5.7165970703998417</v>
      </c>
      <c r="V754" s="30">
        <f t="shared" si="65"/>
        <v>0.48347178082191783</v>
      </c>
      <c r="W754" s="46">
        <f t="shared" ref="W754:W817" si="69">+-T754*($U$3-$T$3)</f>
        <v>-5.8997580388830378E-2</v>
      </c>
      <c r="X754" s="33">
        <f t="shared" si="66"/>
        <v>2.8128736956804089E-2</v>
      </c>
    </row>
    <row r="755" spans="19:24" x14ac:dyDescent="0.25">
      <c r="S755" s="44">
        <f t="shared" si="67"/>
        <v>43805</v>
      </c>
      <c r="T755" s="12">
        <f t="shared" si="68"/>
        <v>5.8970809565814983</v>
      </c>
      <c r="U755" s="12">
        <f t="shared" si="64"/>
        <v>5.7139458936750502</v>
      </c>
      <c r="V755" s="30">
        <f t="shared" si="65"/>
        <v>0.48344438356164388</v>
      </c>
      <c r="W755" s="46">
        <f t="shared" si="69"/>
        <v>-5.8970809565814977E-2</v>
      </c>
      <c r="X755" s="33">
        <f t="shared" si="66"/>
        <v>2.8128695444531147E-2</v>
      </c>
    </row>
    <row r="756" spans="19:24" x14ac:dyDescent="0.25">
      <c r="S756" s="44">
        <f t="shared" si="67"/>
        <v>43806</v>
      </c>
      <c r="T756" s="12">
        <f t="shared" si="68"/>
        <v>5.8944038742799574</v>
      </c>
      <c r="U756" s="12">
        <f t="shared" si="64"/>
        <v>5.7112947169502624</v>
      </c>
      <c r="V756" s="30">
        <f t="shared" si="65"/>
        <v>0.48341698630136987</v>
      </c>
      <c r="W756" s="46">
        <f t="shared" si="69"/>
        <v>-5.8944038742799562E-2</v>
      </c>
      <c r="X756" s="33">
        <f t="shared" si="66"/>
        <v>2.8128653932258201E-2</v>
      </c>
    </row>
    <row r="757" spans="19:24" x14ac:dyDescent="0.25">
      <c r="S757" s="44">
        <f t="shared" si="67"/>
        <v>43807</v>
      </c>
      <c r="T757" s="12">
        <f t="shared" si="68"/>
        <v>5.8917267919784173</v>
      </c>
      <c r="U757" s="12">
        <f t="shared" si="64"/>
        <v>5.7086435402254754</v>
      </c>
      <c r="V757" s="30">
        <f t="shared" si="65"/>
        <v>0.48338958904109586</v>
      </c>
      <c r="W757" s="46">
        <f t="shared" si="69"/>
        <v>-5.8917267919784161E-2</v>
      </c>
      <c r="X757" s="33">
        <f t="shared" si="66"/>
        <v>2.8128612419985252E-2</v>
      </c>
    </row>
    <row r="758" spans="19:24" x14ac:dyDescent="0.25">
      <c r="S758" s="44">
        <f t="shared" si="67"/>
        <v>43808</v>
      </c>
      <c r="T758" s="12">
        <f t="shared" si="68"/>
        <v>5.8890497096768746</v>
      </c>
      <c r="U758" s="12">
        <f t="shared" si="64"/>
        <v>5.7059923635006848</v>
      </c>
      <c r="V758" s="30">
        <f t="shared" si="65"/>
        <v>0.48336219178082196</v>
      </c>
      <c r="W758" s="46">
        <f t="shared" si="69"/>
        <v>-5.8890497096768739E-2</v>
      </c>
      <c r="X758" s="33">
        <f t="shared" si="66"/>
        <v>2.812857090771231E-2</v>
      </c>
    </row>
    <row r="759" spans="19:24" x14ac:dyDescent="0.25">
      <c r="S759" s="44">
        <f t="shared" si="67"/>
        <v>43809</v>
      </c>
      <c r="T759" s="12">
        <f t="shared" si="68"/>
        <v>5.8863726273753345</v>
      </c>
      <c r="U759" s="12">
        <f t="shared" si="64"/>
        <v>5.703341186775897</v>
      </c>
      <c r="V759" s="30">
        <f t="shared" si="65"/>
        <v>0.48333479452054795</v>
      </c>
      <c r="W759" s="46">
        <f t="shared" si="69"/>
        <v>-5.8863726273753338E-2</v>
      </c>
      <c r="X759" s="33">
        <f t="shared" si="66"/>
        <v>2.8128529395439365E-2</v>
      </c>
    </row>
    <row r="760" spans="19:24" x14ac:dyDescent="0.25">
      <c r="S760" s="44">
        <f t="shared" si="67"/>
        <v>43810</v>
      </c>
      <c r="T760" s="12">
        <f t="shared" si="68"/>
        <v>5.8836955450737936</v>
      </c>
      <c r="U760" s="12">
        <f t="shared" si="64"/>
        <v>5.7006900100511064</v>
      </c>
      <c r="V760" s="30">
        <f t="shared" si="65"/>
        <v>0.483307397260274</v>
      </c>
      <c r="W760" s="46">
        <f t="shared" si="69"/>
        <v>-5.8836955450737929E-2</v>
      </c>
      <c r="X760" s="33">
        <f t="shared" si="66"/>
        <v>2.8128487883166426E-2</v>
      </c>
    </row>
    <row r="761" spans="19:24" x14ac:dyDescent="0.25">
      <c r="S761" s="44">
        <f t="shared" si="67"/>
        <v>43811</v>
      </c>
      <c r="T761" s="12">
        <f t="shared" si="68"/>
        <v>5.8810184627722517</v>
      </c>
      <c r="U761" s="12">
        <f t="shared" si="64"/>
        <v>5.6980388333263168</v>
      </c>
      <c r="V761" s="30">
        <f t="shared" si="65"/>
        <v>0.48327999999999999</v>
      </c>
      <c r="W761" s="46">
        <f t="shared" si="69"/>
        <v>-5.8810184627722507E-2</v>
      </c>
      <c r="X761" s="33">
        <f t="shared" si="66"/>
        <v>2.8128446370893474E-2</v>
      </c>
    </row>
    <row r="762" spans="19:24" x14ac:dyDescent="0.25">
      <c r="S762" s="44">
        <f t="shared" si="67"/>
        <v>43812</v>
      </c>
      <c r="T762" s="12">
        <f t="shared" si="68"/>
        <v>5.8783413804707108</v>
      </c>
      <c r="U762" s="12">
        <f t="shared" si="64"/>
        <v>5.695387656601528</v>
      </c>
      <c r="V762" s="30">
        <f t="shared" si="65"/>
        <v>0.48325260273972609</v>
      </c>
      <c r="W762" s="46">
        <f t="shared" si="69"/>
        <v>-5.8783413804707099E-2</v>
      </c>
      <c r="X762" s="33">
        <f t="shared" si="66"/>
        <v>2.8128404858620538E-2</v>
      </c>
    </row>
    <row r="763" spans="19:24" x14ac:dyDescent="0.25">
      <c r="S763" s="44">
        <f t="shared" si="67"/>
        <v>43813</v>
      </c>
      <c r="T763" s="12">
        <f t="shared" si="68"/>
        <v>5.8756642981691698</v>
      </c>
      <c r="U763" s="12">
        <f t="shared" si="64"/>
        <v>5.6927364798767375</v>
      </c>
      <c r="V763" s="30">
        <f t="shared" si="65"/>
        <v>0.48322520547945208</v>
      </c>
      <c r="W763" s="46">
        <f t="shared" si="69"/>
        <v>-5.8756642981691691E-2</v>
      </c>
      <c r="X763" s="33">
        <f t="shared" si="66"/>
        <v>2.8128363346347589E-2</v>
      </c>
    </row>
    <row r="764" spans="19:24" x14ac:dyDescent="0.25">
      <c r="S764" s="44">
        <f t="shared" si="67"/>
        <v>43814</v>
      </c>
      <c r="T764" s="12">
        <f t="shared" si="68"/>
        <v>5.9920399550501235</v>
      </c>
      <c r="U764" s="12">
        <f t="shared" si="64"/>
        <v>5.8124426654439967</v>
      </c>
      <c r="V764" s="30">
        <f t="shared" si="65"/>
        <v>0.48319780821917807</v>
      </c>
      <c r="W764" s="46">
        <f t="shared" si="69"/>
        <v>-5.9920399550501227E-2</v>
      </c>
      <c r="X764" s="33">
        <f t="shared" si="66"/>
        <v>2.804942886057862E-2</v>
      </c>
    </row>
    <row r="765" spans="19:24" x14ac:dyDescent="0.25">
      <c r="S765" s="44">
        <f t="shared" si="67"/>
        <v>43815</v>
      </c>
      <c r="T765" s="12">
        <f t="shared" si="68"/>
        <v>5.9893628727485844</v>
      </c>
      <c r="U765" s="12">
        <f t="shared" si="64"/>
        <v>5.809791488719207</v>
      </c>
      <c r="V765" s="30">
        <f t="shared" si="65"/>
        <v>0.48317041095890412</v>
      </c>
      <c r="W765" s="46">
        <f t="shared" si="69"/>
        <v>-5.9893628727485833E-2</v>
      </c>
      <c r="X765" s="33">
        <f t="shared" si="66"/>
        <v>2.8049387348305678E-2</v>
      </c>
    </row>
    <row r="766" spans="19:24" x14ac:dyDescent="0.25">
      <c r="S766" s="44">
        <f t="shared" si="67"/>
        <v>43816</v>
      </c>
      <c r="T766" s="12">
        <f t="shared" si="68"/>
        <v>5.9866857904470407</v>
      </c>
      <c r="U766" s="12">
        <f t="shared" si="64"/>
        <v>5.8071403119944174</v>
      </c>
      <c r="V766" s="30">
        <f t="shared" si="65"/>
        <v>0.48314301369863011</v>
      </c>
      <c r="W766" s="46">
        <f t="shared" si="69"/>
        <v>-5.9866857904470397E-2</v>
      </c>
      <c r="X766" s="33">
        <f t="shared" si="66"/>
        <v>2.8049345836032736E-2</v>
      </c>
    </row>
    <row r="767" spans="19:24" x14ac:dyDescent="0.25">
      <c r="S767" s="44">
        <f t="shared" si="67"/>
        <v>43817</v>
      </c>
      <c r="T767" s="12">
        <f t="shared" si="68"/>
        <v>5.9840087081455007</v>
      </c>
      <c r="U767" s="12">
        <f t="shared" si="64"/>
        <v>5.8044891352696295</v>
      </c>
      <c r="V767" s="30">
        <f t="shared" si="65"/>
        <v>0.48311561643835621</v>
      </c>
      <c r="W767" s="46">
        <f t="shared" si="69"/>
        <v>-5.9840087081454996E-2</v>
      </c>
      <c r="X767" s="33">
        <f t="shared" si="66"/>
        <v>2.8049304323759794E-2</v>
      </c>
    </row>
    <row r="768" spans="19:24" x14ac:dyDescent="0.25">
      <c r="S768" s="44">
        <f t="shared" si="67"/>
        <v>43818</v>
      </c>
      <c r="T768" s="12">
        <f t="shared" si="68"/>
        <v>5.9813316258439606</v>
      </c>
      <c r="U768" s="12">
        <f t="shared" si="64"/>
        <v>5.8018379585448407</v>
      </c>
      <c r="V768" s="30">
        <f t="shared" si="65"/>
        <v>0.4830882191780822</v>
      </c>
      <c r="W768" s="46">
        <f t="shared" si="69"/>
        <v>-5.9813316258439594E-2</v>
      </c>
      <c r="X768" s="33">
        <f t="shared" si="66"/>
        <v>2.8049262811486848E-2</v>
      </c>
    </row>
    <row r="769" spans="19:24" x14ac:dyDescent="0.25">
      <c r="S769" s="44">
        <f t="shared" si="67"/>
        <v>43819</v>
      </c>
      <c r="T769" s="12">
        <f t="shared" si="68"/>
        <v>5.9786545435424179</v>
      </c>
      <c r="U769" s="12">
        <f t="shared" si="64"/>
        <v>5.7991867818200484</v>
      </c>
      <c r="V769" s="30">
        <f t="shared" si="65"/>
        <v>0.48306082191780819</v>
      </c>
      <c r="W769" s="46">
        <f t="shared" si="69"/>
        <v>-5.9786545435424172E-2</v>
      </c>
      <c r="X769" s="33">
        <f t="shared" si="66"/>
        <v>2.8049221299213899E-2</v>
      </c>
    </row>
    <row r="770" spans="19:24" x14ac:dyDescent="0.25">
      <c r="S770" s="44">
        <f t="shared" si="67"/>
        <v>43820</v>
      </c>
      <c r="T770" s="12">
        <f t="shared" si="68"/>
        <v>5.9759774612408796</v>
      </c>
      <c r="U770" s="12">
        <f t="shared" si="64"/>
        <v>5.7965356050952606</v>
      </c>
      <c r="V770" s="30">
        <f t="shared" si="65"/>
        <v>0.48303342465753424</v>
      </c>
      <c r="W770" s="46">
        <f t="shared" si="69"/>
        <v>-5.9759774612408785E-2</v>
      </c>
      <c r="X770" s="33">
        <f t="shared" si="66"/>
        <v>2.8049179786940957E-2</v>
      </c>
    </row>
    <row r="771" spans="19:24" x14ac:dyDescent="0.25">
      <c r="S771" s="44">
        <f t="shared" si="67"/>
        <v>43821</v>
      </c>
      <c r="T771" s="12">
        <f t="shared" si="68"/>
        <v>5.9733003789393342</v>
      </c>
      <c r="U771" s="12">
        <f t="shared" si="64"/>
        <v>5.7938844283704709</v>
      </c>
      <c r="V771" s="30">
        <f t="shared" si="65"/>
        <v>0.48300602739726028</v>
      </c>
      <c r="W771" s="46">
        <f t="shared" si="69"/>
        <v>-5.9733003789393335E-2</v>
      </c>
      <c r="X771" s="33">
        <f t="shared" si="66"/>
        <v>2.8049138274668015E-2</v>
      </c>
    </row>
    <row r="772" spans="19:24" x14ac:dyDescent="0.25">
      <c r="S772" s="44">
        <f t="shared" si="67"/>
        <v>43822</v>
      </c>
      <c r="T772" s="12">
        <f t="shared" si="68"/>
        <v>5.9706232966377941</v>
      </c>
      <c r="U772" s="12">
        <f t="shared" si="64"/>
        <v>5.7912332516456839</v>
      </c>
      <c r="V772" s="30">
        <f t="shared" si="65"/>
        <v>0.48297863013698633</v>
      </c>
      <c r="W772" s="46">
        <f t="shared" si="69"/>
        <v>-5.9706232966377934E-2</v>
      </c>
      <c r="X772" s="33">
        <f t="shared" si="66"/>
        <v>2.8049096762395073E-2</v>
      </c>
    </row>
    <row r="773" spans="19:24" x14ac:dyDescent="0.25">
      <c r="S773" s="44">
        <f t="shared" si="67"/>
        <v>43823</v>
      </c>
      <c r="T773" s="12">
        <f t="shared" si="68"/>
        <v>5.9679462143362532</v>
      </c>
      <c r="U773" s="12">
        <f t="shared" ref="U773:U836" si="70">DurMod($S773,$B$2,$F$7:$G$37,U$3)</f>
        <v>5.7885820749208934</v>
      </c>
      <c r="V773" s="30">
        <f t="shared" ref="V773:V836" si="71">+$U$3*($S$5512-S773)/365+$T$3*(S773-$S$4)/365</f>
        <v>0.48295123287671232</v>
      </c>
      <c r="W773" s="46">
        <f t="shared" si="69"/>
        <v>-5.9679462143362526E-2</v>
      </c>
      <c r="X773" s="33">
        <f t="shared" ref="X773:X836" si="72">+(V773+W773)*365/($S$5512-$S$4)</f>
        <v>2.8049055250122128E-2</v>
      </c>
    </row>
    <row r="774" spans="19:24" x14ac:dyDescent="0.25">
      <c r="S774" s="44">
        <f t="shared" ref="S774:S837" si="73">+S773+1</f>
        <v>43824</v>
      </c>
      <c r="T774" s="12">
        <f t="shared" si="68"/>
        <v>5.9652691320347122</v>
      </c>
      <c r="U774" s="12">
        <f t="shared" si="70"/>
        <v>5.7859308981961011</v>
      </c>
      <c r="V774" s="30">
        <f t="shared" si="71"/>
        <v>0.48292383561643837</v>
      </c>
      <c r="W774" s="46">
        <f t="shared" si="69"/>
        <v>-5.9652691320347111E-2</v>
      </c>
      <c r="X774" s="33">
        <f t="shared" si="72"/>
        <v>2.8049013737849186E-2</v>
      </c>
    </row>
    <row r="775" spans="19:24" x14ac:dyDescent="0.25">
      <c r="S775" s="44">
        <f t="shared" si="73"/>
        <v>43825</v>
      </c>
      <c r="T775" s="12">
        <f t="shared" si="68"/>
        <v>5.9625920497331695</v>
      </c>
      <c r="U775" s="12">
        <f t="shared" si="70"/>
        <v>5.7832797214713141</v>
      </c>
      <c r="V775" s="30">
        <f t="shared" si="71"/>
        <v>0.48289643835616436</v>
      </c>
      <c r="W775" s="46">
        <f t="shared" si="69"/>
        <v>-5.9625920497331689E-2</v>
      </c>
      <c r="X775" s="33">
        <f t="shared" si="72"/>
        <v>2.8048972225576237E-2</v>
      </c>
    </row>
    <row r="776" spans="19:24" x14ac:dyDescent="0.25">
      <c r="S776" s="44">
        <f t="shared" si="73"/>
        <v>43826</v>
      </c>
      <c r="T776" s="12">
        <f t="shared" si="68"/>
        <v>5.9599149674316294</v>
      </c>
      <c r="U776" s="12">
        <f t="shared" si="70"/>
        <v>5.7806285447465244</v>
      </c>
      <c r="V776" s="30">
        <f t="shared" si="71"/>
        <v>0.48286904109589046</v>
      </c>
      <c r="W776" s="46">
        <f t="shared" si="69"/>
        <v>-5.9599149674316287E-2</v>
      </c>
      <c r="X776" s="33">
        <f t="shared" si="72"/>
        <v>2.8048930713303302E-2</v>
      </c>
    </row>
    <row r="777" spans="19:24" x14ac:dyDescent="0.25">
      <c r="S777" s="44">
        <f t="shared" si="73"/>
        <v>43827</v>
      </c>
      <c r="T777" s="12">
        <f t="shared" si="68"/>
        <v>5.9572378851300902</v>
      </c>
      <c r="U777" s="12">
        <f t="shared" si="70"/>
        <v>5.7779773680217348</v>
      </c>
      <c r="V777" s="30">
        <f t="shared" si="71"/>
        <v>0.48284164383561645</v>
      </c>
      <c r="W777" s="46">
        <f t="shared" si="69"/>
        <v>-5.9572378851300893E-2</v>
      </c>
      <c r="X777" s="33">
        <f t="shared" si="72"/>
        <v>2.8048889201030353E-2</v>
      </c>
    </row>
    <row r="778" spans="19:24" x14ac:dyDescent="0.25">
      <c r="S778" s="44">
        <f t="shared" si="73"/>
        <v>43828</v>
      </c>
      <c r="T778" s="12">
        <f t="shared" si="68"/>
        <v>5.9545608028285466</v>
      </c>
      <c r="U778" s="12">
        <f t="shared" si="70"/>
        <v>5.775326191296946</v>
      </c>
      <c r="V778" s="30">
        <f t="shared" si="71"/>
        <v>0.48281424657534244</v>
      </c>
      <c r="W778" s="46">
        <f t="shared" si="69"/>
        <v>-5.9545608028285457E-2</v>
      </c>
      <c r="X778" s="33">
        <f t="shared" si="72"/>
        <v>2.8048847688757407E-2</v>
      </c>
    </row>
    <row r="779" spans="19:24" x14ac:dyDescent="0.25">
      <c r="S779" s="44">
        <f t="shared" si="73"/>
        <v>43829</v>
      </c>
      <c r="T779" s="12">
        <f t="shared" si="68"/>
        <v>5.9518837205270057</v>
      </c>
      <c r="U779" s="12">
        <f t="shared" si="70"/>
        <v>5.7726750145721564</v>
      </c>
      <c r="V779" s="30">
        <f t="shared" si="71"/>
        <v>0.48278684931506849</v>
      </c>
      <c r="W779" s="46">
        <f t="shared" si="69"/>
        <v>-5.9518837205270049E-2</v>
      </c>
      <c r="X779" s="33">
        <f t="shared" si="72"/>
        <v>2.8048806176484465E-2</v>
      </c>
    </row>
    <row r="780" spans="19:24" x14ac:dyDescent="0.25">
      <c r="S780" s="44">
        <f t="shared" si="73"/>
        <v>43830</v>
      </c>
      <c r="T780" s="12">
        <f t="shared" si="68"/>
        <v>5.9492066382254647</v>
      </c>
      <c r="U780" s="12">
        <f t="shared" si="70"/>
        <v>5.7700238378473658</v>
      </c>
      <c r="V780" s="30">
        <f t="shared" si="71"/>
        <v>0.48275945205479454</v>
      </c>
      <c r="W780" s="46">
        <f t="shared" si="69"/>
        <v>-5.9492066382254641E-2</v>
      </c>
      <c r="X780" s="33">
        <f t="shared" si="72"/>
        <v>2.8048764664211523E-2</v>
      </c>
    </row>
    <row r="781" spans="19:24" x14ac:dyDescent="0.25">
      <c r="S781" s="44">
        <f t="shared" si="73"/>
        <v>43831</v>
      </c>
      <c r="T781" s="12">
        <f t="shared" si="68"/>
        <v>5.9465295559239237</v>
      </c>
      <c r="U781" s="12">
        <f t="shared" si="70"/>
        <v>5.7673726611225797</v>
      </c>
      <c r="V781" s="30">
        <f t="shared" si="71"/>
        <v>0.48273205479452053</v>
      </c>
      <c r="W781" s="46">
        <f t="shared" si="69"/>
        <v>-5.9465295559239226E-2</v>
      </c>
      <c r="X781" s="33">
        <f t="shared" si="72"/>
        <v>2.8048723151938574E-2</v>
      </c>
    </row>
    <row r="782" spans="19:24" x14ac:dyDescent="0.25">
      <c r="S782" s="44">
        <f t="shared" si="73"/>
        <v>43832</v>
      </c>
      <c r="T782" s="12">
        <f t="shared" si="68"/>
        <v>5.9438524736223819</v>
      </c>
      <c r="U782" s="12">
        <f t="shared" si="70"/>
        <v>5.7647214843977892</v>
      </c>
      <c r="V782" s="30">
        <f t="shared" si="71"/>
        <v>0.48270465753424657</v>
      </c>
      <c r="W782" s="46">
        <f t="shared" si="69"/>
        <v>-5.9438524736223811E-2</v>
      </c>
      <c r="X782" s="33">
        <f t="shared" si="72"/>
        <v>2.8048681639665632E-2</v>
      </c>
    </row>
    <row r="783" spans="19:24" x14ac:dyDescent="0.25">
      <c r="S783" s="44">
        <f t="shared" si="73"/>
        <v>43833</v>
      </c>
      <c r="T783" s="12">
        <f t="shared" si="68"/>
        <v>5.9411753913208409</v>
      </c>
      <c r="U783" s="12">
        <f t="shared" si="70"/>
        <v>5.7620703076730022</v>
      </c>
      <c r="V783" s="30">
        <f t="shared" si="71"/>
        <v>0.48267726027397262</v>
      </c>
      <c r="W783" s="46">
        <f t="shared" si="69"/>
        <v>-5.9411753913208402E-2</v>
      </c>
      <c r="X783" s="33">
        <f t="shared" si="72"/>
        <v>2.804864012739269E-2</v>
      </c>
    </row>
    <row r="784" spans="19:24" x14ac:dyDescent="0.25">
      <c r="S784" s="44">
        <f t="shared" si="73"/>
        <v>43834</v>
      </c>
      <c r="T784" s="12">
        <f t="shared" si="68"/>
        <v>5.9384983090192982</v>
      </c>
      <c r="U784" s="12">
        <f t="shared" si="70"/>
        <v>5.7594191309482117</v>
      </c>
      <c r="V784" s="30">
        <f t="shared" si="71"/>
        <v>0.48264986301369861</v>
      </c>
      <c r="W784" s="46">
        <f t="shared" si="69"/>
        <v>-5.9384983090192973E-2</v>
      </c>
      <c r="X784" s="33">
        <f t="shared" si="72"/>
        <v>2.8048598615119744E-2</v>
      </c>
    </row>
    <row r="785" spans="19:24" x14ac:dyDescent="0.25">
      <c r="S785" s="44">
        <f t="shared" si="73"/>
        <v>43835</v>
      </c>
      <c r="T785" s="12">
        <f t="shared" si="68"/>
        <v>5.935821226717759</v>
      </c>
      <c r="U785" s="12">
        <f t="shared" si="70"/>
        <v>5.7567679542234194</v>
      </c>
      <c r="V785" s="30">
        <f t="shared" si="71"/>
        <v>0.48262246575342466</v>
      </c>
      <c r="W785" s="46">
        <f t="shared" si="69"/>
        <v>-5.9358212267177579E-2</v>
      </c>
      <c r="X785" s="33">
        <f t="shared" si="72"/>
        <v>2.8048557102846802E-2</v>
      </c>
    </row>
    <row r="786" spans="19:24" x14ac:dyDescent="0.25">
      <c r="S786" s="44">
        <f t="shared" si="73"/>
        <v>43836</v>
      </c>
      <c r="T786" s="12">
        <f t="shared" si="68"/>
        <v>5.9331441444162181</v>
      </c>
      <c r="U786" s="12">
        <f t="shared" si="70"/>
        <v>5.7541167774986324</v>
      </c>
      <c r="V786" s="30">
        <f t="shared" si="71"/>
        <v>0.4825950684931507</v>
      </c>
      <c r="W786" s="46">
        <f t="shared" si="69"/>
        <v>-5.9331441444162171E-2</v>
      </c>
      <c r="X786" s="33">
        <f t="shared" si="72"/>
        <v>2.8048515590573857E-2</v>
      </c>
    </row>
    <row r="787" spans="19:24" x14ac:dyDescent="0.25">
      <c r="S787" s="44">
        <f t="shared" si="73"/>
        <v>43837</v>
      </c>
      <c r="T787" s="12">
        <f t="shared" si="68"/>
        <v>5.930467062114678</v>
      </c>
      <c r="U787" s="12">
        <f t="shared" si="70"/>
        <v>5.7514656007738445</v>
      </c>
      <c r="V787" s="30">
        <f t="shared" si="71"/>
        <v>0.48256767123287669</v>
      </c>
      <c r="W787" s="46">
        <f t="shared" si="69"/>
        <v>-5.930467062114677E-2</v>
      </c>
      <c r="X787" s="33">
        <f t="shared" si="72"/>
        <v>2.8048474078300915E-2</v>
      </c>
    </row>
    <row r="788" spans="19:24" x14ac:dyDescent="0.25">
      <c r="S788" s="44">
        <f t="shared" si="73"/>
        <v>43838</v>
      </c>
      <c r="T788" s="12">
        <f t="shared" si="68"/>
        <v>5.927789979813137</v>
      </c>
      <c r="U788" s="12">
        <f t="shared" si="70"/>
        <v>5.7488144240490513</v>
      </c>
      <c r="V788" s="30">
        <f t="shared" si="71"/>
        <v>0.48254027397260274</v>
      </c>
      <c r="W788" s="46">
        <f t="shared" si="69"/>
        <v>-5.9277899798131362E-2</v>
      </c>
      <c r="X788" s="33">
        <f t="shared" si="72"/>
        <v>2.8048432566027973E-2</v>
      </c>
    </row>
    <row r="789" spans="19:24" x14ac:dyDescent="0.25">
      <c r="S789" s="44">
        <f t="shared" si="73"/>
        <v>43839</v>
      </c>
      <c r="T789" s="12">
        <f t="shared" si="68"/>
        <v>5.9251128975115934</v>
      </c>
      <c r="U789" s="12">
        <f t="shared" si="70"/>
        <v>5.7461632473242652</v>
      </c>
      <c r="V789" s="30">
        <f t="shared" si="71"/>
        <v>0.48251287671232879</v>
      </c>
      <c r="W789" s="46">
        <f t="shared" si="69"/>
        <v>-5.9251128975115926E-2</v>
      </c>
      <c r="X789" s="33">
        <f t="shared" si="72"/>
        <v>2.8048391053755031E-2</v>
      </c>
    </row>
    <row r="790" spans="19:24" x14ac:dyDescent="0.25">
      <c r="S790" s="44">
        <f t="shared" si="73"/>
        <v>43840</v>
      </c>
      <c r="T790" s="12">
        <f t="shared" si="68"/>
        <v>5.9224358152100507</v>
      </c>
      <c r="U790" s="12">
        <f t="shared" si="70"/>
        <v>5.7435120705994729</v>
      </c>
      <c r="V790" s="30">
        <f t="shared" si="71"/>
        <v>0.48248547945205478</v>
      </c>
      <c r="W790" s="46">
        <f t="shared" si="69"/>
        <v>-5.9224358152100497E-2</v>
      </c>
      <c r="X790" s="33">
        <f t="shared" si="72"/>
        <v>2.8048349541482082E-2</v>
      </c>
    </row>
    <row r="791" spans="19:24" x14ac:dyDescent="0.25">
      <c r="S791" s="44">
        <f t="shared" si="73"/>
        <v>43841</v>
      </c>
      <c r="T791" s="12">
        <f t="shared" si="68"/>
        <v>5.9197587329085106</v>
      </c>
      <c r="U791" s="12">
        <f t="shared" si="70"/>
        <v>5.7408608938746877</v>
      </c>
      <c r="V791" s="30">
        <f t="shared" si="71"/>
        <v>0.48245808219178082</v>
      </c>
      <c r="W791" s="46">
        <f t="shared" si="69"/>
        <v>-5.9197587329085095E-2</v>
      </c>
      <c r="X791" s="33">
        <f t="shared" si="72"/>
        <v>2.804830802920914E-2</v>
      </c>
    </row>
    <row r="792" spans="19:24" x14ac:dyDescent="0.25">
      <c r="S792" s="44">
        <f t="shared" si="73"/>
        <v>43842</v>
      </c>
      <c r="T792" s="12">
        <f t="shared" si="68"/>
        <v>5.9170816506069697</v>
      </c>
      <c r="U792" s="12">
        <f t="shared" si="70"/>
        <v>5.7382097171498945</v>
      </c>
      <c r="V792" s="30">
        <f t="shared" si="71"/>
        <v>0.48243068493150681</v>
      </c>
      <c r="W792" s="46">
        <f t="shared" si="69"/>
        <v>-5.9170816506069687E-2</v>
      </c>
      <c r="X792" s="33">
        <f t="shared" si="72"/>
        <v>2.8048266516936194E-2</v>
      </c>
    </row>
    <row r="793" spans="19:24" x14ac:dyDescent="0.25">
      <c r="S793" s="44">
        <f t="shared" si="73"/>
        <v>43843</v>
      </c>
      <c r="T793" s="12">
        <f t="shared" si="68"/>
        <v>5.9144045683054296</v>
      </c>
      <c r="U793" s="12">
        <f t="shared" si="70"/>
        <v>5.7355585404251057</v>
      </c>
      <c r="V793" s="30">
        <f t="shared" si="71"/>
        <v>0.48240328767123286</v>
      </c>
      <c r="W793" s="46">
        <f t="shared" si="69"/>
        <v>-5.9144045683054286E-2</v>
      </c>
      <c r="X793" s="33">
        <f t="shared" si="72"/>
        <v>2.8048225004663245E-2</v>
      </c>
    </row>
    <row r="794" spans="19:24" x14ac:dyDescent="0.25">
      <c r="S794" s="44">
        <f t="shared" si="73"/>
        <v>43844</v>
      </c>
      <c r="T794" s="12">
        <f t="shared" si="68"/>
        <v>5.9117274860038886</v>
      </c>
      <c r="U794" s="12">
        <f t="shared" si="70"/>
        <v>5.7329073637003187</v>
      </c>
      <c r="V794" s="30">
        <f t="shared" si="71"/>
        <v>0.48237589041095891</v>
      </c>
      <c r="W794" s="46">
        <f t="shared" si="69"/>
        <v>-5.9117274860038878E-2</v>
      </c>
      <c r="X794" s="33">
        <f t="shared" si="72"/>
        <v>2.804818349239031E-2</v>
      </c>
    </row>
    <row r="795" spans="19:24" x14ac:dyDescent="0.25">
      <c r="S795" s="44">
        <f t="shared" si="73"/>
        <v>43845</v>
      </c>
      <c r="T795" s="12">
        <f t="shared" si="68"/>
        <v>5.9090504037023468</v>
      </c>
      <c r="U795" s="12">
        <f t="shared" si="70"/>
        <v>5.7302561869755273</v>
      </c>
      <c r="V795" s="30">
        <f t="shared" si="71"/>
        <v>0.48234849315068495</v>
      </c>
      <c r="W795" s="46">
        <f t="shared" si="69"/>
        <v>-5.9090504037023456E-2</v>
      </c>
      <c r="X795" s="33">
        <f t="shared" si="72"/>
        <v>2.8048141980117368E-2</v>
      </c>
    </row>
    <row r="796" spans="19:24" x14ac:dyDescent="0.25">
      <c r="S796" s="44">
        <f t="shared" si="73"/>
        <v>43846</v>
      </c>
      <c r="T796" s="12">
        <f t="shared" si="68"/>
        <v>5.906373321400805</v>
      </c>
      <c r="U796" s="12">
        <f t="shared" si="70"/>
        <v>5.7276050102507385</v>
      </c>
      <c r="V796" s="30">
        <f t="shared" si="71"/>
        <v>0.48232109589041094</v>
      </c>
      <c r="W796" s="46">
        <f t="shared" si="69"/>
        <v>-5.9063733214008041E-2</v>
      </c>
      <c r="X796" s="33">
        <f t="shared" si="72"/>
        <v>2.8048100467844419E-2</v>
      </c>
    </row>
    <row r="797" spans="19:24" x14ac:dyDescent="0.25">
      <c r="S797" s="44">
        <f t="shared" si="73"/>
        <v>43847</v>
      </c>
      <c r="T797" s="12">
        <f t="shared" si="68"/>
        <v>5.903696239099264</v>
      </c>
      <c r="U797" s="12">
        <f t="shared" si="70"/>
        <v>5.724953833525948</v>
      </c>
      <c r="V797" s="30">
        <f t="shared" si="71"/>
        <v>0.48229369863013694</v>
      </c>
      <c r="W797" s="46">
        <f t="shared" si="69"/>
        <v>-5.9036962390992632E-2</v>
      </c>
      <c r="X797" s="33">
        <f t="shared" si="72"/>
        <v>2.8048058955571473E-2</v>
      </c>
    </row>
    <row r="798" spans="19:24" x14ac:dyDescent="0.25">
      <c r="S798" s="44">
        <f t="shared" si="73"/>
        <v>43848</v>
      </c>
      <c r="T798" s="12">
        <f t="shared" si="68"/>
        <v>5.9010191567977248</v>
      </c>
      <c r="U798" s="12">
        <f t="shared" si="70"/>
        <v>5.722302656801161</v>
      </c>
      <c r="V798" s="30">
        <f t="shared" si="71"/>
        <v>0.48226630136986304</v>
      </c>
      <c r="W798" s="46">
        <f t="shared" si="69"/>
        <v>-5.9010191567977238E-2</v>
      </c>
      <c r="X798" s="33">
        <f t="shared" si="72"/>
        <v>2.8048017443298531E-2</v>
      </c>
    </row>
    <row r="799" spans="19:24" x14ac:dyDescent="0.25">
      <c r="S799" s="44">
        <f t="shared" si="73"/>
        <v>43849</v>
      </c>
      <c r="T799" s="12">
        <f t="shared" si="68"/>
        <v>5.8983420744961821</v>
      </c>
      <c r="U799" s="12">
        <f t="shared" si="70"/>
        <v>5.7196514800763714</v>
      </c>
      <c r="V799" s="30">
        <f t="shared" si="71"/>
        <v>0.48223890410958903</v>
      </c>
      <c r="W799" s="46">
        <f t="shared" si="69"/>
        <v>-5.8983420744961809E-2</v>
      </c>
      <c r="X799" s="33">
        <f t="shared" si="72"/>
        <v>2.8047975931025589E-2</v>
      </c>
    </row>
    <row r="800" spans="19:24" x14ac:dyDescent="0.25">
      <c r="S800" s="44">
        <f t="shared" si="73"/>
        <v>43850</v>
      </c>
      <c r="T800" s="12">
        <f t="shared" si="68"/>
        <v>5.8956649921946402</v>
      </c>
      <c r="U800" s="12">
        <f t="shared" si="70"/>
        <v>5.7170003033515826</v>
      </c>
      <c r="V800" s="30">
        <f t="shared" si="71"/>
        <v>0.48221150684931507</v>
      </c>
      <c r="W800" s="46">
        <f t="shared" si="69"/>
        <v>-5.8956649921946394E-2</v>
      </c>
      <c r="X800" s="33">
        <f t="shared" si="72"/>
        <v>2.8047934418752647E-2</v>
      </c>
    </row>
    <row r="801" spans="19:24" x14ac:dyDescent="0.25">
      <c r="S801" s="44">
        <f t="shared" si="73"/>
        <v>43851</v>
      </c>
      <c r="T801" s="12">
        <f t="shared" si="68"/>
        <v>5.8929879098931019</v>
      </c>
      <c r="U801" s="12">
        <f t="shared" si="70"/>
        <v>5.7143491266267921</v>
      </c>
      <c r="V801" s="30">
        <f t="shared" si="71"/>
        <v>0.48218410958904107</v>
      </c>
      <c r="W801" s="46">
        <f t="shared" si="69"/>
        <v>-5.8929879098931014E-2</v>
      </c>
      <c r="X801" s="33">
        <f t="shared" si="72"/>
        <v>2.8047892906479698E-2</v>
      </c>
    </row>
    <row r="802" spans="19:24" x14ac:dyDescent="0.25">
      <c r="S802" s="44">
        <f t="shared" si="73"/>
        <v>43852</v>
      </c>
      <c r="T802" s="12">
        <f t="shared" si="68"/>
        <v>5.8903108275915592</v>
      </c>
      <c r="U802" s="12">
        <f t="shared" si="70"/>
        <v>5.7116979499020015</v>
      </c>
      <c r="V802" s="30">
        <f t="shared" si="71"/>
        <v>0.48215671232876711</v>
      </c>
      <c r="W802" s="46">
        <f t="shared" si="69"/>
        <v>-5.8903108275915585E-2</v>
      </c>
      <c r="X802" s="33">
        <f t="shared" si="72"/>
        <v>2.8047851394206753E-2</v>
      </c>
    </row>
    <row r="803" spans="19:24" x14ac:dyDescent="0.25">
      <c r="S803" s="44">
        <f t="shared" si="73"/>
        <v>43853</v>
      </c>
      <c r="T803" s="12">
        <f t="shared" si="68"/>
        <v>5.88763374529002</v>
      </c>
      <c r="U803" s="12">
        <f t="shared" si="70"/>
        <v>5.7090467731772154</v>
      </c>
      <c r="V803" s="30">
        <f t="shared" si="71"/>
        <v>0.48212931506849316</v>
      </c>
      <c r="W803" s="46">
        <f t="shared" si="69"/>
        <v>-5.887633745290019E-2</v>
      </c>
      <c r="X803" s="33">
        <f t="shared" si="72"/>
        <v>2.8047809881933811E-2</v>
      </c>
    </row>
    <row r="804" spans="19:24" x14ac:dyDescent="0.25">
      <c r="S804" s="44">
        <f t="shared" si="73"/>
        <v>43854</v>
      </c>
      <c r="T804" s="12">
        <f t="shared" si="68"/>
        <v>5.8849566629884773</v>
      </c>
      <c r="U804" s="12">
        <f t="shared" si="70"/>
        <v>5.7063955964524258</v>
      </c>
      <c r="V804" s="30">
        <f t="shared" si="71"/>
        <v>0.48210191780821915</v>
      </c>
      <c r="W804" s="46">
        <f t="shared" si="69"/>
        <v>-5.8849566629884761E-2</v>
      </c>
      <c r="X804" s="33">
        <f t="shared" si="72"/>
        <v>2.8047768369660865E-2</v>
      </c>
    </row>
    <row r="805" spans="19:24" x14ac:dyDescent="0.25">
      <c r="S805" s="44">
        <f t="shared" si="73"/>
        <v>43855</v>
      </c>
      <c r="T805" s="12">
        <f t="shared" si="68"/>
        <v>5.8822795806869337</v>
      </c>
      <c r="U805" s="12">
        <f t="shared" si="70"/>
        <v>5.7037444197276344</v>
      </c>
      <c r="V805" s="30">
        <f t="shared" si="71"/>
        <v>0.4820745205479452</v>
      </c>
      <c r="W805" s="46">
        <f t="shared" si="69"/>
        <v>-5.8822795806869325E-2</v>
      </c>
      <c r="X805" s="33">
        <f t="shared" si="72"/>
        <v>2.8047726857387927E-2</v>
      </c>
    </row>
    <row r="806" spans="19:24" x14ac:dyDescent="0.25">
      <c r="S806" s="44">
        <f t="shared" si="73"/>
        <v>43856</v>
      </c>
      <c r="T806" s="12">
        <f t="shared" si="68"/>
        <v>5.8796024983853945</v>
      </c>
      <c r="U806" s="12">
        <f t="shared" si="70"/>
        <v>5.7010932430028465</v>
      </c>
      <c r="V806" s="30">
        <f t="shared" si="71"/>
        <v>0.48204712328767119</v>
      </c>
      <c r="W806" s="46">
        <f t="shared" si="69"/>
        <v>-5.8796024983853938E-2</v>
      </c>
      <c r="X806" s="33">
        <f t="shared" si="72"/>
        <v>2.8047685345114974E-2</v>
      </c>
    </row>
    <row r="807" spans="19:24" x14ac:dyDescent="0.25">
      <c r="S807" s="44">
        <f t="shared" si="73"/>
        <v>43857</v>
      </c>
      <c r="T807" s="12">
        <f t="shared" si="68"/>
        <v>5.8769254160838527</v>
      </c>
      <c r="U807" s="12">
        <f t="shared" si="70"/>
        <v>5.6984420662780559</v>
      </c>
      <c r="V807" s="30">
        <f t="shared" si="71"/>
        <v>0.48201972602739729</v>
      </c>
      <c r="W807" s="46">
        <f t="shared" si="69"/>
        <v>-5.8769254160838516E-2</v>
      </c>
      <c r="X807" s="33">
        <f t="shared" si="72"/>
        <v>2.8047643832842039E-2</v>
      </c>
    </row>
    <row r="808" spans="19:24" x14ac:dyDescent="0.25">
      <c r="S808" s="44">
        <f t="shared" si="73"/>
        <v>43858</v>
      </c>
      <c r="T808" s="12">
        <f t="shared" si="68"/>
        <v>5.8742483337823126</v>
      </c>
      <c r="U808" s="12">
        <f t="shared" si="70"/>
        <v>5.6957908895532672</v>
      </c>
      <c r="V808" s="30">
        <f t="shared" si="71"/>
        <v>0.48199232876712328</v>
      </c>
      <c r="W808" s="46">
        <f t="shared" si="69"/>
        <v>-5.8742483337823115E-2</v>
      </c>
      <c r="X808" s="33">
        <f t="shared" si="72"/>
        <v>2.804760232056909E-2</v>
      </c>
    </row>
    <row r="809" spans="19:24" x14ac:dyDescent="0.25">
      <c r="S809" s="44">
        <f t="shared" si="73"/>
        <v>43859</v>
      </c>
      <c r="T809" s="12">
        <f t="shared" si="68"/>
        <v>5.8715712514807699</v>
      </c>
      <c r="U809" s="12">
        <f t="shared" si="70"/>
        <v>5.6931397128284784</v>
      </c>
      <c r="V809" s="30">
        <f t="shared" si="71"/>
        <v>0.48196493150684927</v>
      </c>
      <c r="W809" s="46">
        <f t="shared" si="69"/>
        <v>-5.8715712514807693E-2</v>
      </c>
      <c r="X809" s="33">
        <f t="shared" si="72"/>
        <v>2.8047560808296148E-2</v>
      </c>
    </row>
    <row r="810" spans="19:24" x14ac:dyDescent="0.25">
      <c r="S810" s="44">
        <f t="shared" si="73"/>
        <v>43860</v>
      </c>
      <c r="T810" s="12">
        <f t="shared" si="68"/>
        <v>5.8688941691792289</v>
      </c>
      <c r="U810" s="12">
        <f t="shared" si="70"/>
        <v>5.6904885361036888</v>
      </c>
      <c r="V810" s="30">
        <f t="shared" si="71"/>
        <v>0.48193753424657532</v>
      </c>
      <c r="W810" s="46">
        <f t="shared" si="69"/>
        <v>-5.8688941691792278E-2</v>
      </c>
      <c r="X810" s="33">
        <f t="shared" si="72"/>
        <v>2.8047519296023202E-2</v>
      </c>
    </row>
    <row r="811" spans="19:24" x14ac:dyDescent="0.25">
      <c r="S811" s="44">
        <f t="shared" si="73"/>
        <v>43861</v>
      </c>
      <c r="T811" s="12">
        <f t="shared" si="68"/>
        <v>5.8662170868776888</v>
      </c>
      <c r="U811" s="12">
        <f t="shared" si="70"/>
        <v>5.6878373593789027</v>
      </c>
      <c r="V811" s="30">
        <f t="shared" si="71"/>
        <v>0.48191013698630131</v>
      </c>
      <c r="W811" s="46">
        <f t="shared" si="69"/>
        <v>-5.8662170868776876E-2</v>
      </c>
      <c r="X811" s="33">
        <f t="shared" si="72"/>
        <v>2.8047477783750253E-2</v>
      </c>
    </row>
    <row r="812" spans="19:24" x14ac:dyDescent="0.25">
      <c r="S812" s="44">
        <f t="shared" si="73"/>
        <v>43862</v>
      </c>
      <c r="T812" s="12">
        <f t="shared" si="68"/>
        <v>5.863540004576147</v>
      </c>
      <c r="U812" s="12">
        <f t="shared" si="70"/>
        <v>5.6851861826541086</v>
      </c>
      <c r="V812" s="30">
        <f t="shared" si="71"/>
        <v>0.48188273972602741</v>
      </c>
      <c r="W812" s="46">
        <f t="shared" si="69"/>
        <v>-5.8635400045761461E-2</v>
      </c>
      <c r="X812" s="33">
        <f t="shared" si="72"/>
        <v>2.8047436271477318E-2</v>
      </c>
    </row>
    <row r="813" spans="19:24" x14ac:dyDescent="0.25">
      <c r="S813" s="44">
        <f t="shared" si="73"/>
        <v>43863</v>
      </c>
      <c r="T813" s="12">
        <f t="shared" si="68"/>
        <v>5.8608629222746051</v>
      </c>
      <c r="U813" s="12">
        <f t="shared" si="70"/>
        <v>5.6825350059293189</v>
      </c>
      <c r="V813" s="30">
        <f t="shared" si="71"/>
        <v>0.4818553424657534</v>
      </c>
      <c r="W813" s="46">
        <f t="shared" si="69"/>
        <v>-5.8608629222746039E-2</v>
      </c>
      <c r="X813" s="33">
        <f t="shared" si="72"/>
        <v>2.8047394759204369E-2</v>
      </c>
    </row>
    <row r="814" spans="19:24" x14ac:dyDescent="0.25">
      <c r="S814" s="44">
        <f t="shared" si="73"/>
        <v>43864</v>
      </c>
      <c r="T814" s="12">
        <f t="shared" si="68"/>
        <v>5.8581858399730642</v>
      </c>
      <c r="U814" s="12">
        <f t="shared" si="70"/>
        <v>5.6798838292045311</v>
      </c>
      <c r="V814" s="30">
        <f t="shared" si="71"/>
        <v>0.48182794520547945</v>
      </c>
      <c r="W814" s="46">
        <f t="shared" si="69"/>
        <v>-5.8581858399730631E-2</v>
      </c>
      <c r="X814" s="33">
        <f t="shared" si="72"/>
        <v>2.8047353246931427E-2</v>
      </c>
    </row>
    <row r="815" spans="19:24" x14ac:dyDescent="0.25">
      <c r="S815" s="44">
        <f t="shared" si="73"/>
        <v>43865</v>
      </c>
      <c r="T815" s="12">
        <f t="shared" si="68"/>
        <v>5.8555087576715232</v>
      </c>
      <c r="U815" s="12">
        <f t="shared" si="70"/>
        <v>5.6772326524797423</v>
      </c>
      <c r="V815" s="30">
        <f t="shared" si="71"/>
        <v>0.48180054794520544</v>
      </c>
      <c r="W815" s="46">
        <f t="shared" si="69"/>
        <v>-5.8555087576715223E-2</v>
      </c>
      <c r="X815" s="33">
        <f t="shared" si="72"/>
        <v>2.8047311734658482E-2</v>
      </c>
    </row>
    <row r="816" spans="19:24" x14ac:dyDescent="0.25">
      <c r="S816" s="44">
        <f t="shared" si="73"/>
        <v>43866</v>
      </c>
      <c r="T816" s="12">
        <f t="shared" si="68"/>
        <v>5.8528316753699832</v>
      </c>
      <c r="U816" s="12">
        <f t="shared" si="70"/>
        <v>5.6745814757549544</v>
      </c>
      <c r="V816" s="30">
        <f t="shared" si="71"/>
        <v>0.48177315068493148</v>
      </c>
      <c r="W816" s="46">
        <f t="shared" si="69"/>
        <v>-5.8528316753699822E-2</v>
      </c>
      <c r="X816" s="33">
        <f t="shared" si="72"/>
        <v>2.8047270222385543E-2</v>
      </c>
    </row>
    <row r="817" spans="19:24" x14ac:dyDescent="0.25">
      <c r="S817" s="44">
        <f t="shared" si="73"/>
        <v>43867</v>
      </c>
      <c r="T817" s="12">
        <f t="shared" si="68"/>
        <v>5.8501545930684413</v>
      </c>
      <c r="U817" s="12">
        <f t="shared" si="70"/>
        <v>5.6719302990301621</v>
      </c>
      <c r="V817" s="30">
        <f t="shared" si="71"/>
        <v>0.48174575342465753</v>
      </c>
      <c r="W817" s="46">
        <f t="shared" si="69"/>
        <v>-5.8501545930684407E-2</v>
      </c>
      <c r="X817" s="33">
        <f t="shared" si="72"/>
        <v>2.8047228710112598E-2</v>
      </c>
    </row>
    <row r="818" spans="19:24" x14ac:dyDescent="0.25">
      <c r="S818" s="44">
        <f t="shared" si="73"/>
        <v>43868</v>
      </c>
      <c r="T818" s="12">
        <f t="shared" ref="T818:T870" si="74">DurMod(S818,B$2,$F$7:$G$37,$T$3)</f>
        <v>5.8474775107668986</v>
      </c>
      <c r="U818" s="12">
        <f t="shared" si="70"/>
        <v>5.6692791223053733</v>
      </c>
      <c r="V818" s="30">
        <f t="shared" si="71"/>
        <v>0.48171835616438352</v>
      </c>
      <c r="W818" s="46">
        <f t="shared" ref="W818:W870" si="75">+-T818*($U$3-$T$3)</f>
        <v>-5.8474775107668978E-2</v>
      </c>
      <c r="X818" s="33">
        <f t="shared" si="72"/>
        <v>2.8047187197839656E-2</v>
      </c>
    </row>
    <row r="819" spans="19:24" x14ac:dyDescent="0.25">
      <c r="S819" s="44">
        <f t="shared" si="73"/>
        <v>43869</v>
      </c>
      <c r="T819" s="12">
        <f t="shared" si="74"/>
        <v>5.8448004284653576</v>
      </c>
      <c r="U819" s="12">
        <f t="shared" si="70"/>
        <v>5.6666279455805864</v>
      </c>
      <c r="V819" s="30">
        <f t="shared" si="71"/>
        <v>0.48169095890410957</v>
      </c>
      <c r="W819" s="46">
        <f t="shared" si="75"/>
        <v>-5.8448004284653569E-2</v>
      </c>
      <c r="X819" s="33">
        <f t="shared" si="72"/>
        <v>2.8047145685566707E-2</v>
      </c>
    </row>
    <row r="820" spans="19:24" x14ac:dyDescent="0.25">
      <c r="S820" s="44">
        <f t="shared" si="73"/>
        <v>43870</v>
      </c>
      <c r="T820" s="12">
        <f t="shared" si="74"/>
        <v>5.8421233461638167</v>
      </c>
      <c r="U820" s="12">
        <f t="shared" si="70"/>
        <v>5.6639767688557949</v>
      </c>
      <c r="V820" s="30">
        <f t="shared" si="71"/>
        <v>0.48166356164383556</v>
      </c>
      <c r="W820" s="46">
        <f t="shared" si="75"/>
        <v>-5.8421233461638161E-2</v>
      </c>
      <c r="X820" s="33">
        <f t="shared" si="72"/>
        <v>2.8047104173293765E-2</v>
      </c>
    </row>
    <row r="821" spans="19:24" x14ac:dyDescent="0.25">
      <c r="S821" s="44">
        <f t="shared" si="73"/>
        <v>43871</v>
      </c>
      <c r="T821" s="12">
        <f t="shared" si="74"/>
        <v>5.8394462638622757</v>
      </c>
      <c r="U821" s="12">
        <f t="shared" si="70"/>
        <v>5.6613255921310079</v>
      </c>
      <c r="V821" s="30">
        <f t="shared" si="71"/>
        <v>0.4816361643835616</v>
      </c>
      <c r="W821" s="46">
        <f t="shared" si="75"/>
        <v>-5.8394462638622746E-2</v>
      </c>
      <c r="X821" s="33">
        <f t="shared" si="72"/>
        <v>2.8047062661020819E-2</v>
      </c>
    </row>
    <row r="822" spans="19:24" x14ac:dyDescent="0.25">
      <c r="S822" s="44">
        <f t="shared" si="73"/>
        <v>43872</v>
      </c>
      <c r="T822" s="12">
        <f t="shared" si="74"/>
        <v>5.8367691815607357</v>
      </c>
      <c r="U822" s="12">
        <f t="shared" si="70"/>
        <v>5.6586744154062183</v>
      </c>
      <c r="V822" s="30">
        <f t="shared" si="71"/>
        <v>0.48160876712328765</v>
      </c>
      <c r="W822" s="46">
        <f t="shared" si="75"/>
        <v>-5.8367691815607345E-2</v>
      </c>
      <c r="X822" s="33">
        <f t="shared" si="72"/>
        <v>2.8047021148747877E-2</v>
      </c>
    </row>
    <row r="823" spans="19:24" x14ac:dyDescent="0.25">
      <c r="S823" s="44">
        <f t="shared" si="73"/>
        <v>43873</v>
      </c>
      <c r="T823" s="12">
        <f t="shared" si="74"/>
        <v>5.8340920992591938</v>
      </c>
      <c r="U823" s="12">
        <f t="shared" si="70"/>
        <v>5.6560232386814278</v>
      </c>
      <c r="V823" s="30">
        <f t="shared" si="71"/>
        <v>0.48158136986301364</v>
      </c>
      <c r="W823" s="46">
        <f t="shared" si="75"/>
        <v>-5.834092099259193E-2</v>
      </c>
      <c r="X823" s="33">
        <f t="shared" si="72"/>
        <v>2.8046979636474935E-2</v>
      </c>
    </row>
    <row r="824" spans="19:24" x14ac:dyDescent="0.25">
      <c r="S824" s="44">
        <f t="shared" si="73"/>
        <v>43874</v>
      </c>
      <c r="T824" s="12">
        <f t="shared" si="74"/>
        <v>5.8314150169576511</v>
      </c>
      <c r="U824" s="12">
        <f t="shared" si="70"/>
        <v>5.6533720619566363</v>
      </c>
      <c r="V824" s="30">
        <f t="shared" si="71"/>
        <v>0.48155397260273969</v>
      </c>
      <c r="W824" s="46">
        <f t="shared" si="75"/>
        <v>-5.8314150169576501E-2</v>
      </c>
      <c r="X824" s="33">
        <f t="shared" si="72"/>
        <v>2.8046938124201989E-2</v>
      </c>
    </row>
    <row r="825" spans="19:24" x14ac:dyDescent="0.25">
      <c r="S825" s="44">
        <f t="shared" si="73"/>
        <v>43875</v>
      </c>
      <c r="T825" s="12">
        <f t="shared" si="74"/>
        <v>5.8287379346561119</v>
      </c>
      <c r="U825" s="12">
        <f t="shared" si="70"/>
        <v>5.6507208852318485</v>
      </c>
      <c r="V825" s="30">
        <f t="shared" si="71"/>
        <v>0.48152657534246573</v>
      </c>
      <c r="W825" s="46">
        <f t="shared" si="75"/>
        <v>-5.8287379346561113E-2</v>
      </c>
      <c r="X825" s="33">
        <f t="shared" si="72"/>
        <v>2.8046896611929047E-2</v>
      </c>
    </row>
    <row r="826" spans="19:24" x14ac:dyDescent="0.25">
      <c r="S826" s="44">
        <f t="shared" si="73"/>
        <v>43876</v>
      </c>
      <c r="T826" s="12">
        <f t="shared" si="74"/>
        <v>5.8260608523545727</v>
      </c>
      <c r="U826" s="12">
        <f t="shared" si="70"/>
        <v>5.6480697085070597</v>
      </c>
      <c r="V826" s="30">
        <f t="shared" si="71"/>
        <v>0.48149917808219178</v>
      </c>
      <c r="W826" s="46">
        <f t="shared" si="75"/>
        <v>-5.8260608523545719E-2</v>
      </c>
      <c r="X826" s="33">
        <f t="shared" si="72"/>
        <v>2.8046855099656105E-2</v>
      </c>
    </row>
    <row r="827" spans="19:24" x14ac:dyDescent="0.25">
      <c r="S827" s="44">
        <f t="shared" si="73"/>
        <v>43877</v>
      </c>
      <c r="T827" s="12">
        <f t="shared" si="74"/>
        <v>5.8233837700530282</v>
      </c>
      <c r="U827" s="12">
        <f t="shared" si="70"/>
        <v>5.64541853178227</v>
      </c>
      <c r="V827" s="30">
        <f t="shared" si="71"/>
        <v>0.48147178082191777</v>
      </c>
      <c r="W827" s="46">
        <f t="shared" si="75"/>
        <v>-5.8233837700530276E-2</v>
      </c>
      <c r="X827" s="33">
        <f t="shared" si="72"/>
        <v>2.8046813587383163E-2</v>
      </c>
    </row>
    <row r="828" spans="19:24" x14ac:dyDescent="0.25">
      <c r="S828" s="44">
        <f t="shared" si="73"/>
        <v>43878</v>
      </c>
      <c r="T828" s="12">
        <f t="shared" si="74"/>
        <v>5.8207066877514881</v>
      </c>
      <c r="U828" s="12">
        <f t="shared" si="70"/>
        <v>5.6427673550574813</v>
      </c>
      <c r="V828" s="30">
        <f t="shared" si="71"/>
        <v>0.48144438356164376</v>
      </c>
      <c r="W828" s="46">
        <f t="shared" si="75"/>
        <v>-5.8207066877514875E-2</v>
      </c>
      <c r="X828" s="33">
        <f t="shared" si="72"/>
        <v>2.8046772075110211E-2</v>
      </c>
    </row>
    <row r="829" spans="19:24" x14ac:dyDescent="0.25">
      <c r="S829" s="44">
        <f t="shared" si="73"/>
        <v>43879</v>
      </c>
      <c r="T829" s="12">
        <f t="shared" si="74"/>
        <v>5.8180296054499472</v>
      </c>
      <c r="U829" s="12">
        <f t="shared" si="70"/>
        <v>5.6401161783326916</v>
      </c>
      <c r="V829" s="30">
        <f t="shared" si="71"/>
        <v>0.48141698630136981</v>
      </c>
      <c r="W829" s="46">
        <f t="shared" si="75"/>
        <v>-5.818029605449946E-2</v>
      </c>
      <c r="X829" s="33">
        <f t="shared" si="72"/>
        <v>2.8046730562837269E-2</v>
      </c>
    </row>
    <row r="830" spans="19:24" x14ac:dyDescent="0.25">
      <c r="S830" s="44">
        <f t="shared" si="73"/>
        <v>43880</v>
      </c>
      <c r="T830" s="12">
        <f t="shared" si="74"/>
        <v>5.8153525231484071</v>
      </c>
      <c r="U830" s="12">
        <f t="shared" si="70"/>
        <v>5.6374650016079046</v>
      </c>
      <c r="V830" s="30">
        <f t="shared" si="71"/>
        <v>0.48138958904109586</v>
      </c>
      <c r="W830" s="46">
        <f t="shared" si="75"/>
        <v>-5.8153525231484066E-2</v>
      </c>
      <c r="X830" s="33">
        <f t="shared" si="72"/>
        <v>2.8046689050564327E-2</v>
      </c>
    </row>
    <row r="831" spans="19:24" x14ac:dyDescent="0.25">
      <c r="S831" s="44">
        <f t="shared" si="73"/>
        <v>43881</v>
      </c>
      <c r="T831" s="12">
        <f t="shared" si="74"/>
        <v>5.8126754408468626</v>
      </c>
      <c r="U831" s="12">
        <f t="shared" si="70"/>
        <v>5.6348138248831123</v>
      </c>
      <c r="V831" s="30">
        <f t="shared" si="71"/>
        <v>0.4813621917808219</v>
      </c>
      <c r="W831" s="46">
        <f t="shared" si="75"/>
        <v>-5.8126754408468616E-2</v>
      </c>
      <c r="X831" s="33">
        <f t="shared" si="72"/>
        <v>2.8046647538291388E-2</v>
      </c>
    </row>
    <row r="832" spans="19:24" x14ac:dyDescent="0.25">
      <c r="S832" s="44">
        <f t="shared" si="73"/>
        <v>43882</v>
      </c>
      <c r="T832" s="12">
        <f t="shared" si="74"/>
        <v>5.8099983585453217</v>
      </c>
      <c r="U832" s="12">
        <f t="shared" si="70"/>
        <v>5.6321626481583245</v>
      </c>
      <c r="V832" s="30">
        <f t="shared" si="71"/>
        <v>0.48133479452054789</v>
      </c>
      <c r="W832" s="46">
        <f t="shared" si="75"/>
        <v>-5.8099983585453208E-2</v>
      </c>
      <c r="X832" s="33">
        <f t="shared" si="72"/>
        <v>2.8046606026018436E-2</v>
      </c>
    </row>
    <row r="833" spans="19:24" x14ac:dyDescent="0.25">
      <c r="S833" s="44">
        <f t="shared" si="73"/>
        <v>43883</v>
      </c>
      <c r="T833" s="12">
        <f t="shared" si="74"/>
        <v>5.8073212762437816</v>
      </c>
      <c r="U833" s="12">
        <f t="shared" si="70"/>
        <v>5.6295114714335348</v>
      </c>
      <c r="V833" s="30">
        <f t="shared" si="71"/>
        <v>0.48130739726027394</v>
      </c>
      <c r="W833" s="46">
        <f t="shared" si="75"/>
        <v>-5.8073212762437806E-2</v>
      </c>
      <c r="X833" s="33">
        <f t="shared" si="72"/>
        <v>2.8046564513745494E-2</v>
      </c>
    </row>
    <row r="834" spans="19:24" x14ac:dyDescent="0.25">
      <c r="S834" s="44">
        <f t="shared" si="73"/>
        <v>43884</v>
      </c>
      <c r="T834" s="12">
        <f t="shared" si="74"/>
        <v>5.8046441939422389</v>
      </c>
      <c r="U834" s="12">
        <f t="shared" si="70"/>
        <v>5.6268602947087452</v>
      </c>
      <c r="V834" s="30">
        <f t="shared" si="71"/>
        <v>0.48127999999999999</v>
      </c>
      <c r="W834" s="46">
        <f t="shared" si="75"/>
        <v>-5.8046441939422377E-2</v>
      </c>
      <c r="X834" s="33">
        <f t="shared" si="72"/>
        <v>2.8046523001472552E-2</v>
      </c>
    </row>
    <row r="835" spans="19:24" x14ac:dyDescent="0.25">
      <c r="S835" s="44">
        <f t="shared" si="73"/>
        <v>43885</v>
      </c>
      <c r="T835" s="12">
        <f t="shared" si="74"/>
        <v>5.8019671116407006</v>
      </c>
      <c r="U835" s="12">
        <f t="shared" si="70"/>
        <v>5.6242091179839573</v>
      </c>
      <c r="V835" s="30">
        <f t="shared" si="71"/>
        <v>0.48125260273972598</v>
      </c>
      <c r="W835" s="46">
        <f t="shared" si="75"/>
        <v>-5.8019671116406997E-2</v>
      </c>
      <c r="X835" s="33">
        <f t="shared" si="72"/>
        <v>2.8046481489199606E-2</v>
      </c>
    </row>
    <row r="836" spans="19:24" x14ac:dyDescent="0.25">
      <c r="S836" s="44">
        <f t="shared" si="73"/>
        <v>43886</v>
      </c>
      <c r="T836" s="12">
        <f t="shared" si="74"/>
        <v>5.7992900293391587</v>
      </c>
      <c r="U836" s="12">
        <f t="shared" si="70"/>
        <v>5.6215579412591676</v>
      </c>
      <c r="V836" s="30">
        <f t="shared" si="71"/>
        <v>0.48122520547945202</v>
      </c>
      <c r="W836" s="46">
        <f t="shared" si="75"/>
        <v>-5.7992900293391575E-2</v>
      </c>
      <c r="X836" s="33">
        <f t="shared" si="72"/>
        <v>2.8046439976926664E-2</v>
      </c>
    </row>
    <row r="837" spans="19:24" x14ac:dyDescent="0.25">
      <c r="S837" s="44">
        <f t="shared" si="73"/>
        <v>43887</v>
      </c>
      <c r="T837" s="12">
        <f t="shared" si="74"/>
        <v>5.7966129470376169</v>
      </c>
      <c r="U837" s="12">
        <f t="shared" ref="U837:U900" si="76">DurMod($S837,$B$2,$F$7:$G$37,U$3)</f>
        <v>5.6189067645343771</v>
      </c>
      <c r="V837" s="30">
        <f t="shared" ref="V837:V900" si="77">+$U$3*($S$5512-S837)/365+$T$3*(S837-$S$4)/365</f>
        <v>0.48119780821917801</v>
      </c>
      <c r="W837" s="46">
        <f t="shared" si="75"/>
        <v>-5.796612947037616E-2</v>
      </c>
      <c r="X837" s="33">
        <f t="shared" ref="X837:X900" si="78">+(V837+W837)*365/($S$5512-$S$4)</f>
        <v>2.8046398464653715E-2</v>
      </c>
    </row>
    <row r="838" spans="19:24" x14ac:dyDescent="0.25">
      <c r="S838" s="44">
        <f t="shared" ref="S838:S870" si="79">+S837+1</f>
        <v>43888</v>
      </c>
      <c r="T838" s="12">
        <f t="shared" si="74"/>
        <v>5.7939358647360759</v>
      </c>
      <c r="U838" s="12">
        <f t="shared" si="76"/>
        <v>5.6162555878095857</v>
      </c>
      <c r="V838" s="30">
        <f t="shared" si="77"/>
        <v>0.48117041095890412</v>
      </c>
      <c r="W838" s="46">
        <f t="shared" si="75"/>
        <v>-5.7939358647360752E-2</v>
      </c>
      <c r="X838" s="33">
        <f t="shared" si="78"/>
        <v>2.804635695238078E-2</v>
      </c>
    </row>
    <row r="839" spans="19:24" x14ac:dyDescent="0.25">
      <c r="S839" s="44">
        <f t="shared" si="79"/>
        <v>43889</v>
      </c>
      <c r="T839" s="12">
        <f t="shared" si="74"/>
        <v>5.7912587824345367</v>
      </c>
      <c r="U839" s="12">
        <f t="shared" si="76"/>
        <v>5.6136044110847978</v>
      </c>
      <c r="V839" s="30">
        <f t="shared" si="77"/>
        <v>0.48114301369863016</v>
      </c>
      <c r="W839" s="46">
        <f t="shared" si="75"/>
        <v>-5.7912587824345357E-2</v>
      </c>
      <c r="X839" s="33">
        <f t="shared" si="78"/>
        <v>2.8046315440107838E-2</v>
      </c>
    </row>
    <row r="840" spans="19:24" x14ac:dyDescent="0.25">
      <c r="S840" s="44">
        <f t="shared" si="79"/>
        <v>43890</v>
      </c>
      <c r="T840" s="12">
        <f t="shared" si="74"/>
        <v>5.788581700132994</v>
      </c>
      <c r="U840" s="12">
        <f t="shared" si="76"/>
        <v>5.6109532343600064</v>
      </c>
      <c r="V840" s="30">
        <f t="shared" si="77"/>
        <v>0.48111561643835615</v>
      </c>
      <c r="W840" s="46">
        <f t="shared" si="75"/>
        <v>-5.7885817001329928E-2</v>
      </c>
      <c r="X840" s="33">
        <f t="shared" si="78"/>
        <v>2.8046273927834889E-2</v>
      </c>
    </row>
    <row r="841" spans="19:24" x14ac:dyDescent="0.25">
      <c r="S841" s="44">
        <f t="shared" si="79"/>
        <v>43891</v>
      </c>
      <c r="T841" s="12">
        <f t="shared" si="74"/>
        <v>5.7859046178314522</v>
      </c>
      <c r="U841" s="12">
        <f t="shared" si="76"/>
        <v>5.6083020576352194</v>
      </c>
      <c r="V841" s="30">
        <f t="shared" si="77"/>
        <v>0.4810882191780822</v>
      </c>
      <c r="W841" s="46">
        <f t="shared" si="75"/>
        <v>-5.7859046178314513E-2</v>
      </c>
      <c r="X841" s="33">
        <f t="shared" si="78"/>
        <v>2.8046232415561947E-2</v>
      </c>
    </row>
    <row r="842" spans="19:24" x14ac:dyDescent="0.25">
      <c r="S842" s="44">
        <f t="shared" si="79"/>
        <v>43892</v>
      </c>
      <c r="T842" s="12">
        <f t="shared" si="74"/>
        <v>5.7832275355299103</v>
      </c>
      <c r="U842" s="12">
        <f t="shared" si="76"/>
        <v>5.6056508809104306</v>
      </c>
      <c r="V842" s="30">
        <f t="shared" si="77"/>
        <v>0.48106082191780825</v>
      </c>
      <c r="W842" s="46">
        <f t="shared" si="75"/>
        <v>-5.7832275355299091E-2</v>
      </c>
      <c r="X842" s="33">
        <f t="shared" si="78"/>
        <v>2.8046190903289008E-2</v>
      </c>
    </row>
    <row r="843" spans="19:24" x14ac:dyDescent="0.25">
      <c r="S843" s="44">
        <f t="shared" si="79"/>
        <v>43893</v>
      </c>
      <c r="T843" s="12">
        <f t="shared" si="74"/>
        <v>5.7805504532283702</v>
      </c>
      <c r="U843" s="12">
        <f t="shared" si="76"/>
        <v>5.602999704185641</v>
      </c>
      <c r="V843" s="30">
        <f t="shared" si="77"/>
        <v>0.48103342465753429</v>
      </c>
      <c r="W843" s="46">
        <f t="shared" si="75"/>
        <v>-5.7805504532283697E-2</v>
      </c>
      <c r="X843" s="33">
        <f t="shared" si="78"/>
        <v>2.8046149391016059E-2</v>
      </c>
    </row>
    <row r="844" spans="19:24" x14ac:dyDescent="0.25">
      <c r="S844" s="44">
        <f t="shared" si="79"/>
        <v>43894</v>
      </c>
      <c r="T844" s="12">
        <f t="shared" si="74"/>
        <v>5.7778733709268302</v>
      </c>
      <c r="U844" s="12">
        <f t="shared" si="76"/>
        <v>5.6003485274608513</v>
      </c>
      <c r="V844" s="30">
        <f t="shared" si="77"/>
        <v>0.48100602739726028</v>
      </c>
      <c r="W844" s="46">
        <f t="shared" si="75"/>
        <v>-5.7778733709268296E-2</v>
      </c>
      <c r="X844" s="33">
        <f t="shared" si="78"/>
        <v>2.8046107878743117E-2</v>
      </c>
    </row>
    <row r="845" spans="19:24" x14ac:dyDescent="0.25">
      <c r="S845" s="44">
        <f t="shared" si="79"/>
        <v>43895</v>
      </c>
      <c r="T845" s="12">
        <f t="shared" si="74"/>
        <v>5.7751962886252883</v>
      </c>
      <c r="U845" s="12">
        <f t="shared" si="76"/>
        <v>5.5976973507360626</v>
      </c>
      <c r="V845" s="30">
        <f t="shared" si="77"/>
        <v>0.48097863013698633</v>
      </c>
      <c r="W845" s="46">
        <f t="shared" si="75"/>
        <v>-5.7751962886252874E-2</v>
      </c>
      <c r="X845" s="33">
        <f t="shared" si="78"/>
        <v>2.8046066366470172E-2</v>
      </c>
    </row>
    <row r="846" spans="19:24" x14ac:dyDescent="0.25">
      <c r="S846" s="44">
        <f t="shared" si="79"/>
        <v>43896</v>
      </c>
      <c r="T846" s="12">
        <f t="shared" si="74"/>
        <v>5.7725192063237465</v>
      </c>
      <c r="U846" s="12">
        <f t="shared" si="76"/>
        <v>5.5950461740112738</v>
      </c>
      <c r="V846" s="30">
        <f t="shared" si="77"/>
        <v>0.48095123287671238</v>
      </c>
      <c r="W846" s="46">
        <f t="shared" si="75"/>
        <v>-5.7725192063237458E-2</v>
      </c>
      <c r="X846" s="33">
        <f t="shared" si="78"/>
        <v>2.804602485419723E-2</v>
      </c>
    </row>
    <row r="847" spans="19:24" x14ac:dyDescent="0.25">
      <c r="S847" s="44">
        <f t="shared" si="79"/>
        <v>43897</v>
      </c>
      <c r="T847" s="12">
        <f t="shared" si="74"/>
        <v>5.7698421240222055</v>
      </c>
      <c r="U847" s="12">
        <f t="shared" si="76"/>
        <v>5.5923949972864859</v>
      </c>
      <c r="V847" s="30">
        <f t="shared" si="77"/>
        <v>0.48092383561643837</v>
      </c>
      <c r="W847" s="46">
        <f t="shared" si="75"/>
        <v>-5.7698421240222043E-2</v>
      </c>
      <c r="X847" s="33">
        <f t="shared" si="78"/>
        <v>2.8045983341924281E-2</v>
      </c>
    </row>
    <row r="848" spans="19:24" x14ac:dyDescent="0.25">
      <c r="S848" s="44">
        <f t="shared" si="79"/>
        <v>43898</v>
      </c>
      <c r="T848" s="12">
        <f t="shared" si="74"/>
        <v>5.7671650417206628</v>
      </c>
      <c r="U848" s="12">
        <f t="shared" si="76"/>
        <v>5.5897438205616936</v>
      </c>
      <c r="V848" s="30">
        <f t="shared" si="77"/>
        <v>0.48089643835616441</v>
      </c>
      <c r="W848" s="46">
        <f t="shared" si="75"/>
        <v>-5.7671650417206621E-2</v>
      </c>
      <c r="X848" s="33">
        <f t="shared" si="78"/>
        <v>2.8045941829651345E-2</v>
      </c>
    </row>
    <row r="849" spans="19:24" x14ac:dyDescent="0.25">
      <c r="S849" s="44">
        <f t="shared" si="79"/>
        <v>43899</v>
      </c>
      <c r="T849" s="12">
        <f t="shared" si="74"/>
        <v>5.7644879594191227</v>
      </c>
      <c r="U849" s="12">
        <f t="shared" si="76"/>
        <v>5.5870926438369066</v>
      </c>
      <c r="V849" s="30">
        <f t="shared" si="77"/>
        <v>0.4808690410958904</v>
      </c>
      <c r="W849" s="46">
        <f t="shared" si="75"/>
        <v>-5.764487959419122E-2</v>
      </c>
      <c r="X849" s="33">
        <f t="shared" si="78"/>
        <v>2.8045900317378393E-2</v>
      </c>
    </row>
    <row r="850" spans="19:24" x14ac:dyDescent="0.25">
      <c r="S850" s="44">
        <f t="shared" si="79"/>
        <v>43900</v>
      </c>
      <c r="T850" s="12">
        <f t="shared" si="74"/>
        <v>5.7618108771175818</v>
      </c>
      <c r="U850" s="12">
        <f t="shared" si="76"/>
        <v>5.5844414671121188</v>
      </c>
      <c r="V850" s="30">
        <f t="shared" si="77"/>
        <v>0.48084164383561645</v>
      </c>
      <c r="W850" s="46">
        <f t="shared" si="75"/>
        <v>-5.7618108771175812E-2</v>
      </c>
      <c r="X850" s="33">
        <f t="shared" si="78"/>
        <v>2.8045858805105454E-2</v>
      </c>
    </row>
    <row r="851" spans="19:24" x14ac:dyDescent="0.25">
      <c r="S851" s="44">
        <f t="shared" si="79"/>
        <v>43901</v>
      </c>
      <c r="T851" s="12">
        <f t="shared" si="74"/>
        <v>5.7591337948160399</v>
      </c>
      <c r="U851" s="12">
        <f t="shared" si="76"/>
        <v>5.5817902903873264</v>
      </c>
      <c r="V851" s="30">
        <f t="shared" si="77"/>
        <v>0.4808142465753425</v>
      </c>
      <c r="W851" s="46">
        <f t="shared" si="75"/>
        <v>-5.759133794816039E-2</v>
      </c>
      <c r="X851" s="33">
        <f t="shared" si="78"/>
        <v>2.8045817292832509E-2</v>
      </c>
    </row>
    <row r="852" spans="19:24" x14ac:dyDescent="0.25">
      <c r="S852" s="44">
        <f t="shared" si="79"/>
        <v>43902</v>
      </c>
      <c r="T852" s="12">
        <f t="shared" si="74"/>
        <v>5.7564567125144999</v>
      </c>
      <c r="U852" s="12">
        <f t="shared" si="76"/>
        <v>5.5791391136625403</v>
      </c>
      <c r="V852" s="30">
        <f t="shared" si="77"/>
        <v>0.48078684931506849</v>
      </c>
      <c r="W852" s="46">
        <f t="shared" si="75"/>
        <v>-5.7564567125144989E-2</v>
      </c>
      <c r="X852" s="33">
        <f t="shared" si="78"/>
        <v>2.8045775780559567E-2</v>
      </c>
    </row>
    <row r="853" spans="19:24" x14ac:dyDescent="0.25">
      <c r="S853" s="44">
        <f t="shared" si="79"/>
        <v>43903</v>
      </c>
      <c r="T853" s="12">
        <f t="shared" si="74"/>
        <v>5.7537796302129589</v>
      </c>
      <c r="U853" s="12">
        <f t="shared" si="76"/>
        <v>5.5764879369377489</v>
      </c>
      <c r="V853" s="30">
        <f t="shared" si="77"/>
        <v>0.48075945205479453</v>
      </c>
      <c r="W853" s="46">
        <f t="shared" si="75"/>
        <v>-5.753779630212958E-2</v>
      </c>
      <c r="X853" s="33">
        <f t="shared" si="78"/>
        <v>2.8045734268286618E-2</v>
      </c>
    </row>
    <row r="854" spans="19:24" x14ac:dyDescent="0.25">
      <c r="S854" s="44">
        <f t="shared" si="79"/>
        <v>43904</v>
      </c>
      <c r="T854" s="12">
        <f t="shared" si="74"/>
        <v>5.7511025479114171</v>
      </c>
      <c r="U854" s="12">
        <f t="shared" si="76"/>
        <v>5.5738367602129584</v>
      </c>
      <c r="V854" s="30">
        <f t="shared" si="77"/>
        <v>0.48073205479452052</v>
      </c>
      <c r="W854" s="46">
        <f t="shared" si="75"/>
        <v>-5.7511025479114158E-2</v>
      </c>
      <c r="X854" s="33">
        <f t="shared" si="78"/>
        <v>2.8045692756013676E-2</v>
      </c>
    </row>
    <row r="855" spans="19:24" x14ac:dyDescent="0.25">
      <c r="S855" s="44">
        <f t="shared" si="79"/>
        <v>43905</v>
      </c>
      <c r="T855" s="12">
        <f t="shared" si="74"/>
        <v>5.7484254656098752</v>
      </c>
      <c r="U855" s="12">
        <f t="shared" si="76"/>
        <v>5.5711855834881723</v>
      </c>
      <c r="V855" s="30">
        <f t="shared" si="77"/>
        <v>0.48070465753424663</v>
      </c>
      <c r="W855" s="46">
        <f t="shared" si="75"/>
        <v>-5.7484254656098743E-2</v>
      </c>
      <c r="X855" s="33">
        <f t="shared" si="78"/>
        <v>2.8045651243740734E-2</v>
      </c>
    </row>
    <row r="856" spans="19:24" x14ac:dyDescent="0.25">
      <c r="S856" s="44">
        <f t="shared" si="79"/>
        <v>43906</v>
      </c>
      <c r="T856" s="12">
        <f t="shared" si="74"/>
        <v>5.7457483833083343</v>
      </c>
      <c r="U856" s="12">
        <f t="shared" si="76"/>
        <v>5.56853440676338</v>
      </c>
      <c r="V856" s="30">
        <f t="shared" si="77"/>
        <v>0.48067726027397262</v>
      </c>
      <c r="W856" s="46">
        <f t="shared" si="75"/>
        <v>-5.7457483833083335E-2</v>
      </c>
      <c r="X856" s="33">
        <f t="shared" si="78"/>
        <v>2.8045609731467788E-2</v>
      </c>
    </row>
    <row r="857" spans="19:24" x14ac:dyDescent="0.25">
      <c r="S857" s="44">
        <f t="shared" si="79"/>
        <v>43907</v>
      </c>
      <c r="T857" s="12">
        <f t="shared" si="74"/>
        <v>5.7430713010067933</v>
      </c>
      <c r="U857" s="12">
        <f t="shared" si="76"/>
        <v>5.5658832300385921</v>
      </c>
      <c r="V857" s="30">
        <f t="shared" si="77"/>
        <v>0.48064986301369866</v>
      </c>
      <c r="W857" s="46">
        <f t="shared" si="75"/>
        <v>-5.7430713010067927E-2</v>
      </c>
      <c r="X857" s="33">
        <f t="shared" si="78"/>
        <v>2.8045568219194846E-2</v>
      </c>
    </row>
    <row r="858" spans="19:24" x14ac:dyDescent="0.25">
      <c r="S858" s="44">
        <f t="shared" si="79"/>
        <v>43908</v>
      </c>
      <c r="T858" s="12">
        <f t="shared" si="74"/>
        <v>5.7403942187052506</v>
      </c>
      <c r="U858" s="12">
        <f t="shared" si="76"/>
        <v>5.5632320533138033</v>
      </c>
      <c r="V858" s="30">
        <f t="shared" si="77"/>
        <v>0.48062246575342465</v>
      </c>
      <c r="W858" s="46">
        <f t="shared" si="75"/>
        <v>-5.7403942187052498E-2</v>
      </c>
      <c r="X858" s="33">
        <f t="shared" si="78"/>
        <v>2.8045526706921897E-2</v>
      </c>
    </row>
    <row r="859" spans="19:24" x14ac:dyDescent="0.25">
      <c r="S859" s="44">
        <f t="shared" si="79"/>
        <v>43909</v>
      </c>
      <c r="T859" s="12">
        <f t="shared" si="74"/>
        <v>5.7377171364037087</v>
      </c>
      <c r="U859" s="12">
        <f t="shared" si="76"/>
        <v>5.5605808765890128</v>
      </c>
      <c r="V859" s="30">
        <f t="shared" si="77"/>
        <v>0.4805950684931507</v>
      </c>
      <c r="W859" s="46">
        <f t="shared" si="75"/>
        <v>-5.7377171364037076E-2</v>
      </c>
      <c r="X859" s="33">
        <f t="shared" si="78"/>
        <v>2.8045485194648962E-2</v>
      </c>
    </row>
    <row r="860" spans="19:24" x14ac:dyDescent="0.25">
      <c r="S860" s="44">
        <f t="shared" si="79"/>
        <v>43910</v>
      </c>
      <c r="T860" s="12">
        <f t="shared" si="74"/>
        <v>5.7350400541021687</v>
      </c>
      <c r="U860" s="12">
        <f t="shared" si="76"/>
        <v>5.557929699864224</v>
      </c>
      <c r="V860" s="30">
        <f t="shared" si="77"/>
        <v>0.48056767123287675</v>
      </c>
      <c r="W860" s="46">
        <f t="shared" si="75"/>
        <v>-5.7350400541021675E-2</v>
      </c>
      <c r="X860" s="33">
        <f t="shared" si="78"/>
        <v>2.8045443682376013E-2</v>
      </c>
    </row>
    <row r="861" spans="19:24" x14ac:dyDescent="0.25">
      <c r="S861" s="44">
        <f t="shared" si="79"/>
        <v>43911</v>
      </c>
      <c r="T861" s="12">
        <f t="shared" si="74"/>
        <v>5.7323629718006277</v>
      </c>
      <c r="U861" s="12">
        <f t="shared" si="76"/>
        <v>5.5552785231394335</v>
      </c>
      <c r="V861" s="30">
        <f t="shared" si="77"/>
        <v>0.48054027397260274</v>
      </c>
      <c r="W861" s="46">
        <f t="shared" si="75"/>
        <v>-5.7323629718006266E-2</v>
      </c>
      <c r="X861" s="33">
        <f t="shared" si="78"/>
        <v>2.8045402170103071E-2</v>
      </c>
    </row>
    <row r="862" spans="19:24" x14ac:dyDescent="0.25">
      <c r="S862" s="44">
        <f t="shared" si="79"/>
        <v>43912</v>
      </c>
      <c r="T862" s="12">
        <f t="shared" si="74"/>
        <v>5.7296858894990859</v>
      </c>
      <c r="U862" s="12">
        <f t="shared" si="76"/>
        <v>5.5526273464146474</v>
      </c>
      <c r="V862" s="30">
        <f t="shared" si="77"/>
        <v>0.48051287671232878</v>
      </c>
      <c r="W862" s="46">
        <f t="shared" si="75"/>
        <v>-5.7296858894990851E-2</v>
      </c>
      <c r="X862" s="33">
        <f t="shared" si="78"/>
        <v>2.8045360657830126E-2</v>
      </c>
    </row>
    <row r="863" spans="19:24" x14ac:dyDescent="0.25">
      <c r="S863" s="44">
        <f t="shared" si="79"/>
        <v>43913</v>
      </c>
      <c r="T863" s="12">
        <f t="shared" si="74"/>
        <v>5.7270088071975467</v>
      </c>
      <c r="U863" s="12">
        <f t="shared" si="76"/>
        <v>5.549976169689856</v>
      </c>
      <c r="V863" s="30">
        <f t="shared" si="77"/>
        <v>0.48048547945205478</v>
      </c>
      <c r="W863" s="46">
        <f t="shared" si="75"/>
        <v>-5.7270088071975457E-2</v>
      </c>
      <c r="X863" s="33">
        <f t="shared" si="78"/>
        <v>2.804531914555718E-2</v>
      </c>
    </row>
    <row r="864" spans="19:24" x14ac:dyDescent="0.25">
      <c r="S864" s="44">
        <f t="shared" si="79"/>
        <v>43914</v>
      </c>
      <c r="T864" s="12">
        <f t="shared" si="74"/>
        <v>5.7243317248960031</v>
      </c>
      <c r="U864" s="12">
        <f t="shared" si="76"/>
        <v>5.5473249929650654</v>
      </c>
      <c r="V864" s="30">
        <f t="shared" si="77"/>
        <v>0.48045808219178088</v>
      </c>
      <c r="W864" s="46">
        <f t="shared" si="75"/>
        <v>-5.7243317248960021E-2</v>
      </c>
      <c r="X864" s="33">
        <f t="shared" si="78"/>
        <v>2.8045277633284241E-2</v>
      </c>
    </row>
    <row r="865" spans="19:24" x14ac:dyDescent="0.25">
      <c r="S865" s="44">
        <f t="shared" si="79"/>
        <v>43915</v>
      </c>
      <c r="T865" s="12">
        <f t="shared" si="74"/>
        <v>5.721654642594463</v>
      </c>
      <c r="U865" s="12">
        <f t="shared" si="76"/>
        <v>5.5446738162402767</v>
      </c>
      <c r="V865" s="30">
        <f t="shared" si="77"/>
        <v>0.48043068493150687</v>
      </c>
      <c r="W865" s="46">
        <f t="shared" si="75"/>
        <v>-5.721654642594462E-2</v>
      </c>
      <c r="X865" s="33">
        <f t="shared" si="78"/>
        <v>2.8045236121011296E-2</v>
      </c>
    </row>
    <row r="866" spans="19:24" x14ac:dyDescent="0.25">
      <c r="S866" s="44">
        <f t="shared" si="79"/>
        <v>43916</v>
      </c>
      <c r="T866" s="12">
        <f t="shared" si="74"/>
        <v>5.7189775602929229</v>
      </c>
      <c r="U866" s="12">
        <f t="shared" si="76"/>
        <v>5.5420226395154861</v>
      </c>
      <c r="V866" s="30">
        <f t="shared" si="77"/>
        <v>0.48040328767123286</v>
      </c>
      <c r="W866" s="46">
        <f t="shared" si="75"/>
        <v>-5.7189775602929219E-2</v>
      </c>
      <c r="X866" s="33">
        <f t="shared" si="78"/>
        <v>2.8045194608738354E-2</v>
      </c>
    </row>
    <row r="867" spans="19:24" x14ac:dyDescent="0.25">
      <c r="S867" s="44">
        <f t="shared" si="79"/>
        <v>43917</v>
      </c>
      <c r="T867" s="12">
        <f t="shared" si="74"/>
        <v>5.716300477991382</v>
      </c>
      <c r="U867" s="12">
        <f t="shared" si="76"/>
        <v>5.5393714627906983</v>
      </c>
      <c r="V867" s="30">
        <f t="shared" si="77"/>
        <v>0.48037589041095891</v>
      </c>
      <c r="W867" s="46">
        <f t="shared" si="75"/>
        <v>-5.7163004779913811E-2</v>
      </c>
      <c r="X867" s="33">
        <f t="shared" si="78"/>
        <v>2.8045153096465405E-2</v>
      </c>
    </row>
    <row r="868" spans="19:24" x14ac:dyDescent="0.25">
      <c r="S868" s="44">
        <f t="shared" si="79"/>
        <v>43918</v>
      </c>
      <c r="T868" s="12">
        <f t="shared" si="74"/>
        <v>5.7136233956898401</v>
      </c>
      <c r="U868" s="12">
        <f t="shared" si="76"/>
        <v>5.5367202860659095</v>
      </c>
      <c r="V868" s="30">
        <f t="shared" si="77"/>
        <v>0.4803484931506849</v>
      </c>
      <c r="W868" s="46">
        <f t="shared" si="75"/>
        <v>-5.7136233956898395E-2</v>
      </c>
      <c r="X868" s="33">
        <f t="shared" si="78"/>
        <v>2.8045111584192463E-2</v>
      </c>
    </row>
    <row r="869" spans="19:24" x14ac:dyDescent="0.25">
      <c r="S869" s="44">
        <f t="shared" si="79"/>
        <v>43919</v>
      </c>
      <c r="T869" s="12">
        <f t="shared" si="74"/>
        <v>5.7109463133882983</v>
      </c>
      <c r="U869" s="12">
        <f t="shared" si="76"/>
        <v>5.5340691093411198</v>
      </c>
      <c r="V869" s="30">
        <f t="shared" si="77"/>
        <v>0.480321095890411</v>
      </c>
      <c r="W869" s="46">
        <f t="shared" si="75"/>
        <v>-5.7109463133882973E-2</v>
      </c>
      <c r="X869" s="33">
        <f t="shared" si="78"/>
        <v>2.8045070071919521E-2</v>
      </c>
    </row>
    <row r="870" spans="19:24" x14ac:dyDescent="0.25">
      <c r="S870" s="44">
        <f t="shared" si="79"/>
        <v>43920</v>
      </c>
      <c r="T870" s="12">
        <f t="shared" si="74"/>
        <v>5.7082692310867564</v>
      </c>
      <c r="U870" s="12">
        <f t="shared" si="76"/>
        <v>5.5314179326163275</v>
      </c>
      <c r="V870" s="30">
        <f t="shared" si="77"/>
        <v>0.48029369863013699</v>
      </c>
      <c r="W870" s="46">
        <f t="shared" si="75"/>
        <v>-5.7082692310867558E-2</v>
      </c>
      <c r="X870" s="33">
        <f t="shared" si="78"/>
        <v>2.8045028559646579E-2</v>
      </c>
    </row>
    <row r="871" spans="19:24" x14ac:dyDescent="0.25">
      <c r="S871" s="44">
        <f t="shared" ref="S871:S934" si="80">+S870+1</f>
        <v>43921</v>
      </c>
      <c r="T871" s="12">
        <f t="shared" ref="T871:T934" si="81">DurMod(S871,B$2,$F$7:$G$37,$T$3)</f>
        <v>5.7055921487852181</v>
      </c>
      <c r="U871" s="12">
        <f t="shared" si="76"/>
        <v>5.5287667558915405</v>
      </c>
      <c r="V871" s="30">
        <f t="shared" si="77"/>
        <v>0.48026630136986304</v>
      </c>
      <c r="W871" s="46">
        <f t="shared" ref="W871:W934" si="82">+-T871*($U$3-$T$3)</f>
        <v>-5.7055921487852171E-2</v>
      </c>
      <c r="X871" s="33">
        <f t="shared" si="78"/>
        <v>2.8044987047373633E-2</v>
      </c>
    </row>
    <row r="872" spans="19:24" x14ac:dyDescent="0.25">
      <c r="S872" s="44">
        <f t="shared" si="80"/>
        <v>43922</v>
      </c>
      <c r="T872" s="12">
        <f t="shared" si="81"/>
        <v>5.7029150664836736</v>
      </c>
      <c r="U872" s="12">
        <f t="shared" si="76"/>
        <v>5.5261155791667509</v>
      </c>
      <c r="V872" s="30">
        <f t="shared" si="77"/>
        <v>0.48023890410958903</v>
      </c>
      <c r="W872" s="46">
        <f t="shared" si="82"/>
        <v>-5.7029150664836728E-2</v>
      </c>
      <c r="X872" s="33">
        <f t="shared" si="78"/>
        <v>2.8044945535100691E-2</v>
      </c>
    </row>
    <row r="873" spans="19:24" x14ac:dyDescent="0.25">
      <c r="S873" s="44">
        <f t="shared" si="80"/>
        <v>43923</v>
      </c>
      <c r="T873" s="12">
        <f t="shared" si="81"/>
        <v>5.7002379841821336</v>
      </c>
      <c r="U873" s="12">
        <f t="shared" si="76"/>
        <v>5.5234644024419595</v>
      </c>
      <c r="V873" s="30">
        <f t="shared" si="77"/>
        <v>0.48021150684931507</v>
      </c>
      <c r="W873" s="46">
        <f t="shared" si="82"/>
        <v>-5.7002379841821327E-2</v>
      </c>
      <c r="X873" s="33">
        <f t="shared" si="78"/>
        <v>2.8044904022827742E-2</v>
      </c>
    </row>
    <row r="874" spans="19:24" x14ac:dyDescent="0.25">
      <c r="S874" s="44">
        <f t="shared" si="80"/>
        <v>43924</v>
      </c>
      <c r="T874" s="12">
        <f t="shared" si="81"/>
        <v>5.6975609018805935</v>
      </c>
      <c r="U874" s="12">
        <f t="shared" si="76"/>
        <v>5.5208132257171743</v>
      </c>
      <c r="V874" s="30">
        <f t="shared" si="77"/>
        <v>0.48018410958904112</v>
      </c>
      <c r="W874" s="46">
        <f t="shared" si="82"/>
        <v>-5.6975609018805926E-2</v>
      </c>
      <c r="X874" s="33">
        <f t="shared" si="78"/>
        <v>2.80448625105548E-2</v>
      </c>
    </row>
    <row r="875" spans="19:24" x14ac:dyDescent="0.25">
      <c r="S875" s="44">
        <f t="shared" si="80"/>
        <v>43925</v>
      </c>
      <c r="T875" s="12">
        <f t="shared" si="81"/>
        <v>5.694883819579049</v>
      </c>
      <c r="U875" s="12">
        <f t="shared" si="76"/>
        <v>5.5181620489923855</v>
      </c>
      <c r="V875" s="30">
        <f t="shared" si="77"/>
        <v>0.48015671232876711</v>
      </c>
      <c r="W875" s="46">
        <f t="shared" si="82"/>
        <v>-5.6948838195790483E-2</v>
      </c>
      <c r="X875" s="33">
        <f t="shared" si="78"/>
        <v>2.8044820998281855E-2</v>
      </c>
    </row>
    <row r="876" spans="19:24" x14ac:dyDescent="0.25">
      <c r="S876" s="44">
        <f t="shared" si="80"/>
        <v>43926</v>
      </c>
      <c r="T876" s="12">
        <f t="shared" si="81"/>
        <v>5.6922067372775098</v>
      </c>
      <c r="U876" s="12">
        <f t="shared" si="76"/>
        <v>5.5155108722675941</v>
      </c>
      <c r="V876" s="30">
        <f t="shared" si="77"/>
        <v>0.48012931506849316</v>
      </c>
      <c r="W876" s="46">
        <f t="shared" si="82"/>
        <v>-5.6922067372775088E-2</v>
      </c>
      <c r="X876" s="33">
        <f t="shared" si="78"/>
        <v>2.8044779486008913E-2</v>
      </c>
    </row>
    <row r="877" spans="19:24" x14ac:dyDescent="0.25">
      <c r="S877" s="44">
        <f t="shared" si="80"/>
        <v>43927</v>
      </c>
      <c r="T877" s="12">
        <f t="shared" si="81"/>
        <v>5.6895296549759715</v>
      </c>
      <c r="U877" s="12">
        <f t="shared" si="76"/>
        <v>5.5128596955428044</v>
      </c>
      <c r="V877" s="30">
        <f t="shared" si="77"/>
        <v>0.48010191780821915</v>
      </c>
      <c r="W877" s="46">
        <f t="shared" si="82"/>
        <v>-5.6895296549759708E-2</v>
      </c>
      <c r="X877" s="33">
        <f t="shared" si="78"/>
        <v>2.8044737973735964E-2</v>
      </c>
    </row>
    <row r="878" spans="19:24" x14ac:dyDescent="0.25">
      <c r="S878" s="44">
        <f t="shared" si="80"/>
        <v>43928</v>
      </c>
      <c r="T878" s="12">
        <f t="shared" si="81"/>
        <v>5.6868525726744261</v>
      </c>
      <c r="U878" s="12">
        <f t="shared" si="76"/>
        <v>5.5102085188180165</v>
      </c>
      <c r="V878" s="30">
        <f t="shared" si="77"/>
        <v>0.48007452054794519</v>
      </c>
      <c r="W878" s="46">
        <f t="shared" si="82"/>
        <v>-5.6868525726744251E-2</v>
      </c>
      <c r="X878" s="33">
        <f t="shared" si="78"/>
        <v>2.8044696461463021E-2</v>
      </c>
    </row>
    <row r="879" spans="19:24" x14ac:dyDescent="0.25">
      <c r="S879" s="44">
        <f t="shared" si="80"/>
        <v>43929</v>
      </c>
      <c r="T879" s="12">
        <f t="shared" si="81"/>
        <v>5.6841754903728861</v>
      </c>
      <c r="U879" s="12">
        <f t="shared" si="76"/>
        <v>5.5075573420932287</v>
      </c>
      <c r="V879" s="30">
        <f t="shared" si="77"/>
        <v>0.48004712328767124</v>
      </c>
      <c r="W879" s="46">
        <f t="shared" si="82"/>
        <v>-5.684175490372885E-2</v>
      </c>
      <c r="X879" s="33">
        <f t="shared" si="78"/>
        <v>2.8044654949190079E-2</v>
      </c>
    </row>
    <row r="880" spans="19:24" x14ac:dyDescent="0.25">
      <c r="S880" s="44">
        <f t="shared" si="80"/>
        <v>43930</v>
      </c>
      <c r="T880" s="12">
        <f t="shared" si="81"/>
        <v>5.6814984080713442</v>
      </c>
      <c r="U880" s="12">
        <f t="shared" si="76"/>
        <v>5.5049061653684364</v>
      </c>
      <c r="V880" s="30">
        <f t="shared" si="77"/>
        <v>0.48001972602739723</v>
      </c>
      <c r="W880" s="46">
        <f t="shared" si="82"/>
        <v>-5.6814984080713435E-2</v>
      </c>
      <c r="X880" s="33">
        <f t="shared" si="78"/>
        <v>2.8044613436917134E-2</v>
      </c>
    </row>
    <row r="881" spans="19:24" x14ac:dyDescent="0.25">
      <c r="S881" s="44">
        <f t="shared" si="80"/>
        <v>43931</v>
      </c>
      <c r="T881" s="12">
        <f t="shared" si="81"/>
        <v>5.6788213257698033</v>
      </c>
      <c r="U881" s="12">
        <f t="shared" si="76"/>
        <v>5.5022549886436467</v>
      </c>
      <c r="V881" s="30">
        <f t="shared" si="77"/>
        <v>0.47999232876712328</v>
      </c>
      <c r="W881" s="46">
        <f t="shared" si="82"/>
        <v>-5.6788213257698027E-2</v>
      </c>
      <c r="X881" s="33">
        <f t="shared" si="78"/>
        <v>2.8044571924644199E-2</v>
      </c>
    </row>
    <row r="882" spans="19:24" x14ac:dyDescent="0.25">
      <c r="S882" s="44">
        <f t="shared" si="80"/>
        <v>43932</v>
      </c>
      <c r="T882" s="12">
        <f t="shared" si="81"/>
        <v>5.6761442434682623</v>
      </c>
      <c r="U882" s="12">
        <f t="shared" si="76"/>
        <v>5.4996038119188624</v>
      </c>
      <c r="V882" s="30">
        <f t="shared" si="77"/>
        <v>0.47996493150684932</v>
      </c>
      <c r="W882" s="46">
        <f t="shared" si="82"/>
        <v>-5.6761442434682612E-2</v>
      </c>
      <c r="X882" s="33">
        <f t="shared" si="78"/>
        <v>2.804453041237125E-2</v>
      </c>
    </row>
    <row r="883" spans="19:24" x14ac:dyDescent="0.25">
      <c r="S883" s="44">
        <f t="shared" si="80"/>
        <v>43933</v>
      </c>
      <c r="T883" s="12">
        <f t="shared" si="81"/>
        <v>5.6734671611667213</v>
      </c>
      <c r="U883" s="12">
        <f t="shared" si="76"/>
        <v>5.4969526351940701</v>
      </c>
      <c r="V883" s="30">
        <f t="shared" si="77"/>
        <v>0.47993753424657537</v>
      </c>
      <c r="W883" s="46">
        <f t="shared" si="82"/>
        <v>-5.6734671611667203E-2</v>
      </c>
      <c r="X883" s="33">
        <f t="shared" si="78"/>
        <v>2.8044488900098308E-2</v>
      </c>
    </row>
    <row r="884" spans="19:24" x14ac:dyDescent="0.25">
      <c r="S884" s="44">
        <f t="shared" si="80"/>
        <v>43934</v>
      </c>
      <c r="T884" s="12">
        <f t="shared" si="81"/>
        <v>5.6707900788651786</v>
      </c>
      <c r="U884" s="12">
        <f t="shared" si="76"/>
        <v>5.4943014584692795</v>
      </c>
      <c r="V884" s="30">
        <f t="shared" si="77"/>
        <v>0.47991013698630136</v>
      </c>
      <c r="W884" s="46">
        <f t="shared" si="82"/>
        <v>-5.6707900788651774E-2</v>
      </c>
      <c r="X884" s="33">
        <f t="shared" si="78"/>
        <v>2.8044447387825362E-2</v>
      </c>
    </row>
    <row r="885" spans="19:24" x14ac:dyDescent="0.25">
      <c r="S885" s="44">
        <f t="shared" si="80"/>
        <v>43935</v>
      </c>
      <c r="T885" s="12">
        <f t="shared" si="81"/>
        <v>5.6681129965636394</v>
      </c>
      <c r="U885" s="12">
        <f t="shared" si="76"/>
        <v>5.4916502817444908</v>
      </c>
      <c r="V885" s="30">
        <f t="shared" si="77"/>
        <v>0.47988273972602735</v>
      </c>
      <c r="W885" s="46">
        <f t="shared" si="82"/>
        <v>-5.6681129965636387E-2</v>
      </c>
      <c r="X885" s="33">
        <f t="shared" si="78"/>
        <v>2.8044405875552413E-2</v>
      </c>
    </row>
    <row r="886" spans="19:24" x14ac:dyDescent="0.25">
      <c r="S886" s="44">
        <f t="shared" si="80"/>
        <v>43936</v>
      </c>
      <c r="T886" s="12">
        <f t="shared" si="81"/>
        <v>5.6654359142620994</v>
      </c>
      <c r="U886" s="12">
        <f t="shared" si="76"/>
        <v>5.4889991050197011</v>
      </c>
      <c r="V886" s="30">
        <f t="shared" si="77"/>
        <v>0.4798553424657534</v>
      </c>
      <c r="W886" s="46">
        <f t="shared" si="82"/>
        <v>-5.6654359142620986E-2</v>
      </c>
      <c r="X886" s="33">
        <f t="shared" si="78"/>
        <v>2.8044364363279471E-2</v>
      </c>
    </row>
    <row r="887" spans="19:24" x14ac:dyDescent="0.25">
      <c r="S887" s="44">
        <f t="shared" si="80"/>
        <v>43937</v>
      </c>
      <c r="T887" s="12">
        <f t="shared" si="81"/>
        <v>5.6627588319605584</v>
      </c>
      <c r="U887" s="12">
        <f t="shared" si="76"/>
        <v>5.4863479282949141</v>
      </c>
      <c r="V887" s="30">
        <f t="shared" si="77"/>
        <v>0.47982794520547944</v>
      </c>
      <c r="W887" s="46">
        <f t="shared" si="82"/>
        <v>-5.6627588319605578E-2</v>
      </c>
      <c r="X887" s="33">
        <f t="shared" si="78"/>
        <v>2.8044322851006529E-2</v>
      </c>
    </row>
    <row r="888" spans="19:24" x14ac:dyDescent="0.25">
      <c r="S888" s="44">
        <f t="shared" si="80"/>
        <v>43938</v>
      </c>
      <c r="T888" s="12">
        <f t="shared" si="81"/>
        <v>5.6600817496590157</v>
      </c>
      <c r="U888" s="12">
        <f t="shared" si="76"/>
        <v>5.4836967515701245</v>
      </c>
      <c r="V888" s="30">
        <f t="shared" si="77"/>
        <v>0.47980054794520549</v>
      </c>
      <c r="W888" s="46">
        <f t="shared" si="82"/>
        <v>-5.6600817496590149E-2</v>
      </c>
      <c r="X888" s="33">
        <f t="shared" si="78"/>
        <v>2.8044281338733587E-2</v>
      </c>
    </row>
    <row r="889" spans="19:24" x14ac:dyDescent="0.25">
      <c r="S889" s="44">
        <f t="shared" si="80"/>
        <v>43939</v>
      </c>
      <c r="T889" s="12">
        <f t="shared" si="81"/>
        <v>5.6574046673574747</v>
      </c>
      <c r="U889" s="12">
        <f t="shared" si="76"/>
        <v>5.4810455748453348</v>
      </c>
      <c r="V889" s="30">
        <f t="shared" si="77"/>
        <v>0.47977315068493148</v>
      </c>
      <c r="W889" s="46">
        <f t="shared" si="82"/>
        <v>-5.657404667357474E-2</v>
      </c>
      <c r="X889" s="33">
        <f t="shared" si="78"/>
        <v>2.8044239826460642E-2</v>
      </c>
    </row>
    <row r="890" spans="19:24" x14ac:dyDescent="0.25">
      <c r="S890" s="44">
        <f t="shared" si="80"/>
        <v>43940</v>
      </c>
      <c r="T890" s="12">
        <f t="shared" si="81"/>
        <v>5.6547275850559338</v>
      </c>
      <c r="U890" s="12">
        <f t="shared" si="76"/>
        <v>5.4783943981205425</v>
      </c>
      <c r="V890" s="30">
        <f t="shared" si="77"/>
        <v>0.47974575342465753</v>
      </c>
      <c r="W890" s="46">
        <f t="shared" si="82"/>
        <v>-5.6547275850559332E-2</v>
      </c>
      <c r="X890" s="33">
        <f t="shared" si="78"/>
        <v>2.80441983141877E-2</v>
      </c>
    </row>
    <row r="891" spans="19:24" x14ac:dyDescent="0.25">
      <c r="S891" s="44">
        <f t="shared" si="80"/>
        <v>43941</v>
      </c>
      <c r="T891" s="12">
        <f t="shared" si="81"/>
        <v>5.6520505027543928</v>
      </c>
      <c r="U891" s="12">
        <f t="shared" si="76"/>
        <v>5.4757432213957555</v>
      </c>
      <c r="V891" s="30">
        <f t="shared" si="77"/>
        <v>0.47971835616438357</v>
      </c>
      <c r="W891" s="46">
        <f t="shared" si="82"/>
        <v>-5.6520505027543917E-2</v>
      </c>
      <c r="X891" s="33">
        <f t="shared" si="78"/>
        <v>2.8044156801914757E-2</v>
      </c>
    </row>
    <row r="892" spans="19:24" x14ac:dyDescent="0.25">
      <c r="S892" s="44">
        <f t="shared" si="80"/>
        <v>43942</v>
      </c>
      <c r="T892" s="12">
        <f t="shared" si="81"/>
        <v>5.649373420452851</v>
      </c>
      <c r="U892" s="12">
        <f t="shared" si="76"/>
        <v>5.4730920446709668</v>
      </c>
      <c r="V892" s="30">
        <f t="shared" si="77"/>
        <v>0.47969095890410957</v>
      </c>
      <c r="W892" s="46">
        <f t="shared" si="82"/>
        <v>-5.6493734204528502E-2</v>
      </c>
      <c r="X892" s="33">
        <f t="shared" si="78"/>
        <v>2.8044115289641808E-2</v>
      </c>
    </row>
    <row r="893" spans="19:24" x14ac:dyDescent="0.25">
      <c r="S893" s="44">
        <f t="shared" si="80"/>
        <v>43943</v>
      </c>
      <c r="T893" s="12">
        <f t="shared" si="81"/>
        <v>5.6466963381513091</v>
      </c>
      <c r="U893" s="12">
        <f t="shared" si="76"/>
        <v>5.4704408679461771</v>
      </c>
      <c r="V893" s="30">
        <f t="shared" si="77"/>
        <v>0.47966356164383561</v>
      </c>
      <c r="W893" s="46">
        <f t="shared" si="82"/>
        <v>-5.646696338151308E-2</v>
      </c>
      <c r="X893" s="33">
        <f t="shared" si="78"/>
        <v>2.8044073777368866E-2</v>
      </c>
    </row>
    <row r="894" spans="19:24" x14ac:dyDescent="0.25">
      <c r="S894" s="44">
        <f t="shared" si="80"/>
        <v>43944</v>
      </c>
      <c r="T894" s="12">
        <f t="shared" si="81"/>
        <v>5.6440192558497673</v>
      </c>
      <c r="U894" s="12">
        <f t="shared" si="76"/>
        <v>5.4677896912213866</v>
      </c>
      <c r="V894" s="30">
        <f t="shared" si="77"/>
        <v>0.4796361643835616</v>
      </c>
      <c r="W894" s="46">
        <f t="shared" si="82"/>
        <v>-5.6440192558497665E-2</v>
      </c>
      <c r="X894" s="33">
        <f t="shared" si="78"/>
        <v>2.8044032265095924E-2</v>
      </c>
    </row>
    <row r="895" spans="19:24" x14ac:dyDescent="0.25">
      <c r="S895" s="44">
        <f t="shared" si="80"/>
        <v>43945</v>
      </c>
      <c r="T895" s="12">
        <f t="shared" si="81"/>
        <v>5.6413421735482272</v>
      </c>
      <c r="U895" s="12">
        <f t="shared" si="76"/>
        <v>5.4651385144965987</v>
      </c>
      <c r="V895" s="30">
        <f t="shared" si="77"/>
        <v>0.47960876712328759</v>
      </c>
      <c r="W895" s="46">
        <f t="shared" si="82"/>
        <v>-5.6413421735482264E-2</v>
      </c>
      <c r="X895" s="33">
        <f t="shared" si="78"/>
        <v>2.8043990752822972E-2</v>
      </c>
    </row>
    <row r="896" spans="19:24" x14ac:dyDescent="0.25">
      <c r="S896" s="44">
        <f t="shared" si="80"/>
        <v>43946</v>
      </c>
      <c r="T896" s="12">
        <f t="shared" si="81"/>
        <v>5.6386650912466862</v>
      </c>
      <c r="U896" s="12">
        <f t="shared" si="76"/>
        <v>5.4624873377718091</v>
      </c>
      <c r="V896" s="30">
        <f t="shared" si="77"/>
        <v>0.4795813698630137</v>
      </c>
      <c r="W896" s="46">
        <f t="shared" si="82"/>
        <v>-5.6386650912466856E-2</v>
      </c>
      <c r="X896" s="33">
        <f t="shared" si="78"/>
        <v>2.8043949240550037E-2</v>
      </c>
    </row>
    <row r="897" spans="19:24" x14ac:dyDescent="0.25">
      <c r="S897" s="44">
        <f t="shared" si="80"/>
        <v>43947</v>
      </c>
      <c r="T897" s="12">
        <f t="shared" si="81"/>
        <v>5.6359880089451453</v>
      </c>
      <c r="U897" s="12">
        <f t="shared" si="76"/>
        <v>5.4598361610470176</v>
      </c>
      <c r="V897" s="30">
        <f t="shared" si="77"/>
        <v>0.47955397260273969</v>
      </c>
      <c r="W897" s="46">
        <f t="shared" si="82"/>
        <v>-5.6359880089451447E-2</v>
      </c>
      <c r="X897" s="33">
        <f t="shared" si="78"/>
        <v>2.8043907728277088E-2</v>
      </c>
    </row>
    <row r="898" spans="19:24" x14ac:dyDescent="0.25">
      <c r="S898" s="44">
        <f t="shared" si="80"/>
        <v>43948</v>
      </c>
      <c r="T898" s="12">
        <f t="shared" si="81"/>
        <v>5.6333109266436052</v>
      </c>
      <c r="U898" s="12">
        <f t="shared" si="76"/>
        <v>5.4571849843222315</v>
      </c>
      <c r="V898" s="30">
        <f t="shared" si="77"/>
        <v>0.47952657534246573</v>
      </c>
      <c r="W898" s="46">
        <f t="shared" si="82"/>
        <v>-5.6333109266436046E-2</v>
      </c>
      <c r="X898" s="33">
        <f t="shared" si="78"/>
        <v>2.8043866216004146E-2</v>
      </c>
    </row>
    <row r="899" spans="19:24" x14ac:dyDescent="0.25">
      <c r="S899" s="44">
        <f t="shared" si="80"/>
        <v>43949</v>
      </c>
      <c r="T899" s="12">
        <f t="shared" si="81"/>
        <v>5.6306338443420634</v>
      </c>
      <c r="U899" s="12">
        <f t="shared" si="76"/>
        <v>5.4545338075974401</v>
      </c>
      <c r="V899" s="30">
        <f t="shared" si="77"/>
        <v>0.47949917808219172</v>
      </c>
      <c r="W899" s="46">
        <f t="shared" si="82"/>
        <v>-5.6306338443420624E-2</v>
      </c>
      <c r="X899" s="33">
        <f t="shared" si="78"/>
        <v>2.80438247037312E-2</v>
      </c>
    </row>
    <row r="900" spans="19:24" x14ac:dyDescent="0.25">
      <c r="S900" s="44">
        <f t="shared" si="80"/>
        <v>43950</v>
      </c>
      <c r="T900" s="12">
        <f t="shared" si="81"/>
        <v>5.6279567620405224</v>
      </c>
      <c r="U900" s="12">
        <f t="shared" si="76"/>
        <v>5.4518826308726513</v>
      </c>
      <c r="V900" s="30">
        <f t="shared" si="77"/>
        <v>0.47947178082191783</v>
      </c>
      <c r="W900" s="46">
        <f t="shared" si="82"/>
        <v>-5.6279567620405216E-2</v>
      </c>
      <c r="X900" s="33">
        <f t="shared" si="78"/>
        <v>2.8043783191458262E-2</v>
      </c>
    </row>
    <row r="901" spans="19:24" x14ac:dyDescent="0.25">
      <c r="S901" s="44">
        <f t="shared" si="80"/>
        <v>43951</v>
      </c>
      <c r="T901" s="12">
        <f t="shared" si="81"/>
        <v>5.6252796797389815</v>
      </c>
      <c r="U901" s="12">
        <f t="shared" ref="U901:U964" si="83">DurMod($S901,$B$2,$F$7:$G$37,U$3)</f>
        <v>5.4492314541478635</v>
      </c>
      <c r="V901" s="30">
        <f t="shared" ref="V901:V964" si="84">+$U$3*($S$5512-S901)/365+$T$3*(S901-$S$4)/365</f>
        <v>0.47944438356164382</v>
      </c>
      <c r="W901" s="46">
        <f t="shared" si="82"/>
        <v>-5.6252796797389808E-2</v>
      </c>
      <c r="X901" s="33">
        <f t="shared" ref="X901:X964" si="85">+(V901+W901)*365/($S$5512-$S$4)</f>
        <v>2.8043741679185316E-2</v>
      </c>
    </row>
    <row r="902" spans="19:24" x14ac:dyDescent="0.25">
      <c r="S902" s="44">
        <f t="shared" si="80"/>
        <v>43952</v>
      </c>
      <c r="T902" s="12">
        <f t="shared" si="81"/>
        <v>5.6226025974374378</v>
      </c>
      <c r="U902" s="12">
        <f t="shared" si="83"/>
        <v>5.446580277423072</v>
      </c>
      <c r="V902" s="30">
        <f t="shared" si="84"/>
        <v>0.47941698630136986</v>
      </c>
      <c r="W902" s="46">
        <f t="shared" si="82"/>
        <v>-5.6226025974374372E-2</v>
      </c>
      <c r="X902" s="33">
        <f t="shared" si="85"/>
        <v>2.8043700166912374E-2</v>
      </c>
    </row>
    <row r="903" spans="19:24" x14ac:dyDescent="0.25">
      <c r="S903" s="44">
        <f t="shared" si="80"/>
        <v>43953</v>
      </c>
      <c r="T903" s="12">
        <f t="shared" si="81"/>
        <v>5.619925515135896</v>
      </c>
      <c r="U903" s="12">
        <f t="shared" si="83"/>
        <v>5.4439291006982833</v>
      </c>
      <c r="V903" s="30">
        <f t="shared" si="84"/>
        <v>0.47938958904109585</v>
      </c>
      <c r="W903" s="46">
        <f t="shared" si="82"/>
        <v>-5.619925515135895E-2</v>
      </c>
      <c r="X903" s="33">
        <f t="shared" si="85"/>
        <v>2.8043658654639429E-2</v>
      </c>
    </row>
    <row r="904" spans="19:24" x14ac:dyDescent="0.25">
      <c r="S904" s="44">
        <f t="shared" si="80"/>
        <v>43954</v>
      </c>
      <c r="T904" s="12">
        <f t="shared" si="81"/>
        <v>5.6172484328343559</v>
      </c>
      <c r="U904" s="12">
        <f t="shared" si="83"/>
        <v>5.4412779239734945</v>
      </c>
      <c r="V904" s="30">
        <f t="shared" si="84"/>
        <v>0.47936219178082184</v>
      </c>
      <c r="W904" s="46">
        <f t="shared" si="82"/>
        <v>-5.6172484328343548E-2</v>
      </c>
      <c r="X904" s="33">
        <f t="shared" si="85"/>
        <v>2.804361714236648E-2</v>
      </c>
    </row>
    <row r="905" spans="19:24" x14ac:dyDescent="0.25">
      <c r="S905" s="44">
        <f t="shared" si="80"/>
        <v>43955</v>
      </c>
      <c r="T905" s="12">
        <f t="shared" si="81"/>
        <v>5.6145713505328168</v>
      </c>
      <c r="U905" s="12">
        <f t="shared" si="83"/>
        <v>5.4386267472487031</v>
      </c>
      <c r="V905" s="30">
        <f t="shared" si="84"/>
        <v>0.47933479452054795</v>
      </c>
      <c r="W905" s="46">
        <f t="shared" si="82"/>
        <v>-5.6145713505328161E-2</v>
      </c>
      <c r="X905" s="33">
        <f t="shared" si="85"/>
        <v>2.8043575630093544E-2</v>
      </c>
    </row>
    <row r="906" spans="19:24" x14ac:dyDescent="0.25">
      <c r="S906" s="44">
        <f t="shared" si="80"/>
        <v>43956</v>
      </c>
      <c r="T906" s="12">
        <f t="shared" si="81"/>
        <v>5.611894268231274</v>
      </c>
      <c r="U906" s="12">
        <f t="shared" si="83"/>
        <v>5.4359755705239179</v>
      </c>
      <c r="V906" s="30">
        <f t="shared" si="84"/>
        <v>0.47930739726027394</v>
      </c>
      <c r="W906" s="46">
        <f t="shared" si="82"/>
        <v>-5.6118942682312732E-2</v>
      </c>
      <c r="X906" s="33">
        <f t="shared" si="85"/>
        <v>2.8043534117820595E-2</v>
      </c>
    </row>
    <row r="907" spans="19:24" x14ac:dyDescent="0.25">
      <c r="S907" s="44">
        <f t="shared" si="80"/>
        <v>43957</v>
      </c>
      <c r="T907" s="12">
        <f t="shared" si="81"/>
        <v>5.6092171859297331</v>
      </c>
      <c r="U907" s="12">
        <f t="shared" si="83"/>
        <v>5.4333243937991282</v>
      </c>
      <c r="V907" s="30">
        <f t="shared" si="84"/>
        <v>0.47927999999999998</v>
      </c>
      <c r="W907" s="46">
        <f t="shared" si="82"/>
        <v>-5.6092171859297324E-2</v>
      </c>
      <c r="X907" s="33">
        <f t="shared" si="85"/>
        <v>2.8043492605547653E-2</v>
      </c>
    </row>
    <row r="908" spans="19:24" x14ac:dyDescent="0.25">
      <c r="S908" s="44">
        <f t="shared" si="80"/>
        <v>43958</v>
      </c>
      <c r="T908" s="12">
        <f t="shared" si="81"/>
        <v>5.6065401036281921</v>
      </c>
      <c r="U908" s="12">
        <f t="shared" si="83"/>
        <v>5.4306732170743368</v>
      </c>
      <c r="V908" s="30">
        <f t="shared" si="84"/>
        <v>0.47925260273972597</v>
      </c>
      <c r="W908" s="46">
        <f t="shared" si="82"/>
        <v>-5.6065401036281916E-2</v>
      </c>
      <c r="X908" s="33">
        <f t="shared" si="85"/>
        <v>2.8043451093274708E-2</v>
      </c>
    </row>
    <row r="909" spans="19:24" x14ac:dyDescent="0.25">
      <c r="S909" s="44">
        <f t="shared" si="80"/>
        <v>43959</v>
      </c>
      <c r="T909" s="12">
        <f t="shared" si="81"/>
        <v>5.6038630213266512</v>
      </c>
      <c r="U909" s="12">
        <f t="shared" si="83"/>
        <v>5.4280220403495472</v>
      </c>
      <c r="V909" s="30">
        <f t="shared" si="84"/>
        <v>0.47922520547945202</v>
      </c>
      <c r="W909" s="46">
        <f t="shared" si="82"/>
        <v>-5.6038630213266501E-2</v>
      </c>
      <c r="X909" s="33">
        <f t="shared" si="85"/>
        <v>2.8043409581001766E-2</v>
      </c>
    </row>
    <row r="910" spans="19:24" x14ac:dyDescent="0.25">
      <c r="S910" s="44">
        <f t="shared" si="80"/>
        <v>43960</v>
      </c>
      <c r="T910" s="12">
        <f t="shared" si="81"/>
        <v>5.6011859390251102</v>
      </c>
      <c r="U910" s="12">
        <f t="shared" si="83"/>
        <v>5.4253708636247593</v>
      </c>
      <c r="V910" s="30">
        <f t="shared" si="84"/>
        <v>0.47919780821917807</v>
      </c>
      <c r="W910" s="46">
        <f t="shared" si="82"/>
        <v>-5.6011859390251093E-2</v>
      </c>
      <c r="X910" s="33">
        <f t="shared" si="85"/>
        <v>2.8043368068728817E-2</v>
      </c>
    </row>
    <row r="911" spans="19:24" x14ac:dyDescent="0.25">
      <c r="S911" s="44">
        <f t="shared" si="80"/>
        <v>43961</v>
      </c>
      <c r="T911" s="12">
        <f t="shared" si="81"/>
        <v>5.5985088567235692</v>
      </c>
      <c r="U911" s="12">
        <f t="shared" si="83"/>
        <v>5.4227196868999687</v>
      </c>
      <c r="V911" s="30">
        <f t="shared" si="84"/>
        <v>0.47917041095890406</v>
      </c>
      <c r="W911" s="46">
        <f t="shared" si="82"/>
        <v>-5.5985088567235684E-2</v>
      </c>
      <c r="X911" s="33">
        <f t="shared" si="85"/>
        <v>2.8043326556455875E-2</v>
      </c>
    </row>
    <row r="912" spans="19:24" x14ac:dyDescent="0.25">
      <c r="S912" s="44">
        <f t="shared" si="80"/>
        <v>43962</v>
      </c>
      <c r="T912" s="12">
        <f t="shared" si="81"/>
        <v>5.5958317744220274</v>
      </c>
      <c r="U912" s="12">
        <f t="shared" si="83"/>
        <v>5.42006851017518</v>
      </c>
      <c r="V912" s="30">
        <f t="shared" si="84"/>
        <v>0.4791430136986301</v>
      </c>
      <c r="W912" s="46">
        <f t="shared" si="82"/>
        <v>-5.5958317744220262E-2</v>
      </c>
      <c r="X912" s="33">
        <f t="shared" si="85"/>
        <v>2.8043285044182933E-2</v>
      </c>
    </row>
    <row r="913" spans="19:24" x14ac:dyDescent="0.25">
      <c r="S913" s="44">
        <f t="shared" si="80"/>
        <v>43963</v>
      </c>
      <c r="T913" s="12">
        <f t="shared" si="81"/>
        <v>5.5931546921204864</v>
      </c>
      <c r="U913" s="12">
        <f t="shared" si="83"/>
        <v>5.4174173334503903</v>
      </c>
      <c r="V913" s="30">
        <f t="shared" si="84"/>
        <v>0.4791156164383561</v>
      </c>
      <c r="W913" s="46">
        <f t="shared" si="82"/>
        <v>-5.5931546921204854E-2</v>
      </c>
      <c r="X913" s="33">
        <f t="shared" si="85"/>
        <v>2.8043243531909987E-2</v>
      </c>
    </row>
    <row r="914" spans="19:24" x14ac:dyDescent="0.25">
      <c r="S914" s="44">
        <f t="shared" si="80"/>
        <v>43964</v>
      </c>
      <c r="T914" s="12">
        <f t="shared" si="81"/>
        <v>5.5904776098189446</v>
      </c>
      <c r="U914" s="12">
        <f t="shared" si="83"/>
        <v>5.4147661567256034</v>
      </c>
      <c r="V914" s="30">
        <f t="shared" si="84"/>
        <v>0.4790882191780822</v>
      </c>
      <c r="W914" s="46">
        <f t="shared" si="82"/>
        <v>-5.5904776098189439E-2</v>
      </c>
      <c r="X914" s="33">
        <f t="shared" si="85"/>
        <v>2.8043202019637045E-2</v>
      </c>
    </row>
    <row r="915" spans="19:24" x14ac:dyDescent="0.25">
      <c r="S915" s="44">
        <f t="shared" si="80"/>
        <v>43965</v>
      </c>
      <c r="T915" s="12">
        <f t="shared" si="81"/>
        <v>5.5878005275174036</v>
      </c>
      <c r="U915" s="12">
        <f t="shared" si="83"/>
        <v>5.412114980000811</v>
      </c>
      <c r="V915" s="30">
        <f t="shared" si="84"/>
        <v>0.47906082191780819</v>
      </c>
      <c r="W915" s="46">
        <f t="shared" si="82"/>
        <v>-5.5878005275174031E-2</v>
      </c>
      <c r="X915" s="33">
        <f t="shared" si="85"/>
        <v>2.8043160507364096E-2</v>
      </c>
    </row>
    <row r="916" spans="19:24" x14ac:dyDescent="0.25">
      <c r="S916" s="44">
        <f t="shared" si="80"/>
        <v>43966</v>
      </c>
      <c r="T916" s="12">
        <f t="shared" si="81"/>
        <v>5.5851234452158627</v>
      </c>
      <c r="U916" s="12">
        <f t="shared" si="83"/>
        <v>5.4094638032760214</v>
      </c>
      <c r="V916" s="30">
        <f t="shared" si="84"/>
        <v>0.47903342465753418</v>
      </c>
      <c r="W916" s="46">
        <f t="shared" si="82"/>
        <v>-5.5851234452158616E-2</v>
      </c>
      <c r="X916" s="33">
        <f t="shared" si="85"/>
        <v>2.8043118995091154E-2</v>
      </c>
    </row>
    <row r="917" spans="19:24" x14ac:dyDescent="0.25">
      <c r="S917" s="44">
        <f t="shared" si="80"/>
        <v>43967</v>
      </c>
      <c r="T917" s="12">
        <f t="shared" si="81"/>
        <v>5.5824463629143208</v>
      </c>
      <c r="U917" s="12">
        <f t="shared" si="83"/>
        <v>5.4068126265512335</v>
      </c>
      <c r="V917" s="30">
        <f t="shared" si="84"/>
        <v>0.47900602739726023</v>
      </c>
      <c r="W917" s="46">
        <f t="shared" si="82"/>
        <v>-5.5824463629143201E-2</v>
      </c>
      <c r="X917" s="33">
        <f t="shared" si="85"/>
        <v>2.8043077482818209E-2</v>
      </c>
    </row>
    <row r="918" spans="19:24" x14ac:dyDescent="0.25">
      <c r="S918" s="44">
        <f t="shared" si="80"/>
        <v>43968</v>
      </c>
      <c r="T918" s="12">
        <f t="shared" si="81"/>
        <v>5.5797692806127799</v>
      </c>
      <c r="U918" s="12">
        <f t="shared" si="83"/>
        <v>5.4041614498264448</v>
      </c>
      <c r="V918" s="30">
        <f t="shared" si="84"/>
        <v>0.47897863013698627</v>
      </c>
      <c r="W918" s="46">
        <f t="shared" si="82"/>
        <v>-5.5797692806127792E-2</v>
      </c>
      <c r="X918" s="33">
        <f t="shared" si="85"/>
        <v>2.804303597054527E-2</v>
      </c>
    </row>
    <row r="919" spans="19:24" x14ac:dyDescent="0.25">
      <c r="S919" s="44">
        <f t="shared" si="80"/>
        <v>43969</v>
      </c>
      <c r="T919" s="12">
        <f t="shared" si="81"/>
        <v>5.5770921983112398</v>
      </c>
      <c r="U919" s="12">
        <f t="shared" si="83"/>
        <v>5.401510273101656</v>
      </c>
      <c r="V919" s="30">
        <f t="shared" si="84"/>
        <v>0.47895123287671232</v>
      </c>
      <c r="W919" s="46">
        <f t="shared" si="82"/>
        <v>-5.5770921983112391E-2</v>
      </c>
      <c r="X919" s="33">
        <f t="shared" si="85"/>
        <v>2.8042994458272325E-2</v>
      </c>
    </row>
    <row r="920" spans="19:24" x14ac:dyDescent="0.25">
      <c r="S920" s="44">
        <f t="shared" si="80"/>
        <v>43970</v>
      </c>
      <c r="T920" s="12">
        <f t="shared" si="81"/>
        <v>5.5744151160096962</v>
      </c>
      <c r="U920" s="12">
        <f t="shared" si="83"/>
        <v>5.3988590963768663</v>
      </c>
      <c r="V920" s="30">
        <f t="shared" si="84"/>
        <v>0.47892383561643831</v>
      </c>
      <c r="W920" s="46">
        <f t="shared" si="82"/>
        <v>-5.5744151160096955E-2</v>
      </c>
      <c r="X920" s="33">
        <f t="shared" si="85"/>
        <v>2.8042952945999382E-2</v>
      </c>
    </row>
    <row r="921" spans="19:24" x14ac:dyDescent="0.25">
      <c r="S921" s="44">
        <f t="shared" si="80"/>
        <v>43971</v>
      </c>
      <c r="T921" s="12">
        <f t="shared" si="81"/>
        <v>5.5717380337081561</v>
      </c>
      <c r="U921" s="12">
        <f t="shared" si="83"/>
        <v>5.3962079196520776</v>
      </c>
      <c r="V921" s="30">
        <f t="shared" si="84"/>
        <v>0.4788964383561643</v>
      </c>
      <c r="W921" s="46">
        <f t="shared" si="82"/>
        <v>-5.5717380337081554E-2</v>
      </c>
      <c r="X921" s="33">
        <f t="shared" si="85"/>
        <v>2.8042911433726437E-2</v>
      </c>
    </row>
    <row r="922" spans="19:24" x14ac:dyDescent="0.25">
      <c r="S922" s="44">
        <f t="shared" si="80"/>
        <v>43972</v>
      </c>
      <c r="T922" s="12">
        <f t="shared" si="81"/>
        <v>5.5690609514066152</v>
      </c>
      <c r="U922" s="12">
        <f t="shared" si="83"/>
        <v>5.3935567429272879</v>
      </c>
      <c r="V922" s="30">
        <f t="shared" si="84"/>
        <v>0.47886904109589035</v>
      </c>
      <c r="W922" s="46">
        <f t="shared" si="82"/>
        <v>-5.5690609514066146E-2</v>
      </c>
      <c r="X922" s="33">
        <f t="shared" si="85"/>
        <v>2.8042869921453495E-2</v>
      </c>
    </row>
    <row r="923" spans="19:24" x14ac:dyDescent="0.25">
      <c r="S923" s="44">
        <f t="shared" si="80"/>
        <v>43973</v>
      </c>
      <c r="T923" s="12">
        <f t="shared" si="81"/>
        <v>5.5663838691050742</v>
      </c>
      <c r="U923" s="12">
        <f t="shared" si="83"/>
        <v>5.3909055662024974</v>
      </c>
      <c r="V923" s="30">
        <f t="shared" si="84"/>
        <v>0.47884164383561639</v>
      </c>
      <c r="W923" s="46">
        <f t="shared" si="82"/>
        <v>-5.5663838691050731E-2</v>
      </c>
      <c r="X923" s="33">
        <f t="shared" si="85"/>
        <v>2.8042828409180553E-2</v>
      </c>
    </row>
    <row r="924" spans="19:24" x14ac:dyDescent="0.25">
      <c r="S924" s="44">
        <f t="shared" si="80"/>
        <v>43974</v>
      </c>
      <c r="T924" s="12">
        <f t="shared" si="81"/>
        <v>5.5637067868035333</v>
      </c>
      <c r="U924" s="12">
        <f t="shared" si="83"/>
        <v>5.3882543894777077</v>
      </c>
      <c r="V924" s="30">
        <f t="shared" si="84"/>
        <v>0.47881424657534244</v>
      </c>
      <c r="W924" s="46">
        <f t="shared" si="82"/>
        <v>-5.5637067868035323E-2</v>
      </c>
      <c r="X924" s="33">
        <f t="shared" si="85"/>
        <v>2.8042786896907604E-2</v>
      </c>
    </row>
    <row r="925" spans="19:24" x14ac:dyDescent="0.25">
      <c r="S925" s="44">
        <f t="shared" si="80"/>
        <v>43975</v>
      </c>
      <c r="T925" s="12">
        <f t="shared" si="81"/>
        <v>5.5610297045019896</v>
      </c>
      <c r="U925" s="12">
        <f t="shared" si="83"/>
        <v>5.3856032127529181</v>
      </c>
      <c r="V925" s="30">
        <f t="shared" si="84"/>
        <v>0.47878684931506843</v>
      </c>
      <c r="W925" s="46">
        <f t="shared" si="82"/>
        <v>-5.5610297045019887E-2</v>
      </c>
      <c r="X925" s="33">
        <f t="shared" si="85"/>
        <v>2.8042745384634662E-2</v>
      </c>
    </row>
    <row r="926" spans="19:24" x14ac:dyDescent="0.25">
      <c r="S926" s="44">
        <f t="shared" si="80"/>
        <v>43976</v>
      </c>
      <c r="T926" s="12">
        <f t="shared" si="81"/>
        <v>5.5583526222004487</v>
      </c>
      <c r="U926" s="12">
        <f t="shared" si="83"/>
        <v>5.3829520360281302</v>
      </c>
      <c r="V926" s="30">
        <f t="shared" si="84"/>
        <v>0.47875945205479442</v>
      </c>
      <c r="W926" s="46">
        <f t="shared" si="82"/>
        <v>-5.5583526222004478E-2</v>
      </c>
      <c r="X926" s="33">
        <f t="shared" si="85"/>
        <v>2.8042703872361716E-2</v>
      </c>
    </row>
    <row r="927" spans="19:24" x14ac:dyDescent="0.25">
      <c r="S927" s="44">
        <f t="shared" si="80"/>
        <v>43977</v>
      </c>
      <c r="T927" s="12">
        <f t="shared" si="81"/>
        <v>5.5556755398989086</v>
      </c>
      <c r="U927" s="12">
        <f t="shared" si="83"/>
        <v>5.3803008593033423</v>
      </c>
      <c r="V927" s="30">
        <f t="shared" si="84"/>
        <v>0.47873205479452058</v>
      </c>
      <c r="W927" s="46">
        <f t="shared" si="82"/>
        <v>-5.5556755398989077E-2</v>
      </c>
      <c r="X927" s="33">
        <f t="shared" si="85"/>
        <v>2.8042662360088778E-2</v>
      </c>
    </row>
    <row r="928" spans="19:24" x14ac:dyDescent="0.25">
      <c r="S928" s="44">
        <f t="shared" si="80"/>
        <v>43978</v>
      </c>
      <c r="T928" s="12">
        <f t="shared" si="81"/>
        <v>5.5529984575973677</v>
      </c>
      <c r="U928" s="12">
        <f t="shared" si="83"/>
        <v>5.3776496825785527</v>
      </c>
      <c r="V928" s="30">
        <f t="shared" si="84"/>
        <v>0.47870465753424662</v>
      </c>
      <c r="W928" s="46">
        <f t="shared" si="82"/>
        <v>-5.5529984575973669E-2</v>
      </c>
      <c r="X928" s="33">
        <f t="shared" si="85"/>
        <v>2.8042620847815836E-2</v>
      </c>
    </row>
    <row r="929" spans="19:24" x14ac:dyDescent="0.25">
      <c r="S929" s="44">
        <f t="shared" si="80"/>
        <v>43979</v>
      </c>
      <c r="T929" s="12">
        <f t="shared" si="81"/>
        <v>5.5503213752958258</v>
      </c>
      <c r="U929" s="12">
        <f t="shared" si="83"/>
        <v>5.3749985058537604</v>
      </c>
      <c r="V929" s="30">
        <f t="shared" si="84"/>
        <v>0.47867726027397262</v>
      </c>
      <c r="W929" s="46">
        <f t="shared" si="82"/>
        <v>-5.5503213752958247E-2</v>
      </c>
      <c r="X929" s="33">
        <f t="shared" si="85"/>
        <v>2.804257933554289E-2</v>
      </c>
    </row>
    <row r="930" spans="19:24" x14ac:dyDescent="0.25">
      <c r="S930" s="44">
        <f t="shared" si="80"/>
        <v>43980</v>
      </c>
      <c r="T930" s="12">
        <f t="shared" si="81"/>
        <v>5.5476442929942857</v>
      </c>
      <c r="U930" s="12">
        <f t="shared" si="83"/>
        <v>5.3723473291289725</v>
      </c>
      <c r="V930" s="30">
        <f t="shared" si="84"/>
        <v>0.47864986301369866</v>
      </c>
      <c r="W930" s="46">
        <f t="shared" si="82"/>
        <v>-5.5476442929942846E-2</v>
      </c>
      <c r="X930" s="33">
        <f t="shared" si="85"/>
        <v>2.8042537823269948E-2</v>
      </c>
    </row>
    <row r="931" spans="19:24" x14ac:dyDescent="0.25">
      <c r="S931" s="44">
        <f t="shared" si="80"/>
        <v>43981</v>
      </c>
      <c r="T931" s="12">
        <f t="shared" si="81"/>
        <v>5.5449672106927466</v>
      </c>
      <c r="U931" s="12">
        <f t="shared" si="83"/>
        <v>5.3696961524041846</v>
      </c>
      <c r="V931" s="30">
        <f t="shared" si="84"/>
        <v>0.47862246575342471</v>
      </c>
      <c r="W931" s="46">
        <f t="shared" si="82"/>
        <v>-5.5449672106927458E-2</v>
      </c>
      <c r="X931" s="33">
        <f t="shared" si="85"/>
        <v>2.8042496310997006E-2</v>
      </c>
    </row>
    <row r="932" spans="19:24" x14ac:dyDescent="0.25">
      <c r="S932" s="44">
        <f t="shared" si="80"/>
        <v>43982</v>
      </c>
      <c r="T932" s="12">
        <f t="shared" si="81"/>
        <v>5.5422901283912029</v>
      </c>
      <c r="U932" s="12">
        <f t="shared" si="83"/>
        <v>5.3670449756793941</v>
      </c>
      <c r="V932" s="30">
        <f t="shared" si="84"/>
        <v>0.4785950684931507</v>
      </c>
      <c r="W932" s="46">
        <f t="shared" si="82"/>
        <v>-5.5422901283912022E-2</v>
      </c>
      <c r="X932" s="33">
        <f t="shared" si="85"/>
        <v>2.8042454798724057E-2</v>
      </c>
    </row>
    <row r="933" spans="19:24" x14ac:dyDescent="0.25">
      <c r="S933" s="44">
        <f t="shared" si="80"/>
        <v>43983</v>
      </c>
      <c r="T933" s="12">
        <f t="shared" si="81"/>
        <v>5.539613046089662</v>
      </c>
      <c r="U933" s="12">
        <f t="shared" si="83"/>
        <v>5.3643937989546044</v>
      </c>
      <c r="V933" s="30">
        <f t="shared" si="84"/>
        <v>0.47856767123287675</v>
      </c>
      <c r="W933" s="46">
        <f t="shared" si="82"/>
        <v>-5.5396130460896614E-2</v>
      </c>
      <c r="X933" s="33">
        <f t="shared" si="85"/>
        <v>2.8042413286451115E-2</v>
      </c>
    </row>
    <row r="934" spans="19:24" x14ac:dyDescent="0.25">
      <c r="S934" s="44">
        <f t="shared" si="80"/>
        <v>43984</v>
      </c>
      <c r="T934" s="12">
        <f t="shared" si="81"/>
        <v>5.536935963788121</v>
      </c>
      <c r="U934" s="12">
        <f t="shared" si="83"/>
        <v>5.3617426222298166</v>
      </c>
      <c r="V934" s="30">
        <f t="shared" si="84"/>
        <v>0.47854027397260279</v>
      </c>
      <c r="W934" s="46">
        <f t="shared" si="82"/>
        <v>-5.5369359637881199E-2</v>
      </c>
      <c r="X934" s="33">
        <f t="shared" si="85"/>
        <v>2.8042371774178173E-2</v>
      </c>
    </row>
    <row r="935" spans="19:24" x14ac:dyDescent="0.25">
      <c r="S935" s="44">
        <f t="shared" ref="S935:S998" si="86">+S934+1</f>
        <v>43985</v>
      </c>
      <c r="T935" s="12">
        <f t="shared" ref="T935:T998" si="87">DurMod(S935,B$2,$F$7:$G$37,$T$3)</f>
        <v>5.5342588814865801</v>
      </c>
      <c r="U935" s="12">
        <f t="shared" si="83"/>
        <v>5.3590914455050251</v>
      </c>
      <c r="V935" s="30">
        <f t="shared" si="84"/>
        <v>0.47851287671232878</v>
      </c>
      <c r="W935" s="46">
        <f t="shared" ref="W935:W998" si="88">+-T935*($U$3-$T$3)</f>
        <v>-5.5342588814865791E-2</v>
      </c>
      <c r="X935" s="33">
        <f t="shared" si="85"/>
        <v>2.8042330261905227E-2</v>
      </c>
    </row>
    <row r="936" spans="19:24" x14ac:dyDescent="0.25">
      <c r="S936" s="44">
        <f t="shared" si="86"/>
        <v>43986</v>
      </c>
      <c r="T936" s="12">
        <f t="shared" si="87"/>
        <v>5.5315817991850382</v>
      </c>
      <c r="U936" s="12">
        <f t="shared" si="83"/>
        <v>5.3564402687802364</v>
      </c>
      <c r="V936" s="30">
        <f t="shared" si="84"/>
        <v>0.47848547945205483</v>
      </c>
      <c r="W936" s="46">
        <f t="shared" si="88"/>
        <v>-5.5315817991850376E-2</v>
      </c>
      <c r="X936" s="33">
        <f t="shared" si="85"/>
        <v>2.8042288749632285E-2</v>
      </c>
    </row>
    <row r="937" spans="19:24" x14ac:dyDescent="0.25">
      <c r="S937" s="44">
        <f t="shared" si="86"/>
        <v>43987</v>
      </c>
      <c r="T937" s="12">
        <f t="shared" si="87"/>
        <v>5.5289047168834964</v>
      </c>
      <c r="U937" s="12">
        <f t="shared" si="83"/>
        <v>5.3537890920554494</v>
      </c>
      <c r="V937" s="30">
        <f t="shared" si="84"/>
        <v>0.47845808219178082</v>
      </c>
      <c r="W937" s="46">
        <f t="shared" si="88"/>
        <v>-5.5289047168834954E-2</v>
      </c>
      <c r="X937" s="33">
        <f t="shared" si="85"/>
        <v>2.8042247237359343E-2</v>
      </c>
    </row>
    <row r="938" spans="19:24" x14ac:dyDescent="0.25">
      <c r="S938" s="44">
        <f t="shared" si="86"/>
        <v>43988</v>
      </c>
      <c r="T938" s="12">
        <f t="shared" si="87"/>
        <v>5.5262276345819545</v>
      </c>
      <c r="U938" s="12">
        <f t="shared" si="83"/>
        <v>5.3511379153306597</v>
      </c>
      <c r="V938" s="30">
        <f t="shared" si="84"/>
        <v>0.47843068493150687</v>
      </c>
      <c r="W938" s="46">
        <f t="shared" si="88"/>
        <v>-5.5262276345819539E-2</v>
      </c>
      <c r="X938" s="33">
        <f t="shared" si="85"/>
        <v>2.8042205725086394E-2</v>
      </c>
    </row>
    <row r="939" spans="19:24" x14ac:dyDescent="0.25">
      <c r="S939" s="44">
        <f t="shared" si="86"/>
        <v>43989</v>
      </c>
      <c r="T939" s="12">
        <f t="shared" si="87"/>
        <v>5.5235505522804145</v>
      </c>
      <c r="U939" s="12">
        <f t="shared" si="83"/>
        <v>5.3484867386058665</v>
      </c>
      <c r="V939" s="30">
        <f t="shared" si="84"/>
        <v>0.47840328767123291</v>
      </c>
      <c r="W939" s="46">
        <f t="shared" si="88"/>
        <v>-5.5235505522804138E-2</v>
      </c>
      <c r="X939" s="33">
        <f t="shared" si="85"/>
        <v>2.8042164212813452E-2</v>
      </c>
    </row>
    <row r="940" spans="19:24" x14ac:dyDescent="0.25">
      <c r="S940" s="44">
        <f t="shared" si="86"/>
        <v>43990</v>
      </c>
      <c r="T940" s="12">
        <f t="shared" si="87"/>
        <v>5.5208734699788735</v>
      </c>
      <c r="U940" s="12">
        <f t="shared" si="83"/>
        <v>5.3458355618810796</v>
      </c>
      <c r="V940" s="30">
        <f t="shared" si="84"/>
        <v>0.47837589041095896</v>
      </c>
      <c r="W940" s="46">
        <f t="shared" si="88"/>
        <v>-5.5208734699788729E-2</v>
      </c>
      <c r="X940" s="33">
        <f t="shared" si="85"/>
        <v>2.8042122700540514E-2</v>
      </c>
    </row>
    <row r="941" spans="19:24" x14ac:dyDescent="0.25">
      <c r="S941" s="44">
        <f t="shared" si="86"/>
        <v>43991</v>
      </c>
      <c r="T941" s="12">
        <f t="shared" si="87"/>
        <v>5.5181963876773317</v>
      </c>
      <c r="U941" s="12">
        <f t="shared" si="83"/>
        <v>5.3431843851562917</v>
      </c>
      <c r="V941" s="30">
        <f t="shared" si="84"/>
        <v>0.47834849315068495</v>
      </c>
      <c r="W941" s="46">
        <f t="shared" si="88"/>
        <v>-5.5181963876773307E-2</v>
      </c>
      <c r="X941" s="33">
        <f t="shared" si="85"/>
        <v>2.8042081188267565E-2</v>
      </c>
    </row>
    <row r="942" spans="19:24" x14ac:dyDescent="0.25">
      <c r="S942" s="44">
        <f t="shared" si="86"/>
        <v>43992</v>
      </c>
      <c r="T942" s="12">
        <f t="shared" si="87"/>
        <v>5.5155193053757907</v>
      </c>
      <c r="U942" s="12">
        <f t="shared" si="83"/>
        <v>5.3405332084315011</v>
      </c>
      <c r="V942" s="30">
        <f t="shared" si="84"/>
        <v>0.47832109589041094</v>
      </c>
      <c r="W942" s="46">
        <f t="shared" si="88"/>
        <v>-5.5155193053757899E-2</v>
      </c>
      <c r="X942" s="33">
        <f t="shared" si="85"/>
        <v>2.8042039675994619E-2</v>
      </c>
    </row>
    <row r="943" spans="19:24" x14ac:dyDescent="0.25">
      <c r="S943" s="44">
        <f t="shared" si="86"/>
        <v>43993</v>
      </c>
      <c r="T943" s="12">
        <f t="shared" si="87"/>
        <v>5.5128422230742506</v>
      </c>
      <c r="U943" s="12">
        <f t="shared" si="83"/>
        <v>5.3378820317067133</v>
      </c>
      <c r="V943" s="30">
        <f t="shared" si="84"/>
        <v>0.47829369863013704</v>
      </c>
      <c r="W943" s="46">
        <f t="shared" si="88"/>
        <v>-5.5128422230742498E-2</v>
      </c>
      <c r="X943" s="33">
        <f t="shared" si="85"/>
        <v>2.8041998163721681E-2</v>
      </c>
    </row>
    <row r="944" spans="19:24" x14ac:dyDescent="0.25">
      <c r="S944" s="44">
        <f t="shared" si="86"/>
        <v>43994</v>
      </c>
      <c r="T944" s="12">
        <f t="shared" si="87"/>
        <v>5.5101651407727097</v>
      </c>
      <c r="U944" s="12">
        <f t="shared" si="83"/>
        <v>5.3352308549819218</v>
      </c>
      <c r="V944" s="30">
        <f t="shared" si="84"/>
        <v>0.47826630136986303</v>
      </c>
      <c r="W944" s="46">
        <f t="shared" si="88"/>
        <v>-5.510165140772709E-2</v>
      </c>
      <c r="X944" s="33">
        <f t="shared" si="85"/>
        <v>2.8041956651448735E-2</v>
      </c>
    </row>
    <row r="945" spans="19:24" x14ac:dyDescent="0.25">
      <c r="S945" s="44">
        <f t="shared" si="86"/>
        <v>43995</v>
      </c>
      <c r="T945" s="12">
        <f t="shared" si="87"/>
        <v>5.507488058471167</v>
      </c>
      <c r="U945" s="12">
        <f t="shared" si="83"/>
        <v>5.3325796782571331</v>
      </c>
      <c r="V945" s="30">
        <f t="shared" si="84"/>
        <v>0.47823890410958908</v>
      </c>
      <c r="W945" s="46">
        <f t="shared" si="88"/>
        <v>-5.5074880584711661E-2</v>
      </c>
      <c r="X945" s="33">
        <f t="shared" si="85"/>
        <v>2.8041915139175793E-2</v>
      </c>
    </row>
    <row r="946" spans="19:24" x14ac:dyDescent="0.25">
      <c r="S946" s="44">
        <f t="shared" si="86"/>
        <v>43996</v>
      </c>
      <c r="T946" s="12">
        <f t="shared" si="87"/>
        <v>5.5048109761696251</v>
      </c>
      <c r="U946" s="12">
        <f t="shared" si="83"/>
        <v>5.3299285015323425</v>
      </c>
      <c r="V946" s="30">
        <f t="shared" si="84"/>
        <v>0.47821150684931507</v>
      </c>
      <c r="W946" s="46">
        <f t="shared" si="88"/>
        <v>-5.5048109761696246E-2</v>
      </c>
      <c r="X946" s="33">
        <f t="shared" si="85"/>
        <v>2.8041873626902844E-2</v>
      </c>
    </row>
    <row r="947" spans="19:24" x14ac:dyDescent="0.25">
      <c r="S947" s="44">
        <f t="shared" si="86"/>
        <v>43997</v>
      </c>
      <c r="T947" s="12">
        <f t="shared" si="87"/>
        <v>5.6146372748262126</v>
      </c>
      <c r="U947" s="12">
        <f t="shared" si="83"/>
        <v>5.44239651729937</v>
      </c>
      <c r="V947" s="30">
        <f t="shared" si="84"/>
        <v>0.47818410958904112</v>
      </c>
      <c r="W947" s="46">
        <f t="shared" si="88"/>
        <v>-5.6146372748262119E-2</v>
      </c>
      <c r="X947" s="33">
        <f t="shared" si="85"/>
        <v>2.7967279220567236E-2</v>
      </c>
    </row>
    <row r="948" spans="19:24" x14ac:dyDescent="0.25">
      <c r="S948" s="44">
        <f t="shared" si="86"/>
        <v>43998</v>
      </c>
      <c r="T948" s="12">
        <f t="shared" si="87"/>
        <v>5.6119601925246716</v>
      </c>
      <c r="U948" s="12">
        <f t="shared" si="83"/>
        <v>5.4397453405745804</v>
      </c>
      <c r="V948" s="30">
        <f t="shared" si="84"/>
        <v>0.47815671232876716</v>
      </c>
      <c r="W948" s="46">
        <f t="shared" si="88"/>
        <v>-5.6119601925246711E-2</v>
      </c>
      <c r="X948" s="33">
        <f t="shared" si="85"/>
        <v>2.7967237708294294E-2</v>
      </c>
    </row>
    <row r="949" spans="19:24" x14ac:dyDescent="0.25">
      <c r="S949" s="44">
        <f t="shared" si="86"/>
        <v>43999</v>
      </c>
      <c r="T949" s="12">
        <f t="shared" si="87"/>
        <v>5.609283110223128</v>
      </c>
      <c r="U949" s="12">
        <f t="shared" si="83"/>
        <v>5.4370941638497916</v>
      </c>
      <c r="V949" s="30">
        <f t="shared" si="84"/>
        <v>0.47812931506849315</v>
      </c>
      <c r="W949" s="46">
        <f t="shared" si="88"/>
        <v>-5.6092831102231268E-2</v>
      </c>
      <c r="X949" s="33">
        <f t="shared" si="85"/>
        <v>2.7967196196021345E-2</v>
      </c>
    </row>
    <row r="950" spans="19:24" x14ac:dyDescent="0.25">
      <c r="S950" s="44">
        <f t="shared" si="86"/>
        <v>44000</v>
      </c>
      <c r="T950" s="12">
        <f t="shared" si="87"/>
        <v>5.6066060279215888</v>
      </c>
      <c r="U950" s="12">
        <f t="shared" si="83"/>
        <v>5.434442987125002</v>
      </c>
      <c r="V950" s="30">
        <f t="shared" si="84"/>
        <v>0.4781019178082192</v>
      </c>
      <c r="W950" s="46">
        <f t="shared" si="88"/>
        <v>-5.606606027921588E-2</v>
      </c>
      <c r="X950" s="33">
        <f t="shared" si="85"/>
        <v>2.7967154683748403E-2</v>
      </c>
    </row>
    <row r="951" spans="19:24" x14ac:dyDescent="0.25">
      <c r="S951" s="44">
        <f t="shared" si="86"/>
        <v>44001</v>
      </c>
      <c r="T951" s="12">
        <f t="shared" si="87"/>
        <v>5.6039289456200487</v>
      </c>
      <c r="U951" s="12">
        <f t="shared" si="83"/>
        <v>5.4317918104002132</v>
      </c>
      <c r="V951" s="30">
        <f t="shared" si="84"/>
        <v>0.47807452054794519</v>
      </c>
      <c r="W951" s="46">
        <f t="shared" si="88"/>
        <v>-5.6039289456200479E-2</v>
      </c>
      <c r="X951" s="33">
        <f t="shared" si="85"/>
        <v>2.7967113171475457E-2</v>
      </c>
    </row>
    <row r="952" spans="19:24" x14ac:dyDescent="0.25">
      <c r="S952" s="44">
        <f t="shared" si="86"/>
        <v>44002</v>
      </c>
      <c r="T952" s="12">
        <f t="shared" si="87"/>
        <v>5.601251863318506</v>
      </c>
      <c r="U952" s="12">
        <f t="shared" si="83"/>
        <v>5.4291406336754227</v>
      </c>
      <c r="V952" s="30">
        <f t="shared" si="84"/>
        <v>0.47804712328767129</v>
      </c>
      <c r="W952" s="46">
        <f t="shared" si="88"/>
        <v>-5.601251863318505E-2</v>
      </c>
      <c r="X952" s="33">
        <f t="shared" si="85"/>
        <v>2.7967071659202519E-2</v>
      </c>
    </row>
    <row r="953" spans="19:24" x14ac:dyDescent="0.25">
      <c r="S953" s="44">
        <f t="shared" si="86"/>
        <v>44003</v>
      </c>
      <c r="T953" s="12">
        <f t="shared" si="87"/>
        <v>5.5985747810169642</v>
      </c>
      <c r="U953" s="12">
        <f t="shared" si="83"/>
        <v>5.4264894569506321</v>
      </c>
      <c r="V953" s="30">
        <f t="shared" si="84"/>
        <v>0.47801972602739728</v>
      </c>
      <c r="W953" s="46">
        <f t="shared" si="88"/>
        <v>-5.5985747810169635E-2</v>
      </c>
      <c r="X953" s="33">
        <f t="shared" si="85"/>
        <v>2.7967030146929573E-2</v>
      </c>
    </row>
    <row r="954" spans="19:24" x14ac:dyDescent="0.25">
      <c r="S954" s="44">
        <f t="shared" si="86"/>
        <v>44004</v>
      </c>
      <c r="T954" s="12">
        <f t="shared" si="87"/>
        <v>5.595897698715425</v>
      </c>
      <c r="U954" s="12">
        <f t="shared" si="83"/>
        <v>5.4238382802258451</v>
      </c>
      <c r="V954" s="30">
        <f t="shared" si="84"/>
        <v>0.47799232876712328</v>
      </c>
      <c r="W954" s="46">
        <f t="shared" si="88"/>
        <v>-5.5958976987154241E-2</v>
      </c>
      <c r="X954" s="33">
        <f t="shared" si="85"/>
        <v>2.7966988634656624E-2</v>
      </c>
    </row>
    <row r="955" spans="19:24" x14ac:dyDescent="0.25">
      <c r="S955" s="44">
        <f t="shared" si="86"/>
        <v>44005</v>
      </c>
      <c r="T955" s="12">
        <f t="shared" si="87"/>
        <v>5.5932206164138822</v>
      </c>
      <c r="U955" s="12">
        <f t="shared" si="83"/>
        <v>5.4211871035010564</v>
      </c>
      <c r="V955" s="30">
        <f t="shared" si="84"/>
        <v>0.47796493150684932</v>
      </c>
      <c r="W955" s="46">
        <f t="shared" si="88"/>
        <v>-5.5932206164138812E-2</v>
      </c>
      <c r="X955" s="33">
        <f t="shared" si="85"/>
        <v>2.7966947122383682E-2</v>
      </c>
    </row>
    <row r="956" spans="19:24" x14ac:dyDescent="0.25">
      <c r="S956" s="44">
        <f t="shared" si="86"/>
        <v>44006</v>
      </c>
      <c r="T956" s="12">
        <f t="shared" si="87"/>
        <v>5.5905435341123422</v>
      </c>
      <c r="U956" s="12">
        <f t="shared" si="83"/>
        <v>5.4185359267762649</v>
      </c>
      <c r="V956" s="30">
        <f t="shared" si="84"/>
        <v>0.47793753424657531</v>
      </c>
      <c r="W956" s="46">
        <f t="shared" si="88"/>
        <v>-5.5905435341123411E-2</v>
      </c>
      <c r="X956" s="33">
        <f t="shared" si="85"/>
        <v>2.7966905610110736E-2</v>
      </c>
    </row>
    <row r="957" spans="19:24" x14ac:dyDescent="0.25">
      <c r="S957" s="44">
        <f t="shared" si="86"/>
        <v>44007</v>
      </c>
      <c r="T957" s="12">
        <f t="shared" si="87"/>
        <v>5.5878664518107986</v>
      </c>
      <c r="U957" s="12">
        <f t="shared" si="83"/>
        <v>5.4158847500514753</v>
      </c>
      <c r="V957" s="30">
        <f t="shared" si="84"/>
        <v>0.47791013698630141</v>
      </c>
      <c r="W957" s="46">
        <f t="shared" si="88"/>
        <v>-5.5878664518107975E-2</v>
      </c>
      <c r="X957" s="33">
        <f t="shared" si="85"/>
        <v>2.7966864097837798E-2</v>
      </c>
    </row>
    <row r="958" spans="19:24" x14ac:dyDescent="0.25">
      <c r="S958" s="44">
        <f t="shared" si="86"/>
        <v>44008</v>
      </c>
      <c r="T958" s="12">
        <f t="shared" si="87"/>
        <v>5.5851893695092594</v>
      </c>
      <c r="U958" s="12">
        <f t="shared" si="83"/>
        <v>5.4132335733266883</v>
      </c>
      <c r="V958" s="30">
        <f t="shared" si="84"/>
        <v>0.47788273972602741</v>
      </c>
      <c r="W958" s="46">
        <f t="shared" si="88"/>
        <v>-5.5851893695092587E-2</v>
      </c>
      <c r="X958" s="33">
        <f t="shared" si="85"/>
        <v>2.7966822585564852E-2</v>
      </c>
    </row>
    <row r="959" spans="19:24" x14ac:dyDescent="0.25">
      <c r="S959" s="44">
        <f t="shared" si="86"/>
        <v>44009</v>
      </c>
      <c r="T959" s="12">
        <f t="shared" si="87"/>
        <v>5.5825122872077184</v>
      </c>
      <c r="U959" s="12">
        <f t="shared" si="83"/>
        <v>5.4105823966018978</v>
      </c>
      <c r="V959" s="30">
        <f t="shared" si="84"/>
        <v>0.47785534246575345</v>
      </c>
      <c r="W959" s="46">
        <f t="shared" si="88"/>
        <v>-5.5825122872077172E-2</v>
      </c>
      <c r="X959" s="33">
        <f t="shared" si="85"/>
        <v>2.796678107329191E-2</v>
      </c>
    </row>
    <row r="960" spans="19:24" x14ac:dyDescent="0.25">
      <c r="S960" s="44">
        <f t="shared" si="86"/>
        <v>44010</v>
      </c>
      <c r="T960" s="12">
        <f t="shared" si="87"/>
        <v>5.5798352049061766</v>
      </c>
      <c r="U960" s="12">
        <f t="shared" si="83"/>
        <v>5.4079312198771063</v>
      </c>
      <c r="V960" s="30">
        <f t="shared" si="84"/>
        <v>0.47782794520547944</v>
      </c>
      <c r="W960" s="46">
        <f t="shared" si="88"/>
        <v>-5.5798352049061757E-2</v>
      </c>
      <c r="X960" s="33">
        <f t="shared" si="85"/>
        <v>2.7966739561018965E-2</v>
      </c>
    </row>
    <row r="961" spans="19:24" x14ac:dyDescent="0.25">
      <c r="S961" s="44">
        <f t="shared" si="86"/>
        <v>44011</v>
      </c>
      <c r="T961" s="12">
        <f t="shared" si="87"/>
        <v>5.5771581226046347</v>
      </c>
      <c r="U961" s="12">
        <f t="shared" si="83"/>
        <v>5.405280043152322</v>
      </c>
      <c r="V961" s="30">
        <f t="shared" si="84"/>
        <v>0.47780054794520549</v>
      </c>
      <c r="W961" s="46">
        <f t="shared" si="88"/>
        <v>-5.5771581226046342E-2</v>
      </c>
      <c r="X961" s="33">
        <f t="shared" si="85"/>
        <v>2.7966698048746023E-2</v>
      </c>
    </row>
    <row r="962" spans="19:24" x14ac:dyDescent="0.25">
      <c r="S962" s="44">
        <f t="shared" si="86"/>
        <v>44012</v>
      </c>
      <c r="T962" s="12">
        <f t="shared" si="87"/>
        <v>5.574481040303092</v>
      </c>
      <c r="U962" s="12">
        <f t="shared" si="83"/>
        <v>5.4026288664275279</v>
      </c>
      <c r="V962" s="30">
        <f t="shared" si="84"/>
        <v>0.47777315068493154</v>
      </c>
      <c r="W962" s="46">
        <f t="shared" si="88"/>
        <v>-5.5744810403030913E-2</v>
      </c>
      <c r="X962" s="33">
        <f t="shared" si="85"/>
        <v>2.7966656536473081E-2</v>
      </c>
    </row>
    <row r="963" spans="19:24" x14ac:dyDescent="0.25">
      <c r="S963" s="44">
        <f t="shared" si="86"/>
        <v>44013</v>
      </c>
      <c r="T963" s="12">
        <f t="shared" si="87"/>
        <v>5.5718039580015537</v>
      </c>
      <c r="U963" s="12">
        <f t="shared" si="83"/>
        <v>5.3999776897027401</v>
      </c>
      <c r="V963" s="30">
        <f t="shared" si="84"/>
        <v>0.47774575342465753</v>
      </c>
      <c r="W963" s="46">
        <f t="shared" si="88"/>
        <v>-5.5718039580015526E-2</v>
      </c>
      <c r="X963" s="33">
        <f t="shared" si="85"/>
        <v>2.7966615024200132E-2</v>
      </c>
    </row>
    <row r="964" spans="19:24" x14ac:dyDescent="0.25">
      <c r="S964" s="44">
        <f t="shared" si="86"/>
        <v>44014</v>
      </c>
      <c r="T964" s="12">
        <f t="shared" si="87"/>
        <v>5.5691268757000119</v>
      </c>
      <c r="U964" s="12">
        <f t="shared" si="83"/>
        <v>5.3973265129779495</v>
      </c>
      <c r="V964" s="30">
        <f t="shared" si="84"/>
        <v>0.47771835616438357</v>
      </c>
      <c r="W964" s="46">
        <f t="shared" si="88"/>
        <v>-5.5691268757000111E-2</v>
      </c>
      <c r="X964" s="33">
        <f t="shared" si="85"/>
        <v>2.796657351192719E-2</v>
      </c>
    </row>
    <row r="965" spans="19:24" x14ac:dyDescent="0.25">
      <c r="S965" s="44">
        <f t="shared" si="86"/>
        <v>44015</v>
      </c>
      <c r="T965" s="12">
        <f t="shared" si="87"/>
        <v>5.56644979339847</v>
      </c>
      <c r="U965" s="12">
        <f t="shared" ref="U965:U1028" si="89">DurMod($S965,$B$2,$F$7:$G$37,U$3)</f>
        <v>5.3946753362531625</v>
      </c>
      <c r="V965" s="30">
        <f t="shared" ref="V965:V1028" si="90">+$U$3*($S$5512-S965)/365+$T$3*(S965-$S$4)/365</f>
        <v>0.47769095890410956</v>
      </c>
      <c r="W965" s="46">
        <f t="shared" si="88"/>
        <v>-5.5664497933984688E-2</v>
      </c>
      <c r="X965" s="33">
        <f t="shared" ref="X965:X1028" si="91">+(V965+W965)*365/($S$5512-$S$4)</f>
        <v>2.7966531999654244E-2</v>
      </c>
    </row>
    <row r="966" spans="19:24" x14ac:dyDescent="0.25">
      <c r="S966" s="44">
        <f t="shared" si="86"/>
        <v>44016</v>
      </c>
      <c r="T966" s="12">
        <f t="shared" si="87"/>
        <v>5.5637727110969299</v>
      </c>
      <c r="U966" s="12">
        <f t="shared" si="89"/>
        <v>5.392024159528372</v>
      </c>
      <c r="V966" s="30">
        <f t="shared" si="90"/>
        <v>0.47766356164383561</v>
      </c>
      <c r="W966" s="46">
        <f t="shared" si="88"/>
        <v>-5.5637727110969294E-2</v>
      </c>
      <c r="X966" s="33">
        <f t="shared" si="91"/>
        <v>2.7966490487381302E-2</v>
      </c>
    </row>
    <row r="967" spans="19:24" x14ac:dyDescent="0.25">
      <c r="S967" s="44">
        <f t="shared" si="86"/>
        <v>44017</v>
      </c>
      <c r="T967" s="12">
        <f t="shared" si="87"/>
        <v>5.5610956287953899</v>
      </c>
      <c r="U967" s="12">
        <f t="shared" si="89"/>
        <v>5.3893729828035823</v>
      </c>
      <c r="V967" s="30">
        <f t="shared" si="90"/>
        <v>0.47763616438356166</v>
      </c>
      <c r="W967" s="46">
        <f t="shared" si="88"/>
        <v>-5.5610956287953893E-2</v>
      </c>
      <c r="X967" s="33">
        <f t="shared" si="91"/>
        <v>2.796644897510836E-2</v>
      </c>
    </row>
    <row r="968" spans="19:24" x14ac:dyDescent="0.25">
      <c r="S968" s="44">
        <f t="shared" si="86"/>
        <v>44018</v>
      </c>
      <c r="T968" s="12">
        <f t="shared" si="87"/>
        <v>5.5584185464938471</v>
      </c>
      <c r="U968" s="12">
        <f t="shared" si="89"/>
        <v>5.3867218060787962</v>
      </c>
      <c r="V968" s="30">
        <f t="shared" si="90"/>
        <v>0.47760876712328765</v>
      </c>
      <c r="W968" s="46">
        <f t="shared" si="88"/>
        <v>-5.5584185464938464E-2</v>
      </c>
      <c r="X968" s="33">
        <f t="shared" si="91"/>
        <v>2.7966407462835411E-2</v>
      </c>
    </row>
    <row r="969" spans="19:24" x14ac:dyDescent="0.25">
      <c r="S969" s="44">
        <f t="shared" si="86"/>
        <v>44019</v>
      </c>
      <c r="T969" s="12">
        <f t="shared" si="87"/>
        <v>5.5557414641923071</v>
      </c>
      <c r="U969" s="12">
        <f t="shared" si="89"/>
        <v>5.3840706293540039</v>
      </c>
      <c r="V969" s="30">
        <f t="shared" si="90"/>
        <v>0.47758136986301369</v>
      </c>
      <c r="W969" s="46">
        <f t="shared" si="88"/>
        <v>-5.5557414641923063E-2</v>
      </c>
      <c r="X969" s="33">
        <f t="shared" si="91"/>
        <v>2.7966365950562469E-2</v>
      </c>
    </row>
    <row r="970" spans="19:24" x14ac:dyDescent="0.25">
      <c r="S970" s="44">
        <f t="shared" si="86"/>
        <v>44020</v>
      </c>
      <c r="T970" s="12">
        <f t="shared" si="87"/>
        <v>5.553064381890767</v>
      </c>
      <c r="U970" s="12">
        <f t="shared" si="89"/>
        <v>5.3814194526292152</v>
      </c>
      <c r="V970" s="30">
        <f t="shared" si="90"/>
        <v>0.47755397260273974</v>
      </c>
      <c r="W970" s="46">
        <f t="shared" si="88"/>
        <v>-5.5530643818907661E-2</v>
      </c>
      <c r="X970" s="33">
        <f t="shared" si="91"/>
        <v>2.7966324438289527E-2</v>
      </c>
    </row>
    <row r="971" spans="19:24" x14ac:dyDescent="0.25">
      <c r="S971" s="44">
        <f t="shared" si="86"/>
        <v>44021</v>
      </c>
      <c r="T971" s="12">
        <f t="shared" si="87"/>
        <v>5.5503872995892234</v>
      </c>
      <c r="U971" s="12">
        <f t="shared" si="89"/>
        <v>5.3787682759044255</v>
      </c>
      <c r="V971" s="30">
        <f t="shared" si="90"/>
        <v>0.47752657534246579</v>
      </c>
      <c r="W971" s="46">
        <f t="shared" si="88"/>
        <v>-5.5503872995892226E-2</v>
      </c>
      <c r="X971" s="33">
        <f t="shared" si="91"/>
        <v>2.7966282926016585E-2</v>
      </c>
    </row>
    <row r="972" spans="19:24" x14ac:dyDescent="0.25">
      <c r="S972" s="44">
        <f t="shared" si="86"/>
        <v>44022</v>
      </c>
      <c r="T972" s="12">
        <f t="shared" si="87"/>
        <v>5.5477102172876824</v>
      </c>
      <c r="U972" s="12">
        <f t="shared" si="89"/>
        <v>5.3761170991796385</v>
      </c>
      <c r="V972" s="30">
        <f t="shared" si="90"/>
        <v>0.47749917808219178</v>
      </c>
      <c r="W972" s="46">
        <f t="shared" si="88"/>
        <v>-5.5477102172876817E-2</v>
      </c>
      <c r="X972" s="33">
        <f t="shared" si="91"/>
        <v>2.7966241413743639E-2</v>
      </c>
    </row>
    <row r="973" spans="19:24" x14ac:dyDescent="0.25">
      <c r="S973" s="44">
        <f t="shared" si="86"/>
        <v>44023</v>
      </c>
      <c r="T973" s="12">
        <f t="shared" si="87"/>
        <v>5.5450331349861415</v>
      </c>
      <c r="U973" s="12">
        <f t="shared" si="89"/>
        <v>5.373465922454848</v>
      </c>
      <c r="V973" s="30">
        <f t="shared" si="90"/>
        <v>0.47747178082191777</v>
      </c>
      <c r="W973" s="46">
        <f t="shared" si="88"/>
        <v>-5.5450331349861409E-2</v>
      </c>
      <c r="X973" s="33">
        <f t="shared" si="91"/>
        <v>2.796619990147069E-2</v>
      </c>
    </row>
    <row r="974" spans="19:24" x14ac:dyDescent="0.25">
      <c r="S974" s="44">
        <f t="shared" si="86"/>
        <v>44024</v>
      </c>
      <c r="T974" s="12">
        <f t="shared" si="87"/>
        <v>5.5423560526845987</v>
      </c>
      <c r="U974" s="12">
        <f t="shared" si="89"/>
        <v>5.3708147457300566</v>
      </c>
      <c r="V974" s="30">
        <f t="shared" si="90"/>
        <v>0.47744438356164381</v>
      </c>
      <c r="W974" s="46">
        <f t="shared" si="88"/>
        <v>-5.542356052684598E-2</v>
      </c>
      <c r="X974" s="33">
        <f t="shared" si="91"/>
        <v>2.7966158389197748E-2</v>
      </c>
    </row>
    <row r="975" spans="19:24" x14ac:dyDescent="0.25">
      <c r="S975" s="44">
        <f t="shared" si="86"/>
        <v>44025</v>
      </c>
      <c r="T975" s="12">
        <f t="shared" si="87"/>
        <v>5.5396789703830587</v>
      </c>
      <c r="U975" s="12">
        <f t="shared" si="89"/>
        <v>5.3681635690052696</v>
      </c>
      <c r="V975" s="30">
        <f t="shared" si="90"/>
        <v>0.47741698630136986</v>
      </c>
      <c r="W975" s="46">
        <f t="shared" si="88"/>
        <v>-5.5396789703830579E-2</v>
      </c>
      <c r="X975" s="33">
        <f t="shared" si="91"/>
        <v>2.7966116876924806E-2</v>
      </c>
    </row>
    <row r="976" spans="19:24" x14ac:dyDescent="0.25">
      <c r="S976" s="44">
        <f t="shared" si="86"/>
        <v>44026</v>
      </c>
      <c r="T976" s="12">
        <f t="shared" si="87"/>
        <v>5.5370018880815177</v>
      </c>
      <c r="U976" s="12">
        <f t="shared" si="89"/>
        <v>5.3655123922804799</v>
      </c>
      <c r="V976" s="30">
        <f t="shared" si="90"/>
        <v>0.47738958904109591</v>
      </c>
      <c r="W976" s="46">
        <f t="shared" si="88"/>
        <v>-5.5370018880815171E-2</v>
      </c>
      <c r="X976" s="33">
        <f t="shared" si="91"/>
        <v>2.7966075364651864E-2</v>
      </c>
    </row>
    <row r="977" spans="19:24" x14ac:dyDescent="0.25">
      <c r="S977" s="44">
        <f t="shared" si="86"/>
        <v>44027</v>
      </c>
      <c r="T977" s="12">
        <f t="shared" si="87"/>
        <v>5.5343248057799777</v>
      </c>
      <c r="U977" s="12">
        <f t="shared" si="89"/>
        <v>5.3628612155556912</v>
      </c>
      <c r="V977" s="30">
        <f t="shared" si="90"/>
        <v>0.4773621917808219</v>
      </c>
      <c r="W977" s="46">
        <f t="shared" si="88"/>
        <v>-5.534324805779977E-2</v>
      </c>
      <c r="X977" s="33">
        <f t="shared" si="91"/>
        <v>2.7966033852378919E-2</v>
      </c>
    </row>
    <row r="978" spans="19:24" x14ac:dyDescent="0.25">
      <c r="S978" s="44">
        <f t="shared" si="86"/>
        <v>44028</v>
      </c>
      <c r="T978" s="12">
        <f t="shared" si="87"/>
        <v>5.531647723478434</v>
      </c>
      <c r="U978" s="12">
        <f t="shared" si="89"/>
        <v>5.3602100388308997</v>
      </c>
      <c r="V978" s="30">
        <f t="shared" si="90"/>
        <v>0.47733479452054789</v>
      </c>
      <c r="W978" s="46">
        <f t="shared" si="88"/>
        <v>-5.5316477234784334E-2</v>
      </c>
      <c r="X978" s="33">
        <f t="shared" si="91"/>
        <v>2.7965992340105973E-2</v>
      </c>
    </row>
    <row r="979" spans="19:24" x14ac:dyDescent="0.25">
      <c r="S979" s="44">
        <f t="shared" si="86"/>
        <v>44029</v>
      </c>
      <c r="T979" s="12">
        <f t="shared" si="87"/>
        <v>5.5289706411768949</v>
      </c>
      <c r="U979" s="12">
        <f t="shared" si="89"/>
        <v>5.3575588621061119</v>
      </c>
      <c r="V979" s="30">
        <f t="shared" si="90"/>
        <v>0.47730739726027399</v>
      </c>
      <c r="W979" s="46">
        <f t="shared" si="88"/>
        <v>-5.5289706411768939E-2</v>
      </c>
      <c r="X979" s="33">
        <f t="shared" si="91"/>
        <v>2.7965950827833035E-2</v>
      </c>
    </row>
    <row r="980" spans="19:24" x14ac:dyDescent="0.25">
      <c r="S980" s="44">
        <f t="shared" si="86"/>
        <v>44030</v>
      </c>
      <c r="T980" s="12">
        <f t="shared" si="87"/>
        <v>5.5262935588753521</v>
      </c>
      <c r="U980" s="12">
        <f t="shared" si="89"/>
        <v>5.3549076853813222</v>
      </c>
      <c r="V980" s="30">
        <f t="shared" si="90"/>
        <v>0.47727999999999998</v>
      </c>
      <c r="W980" s="46">
        <f t="shared" si="88"/>
        <v>-5.526293558875351E-2</v>
      </c>
      <c r="X980" s="33">
        <f t="shared" si="91"/>
        <v>2.7965909315560089E-2</v>
      </c>
    </row>
    <row r="981" spans="19:24" x14ac:dyDescent="0.25">
      <c r="S981" s="44">
        <f t="shared" si="86"/>
        <v>44031</v>
      </c>
      <c r="T981" s="12">
        <f t="shared" si="87"/>
        <v>5.5236164765738121</v>
      </c>
      <c r="U981" s="12">
        <f t="shared" si="89"/>
        <v>5.3522565086565326</v>
      </c>
      <c r="V981" s="30">
        <f t="shared" si="90"/>
        <v>0.47725260273972603</v>
      </c>
      <c r="W981" s="46">
        <f t="shared" si="88"/>
        <v>-5.5236164765738109E-2</v>
      </c>
      <c r="X981" s="33">
        <f t="shared" si="91"/>
        <v>2.7965867803287147E-2</v>
      </c>
    </row>
    <row r="982" spans="19:24" x14ac:dyDescent="0.25">
      <c r="S982" s="44">
        <f t="shared" si="86"/>
        <v>44032</v>
      </c>
      <c r="T982" s="12">
        <f t="shared" si="87"/>
        <v>5.5209393942722711</v>
      </c>
      <c r="U982" s="12">
        <f t="shared" si="89"/>
        <v>5.3496053319317456</v>
      </c>
      <c r="V982" s="30">
        <f t="shared" si="90"/>
        <v>0.47722520547945202</v>
      </c>
      <c r="W982" s="46">
        <f t="shared" si="88"/>
        <v>-5.5209393942722701E-2</v>
      </c>
      <c r="X982" s="33">
        <f t="shared" si="91"/>
        <v>2.7965826291014198E-2</v>
      </c>
    </row>
    <row r="983" spans="19:24" x14ac:dyDescent="0.25">
      <c r="S983" s="44">
        <f t="shared" si="86"/>
        <v>44033</v>
      </c>
      <c r="T983" s="12">
        <f t="shared" si="87"/>
        <v>5.5182623119707293</v>
      </c>
      <c r="U983" s="12">
        <f t="shared" si="89"/>
        <v>5.3469541552069551</v>
      </c>
      <c r="V983" s="30">
        <f t="shared" si="90"/>
        <v>0.47719780821917801</v>
      </c>
      <c r="W983" s="46">
        <f t="shared" si="88"/>
        <v>-5.5182623119707286E-2</v>
      </c>
      <c r="X983" s="33">
        <f t="shared" si="91"/>
        <v>2.7965784778741253E-2</v>
      </c>
    </row>
    <row r="984" spans="19:24" x14ac:dyDescent="0.25">
      <c r="S984" s="44">
        <f t="shared" si="86"/>
        <v>44034</v>
      </c>
      <c r="T984" s="12">
        <f t="shared" si="87"/>
        <v>5.5155852296691883</v>
      </c>
      <c r="U984" s="12">
        <f t="shared" si="89"/>
        <v>5.3443029784821654</v>
      </c>
      <c r="V984" s="30">
        <f t="shared" si="90"/>
        <v>0.47717041095890411</v>
      </c>
      <c r="W984" s="46">
        <f t="shared" si="88"/>
        <v>-5.5155852296691878E-2</v>
      </c>
      <c r="X984" s="33">
        <f t="shared" si="91"/>
        <v>2.796574326646831E-2</v>
      </c>
    </row>
    <row r="985" spans="19:24" x14ac:dyDescent="0.25">
      <c r="S985" s="44">
        <f t="shared" si="86"/>
        <v>44035</v>
      </c>
      <c r="T985" s="12">
        <f t="shared" si="87"/>
        <v>5.5129081473676456</v>
      </c>
      <c r="U985" s="12">
        <f t="shared" si="89"/>
        <v>5.3416518017573766</v>
      </c>
      <c r="V985" s="30">
        <f t="shared" si="90"/>
        <v>0.4771430136986301</v>
      </c>
      <c r="W985" s="46">
        <f t="shared" si="88"/>
        <v>-5.5129081473676449E-2</v>
      </c>
      <c r="X985" s="33">
        <f t="shared" si="91"/>
        <v>2.7965701754195368E-2</v>
      </c>
    </row>
    <row r="986" spans="19:24" x14ac:dyDescent="0.25">
      <c r="S986" s="44">
        <f t="shared" si="86"/>
        <v>44036</v>
      </c>
      <c r="T986" s="12">
        <f t="shared" si="87"/>
        <v>5.5102310650661055</v>
      </c>
      <c r="U986" s="12">
        <f t="shared" si="89"/>
        <v>5.3390006250325852</v>
      </c>
      <c r="V986" s="30">
        <f t="shared" si="90"/>
        <v>0.47711561643835615</v>
      </c>
      <c r="W986" s="46">
        <f t="shared" si="88"/>
        <v>-5.5102310650661047E-2</v>
      </c>
      <c r="X986" s="33">
        <f t="shared" si="91"/>
        <v>2.7965660241922419E-2</v>
      </c>
    </row>
    <row r="987" spans="19:24" x14ac:dyDescent="0.25">
      <c r="S987" s="44">
        <f t="shared" si="86"/>
        <v>44037</v>
      </c>
      <c r="T987" s="12">
        <f t="shared" si="87"/>
        <v>5.5075539827645645</v>
      </c>
      <c r="U987" s="12">
        <f t="shared" si="89"/>
        <v>5.3363494483077965</v>
      </c>
      <c r="V987" s="30">
        <f t="shared" si="90"/>
        <v>0.47708821917808214</v>
      </c>
      <c r="W987" s="46">
        <f t="shared" si="88"/>
        <v>-5.5075539827645639E-2</v>
      </c>
      <c r="X987" s="33">
        <f t="shared" si="91"/>
        <v>2.7965618729649477E-2</v>
      </c>
    </row>
    <row r="988" spans="19:24" x14ac:dyDescent="0.25">
      <c r="S988" s="44">
        <f t="shared" si="86"/>
        <v>44038</v>
      </c>
      <c r="T988" s="12">
        <f t="shared" si="87"/>
        <v>5.5048769004630245</v>
      </c>
      <c r="U988" s="12">
        <f t="shared" si="89"/>
        <v>5.3336982715830068</v>
      </c>
      <c r="V988" s="30">
        <f t="shared" si="90"/>
        <v>0.47706082191780824</v>
      </c>
      <c r="W988" s="46">
        <f t="shared" si="88"/>
        <v>-5.5048769004630238E-2</v>
      </c>
      <c r="X988" s="33">
        <f t="shared" si="91"/>
        <v>2.7965577217376535E-2</v>
      </c>
    </row>
    <row r="989" spans="19:24" x14ac:dyDescent="0.25">
      <c r="S989" s="44">
        <f t="shared" si="86"/>
        <v>44039</v>
      </c>
      <c r="T989" s="12">
        <f t="shared" si="87"/>
        <v>5.50219981816148</v>
      </c>
      <c r="U989" s="12">
        <f t="shared" si="89"/>
        <v>5.3310470948582172</v>
      </c>
      <c r="V989" s="30">
        <f t="shared" si="90"/>
        <v>0.47703342465753423</v>
      </c>
      <c r="W989" s="46">
        <f t="shared" si="88"/>
        <v>-5.5021998181614788E-2</v>
      </c>
      <c r="X989" s="33">
        <f t="shared" si="91"/>
        <v>2.7965535705103593E-2</v>
      </c>
    </row>
    <row r="990" spans="19:24" x14ac:dyDescent="0.25">
      <c r="S990" s="44">
        <f t="shared" si="86"/>
        <v>44040</v>
      </c>
      <c r="T990" s="12">
        <f t="shared" si="87"/>
        <v>5.4995227358599417</v>
      </c>
      <c r="U990" s="12">
        <f t="shared" si="89"/>
        <v>5.3283959181334302</v>
      </c>
      <c r="V990" s="30">
        <f t="shared" si="90"/>
        <v>0.47700602739726028</v>
      </c>
      <c r="W990" s="46">
        <f t="shared" si="88"/>
        <v>-5.4995227358599408E-2</v>
      </c>
      <c r="X990" s="33">
        <f t="shared" si="91"/>
        <v>2.7965494192830648E-2</v>
      </c>
    </row>
    <row r="991" spans="19:24" x14ac:dyDescent="0.25">
      <c r="S991" s="44">
        <f t="shared" si="86"/>
        <v>44041</v>
      </c>
      <c r="T991" s="12">
        <f t="shared" si="87"/>
        <v>5.4968456535583998</v>
      </c>
      <c r="U991" s="12">
        <f t="shared" si="89"/>
        <v>5.3257447414086396</v>
      </c>
      <c r="V991" s="30">
        <f t="shared" si="90"/>
        <v>0.47697863013698627</v>
      </c>
      <c r="W991" s="46">
        <f t="shared" si="88"/>
        <v>-5.4968456535583993E-2</v>
      </c>
      <c r="X991" s="33">
        <f t="shared" si="91"/>
        <v>2.7965452680557699E-2</v>
      </c>
    </row>
    <row r="992" spans="19:24" x14ac:dyDescent="0.25">
      <c r="S992" s="44">
        <f t="shared" si="86"/>
        <v>44042</v>
      </c>
      <c r="T992" s="12">
        <f t="shared" si="87"/>
        <v>5.4941685712568571</v>
      </c>
      <c r="U992" s="12">
        <f t="shared" si="89"/>
        <v>5.3230935646838482</v>
      </c>
      <c r="V992" s="30">
        <f t="shared" si="90"/>
        <v>0.47695123287671226</v>
      </c>
      <c r="W992" s="46">
        <f t="shared" si="88"/>
        <v>-5.4941685712568564E-2</v>
      </c>
      <c r="X992" s="33">
        <f t="shared" si="91"/>
        <v>2.7965411168284757E-2</v>
      </c>
    </row>
    <row r="993" spans="19:24" x14ac:dyDescent="0.25">
      <c r="S993" s="44">
        <f t="shared" si="86"/>
        <v>44043</v>
      </c>
      <c r="T993" s="12">
        <f t="shared" si="87"/>
        <v>5.4914914889553179</v>
      </c>
      <c r="U993" s="12">
        <f t="shared" si="89"/>
        <v>5.3204423879590621</v>
      </c>
      <c r="V993" s="30">
        <f t="shared" si="90"/>
        <v>0.47692383561643836</v>
      </c>
      <c r="W993" s="46">
        <f t="shared" si="88"/>
        <v>-5.4914914889553169E-2</v>
      </c>
      <c r="X993" s="33">
        <f t="shared" si="91"/>
        <v>2.7965369656011815E-2</v>
      </c>
    </row>
    <row r="994" spans="19:24" x14ac:dyDescent="0.25">
      <c r="S994" s="44">
        <f t="shared" si="86"/>
        <v>44044</v>
      </c>
      <c r="T994" s="12">
        <f t="shared" si="87"/>
        <v>5.4888144066537761</v>
      </c>
      <c r="U994" s="12">
        <f t="shared" si="89"/>
        <v>5.3177912112342742</v>
      </c>
      <c r="V994" s="30">
        <f t="shared" si="90"/>
        <v>0.47689643835616435</v>
      </c>
      <c r="W994" s="46">
        <f t="shared" si="88"/>
        <v>-5.4888144066537754E-2</v>
      </c>
      <c r="X994" s="33">
        <f t="shared" si="91"/>
        <v>2.7965328143738873E-2</v>
      </c>
    </row>
    <row r="995" spans="19:24" x14ac:dyDescent="0.25">
      <c r="S995" s="44">
        <f t="shared" si="86"/>
        <v>44045</v>
      </c>
      <c r="T995" s="12">
        <f t="shared" si="87"/>
        <v>5.4861373243522342</v>
      </c>
      <c r="U995" s="12">
        <f t="shared" si="89"/>
        <v>5.3151400345094837</v>
      </c>
      <c r="V995" s="30">
        <f t="shared" si="90"/>
        <v>0.47686904109589034</v>
      </c>
      <c r="W995" s="46">
        <f t="shared" si="88"/>
        <v>-5.4861373243522332E-2</v>
      </c>
      <c r="X995" s="33">
        <f t="shared" si="91"/>
        <v>2.7965286631465927E-2</v>
      </c>
    </row>
    <row r="996" spans="19:24" x14ac:dyDescent="0.25">
      <c r="S996" s="44">
        <f t="shared" si="86"/>
        <v>44046</v>
      </c>
      <c r="T996" s="12">
        <f t="shared" si="87"/>
        <v>5.4834602420506924</v>
      </c>
      <c r="U996" s="12">
        <f t="shared" si="89"/>
        <v>5.312488857784694</v>
      </c>
      <c r="V996" s="30">
        <f t="shared" si="90"/>
        <v>0.47684164383561639</v>
      </c>
      <c r="W996" s="46">
        <f t="shared" si="88"/>
        <v>-5.4834602420506917E-2</v>
      </c>
      <c r="X996" s="33">
        <f t="shared" si="91"/>
        <v>2.7965245119192985E-2</v>
      </c>
    </row>
    <row r="997" spans="19:24" x14ac:dyDescent="0.25">
      <c r="S997" s="44">
        <f t="shared" si="86"/>
        <v>44047</v>
      </c>
      <c r="T997" s="12">
        <f t="shared" si="87"/>
        <v>5.4807831597491514</v>
      </c>
      <c r="U997" s="12">
        <f t="shared" si="89"/>
        <v>5.3098376810599053</v>
      </c>
      <c r="V997" s="30">
        <f t="shared" si="90"/>
        <v>0.47681424657534244</v>
      </c>
      <c r="W997" s="46">
        <f t="shared" si="88"/>
        <v>-5.4807831597491509E-2</v>
      </c>
      <c r="X997" s="33">
        <f t="shared" si="91"/>
        <v>2.796520360692004E-2</v>
      </c>
    </row>
    <row r="998" spans="19:24" x14ac:dyDescent="0.25">
      <c r="S998" s="44">
        <f t="shared" si="86"/>
        <v>44048</v>
      </c>
      <c r="T998" s="12">
        <f t="shared" si="87"/>
        <v>5.4781060774476122</v>
      </c>
      <c r="U998" s="12">
        <f t="shared" si="89"/>
        <v>5.3071865043351165</v>
      </c>
      <c r="V998" s="30">
        <f t="shared" si="90"/>
        <v>0.47678684931506848</v>
      </c>
      <c r="W998" s="46">
        <f t="shared" si="88"/>
        <v>-5.4781060774476115E-2</v>
      </c>
      <c r="X998" s="33">
        <f t="shared" si="91"/>
        <v>2.7965162094647097E-2</v>
      </c>
    </row>
    <row r="999" spans="19:24" x14ac:dyDescent="0.25">
      <c r="S999" s="44">
        <f t="shared" ref="S999:S1062" si="92">+S998+1</f>
        <v>44049</v>
      </c>
      <c r="T999" s="12">
        <f t="shared" ref="T999:T1062" si="93">DurMod(S999,B$2,$F$7:$G$37,$T$3)</f>
        <v>5.4754289951460695</v>
      </c>
      <c r="U999" s="12">
        <f t="shared" si="89"/>
        <v>5.3045353276103251</v>
      </c>
      <c r="V999" s="30">
        <f t="shared" si="90"/>
        <v>0.47675945205479447</v>
      </c>
      <c r="W999" s="46">
        <f t="shared" ref="W999:W1062" si="94">+-T999*($U$3-$T$3)</f>
        <v>-5.4754289951460686E-2</v>
      </c>
      <c r="X999" s="33">
        <f t="shared" si="91"/>
        <v>2.7965120582374155E-2</v>
      </c>
    </row>
    <row r="1000" spans="19:24" x14ac:dyDescent="0.25">
      <c r="S1000" s="44">
        <f t="shared" si="92"/>
        <v>44050</v>
      </c>
      <c r="T1000" s="12">
        <f t="shared" si="93"/>
        <v>5.4727519128445277</v>
      </c>
      <c r="U1000" s="12">
        <f t="shared" si="89"/>
        <v>5.3018841508855354</v>
      </c>
      <c r="V1000" s="30">
        <f t="shared" si="90"/>
        <v>0.47673205479452052</v>
      </c>
      <c r="W1000" s="46">
        <f t="shared" si="94"/>
        <v>-5.4727519128445271E-2</v>
      </c>
      <c r="X1000" s="33">
        <f t="shared" si="91"/>
        <v>2.7965079070101213E-2</v>
      </c>
    </row>
    <row r="1001" spans="19:24" x14ac:dyDescent="0.25">
      <c r="S1001" s="44">
        <f t="shared" si="92"/>
        <v>44051</v>
      </c>
      <c r="T1001" s="12">
        <f t="shared" si="93"/>
        <v>5.4700748305429867</v>
      </c>
      <c r="U1001" s="12">
        <f t="shared" si="89"/>
        <v>5.2992329741607476</v>
      </c>
      <c r="V1001" s="30">
        <f t="shared" si="90"/>
        <v>0.47670465753424651</v>
      </c>
      <c r="W1001" s="46">
        <f t="shared" si="94"/>
        <v>-5.4700748305429855E-2</v>
      </c>
      <c r="X1001" s="33">
        <f t="shared" si="91"/>
        <v>2.7965037557828264E-2</v>
      </c>
    </row>
    <row r="1002" spans="19:24" x14ac:dyDescent="0.25">
      <c r="S1002" s="44">
        <f t="shared" si="92"/>
        <v>44052</v>
      </c>
      <c r="T1002" s="12">
        <f t="shared" si="93"/>
        <v>5.4673977482414466</v>
      </c>
      <c r="U1002" s="12">
        <f t="shared" si="89"/>
        <v>5.2965817974359588</v>
      </c>
      <c r="V1002" s="30">
        <f t="shared" si="90"/>
        <v>0.47667726027397261</v>
      </c>
      <c r="W1002" s="46">
        <f t="shared" si="94"/>
        <v>-5.4673977482414461E-2</v>
      </c>
      <c r="X1002" s="33">
        <f t="shared" si="91"/>
        <v>2.7964996045555322E-2</v>
      </c>
    </row>
    <row r="1003" spans="19:24" x14ac:dyDescent="0.25">
      <c r="S1003" s="44">
        <f t="shared" si="92"/>
        <v>44053</v>
      </c>
      <c r="T1003" s="12">
        <f t="shared" si="93"/>
        <v>5.4647206659399066</v>
      </c>
      <c r="U1003" s="12">
        <f t="shared" si="89"/>
        <v>5.2939306207111674</v>
      </c>
      <c r="V1003" s="30">
        <f t="shared" si="90"/>
        <v>0.4766498630136986</v>
      </c>
      <c r="W1003" s="46">
        <f t="shared" si="94"/>
        <v>-5.464720665939906E-2</v>
      </c>
      <c r="X1003" s="33">
        <f t="shared" si="91"/>
        <v>2.796495453328238E-2</v>
      </c>
    </row>
    <row r="1004" spans="19:24" x14ac:dyDescent="0.25">
      <c r="S1004" s="44">
        <f t="shared" si="92"/>
        <v>44054</v>
      </c>
      <c r="T1004" s="12">
        <f t="shared" si="93"/>
        <v>5.4620435836383638</v>
      </c>
      <c r="U1004" s="12">
        <f t="shared" si="89"/>
        <v>5.2912794439863813</v>
      </c>
      <c r="V1004" s="30">
        <f t="shared" si="90"/>
        <v>0.4766224657534246</v>
      </c>
      <c r="W1004" s="46">
        <f t="shared" si="94"/>
        <v>-5.4620435836383631E-2</v>
      </c>
      <c r="X1004" s="33">
        <f t="shared" si="91"/>
        <v>2.7964913021009428E-2</v>
      </c>
    </row>
    <row r="1005" spans="19:24" x14ac:dyDescent="0.25">
      <c r="S1005" s="44">
        <f t="shared" si="92"/>
        <v>44055</v>
      </c>
      <c r="T1005" s="12">
        <f t="shared" si="93"/>
        <v>5.459366501336822</v>
      </c>
      <c r="U1005" s="12">
        <f t="shared" si="89"/>
        <v>5.2886282672615907</v>
      </c>
      <c r="V1005" s="30">
        <f t="shared" si="90"/>
        <v>0.47659506849315064</v>
      </c>
      <c r="W1005" s="46">
        <f t="shared" si="94"/>
        <v>-5.4593665013368209E-2</v>
      </c>
      <c r="X1005" s="33">
        <f t="shared" si="91"/>
        <v>2.7964871508736493E-2</v>
      </c>
    </row>
    <row r="1006" spans="19:24" x14ac:dyDescent="0.25">
      <c r="S1006" s="44">
        <f t="shared" si="92"/>
        <v>44056</v>
      </c>
      <c r="T1006" s="12">
        <f t="shared" si="93"/>
        <v>5.456689419035281</v>
      </c>
      <c r="U1006" s="12">
        <f t="shared" si="89"/>
        <v>5.2859770905368011</v>
      </c>
      <c r="V1006" s="30">
        <f t="shared" si="90"/>
        <v>0.47656767123287663</v>
      </c>
      <c r="W1006" s="46">
        <f t="shared" si="94"/>
        <v>-5.4566894190352801E-2</v>
      </c>
      <c r="X1006" s="33">
        <f t="shared" si="91"/>
        <v>2.7964829996463544E-2</v>
      </c>
    </row>
    <row r="1007" spans="19:24" x14ac:dyDescent="0.25">
      <c r="S1007" s="44">
        <f t="shared" si="92"/>
        <v>44057</v>
      </c>
      <c r="T1007" s="12">
        <f t="shared" si="93"/>
        <v>5.4540123367337392</v>
      </c>
      <c r="U1007" s="12">
        <f t="shared" si="89"/>
        <v>5.2833259138120106</v>
      </c>
      <c r="V1007" s="30">
        <f t="shared" si="90"/>
        <v>0.47654027397260273</v>
      </c>
      <c r="W1007" s="46">
        <f t="shared" si="94"/>
        <v>-5.4540123367337386E-2</v>
      </c>
      <c r="X1007" s="33">
        <f t="shared" si="91"/>
        <v>2.7964788484190609E-2</v>
      </c>
    </row>
    <row r="1008" spans="19:24" x14ac:dyDescent="0.25">
      <c r="S1008" s="44">
        <f t="shared" si="92"/>
        <v>44058</v>
      </c>
      <c r="T1008" s="12">
        <f t="shared" si="93"/>
        <v>5.4513352544321991</v>
      </c>
      <c r="U1008" s="12">
        <f t="shared" si="89"/>
        <v>5.2806747370872227</v>
      </c>
      <c r="V1008" s="30">
        <f t="shared" si="90"/>
        <v>0.47651287671232873</v>
      </c>
      <c r="W1008" s="46">
        <f t="shared" si="94"/>
        <v>-5.4513352544321984E-2</v>
      </c>
      <c r="X1008" s="33">
        <f t="shared" si="91"/>
        <v>2.7964746971917656E-2</v>
      </c>
    </row>
    <row r="1009" spans="19:24" x14ac:dyDescent="0.25">
      <c r="S1009" s="44">
        <f t="shared" si="92"/>
        <v>44059</v>
      </c>
      <c r="T1009" s="12">
        <f t="shared" si="93"/>
        <v>5.4486581721306564</v>
      </c>
      <c r="U1009" s="12">
        <f t="shared" si="89"/>
        <v>5.278023560362433</v>
      </c>
      <c r="V1009" s="30">
        <f t="shared" si="90"/>
        <v>0.47648547945205477</v>
      </c>
      <c r="W1009" s="46">
        <f t="shared" si="94"/>
        <v>-5.4486581721306555E-2</v>
      </c>
      <c r="X1009" s="33">
        <f t="shared" si="91"/>
        <v>2.7964705459644718E-2</v>
      </c>
    </row>
    <row r="1010" spans="19:24" x14ac:dyDescent="0.25">
      <c r="S1010" s="44">
        <f t="shared" si="92"/>
        <v>44060</v>
      </c>
      <c r="T1010" s="12">
        <f t="shared" si="93"/>
        <v>5.4459810898291163</v>
      </c>
      <c r="U1010" s="12">
        <f t="shared" si="89"/>
        <v>5.2753723836376434</v>
      </c>
      <c r="V1010" s="30">
        <f t="shared" si="90"/>
        <v>0.47645808219178076</v>
      </c>
      <c r="W1010" s="46">
        <f t="shared" si="94"/>
        <v>-5.4459810898291154E-2</v>
      </c>
      <c r="X1010" s="33">
        <f t="shared" si="91"/>
        <v>2.7964663947371772E-2</v>
      </c>
    </row>
    <row r="1011" spans="19:24" x14ac:dyDescent="0.25">
      <c r="S1011" s="44">
        <f t="shared" si="92"/>
        <v>44061</v>
      </c>
      <c r="T1011" s="12">
        <f t="shared" si="93"/>
        <v>5.4433040075275754</v>
      </c>
      <c r="U1011" s="12">
        <f t="shared" si="89"/>
        <v>5.2727212069128546</v>
      </c>
      <c r="V1011" s="30">
        <f t="shared" si="90"/>
        <v>0.47643068493150681</v>
      </c>
      <c r="W1011" s="46">
        <f t="shared" si="94"/>
        <v>-5.4433040075275746E-2</v>
      </c>
      <c r="X1011" s="33">
        <f t="shared" si="91"/>
        <v>2.7964622435098823E-2</v>
      </c>
    </row>
    <row r="1012" spans="19:24" x14ac:dyDescent="0.25">
      <c r="S1012" s="44">
        <f t="shared" si="92"/>
        <v>44062</v>
      </c>
      <c r="T1012" s="12">
        <f t="shared" si="93"/>
        <v>5.4406269252260344</v>
      </c>
      <c r="U1012" s="12">
        <f t="shared" si="89"/>
        <v>5.270070030188065</v>
      </c>
      <c r="V1012" s="30">
        <f t="shared" si="90"/>
        <v>0.47640328767123286</v>
      </c>
      <c r="W1012" s="46">
        <f t="shared" si="94"/>
        <v>-5.4406269252260338E-2</v>
      </c>
      <c r="X1012" s="33">
        <f t="shared" si="91"/>
        <v>2.7964580922825881E-2</v>
      </c>
    </row>
    <row r="1013" spans="19:24" x14ac:dyDescent="0.25">
      <c r="S1013" s="44">
        <f t="shared" si="92"/>
        <v>44063</v>
      </c>
      <c r="T1013" s="12">
        <f t="shared" si="93"/>
        <v>5.4379498429244935</v>
      </c>
      <c r="U1013" s="12">
        <f t="shared" si="89"/>
        <v>5.2674188534632744</v>
      </c>
      <c r="V1013" s="30">
        <f t="shared" si="90"/>
        <v>0.47637589041095885</v>
      </c>
      <c r="W1013" s="46">
        <f t="shared" si="94"/>
        <v>-5.437949842924493E-2</v>
      </c>
      <c r="X1013" s="33">
        <f t="shared" si="91"/>
        <v>2.7964539410552935E-2</v>
      </c>
    </row>
    <row r="1014" spans="19:24" x14ac:dyDescent="0.25">
      <c r="S1014" s="44">
        <f t="shared" si="92"/>
        <v>44064</v>
      </c>
      <c r="T1014" s="12">
        <f t="shared" si="93"/>
        <v>5.4352727606229507</v>
      </c>
      <c r="U1014" s="12">
        <f t="shared" si="89"/>
        <v>5.2647676767384848</v>
      </c>
      <c r="V1014" s="30">
        <f t="shared" si="90"/>
        <v>0.47634849315068484</v>
      </c>
      <c r="W1014" s="46">
        <f t="shared" si="94"/>
        <v>-5.4352727606229501E-2</v>
      </c>
      <c r="X1014" s="33">
        <f t="shared" si="91"/>
        <v>2.7964497898279993E-2</v>
      </c>
    </row>
    <row r="1015" spans="19:24" x14ac:dyDescent="0.25">
      <c r="S1015" s="44">
        <f t="shared" si="92"/>
        <v>44065</v>
      </c>
      <c r="T1015" s="12">
        <f t="shared" si="93"/>
        <v>5.4325956783214124</v>
      </c>
      <c r="U1015" s="12">
        <f t="shared" si="89"/>
        <v>5.2621165000136951</v>
      </c>
      <c r="V1015" s="30">
        <f t="shared" si="90"/>
        <v>0.47632109589041088</v>
      </c>
      <c r="W1015" s="46">
        <f t="shared" si="94"/>
        <v>-5.4325956783214113E-2</v>
      </c>
      <c r="X1015" s="33">
        <f t="shared" si="91"/>
        <v>2.7964456386007044E-2</v>
      </c>
    </row>
    <row r="1016" spans="19:24" x14ac:dyDescent="0.25">
      <c r="S1016" s="44">
        <f t="shared" si="92"/>
        <v>44066</v>
      </c>
      <c r="T1016" s="12">
        <f t="shared" si="93"/>
        <v>5.4299185960198706</v>
      </c>
      <c r="U1016" s="12">
        <f t="shared" si="89"/>
        <v>5.2594653232889081</v>
      </c>
      <c r="V1016" s="30">
        <f t="shared" si="90"/>
        <v>0.47629369863013704</v>
      </c>
      <c r="W1016" s="46">
        <f t="shared" si="94"/>
        <v>-5.4299185960198698E-2</v>
      </c>
      <c r="X1016" s="33">
        <f t="shared" si="91"/>
        <v>2.7964414873734113E-2</v>
      </c>
    </row>
    <row r="1017" spans="19:24" x14ac:dyDescent="0.25">
      <c r="S1017" s="44">
        <f t="shared" si="92"/>
        <v>44067</v>
      </c>
      <c r="T1017" s="12">
        <f t="shared" si="93"/>
        <v>5.4272415137183279</v>
      </c>
      <c r="U1017" s="12">
        <f t="shared" si="89"/>
        <v>5.2568141465641176</v>
      </c>
      <c r="V1017" s="30">
        <f t="shared" si="90"/>
        <v>0.47626630136986303</v>
      </c>
      <c r="W1017" s="46">
        <f t="shared" si="94"/>
        <v>-5.4272415137183269E-2</v>
      </c>
      <c r="X1017" s="33">
        <f t="shared" si="91"/>
        <v>2.7964373361461167E-2</v>
      </c>
    </row>
    <row r="1018" spans="19:24" x14ac:dyDescent="0.25">
      <c r="S1018" s="44">
        <f t="shared" si="92"/>
        <v>44068</v>
      </c>
      <c r="T1018" s="12">
        <f t="shared" si="93"/>
        <v>5.4245644314167878</v>
      </c>
      <c r="U1018" s="12">
        <f t="shared" si="89"/>
        <v>5.2541629698393288</v>
      </c>
      <c r="V1018" s="30">
        <f t="shared" si="90"/>
        <v>0.47623890410958908</v>
      </c>
      <c r="W1018" s="46">
        <f t="shared" si="94"/>
        <v>-5.4245644314167868E-2</v>
      </c>
      <c r="X1018" s="33">
        <f t="shared" si="91"/>
        <v>2.7964331849188225E-2</v>
      </c>
    </row>
    <row r="1019" spans="19:24" x14ac:dyDescent="0.25">
      <c r="S1019" s="44">
        <f t="shared" si="92"/>
        <v>44069</v>
      </c>
      <c r="T1019" s="12">
        <f t="shared" si="93"/>
        <v>5.4218873491152451</v>
      </c>
      <c r="U1019" s="12">
        <f t="shared" si="89"/>
        <v>5.2515117931145383</v>
      </c>
      <c r="V1019" s="30">
        <f t="shared" si="90"/>
        <v>0.47621150684931512</v>
      </c>
      <c r="W1019" s="46">
        <f t="shared" si="94"/>
        <v>-5.4218873491152439E-2</v>
      </c>
      <c r="X1019" s="33">
        <f t="shared" si="91"/>
        <v>2.7964290336915283E-2</v>
      </c>
    </row>
    <row r="1020" spans="19:24" x14ac:dyDescent="0.25">
      <c r="S1020" s="44">
        <f t="shared" si="92"/>
        <v>44070</v>
      </c>
      <c r="T1020" s="12">
        <f t="shared" si="93"/>
        <v>5.4192102668137068</v>
      </c>
      <c r="U1020" s="12">
        <f t="shared" si="89"/>
        <v>5.2488606163897504</v>
      </c>
      <c r="V1020" s="30">
        <f t="shared" si="90"/>
        <v>0.47618410958904112</v>
      </c>
      <c r="W1020" s="46">
        <f t="shared" si="94"/>
        <v>-5.4192102668137059E-2</v>
      </c>
      <c r="X1020" s="33">
        <f t="shared" si="91"/>
        <v>2.7964248824642338E-2</v>
      </c>
    </row>
    <row r="1021" spans="19:24" x14ac:dyDescent="0.25">
      <c r="S1021" s="44">
        <f t="shared" si="92"/>
        <v>44071</v>
      </c>
      <c r="T1021" s="12">
        <f t="shared" si="93"/>
        <v>5.4165331845121631</v>
      </c>
      <c r="U1021" s="12">
        <f t="shared" si="89"/>
        <v>5.2462094396649608</v>
      </c>
      <c r="V1021" s="30">
        <f t="shared" si="90"/>
        <v>0.47615671232876711</v>
      </c>
      <c r="W1021" s="46">
        <f t="shared" si="94"/>
        <v>-5.4165331845121623E-2</v>
      </c>
      <c r="X1021" s="33">
        <f t="shared" si="91"/>
        <v>2.7964207312369389E-2</v>
      </c>
    </row>
    <row r="1022" spans="19:24" x14ac:dyDescent="0.25">
      <c r="S1022" s="44">
        <f t="shared" si="92"/>
        <v>44072</v>
      </c>
      <c r="T1022" s="12">
        <f t="shared" si="93"/>
        <v>5.4138561022106231</v>
      </c>
      <c r="U1022" s="12">
        <f t="shared" si="89"/>
        <v>5.2435582629401729</v>
      </c>
      <c r="V1022" s="30">
        <f t="shared" si="90"/>
        <v>0.47612931506849315</v>
      </c>
      <c r="W1022" s="46">
        <f t="shared" si="94"/>
        <v>-5.4138561022106221E-2</v>
      </c>
      <c r="X1022" s="33">
        <f t="shared" si="91"/>
        <v>2.7964165800096447E-2</v>
      </c>
    </row>
    <row r="1023" spans="19:24" x14ac:dyDescent="0.25">
      <c r="S1023" s="44">
        <f t="shared" si="92"/>
        <v>44073</v>
      </c>
      <c r="T1023" s="12">
        <f t="shared" si="93"/>
        <v>5.4111790199090812</v>
      </c>
      <c r="U1023" s="12">
        <f t="shared" si="89"/>
        <v>5.2409070862153833</v>
      </c>
      <c r="V1023" s="30">
        <f t="shared" si="90"/>
        <v>0.4761019178082192</v>
      </c>
      <c r="W1023" s="46">
        <f t="shared" si="94"/>
        <v>-5.4111790199090806E-2</v>
      </c>
      <c r="X1023" s="33">
        <f t="shared" si="91"/>
        <v>2.7964124287823505E-2</v>
      </c>
    </row>
    <row r="1024" spans="19:24" x14ac:dyDescent="0.25">
      <c r="S1024" s="44">
        <f t="shared" si="92"/>
        <v>44074</v>
      </c>
      <c r="T1024" s="12">
        <f t="shared" si="93"/>
        <v>5.4085019376075394</v>
      </c>
      <c r="U1024" s="12">
        <f t="shared" si="89"/>
        <v>5.2382559094905927</v>
      </c>
      <c r="V1024" s="30">
        <f t="shared" si="90"/>
        <v>0.47607452054794525</v>
      </c>
      <c r="W1024" s="46">
        <f t="shared" si="94"/>
        <v>-5.4085019376075384E-2</v>
      </c>
      <c r="X1024" s="33">
        <f t="shared" si="91"/>
        <v>2.7964082775550562E-2</v>
      </c>
    </row>
    <row r="1025" spans="19:24" x14ac:dyDescent="0.25">
      <c r="S1025" s="44">
        <f t="shared" si="92"/>
        <v>44075</v>
      </c>
      <c r="T1025" s="12">
        <f t="shared" si="93"/>
        <v>5.4058248553059993</v>
      </c>
      <c r="U1025" s="12">
        <f t="shared" si="89"/>
        <v>5.2356047327658048</v>
      </c>
      <c r="V1025" s="30">
        <f t="shared" si="90"/>
        <v>0.47604712328767124</v>
      </c>
      <c r="W1025" s="46">
        <f t="shared" si="94"/>
        <v>-5.4058248553059983E-2</v>
      </c>
      <c r="X1025" s="33">
        <f t="shared" si="91"/>
        <v>2.7964041263277617E-2</v>
      </c>
    </row>
    <row r="1026" spans="19:24" x14ac:dyDescent="0.25">
      <c r="S1026" s="44">
        <f t="shared" si="92"/>
        <v>44076</v>
      </c>
      <c r="T1026" s="12">
        <f t="shared" si="93"/>
        <v>5.4031477730044593</v>
      </c>
      <c r="U1026" s="12">
        <f t="shared" si="89"/>
        <v>5.2329535560410143</v>
      </c>
      <c r="V1026" s="30">
        <f t="shared" si="90"/>
        <v>0.47601972602739728</v>
      </c>
      <c r="W1026" s="46">
        <f t="shared" si="94"/>
        <v>-5.4031477730044582E-2</v>
      </c>
      <c r="X1026" s="33">
        <f t="shared" si="91"/>
        <v>2.7963999751004675E-2</v>
      </c>
    </row>
    <row r="1027" spans="19:24" x14ac:dyDescent="0.25">
      <c r="S1027" s="44">
        <f t="shared" si="92"/>
        <v>44077</v>
      </c>
      <c r="T1027" s="12">
        <f t="shared" si="93"/>
        <v>5.4004706907029165</v>
      </c>
      <c r="U1027" s="12">
        <f t="shared" si="89"/>
        <v>5.2303023793162264</v>
      </c>
      <c r="V1027" s="30">
        <f t="shared" si="90"/>
        <v>0.47599232876712333</v>
      </c>
      <c r="W1027" s="46">
        <f t="shared" si="94"/>
        <v>-5.400470690702916E-2</v>
      </c>
      <c r="X1027" s="33">
        <f t="shared" si="91"/>
        <v>2.7963958238731733E-2</v>
      </c>
    </row>
    <row r="1028" spans="19:24" x14ac:dyDescent="0.25">
      <c r="S1028" s="44">
        <f t="shared" si="92"/>
        <v>44078</v>
      </c>
      <c r="T1028" s="12">
        <f t="shared" si="93"/>
        <v>5.3977936084013747</v>
      </c>
      <c r="U1028" s="12">
        <f t="shared" si="89"/>
        <v>5.2276512025914368</v>
      </c>
      <c r="V1028" s="30">
        <f t="shared" si="90"/>
        <v>0.47596493150684938</v>
      </c>
      <c r="W1028" s="46">
        <f t="shared" si="94"/>
        <v>-5.3977936084013738E-2</v>
      </c>
      <c r="X1028" s="33">
        <f t="shared" si="91"/>
        <v>2.7963916726458791E-2</v>
      </c>
    </row>
    <row r="1029" spans="19:24" x14ac:dyDescent="0.25">
      <c r="S1029" s="44">
        <f t="shared" si="92"/>
        <v>44079</v>
      </c>
      <c r="T1029" s="12">
        <f t="shared" si="93"/>
        <v>5.3951165260998328</v>
      </c>
      <c r="U1029" s="12">
        <f t="shared" ref="U1029:U1092" si="95">DurMod($S1029,$B$2,$F$7:$G$37,U$3)</f>
        <v>5.225000025866648</v>
      </c>
      <c r="V1029" s="30">
        <f t="shared" ref="V1029:V1092" si="96">+$U$3*($S$5512-S1029)/365+$T$3*(S1029-$S$4)/365</f>
        <v>0.47593753424657537</v>
      </c>
      <c r="W1029" s="46">
        <f t="shared" si="94"/>
        <v>-5.3951165260998322E-2</v>
      </c>
      <c r="X1029" s="33">
        <f t="shared" ref="X1029:X1092" si="97">+(V1029+W1029)*365/($S$5512-$S$4)</f>
        <v>2.7963875214185842E-2</v>
      </c>
    </row>
    <row r="1030" spans="19:24" x14ac:dyDescent="0.25">
      <c r="S1030" s="44">
        <f t="shared" si="92"/>
        <v>44080</v>
      </c>
      <c r="T1030" s="12">
        <f t="shared" si="93"/>
        <v>5.3924394437982919</v>
      </c>
      <c r="U1030" s="12">
        <f t="shared" si="95"/>
        <v>5.2223488491418593</v>
      </c>
      <c r="V1030" s="30">
        <f t="shared" si="96"/>
        <v>0.47591013698630136</v>
      </c>
      <c r="W1030" s="46">
        <f t="shared" si="94"/>
        <v>-5.3924394437982907E-2</v>
      </c>
      <c r="X1030" s="33">
        <f t="shared" si="97"/>
        <v>2.7963833701912896E-2</v>
      </c>
    </row>
    <row r="1031" spans="19:24" x14ac:dyDescent="0.25">
      <c r="S1031" s="44">
        <f t="shared" si="92"/>
        <v>44081</v>
      </c>
      <c r="T1031" s="12">
        <f t="shared" si="93"/>
        <v>5.3897623614967536</v>
      </c>
      <c r="U1031" s="12">
        <f t="shared" si="95"/>
        <v>5.2196976724170696</v>
      </c>
      <c r="V1031" s="30">
        <f t="shared" si="96"/>
        <v>0.4758827397260274</v>
      </c>
      <c r="W1031" s="46">
        <f t="shared" si="94"/>
        <v>-5.3897623614967527E-2</v>
      </c>
      <c r="X1031" s="33">
        <f t="shared" si="97"/>
        <v>2.7963792189639954E-2</v>
      </c>
    </row>
    <row r="1032" spans="19:24" x14ac:dyDescent="0.25">
      <c r="S1032" s="44">
        <f t="shared" si="92"/>
        <v>44082</v>
      </c>
      <c r="T1032" s="12">
        <f t="shared" si="93"/>
        <v>5.3870852791952117</v>
      </c>
      <c r="U1032" s="12">
        <f t="shared" si="95"/>
        <v>5.21704649569228</v>
      </c>
      <c r="V1032" s="30">
        <f t="shared" si="96"/>
        <v>0.47585534246575345</v>
      </c>
      <c r="W1032" s="46">
        <f t="shared" si="94"/>
        <v>-5.3870852791952112E-2</v>
      </c>
      <c r="X1032" s="33">
        <f t="shared" si="97"/>
        <v>2.7963750677367005E-2</v>
      </c>
    </row>
    <row r="1033" spans="19:24" x14ac:dyDescent="0.25">
      <c r="S1033" s="44">
        <f t="shared" si="92"/>
        <v>44083</v>
      </c>
      <c r="T1033" s="12">
        <f t="shared" si="93"/>
        <v>5.3844081968936699</v>
      </c>
      <c r="U1033" s="12">
        <f t="shared" si="95"/>
        <v>5.2143953189674903</v>
      </c>
      <c r="V1033" s="30">
        <f t="shared" si="96"/>
        <v>0.47582794520547944</v>
      </c>
      <c r="W1033" s="46">
        <f t="shared" si="94"/>
        <v>-5.384408196893669E-2</v>
      </c>
      <c r="X1033" s="33">
        <f t="shared" si="97"/>
        <v>2.7963709165094063E-2</v>
      </c>
    </row>
    <row r="1034" spans="19:24" x14ac:dyDescent="0.25">
      <c r="S1034" s="44">
        <f t="shared" si="92"/>
        <v>44084</v>
      </c>
      <c r="T1034" s="12">
        <f t="shared" si="93"/>
        <v>5.3817311145921281</v>
      </c>
      <c r="U1034" s="12">
        <f t="shared" si="95"/>
        <v>5.2117441422427007</v>
      </c>
      <c r="V1034" s="30">
        <f t="shared" si="96"/>
        <v>0.47580054794520549</v>
      </c>
      <c r="W1034" s="46">
        <f t="shared" si="94"/>
        <v>-5.3817311145921275E-2</v>
      </c>
      <c r="X1034" s="33">
        <f t="shared" si="97"/>
        <v>2.7963667652821121E-2</v>
      </c>
    </row>
    <row r="1035" spans="19:24" x14ac:dyDescent="0.25">
      <c r="S1035" s="44">
        <f t="shared" si="92"/>
        <v>44085</v>
      </c>
      <c r="T1035" s="12">
        <f t="shared" si="93"/>
        <v>5.3790540322905862</v>
      </c>
      <c r="U1035" s="12">
        <f t="shared" si="95"/>
        <v>5.209092965517911</v>
      </c>
      <c r="V1035" s="30">
        <f t="shared" si="96"/>
        <v>0.47577315068493148</v>
      </c>
      <c r="W1035" s="46">
        <f t="shared" si="94"/>
        <v>-5.3790540322905853E-2</v>
      </c>
      <c r="X1035" s="33">
        <f t="shared" si="97"/>
        <v>2.7963626140548176E-2</v>
      </c>
    </row>
    <row r="1036" spans="19:24" x14ac:dyDescent="0.25">
      <c r="S1036" s="44">
        <f t="shared" si="92"/>
        <v>44086</v>
      </c>
      <c r="T1036" s="12">
        <f t="shared" si="93"/>
        <v>5.3763769499890453</v>
      </c>
      <c r="U1036" s="12">
        <f t="shared" si="95"/>
        <v>5.2064417887931222</v>
      </c>
      <c r="V1036" s="30">
        <f t="shared" si="96"/>
        <v>0.47574575342465758</v>
      </c>
      <c r="W1036" s="46">
        <f t="shared" si="94"/>
        <v>-5.3763769499890444E-2</v>
      </c>
      <c r="X1036" s="33">
        <f t="shared" si="97"/>
        <v>2.7963584628275237E-2</v>
      </c>
    </row>
    <row r="1037" spans="19:24" x14ac:dyDescent="0.25">
      <c r="S1037" s="44">
        <f t="shared" si="92"/>
        <v>44087</v>
      </c>
      <c r="T1037" s="12">
        <f t="shared" si="93"/>
        <v>5.3736998676875061</v>
      </c>
      <c r="U1037" s="12">
        <f t="shared" si="95"/>
        <v>5.2037906120683326</v>
      </c>
      <c r="V1037" s="30">
        <f t="shared" si="96"/>
        <v>0.47571835616438357</v>
      </c>
      <c r="W1037" s="46">
        <f t="shared" si="94"/>
        <v>-5.373699867687505E-2</v>
      </c>
      <c r="X1037" s="33">
        <f t="shared" si="97"/>
        <v>2.7963543116002292E-2</v>
      </c>
    </row>
    <row r="1038" spans="19:24" x14ac:dyDescent="0.25">
      <c r="S1038" s="44">
        <f t="shared" si="92"/>
        <v>44088</v>
      </c>
      <c r="T1038" s="12">
        <f t="shared" si="93"/>
        <v>5.3710227853859625</v>
      </c>
      <c r="U1038" s="12">
        <f t="shared" si="95"/>
        <v>5.2011394353435421</v>
      </c>
      <c r="V1038" s="30">
        <f t="shared" si="96"/>
        <v>0.47569095890410962</v>
      </c>
      <c r="W1038" s="46">
        <f t="shared" si="94"/>
        <v>-5.3710227853859614E-2</v>
      </c>
      <c r="X1038" s="33">
        <f t="shared" si="97"/>
        <v>2.7963501603729349E-2</v>
      </c>
    </row>
    <row r="1039" spans="19:24" x14ac:dyDescent="0.25">
      <c r="S1039" s="44">
        <f t="shared" si="92"/>
        <v>44089</v>
      </c>
      <c r="T1039" s="12">
        <f t="shared" si="93"/>
        <v>5.3683457030844215</v>
      </c>
      <c r="U1039" s="12">
        <f t="shared" si="95"/>
        <v>5.1984882586187533</v>
      </c>
      <c r="V1039" s="30">
        <f t="shared" si="96"/>
        <v>0.47566356164383561</v>
      </c>
      <c r="W1039" s="46">
        <f t="shared" si="94"/>
        <v>-5.3683457030844206E-2</v>
      </c>
      <c r="X1039" s="33">
        <f t="shared" si="97"/>
        <v>2.7963460091456404E-2</v>
      </c>
    </row>
    <row r="1040" spans="19:24" x14ac:dyDescent="0.25">
      <c r="S1040" s="44">
        <f t="shared" si="92"/>
        <v>44090</v>
      </c>
      <c r="T1040" s="12">
        <f t="shared" si="93"/>
        <v>5.3656686207828796</v>
      </c>
      <c r="U1040" s="12">
        <f t="shared" si="95"/>
        <v>5.1958370818939636</v>
      </c>
      <c r="V1040" s="30">
        <f t="shared" si="96"/>
        <v>0.4756361643835616</v>
      </c>
      <c r="W1040" s="46">
        <f t="shared" si="94"/>
        <v>-5.3656686207828791E-2</v>
      </c>
      <c r="X1040" s="33">
        <f t="shared" si="97"/>
        <v>2.7963418579183455E-2</v>
      </c>
    </row>
    <row r="1041" spans="19:24" x14ac:dyDescent="0.25">
      <c r="S1041" s="44">
        <f t="shared" si="92"/>
        <v>44091</v>
      </c>
      <c r="T1041" s="12">
        <f t="shared" si="93"/>
        <v>5.3629915384813405</v>
      </c>
      <c r="U1041" s="12">
        <f t="shared" si="95"/>
        <v>5.1931859051691758</v>
      </c>
      <c r="V1041" s="30">
        <f t="shared" si="96"/>
        <v>0.4756087671232877</v>
      </c>
      <c r="W1041" s="46">
        <f t="shared" si="94"/>
        <v>-5.3629915384813397E-2</v>
      </c>
      <c r="X1041" s="33">
        <f t="shared" si="97"/>
        <v>2.796337706691052E-2</v>
      </c>
    </row>
    <row r="1042" spans="19:24" x14ac:dyDescent="0.25">
      <c r="S1042" s="44">
        <f t="shared" si="92"/>
        <v>44092</v>
      </c>
      <c r="T1042" s="12">
        <f t="shared" si="93"/>
        <v>5.3603144561797986</v>
      </c>
      <c r="U1042" s="12">
        <f t="shared" si="95"/>
        <v>5.1905347284443861</v>
      </c>
      <c r="V1042" s="30">
        <f t="shared" si="96"/>
        <v>0.47558136986301369</v>
      </c>
      <c r="W1042" s="46">
        <f t="shared" si="94"/>
        <v>-5.3603144561797982E-2</v>
      </c>
      <c r="X1042" s="33">
        <f t="shared" si="97"/>
        <v>2.7963335554637571E-2</v>
      </c>
    </row>
    <row r="1043" spans="19:24" x14ac:dyDescent="0.25">
      <c r="S1043" s="44">
        <f t="shared" si="92"/>
        <v>44093</v>
      </c>
      <c r="T1043" s="12">
        <f t="shared" si="93"/>
        <v>5.3576373738782603</v>
      </c>
      <c r="U1043" s="12">
        <f t="shared" si="95"/>
        <v>5.1878835517195956</v>
      </c>
      <c r="V1043" s="30">
        <f t="shared" si="96"/>
        <v>0.47555397260273974</v>
      </c>
      <c r="W1043" s="46">
        <f t="shared" si="94"/>
        <v>-5.3576373738782594E-2</v>
      </c>
      <c r="X1043" s="33">
        <f t="shared" si="97"/>
        <v>2.7963294042364625E-2</v>
      </c>
    </row>
    <row r="1044" spans="19:24" x14ac:dyDescent="0.25">
      <c r="S1044" s="44">
        <f t="shared" si="92"/>
        <v>44094</v>
      </c>
      <c r="T1044" s="12">
        <f t="shared" si="93"/>
        <v>5.3549602915767176</v>
      </c>
      <c r="U1044" s="12">
        <f t="shared" si="95"/>
        <v>5.1852323749948086</v>
      </c>
      <c r="V1044" s="30">
        <f t="shared" si="96"/>
        <v>0.47552657534246573</v>
      </c>
      <c r="W1044" s="46">
        <f t="shared" si="94"/>
        <v>-5.3549602915767165E-2</v>
      </c>
      <c r="X1044" s="33">
        <f t="shared" si="97"/>
        <v>2.7963252530091683E-2</v>
      </c>
    </row>
    <row r="1045" spans="19:24" x14ac:dyDescent="0.25">
      <c r="S1045" s="44">
        <f t="shared" si="92"/>
        <v>44095</v>
      </c>
      <c r="T1045" s="12">
        <f t="shared" si="93"/>
        <v>5.3522832092751758</v>
      </c>
      <c r="U1045" s="12">
        <f t="shared" si="95"/>
        <v>5.1825811982700181</v>
      </c>
      <c r="V1045" s="30">
        <f t="shared" si="96"/>
        <v>0.47549917808219178</v>
      </c>
      <c r="W1045" s="46">
        <f t="shared" si="94"/>
        <v>-5.352283209275175E-2</v>
      </c>
      <c r="X1045" s="33">
        <f t="shared" si="97"/>
        <v>2.7963211017818734E-2</v>
      </c>
    </row>
    <row r="1046" spans="19:24" x14ac:dyDescent="0.25">
      <c r="S1046" s="44">
        <f t="shared" si="92"/>
        <v>44096</v>
      </c>
      <c r="T1046" s="12">
        <f t="shared" si="93"/>
        <v>5.349606126973633</v>
      </c>
      <c r="U1046" s="12">
        <f t="shared" si="95"/>
        <v>5.1799300215452284</v>
      </c>
      <c r="V1046" s="30">
        <f t="shared" si="96"/>
        <v>0.47547178082191782</v>
      </c>
      <c r="W1046" s="46">
        <f t="shared" si="94"/>
        <v>-5.3496061269736321E-2</v>
      </c>
      <c r="X1046" s="33">
        <f t="shared" si="97"/>
        <v>2.7963169505545799E-2</v>
      </c>
    </row>
    <row r="1047" spans="19:24" x14ac:dyDescent="0.25">
      <c r="S1047" s="44">
        <f t="shared" si="92"/>
        <v>44097</v>
      </c>
      <c r="T1047" s="12">
        <f t="shared" si="93"/>
        <v>5.3469290446720912</v>
      </c>
      <c r="U1047" s="12">
        <f t="shared" si="95"/>
        <v>5.1772788448204388</v>
      </c>
      <c r="V1047" s="30">
        <f t="shared" si="96"/>
        <v>0.47544438356164387</v>
      </c>
      <c r="W1047" s="46">
        <f t="shared" si="94"/>
        <v>-5.3469290446720906E-2</v>
      </c>
      <c r="X1047" s="33">
        <f t="shared" si="97"/>
        <v>2.7963127993272857E-2</v>
      </c>
    </row>
    <row r="1048" spans="19:24" x14ac:dyDescent="0.25">
      <c r="S1048" s="44">
        <f t="shared" si="92"/>
        <v>44098</v>
      </c>
      <c r="T1048" s="12">
        <f t="shared" si="93"/>
        <v>5.344251962370552</v>
      </c>
      <c r="U1048" s="12">
        <f t="shared" si="95"/>
        <v>5.17462766809565</v>
      </c>
      <c r="V1048" s="30">
        <f t="shared" si="96"/>
        <v>0.47541698630136986</v>
      </c>
      <c r="W1048" s="46">
        <f t="shared" si="94"/>
        <v>-5.3442519623705512E-2</v>
      </c>
      <c r="X1048" s="33">
        <f t="shared" si="97"/>
        <v>2.7963086480999908E-2</v>
      </c>
    </row>
    <row r="1049" spans="19:24" x14ac:dyDescent="0.25">
      <c r="S1049" s="44">
        <f t="shared" si="92"/>
        <v>44099</v>
      </c>
      <c r="T1049" s="12">
        <f t="shared" si="93"/>
        <v>5.3415748800690093</v>
      </c>
      <c r="U1049" s="12">
        <f t="shared" si="95"/>
        <v>5.1719764913708604</v>
      </c>
      <c r="V1049" s="30">
        <f t="shared" si="96"/>
        <v>0.47538958904109585</v>
      </c>
      <c r="W1049" s="46">
        <f t="shared" si="94"/>
        <v>-5.3415748800690083E-2</v>
      </c>
      <c r="X1049" s="33">
        <f t="shared" si="97"/>
        <v>2.7963044968726963E-2</v>
      </c>
    </row>
    <row r="1050" spans="19:24" x14ac:dyDescent="0.25">
      <c r="S1050" s="44">
        <f t="shared" si="92"/>
        <v>44100</v>
      </c>
      <c r="T1050" s="12">
        <f t="shared" si="93"/>
        <v>5.3388977977674683</v>
      </c>
      <c r="U1050" s="12">
        <f t="shared" si="95"/>
        <v>5.1693253146460716</v>
      </c>
      <c r="V1050" s="30">
        <f t="shared" si="96"/>
        <v>0.47536219178082195</v>
      </c>
      <c r="W1050" s="46">
        <f t="shared" si="94"/>
        <v>-5.3388977977674675E-2</v>
      </c>
      <c r="X1050" s="33">
        <f t="shared" si="97"/>
        <v>2.7963003456454024E-2</v>
      </c>
    </row>
    <row r="1051" spans="19:24" x14ac:dyDescent="0.25">
      <c r="S1051" s="44">
        <f t="shared" si="92"/>
        <v>44101</v>
      </c>
      <c r="T1051" s="12">
        <f t="shared" si="93"/>
        <v>5.3362207154659282</v>
      </c>
      <c r="U1051" s="12">
        <f t="shared" si="95"/>
        <v>5.1666741379212811</v>
      </c>
      <c r="V1051" s="30">
        <f t="shared" si="96"/>
        <v>0.47533479452054794</v>
      </c>
      <c r="W1051" s="46">
        <f t="shared" si="94"/>
        <v>-5.3362207154659273E-2</v>
      </c>
      <c r="X1051" s="33">
        <f t="shared" si="97"/>
        <v>2.7962961944181072E-2</v>
      </c>
    </row>
    <row r="1052" spans="19:24" x14ac:dyDescent="0.25">
      <c r="S1052" s="44">
        <f t="shared" si="92"/>
        <v>44102</v>
      </c>
      <c r="T1052" s="12">
        <f t="shared" si="93"/>
        <v>5.3335436331643873</v>
      </c>
      <c r="U1052" s="12">
        <f t="shared" si="95"/>
        <v>5.1640229611964932</v>
      </c>
      <c r="V1052" s="30">
        <f t="shared" si="96"/>
        <v>0.47530739726027393</v>
      </c>
      <c r="W1052" s="46">
        <f t="shared" si="94"/>
        <v>-5.3335436331643865E-2</v>
      </c>
      <c r="X1052" s="33">
        <f t="shared" si="97"/>
        <v>2.796292043190813E-2</v>
      </c>
    </row>
    <row r="1053" spans="19:24" x14ac:dyDescent="0.25">
      <c r="S1053" s="44">
        <f t="shared" si="92"/>
        <v>44103</v>
      </c>
      <c r="T1053" s="12">
        <f t="shared" si="93"/>
        <v>5.3308665508628446</v>
      </c>
      <c r="U1053" s="12">
        <f t="shared" si="95"/>
        <v>5.1613717844717035</v>
      </c>
      <c r="V1053" s="30">
        <f t="shared" si="96"/>
        <v>0.47527999999999998</v>
      </c>
      <c r="W1053" s="46">
        <f t="shared" si="94"/>
        <v>-5.3308665508628436E-2</v>
      </c>
      <c r="X1053" s="33">
        <f t="shared" si="97"/>
        <v>2.7962878919635187E-2</v>
      </c>
    </row>
    <row r="1054" spans="19:24" x14ac:dyDescent="0.25">
      <c r="S1054" s="44">
        <f t="shared" si="92"/>
        <v>44104</v>
      </c>
      <c r="T1054" s="12">
        <f t="shared" si="93"/>
        <v>5.3281894685613045</v>
      </c>
      <c r="U1054" s="12">
        <f t="shared" si="95"/>
        <v>5.1587206077469139</v>
      </c>
      <c r="V1054" s="30">
        <f t="shared" si="96"/>
        <v>0.47525260273972603</v>
      </c>
      <c r="W1054" s="46">
        <f t="shared" si="94"/>
        <v>-5.3281894685613035E-2</v>
      </c>
      <c r="X1054" s="33">
        <f t="shared" si="97"/>
        <v>2.7962837407362242E-2</v>
      </c>
    </row>
    <row r="1055" spans="19:24" x14ac:dyDescent="0.25">
      <c r="S1055" s="44">
        <f t="shared" si="92"/>
        <v>44105</v>
      </c>
      <c r="T1055" s="12">
        <f t="shared" si="93"/>
        <v>5.3255123862597626</v>
      </c>
      <c r="U1055" s="12">
        <f t="shared" si="95"/>
        <v>5.1560694310221233</v>
      </c>
      <c r="V1055" s="30">
        <f t="shared" si="96"/>
        <v>0.47522520547945207</v>
      </c>
      <c r="W1055" s="46">
        <f t="shared" si="94"/>
        <v>-5.325512386259762E-2</v>
      </c>
      <c r="X1055" s="33">
        <f t="shared" si="97"/>
        <v>2.79627958950893E-2</v>
      </c>
    </row>
    <row r="1056" spans="19:24" x14ac:dyDescent="0.25">
      <c r="S1056" s="44">
        <f t="shared" si="92"/>
        <v>44106</v>
      </c>
      <c r="T1056" s="12">
        <f t="shared" si="93"/>
        <v>5.3228353039582226</v>
      </c>
      <c r="U1056" s="12">
        <f t="shared" si="95"/>
        <v>5.1534182542973355</v>
      </c>
      <c r="V1056" s="30">
        <f t="shared" si="96"/>
        <v>0.47519780821917806</v>
      </c>
      <c r="W1056" s="46">
        <f t="shared" si="94"/>
        <v>-5.3228353039582219E-2</v>
      </c>
      <c r="X1056" s="33">
        <f t="shared" si="97"/>
        <v>2.7962754382816354E-2</v>
      </c>
    </row>
    <row r="1057" spans="19:24" x14ac:dyDescent="0.25">
      <c r="S1057" s="44">
        <f t="shared" si="92"/>
        <v>44107</v>
      </c>
      <c r="T1057" s="12">
        <f t="shared" si="93"/>
        <v>5.3201582216566816</v>
      </c>
      <c r="U1057" s="12">
        <f t="shared" si="95"/>
        <v>5.1507670775725467</v>
      </c>
      <c r="V1057" s="30">
        <f t="shared" si="96"/>
        <v>0.47517041095890411</v>
      </c>
      <c r="W1057" s="46">
        <f t="shared" si="94"/>
        <v>-5.320158221656681E-2</v>
      </c>
      <c r="X1057" s="33">
        <f t="shared" si="97"/>
        <v>2.7962712870543416E-2</v>
      </c>
    </row>
    <row r="1058" spans="19:24" x14ac:dyDescent="0.25">
      <c r="S1058" s="44">
        <f t="shared" si="92"/>
        <v>44108</v>
      </c>
      <c r="T1058" s="12">
        <f t="shared" si="93"/>
        <v>5.3174811393551389</v>
      </c>
      <c r="U1058" s="12">
        <f t="shared" si="95"/>
        <v>5.1481159008477571</v>
      </c>
      <c r="V1058" s="30">
        <f t="shared" si="96"/>
        <v>0.4751430136986301</v>
      </c>
      <c r="W1058" s="46">
        <f t="shared" si="94"/>
        <v>-5.3174811393551381E-2</v>
      </c>
      <c r="X1058" s="33">
        <f t="shared" si="97"/>
        <v>2.7962671358270463E-2</v>
      </c>
    </row>
    <row r="1059" spans="19:24" x14ac:dyDescent="0.25">
      <c r="S1059" s="44">
        <f t="shared" si="92"/>
        <v>44109</v>
      </c>
      <c r="T1059" s="12">
        <f t="shared" si="93"/>
        <v>5.3148040570535979</v>
      </c>
      <c r="U1059" s="12">
        <f t="shared" si="95"/>
        <v>5.1454647241229683</v>
      </c>
      <c r="V1059" s="30">
        <f t="shared" si="96"/>
        <v>0.4751156164383562</v>
      </c>
      <c r="W1059" s="46">
        <f t="shared" si="94"/>
        <v>-5.3148040570535973E-2</v>
      </c>
      <c r="X1059" s="33">
        <f t="shared" si="97"/>
        <v>2.7962629845997528E-2</v>
      </c>
    </row>
    <row r="1060" spans="19:24" x14ac:dyDescent="0.25">
      <c r="S1060" s="44">
        <f t="shared" si="92"/>
        <v>44110</v>
      </c>
      <c r="T1060" s="12">
        <f t="shared" si="93"/>
        <v>5.3121269747520561</v>
      </c>
      <c r="U1060" s="12">
        <f t="shared" si="95"/>
        <v>5.1428135473981795</v>
      </c>
      <c r="V1060" s="30">
        <f t="shared" si="96"/>
        <v>0.47508821917808219</v>
      </c>
      <c r="W1060" s="46">
        <f t="shared" si="94"/>
        <v>-5.3121269747520551E-2</v>
      </c>
      <c r="X1060" s="33">
        <f t="shared" si="97"/>
        <v>2.7962588333724579E-2</v>
      </c>
    </row>
    <row r="1061" spans="19:24" x14ac:dyDescent="0.25">
      <c r="S1061" s="44">
        <f t="shared" si="92"/>
        <v>44111</v>
      </c>
      <c r="T1061" s="12">
        <f t="shared" si="93"/>
        <v>5.3094498924505151</v>
      </c>
      <c r="U1061" s="12">
        <f t="shared" si="95"/>
        <v>5.1401623706733917</v>
      </c>
      <c r="V1061" s="30">
        <f t="shared" si="96"/>
        <v>0.47506082191780818</v>
      </c>
      <c r="W1061" s="46">
        <f t="shared" si="94"/>
        <v>-5.3094498924505143E-2</v>
      </c>
      <c r="X1061" s="33">
        <f t="shared" si="97"/>
        <v>2.7962546821451637E-2</v>
      </c>
    </row>
    <row r="1062" spans="19:24" x14ac:dyDescent="0.25">
      <c r="S1062" s="44">
        <f t="shared" si="92"/>
        <v>44112</v>
      </c>
      <c r="T1062" s="12">
        <f t="shared" si="93"/>
        <v>5.3067728101489751</v>
      </c>
      <c r="U1062" s="12">
        <f t="shared" si="95"/>
        <v>5.1375111939485993</v>
      </c>
      <c r="V1062" s="30">
        <f t="shared" si="96"/>
        <v>0.47503342465753423</v>
      </c>
      <c r="W1062" s="46">
        <f t="shared" si="94"/>
        <v>-5.3067728101489742E-2</v>
      </c>
      <c r="X1062" s="33">
        <f t="shared" si="97"/>
        <v>2.7962505309178692E-2</v>
      </c>
    </row>
    <row r="1063" spans="19:24" x14ac:dyDescent="0.25">
      <c r="S1063" s="44">
        <f t="shared" ref="S1063:S1126" si="98">+S1062+1</f>
        <v>44113</v>
      </c>
      <c r="T1063" s="12">
        <f t="shared" ref="T1063:T1126" si="99">DurMod(S1063,B$2,$F$7:$G$37,$T$3)</f>
        <v>5.3040957278474332</v>
      </c>
      <c r="U1063" s="12">
        <f t="shared" si="95"/>
        <v>5.1348600172238106</v>
      </c>
      <c r="V1063" s="30">
        <f t="shared" si="96"/>
        <v>0.47500602739726028</v>
      </c>
      <c r="W1063" s="46">
        <f t="shared" ref="W1063:W1126" si="100">+-T1063*($U$3-$T$3)</f>
        <v>-5.3040957278474327E-2</v>
      </c>
      <c r="X1063" s="33">
        <f t="shared" si="97"/>
        <v>2.796246379690575E-2</v>
      </c>
    </row>
    <row r="1064" spans="19:24" x14ac:dyDescent="0.25">
      <c r="S1064" s="44">
        <f t="shared" si="98"/>
        <v>44114</v>
      </c>
      <c r="T1064" s="12">
        <f t="shared" si="99"/>
        <v>5.301418645545894</v>
      </c>
      <c r="U1064" s="12">
        <f t="shared" si="95"/>
        <v>5.1322088404990209</v>
      </c>
      <c r="V1064" s="30">
        <f t="shared" si="96"/>
        <v>0.47497863013698632</v>
      </c>
      <c r="W1064" s="46">
        <f t="shared" si="100"/>
        <v>-5.3014186455458932E-2</v>
      </c>
      <c r="X1064" s="33">
        <f t="shared" si="97"/>
        <v>2.7962422284632808E-2</v>
      </c>
    </row>
    <row r="1065" spans="19:24" x14ac:dyDescent="0.25">
      <c r="S1065" s="44">
        <f t="shared" si="98"/>
        <v>44115</v>
      </c>
      <c r="T1065" s="12">
        <f t="shared" si="99"/>
        <v>5.2987415632443513</v>
      </c>
      <c r="U1065" s="12">
        <f t="shared" si="95"/>
        <v>5.1295576637742313</v>
      </c>
      <c r="V1065" s="30">
        <f t="shared" si="96"/>
        <v>0.47495123287671231</v>
      </c>
      <c r="W1065" s="46">
        <f t="shared" si="100"/>
        <v>-5.2987415632443503E-2</v>
      </c>
      <c r="X1065" s="33">
        <f t="shared" si="97"/>
        <v>2.7962380772359859E-2</v>
      </c>
    </row>
    <row r="1066" spans="19:24" x14ac:dyDescent="0.25">
      <c r="S1066" s="44">
        <f t="shared" si="98"/>
        <v>44116</v>
      </c>
      <c r="T1066" s="12">
        <f t="shared" si="99"/>
        <v>5.2960644809428103</v>
      </c>
      <c r="U1066" s="12">
        <f t="shared" si="95"/>
        <v>5.1269064870494434</v>
      </c>
      <c r="V1066" s="30">
        <f t="shared" si="96"/>
        <v>0.47492383561643836</v>
      </c>
      <c r="W1066" s="46">
        <f t="shared" si="100"/>
        <v>-5.2960644809428095E-2</v>
      </c>
      <c r="X1066" s="33">
        <f t="shared" si="97"/>
        <v>2.7962339260086917E-2</v>
      </c>
    </row>
    <row r="1067" spans="19:24" x14ac:dyDescent="0.25">
      <c r="S1067" s="44">
        <f t="shared" si="98"/>
        <v>44117</v>
      </c>
      <c r="T1067" s="12">
        <f t="shared" si="99"/>
        <v>5.2933873986412703</v>
      </c>
      <c r="U1067" s="12">
        <f t="shared" si="95"/>
        <v>5.1242553103246555</v>
      </c>
      <c r="V1067" s="30">
        <f t="shared" si="96"/>
        <v>0.47489643835616435</v>
      </c>
      <c r="W1067" s="46">
        <f t="shared" si="100"/>
        <v>-5.2933873986412694E-2</v>
      </c>
      <c r="X1067" s="33">
        <f t="shared" si="97"/>
        <v>2.7962297747813971E-2</v>
      </c>
    </row>
    <row r="1068" spans="19:24" x14ac:dyDescent="0.25">
      <c r="S1068" s="44">
        <f t="shared" si="98"/>
        <v>44118</v>
      </c>
      <c r="T1068" s="12">
        <f t="shared" si="99"/>
        <v>5.2907103163397284</v>
      </c>
      <c r="U1068" s="12">
        <f t="shared" si="95"/>
        <v>5.1216041335998641</v>
      </c>
      <c r="V1068" s="30">
        <f t="shared" si="96"/>
        <v>0.4748690410958904</v>
      </c>
      <c r="W1068" s="46">
        <f t="shared" si="100"/>
        <v>-5.2907103163397279E-2</v>
      </c>
      <c r="X1068" s="33">
        <f t="shared" si="97"/>
        <v>2.7962256235541032E-2</v>
      </c>
    </row>
    <row r="1069" spans="19:24" x14ac:dyDescent="0.25">
      <c r="S1069" s="44">
        <f t="shared" si="98"/>
        <v>44119</v>
      </c>
      <c r="T1069" s="12">
        <f t="shared" si="99"/>
        <v>5.2880332340381857</v>
      </c>
      <c r="U1069" s="12">
        <f t="shared" si="95"/>
        <v>5.1189529568750745</v>
      </c>
      <c r="V1069" s="30">
        <f t="shared" si="96"/>
        <v>0.47484164383561644</v>
      </c>
      <c r="W1069" s="46">
        <f t="shared" si="100"/>
        <v>-5.288033234038185E-2</v>
      </c>
      <c r="X1069" s="33">
        <f t="shared" si="97"/>
        <v>2.7962214723268087E-2</v>
      </c>
    </row>
    <row r="1070" spans="19:24" x14ac:dyDescent="0.25">
      <c r="S1070" s="44">
        <f t="shared" si="98"/>
        <v>44120</v>
      </c>
      <c r="T1070" s="12">
        <f t="shared" si="99"/>
        <v>5.2853561517366439</v>
      </c>
      <c r="U1070" s="12">
        <f t="shared" si="95"/>
        <v>5.1163017801502866</v>
      </c>
      <c r="V1070" s="30">
        <f t="shared" si="96"/>
        <v>0.47481424657534244</v>
      </c>
      <c r="W1070" s="46">
        <f t="shared" si="100"/>
        <v>-5.2853561517366428E-2</v>
      </c>
      <c r="X1070" s="33">
        <f t="shared" si="97"/>
        <v>2.7962173210995145E-2</v>
      </c>
    </row>
    <row r="1071" spans="19:24" x14ac:dyDescent="0.25">
      <c r="S1071" s="44">
        <f t="shared" si="98"/>
        <v>44121</v>
      </c>
      <c r="T1071" s="12">
        <f t="shared" si="99"/>
        <v>5.2826790694351065</v>
      </c>
      <c r="U1071" s="12">
        <f t="shared" si="95"/>
        <v>5.113650603425496</v>
      </c>
      <c r="V1071" s="30">
        <f t="shared" si="96"/>
        <v>0.47478684931506843</v>
      </c>
      <c r="W1071" s="46">
        <f t="shared" si="100"/>
        <v>-5.2826790694351054E-2</v>
      </c>
      <c r="X1071" s="33">
        <f t="shared" si="97"/>
        <v>2.7962131698722196E-2</v>
      </c>
    </row>
    <row r="1072" spans="19:24" x14ac:dyDescent="0.25">
      <c r="S1072" s="44">
        <f t="shared" si="98"/>
        <v>44122</v>
      </c>
      <c r="T1072" s="12">
        <f t="shared" si="99"/>
        <v>5.2800019871335619</v>
      </c>
      <c r="U1072" s="12">
        <f t="shared" si="95"/>
        <v>5.1109994267007064</v>
      </c>
      <c r="V1072" s="30">
        <f t="shared" si="96"/>
        <v>0.47475945205479453</v>
      </c>
      <c r="W1072" s="46">
        <f t="shared" si="100"/>
        <v>-5.2800019871335611E-2</v>
      </c>
      <c r="X1072" s="33">
        <f t="shared" si="97"/>
        <v>2.7962090186449261E-2</v>
      </c>
    </row>
    <row r="1073" spans="19:24" x14ac:dyDescent="0.25">
      <c r="S1073" s="44">
        <f t="shared" si="98"/>
        <v>44123</v>
      </c>
      <c r="T1073" s="12">
        <f t="shared" si="99"/>
        <v>5.2773249048320192</v>
      </c>
      <c r="U1073" s="12">
        <f t="shared" si="95"/>
        <v>5.1083482499759176</v>
      </c>
      <c r="V1073" s="30">
        <f t="shared" si="96"/>
        <v>0.47473205479452052</v>
      </c>
      <c r="W1073" s="46">
        <f t="shared" si="100"/>
        <v>-5.2773249048320182E-2</v>
      </c>
      <c r="X1073" s="33">
        <f t="shared" si="97"/>
        <v>2.7962048674176308E-2</v>
      </c>
    </row>
    <row r="1074" spans="19:24" x14ac:dyDescent="0.25">
      <c r="S1074" s="44">
        <f t="shared" si="98"/>
        <v>44124</v>
      </c>
      <c r="T1074" s="12">
        <f t="shared" si="99"/>
        <v>5.2746478225304791</v>
      </c>
      <c r="U1074" s="12">
        <f t="shared" si="95"/>
        <v>5.105697073251128</v>
      </c>
      <c r="V1074" s="30">
        <f t="shared" si="96"/>
        <v>0.47470465753424657</v>
      </c>
      <c r="W1074" s="46">
        <f t="shared" si="100"/>
        <v>-5.2746478225304781E-2</v>
      </c>
      <c r="X1074" s="33">
        <f t="shared" si="97"/>
        <v>2.796200716190337E-2</v>
      </c>
    </row>
    <row r="1075" spans="19:24" x14ac:dyDescent="0.25">
      <c r="S1075" s="44">
        <f t="shared" si="98"/>
        <v>44125</v>
      </c>
      <c r="T1075" s="12">
        <f t="shared" si="99"/>
        <v>5.2719707402289391</v>
      </c>
      <c r="U1075" s="12">
        <f t="shared" si="95"/>
        <v>5.1030458965263383</v>
      </c>
      <c r="V1075" s="30">
        <f t="shared" si="96"/>
        <v>0.47467726027397256</v>
      </c>
      <c r="W1075" s="46">
        <f t="shared" si="100"/>
        <v>-5.271970740228938E-2</v>
      </c>
      <c r="X1075" s="33">
        <f t="shared" si="97"/>
        <v>2.7961965649630421E-2</v>
      </c>
    </row>
    <row r="1076" spans="19:24" x14ac:dyDescent="0.25">
      <c r="S1076" s="44">
        <f t="shared" si="98"/>
        <v>44126</v>
      </c>
      <c r="T1076" s="12">
        <f t="shared" si="99"/>
        <v>5.2692936579273981</v>
      </c>
      <c r="U1076" s="12">
        <f t="shared" si="95"/>
        <v>5.1003947198015513</v>
      </c>
      <c r="V1076" s="30">
        <f t="shared" si="96"/>
        <v>0.4746498630136986</v>
      </c>
      <c r="W1076" s="46">
        <f t="shared" si="100"/>
        <v>-5.2692936579273972E-2</v>
      </c>
      <c r="X1076" s="33">
        <f t="shared" si="97"/>
        <v>2.7961924137357479E-2</v>
      </c>
    </row>
    <row r="1077" spans="19:24" x14ac:dyDescent="0.25">
      <c r="S1077" s="44">
        <f t="shared" si="98"/>
        <v>44127</v>
      </c>
      <c r="T1077" s="12">
        <f t="shared" si="99"/>
        <v>5.2666165756258554</v>
      </c>
      <c r="U1077" s="12">
        <f t="shared" si="95"/>
        <v>5.0977435430767599</v>
      </c>
      <c r="V1077" s="30">
        <f t="shared" si="96"/>
        <v>0.47462246575342465</v>
      </c>
      <c r="W1077" s="46">
        <f t="shared" si="100"/>
        <v>-5.2666165756258543E-2</v>
      </c>
      <c r="X1077" s="33">
        <f t="shared" si="97"/>
        <v>2.7961882625084537E-2</v>
      </c>
    </row>
    <row r="1078" spans="19:24" x14ac:dyDescent="0.25">
      <c r="S1078" s="44">
        <f t="shared" si="98"/>
        <v>44128</v>
      </c>
      <c r="T1078" s="12">
        <f t="shared" si="99"/>
        <v>5.2639394933243162</v>
      </c>
      <c r="U1078" s="12">
        <f t="shared" si="95"/>
        <v>5.0950923663519712</v>
      </c>
      <c r="V1078" s="30">
        <f t="shared" si="96"/>
        <v>0.4745950684931507</v>
      </c>
      <c r="W1078" s="46">
        <f t="shared" si="100"/>
        <v>-5.2639394933243155E-2</v>
      </c>
      <c r="X1078" s="33">
        <f t="shared" si="97"/>
        <v>2.7961841112811595E-2</v>
      </c>
    </row>
    <row r="1079" spans="19:24" x14ac:dyDescent="0.25">
      <c r="S1079" s="44">
        <f t="shared" si="98"/>
        <v>44129</v>
      </c>
      <c r="T1079" s="12">
        <f t="shared" si="99"/>
        <v>5.2612624110227744</v>
      </c>
      <c r="U1079" s="12">
        <f t="shared" si="95"/>
        <v>5.0924411896271815</v>
      </c>
      <c r="V1079" s="30">
        <f t="shared" si="96"/>
        <v>0.47456767123287669</v>
      </c>
      <c r="W1079" s="46">
        <f t="shared" si="100"/>
        <v>-5.2612624110227733E-2</v>
      </c>
      <c r="X1079" s="33">
        <f t="shared" si="97"/>
        <v>2.7961799600538646E-2</v>
      </c>
    </row>
    <row r="1080" spans="19:24" x14ac:dyDescent="0.25">
      <c r="S1080" s="44">
        <f t="shared" si="98"/>
        <v>44130</v>
      </c>
      <c r="T1080" s="12">
        <f t="shared" si="99"/>
        <v>5.2585853287212334</v>
      </c>
      <c r="U1080" s="12">
        <f t="shared" si="95"/>
        <v>5.0897900129023919</v>
      </c>
      <c r="V1080" s="30">
        <f t="shared" si="96"/>
        <v>0.47454027397260268</v>
      </c>
      <c r="W1080" s="46">
        <f t="shared" si="100"/>
        <v>-5.2585853287212325E-2</v>
      </c>
      <c r="X1080" s="33">
        <f t="shared" si="97"/>
        <v>2.79617580882657E-2</v>
      </c>
    </row>
    <row r="1081" spans="19:24" x14ac:dyDescent="0.25">
      <c r="S1081" s="44">
        <f t="shared" si="98"/>
        <v>44131</v>
      </c>
      <c r="T1081" s="12">
        <f t="shared" si="99"/>
        <v>5.2559082464196916</v>
      </c>
      <c r="U1081" s="12">
        <f t="shared" si="95"/>
        <v>5.087138836177604</v>
      </c>
      <c r="V1081" s="30">
        <f t="shared" si="96"/>
        <v>0.47451287671232878</v>
      </c>
      <c r="W1081" s="46">
        <f t="shared" si="100"/>
        <v>-5.255908246419691E-2</v>
      </c>
      <c r="X1081" s="33">
        <f t="shared" si="97"/>
        <v>2.7961716575992761E-2</v>
      </c>
    </row>
    <row r="1082" spans="19:24" x14ac:dyDescent="0.25">
      <c r="S1082" s="44">
        <f t="shared" si="98"/>
        <v>44132</v>
      </c>
      <c r="T1082" s="12">
        <f t="shared" si="99"/>
        <v>5.2532311641181488</v>
      </c>
      <c r="U1082" s="12">
        <f t="shared" si="95"/>
        <v>5.0844876594528134</v>
      </c>
      <c r="V1082" s="30">
        <f t="shared" si="96"/>
        <v>0.47448547945205477</v>
      </c>
      <c r="W1082" s="46">
        <f t="shared" si="100"/>
        <v>-5.2532311641181481E-2</v>
      </c>
      <c r="X1082" s="33">
        <f t="shared" si="97"/>
        <v>2.7961675063719816E-2</v>
      </c>
    </row>
    <row r="1083" spans="19:24" x14ac:dyDescent="0.25">
      <c r="S1083" s="44">
        <f t="shared" si="98"/>
        <v>44133</v>
      </c>
      <c r="T1083" s="12">
        <f t="shared" si="99"/>
        <v>5.2505540818166097</v>
      </c>
      <c r="U1083" s="12">
        <f t="shared" si="95"/>
        <v>5.0818364827280256</v>
      </c>
      <c r="V1083" s="30">
        <f t="shared" si="96"/>
        <v>0.47445808219178076</v>
      </c>
      <c r="W1083" s="46">
        <f t="shared" si="100"/>
        <v>-5.2505540818166087E-2</v>
      </c>
      <c r="X1083" s="33">
        <f t="shared" si="97"/>
        <v>2.7961633551446867E-2</v>
      </c>
    </row>
    <row r="1084" spans="19:24" x14ac:dyDescent="0.25">
      <c r="S1084" s="44">
        <f t="shared" si="98"/>
        <v>44134</v>
      </c>
      <c r="T1084" s="12">
        <f t="shared" si="99"/>
        <v>5.2478769995150669</v>
      </c>
      <c r="U1084" s="12">
        <f t="shared" si="95"/>
        <v>5.079185306003235</v>
      </c>
      <c r="V1084" s="30">
        <f t="shared" si="96"/>
        <v>0.47443068493150681</v>
      </c>
      <c r="W1084" s="46">
        <f t="shared" si="100"/>
        <v>-5.2478769995150658E-2</v>
      </c>
      <c r="X1084" s="33">
        <f t="shared" si="97"/>
        <v>2.7961592039173925E-2</v>
      </c>
    </row>
    <row r="1085" spans="19:24" x14ac:dyDescent="0.25">
      <c r="S1085" s="44">
        <f t="shared" si="98"/>
        <v>44135</v>
      </c>
      <c r="T1085" s="12">
        <f t="shared" si="99"/>
        <v>5.2451999172135277</v>
      </c>
      <c r="U1085" s="12">
        <f t="shared" si="95"/>
        <v>5.0765341292784463</v>
      </c>
      <c r="V1085" s="30">
        <f t="shared" si="96"/>
        <v>0.47440328767123285</v>
      </c>
      <c r="W1085" s="46">
        <f t="shared" si="100"/>
        <v>-5.245199917213527E-2</v>
      </c>
      <c r="X1085" s="33">
        <f t="shared" si="97"/>
        <v>2.7961550526900983E-2</v>
      </c>
    </row>
    <row r="1086" spans="19:24" x14ac:dyDescent="0.25">
      <c r="S1086" s="44">
        <f t="shared" si="98"/>
        <v>44136</v>
      </c>
      <c r="T1086" s="12">
        <f t="shared" si="99"/>
        <v>5.242522834911985</v>
      </c>
      <c r="U1086" s="12">
        <f t="shared" si="95"/>
        <v>5.0738829525536575</v>
      </c>
      <c r="V1086" s="30">
        <f t="shared" si="96"/>
        <v>0.4743758904109589</v>
      </c>
      <c r="W1086" s="46">
        <f t="shared" si="100"/>
        <v>-5.2425228349119841E-2</v>
      </c>
      <c r="X1086" s="33">
        <f t="shared" si="97"/>
        <v>2.7961509014628041E-2</v>
      </c>
    </row>
    <row r="1087" spans="19:24" x14ac:dyDescent="0.25">
      <c r="S1087" s="44">
        <f t="shared" si="98"/>
        <v>44137</v>
      </c>
      <c r="T1087" s="12">
        <f t="shared" si="99"/>
        <v>5.2398457526104441</v>
      </c>
      <c r="U1087" s="12">
        <f t="shared" si="95"/>
        <v>5.071231775828867</v>
      </c>
      <c r="V1087" s="30">
        <f t="shared" si="96"/>
        <v>0.47434849315068489</v>
      </c>
      <c r="W1087" s="46">
        <f t="shared" si="100"/>
        <v>-5.2398457526104433E-2</v>
      </c>
      <c r="X1087" s="33">
        <f t="shared" si="97"/>
        <v>2.7961467502355095E-2</v>
      </c>
    </row>
    <row r="1088" spans="19:24" x14ac:dyDescent="0.25">
      <c r="S1088" s="44">
        <f t="shared" si="98"/>
        <v>44138</v>
      </c>
      <c r="T1088" s="12">
        <f t="shared" si="99"/>
        <v>5.237168670308904</v>
      </c>
      <c r="U1088" s="12">
        <f t="shared" si="95"/>
        <v>5.0685805991040782</v>
      </c>
      <c r="V1088" s="30">
        <f t="shared" si="96"/>
        <v>0.47432109589041094</v>
      </c>
      <c r="W1088" s="46">
        <f t="shared" si="100"/>
        <v>-5.2371686703089032E-2</v>
      </c>
      <c r="X1088" s="33">
        <f t="shared" si="97"/>
        <v>2.7961425990082153E-2</v>
      </c>
    </row>
    <row r="1089" spans="19:24" x14ac:dyDescent="0.25">
      <c r="S1089" s="44">
        <f t="shared" si="98"/>
        <v>44139</v>
      </c>
      <c r="T1089" s="12">
        <f t="shared" si="99"/>
        <v>5.2344915880073604</v>
      </c>
      <c r="U1089" s="12">
        <f t="shared" si="95"/>
        <v>5.0659294223792877</v>
      </c>
      <c r="V1089" s="30">
        <f t="shared" si="96"/>
        <v>0.47429369863013693</v>
      </c>
      <c r="W1089" s="46">
        <f t="shared" si="100"/>
        <v>-5.2344915880073596E-2</v>
      </c>
      <c r="X1089" s="33">
        <f t="shared" si="97"/>
        <v>2.7961384477809204E-2</v>
      </c>
    </row>
    <row r="1090" spans="19:24" x14ac:dyDescent="0.25">
      <c r="S1090" s="44">
        <f t="shared" si="98"/>
        <v>44140</v>
      </c>
      <c r="T1090" s="12">
        <f t="shared" si="99"/>
        <v>5.2318145057058203</v>
      </c>
      <c r="U1090" s="12">
        <f t="shared" si="95"/>
        <v>5.0632782456544971</v>
      </c>
      <c r="V1090" s="30">
        <f t="shared" si="96"/>
        <v>0.47426630136986303</v>
      </c>
      <c r="W1090" s="46">
        <f t="shared" si="100"/>
        <v>-5.2318145057058195E-2</v>
      </c>
      <c r="X1090" s="33">
        <f t="shared" si="97"/>
        <v>2.7961342965536269E-2</v>
      </c>
    </row>
    <row r="1091" spans="19:24" x14ac:dyDescent="0.25">
      <c r="S1091" s="44">
        <f t="shared" si="98"/>
        <v>44141</v>
      </c>
      <c r="T1091" s="12">
        <f t="shared" si="99"/>
        <v>5.2291374234042793</v>
      </c>
      <c r="U1091" s="12">
        <f t="shared" si="95"/>
        <v>5.0606270689297101</v>
      </c>
      <c r="V1091" s="30">
        <f t="shared" si="96"/>
        <v>0.47423890410958902</v>
      </c>
      <c r="W1091" s="46">
        <f t="shared" si="100"/>
        <v>-5.2291374234042787E-2</v>
      </c>
      <c r="X1091" s="33">
        <f t="shared" si="97"/>
        <v>2.796130145326332E-2</v>
      </c>
    </row>
    <row r="1092" spans="19:24" x14ac:dyDescent="0.25">
      <c r="S1092" s="44">
        <f t="shared" si="98"/>
        <v>44142</v>
      </c>
      <c r="T1092" s="12">
        <f t="shared" si="99"/>
        <v>5.2264603411027384</v>
      </c>
      <c r="U1092" s="12">
        <f t="shared" si="95"/>
        <v>5.0579758922049214</v>
      </c>
      <c r="V1092" s="30">
        <f t="shared" si="96"/>
        <v>0.47421150684931501</v>
      </c>
      <c r="W1092" s="46">
        <f t="shared" si="100"/>
        <v>-5.2264603411027379E-2</v>
      </c>
      <c r="X1092" s="33">
        <f t="shared" si="97"/>
        <v>2.7961259940990375E-2</v>
      </c>
    </row>
    <row r="1093" spans="19:24" x14ac:dyDescent="0.25">
      <c r="S1093" s="44">
        <f t="shared" si="98"/>
        <v>44143</v>
      </c>
      <c r="T1093" s="12">
        <f t="shared" si="99"/>
        <v>5.2237832588011974</v>
      </c>
      <c r="U1093" s="12">
        <f t="shared" ref="U1093:U1156" si="101">DurMod($S1093,$B$2,$F$7:$G$37,U$3)</f>
        <v>5.0553247154801317</v>
      </c>
      <c r="V1093" s="30">
        <f t="shared" ref="V1093:V1156" si="102">+$U$3*($S$5512-S1093)/365+$T$3*(S1093-$S$4)/365</f>
        <v>0.47418410958904106</v>
      </c>
      <c r="W1093" s="46">
        <f t="shared" si="100"/>
        <v>-5.2237832588011963E-2</v>
      </c>
      <c r="X1093" s="33">
        <f t="shared" ref="X1093:X1156" si="103">+(V1093+W1093)*365/($S$5512-$S$4)</f>
        <v>2.7961218428717433E-2</v>
      </c>
    </row>
    <row r="1094" spans="19:24" x14ac:dyDescent="0.25">
      <c r="S1094" s="44">
        <f t="shared" si="98"/>
        <v>44144</v>
      </c>
      <c r="T1094" s="12">
        <f t="shared" si="99"/>
        <v>5.2211061764996556</v>
      </c>
      <c r="U1094" s="12">
        <f t="shared" si="101"/>
        <v>5.0526735387553403</v>
      </c>
      <c r="V1094" s="30">
        <f t="shared" si="102"/>
        <v>0.47415671232876705</v>
      </c>
      <c r="W1094" s="46">
        <f t="shared" si="100"/>
        <v>-5.2211061764996548E-2</v>
      </c>
      <c r="X1094" s="33">
        <f t="shared" si="103"/>
        <v>2.7961176916444484E-2</v>
      </c>
    </row>
    <row r="1095" spans="19:24" x14ac:dyDescent="0.25">
      <c r="S1095" s="44">
        <f t="shared" si="98"/>
        <v>44145</v>
      </c>
      <c r="T1095" s="12">
        <f t="shared" si="99"/>
        <v>5.2184290941981146</v>
      </c>
      <c r="U1095" s="12">
        <f t="shared" si="101"/>
        <v>5.0500223620305533</v>
      </c>
      <c r="V1095" s="30">
        <f t="shared" si="102"/>
        <v>0.4741293150684931</v>
      </c>
      <c r="W1095" s="46">
        <f t="shared" si="100"/>
        <v>-5.218429094198114E-2</v>
      </c>
      <c r="X1095" s="33">
        <f t="shared" si="103"/>
        <v>2.7961135404171545E-2</v>
      </c>
    </row>
    <row r="1096" spans="19:24" x14ac:dyDescent="0.25">
      <c r="S1096" s="44">
        <f t="shared" si="98"/>
        <v>44146</v>
      </c>
      <c r="T1096" s="12">
        <f t="shared" si="99"/>
        <v>5.2157520118965737</v>
      </c>
      <c r="U1096" s="12">
        <f t="shared" si="101"/>
        <v>5.0473711853057655</v>
      </c>
      <c r="V1096" s="30">
        <f t="shared" si="102"/>
        <v>0.47410191780821914</v>
      </c>
      <c r="W1096" s="46">
        <f t="shared" si="100"/>
        <v>-5.2157520118965732E-2</v>
      </c>
      <c r="X1096" s="33">
        <f t="shared" si="103"/>
        <v>2.7961093891898603E-2</v>
      </c>
    </row>
    <row r="1097" spans="19:24" x14ac:dyDescent="0.25">
      <c r="S1097" s="44">
        <f t="shared" si="98"/>
        <v>44147</v>
      </c>
      <c r="T1097" s="12">
        <f t="shared" si="99"/>
        <v>5.2130749295950336</v>
      </c>
      <c r="U1097" s="12">
        <f t="shared" si="101"/>
        <v>5.044720008580974</v>
      </c>
      <c r="V1097" s="30">
        <f t="shared" si="102"/>
        <v>0.47407452054794519</v>
      </c>
      <c r="W1097" s="46">
        <f t="shared" si="100"/>
        <v>-5.2130749295950331E-2</v>
      </c>
      <c r="X1097" s="33">
        <f t="shared" si="103"/>
        <v>2.7961052379625654E-2</v>
      </c>
    </row>
    <row r="1098" spans="19:24" x14ac:dyDescent="0.25">
      <c r="S1098" s="44">
        <f t="shared" si="98"/>
        <v>44148</v>
      </c>
      <c r="T1098" s="12">
        <f t="shared" si="99"/>
        <v>5.2103978472934909</v>
      </c>
      <c r="U1098" s="12">
        <f t="shared" si="101"/>
        <v>5.0420688318561844</v>
      </c>
      <c r="V1098" s="30">
        <f t="shared" si="102"/>
        <v>0.47404712328767118</v>
      </c>
      <c r="W1098" s="46">
        <f t="shared" si="100"/>
        <v>-5.2103978472934902E-2</v>
      </c>
      <c r="X1098" s="33">
        <f t="shared" si="103"/>
        <v>2.7961010867352712E-2</v>
      </c>
    </row>
    <row r="1099" spans="19:24" x14ac:dyDescent="0.25">
      <c r="S1099" s="44">
        <f t="shared" si="98"/>
        <v>44149</v>
      </c>
      <c r="T1099" s="12">
        <f t="shared" si="99"/>
        <v>5.2077207649919517</v>
      </c>
      <c r="U1099" s="12">
        <f t="shared" si="101"/>
        <v>5.0394176551313956</v>
      </c>
      <c r="V1099" s="30">
        <f t="shared" si="102"/>
        <v>0.47401972602739723</v>
      </c>
      <c r="W1099" s="46">
        <f t="shared" si="100"/>
        <v>-5.2077207649919507E-2</v>
      </c>
      <c r="X1099" s="33">
        <f t="shared" si="103"/>
        <v>2.796096935507977E-2</v>
      </c>
    </row>
    <row r="1100" spans="19:24" x14ac:dyDescent="0.25">
      <c r="S1100" s="44">
        <f t="shared" si="98"/>
        <v>44150</v>
      </c>
      <c r="T1100" s="12">
        <f t="shared" si="99"/>
        <v>5.2050436826904098</v>
      </c>
      <c r="U1100" s="12">
        <f t="shared" si="101"/>
        <v>5.0367664784066077</v>
      </c>
      <c r="V1100" s="30">
        <f t="shared" si="102"/>
        <v>0.47399232876712327</v>
      </c>
      <c r="W1100" s="46">
        <f t="shared" si="100"/>
        <v>-5.2050436826904092E-2</v>
      </c>
      <c r="X1100" s="33">
        <f t="shared" si="103"/>
        <v>2.7960927842806828E-2</v>
      </c>
    </row>
    <row r="1101" spans="19:24" x14ac:dyDescent="0.25">
      <c r="S1101" s="44">
        <f t="shared" si="98"/>
        <v>44151</v>
      </c>
      <c r="T1101" s="12">
        <f t="shared" si="99"/>
        <v>5.2023666003888689</v>
      </c>
      <c r="U1101" s="12">
        <f t="shared" si="101"/>
        <v>5.0341153016818199</v>
      </c>
      <c r="V1101" s="30">
        <f t="shared" si="102"/>
        <v>0.47396493150684926</v>
      </c>
      <c r="W1101" s="46">
        <f t="shared" si="100"/>
        <v>-5.2023666003888684E-2</v>
      </c>
      <c r="X1101" s="33">
        <f t="shared" si="103"/>
        <v>2.7960886330533882E-2</v>
      </c>
    </row>
    <row r="1102" spans="19:24" x14ac:dyDescent="0.25">
      <c r="S1102" s="44">
        <f t="shared" si="98"/>
        <v>44152</v>
      </c>
      <c r="T1102" s="12">
        <f t="shared" si="99"/>
        <v>5.199689518087327</v>
      </c>
      <c r="U1102" s="12">
        <f t="shared" si="101"/>
        <v>5.0314641249570284</v>
      </c>
      <c r="V1102" s="30">
        <f t="shared" si="102"/>
        <v>0.47393753424657525</v>
      </c>
      <c r="W1102" s="46">
        <f t="shared" si="100"/>
        <v>-5.1996895180873262E-2</v>
      </c>
      <c r="X1102" s="33">
        <f t="shared" si="103"/>
        <v>2.7960844818260933E-2</v>
      </c>
    </row>
    <row r="1103" spans="19:24" x14ac:dyDescent="0.25">
      <c r="S1103" s="44">
        <f t="shared" si="98"/>
        <v>44153</v>
      </c>
      <c r="T1103" s="12">
        <f t="shared" si="99"/>
        <v>5.197012435785787</v>
      </c>
      <c r="U1103" s="12">
        <f t="shared" si="101"/>
        <v>5.0288129482322388</v>
      </c>
      <c r="V1103" s="30">
        <f t="shared" si="102"/>
        <v>0.4739101369863013</v>
      </c>
      <c r="W1103" s="46">
        <f t="shared" si="100"/>
        <v>-5.1970124357857861E-2</v>
      </c>
      <c r="X1103" s="33">
        <f t="shared" si="103"/>
        <v>2.7960803305987991E-2</v>
      </c>
    </row>
    <row r="1104" spans="19:24" x14ac:dyDescent="0.25">
      <c r="S1104" s="44">
        <f t="shared" si="98"/>
        <v>44154</v>
      </c>
      <c r="T1104" s="12">
        <f t="shared" si="99"/>
        <v>5.1943353534842451</v>
      </c>
      <c r="U1104" s="12">
        <f t="shared" si="101"/>
        <v>5.0261617715074483</v>
      </c>
      <c r="V1104" s="30">
        <f t="shared" si="102"/>
        <v>0.47388273972602735</v>
      </c>
      <c r="W1104" s="46">
        <f t="shared" si="100"/>
        <v>-5.1943353534842446E-2</v>
      </c>
      <c r="X1104" s="33">
        <f t="shared" si="103"/>
        <v>2.7960761793715046E-2</v>
      </c>
    </row>
    <row r="1105" spans="19:24" x14ac:dyDescent="0.25">
      <c r="S1105" s="44">
        <f t="shared" si="98"/>
        <v>44155</v>
      </c>
      <c r="T1105" s="12">
        <f t="shared" si="99"/>
        <v>5.1916582711827033</v>
      </c>
      <c r="U1105" s="12">
        <f t="shared" si="101"/>
        <v>5.0235105947826604</v>
      </c>
      <c r="V1105" s="30">
        <f t="shared" si="102"/>
        <v>0.47385534246575345</v>
      </c>
      <c r="W1105" s="46">
        <f t="shared" si="100"/>
        <v>-5.1916582711827024E-2</v>
      </c>
      <c r="X1105" s="33">
        <f t="shared" si="103"/>
        <v>2.7960720281442107E-2</v>
      </c>
    </row>
    <row r="1106" spans="19:24" x14ac:dyDescent="0.25">
      <c r="S1106" s="44">
        <f t="shared" si="98"/>
        <v>44156</v>
      </c>
      <c r="T1106" s="12">
        <f t="shared" si="99"/>
        <v>5.1889811888811632</v>
      </c>
      <c r="U1106" s="12">
        <f t="shared" si="101"/>
        <v>5.0208594180578725</v>
      </c>
      <c r="V1106" s="30">
        <f t="shared" si="102"/>
        <v>0.47382794520547944</v>
      </c>
      <c r="W1106" s="46">
        <f t="shared" si="100"/>
        <v>-5.1889811888811622E-2</v>
      </c>
      <c r="X1106" s="33">
        <f t="shared" si="103"/>
        <v>2.7960678769169162E-2</v>
      </c>
    </row>
    <row r="1107" spans="19:24" x14ac:dyDescent="0.25">
      <c r="S1107" s="44">
        <f t="shared" si="98"/>
        <v>44157</v>
      </c>
      <c r="T1107" s="12">
        <f t="shared" si="99"/>
        <v>5.1863041065796196</v>
      </c>
      <c r="U1107" s="12">
        <f t="shared" si="101"/>
        <v>5.0182082413330811</v>
      </c>
      <c r="V1107" s="30">
        <f t="shared" si="102"/>
        <v>0.47380054794520554</v>
      </c>
      <c r="W1107" s="46">
        <f t="shared" si="100"/>
        <v>-5.1863041065796187E-2</v>
      </c>
      <c r="X1107" s="33">
        <f t="shared" si="103"/>
        <v>2.7960637256896223E-2</v>
      </c>
    </row>
    <row r="1108" spans="19:24" x14ac:dyDescent="0.25">
      <c r="S1108" s="44">
        <f t="shared" si="98"/>
        <v>44158</v>
      </c>
      <c r="T1108" s="12">
        <f t="shared" si="99"/>
        <v>5.1836270242780804</v>
      </c>
      <c r="U1108" s="12">
        <f t="shared" si="101"/>
        <v>5.0155570646082905</v>
      </c>
      <c r="V1108" s="30">
        <f t="shared" si="102"/>
        <v>0.47377315068493153</v>
      </c>
      <c r="W1108" s="46">
        <f t="shared" si="100"/>
        <v>-5.1836270242780799E-2</v>
      </c>
      <c r="X1108" s="33">
        <f t="shared" si="103"/>
        <v>2.7960595744623278E-2</v>
      </c>
    </row>
    <row r="1109" spans="19:24" x14ac:dyDescent="0.25">
      <c r="S1109" s="44">
        <f t="shared" si="98"/>
        <v>44159</v>
      </c>
      <c r="T1109" s="12">
        <f t="shared" si="99"/>
        <v>5.1809499419765386</v>
      </c>
      <c r="U1109" s="12">
        <f t="shared" si="101"/>
        <v>5.0129058878835018</v>
      </c>
      <c r="V1109" s="30">
        <f t="shared" si="102"/>
        <v>0.47374575342465752</v>
      </c>
      <c r="W1109" s="46">
        <f t="shared" si="100"/>
        <v>-5.1809499419765377E-2</v>
      </c>
      <c r="X1109" s="33">
        <f t="shared" si="103"/>
        <v>2.7960554232350335E-2</v>
      </c>
    </row>
    <row r="1110" spans="19:24" x14ac:dyDescent="0.25">
      <c r="S1110" s="44">
        <f t="shared" si="98"/>
        <v>44160</v>
      </c>
      <c r="T1110" s="12">
        <f t="shared" si="99"/>
        <v>5.1782728596749985</v>
      </c>
      <c r="U1110" s="12">
        <f t="shared" si="101"/>
        <v>5.0102547111587121</v>
      </c>
      <c r="V1110" s="30">
        <f t="shared" si="102"/>
        <v>0.47371835616438357</v>
      </c>
      <c r="W1110" s="46">
        <f t="shared" si="100"/>
        <v>-5.1782728596749976E-2</v>
      </c>
      <c r="X1110" s="33">
        <f t="shared" si="103"/>
        <v>2.7960512720077386E-2</v>
      </c>
    </row>
    <row r="1111" spans="19:24" x14ac:dyDescent="0.25">
      <c r="S1111" s="44">
        <f t="shared" si="98"/>
        <v>44161</v>
      </c>
      <c r="T1111" s="12">
        <f t="shared" si="99"/>
        <v>5.1755957773734558</v>
      </c>
      <c r="U1111" s="12">
        <f t="shared" si="101"/>
        <v>5.0076035344339251</v>
      </c>
      <c r="V1111" s="30">
        <f t="shared" si="102"/>
        <v>0.47369095890410962</v>
      </c>
      <c r="W1111" s="46">
        <f t="shared" si="100"/>
        <v>-5.1755957773734547E-2</v>
      </c>
      <c r="X1111" s="33">
        <f t="shared" si="103"/>
        <v>2.7960471207804451E-2</v>
      </c>
    </row>
    <row r="1112" spans="19:24" x14ac:dyDescent="0.25">
      <c r="S1112" s="44">
        <f t="shared" si="98"/>
        <v>44162</v>
      </c>
      <c r="T1112" s="12">
        <f t="shared" si="99"/>
        <v>5.1729186950719148</v>
      </c>
      <c r="U1112" s="12">
        <f t="shared" si="101"/>
        <v>5.0049523577091355</v>
      </c>
      <c r="V1112" s="30">
        <f t="shared" si="102"/>
        <v>0.47366356164383566</v>
      </c>
      <c r="W1112" s="46">
        <f t="shared" si="100"/>
        <v>-5.1729186950719139E-2</v>
      </c>
      <c r="X1112" s="33">
        <f t="shared" si="103"/>
        <v>2.7960429695531502E-2</v>
      </c>
    </row>
    <row r="1113" spans="19:24" x14ac:dyDescent="0.25">
      <c r="S1113" s="44">
        <f t="shared" si="98"/>
        <v>44163</v>
      </c>
      <c r="T1113" s="12">
        <f t="shared" si="99"/>
        <v>5.1702416127703739</v>
      </c>
      <c r="U1113" s="12">
        <f t="shared" si="101"/>
        <v>5.0023011809843467</v>
      </c>
      <c r="V1113" s="30">
        <f t="shared" si="102"/>
        <v>0.47363616438356165</v>
      </c>
      <c r="W1113" s="46">
        <f t="shared" si="100"/>
        <v>-5.1702416127703731E-2</v>
      </c>
      <c r="X1113" s="33">
        <f t="shared" si="103"/>
        <v>2.796038818325856E-2</v>
      </c>
    </row>
    <row r="1114" spans="19:24" x14ac:dyDescent="0.25">
      <c r="S1114" s="44">
        <f t="shared" si="98"/>
        <v>44164</v>
      </c>
      <c r="T1114" s="12">
        <f t="shared" si="99"/>
        <v>5.167564530468832</v>
      </c>
      <c r="U1114" s="12">
        <f t="shared" si="101"/>
        <v>4.9996500042595562</v>
      </c>
      <c r="V1114" s="30">
        <f t="shared" si="102"/>
        <v>0.4736087671232877</v>
      </c>
      <c r="W1114" s="46">
        <f t="shared" si="100"/>
        <v>-5.1675645304688315E-2</v>
      </c>
      <c r="X1114" s="33">
        <f t="shared" si="103"/>
        <v>2.7960346670985615E-2</v>
      </c>
    </row>
    <row r="1115" spans="19:24" x14ac:dyDescent="0.25">
      <c r="S1115" s="44">
        <f t="shared" si="98"/>
        <v>44165</v>
      </c>
      <c r="T1115" s="12">
        <f t="shared" si="99"/>
        <v>5.1648874481672911</v>
      </c>
      <c r="U1115" s="12">
        <f t="shared" si="101"/>
        <v>4.9969988275347674</v>
      </c>
      <c r="V1115" s="30">
        <f t="shared" si="102"/>
        <v>0.47358136986301369</v>
      </c>
      <c r="W1115" s="46">
        <f t="shared" si="100"/>
        <v>-5.16488744816729E-2</v>
      </c>
      <c r="X1115" s="33">
        <f t="shared" si="103"/>
        <v>2.7960305158712673E-2</v>
      </c>
    </row>
    <row r="1116" spans="19:24" x14ac:dyDescent="0.25">
      <c r="S1116" s="44">
        <f t="shared" si="98"/>
        <v>44166</v>
      </c>
      <c r="T1116" s="12">
        <f t="shared" si="99"/>
        <v>5.1622103658657501</v>
      </c>
      <c r="U1116" s="12">
        <f t="shared" si="101"/>
        <v>4.9943476508099769</v>
      </c>
      <c r="V1116" s="30">
        <f t="shared" si="102"/>
        <v>0.47355397260273979</v>
      </c>
      <c r="W1116" s="46">
        <f t="shared" si="100"/>
        <v>-5.1622103658657492E-2</v>
      </c>
      <c r="X1116" s="33">
        <f t="shared" si="103"/>
        <v>2.7960263646439731E-2</v>
      </c>
    </row>
    <row r="1117" spans="19:24" x14ac:dyDescent="0.25">
      <c r="S1117" s="44">
        <f t="shared" si="98"/>
        <v>44167</v>
      </c>
      <c r="T1117" s="12">
        <f t="shared" si="99"/>
        <v>5.1595332835642083</v>
      </c>
      <c r="U1117" s="12">
        <f t="shared" si="101"/>
        <v>4.9916964740851864</v>
      </c>
      <c r="V1117" s="30">
        <f t="shared" si="102"/>
        <v>0.47352657534246578</v>
      </c>
      <c r="W1117" s="46">
        <f t="shared" si="100"/>
        <v>-5.1595332835642077E-2</v>
      </c>
      <c r="X1117" s="33">
        <f t="shared" si="103"/>
        <v>2.7960222134166785E-2</v>
      </c>
    </row>
    <row r="1118" spans="19:24" x14ac:dyDescent="0.25">
      <c r="S1118" s="44">
        <f t="shared" si="98"/>
        <v>44168</v>
      </c>
      <c r="T1118" s="12">
        <f t="shared" si="99"/>
        <v>5.1568562012626673</v>
      </c>
      <c r="U1118" s="12">
        <f t="shared" si="101"/>
        <v>4.9890452973603985</v>
      </c>
      <c r="V1118" s="30">
        <f t="shared" si="102"/>
        <v>0.47349917808219177</v>
      </c>
      <c r="W1118" s="46">
        <f t="shared" si="100"/>
        <v>-5.1568562012626662E-2</v>
      </c>
      <c r="X1118" s="33">
        <f t="shared" si="103"/>
        <v>2.7960180621893843E-2</v>
      </c>
    </row>
    <row r="1119" spans="19:24" x14ac:dyDescent="0.25">
      <c r="S1119" s="44">
        <f t="shared" si="98"/>
        <v>44169</v>
      </c>
      <c r="T1119" s="12">
        <f t="shared" si="99"/>
        <v>5.1541791189611272</v>
      </c>
      <c r="U1119" s="12">
        <f t="shared" si="101"/>
        <v>4.9863941206356133</v>
      </c>
      <c r="V1119" s="30">
        <f t="shared" si="102"/>
        <v>0.47347178082191782</v>
      </c>
      <c r="W1119" s="46">
        <f t="shared" si="100"/>
        <v>-5.1541791189611268E-2</v>
      </c>
      <c r="X1119" s="33">
        <f t="shared" si="103"/>
        <v>2.7960139109620894E-2</v>
      </c>
    </row>
    <row r="1120" spans="19:24" x14ac:dyDescent="0.25">
      <c r="S1120" s="44">
        <f t="shared" si="98"/>
        <v>44170</v>
      </c>
      <c r="T1120" s="12">
        <f t="shared" si="99"/>
        <v>5.1515020366595836</v>
      </c>
      <c r="U1120" s="12">
        <f t="shared" si="101"/>
        <v>4.983742943910821</v>
      </c>
      <c r="V1120" s="30">
        <f t="shared" si="102"/>
        <v>0.47344438356164387</v>
      </c>
      <c r="W1120" s="46">
        <f t="shared" si="100"/>
        <v>-5.1515020366595832E-2</v>
      </c>
      <c r="X1120" s="33">
        <f t="shared" si="103"/>
        <v>2.7960097597347952E-2</v>
      </c>
    </row>
    <row r="1121" spans="19:24" x14ac:dyDescent="0.25">
      <c r="S1121" s="44">
        <f t="shared" si="98"/>
        <v>44171</v>
      </c>
      <c r="T1121" s="12">
        <f t="shared" si="99"/>
        <v>5.1488249543580453</v>
      </c>
      <c r="U1121" s="12">
        <f t="shared" si="101"/>
        <v>4.9810917671860322</v>
      </c>
      <c r="V1121" s="30">
        <f t="shared" si="102"/>
        <v>0.47341698630136991</v>
      </c>
      <c r="W1121" s="46">
        <f t="shared" si="100"/>
        <v>-5.1488249543580444E-2</v>
      </c>
      <c r="X1121" s="33">
        <f t="shared" si="103"/>
        <v>2.796005608507501E-2</v>
      </c>
    </row>
    <row r="1122" spans="19:24" x14ac:dyDescent="0.25">
      <c r="S1122" s="44">
        <f t="shared" si="98"/>
        <v>44172</v>
      </c>
      <c r="T1122" s="12">
        <f t="shared" si="99"/>
        <v>5.1461478720565026</v>
      </c>
      <c r="U1122" s="12">
        <f t="shared" si="101"/>
        <v>4.9784405904612425</v>
      </c>
      <c r="V1122" s="30">
        <f t="shared" si="102"/>
        <v>0.4733895890410959</v>
      </c>
      <c r="W1122" s="46">
        <f t="shared" si="100"/>
        <v>-5.1461478720565015E-2</v>
      </c>
      <c r="X1122" s="33">
        <f t="shared" si="103"/>
        <v>2.7960014572802065E-2</v>
      </c>
    </row>
    <row r="1123" spans="19:24" x14ac:dyDescent="0.25">
      <c r="S1123" s="44">
        <f t="shared" si="98"/>
        <v>44173</v>
      </c>
      <c r="T1123" s="12">
        <f t="shared" si="99"/>
        <v>5.1434707897549625</v>
      </c>
      <c r="U1123" s="12">
        <f t="shared" si="101"/>
        <v>4.975789413736452</v>
      </c>
      <c r="V1123" s="30">
        <f t="shared" si="102"/>
        <v>0.47336219178082189</v>
      </c>
      <c r="W1123" s="46">
        <f t="shared" si="100"/>
        <v>-5.1434707897549614E-2</v>
      </c>
      <c r="X1123" s="33">
        <f t="shared" si="103"/>
        <v>2.7959973060529116E-2</v>
      </c>
    </row>
    <row r="1124" spans="19:24" x14ac:dyDescent="0.25">
      <c r="S1124" s="44">
        <f t="shared" si="98"/>
        <v>44174</v>
      </c>
      <c r="T1124" s="12">
        <f t="shared" si="99"/>
        <v>5.1407937074534216</v>
      </c>
      <c r="U1124" s="12">
        <f t="shared" si="101"/>
        <v>4.973138237011665</v>
      </c>
      <c r="V1124" s="30">
        <f t="shared" si="102"/>
        <v>0.47333479452054794</v>
      </c>
      <c r="W1124" s="46">
        <f t="shared" si="100"/>
        <v>-5.1407937074534206E-2</v>
      </c>
      <c r="X1124" s="33">
        <f t="shared" si="103"/>
        <v>2.7959931548256173E-2</v>
      </c>
    </row>
    <row r="1125" spans="19:24" x14ac:dyDescent="0.25">
      <c r="S1125" s="44">
        <f t="shared" si="98"/>
        <v>44175</v>
      </c>
      <c r="T1125" s="12">
        <f t="shared" si="99"/>
        <v>5.1381166251518797</v>
      </c>
      <c r="U1125" s="12">
        <f t="shared" si="101"/>
        <v>4.9704870602868745</v>
      </c>
      <c r="V1125" s="30">
        <f t="shared" si="102"/>
        <v>0.47330739726027399</v>
      </c>
      <c r="W1125" s="46">
        <f t="shared" si="100"/>
        <v>-5.1381166251518791E-2</v>
      </c>
      <c r="X1125" s="33">
        <f t="shared" si="103"/>
        <v>2.7959890035983231E-2</v>
      </c>
    </row>
    <row r="1126" spans="19:24" x14ac:dyDescent="0.25">
      <c r="S1126" s="44">
        <f t="shared" si="98"/>
        <v>44176</v>
      </c>
      <c r="T1126" s="12">
        <f t="shared" si="99"/>
        <v>5.135439542850337</v>
      </c>
      <c r="U1126" s="12">
        <f t="shared" si="101"/>
        <v>4.9678358835620848</v>
      </c>
      <c r="V1126" s="30">
        <f t="shared" si="102"/>
        <v>0.47328000000000003</v>
      </c>
      <c r="W1126" s="46">
        <f t="shared" si="100"/>
        <v>-5.1354395428503362E-2</v>
      </c>
      <c r="X1126" s="33">
        <f t="shared" si="103"/>
        <v>2.7959848523710289E-2</v>
      </c>
    </row>
    <row r="1127" spans="19:24" x14ac:dyDescent="0.25">
      <c r="S1127" s="44">
        <f t="shared" ref="S1127:S1190" si="104">+S1126+1</f>
        <v>44177</v>
      </c>
      <c r="T1127" s="12">
        <f t="shared" ref="T1127:T1190" si="105">DurMod(S1127,B$2,$F$7:$G$37,$T$3)</f>
        <v>5.1327624605487969</v>
      </c>
      <c r="U1127" s="12">
        <f t="shared" si="101"/>
        <v>4.9651847068372952</v>
      </c>
      <c r="V1127" s="30">
        <f t="shared" si="102"/>
        <v>0.47325260273972602</v>
      </c>
      <c r="W1127" s="46">
        <f t="shared" ref="W1127:W1190" si="106">+-T1127*($U$3-$T$3)</f>
        <v>-5.1327624605487961E-2</v>
      </c>
      <c r="X1127" s="33">
        <f t="shared" si="103"/>
        <v>2.7959807011437344E-2</v>
      </c>
    </row>
    <row r="1128" spans="19:24" x14ac:dyDescent="0.25">
      <c r="S1128" s="44">
        <f t="shared" si="104"/>
        <v>44178</v>
      </c>
      <c r="T1128" s="12">
        <f t="shared" si="105"/>
        <v>5.1300853782472577</v>
      </c>
      <c r="U1128" s="12">
        <f t="shared" si="101"/>
        <v>4.9625335301125055</v>
      </c>
      <c r="V1128" s="30">
        <f t="shared" si="102"/>
        <v>0.47322520547945202</v>
      </c>
      <c r="W1128" s="46">
        <f t="shared" si="106"/>
        <v>-5.1300853782472566E-2</v>
      </c>
      <c r="X1128" s="33">
        <f t="shared" si="103"/>
        <v>2.7959765499164395E-2</v>
      </c>
    </row>
    <row r="1129" spans="19:24" x14ac:dyDescent="0.25">
      <c r="S1129" s="44">
        <f t="shared" si="104"/>
        <v>44179</v>
      </c>
      <c r="T1129" s="12">
        <f t="shared" si="105"/>
        <v>5.127408295945715</v>
      </c>
      <c r="U1129" s="12">
        <f t="shared" si="101"/>
        <v>4.9598823533877177</v>
      </c>
      <c r="V1129" s="30">
        <f t="shared" si="102"/>
        <v>0.47319780821917812</v>
      </c>
      <c r="W1129" s="46">
        <f t="shared" si="106"/>
        <v>-5.1274082959457144E-2</v>
      </c>
      <c r="X1129" s="33">
        <f t="shared" si="103"/>
        <v>2.795972398689146E-2</v>
      </c>
    </row>
    <row r="1130" spans="19:24" x14ac:dyDescent="0.25">
      <c r="S1130" s="44">
        <f t="shared" si="104"/>
        <v>44180</v>
      </c>
      <c r="T1130" s="12">
        <f t="shared" si="105"/>
        <v>5.4230753909270621</v>
      </c>
      <c r="U1130" s="12">
        <f t="shared" si="101"/>
        <v>5.2616597311496722</v>
      </c>
      <c r="V1130" s="30">
        <f t="shared" si="102"/>
        <v>0.47317041095890411</v>
      </c>
      <c r="W1130" s="46">
        <f t="shared" si="106"/>
        <v>-5.423075390927061E-2</v>
      </c>
      <c r="X1130" s="33">
        <f t="shared" si="103"/>
        <v>2.7761977999839548E-2</v>
      </c>
    </row>
    <row r="1131" spans="19:24" x14ac:dyDescent="0.25">
      <c r="S1131" s="44">
        <f t="shared" si="104"/>
        <v>44181</v>
      </c>
      <c r="T1131" s="12">
        <f t="shared" si="105"/>
        <v>5.4203983086255212</v>
      </c>
      <c r="U1131" s="12">
        <f t="shared" si="101"/>
        <v>5.259008554424879</v>
      </c>
      <c r="V1131" s="30">
        <f t="shared" si="102"/>
        <v>0.47314301369863015</v>
      </c>
      <c r="W1131" s="46">
        <f t="shared" si="106"/>
        <v>-5.4203983086255202E-2</v>
      </c>
      <c r="X1131" s="33">
        <f t="shared" si="103"/>
        <v>2.7761936487566606E-2</v>
      </c>
    </row>
    <row r="1132" spans="19:24" x14ac:dyDescent="0.25">
      <c r="S1132" s="44">
        <f t="shared" si="104"/>
        <v>44182</v>
      </c>
      <c r="T1132" s="12">
        <f t="shared" si="105"/>
        <v>5.4177212263239802</v>
      </c>
      <c r="U1132" s="12">
        <f t="shared" si="101"/>
        <v>5.2563573777000911</v>
      </c>
      <c r="V1132" s="30">
        <f t="shared" si="102"/>
        <v>0.47311561643835615</v>
      </c>
      <c r="W1132" s="46">
        <f t="shared" si="106"/>
        <v>-5.4177212263239793E-2</v>
      </c>
      <c r="X1132" s="33">
        <f t="shared" si="103"/>
        <v>2.7761894975293657E-2</v>
      </c>
    </row>
    <row r="1133" spans="19:24" x14ac:dyDescent="0.25">
      <c r="S1133" s="44">
        <f t="shared" si="104"/>
        <v>44183</v>
      </c>
      <c r="T1133" s="12">
        <f t="shared" si="105"/>
        <v>5.4150441440224384</v>
      </c>
      <c r="U1133" s="12">
        <f t="shared" si="101"/>
        <v>5.2537062009753006</v>
      </c>
      <c r="V1133" s="30">
        <f t="shared" si="102"/>
        <v>0.47308821917808219</v>
      </c>
      <c r="W1133" s="46">
        <f t="shared" si="106"/>
        <v>-5.4150441440224378E-2</v>
      </c>
      <c r="X1133" s="33">
        <f t="shared" si="103"/>
        <v>2.7761853463020712E-2</v>
      </c>
    </row>
    <row r="1134" spans="19:24" x14ac:dyDescent="0.25">
      <c r="S1134" s="44">
        <f t="shared" si="104"/>
        <v>44184</v>
      </c>
      <c r="T1134" s="12">
        <f t="shared" si="105"/>
        <v>5.4123670617208965</v>
      </c>
      <c r="U1134" s="12">
        <f t="shared" si="101"/>
        <v>5.2510550242505136</v>
      </c>
      <c r="V1134" s="30">
        <f t="shared" si="102"/>
        <v>0.47306082191780824</v>
      </c>
      <c r="W1134" s="46">
        <f t="shared" si="106"/>
        <v>-5.4123670617208956E-2</v>
      </c>
      <c r="X1134" s="33">
        <f t="shared" si="103"/>
        <v>2.7761811950747776E-2</v>
      </c>
    </row>
    <row r="1135" spans="19:24" x14ac:dyDescent="0.25">
      <c r="S1135" s="44">
        <f t="shared" si="104"/>
        <v>44185</v>
      </c>
      <c r="T1135" s="12">
        <f t="shared" si="105"/>
        <v>5.4096899794193565</v>
      </c>
      <c r="U1135" s="12">
        <f t="shared" si="101"/>
        <v>5.2484038475257222</v>
      </c>
      <c r="V1135" s="30">
        <f t="shared" si="102"/>
        <v>0.47303342465753428</v>
      </c>
      <c r="W1135" s="46">
        <f t="shared" si="106"/>
        <v>-5.4096899794193555E-2</v>
      </c>
      <c r="X1135" s="33">
        <f t="shared" si="103"/>
        <v>2.7761770438474827E-2</v>
      </c>
    </row>
    <row r="1136" spans="19:24" x14ac:dyDescent="0.25">
      <c r="S1136" s="44">
        <f t="shared" si="104"/>
        <v>44186</v>
      </c>
      <c r="T1136" s="12">
        <f t="shared" si="105"/>
        <v>5.4070128971178155</v>
      </c>
      <c r="U1136" s="12">
        <f t="shared" si="101"/>
        <v>5.2457526708009325</v>
      </c>
      <c r="V1136" s="30">
        <f t="shared" si="102"/>
        <v>0.47300602739726028</v>
      </c>
      <c r="W1136" s="46">
        <f t="shared" si="106"/>
        <v>-5.4070128971178147E-2</v>
      </c>
      <c r="X1136" s="33">
        <f t="shared" si="103"/>
        <v>2.7761728926201885E-2</v>
      </c>
    </row>
    <row r="1137" spans="19:24" x14ac:dyDescent="0.25">
      <c r="S1137" s="44">
        <f t="shared" si="104"/>
        <v>44187</v>
      </c>
      <c r="T1137" s="12">
        <f t="shared" si="105"/>
        <v>5.4043358148162746</v>
      </c>
      <c r="U1137" s="12">
        <f t="shared" si="101"/>
        <v>5.2431014940761429</v>
      </c>
      <c r="V1137" s="30">
        <f t="shared" si="102"/>
        <v>0.47297863013698627</v>
      </c>
      <c r="W1137" s="46">
        <f t="shared" si="106"/>
        <v>-5.4043358148162739E-2</v>
      </c>
      <c r="X1137" s="33">
        <f t="shared" si="103"/>
        <v>2.776168741392894E-2</v>
      </c>
    </row>
    <row r="1138" spans="19:24" x14ac:dyDescent="0.25">
      <c r="S1138" s="44">
        <f t="shared" si="104"/>
        <v>44188</v>
      </c>
      <c r="T1138" s="12">
        <f t="shared" si="105"/>
        <v>5.4016587325147327</v>
      </c>
      <c r="U1138" s="12">
        <f t="shared" si="101"/>
        <v>5.2404503173513541</v>
      </c>
      <c r="V1138" s="30">
        <f t="shared" si="102"/>
        <v>0.47295123287671237</v>
      </c>
      <c r="W1138" s="46">
        <f t="shared" si="106"/>
        <v>-5.4016587325147317E-2</v>
      </c>
      <c r="X1138" s="33">
        <f t="shared" si="103"/>
        <v>2.7761645901656001E-2</v>
      </c>
    </row>
    <row r="1139" spans="19:24" x14ac:dyDescent="0.25">
      <c r="S1139" s="44">
        <f t="shared" si="104"/>
        <v>44189</v>
      </c>
      <c r="T1139" s="12">
        <f t="shared" si="105"/>
        <v>5.3989816502131909</v>
      </c>
      <c r="U1139" s="12">
        <f t="shared" si="101"/>
        <v>5.2377991406265636</v>
      </c>
      <c r="V1139" s="30">
        <f t="shared" si="102"/>
        <v>0.47292383561643836</v>
      </c>
      <c r="W1139" s="46">
        <f t="shared" si="106"/>
        <v>-5.3989816502131902E-2</v>
      </c>
      <c r="X1139" s="33">
        <f t="shared" si="103"/>
        <v>2.7761604389383056E-2</v>
      </c>
    </row>
    <row r="1140" spans="19:24" x14ac:dyDescent="0.25">
      <c r="S1140" s="44">
        <f t="shared" si="104"/>
        <v>44190</v>
      </c>
      <c r="T1140" s="12">
        <f t="shared" si="105"/>
        <v>5.3963045679116517</v>
      </c>
      <c r="U1140" s="12">
        <f t="shared" si="101"/>
        <v>5.2351479639017766</v>
      </c>
      <c r="V1140" s="30">
        <f t="shared" si="102"/>
        <v>0.47289643835616435</v>
      </c>
      <c r="W1140" s="46">
        <f t="shared" si="106"/>
        <v>-5.3963045679116507E-2</v>
      </c>
      <c r="X1140" s="33">
        <f t="shared" si="103"/>
        <v>2.7761562877110103E-2</v>
      </c>
    </row>
    <row r="1141" spans="19:24" x14ac:dyDescent="0.25">
      <c r="S1141" s="44">
        <f t="shared" si="104"/>
        <v>44191</v>
      </c>
      <c r="T1141" s="12">
        <f t="shared" si="105"/>
        <v>5.3936274856101107</v>
      </c>
      <c r="U1141" s="12">
        <f t="shared" si="101"/>
        <v>5.2324967871769861</v>
      </c>
      <c r="V1141" s="30">
        <f t="shared" si="102"/>
        <v>0.4728690410958904</v>
      </c>
      <c r="W1141" s="46">
        <f t="shared" si="106"/>
        <v>-5.3936274856101099E-2</v>
      </c>
      <c r="X1141" s="33">
        <f t="shared" si="103"/>
        <v>2.7761521364837165E-2</v>
      </c>
    </row>
    <row r="1142" spans="19:24" x14ac:dyDescent="0.25">
      <c r="S1142" s="44">
        <f t="shared" si="104"/>
        <v>44192</v>
      </c>
      <c r="T1142" s="12">
        <f t="shared" si="105"/>
        <v>5.3909504033085698</v>
      </c>
      <c r="U1142" s="12">
        <f t="shared" si="101"/>
        <v>5.2298456104521973</v>
      </c>
      <c r="V1142" s="30">
        <f t="shared" si="102"/>
        <v>0.47284164383561644</v>
      </c>
      <c r="W1142" s="46">
        <f t="shared" si="106"/>
        <v>-5.3909504033085691E-2</v>
      </c>
      <c r="X1142" s="33">
        <f t="shared" si="103"/>
        <v>2.7761479852564219E-2</v>
      </c>
    </row>
    <row r="1143" spans="19:24" x14ac:dyDescent="0.25">
      <c r="S1143" s="44">
        <f t="shared" si="104"/>
        <v>44193</v>
      </c>
      <c r="T1143" s="12">
        <f t="shared" si="105"/>
        <v>5.3882733210070271</v>
      </c>
      <c r="U1143" s="12">
        <f t="shared" si="101"/>
        <v>5.2271944337274086</v>
      </c>
      <c r="V1143" s="30">
        <f t="shared" si="102"/>
        <v>0.47281424657534249</v>
      </c>
      <c r="W1143" s="46">
        <f t="shared" si="106"/>
        <v>-5.3882733210070262E-2</v>
      </c>
      <c r="X1143" s="33">
        <f t="shared" si="103"/>
        <v>2.7761438340291281E-2</v>
      </c>
    </row>
    <row r="1144" spans="19:24" x14ac:dyDescent="0.25">
      <c r="S1144" s="44">
        <f t="shared" si="104"/>
        <v>44194</v>
      </c>
      <c r="T1144" s="12">
        <f t="shared" si="105"/>
        <v>5.3855962387054861</v>
      </c>
      <c r="U1144" s="12">
        <f t="shared" si="101"/>
        <v>5.224543257002618</v>
      </c>
      <c r="V1144" s="30">
        <f t="shared" si="102"/>
        <v>0.47278684931506848</v>
      </c>
      <c r="W1144" s="46">
        <f t="shared" si="106"/>
        <v>-5.3855962387054854E-2</v>
      </c>
      <c r="X1144" s="33">
        <f t="shared" si="103"/>
        <v>2.7761396828018328E-2</v>
      </c>
    </row>
    <row r="1145" spans="19:24" x14ac:dyDescent="0.25">
      <c r="S1145" s="44">
        <f t="shared" si="104"/>
        <v>44195</v>
      </c>
      <c r="T1145" s="12">
        <f t="shared" si="105"/>
        <v>5.3829191564039434</v>
      </c>
      <c r="U1145" s="12">
        <f t="shared" si="101"/>
        <v>5.2218920802778293</v>
      </c>
      <c r="V1145" s="30">
        <f t="shared" si="102"/>
        <v>0.47275945205479453</v>
      </c>
      <c r="W1145" s="46">
        <f t="shared" si="106"/>
        <v>-5.3829191564039425E-2</v>
      </c>
      <c r="X1145" s="33">
        <f t="shared" si="103"/>
        <v>2.7761355315745393E-2</v>
      </c>
    </row>
    <row r="1146" spans="19:24" x14ac:dyDescent="0.25">
      <c r="S1146" s="44">
        <f t="shared" si="104"/>
        <v>44196</v>
      </c>
      <c r="T1146" s="12">
        <f t="shared" si="105"/>
        <v>5.3802420741024051</v>
      </c>
      <c r="U1146" s="12">
        <f t="shared" si="101"/>
        <v>5.2192409035530405</v>
      </c>
      <c r="V1146" s="30">
        <f t="shared" si="102"/>
        <v>0.47273205479452052</v>
      </c>
      <c r="W1146" s="46">
        <f t="shared" si="106"/>
        <v>-5.3802420741024044E-2</v>
      </c>
      <c r="X1146" s="33">
        <f t="shared" si="103"/>
        <v>2.7761313803472444E-2</v>
      </c>
    </row>
    <row r="1147" spans="19:24" x14ac:dyDescent="0.25">
      <c r="S1147" s="44">
        <f t="shared" si="104"/>
        <v>44197</v>
      </c>
      <c r="T1147" s="12">
        <f t="shared" si="105"/>
        <v>5.3775649918008606</v>
      </c>
      <c r="U1147" s="12">
        <f t="shared" si="101"/>
        <v>5.2165897268282526</v>
      </c>
      <c r="V1147" s="30">
        <f t="shared" si="102"/>
        <v>0.47270465753424662</v>
      </c>
      <c r="W1147" s="46">
        <f t="shared" si="106"/>
        <v>-5.3775649918008595E-2</v>
      </c>
      <c r="X1147" s="33">
        <f t="shared" si="103"/>
        <v>2.7761272291199509E-2</v>
      </c>
    </row>
    <row r="1148" spans="19:24" x14ac:dyDescent="0.25">
      <c r="S1148" s="44">
        <f t="shared" si="104"/>
        <v>44198</v>
      </c>
      <c r="T1148" s="12">
        <f t="shared" si="105"/>
        <v>5.3748879094993214</v>
      </c>
      <c r="U1148" s="12">
        <f t="shared" si="101"/>
        <v>5.2139385501034612</v>
      </c>
      <c r="V1148" s="30">
        <f t="shared" si="102"/>
        <v>0.47267726027397261</v>
      </c>
      <c r="W1148" s="46">
        <f t="shared" si="106"/>
        <v>-5.3748879094993207E-2</v>
      </c>
      <c r="X1148" s="33">
        <f t="shared" si="103"/>
        <v>2.7761230778926557E-2</v>
      </c>
    </row>
    <row r="1149" spans="19:24" x14ac:dyDescent="0.25">
      <c r="S1149" s="44">
        <f t="shared" si="104"/>
        <v>44199</v>
      </c>
      <c r="T1149" s="12">
        <f t="shared" si="105"/>
        <v>5.3722108271977795</v>
      </c>
      <c r="U1149" s="12">
        <f t="shared" si="101"/>
        <v>5.2112873733786724</v>
      </c>
      <c r="V1149" s="30">
        <f t="shared" si="102"/>
        <v>0.4726498630136986</v>
      </c>
      <c r="W1149" s="46">
        <f t="shared" si="106"/>
        <v>-5.3722108271977785E-2</v>
      </c>
      <c r="X1149" s="33">
        <f t="shared" si="103"/>
        <v>2.7761189266653614E-2</v>
      </c>
    </row>
    <row r="1150" spans="19:24" x14ac:dyDescent="0.25">
      <c r="S1150" s="44">
        <f t="shared" si="104"/>
        <v>44200</v>
      </c>
      <c r="T1150" s="12">
        <f t="shared" si="105"/>
        <v>5.3695337448962395</v>
      </c>
      <c r="U1150" s="12">
        <f t="shared" si="101"/>
        <v>5.2086361966538819</v>
      </c>
      <c r="V1150" s="30">
        <f t="shared" si="102"/>
        <v>0.47262246575342465</v>
      </c>
      <c r="W1150" s="46">
        <f t="shared" si="106"/>
        <v>-5.3695337448962384E-2</v>
      </c>
      <c r="X1150" s="33">
        <f t="shared" si="103"/>
        <v>2.7761147754380672E-2</v>
      </c>
    </row>
    <row r="1151" spans="19:24" x14ac:dyDescent="0.25">
      <c r="S1151" s="44">
        <f t="shared" si="104"/>
        <v>44201</v>
      </c>
      <c r="T1151" s="12">
        <f t="shared" si="105"/>
        <v>5.3668566625946976</v>
      </c>
      <c r="U1151" s="12">
        <f t="shared" si="101"/>
        <v>5.2059850199290931</v>
      </c>
      <c r="V1151" s="30">
        <f t="shared" si="102"/>
        <v>0.47259506849315064</v>
      </c>
      <c r="W1151" s="46">
        <f t="shared" si="106"/>
        <v>-5.3668566625946969E-2</v>
      </c>
      <c r="X1151" s="33">
        <f t="shared" si="103"/>
        <v>2.776110624210772E-2</v>
      </c>
    </row>
    <row r="1152" spans="19:24" x14ac:dyDescent="0.25">
      <c r="S1152" s="44">
        <f t="shared" si="104"/>
        <v>44202</v>
      </c>
      <c r="T1152" s="12">
        <f t="shared" si="105"/>
        <v>5.3641795802931576</v>
      </c>
      <c r="U1152" s="12">
        <f t="shared" si="101"/>
        <v>5.2033338432043044</v>
      </c>
      <c r="V1152" s="30">
        <f t="shared" si="102"/>
        <v>0.47256767123287668</v>
      </c>
      <c r="W1152" s="46">
        <f t="shared" si="106"/>
        <v>-5.3641795802931568E-2</v>
      </c>
      <c r="X1152" s="33">
        <f t="shared" si="103"/>
        <v>2.7761064729834781E-2</v>
      </c>
    </row>
    <row r="1153" spans="19:24" x14ac:dyDescent="0.25">
      <c r="S1153" s="44">
        <f t="shared" si="104"/>
        <v>44203</v>
      </c>
      <c r="T1153" s="12">
        <f t="shared" si="105"/>
        <v>5.3615024979916157</v>
      </c>
      <c r="U1153" s="12">
        <f t="shared" si="101"/>
        <v>5.2006826664795138</v>
      </c>
      <c r="V1153" s="30">
        <f t="shared" si="102"/>
        <v>0.47254027397260273</v>
      </c>
      <c r="W1153" s="46">
        <f t="shared" si="106"/>
        <v>-5.3615024979916152E-2</v>
      </c>
      <c r="X1153" s="33">
        <f t="shared" si="103"/>
        <v>2.7761023217561836E-2</v>
      </c>
    </row>
    <row r="1154" spans="19:24" x14ac:dyDescent="0.25">
      <c r="S1154" s="44">
        <f t="shared" si="104"/>
        <v>44204</v>
      </c>
      <c r="T1154" s="12">
        <f t="shared" si="105"/>
        <v>5.3588254156900739</v>
      </c>
      <c r="U1154" s="12">
        <f t="shared" si="101"/>
        <v>5.1980314897547251</v>
      </c>
      <c r="V1154" s="30">
        <f t="shared" si="102"/>
        <v>0.47251287671232878</v>
      </c>
      <c r="W1154" s="46">
        <f t="shared" si="106"/>
        <v>-5.358825415690073E-2</v>
      </c>
      <c r="X1154" s="33">
        <f t="shared" si="103"/>
        <v>2.7760981705288901E-2</v>
      </c>
    </row>
    <row r="1155" spans="19:24" x14ac:dyDescent="0.25">
      <c r="S1155" s="44">
        <f t="shared" si="104"/>
        <v>44205</v>
      </c>
      <c r="T1155" s="12">
        <f t="shared" si="105"/>
        <v>5.3561483333885338</v>
      </c>
      <c r="U1155" s="12">
        <f t="shared" si="101"/>
        <v>5.1953803130299363</v>
      </c>
      <c r="V1155" s="30">
        <f t="shared" si="102"/>
        <v>0.47248547945205477</v>
      </c>
      <c r="W1155" s="46">
        <f t="shared" si="106"/>
        <v>-5.3561483333885329E-2</v>
      </c>
      <c r="X1155" s="33">
        <f t="shared" si="103"/>
        <v>2.7760940193015948E-2</v>
      </c>
    </row>
    <row r="1156" spans="19:24" x14ac:dyDescent="0.25">
      <c r="S1156" s="44">
        <f t="shared" si="104"/>
        <v>44206</v>
      </c>
      <c r="T1156" s="12">
        <f t="shared" si="105"/>
        <v>5.3534712510869911</v>
      </c>
      <c r="U1156" s="12">
        <f t="shared" si="101"/>
        <v>5.1927291363051475</v>
      </c>
      <c r="V1156" s="30">
        <f t="shared" si="102"/>
        <v>0.47245808219178081</v>
      </c>
      <c r="W1156" s="46">
        <f t="shared" si="106"/>
        <v>-5.35347125108699E-2</v>
      </c>
      <c r="X1156" s="33">
        <f t="shared" si="103"/>
        <v>2.776089868074301E-2</v>
      </c>
    </row>
    <row r="1157" spans="19:24" x14ac:dyDescent="0.25">
      <c r="S1157" s="44">
        <f t="shared" si="104"/>
        <v>44207</v>
      </c>
      <c r="T1157" s="12">
        <f t="shared" si="105"/>
        <v>5.3507941687854492</v>
      </c>
      <c r="U1157" s="12">
        <f t="shared" ref="U1157:U1220" si="107">DurMod($S1157,$B$2,$F$7:$G$37,U$3)</f>
        <v>5.1900779595803579</v>
      </c>
      <c r="V1157" s="30">
        <f t="shared" ref="V1157:V1220" si="108">+$U$3*($S$5512-S1157)/365+$T$3*(S1157-$S$4)/365</f>
        <v>0.47243068493150686</v>
      </c>
      <c r="W1157" s="46">
        <f t="shared" si="106"/>
        <v>-5.3507941687854485E-2</v>
      </c>
      <c r="X1157" s="33">
        <f t="shared" ref="X1157:X1220" si="109">+(V1157+W1157)*365/($S$5512-$S$4)</f>
        <v>2.7760857168470064E-2</v>
      </c>
    </row>
    <row r="1158" spans="19:24" x14ac:dyDescent="0.25">
      <c r="S1158" s="44">
        <f t="shared" si="104"/>
        <v>44208</v>
      </c>
      <c r="T1158" s="12">
        <f t="shared" si="105"/>
        <v>5.34811708648391</v>
      </c>
      <c r="U1158" s="12">
        <f t="shared" si="107"/>
        <v>5.1874267828555709</v>
      </c>
      <c r="V1158" s="30">
        <f t="shared" si="108"/>
        <v>0.47240328767123285</v>
      </c>
      <c r="W1158" s="46">
        <f t="shared" si="106"/>
        <v>-5.3481170864839091E-2</v>
      </c>
      <c r="X1158" s="33">
        <f t="shared" si="109"/>
        <v>2.7760815656197115E-2</v>
      </c>
    </row>
    <row r="1159" spans="19:24" x14ac:dyDescent="0.25">
      <c r="S1159" s="44">
        <f t="shared" si="104"/>
        <v>44209</v>
      </c>
      <c r="T1159" s="12">
        <f t="shared" si="105"/>
        <v>5.3454400041823691</v>
      </c>
      <c r="U1159" s="12">
        <f t="shared" si="107"/>
        <v>5.1847756061307795</v>
      </c>
      <c r="V1159" s="30">
        <f t="shared" si="108"/>
        <v>0.47237589041095884</v>
      </c>
      <c r="W1159" s="46">
        <f t="shared" si="106"/>
        <v>-5.3454400041823683E-2</v>
      </c>
      <c r="X1159" s="33">
        <f t="shared" si="109"/>
        <v>2.7760774143924173E-2</v>
      </c>
    </row>
    <row r="1160" spans="19:24" x14ac:dyDescent="0.25">
      <c r="S1160" s="44">
        <f t="shared" si="104"/>
        <v>44210</v>
      </c>
      <c r="T1160" s="12">
        <f t="shared" si="105"/>
        <v>5.3427629218808281</v>
      </c>
      <c r="U1160" s="12">
        <f t="shared" si="107"/>
        <v>5.1821244294059916</v>
      </c>
      <c r="V1160" s="30">
        <f t="shared" si="108"/>
        <v>0.47234849315068489</v>
      </c>
      <c r="W1160" s="46">
        <f t="shared" si="106"/>
        <v>-5.3427629218808274E-2</v>
      </c>
      <c r="X1160" s="33">
        <f t="shared" si="109"/>
        <v>2.7760732631651228E-2</v>
      </c>
    </row>
    <row r="1161" spans="19:24" x14ac:dyDescent="0.25">
      <c r="S1161" s="44">
        <f t="shared" si="104"/>
        <v>44211</v>
      </c>
      <c r="T1161" s="12">
        <f t="shared" si="105"/>
        <v>5.3400858395792854</v>
      </c>
      <c r="U1161" s="12">
        <f t="shared" si="107"/>
        <v>5.1794732526812011</v>
      </c>
      <c r="V1161" s="30">
        <f t="shared" si="108"/>
        <v>0.47232109589041094</v>
      </c>
      <c r="W1161" s="46">
        <f t="shared" si="106"/>
        <v>-5.3400858395792845E-2</v>
      </c>
      <c r="X1161" s="33">
        <f t="shared" si="109"/>
        <v>2.7760691119378286E-2</v>
      </c>
    </row>
    <row r="1162" spans="19:24" x14ac:dyDescent="0.25">
      <c r="S1162" s="44">
        <f t="shared" si="104"/>
        <v>44212</v>
      </c>
      <c r="T1162" s="12">
        <f t="shared" si="105"/>
        <v>5.3374087572777427</v>
      </c>
      <c r="U1162" s="12">
        <f t="shared" si="107"/>
        <v>5.1768220759564114</v>
      </c>
      <c r="V1162" s="30">
        <f t="shared" si="108"/>
        <v>0.47229369863013698</v>
      </c>
      <c r="W1162" s="46">
        <f t="shared" si="106"/>
        <v>-5.3374087572777416E-2</v>
      </c>
      <c r="X1162" s="33">
        <f t="shared" si="109"/>
        <v>2.7760649607105347E-2</v>
      </c>
    </row>
    <row r="1163" spans="19:24" x14ac:dyDescent="0.25">
      <c r="S1163" s="44">
        <f t="shared" si="104"/>
        <v>44213</v>
      </c>
      <c r="T1163" s="12">
        <f t="shared" si="105"/>
        <v>5.3347316749762044</v>
      </c>
      <c r="U1163" s="12">
        <f t="shared" si="107"/>
        <v>5.1741708992316209</v>
      </c>
      <c r="V1163" s="30">
        <f t="shared" si="108"/>
        <v>0.47226630136986297</v>
      </c>
      <c r="W1163" s="46">
        <f t="shared" si="106"/>
        <v>-5.3347316749762036E-2</v>
      </c>
      <c r="X1163" s="33">
        <f t="shared" si="109"/>
        <v>2.7760608094832395E-2</v>
      </c>
    </row>
    <row r="1164" spans="19:24" x14ac:dyDescent="0.25">
      <c r="S1164" s="44">
        <f t="shared" si="104"/>
        <v>44214</v>
      </c>
      <c r="T1164" s="12">
        <f t="shared" si="105"/>
        <v>5.3320545926746616</v>
      </c>
      <c r="U1164" s="12">
        <f t="shared" si="107"/>
        <v>5.171519722506833</v>
      </c>
      <c r="V1164" s="30">
        <f t="shared" si="108"/>
        <v>0.47223890410958902</v>
      </c>
      <c r="W1164" s="46">
        <f t="shared" si="106"/>
        <v>-5.3320545926746607E-2</v>
      </c>
      <c r="X1164" s="33">
        <f t="shared" si="109"/>
        <v>2.7760566582559452E-2</v>
      </c>
    </row>
    <row r="1165" spans="19:24" x14ac:dyDescent="0.25">
      <c r="S1165" s="44">
        <f t="shared" si="104"/>
        <v>44215</v>
      </c>
      <c r="T1165" s="12">
        <f t="shared" si="105"/>
        <v>5.3293775103731216</v>
      </c>
      <c r="U1165" s="12">
        <f t="shared" si="107"/>
        <v>5.1688685457820451</v>
      </c>
      <c r="V1165" s="30">
        <f t="shared" si="108"/>
        <v>0.47221150684931507</v>
      </c>
      <c r="W1165" s="46">
        <f t="shared" si="106"/>
        <v>-5.3293775103731206E-2</v>
      </c>
      <c r="X1165" s="33">
        <f t="shared" si="109"/>
        <v>2.776052507028651E-2</v>
      </c>
    </row>
    <row r="1166" spans="19:24" x14ac:dyDescent="0.25">
      <c r="S1166" s="44">
        <f t="shared" si="104"/>
        <v>44216</v>
      </c>
      <c r="T1166" s="12">
        <f t="shared" si="105"/>
        <v>5.3267004280715806</v>
      </c>
      <c r="U1166" s="12">
        <f t="shared" si="107"/>
        <v>5.1662173690572537</v>
      </c>
      <c r="V1166" s="30">
        <f t="shared" si="108"/>
        <v>0.47218410958904111</v>
      </c>
      <c r="W1166" s="46">
        <f t="shared" si="106"/>
        <v>-5.3267004280715798E-2</v>
      </c>
      <c r="X1166" s="33">
        <f t="shared" si="109"/>
        <v>2.7760483558013568E-2</v>
      </c>
    </row>
    <row r="1167" spans="19:24" x14ac:dyDescent="0.25">
      <c r="S1167" s="44">
        <f t="shared" si="104"/>
        <v>44217</v>
      </c>
      <c r="T1167" s="12">
        <f t="shared" si="105"/>
        <v>5.3240233457700405</v>
      </c>
      <c r="U1167" s="12">
        <f t="shared" si="107"/>
        <v>5.1635661923324641</v>
      </c>
      <c r="V1167" s="30">
        <f t="shared" si="108"/>
        <v>0.4721567123287671</v>
      </c>
      <c r="W1167" s="46">
        <f t="shared" si="106"/>
        <v>-5.3240233457700396E-2</v>
      </c>
      <c r="X1167" s="33">
        <f t="shared" si="109"/>
        <v>2.7760442045740623E-2</v>
      </c>
    </row>
    <row r="1168" spans="19:24" x14ac:dyDescent="0.25">
      <c r="S1168" s="44">
        <f t="shared" si="104"/>
        <v>44218</v>
      </c>
      <c r="T1168" s="12">
        <f t="shared" si="105"/>
        <v>5.3213462634684978</v>
      </c>
      <c r="U1168" s="12">
        <f t="shared" si="107"/>
        <v>5.1609150156076771</v>
      </c>
      <c r="V1168" s="30">
        <f t="shared" si="108"/>
        <v>0.47212931506849309</v>
      </c>
      <c r="W1168" s="46">
        <f t="shared" si="106"/>
        <v>-5.3213462634684967E-2</v>
      </c>
      <c r="X1168" s="33">
        <f t="shared" si="109"/>
        <v>2.7760400533467674E-2</v>
      </c>
    </row>
    <row r="1169" spans="19:24" x14ac:dyDescent="0.25">
      <c r="S1169" s="44">
        <f t="shared" si="104"/>
        <v>44219</v>
      </c>
      <c r="T1169" s="12">
        <f t="shared" si="105"/>
        <v>5.3186691811669551</v>
      </c>
      <c r="U1169" s="12">
        <f t="shared" si="107"/>
        <v>5.1582638388828883</v>
      </c>
      <c r="V1169" s="30">
        <f t="shared" si="108"/>
        <v>0.47210191780821914</v>
      </c>
      <c r="W1169" s="46">
        <f t="shared" si="106"/>
        <v>-5.3186691811669545E-2</v>
      </c>
      <c r="X1169" s="33">
        <f t="shared" si="109"/>
        <v>2.7760359021194739E-2</v>
      </c>
    </row>
    <row r="1170" spans="19:24" x14ac:dyDescent="0.25">
      <c r="S1170" s="44">
        <f t="shared" si="104"/>
        <v>44220</v>
      </c>
      <c r="T1170" s="12">
        <f t="shared" si="105"/>
        <v>5.3159920988654159</v>
      </c>
      <c r="U1170" s="12">
        <f t="shared" si="107"/>
        <v>5.1556126621580978</v>
      </c>
      <c r="V1170" s="30">
        <f t="shared" si="108"/>
        <v>0.47207452054794519</v>
      </c>
      <c r="W1170" s="46">
        <f t="shared" si="106"/>
        <v>-5.3159920988654151E-2</v>
      </c>
      <c r="X1170" s="33">
        <f t="shared" si="109"/>
        <v>2.776031750892179E-2</v>
      </c>
    </row>
    <row r="1171" spans="19:24" x14ac:dyDescent="0.25">
      <c r="S1171" s="44">
        <f t="shared" si="104"/>
        <v>44221</v>
      </c>
      <c r="T1171" s="12">
        <f t="shared" si="105"/>
        <v>5.3133150165638732</v>
      </c>
      <c r="U1171" s="12">
        <f t="shared" si="107"/>
        <v>5.1529614854333072</v>
      </c>
      <c r="V1171" s="30">
        <f t="shared" si="108"/>
        <v>0.47204712328767118</v>
      </c>
      <c r="W1171" s="46">
        <f t="shared" si="106"/>
        <v>-5.3133150165638722E-2</v>
      </c>
      <c r="X1171" s="33">
        <f t="shared" si="109"/>
        <v>2.7760275996648844E-2</v>
      </c>
    </row>
    <row r="1172" spans="19:24" x14ac:dyDescent="0.25">
      <c r="S1172" s="44">
        <f t="shared" si="104"/>
        <v>44222</v>
      </c>
      <c r="T1172" s="12">
        <f t="shared" si="105"/>
        <v>5.3106379342623331</v>
      </c>
      <c r="U1172" s="12">
        <f t="shared" si="107"/>
        <v>5.1503103087085202</v>
      </c>
      <c r="V1172" s="30">
        <f t="shared" si="108"/>
        <v>0.47201972602739722</v>
      </c>
      <c r="W1172" s="46">
        <f t="shared" si="106"/>
        <v>-5.3106379342623321E-2</v>
      </c>
      <c r="X1172" s="33">
        <f t="shared" si="109"/>
        <v>2.7760234484375902E-2</v>
      </c>
    </row>
    <row r="1173" spans="19:24" x14ac:dyDescent="0.25">
      <c r="S1173" s="44">
        <f t="shared" si="104"/>
        <v>44223</v>
      </c>
      <c r="T1173" s="12">
        <f t="shared" si="105"/>
        <v>5.3079608519607913</v>
      </c>
      <c r="U1173" s="12">
        <f t="shared" si="107"/>
        <v>5.1476591319837297</v>
      </c>
      <c r="V1173" s="30">
        <f t="shared" si="108"/>
        <v>0.47199232876712327</v>
      </c>
      <c r="W1173" s="46">
        <f t="shared" si="106"/>
        <v>-5.3079608519607906E-2</v>
      </c>
      <c r="X1173" s="33">
        <f t="shared" si="109"/>
        <v>2.776019297210296E-2</v>
      </c>
    </row>
    <row r="1174" spans="19:24" x14ac:dyDescent="0.25">
      <c r="S1174" s="44">
        <f t="shared" si="104"/>
        <v>44224</v>
      </c>
      <c r="T1174" s="12">
        <f t="shared" si="105"/>
        <v>5.3052837696592503</v>
      </c>
      <c r="U1174" s="12">
        <f t="shared" si="107"/>
        <v>5.1450079552589392</v>
      </c>
      <c r="V1174" s="30">
        <f t="shared" si="108"/>
        <v>0.47196493150684932</v>
      </c>
      <c r="W1174" s="46">
        <f t="shared" si="106"/>
        <v>-5.3052837696592497E-2</v>
      </c>
      <c r="X1174" s="33">
        <f t="shared" si="109"/>
        <v>2.7760151459830018E-2</v>
      </c>
    </row>
    <row r="1175" spans="19:24" x14ac:dyDescent="0.25">
      <c r="S1175" s="44">
        <f t="shared" si="104"/>
        <v>44225</v>
      </c>
      <c r="T1175" s="12">
        <f t="shared" si="105"/>
        <v>5.3026066873577102</v>
      </c>
      <c r="U1175" s="12">
        <f t="shared" si="107"/>
        <v>5.1423567785341513</v>
      </c>
      <c r="V1175" s="30">
        <f t="shared" si="108"/>
        <v>0.47193753424657531</v>
      </c>
      <c r="W1175" s="46">
        <f t="shared" si="106"/>
        <v>-5.3026066873577096E-2</v>
      </c>
      <c r="X1175" s="33">
        <f t="shared" si="109"/>
        <v>2.7760109947557073E-2</v>
      </c>
    </row>
    <row r="1176" spans="19:24" x14ac:dyDescent="0.25">
      <c r="S1176" s="44">
        <f t="shared" si="104"/>
        <v>44226</v>
      </c>
      <c r="T1176" s="12">
        <f t="shared" si="105"/>
        <v>5.2999296050561657</v>
      </c>
      <c r="U1176" s="12">
        <f t="shared" si="107"/>
        <v>5.1397056018093616</v>
      </c>
      <c r="V1176" s="30">
        <f t="shared" si="108"/>
        <v>0.47191013698630135</v>
      </c>
      <c r="W1176" s="46">
        <f t="shared" si="106"/>
        <v>-5.2999296050561646E-2</v>
      </c>
      <c r="X1176" s="33">
        <f t="shared" si="109"/>
        <v>2.7760068435284131E-2</v>
      </c>
    </row>
    <row r="1177" spans="19:24" x14ac:dyDescent="0.25">
      <c r="S1177" s="44">
        <f t="shared" si="104"/>
        <v>44227</v>
      </c>
      <c r="T1177" s="12">
        <f t="shared" si="105"/>
        <v>5.2972525227546265</v>
      </c>
      <c r="U1177" s="12">
        <f t="shared" si="107"/>
        <v>5.137054425084572</v>
      </c>
      <c r="V1177" s="30">
        <f t="shared" si="108"/>
        <v>0.47188273972602734</v>
      </c>
      <c r="W1177" s="46">
        <f t="shared" si="106"/>
        <v>-5.2972525227546259E-2</v>
      </c>
      <c r="X1177" s="33">
        <f t="shared" si="109"/>
        <v>2.7760026923011182E-2</v>
      </c>
    </row>
    <row r="1178" spans="19:24" x14ac:dyDescent="0.25">
      <c r="S1178" s="44">
        <f t="shared" si="104"/>
        <v>44228</v>
      </c>
      <c r="T1178" s="12">
        <f t="shared" si="105"/>
        <v>5.2945754404530865</v>
      </c>
      <c r="U1178" s="12">
        <f t="shared" si="107"/>
        <v>5.1344032483597841</v>
      </c>
      <c r="V1178" s="30">
        <f t="shared" si="108"/>
        <v>0.47185534246575334</v>
      </c>
      <c r="W1178" s="46">
        <f t="shared" si="106"/>
        <v>-5.2945754404530858E-2</v>
      </c>
      <c r="X1178" s="33">
        <f t="shared" si="109"/>
        <v>2.7759985410738236E-2</v>
      </c>
    </row>
    <row r="1179" spans="19:24" x14ac:dyDescent="0.25">
      <c r="S1179" s="44">
        <f t="shared" si="104"/>
        <v>44229</v>
      </c>
      <c r="T1179" s="12">
        <f t="shared" si="105"/>
        <v>5.2918983581515429</v>
      </c>
      <c r="U1179" s="12">
        <f t="shared" si="107"/>
        <v>5.1317520716349936</v>
      </c>
      <c r="V1179" s="30">
        <f t="shared" si="108"/>
        <v>0.47182794520547944</v>
      </c>
      <c r="W1179" s="46">
        <f t="shared" si="106"/>
        <v>-5.2918983581515422E-2</v>
      </c>
      <c r="X1179" s="33">
        <f t="shared" si="109"/>
        <v>2.7759943898465297E-2</v>
      </c>
    </row>
    <row r="1180" spans="19:24" x14ac:dyDescent="0.25">
      <c r="S1180" s="44">
        <f t="shared" si="104"/>
        <v>44230</v>
      </c>
      <c r="T1180" s="12">
        <f t="shared" si="105"/>
        <v>5.2892212758500019</v>
      </c>
      <c r="U1180" s="12">
        <f t="shared" si="107"/>
        <v>5.129100894910203</v>
      </c>
      <c r="V1180" s="30">
        <f t="shared" si="108"/>
        <v>0.47180054794520543</v>
      </c>
      <c r="W1180" s="46">
        <f t="shared" si="106"/>
        <v>-5.2892212758500014E-2</v>
      </c>
      <c r="X1180" s="33">
        <f t="shared" si="109"/>
        <v>2.7759902386192352E-2</v>
      </c>
    </row>
    <row r="1181" spans="19:24" x14ac:dyDescent="0.25">
      <c r="S1181" s="44">
        <f t="shared" si="104"/>
        <v>44231</v>
      </c>
      <c r="T1181" s="12">
        <f t="shared" si="105"/>
        <v>5.2865441935484627</v>
      </c>
      <c r="U1181" s="12">
        <f t="shared" si="107"/>
        <v>5.1264497181854161</v>
      </c>
      <c r="V1181" s="30">
        <f t="shared" si="108"/>
        <v>0.47177315068493147</v>
      </c>
      <c r="W1181" s="46">
        <f t="shared" si="106"/>
        <v>-5.2865441935484619E-2</v>
      </c>
      <c r="X1181" s="33">
        <f t="shared" si="109"/>
        <v>2.775986087391941E-2</v>
      </c>
    </row>
    <row r="1182" spans="19:24" x14ac:dyDescent="0.25">
      <c r="S1182" s="44">
        <f t="shared" si="104"/>
        <v>44232</v>
      </c>
      <c r="T1182" s="12">
        <f t="shared" si="105"/>
        <v>5.2838671112469218</v>
      </c>
      <c r="U1182" s="12">
        <f t="shared" si="107"/>
        <v>5.1237985414606273</v>
      </c>
      <c r="V1182" s="30">
        <f t="shared" si="108"/>
        <v>0.47174575342465747</v>
      </c>
      <c r="W1182" s="46">
        <f t="shared" si="106"/>
        <v>-5.2838671112469211E-2</v>
      </c>
      <c r="X1182" s="33">
        <f t="shared" si="109"/>
        <v>2.7759819361646461E-2</v>
      </c>
    </row>
    <row r="1183" spans="19:24" x14ac:dyDescent="0.25">
      <c r="S1183" s="44">
        <f t="shared" si="104"/>
        <v>44233</v>
      </c>
      <c r="T1183" s="12">
        <f t="shared" si="105"/>
        <v>5.2811900289453781</v>
      </c>
      <c r="U1183" s="12">
        <f t="shared" si="107"/>
        <v>5.121147364735835</v>
      </c>
      <c r="V1183" s="30">
        <f t="shared" si="108"/>
        <v>0.47171835616438351</v>
      </c>
      <c r="W1183" s="46">
        <f t="shared" si="106"/>
        <v>-5.2811900289453775E-2</v>
      </c>
      <c r="X1183" s="33">
        <f t="shared" si="109"/>
        <v>2.7759777849373519E-2</v>
      </c>
    </row>
    <row r="1184" spans="19:24" x14ac:dyDescent="0.25">
      <c r="S1184" s="44">
        <f t="shared" si="104"/>
        <v>44234</v>
      </c>
      <c r="T1184" s="12">
        <f t="shared" si="105"/>
        <v>5.2785129466438381</v>
      </c>
      <c r="U1184" s="12">
        <f t="shared" si="107"/>
        <v>5.1184961880110471</v>
      </c>
      <c r="V1184" s="30">
        <f t="shared" si="108"/>
        <v>0.47169095890410956</v>
      </c>
      <c r="W1184" s="46">
        <f t="shared" si="106"/>
        <v>-5.2785129466438374E-2</v>
      </c>
      <c r="X1184" s="33">
        <f t="shared" si="109"/>
        <v>2.7759736337100577E-2</v>
      </c>
    </row>
    <row r="1185" spans="19:24" x14ac:dyDescent="0.25">
      <c r="S1185" s="44">
        <f t="shared" si="104"/>
        <v>44235</v>
      </c>
      <c r="T1185" s="12">
        <f t="shared" si="105"/>
        <v>5.2758358643422953</v>
      </c>
      <c r="U1185" s="12">
        <f t="shared" si="107"/>
        <v>5.1158450112862592</v>
      </c>
      <c r="V1185" s="30">
        <f t="shared" si="108"/>
        <v>0.4716635616438356</v>
      </c>
      <c r="W1185" s="46">
        <f t="shared" si="106"/>
        <v>-5.2758358643422945E-2</v>
      </c>
      <c r="X1185" s="33">
        <f t="shared" si="109"/>
        <v>2.7759694824827635E-2</v>
      </c>
    </row>
    <row r="1186" spans="19:24" x14ac:dyDescent="0.25">
      <c r="S1186" s="44">
        <f t="shared" si="104"/>
        <v>44236</v>
      </c>
      <c r="T1186" s="12">
        <f t="shared" si="105"/>
        <v>5.2731587820407553</v>
      </c>
      <c r="U1186" s="12">
        <f t="shared" si="107"/>
        <v>5.1131938345614678</v>
      </c>
      <c r="V1186" s="30">
        <f t="shared" si="108"/>
        <v>0.4716361643835616</v>
      </c>
      <c r="W1186" s="46">
        <f t="shared" si="106"/>
        <v>-5.2731587820407544E-2</v>
      </c>
      <c r="X1186" s="33">
        <f t="shared" si="109"/>
        <v>2.7759653312554689E-2</v>
      </c>
    </row>
    <row r="1187" spans="19:24" x14ac:dyDescent="0.25">
      <c r="S1187" s="44">
        <f t="shared" si="104"/>
        <v>44237</v>
      </c>
      <c r="T1187" s="12">
        <f t="shared" si="105"/>
        <v>5.2704816997392143</v>
      </c>
      <c r="U1187" s="12">
        <f t="shared" si="107"/>
        <v>5.1105426578366799</v>
      </c>
      <c r="V1187" s="30">
        <f t="shared" si="108"/>
        <v>0.47160876712328759</v>
      </c>
      <c r="W1187" s="46">
        <f t="shared" si="106"/>
        <v>-5.2704816997392136E-2</v>
      </c>
      <c r="X1187" s="33">
        <f t="shared" si="109"/>
        <v>2.775961180028174E-2</v>
      </c>
    </row>
    <row r="1188" spans="19:24" x14ac:dyDescent="0.25">
      <c r="S1188" s="44">
        <f t="shared" si="104"/>
        <v>44238</v>
      </c>
      <c r="T1188" s="12">
        <f t="shared" si="105"/>
        <v>5.2678046174376725</v>
      </c>
      <c r="U1188" s="12">
        <f t="shared" si="107"/>
        <v>5.1078914811118894</v>
      </c>
      <c r="V1188" s="30">
        <f t="shared" si="108"/>
        <v>0.47158136986301369</v>
      </c>
      <c r="W1188" s="46">
        <f t="shared" si="106"/>
        <v>-5.2678046174376714E-2</v>
      </c>
      <c r="X1188" s="33">
        <f t="shared" si="109"/>
        <v>2.7759570288008805E-2</v>
      </c>
    </row>
    <row r="1189" spans="19:24" x14ac:dyDescent="0.25">
      <c r="S1189" s="44">
        <f t="shared" si="104"/>
        <v>44239</v>
      </c>
      <c r="T1189" s="12">
        <f t="shared" si="105"/>
        <v>5.2651275351361315</v>
      </c>
      <c r="U1189" s="12">
        <f t="shared" si="107"/>
        <v>5.1052403043870997</v>
      </c>
      <c r="V1189" s="30">
        <f t="shared" si="108"/>
        <v>0.47155397260273968</v>
      </c>
      <c r="W1189" s="46">
        <f t="shared" si="106"/>
        <v>-5.2651275351361305E-2</v>
      </c>
      <c r="X1189" s="33">
        <f t="shared" si="109"/>
        <v>2.7759528775735856E-2</v>
      </c>
    </row>
    <row r="1190" spans="19:24" x14ac:dyDescent="0.25">
      <c r="S1190" s="44">
        <f t="shared" si="104"/>
        <v>44240</v>
      </c>
      <c r="T1190" s="12">
        <f t="shared" si="105"/>
        <v>5.2624504528345915</v>
      </c>
      <c r="U1190" s="12">
        <f t="shared" si="107"/>
        <v>5.1025891276623128</v>
      </c>
      <c r="V1190" s="30">
        <f t="shared" si="108"/>
        <v>0.47152657534246567</v>
      </c>
      <c r="W1190" s="46">
        <f t="shared" si="106"/>
        <v>-5.2624504528345904E-2</v>
      </c>
      <c r="X1190" s="33">
        <f t="shared" si="109"/>
        <v>2.7759487263462911E-2</v>
      </c>
    </row>
    <row r="1191" spans="19:24" x14ac:dyDescent="0.25">
      <c r="S1191" s="44">
        <f t="shared" ref="S1191:S1254" si="110">+S1190+1</f>
        <v>44241</v>
      </c>
      <c r="T1191" s="12">
        <f t="shared" ref="T1191:T1254" si="111">DurMod(S1191,B$2,$F$7:$G$37,$T$3)</f>
        <v>5.2597733705330496</v>
      </c>
      <c r="U1191" s="12">
        <f t="shared" si="107"/>
        <v>5.0999379509375213</v>
      </c>
      <c r="V1191" s="30">
        <f t="shared" si="108"/>
        <v>0.47149917808219172</v>
      </c>
      <c r="W1191" s="46">
        <f t="shared" ref="W1191:W1254" si="112">+-T1191*($U$3-$T$3)</f>
        <v>-5.2597733705330489E-2</v>
      </c>
      <c r="X1191" s="33">
        <f t="shared" si="109"/>
        <v>2.7759445751189969E-2</v>
      </c>
    </row>
    <row r="1192" spans="19:24" x14ac:dyDescent="0.25">
      <c r="S1192" s="44">
        <f t="shared" si="110"/>
        <v>44242</v>
      </c>
      <c r="T1192" s="12">
        <f t="shared" si="111"/>
        <v>5.2570962882315104</v>
      </c>
      <c r="U1192" s="12">
        <f t="shared" si="107"/>
        <v>5.0972867742127317</v>
      </c>
      <c r="V1192" s="30">
        <f t="shared" si="108"/>
        <v>0.47147178082191776</v>
      </c>
      <c r="W1192" s="46">
        <f t="shared" si="112"/>
        <v>-5.2570962882315095E-2</v>
      </c>
      <c r="X1192" s="33">
        <f t="shared" si="109"/>
        <v>2.7759404238917026E-2</v>
      </c>
    </row>
    <row r="1193" spans="19:24" x14ac:dyDescent="0.25">
      <c r="S1193" s="44">
        <f t="shared" si="110"/>
        <v>44243</v>
      </c>
      <c r="T1193" s="12">
        <f t="shared" si="111"/>
        <v>5.2544192059299668</v>
      </c>
      <c r="U1193" s="12">
        <f t="shared" si="107"/>
        <v>5.0946355974879429</v>
      </c>
      <c r="V1193" s="30">
        <f t="shared" si="108"/>
        <v>0.47144438356164381</v>
      </c>
      <c r="W1193" s="46">
        <f t="shared" si="112"/>
        <v>-5.2544192059299659E-2</v>
      </c>
      <c r="X1193" s="33">
        <f t="shared" si="109"/>
        <v>2.7759362726644084E-2</v>
      </c>
    </row>
    <row r="1194" spans="19:24" x14ac:dyDescent="0.25">
      <c r="S1194" s="44">
        <f t="shared" si="110"/>
        <v>44244</v>
      </c>
      <c r="T1194" s="12">
        <f t="shared" si="111"/>
        <v>5.2517421236284259</v>
      </c>
      <c r="U1194" s="12">
        <f t="shared" si="107"/>
        <v>5.0919844207631551</v>
      </c>
      <c r="V1194" s="30">
        <f t="shared" si="108"/>
        <v>0.47141698630136986</v>
      </c>
      <c r="W1194" s="46">
        <f t="shared" si="112"/>
        <v>-5.2517421236284251E-2</v>
      </c>
      <c r="X1194" s="33">
        <f t="shared" si="109"/>
        <v>2.7759321214371142E-2</v>
      </c>
    </row>
    <row r="1195" spans="19:24" x14ac:dyDescent="0.25">
      <c r="S1195" s="44">
        <f t="shared" si="110"/>
        <v>44245</v>
      </c>
      <c r="T1195" s="12">
        <f t="shared" si="111"/>
        <v>5.249065041326884</v>
      </c>
      <c r="U1195" s="12">
        <f t="shared" si="107"/>
        <v>5.0893332440383654</v>
      </c>
      <c r="V1195" s="30">
        <f t="shared" si="108"/>
        <v>0.47138958904109596</v>
      </c>
      <c r="W1195" s="46">
        <f t="shared" si="112"/>
        <v>-5.2490650413268829E-2</v>
      </c>
      <c r="X1195" s="33">
        <f t="shared" si="109"/>
        <v>2.77592797020982E-2</v>
      </c>
    </row>
    <row r="1196" spans="19:24" x14ac:dyDescent="0.25">
      <c r="S1196" s="44">
        <f t="shared" si="110"/>
        <v>44246</v>
      </c>
      <c r="T1196" s="12">
        <f t="shared" si="111"/>
        <v>5.2463879590253448</v>
      </c>
      <c r="U1196" s="12">
        <f t="shared" si="107"/>
        <v>5.0866820673135758</v>
      </c>
      <c r="V1196" s="30">
        <f t="shared" si="108"/>
        <v>0.47136219178082195</v>
      </c>
      <c r="W1196" s="46">
        <f t="shared" si="112"/>
        <v>-5.2463879590253441E-2</v>
      </c>
      <c r="X1196" s="33">
        <f t="shared" si="109"/>
        <v>2.7759238189825255E-2</v>
      </c>
    </row>
    <row r="1197" spans="19:24" x14ac:dyDescent="0.25">
      <c r="S1197" s="44">
        <f t="shared" si="110"/>
        <v>44247</v>
      </c>
      <c r="T1197" s="12">
        <f t="shared" si="111"/>
        <v>5.243710876723803</v>
      </c>
      <c r="U1197" s="12">
        <f t="shared" si="107"/>
        <v>5.084030890588787</v>
      </c>
      <c r="V1197" s="30">
        <f t="shared" si="108"/>
        <v>0.47133479452054794</v>
      </c>
      <c r="W1197" s="46">
        <f t="shared" si="112"/>
        <v>-5.2437108767238019E-2</v>
      </c>
      <c r="X1197" s="33">
        <f t="shared" si="109"/>
        <v>2.7759196677552313E-2</v>
      </c>
    </row>
    <row r="1198" spans="19:24" x14ac:dyDescent="0.25">
      <c r="S1198" s="44">
        <f t="shared" si="110"/>
        <v>44248</v>
      </c>
      <c r="T1198" s="12">
        <f t="shared" si="111"/>
        <v>5.241033794422262</v>
      </c>
      <c r="U1198" s="12">
        <f t="shared" si="107"/>
        <v>5.0813797138639982</v>
      </c>
      <c r="V1198" s="30">
        <f t="shared" si="108"/>
        <v>0.47130739726027399</v>
      </c>
      <c r="W1198" s="46">
        <f t="shared" si="112"/>
        <v>-5.2410337944222611E-2</v>
      </c>
      <c r="X1198" s="33">
        <f t="shared" si="109"/>
        <v>2.7759155165279364E-2</v>
      </c>
    </row>
    <row r="1199" spans="19:24" x14ac:dyDescent="0.25">
      <c r="S1199" s="44">
        <f t="shared" si="110"/>
        <v>44249</v>
      </c>
      <c r="T1199" s="12">
        <f t="shared" si="111"/>
        <v>5.238356712120722</v>
      </c>
      <c r="U1199" s="12">
        <f t="shared" si="107"/>
        <v>5.0787285371392086</v>
      </c>
      <c r="V1199" s="30">
        <f t="shared" si="108"/>
        <v>0.47128000000000003</v>
      </c>
      <c r="W1199" s="46">
        <f t="shared" si="112"/>
        <v>-5.238356712120721E-2</v>
      </c>
      <c r="X1199" s="33">
        <f t="shared" si="109"/>
        <v>2.7759113653006422E-2</v>
      </c>
    </row>
    <row r="1200" spans="19:24" x14ac:dyDescent="0.25">
      <c r="S1200" s="44">
        <f t="shared" si="110"/>
        <v>44250</v>
      </c>
      <c r="T1200" s="12">
        <f t="shared" si="111"/>
        <v>5.2356796298191774</v>
      </c>
      <c r="U1200" s="12">
        <f t="shared" si="107"/>
        <v>5.0760773604144207</v>
      </c>
      <c r="V1200" s="30">
        <f t="shared" si="108"/>
        <v>0.47125260273972608</v>
      </c>
      <c r="W1200" s="46">
        <f t="shared" si="112"/>
        <v>-5.2356796298191767E-2</v>
      </c>
      <c r="X1200" s="33">
        <f t="shared" si="109"/>
        <v>2.775907214073348E-2</v>
      </c>
    </row>
    <row r="1201" spans="19:24" x14ac:dyDescent="0.25">
      <c r="S1201" s="44">
        <f t="shared" si="110"/>
        <v>44251</v>
      </c>
      <c r="T1201" s="12">
        <f t="shared" si="111"/>
        <v>5.2330025475176365</v>
      </c>
      <c r="U1201" s="12">
        <f t="shared" si="107"/>
        <v>5.0734261836896266</v>
      </c>
      <c r="V1201" s="30">
        <f t="shared" si="108"/>
        <v>0.47122520547945207</v>
      </c>
      <c r="W1201" s="46">
        <f t="shared" si="112"/>
        <v>-5.2330025475176359E-2</v>
      </c>
      <c r="X1201" s="33">
        <f t="shared" si="109"/>
        <v>2.7759030628460538E-2</v>
      </c>
    </row>
    <row r="1202" spans="19:24" x14ac:dyDescent="0.25">
      <c r="S1202" s="44">
        <f t="shared" si="110"/>
        <v>44252</v>
      </c>
      <c r="T1202" s="12">
        <f t="shared" si="111"/>
        <v>5.2303254652160982</v>
      </c>
      <c r="U1202" s="12">
        <f t="shared" si="107"/>
        <v>5.0707750069648414</v>
      </c>
      <c r="V1202" s="30">
        <f t="shared" si="108"/>
        <v>0.47119780821917812</v>
      </c>
      <c r="W1202" s="46">
        <f t="shared" si="112"/>
        <v>-5.2303254652160971E-2</v>
      </c>
      <c r="X1202" s="33">
        <f t="shared" si="109"/>
        <v>2.7758989116187592E-2</v>
      </c>
    </row>
    <row r="1203" spans="19:24" x14ac:dyDescent="0.25">
      <c r="S1203" s="44">
        <f t="shared" si="110"/>
        <v>44253</v>
      </c>
      <c r="T1203" s="12">
        <f t="shared" si="111"/>
        <v>5.2276483829145555</v>
      </c>
      <c r="U1203" s="12">
        <f t="shared" si="107"/>
        <v>5.06812383024005</v>
      </c>
      <c r="V1203" s="30">
        <f t="shared" si="108"/>
        <v>0.47117041095890411</v>
      </c>
      <c r="W1203" s="46">
        <f t="shared" si="112"/>
        <v>-5.2276483829145549E-2</v>
      </c>
      <c r="X1203" s="33">
        <f t="shared" si="109"/>
        <v>2.7758947603914643E-2</v>
      </c>
    </row>
    <row r="1204" spans="19:24" x14ac:dyDescent="0.25">
      <c r="S1204" s="44">
        <f t="shared" si="110"/>
        <v>44254</v>
      </c>
      <c r="T1204" s="12">
        <f t="shared" si="111"/>
        <v>5.2249713006130127</v>
      </c>
      <c r="U1204" s="12">
        <f t="shared" si="107"/>
        <v>5.0654726535152612</v>
      </c>
      <c r="V1204" s="30">
        <f t="shared" si="108"/>
        <v>0.47114301369863021</v>
      </c>
      <c r="W1204" s="46">
        <f t="shared" si="112"/>
        <v>-5.224971300613012E-2</v>
      </c>
      <c r="X1204" s="33">
        <f t="shared" si="109"/>
        <v>2.7758906091641708E-2</v>
      </c>
    </row>
    <row r="1205" spans="19:24" x14ac:dyDescent="0.25">
      <c r="S1205" s="44">
        <f t="shared" si="110"/>
        <v>44255</v>
      </c>
      <c r="T1205" s="12">
        <f t="shared" si="111"/>
        <v>5.2222942183114736</v>
      </c>
      <c r="U1205" s="12">
        <f t="shared" si="107"/>
        <v>5.0628214767904725</v>
      </c>
      <c r="V1205" s="30">
        <f t="shared" si="108"/>
        <v>0.4711156164383562</v>
      </c>
      <c r="W1205" s="46">
        <f t="shared" si="112"/>
        <v>-5.2222942183114726E-2</v>
      </c>
      <c r="X1205" s="33">
        <f t="shared" si="109"/>
        <v>2.7758864579368759E-2</v>
      </c>
    </row>
    <row r="1206" spans="19:24" x14ac:dyDescent="0.25">
      <c r="S1206" s="44">
        <f t="shared" si="110"/>
        <v>44256</v>
      </c>
      <c r="T1206" s="12">
        <f t="shared" si="111"/>
        <v>5.2196171360099317</v>
      </c>
      <c r="U1206" s="12">
        <f t="shared" si="107"/>
        <v>5.0601703000656837</v>
      </c>
      <c r="V1206" s="30">
        <f t="shared" si="108"/>
        <v>0.47108821917808219</v>
      </c>
      <c r="W1206" s="46">
        <f t="shared" si="112"/>
        <v>-5.2196171360099311E-2</v>
      </c>
      <c r="X1206" s="33">
        <f t="shared" si="109"/>
        <v>2.7758823067095817E-2</v>
      </c>
    </row>
    <row r="1207" spans="19:24" x14ac:dyDescent="0.25">
      <c r="S1207" s="44">
        <f t="shared" si="110"/>
        <v>44257</v>
      </c>
      <c r="T1207" s="12">
        <f t="shared" si="111"/>
        <v>5.2169400537083908</v>
      </c>
      <c r="U1207" s="12">
        <f t="shared" si="107"/>
        <v>5.057519123340894</v>
      </c>
      <c r="V1207" s="30">
        <f t="shared" si="108"/>
        <v>0.47106082191780824</v>
      </c>
      <c r="W1207" s="46">
        <f t="shared" si="112"/>
        <v>-5.2169400537083903E-2</v>
      </c>
      <c r="X1207" s="33">
        <f t="shared" si="109"/>
        <v>2.7758781554822871E-2</v>
      </c>
    </row>
    <row r="1208" spans="19:24" x14ac:dyDescent="0.25">
      <c r="S1208" s="44">
        <f t="shared" si="110"/>
        <v>44258</v>
      </c>
      <c r="T1208" s="12">
        <f t="shared" si="111"/>
        <v>5.214262971406848</v>
      </c>
      <c r="U1208" s="12">
        <f t="shared" si="107"/>
        <v>5.0548679466161044</v>
      </c>
      <c r="V1208" s="30">
        <f t="shared" si="108"/>
        <v>0.47103342465753428</v>
      </c>
      <c r="W1208" s="46">
        <f t="shared" si="112"/>
        <v>-5.2142629714068474E-2</v>
      </c>
      <c r="X1208" s="33">
        <f t="shared" si="109"/>
        <v>2.7758740042549929E-2</v>
      </c>
    </row>
    <row r="1209" spans="19:24" x14ac:dyDescent="0.25">
      <c r="S1209" s="44">
        <f t="shared" si="110"/>
        <v>44259</v>
      </c>
      <c r="T1209" s="12">
        <f t="shared" si="111"/>
        <v>5.211585889105308</v>
      </c>
      <c r="U1209" s="12">
        <f t="shared" si="107"/>
        <v>5.052216769891313</v>
      </c>
      <c r="V1209" s="30">
        <f t="shared" si="108"/>
        <v>0.47100602739726027</v>
      </c>
      <c r="W1209" s="46">
        <f t="shared" si="112"/>
        <v>-5.2115858891053073E-2</v>
      </c>
      <c r="X1209" s="33">
        <f t="shared" si="109"/>
        <v>2.775869853027698E-2</v>
      </c>
    </row>
    <row r="1210" spans="19:24" x14ac:dyDescent="0.25">
      <c r="S1210" s="44">
        <f t="shared" si="110"/>
        <v>44260</v>
      </c>
      <c r="T1210" s="12">
        <f t="shared" si="111"/>
        <v>5.2089088068037679</v>
      </c>
      <c r="U1210" s="12">
        <f t="shared" si="107"/>
        <v>5.0495655931665251</v>
      </c>
      <c r="V1210" s="30">
        <f t="shared" si="108"/>
        <v>0.47097863013698632</v>
      </c>
      <c r="W1210" s="46">
        <f t="shared" si="112"/>
        <v>-5.2089088068037671E-2</v>
      </c>
      <c r="X1210" s="33">
        <f t="shared" si="109"/>
        <v>2.7758657018004038E-2</v>
      </c>
    </row>
    <row r="1211" spans="19:24" x14ac:dyDescent="0.25">
      <c r="S1211" s="44">
        <f t="shared" si="110"/>
        <v>44261</v>
      </c>
      <c r="T1211" s="12">
        <f t="shared" si="111"/>
        <v>5.2062317245022269</v>
      </c>
      <c r="U1211" s="12">
        <f t="shared" si="107"/>
        <v>5.0469144164417363</v>
      </c>
      <c r="V1211" s="30">
        <f t="shared" si="108"/>
        <v>0.47095123287671231</v>
      </c>
      <c r="W1211" s="46">
        <f t="shared" si="112"/>
        <v>-5.2062317245022263E-2</v>
      </c>
      <c r="X1211" s="33">
        <f t="shared" si="109"/>
        <v>2.7758615505731093E-2</v>
      </c>
    </row>
    <row r="1212" spans="19:24" x14ac:dyDescent="0.25">
      <c r="S1212" s="44">
        <f t="shared" si="110"/>
        <v>44262</v>
      </c>
      <c r="T1212" s="12">
        <f t="shared" si="111"/>
        <v>5.2035546422006842</v>
      </c>
      <c r="U1212" s="12">
        <f t="shared" si="107"/>
        <v>5.0442632397169485</v>
      </c>
      <c r="V1212" s="30">
        <f t="shared" si="108"/>
        <v>0.47092383561643836</v>
      </c>
      <c r="W1212" s="46">
        <f t="shared" si="112"/>
        <v>-5.2035546422006834E-2</v>
      </c>
      <c r="X1212" s="33">
        <f t="shared" si="109"/>
        <v>2.7758573993458158E-2</v>
      </c>
    </row>
    <row r="1213" spans="19:24" x14ac:dyDescent="0.25">
      <c r="S1213" s="44">
        <f t="shared" si="110"/>
        <v>44263</v>
      </c>
      <c r="T1213" s="12">
        <f t="shared" si="111"/>
        <v>5.200877559899145</v>
      </c>
      <c r="U1213" s="12">
        <f t="shared" si="107"/>
        <v>5.041612062992157</v>
      </c>
      <c r="V1213" s="30">
        <f t="shared" si="108"/>
        <v>0.4708964383561644</v>
      </c>
      <c r="W1213" s="46">
        <f t="shared" si="112"/>
        <v>-5.200877559899144E-2</v>
      </c>
      <c r="X1213" s="33">
        <f t="shared" si="109"/>
        <v>2.7758532481185209E-2</v>
      </c>
    </row>
    <row r="1214" spans="19:24" x14ac:dyDescent="0.25">
      <c r="S1214" s="44">
        <f t="shared" si="110"/>
        <v>44264</v>
      </c>
      <c r="T1214" s="12">
        <f t="shared" si="111"/>
        <v>5.1982004775976041</v>
      </c>
      <c r="U1214" s="12">
        <f t="shared" si="107"/>
        <v>5.0389608862673683</v>
      </c>
      <c r="V1214" s="30">
        <f t="shared" si="108"/>
        <v>0.47086904109589045</v>
      </c>
      <c r="W1214" s="46">
        <f t="shared" si="112"/>
        <v>-5.1982004775976032E-2</v>
      </c>
      <c r="X1214" s="33">
        <f t="shared" si="109"/>
        <v>2.7758490968912267E-2</v>
      </c>
    </row>
    <row r="1215" spans="19:24" x14ac:dyDescent="0.25">
      <c r="S1215" s="44">
        <f t="shared" si="110"/>
        <v>44265</v>
      </c>
      <c r="T1215" s="12">
        <f t="shared" si="111"/>
        <v>5.1955233952960596</v>
      </c>
      <c r="U1215" s="12">
        <f t="shared" si="107"/>
        <v>5.0363097095425795</v>
      </c>
      <c r="V1215" s="30">
        <f t="shared" si="108"/>
        <v>0.47084164383561644</v>
      </c>
      <c r="W1215" s="46">
        <f t="shared" si="112"/>
        <v>-5.1955233952960589E-2</v>
      </c>
      <c r="X1215" s="33">
        <f t="shared" si="109"/>
        <v>2.7758449456639321E-2</v>
      </c>
    </row>
    <row r="1216" spans="19:24" x14ac:dyDescent="0.25">
      <c r="S1216" s="44">
        <f t="shared" si="110"/>
        <v>44266</v>
      </c>
      <c r="T1216" s="12">
        <f t="shared" si="111"/>
        <v>5.1928463129945222</v>
      </c>
      <c r="U1216" s="12">
        <f t="shared" si="107"/>
        <v>5.0336585328177916</v>
      </c>
      <c r="V1216" s="30">
        <f t="shared" si="108"/>
        <v>0.47081424657534243</v>
      </c>
      <c r="W1216" s="46">
        <f t="shared" si="112"/>
        <v>-5.1928463129945215E-2</v>
      </c>
      <c r="X1216" s="33">
        <f t="shared" si="109"/>
        <v>2.7758407944366372E-2</v>
      </c>
    </row>
    <row r="1217" spans="19:24" x14ac:dyDescent="0.25">
      <c r="S1217" s="44">
        <f t="shared" si="110"/>
        <v>44267</v>
      </c>
      <c r="T1217" s="12">
        <f t="shared" si="111"/>
        <v>5.1901692306929768</v>
      </c>
      <c r="U1217" s="12">
        <f t="shared" si="107"/>
        <v>5.0310073560930002</v>
      </c>
      <c r="V1217" s="30">
        <f t="shared" si="108"/>
        <v>0.47078684931506853</v>
      </c>
      <c r="W1217" s="46">
        <f t="shared" si="112"/>
        <v>-5.1901692306929759E-2</v>
      </c>
      <c r="X1217" s="33">
        <f t="shared" si="109"/>
        <v>2.7758366432093437E-2</v>
      </c>
    </row>
    <row r="1218" spans="19:24" x14ac:dyDescent="0.25">
      <c r="S1218" s="44">
        <f t="shared" si="110"/>
        <v>44268</v>
      </c>
      <c r="T1218" s="12">
        <f t="shared" si="111"/>
        <v>5.1874921483914376</v>
      </c>
      <c r="U1218" s="12">
        <f t="shared" si="107"/>
        <v>5.0283561793682106</v>
      </c>
      <c r="V1218" s="30">
        <f t="shared" si="108"/>
        <v>0.47075945205479452</v>
      </c>
      <c r="W1218" s="46">
        <f t="shared" si="112"/>
        <v>-5.1874921483914364E-2</v>
      </c>
      <c r="X1218" s="33">
        <f t="shared" si="109"/>
        <v>2.7758324919820488E-2</v>
      </c>
    </row>
    <row r="1219" spans="19:24" x14ac:dyDescent="0.25">
      <c r="S1219" s="44">
        <f t="shared" si="110"/>
        <v>44269</v>
      </c>
      <c r="T1219" s="12">
        <f t="shared" si="111"/>
        <v>5.1848150660898957</v>
      </c>
      <c r="U1219" s="12">
        <f t="shared" si="107"/>
        <v>5.0257050026434209</v>
      </c>
      <c r="V1219" s="30">
        <f t="shared" si="108"/>
        <v>0.47073205479452057</v>
      </c>
      <c r="W1219" s="46">
        <f t="shared" si="112"/>
        <v>-5.1848150660898949E-2</v>
      </c>
      <c r="X1219" s="33">
        <f t="shared" si="109"/>
        <v>2.7758283407547546E-2</v>
      </c>
    </row>
    <row r="1220" spans="19:24" x14ac:dyDescent="0.25">
      <c r="S1220" s="44">
        <f t="shared" si="110"/>
        <v>44270</v>
      </c>
      <c r="T1220" s="12">
        <f t="shared" si="111"/>
        <v>5.1821379837883548</v>
      </c>
      <c r="U1220" s="12">
        <f t="shared" si="107"/>
        <v>5.023053825918633</v>
      </c>
      <c r="V1220" s="30">
        <f t="shared" si="108"/>
        <v>0.47070465753424656</v>
      </c>
      <c r="W1220" s="46">
        <f t="shared" si="112"/>
        <v>-5.1821379837883541E-2</v>
      </c>
      <c r="X1220" s="33">
        <f t="shared" si="109"/>
        <v>2.77582418952746E-2</v>
      </c>
    </row>
    <row r="1221" spans="19:24" x14ac:dyDescent="0.25">
      <c r="S1221" s="44">
        <f t="shared" si="110"/>
        <v>44271</v>
      </c>
      <c r="T1221" s="12">
        <f t="shared" si="111"/>
        <v>5.1794609014868129</v>
      </c>
      <c r="U1221" s="12">
        <f t="shared" ref="U1221:U1284" si="113">DurMod($S1221,$B$2,$F$7:$G$37,U$3)</f>
        <v>5.0204026491938443</v>
      </c>
      <c r="V1221" s="30">
        <f t="shared" ref="V1221:V1284" si="114">+$U$3*($S$5512-S1221)/365+$T$3*(S1221-$S$4)/365</f>
        <v>0.47067726027397261</v>
      </c>
      <c r="W1221" s="46">
        <f t="shared" si="112"/>
        <v>-5.1794609014868119E-2</v>
      </c>
      <c r="X1221" s="33">
        <f t="shared" ref="X1221:X1284" si="115">+(V1221+W1221)*365/($S$5512-$S$4)</f>
        <v>2.7758200383001662E-2</v>
      </c>
    </row>
    <row r="1222" spans="19:24" x14ac:dyDescent="0.25">
      <c r="S1222" s="44">
        <f t="shared" si="110"/>
        <v>44272</v>
      </c>
      <c r="T1222" s="12">
        <f t="shared" si="111"/>
        <v>5.1767838191852737</v>
      </c>
      <c r="U1222" s="12">
        <f t="shared" si="113"/>
        <v>5.017751472469052</v>
      </c>
      <c r="V1222" s="30">
        <f t="shared" si="114"/>
        <v>0.47064986301369865</v>
      </c>
      <c r="W1222" s="46">
        <f t="shared" si="112"/>
        <v>-5.1767838191852732E-2</v>
      </c>
      <c r="X1222" s="33">
        <f t="shared" si="115"/>
        <v>2.7758158870728716E-2</v>
      </c>
    </row>
    <row r="1223" spans="19:24" x14ac:dyDescent="0.25">
      <c r="S1223" s="44">
        <f t="shared" si="110"/>
        <v>44273</v>
      </c>
      <c r="T1223" s="12">
        <f t="shared" si="111"/>
        <v>5.1741067368837328</v>
      </c>
      <c r="U1223" s="12">
        <f t="shared" si="113"/>
        <v>5.0151002957442623</v>
      </c>
      <c r="V1223" s="30">
        <f t="shared" si="114"/>
        <v>0.4706224657534247</v>
      </c>
      <c r="W1223" s="46">
        <f t="shared" si="112"/>
        <v>-5.1741067368837323E-2</v>
      </c>
      <c r="X1223" s="33">
        <f t="shared" si="115"/>
        <v>2.7758117358455774E-2</v>
      </c>
    </row>
    <row r="1224" spans="19:24" x14ac:dyDescent="0.25">
      <c r="S1224" s="44">
        <f t="shared" si="110"/>
        <v>44274</v>
      </c>
      <c r="T1224" s="12">
        <f t="shared" si="111"/>
        <v>5.1714296545821883</v>
      </c>
      <c r="U1224" s="12">
        <f t="shared" si="113"/>
        <v>5.0124491190194762</v>
      </c>
      <c r="V1224" s="30">
        <f t="shared" si="114"/>
        <v>0.47059506849315069</v>
      </c>
      <c r="W1224" s="46">
        <f t="shared" si="112"/>
        <v>-5.1714296545821874E-2</v>
      </c>
      <c r="X1224" s="33">
        <f t="shared" si="115"/>
        <v>2.7758075846182825E-2</v>
      </c>
    </row>
    <row r="1225" spans="19:24" x14ac:dyDescent="0.25">
      <c r="S1225" s="44">
        <f t="shared" si="110"/>
        <v>44275</v>
      </c>
      <c r="T1225" s="12">
        <f t="shared" si="111"/>
        <v>5.1687525722806491</v>
      </c>
      <c r="U1225" s="12">
        <f t="shared" si="113"/>
        <v>5.0097979422946866</v>
      </c>
      <c r="V1225" s="30">
        <f t="shared" si="114"/>
        <v>0.47056767123287668</v>
      </c>
      <c r="W1225" s="46">
        <f t="shared" si="112"/>
        <v>-5.1687525722806486E-2</v>
      </c>
      <c r="X1225" s="33">
        <f t="shared" si="115"/>
        <v>2.775803433390988E-2</v>
      </c>
    </row>
    <row r="1226" spans="19:24" x14ac:dyDescent="0.25">
      <c r="S1226" s="44">
        <f t="shared" si="110"/>
        <v>44276</v>
      </c>
      <c r="T1226" s="12">
        <f t="shared" si="111"/>
        <v>5.1660754899791073</v>
      </c>
      <c r="U1226" s="12">
        <f t="shared" si="113"/>
        <v>5.0071467655698978</v>
      </c>
      <c r="V1226" s="30">
        <f t="shared" si="114"/>
        <v>0.47054027397260278</v>
      </c>
      <c r="W1226" s="46">
        <f t="shared" si="112"/>
        <v>-5.1660754899791064E-2</v>
      </c>
      <c r="X1226" s="33">
        <f t="shared" si="115"/>
        <v>2.7757992821636941E-2</v>
      </c>
    </row>
    <row r="1227" spans="19:24" x14ac:dyDescent="0.25">
      <c r="S1227" s="44">
        <f t="shared" si="110"/>
        <v>44277</v>
      </c>
      <c r="T1227" s="12">
        <f t="shared" si="111"/>
        <v>5.1633984076775681</v>
      </c>
      <c r="U1227" s="12">
        <f t="shared" si="113"/>
        <v>5.0044955888451064</v>
      </c>
      <c r="V1227" s="30">
        <f t="shared" si="114"/>
        <v>0.47051287671232878</v>
      </c>
      <c r="W1227" s="46">
        <f t="shared" si="112"/>
        <v>-5.163398407677567E-2</v>
      </c>
      <c r="X1227" s="33">
        <f t="shared" si="115"/>
        <v>2.7757951309363996E-2</v>
      </c>
    </row>
    <row r="1228" spans="19:24" x14ac:dyDescent="0.25">
      <c r="S1228" s="44">
        <f t="shared" si="110"/>
        <v>44278</v>
      </c>
      <c r="T1228" s="12">
        <f t="shared" si="111"/>
        <v>5.1607213253760262</v>
      </c>
      <c r="U1228" s="12">
        <f t="shared" si="113"/>
        <v>5.0018444121203194</v>
      </c>
      <c r="V1228" s="30">
        <f t="shared" si="114"/>
        <v>0.47048547945205477</v>
      </c>
      <c r="W1228" s="46">
        <f t="shared" si="112"/>
        <v>-5.1607213253760255E-2</v>
      </c>
      <c r="X1228" s="33">
        <f t="shared" si="115"/>
        <v>2.7757909797091047E-2</v>
      </c>
    </row>
    <row r="1229" spans="19:24" x14ac:dyDescent="0.25">
      <c r="S1229" s="44">
        <f t="shared" si="110"/>
        <v>44279</v>
      </c>
      <c r="T1229" s="12">
        <f t="shared" si="111"/>
        <v>5.1580442430744844</v>
      </c>
      <c r="U1229" s="12">
        <f t="shared" si="113"/>
        <v>4.9991932353955271</v>
      </c>
      <c r="V1229" s="30">
        <f t="shared" si="114"/>
        <v>0.47045808219178081</v>
      </c>
      <c r="W1229" s="46">
        <f t="shared" si="112"/>
        <v>-5.1580442430744833E-2</v>
      </c>
      <c r="X1229" s="33">
        <f t="shared" si="115"/>
        <v>2.7757868284818105E-2</v>
      </c>
    </row>
    <row r="1230" spans="19:24" x14ac:dyDescent="0.25">
      <c r="S1230" s="44">
        <f t="shared" si="110"/>
        <v>44280</v>
      </c>
      <c r="T1230" s="12">
        <f t="shared" si="111"/>
        <v>5.1553671607729434</v>
      </c>
      <c r="U1230" s="12">
        <f t="shared" si="113"/>
        <v>4.9965420586707383</v>
      </c>
      <c r="V1230" s="30">
        <f t="shared" si="114"/>
        <v>0.47043068493150686</v>
      </c>
      <c r="W1230" s="46">
        <f t="shared" si="112"/>
        <v>-5.1553671607729425E-2</v>
      </c>
      <c r="X1230" s="33">
        <f t="shared" si="115"/>
        <v>2.7757826772545163E-2</v>
      </c>
    </row>
    <row r="1231" spans="19:24" x14ac:dyDescent="0.25">
      <c r="S1231" s="44">
        <f t="shared" si="110"/>
        <v>44281</v>
      </c>
      <c r="T1231" s="12">
        <f t="shared" si="111"/>
        <v>5.1526900784714034</v>
      </c>
      <c r="U1231" s="12">
        <f t="shared" si="113"/>
        <v>4.9938908819459495</v>
      </c>
      <c r="V1231" s="30">
        <f t="shared" si="114"/>
        <v>0.47040328767123291</v>
      </c>
      <c r="W1231" s="46">
        <f t="shared" si="112"/>
        <v>-5.1526900784714023E-2</v>
      </c>
      <c r="X1231" s="33">
        <f t="shared" si="115"/>
        <v>2.7757785260272224E-2</v>
      </c>
    </row>
    <row r="1232" spans="19:24" x14ac:dyDescent="0.25">
      <c r="S1232" s="44">
        <f t="shared" si="110"/>
        <v>44282</v>
      </c>
      <c r="T1232" s="12">
        <f t="shared" si="111"/>
        <v>5.1500129961698615</v>
      </c>
      <c r="U1232" s="12">
        <f t="shared" si="113"/>
        <v>4.9912397052211617</v>
      </c>
      <c r="V1232" s="30">
        <f t="shared" si="114"/>
        <v>0.4703758904109589</v>
      </c>
      <c r="W1232" s="46">
        <f t="shared" si="112"/>
        <v>-5.1500129961698608E-2</v>
      </c>
      <c r="X1232" s="33">
        <f t="shared" si="115"/>
        <v>2.7757743747999275E-2</v>
      </c>
    </row>
    <row r="1233" spans="19:24" x14ac:dyDescent="0.25">
      <c r="S1233" s="44">
        <f t="shared" si="110"/>
        <v>44283</v>
      </c>
      <c r="T1233" s="12">
        <f t="shared" si="111"/>
        <v>5.1473359138683197</v>
      </c>
      <c r="U1233" s="12">
        <f t="shared" si="113"/>
        <v>4.9885885284963685</v>
      </c>
      <c r="V1233" s="30">
        <f t="shared" si="114"/>
        <v>0.47034849315068494</v>
      </c>
      <c r="W1233" s="46">
        <f t="shared" si="112"/>
        <v>-5.1473359138683186E-2</v>
      </c>
      <c r="X1233" s="33">
        <f t="shared" si="115"/>
        <v>2.7757702235726333E-2</v>
      </c>
    </row>
    <row r="1234" spans="19:24" x14ac:dyDescent="0.25">
      <c r="S1234" s="44">
        <f t="shared" si="110"/>
        <v>44284</v>
      </c>
      <c r="T1234" s="12">
        <f t="shared" si="111"/>
        <v>5.1446588315667787</v>
      </c>
      <c r="U1234" s="12">
        <f t="shared" si="113"/>
        <v>4.9859373517715833</v>
      </c>
      <c r="V1234" s="30">
        <f t="shared" si="114"/>
        <v>0.47032109589041093</v>
      </c>
      <c r="W1234" s="46">
        <f t="shared" si="112"/>
        <v>-5.1446588315667778E-2</v>
      </c>
      <c r="X1234" s="33">
        <f t="shared" si="115"/>
        <v>2.7757660723453387E-2</v>
      </c>
    </row>
    <row r="1235" spans="19:24" x14ac:dyDescent="0.25">
      <c r="S1235" s="44">
        <f t="shared" si="110"/>
        <v>44285</v>
      </c>
      <c r="T1235" s="12">
        <f t="shared" si="111"/>
        <v>5.1419817492652387</v>
      </c>
      <c r="U1235" s="12">
        <f t="shared" si="113"/>
        <v>4.9832861750467945</v>
      </c>
      <c r="V1235" s="30">
        <f t="shared" si="114"/>
        <v>0.47029369863013704</v>
      </c>
      <c r="W1235" s="46">
        <f t="shared" si="112"/>
        <v>-5.1419817492652377E-2</v>
      </c>
      <c r="X1235" s="33">
        <f t="shared" si="115"/>
        <v>2.7757619211180445E-2</v>
      </c>
    </row>
    <row r="1236" spans="19:24" x14ac:dyDescent="0.25">
      <c r="S1236" s="44">
        <f t="shared" si="110"/>
        <v>44286</v>
      </c>
      <c r="T1236" s="12">
        <f t="shared" si="111"/>
        <v>5.1393046669636968</v>
      </c>
      <c r="U1236" s="12">
        <f t="shared" si="113"/>
        <v>4.980634998322004</v>
      </c>
      <c r="V1236" s="30">
        <f t="shared" si="114"/>
        <v>0.47026630136986303</v>
      </c>
      <c r="W1236" s="46">
        <f t="shared" si="112"/>
        <v>-5.1393046669636962E-2</v>
      </c>
      <c r="X1236" s="33">
        <f t="shared" si="115"/>
        <v>2.7757577698907503E-2</v>
      </c>
    </row>
    <row r="1237" spans="19:24" x14ac:dyDescent="0.25">
      <c r="S1237" s="44">
        <f t="shared" si="110"/>
        <v>44287</v>
      </c>
      <c r="T1237" s="12">
        <f t="shared" si="111"/>
        <v>5.136627584662155</v>
      </c>
      <c r="U1237" s="12">
        <f t="shared" si="113"/>
        <v>4.9779838215972161</v>
      </c>
      <c r="V1237" s="30">
        <f t="shared" si="114"/>
        <v>0.47023890410958902</v>
      </c>
      <c r="W1237" s="46">
        <f t="shared" si="112"/>
        <v>-5.136627584662154E-2</v>
      </c>
      <c r="X1237" s="33">
        <f t="shared" si="115"/>
        <v>2.7757536186634554E-2</v>
      </c>
    </row>
    <row r="1238" spans="19:24" x14ac:dyDescent="0.25">
      <c r="S1238" s="44">
        <f t="shared" si="110"/>
        <v>44288</v>
      </c>
      <c r="T1238" s="12">
        <f t="shared" si="111"/>
        <v>5.1339505023606131</v>
      </c>
      <c r="U1238" s="12">
        <f t="shared" si="113"/>
        <v>4.9753326448724238</v>
      </c>
      <c r="V1238" s="30">
        <f t="shared" si="114"/>
        <v>0.47021150684931506</v>
      </c>
      <c r="W1238" s="46">
        <f t="shared" si="112"/>
        <v>-5.1339505023606125E-2</v>
      </c>
      <c r="X1238" s="33">
        <f t="shared" si="115"/>
        <v>2.7757494674361612E-2</v>
      </c>
    </row>
    <row r="1239" spans="19:24" x14ac:dyDescent="0.25">
      <c r="S1239" s="44">
        <f t="shared" si="110"/>
        <v>44289</v>
      </c>
      <c r="T1239" s="12">
        <f t="shared" si="111"/>
        <v>5.1312734200590704</v>
      </c>
      <c r="U1239" s="12">
        <f t="shared" si="113"/>
        <v>4.9726814681476359</v>
      </c>
      <c r="V1239" s="30">
        <f t="shared" si="114"/>
        <v>0.47018410958904105</v>
      </c>
      <c r="W1239" s="46">
        <f t="shared" si="112"/>
        <v>-5.1312734200590696E-2</v>
      </c>
      <c r="X1239" s="33">
        <f t="shared" si="115"/>
        <v>2.775745316208867E-2</v>
      </c>
    </row>
    <row r="1240" spans="19:24" x14ac:dyDescent="0.25">
      <c r="S1240" s="44">
        <f t="shared" si="110"/>
        <v>44290</v>
      </c>
      <c r="T1240" s="12">
        <f t="shared" si="111"/>
        <v>5.1285963377575294</v>
      </c>
      <c r="U1240" s="12">
        <f t="shared" si="113"/>
        <v>4.9700302914228462</v>
      </c>
      <c r="V1240" s="30">
        <f t="shared" si="114"/>
        <v>0.4701567123287671</v>
      </c>
      <c r="W1240" s="46">
        <f t="shared" si="112"/>
        <v>-5.1285963377575287E-2</v>
      </c>
      <c r="X1240" s="33">
        <f t="shared" si="115"/>
        <v>2.7757411649815725E-2</v>
      </c>
    </row>
    <row r="1241" spans="19:24" x14ac:dyDescent="0.25">
      <c r="S1241" s="44">
        <f t="shared" si="110"/>
        <v>44291</v>
      </c>
      <c r="T1241" s="12">
        <f t="shared" si="111"/>
        <v>5.1259192554559911</v>
      </c>
      <c r="U1241" s="12">
        <f t="shared" si="113"/>
        <v>4.9673791146980566</v>
      </c>
      <c r="V1241" s="30">
        <f t="shared" si="114"/>
        <v>0.47012931506849315</v>
      </c>
      <c r="W1241" s="46">
        <f t="shared" si="112"/>
        <v>-5.1259192554559907E-2</v>
      </c>
      <c r="X1241" s="33">
        <f t="shared" si="115"/>
        <v>2.7757370137542783E-2</v>
      </c>
    </row>
    <row r="1242" spans="19:24" x14ac:dyDescent="0.25">
      <c r="S1242" s="44">
        <f t="shared" si="110"/>
        <v>44292</v>
      </c>
      <c r="T1242" s="12">
        <f t="shared" si="111"/>
        <v>5.1232421731544502</v>
      </c>
      <c r="U1242" s="12">
        <f t="shared" si="113"/>
        <v>4.9647279379732669</v>
      </c>
      <c r="V1242" s="30">
        <f t="shared" si="114"/>
        <v>0.47010191780821919</v>
      </c>
      <c r="W1242" s="46">
        <f t="shared" si="112"/>
        <v>-5.1232421731544492E-2</v>
      </c>
      <c r="X1242" s="33">
        <f t="shared" si="115"/>
        <v>2.7757328625269834E-2</v>
      </c>
    </row>
    <row r="1243" spans="19:24" x14ac:dyDescent="0.25">
      <c r="S1243" s="44">
        <f t="shared" si="110"/>
        <v>44293</v>
      </c>
      <c r="T1243" s="12">
        <f t="shared" si="111"/>
        <v>5.1205650908529057</v>
      </c>
      <c r="U1243" s="12">
        <f t="shared" si="113"/>
        <v>4.9620767612484782</v>
      </c>
      <c r="V1243" s="30">
        <f t="shared" si="114"/>
        <v>0.47007452054794518</v>
      </c>
      <c r="W1243" s="46">
        <f t="shared" si="112"/>
        <v>-5.1205650908529049E-2</v>
      </c>
      <c r="X1243" s="33">
        <f t="shared" si="115"/>
        <v>2.7757287112996899E-2</v>
      </c>
    </row>
    <row r="1244" spans="19:24" x14ac:dyDescent="0.25">
      <c r="S1244" s="44">
        <f t="shared" si="110"/>
        <v>44294</v>
      </c>
      <c r="T1244" s="12">
        <f t="shared" si="111"/>
        <v>5.1178880085513683</v>
      </c>
      <c r="U1244" s="12">
        <f t="shared" si="113"/>
        <v>4.9594255845236894</v>
      </c>
      <c r="V1244" s="30">
        <f t="shared" si="114"/>
        <v>0.47004712328767123</v>
      </c>
      <c r="W1244" s="46">
        <f t="shared" si="112"/>
        <v>-5.1178880085513676E-2</v>
      </c>
      <c r="X1244" s="33">
        <f t="shared" si="115"/>
        <v>2.7757245600723946E-2</v>
      </c>
    </row>
    <row r="1245" spans="19:24" x14ac:dyDescent="0.25">
      <c r="S1245" s="44">
        <f t="shared" si="110"/>
        <v>44295</v>
      </c>
      <c r="T1245" s="12">
        <f t="shared" si="111"/>
        <v>5.1152109262498247</v>
      </c>
      <c r="U1245" s="12">
        <f t="shared" si="113"/>
        <v>4.9567744077989007</v>
      </c>
      <c r="V1245" s="30">
        <f t="shared" si="114"/>
        <v>0.47001972602739728</v>
      </c>
      <c r="W1245" s="46">
        <f t="shared" si="112"/>
        <v>-5.115210926249824E-2</v>
      </c>
      <c r="X1245" s="33">
        <f t="shared" si="115"/>
        <v>2.7757204088451008E-2</v>
      </c>
    </row>
    <row r="1246" spans="19:24" x14ac:dyDescent="0.25">
      <c r="S1246" s="44">
        <f t="shared" si="110"/>
        <v>44296</v>
      </c>
      <c r="T1246" s="12">
        <f t="shared" si="111"/>
        <v>5.1125338439482837</v>
      </c>
      <c r="U1246" s="12">
        <f t="shared" si="113"/>
        <v>4.9541232310741092</v>
      </c>
      <c r="V1246" s="30">
        <f t="shared" si="114"/>
        <v>0.46999232876712327</v>
      </c>
      <c r="W1246" s="46">
        <f t="shared" si="112"/>
        <v>-5.1125338439482831E-2</v>
      </c>
      <c r="X1246" s="33">
        <f t="shared" si="115"/>
        <v>2.7757162576178062E-2</v>
      </c>
    </row>
    <row r="1247" spans="19:24" x14ac:dyDescent="0.25">
      <c r="S1247" s="44">
        <f t="shared" si="110"/>
        <v>44297</v>
      </c>
      <c r="T1247" s="12">
        <f t="shared" si="111"/>
        <v>5.1098567616467427</v>
      </c>
      <c r="U1247" s="12">
        <f t="shared" si="113"/>
        <v>4.9514720543493214</v>
      </c>
      <c r="V1247" s="30">
        <f t="shared" si="114"/>
        <v>0.46996493150684926</v>
      </c>
      <c r="W1247" s="46">
        <f t="shared" si="112"/>
        <v>-5.1098567616467416E-2</v>
      </c>
      <c r="X1247" s="33">
        <f t="shared" si="115"/>
        <v>2.7757121063905113E-2</v>
      </c>
    </row>
    <row r="1248" spans="19:24" x14ac:dyDescent="0.25">
      <c r="S1248" s="44">
        <f t="shared" si="110"/>
        <v>44298</v>
      </c>
      <c r="T1248" s="12">
        <f t="shared" si="111"/>
        <v>5.1071796793452027</v>
      </c>
      <c r="U1248" s="12">
        <f t="shared" si="113"/>
        <v>4.9488208776245317</v>
      </c>
      <c r="V1248" s="30">
        <f t="shared" si="114"/>
        <v>0.46993753424657531</v>
      </c>
      <c r="W1248" s="46">
        <f t="shared" si="112"/>
        <v>-5.1071796793452022E-2</v>
      </c>
      <c r="X1248" s="33">
        <f t="shared" si="115"/>
        <v>2.7757079551632171E-2</v>
      </c>
    </row>
    <row r="1249" spans="19:24" x14ac:dyDescent="0.25">
      <c r="S1249" s="44">
        <f t="shared" si="110"/>
        <v>44299</v>
      </c>
      <c r="T1249" s="12">
        <f t="shared" si="111"/>
        <v>5.1045025970436617</v>
      </c>
      <c r="U1249" s="12">
        <f t="shared" si="113"/>
        <v>4.9461697008997447</v>
      </c>
      <c r="V1249" s="30">
        <f t="shared" si="114"/>
        <v>0.46991013698630135</v>
      </c>
      <c r="W1249" s="46">
        <f t="shared" si="112"/>
        <v>-5.1045025970436607E-2</v>
      </c>
      <c r="X1249" s="33">
        <f t="shared" si="115"/>
        <v>2.7757038039359229E-2</v>
      </c>
    </row>
    <row r="1250" spans="19:24" x14ac:dyDescent="0.25">
      <c r="S1250" s="44">
        <f t="shared" si="110"/>
        <v>44300</v>
      </c>
      <c r="T1250" s="12">
        <f t="shared" si="111"/>
        <v>5.101825514742119</v>
      </c>
      <c r="U1250" s="12">
        <f t="shared" si="113"/>
        <v>4.9435185241749542</v>
      </c>
      <c r="V1250" s="30">
        <f t="shared" si="114"/>
        <v>0.4698827397260274</v>
      </c>
      <c r="W1250" s="46">
        <f t="shared" si="112"/>
        <v>-5.1018255147421185E-2</v>
      </c>
      <c r="X1250" s="33">
        <f t="shared" si="115"/>
        <v>2.7756996527086283E-2</v>
      </c>
    </row>
    <row r="1251" spans="19:24" x14ac:dyDescent="0.25">
      <c r="S1251" s="44">
        <f t="shared" si="110"/>
        <v>44301</v>
      </c>
      <c r="T1251" s="12">
        <f t="shared" si="111"/>
        <v>5.099148432440578</v>
      </c>
      <c r="U1251" s="12">
        <f t="shared" si="113"/>
        <v>4.9408673474501636</v>
      </c>
      <c r="V1251" s="30">
        <f t="shared" si="114"/>
        <v>0.46985534246575339</v>
      </c>
      <c r="W1251" s="46">
        <f t="shared" si="112"/>
        <v>-5.099148432440577E-2</v>
      </c>
      <c r="X1251" s="33">
        <f t="shared" si="115"/>
        <v>2.7756955014813341E-2</v>
      </c>
    </row>
    <row r="1252" spans="19:24" x14ac:dyDescent="0.25">
      <c r="S1252" s="44">
        <f t="shared" si="110"/>
        <v>44302</v>
      </c>
      <c r="T1252" s="12">
        <f t="shared" si="111"/>
        <v>5.0964713501390371</v>
      </c>
      <c r="U1252" s="12">
        <f t="shared" si="113"/>
        <v>4.9382161707253767</v>
      </c>
      <c r="V1252" s="30">
        <f t="shared" si="114"/>
        <v>0.46982794520547944</v>
      </c>
      <c r="W1252" s="46">
        <f t="shared" si="112"/>
        <v>-5.0964713501390362E-2</v>
      </c>
      <c r="X1252" s="33">
        <f t="shared" si="115"/>
        <v>2.7756913502540399E-2</v>
      </c>
    </row>
    <row r="1253" spans="19:24" x14ac:dyDescent="0.25">
      <c r="S1253" s="44">
        <f t="shared" si="110"/>
        <v>44303</v>
      </c>
      <c r="T1253" s="12">
        <f t="shared" si="111"/>
        <v>5.093794267837497</v>
      </c>
      <c r="U1253" s="12">
        <f t="shared" si="113"/>
        <v>4.935564994000587</v>
      </c>
      <c r="V1253" s="30">
        <f t="shared" si="114"/>
        <v>0.46980054794520548</v>
      </c>
      <c r="W1253" s="46">
        <f t="shared" si="112"/>
        <v>-5.093794267837496E-2</v>
      </c>
      <c r="X1253" s="33">
        <f t="shared" si="115"/>
        <v>2.7756871990267454E-2</v>
      </c>
    </row>
    <row r="1254" spans="19:24" x14ac:dyDescent="0.25">
      <c r="S1254" s="44">
        <f t="shared" si="110"/>
        <v>44304</v>
      </c>
      <c r="T1254" s="12">
        <f t="shared" si="111"/>
        <v>5.0911171855359543</v>
      </c>
      <c r="U1254" s="12">
        <f t="shared" si="113"/>
        <v>4.9329138172757983</v>
      </c>
      <c r="V1254" s="30">
        <f t="shared" si="114"/>
        <v>0.46977315068493153</v>
      </c>
      <c r="W1254" s="46">
        <f t="shared" si="112"/>
        <v>-5.0911171855359538E-2</v>
      </c>
      <c r="X1254" s="33">
        <f t="shared" si="115"/>
        <v>2.7756830477994512E-2</v>
      </c>
    </row>
    <row r="1255" spans="19:24" x14ac:dyDescent="0.25">
      <c r="S1255" s="44">
        <f t="shared" ref="S1255:S1318" si="116">+S1254+1</f>
        <v>44305</v>
      </c>
      <c r="T1255" s="12">
        <f t="shared" ref="T1255:T1318" si="117">DurMod(S1255,B$2,$F$7:$G$37,$T$3)</f>
        <v>5.0884401032344151</v>
      </c>
      <c r="U1255" s="12">
        <f t="shared" si="113"/>
        <v>4.9302626405510068</v>
      </c>
      <c r="V1255" s="30">
        <f t="shared" si="114"/>
        <v>0.46974575342465752</v>
      </c>
      <c r="W1255" s="46">
        <f t="shared" ref="W1255:W1318" si="118">+-T1255*($U$3-$T$3)</f>
        <v>-5.0884401032344144E-2</v>
      </c>
      <c r="X1255" s="33">
        <f t="shared" si="115"/>
        <v>2.7756788965721563E-2</v>
      </c>
    </row>
    <row r="1256" spans="19:24" x14ac:dyDescent="0.25">
      <c r="S1256" s="44">
        <f t="shared" si="116"/>
        <v>44306</v>
      </c>
      <c r="T1256" s="12">
        <f t="shared" si="117"/>
        <v>5.0857630209328732</v>
      </c>
      <c r="U1256" s="12">
        <f t="shared" si="113"/>
        <v>4.9276114638262181</v>
      </c>
      <c r="V1256" s="30">
        <f t="shared" si="114"/>
        <v>0.46971835616438351</v>
      </c>
      <c r="W1256" s="46">
        <f t="shared" si="118"/>
        <v>-5.0857630209328722E-2</v>
      </c>
      <c r="X1256" s="33">
        <f t="shared" si="115"/>
        <v>2.7756747453448621E-2</v>
      </c>
    </row>
    <row r="1257" spans="19:24" x14ac:dyDescent="0.25">
      <c r="S1257" s="44">
        <f t="shared" si="116"/>
        <v>44307</v>
      </c>
      <c r="T1257" s="12">
        <f t="shared" si="117"/>
        <v>5.0830859386313314</v>
      </c>
      <c r="U1257" s="12">
        <f t="shared" si="113"/>
        <v>4.9249602871014284</v>
      </c>
      <c r="V1257" s="30">
        <f t="shared" si="114"/>
        <v>0.46969095890410956</v>
      </c>
      <c r="W1257" s="46">
        <f t="shared" si="118"/>
        <v>-5.0830859386313307E-2</v>
      </c>
      <c r="X1257" s="33">
        <f t="shared" si="115"/>
        <v>2.7756705941175675E-2</v>
      </c>
    </row>
    <row r="1258" spans="19:24" x14ac:dyDescent="0.25">
      <c r="S1258" s="44">
        <f t="shared" si="116"/>
        <v>44308</v>
      </c>
      <c r="T1258" s="12">
        <f t="shared" si="117"/>
        <v>5.0804088563297887</v>
      </c>
      <c r="U1258" s="12">
        <f t="shared" si="113"/>
        <v>4.9223091103766388</v>
      </c>
      <c r="V1258" s="30">
        <f t="shared" si="114"/>
        <v>0.4696635616438356</v>
      </c>
      <c r="W1258" s="46">
        <f t="shared" si="118"/>
        <v>-5.0804088563297878E-2</v>
      </c>
      <c r="X1258" s="33">
        <f t="shared" si="115"/>
        <v>2.7756664428902737E-2</v>
      </c>
    </row>
    <row r="1259" spans="19:24" x14ac:dyDescent="0.25">
      <c r="S1259" s="44">
        <f t="shared" si="116"/>
        <v>44309</v>
      </c>
      <c r="T1259" s="12">
        <f t="shared" si="117"/>
        <v>5.0777317740282477</v>
      </c>
      <c r="U1259" s="12">
        <f t="shared" si="113"/>
        <v>4.9196579336518518</v>
      </c>
      <c r="V1259" s="30">
        <f t="shared" si="114"/>
        <v>0.46963616438356159</v>
      </c>
      <c r="W1259" s="46">
        <f t="shared" si="118"/>
        <v>-5.077731774028247E-2</v>
      </c>
      <c r="X1259" s="33">
        <f t="shared" si="115"/>
        <v>2.7756622916629791E-2</v>
      </c>
    </row>
    <row r="1260" spans="19:24" x14ac:dyDescent="0.25">
      <c r="S1260" s="44">
        <f t="shared" si="116"/>
        <v>44310</v>
      </c>
      <c r="T1260" s="12">
        <f t="shared" si="117"/>
        <v>5.0750546917267076</v>
      </c>
      <c r="U1260" s="12">
        <f t="shared" si="113"/>
        <v>4.9170067569270604</v>
      </c>
      <c r="V1260" s="30">
        <f t="shared" si="114"/>
        <v>0.46960876712328764</v>
      </c>
      <c r="W1260" s="46">
        <f t="shared" si="118"/>
        <v>-5.0750546917267068E-2</v>
      </c>
      <c r="X1260" s="33">
        <f t="shared" si="115"/>
        <v>2.7756581404356849E-2</v>
      </c>
    </row>
    <row r="1261" spans="19:24" x14ac:dyDescent="0.25">
      <c r="S1261" s="44">
        <f t="shared" si="116"/>
        <v>44311</v>
      </c>
      <c r="T1261" s="12">
        <f t="shared" si="117"/>
        <v>5.0723776094251658</v>
      </c>
      <c r="U1261" s="12">
        <f t="shared" si="113"/>
        <v>4.9143555802022698</v>
      </c>
      <c r="V1261" s="30">
        <f t="shared" si="114"/>
        <v>0.46958136986301369</v>
      </c>
      <c r="W1261" s="46">
        <f t="shared" si="118"/>
        <v>-5.0723776094251653E-2</v>
      </c>
      <c r="X1261" s="33">
        <f t="shared" si="115"/>
        <v>2.77565398920839E-2</v>
      </c>
    </row>
    <row r="1262" spans="19:24" x14ac:dyDescent="0.25">
      <c r="S1262" s="44">
        <f t="shared" si="116"/>
        <v>44312</v>
      </c>
      <c r="T1262" s="12">
        <f t="shared" si="117"/>
        <v>5.069700527123624</v>
      </c>
      <c r="U1262" s="12">
        <f t="shared" si="113"/>
        <v>4.9117044034774819</v>
      </c>
      <c r="V1262" s="30">
        <f t="shared" si="114"/>
        <v>0.46955397260273973</v>
      </c>
      <c r="W1262" s="46">
        <f t="shared" si="118"/>
        <v>-5.0697005271236231E-2</v>
      </c>
      <c r="X1262" s="33">
        <f t="shared" si="115"/>
        <v>2.7756498379810965E-2</v>
      </c>
    </row>
    <row r="1263" spans="19:24" x14ac:dyDescent="0.25">
      <c r="S1263" s="44">
        <f t="shared" si="116"/>
        <v>44313</v>
      </c>
      <c r="T1263" s="12">
        <f t="shared" si="117"/>
        <v>5.0670234448220839</v>
      </c>
      <c r="U1263" s="12">
        <f t="shared" si="113"/>
        <v>4.9090532267526914</v>
      </c>
      <c r="V1263" s="30">
        <f t="shared" si="114"/>
        <v>0.46952657534246572</v>
      </c>
      <c r="W1263" s="46">
        <f t="shared" si="118"/>
        <v>-5.067023444822083E-2</v>
      </c>
      <c r="X1263" s="33">
        <f t="shared" si="115"/>
        <v>2.7756456867538016E-2</v>
      </c>
    </row>
    <row r="1264" spans="19:24" x14ac:dyDescent="0.25">
      <c r="S1264" s="44">
        <f t="shared" si="116"/>
        <v>44314</v>
      </c>
      <c r="T1264" s="12">
        <f t="shared" si="117"/>
        <v>5.0643463625205438</v>
      </c>
      <c r="U1264" s="12">
        <f t="shared" si="113"/>
        <v>4.9064020500279044</v>
      </c>
      <c r="V1264" s="30">
        <f t="shared" si="114"/>
        <v>0.46949917808219177</v>
      </c>
      <c r="W1264" s="46">
        <f t="shared" si="118"/>
        <v>-5.0643463625205429E-2</v>
      </c>
      <c r="X1264" s="33">
        <f t="shared" si="115"/>
        <v>2.775641535526507E-2</v>
      </c>
    </row>
    <row r="1265" spans="19:24" x14ac:dyDescent="0.25">
      <c r="S1265" s="44">
        <f t="shared" si="116"/>
        <v>44315</v>
      </c>
      <c r="T1265" s="12">
        <f t="shared" si="117"/>
        <v>5.0616692802190029</v>
      </c>
      <c r="U1265" s="12">
        <f t="shared" si="113"/>
        <v>4.9037508733031139</v>
      </c>
      <c r="V1265" s="30">
        <f t="shared" si="114"/>
        <v>0.46947178082191776</v>
      </c>
      <c r="W1265" s="46">
        <f t="shared" si="118"/>
        <v>-5.0616692802190021E-2</v>
      </c>
      <c r="X1265" s="33">
        <f t="shared" si="115"/>
        <v>2.7756373842992128E-2</v>
      </c>
    </row>
    <row r="1266" spans="19:24" x14ac:dyDescent="0.25">
      <c r="S1266" s="44">
        <f t="shared" si="116"/>
        <v>44316</v>
      </c>
      <c r="T1266" s="12">
        <f t="shared" si="117"/>
        <v>5.0589921979174592</v>
      </c>
      <c r="U1266" s="12">
        <f t="shared" si="113"/>
        <v>4.9010996965783251</v>
      </c>
      <c r="V1266" s="30">
        <f t="shared" si="114"/>
        <v>0.46944438356164375</v>
      </c>
      <c r="W1266" s="46">
        <f t="shared" si="118"/>
        <v>-5.0589921979174585E-2</v>
      </c>
      <c r="X1266" s="33">
        <f t="shared" si="115"/>
        <v>2.7756332330719179E-2</v>
      </c>
    </row>
    <row r="1267" spans="19:24" x14ac:dyDescent="0.25">
      <c r="S1267" s="44">
        <f t="shared" si="116"/>
        <v>44317</v>
      </c>
      <c r="T1267" s="12">
        <f t="shared" si="117"/>
        <v>5.0563151156159183</v>
      </c>
      <c r="U1267" s="12">
        <f t="shared" si="113"/>
        <v>4.8984485198535381</v>
      </c>
      <c r="V1267" s="30">
        <f t="shared" si="114"/>
        <v>0.46941698630136985</v>
      </c>
      <c r="W1267" s="46">
        <f t="shared" si="118"/>
        <v>-5.0563151156159176E-2</v>
      </c>
      <c r="X1267" s="33">
        <f t="shared" si="115"/>
        <v>2.7756290818446244E-2</v>
      </c>
    </row>
    <row r="1268" spans="19:24" x14ac:dyDescent="0.25">
      <c r="S1268" s="44">
        <f t="shared" si="116"/>
        <v>44318</v>
      </c>
      <c r="T1268" s="12">
        <f t="shared" si="117"/>
        <v>5.0536380333143773</v>
      </c>
      <c r="U1268" s="12">
        <f t="shared" si="113"/>
        <v>4.8957973431287458</v>
      </c>
      <c r="V1268" s="30">
        <f t="shared" si="114"/>
        <v>0.46938958904109584</v>
      </c>
      <c r="W1268" s="46">
        <f t="shared" si="118"/>
        <v>-5.0536380333143768E-2</v>
      </c>
      <c r="X1268" s="33">
        <f t="shared" si="115"/>
        <v>2.7756249306173292E-2</v>
      </c>
    </row>
    <row r="1269" spans="19:24" x14ac:dyDescent="0.25">
      <c r="S1269" s="44">
        <f t="shared" si="116"/>
        <v>44319</v>
      </c>
      <c r="T1269" s="12">
        <f t="shared" si="117"/>
        <v>5.0509609510128355</v>
      </c>
      <c r="U1269" s="12">
        <f t="shared" si="113"/>
        <v>4.8931461664039571</v>
      </c>
      <c r="V1269" s="30">
        <f t="shared" si="114"/>
        <v>0.46936219178082189</v>
      </c>
      <c r="W1269" s="46">
        <f t="shared" si="118"/>
        <v>-5.0509609510128346E-2</v>
      </c>
      <c r="X1269" s="33">
        <f t="shared" si="115"/>
        <v>2.7756207793900353E-2</v>
      </c>
    </row>
    <row r="1270" spans="19:24" x14ac:dyDescent="0.25">
      <c r="S1270" s="44">
        <f t="shared" si="116"/>
        <v>44320</v>
      </c>
      <c r="T1270" s="12">
        <f t="shared" si="117"/>
        <v>5.0482838687112945</v>
      </c>
      <c r="U1270" s="12">
        <f t="shared" si="113"/>
        <v>4.8904949896791674</v>
      </c>
      <c r="V1270" s="30">
        <f t="shared" si="114"/>
        <v>0.46933479452054788</v>
      </c>
      <c r="W1270" s="46">
        <f t="shared" si="118"/>
        <v>-5.0482838687112938E-2</v>
      </c>
      <c r="X1270" s="33">
        <f t="shared" si="115"/>
        <v>2.7756166281627408E-2</v>
      </c>
    </row>
    <row r="1271" spans="19:24" x14ac:dyDescent="0.25">
      <c r="S1271" s="44">
        <f t="shared" si="116"/>
        <v>44321</v>
      </c>
      <c r="T1271" s="12">
        <f t="shared" si="117"/>
        <v>5.0456067864097545</v>
      </c>
      <c r="U1271" s="12">
        <f t="shared" si="113"/>
        <v>4.8878438129543778</v>
      </c>
      <c r="V1271" s="30">
        <f t="shared" si="114"/>
        <v>0.46930739726027393</v>
      </c>
      <c r="W1271" s="46">
        <f t="shared" si="118"/>
        <v>-5.0456067864097537E-2</v>
      </c>
      <c r="X1271" s="33">
        <f t="shared" si="115"/>
        <v>2.7756124769354466E-2</v>
      </c>
    </row>
    <row r="1272" spans="19:24" x14ac:dyDescent="0.25">
      <c r="S1272" s="44">
        <f t="shared" si="116"/>
        <v>44322</v>
      </c>
      <c r="T1272" s="12">
        <f t="shared" si="117"/>
        <v>5.0429297041082126</v>
      </c>
      <c r="U1272" s="12">
        <f t="shared" si="113"/>
        <v>4.885192636229589</v>
      </c>
      <c r="V1272" s="30">
        <f t="shared" si="114"/>
        <v>0.46927999999999997</v>
      </c>
      <c r="W1272" s="46">
        <f t="shared" si="118"/>
        <v>-5.0429297041082122E-2</v>
      </c>
      <c r="X1272" s="33">
        <f t="shared" si="115"/>
        <v>2.775608325708152E-2</v>
      </c>
    </row>
    <row r="1273" spans="19:24" x14ac:dyDescent="0.25">
      <c r="S1273" s="44">
        <f t="shared" si="116"/>
        <v>44323</v>
      </c>
      <c r="T1273" s="12">
        <f t="shared" si="117"/>
        <v>5.0402526218066717</v>
      </c>
      <c r="U1273" s="12">
        <f t="shared" si="113"/>
        <v>4.8825414595047993</v>
      </c>
      <c r="V1273" s="30">
        <f t="shared" si="114"/>
        <v>0.46925260273972602</v>
      </c>
      <c r="W1273" s="46">
        <f t="shared" si="118"/>
        <v>-5.0402526218066707E-2</v>
      </c>
      <c r="X1273" s="33">
        <f t="shared" si="115"/>
        <v>2.7756041744808578E-2</v>
      </c>
    </row>
    <row r="1274" spans="19:24" x14ac:dyDescent="0.25">
      <c r="S1274" s="44">
        <f t="shared" si="116"/>
        <v>44324</v>
      </c>
      <c r="T1274" s="12">
        <f t="shared" si="117"/>
        <v>5.0375755395051307</v>
      </c>
      <c r="U1274" s="12">
        <f t="shared" si="113"/>
        <v>4.8798902827800124</v>
      </c>
      <c r="V1274" s="30">
        <f t="shared" si="114"/>
        <v>0.46922520547945201</v>
      </c>
      <c r="W1274" s="46">
        <f t="shared" si="118"/>
        <v>-5.0375755395051298E-2</v>
      </c>
      <c r="X1274" s="33">
        <f t="shared" si="115"/>
        <v>2.7756000232535636E-2</v>
      </c>
    </row>
    <row r="1275" spans="19:24" x14ac:dyDescent="0.25">
      <c r="S1275" s="44">
        <f t="shared" si="116"/>
        <v>44325</v>
      </c>
      <c r="T1275" s="12">
        <f t="shared" si="117"/>
        <v>5.0348984572035898</v>
      </c>
      <c r="U1275" s="12">
        <f t="shared" si="113"/>
        <v>4.87723910605522</v>
      </c>
      <c r="V1275" s="30">
        <f t="shared" si="114"/>
        <v>0.469197808219178</v>
      </c>
      <c r="W1275" s="46">
        <f t="shared" si="118"/>
        <v>-5.034898457203589E-2</v>
      </c>
      <c r="X1275" s="33">
        <f t="shared" si="115"/>
        <v>2.7755958720262684E-2</v>
      </c>
    </row>
    <row r="1276" spans="19:24" x14ac:dyDescent="0.25">
      <c r="S1276" s="44">
        <f t="shared" si="116"/>
        <v>44326</v>
      </c>
      <c r="T1276" s="12">
        <f t="shared" si="117"/>
        <v>5.0322213749020488</v>
      </c>
      <c r="U1276" s="12">
        <f t="shared" si="113"/>
        <v>4.8745879293304322</v>
      </c>
      <c r="V1276" s="30">
        <f t="shared" si="114"/>
        <v>0.4691704109589041</v>
      </c>
      <c r="W1276" s="46">
        <f t="shared" si="118"/>
        <v>-5.0322213749020482E-2</v>
      </c>
      <c r="X1276" s="33">
        <f t="shared" si="115"/>
        <v>2.7755917207989745E-2</v>
      </c>
    </row>
    <row r="1277" spans="19:24" x14ac:dyDescent="0.25">
      <c r="S1277" s="44">
        <f t="shared" si="116"/>
        <v>44327</v>
      </c>
      <c r="T1277" s="12">
        <f t="shared" si="117"/>
        <v>5.0295442926005061</v>
      </c>
      <c r="U1277" s="12">
        <f t="shared" si="113"/>
        <v>4.8719367526056434</v>
      </c>
      <c r="V1277" s="30">
        <f t="shared" si="114"/>
        <v>0.4691430136986301</v>
      </c>
      <c r="W1277" s="46">
        <f t="shared" si="118"/>
        <v>-5.0295442926005053E-2</v>
      </c>
      <c r="X1277" s="33">
        <f t="shared" si="115"/>
        <v>2.7755875695716799E-2</v>
      </c>
    </row>
    <row r="1278" spans="19:24" x14ac:dyDescent="0.25">
      <c r="S1278" s="44">
        <f t="shared" si="116"/>
        <v>44328</v>
      </c>
      <c r="T1278" s="12">
        <f t="shared" si="117"/>
        <v>5.026867210298966</v>
      </c>
      <c r="U1278" s="12">
        <f t="shared" si="113"/>
        <v>4.8692855758808546</v>
      </c>
      <c r="V1278" s="30">
        <f t="shared" si="114"/>
        <v>0.46911561643835609</v>
      </c>
      <c r="W1278" s="46">
        <f t="shared" si="118"/>
        <v>-5.0268672102989652E-2</v>
      </c>
      <c r="X1278" s="33">
        <f t="shared" si="115"/>
        <v>2.7755834183443857E-2</v>
      </c>
    </row>
    <row r="1279" spans="19:24" x14ac:dyDescent="0.25">
      <c r="S1279" s="44">
        <f t="shared" si="116"/>
        <v>44329</v>
      </c>
      <c r="T1279" s="12">
        <f t="shared" si="117"/>
        <v>5.0241901279974241</v>
      </c>
      <c r="U1279" s="12">
        <f t="shared" si="113"/>
        <v>4.8666343991560641</v>
      </c>
      <c r="V1279" s="30">
        <f t="shared" si="114"/>
        <v>0.46908821917808213</v>
      </c>
      <c r="W1279" s="46">
        <f t="shared" si="118"/>
        <v>-5.0241901279974237E-2</v>
      </c>
      <c r="X1279" s="33">
        <f t="shared" si="115"/>
        <v>2.7755792671170908E-2</v>
      </c>
    </row>
    <row r="1280" spans="19:24" x14ac:dyDescent="0.25">
      <c r="S1280" s="44">
        <f t="shared" si="116"/>
        <v>44330</v>
      </c>
      <c r="T1280" s="12">
        <f t="shared" si="117"/>
        <v>5.021513045695885</v>
      </c>
      <c r="U1280" s="12">
        <f t="shared" si="113"/>
        <v>4.8639832224312753</v>
      </c>
      <c r="V1280" s="30">
        <f t="shared" si="114"/>
        <v>0.46906082191780818</v>
      </c>
      <c r="W1280" s="46">
        <f t="shared" si="118"/>
        <v>-5.0215130456958842E-2</v>
      </c>
      <c r="X1280" s="33">
        <f t="shared" si="115"/>
        <v>2.7755751158897966E-2</v>
      </c>
    </row>
    <row r="1281" spans="19:24" x14ac:dyDescent="0.25">
      <c r="S1281" s="44">
        <f t="shared" si="116"/>
        <v>44331</v>
      </c>
      <c r="T1281" s="12">
        <f t="shared" si="117"/>
        <v>5.0188359633943413</v>
      </c>
      <c r="U1281" s="12">
        <f t="shared" si="113"/>
        <v>4.8613320457064866</v>
      </c>
      <c r="V1281" s="30">
        <f t="shared" si="114"/>
        <v>0.46903342465753423</v>
      </c>
      <c r="W1281" s="46">
        <f t="shared" si="118"/>
        <v>-5.0188359633943407E-2</v>
      </c>
      <c r="X1281" s="33">
        <f t="shared" si="115"/>
        <v>2.7755709646625024E-2</v>
      </c>
    </row>
    <row r="1282" spans="19:24" x14ac:dyDescent="0.25">
      <c r="S1282" s="44">
        <f t="shared" si="116"/>
        <v>44332</v>
      </c>
      <c r="T1282" s="12">
        <f t="shared" si="117"/>
        <v>5.0161588810928004</v>
      </c>
      <c r="U1282" s="12">
        <f t="shared" si="113"/>
        <v>4.858680868981696</v>
      </c>
      <c r="V1282" s="30">
        <f t="shared" si="114"/>
        <v>0.46900602739726022</v>
      </c>
      <c r="W1282" s="46">
        <f t="shared" si="118"/>
        <v>-5.0161588810927998E-2</v>
      </c>
      <c r="X1282" s="33">
        <f t="shared" si="115"/>
        <v>2.7755668134352082E-2</v>
      </c>
    </row>
    <row r="1283" spans="19:24" x14ac:dyDescent="0.25">
      <c r="S1283" s="44">
        <f t="shared" si="116"/>
        <v>44333</v>
      </c>
      <c r="T1283" s="12">
        <f t="shared" si="117"/>
        <v>5.0134817987912594</v>
      </c>
      <c r="U1283" s="12">
        <f t="shared" si="113"/>
        <v>4.8560296922569046</v>
      </c>
      <c r="V1283" s="30">
        <f t="shared" si="114"/>
        <v>0.46897863013698637</v>
      </c>
      <c r="W1283" s="46">
        <f t="shared" si="118"/>
        <v>-5.0134817987912583E-2</v>
      </c>
      <c r="X1283" s="33">
        <f t="shared" si="115"/>
        <v>2.7755626622079147E-2</v>
      </c>
    </row>
    <row r="1284" spans="19:24" x14ac:dyDescent="0.25">
      <c r="S1284" s="44">
        <f t="shared" si="116"/>
        <v>44334</v>
      </c>
      <c r="T1284" s="12">
        <f t="shared" si="117"/>
        <v>5.0108047164897185</v>
      </c>
      <c r="U1284" s="12">
        <f t="shared" si="113"/>
        <v>4.8533785155321176</v>
      </c>
      <c r="V1284" s="30">
        <f t="shared" si="114"/>
        <v>0.46895123287671237</v>
      </c>
      <c r="W1284" s="46">
        <f t="shared" si="118"/>
        <v>-5.0108047164897175E-2</v>
      </c>
      <c r="X1284" s="33">
        <f t="shared" si="115"/>
        <v>2.7755585109806198E-2</v>
      </c>
    </row>
    <row r="1285" spans="19:24" x14ac:dyDescent="0.25">
      <c r="S1285" s="44">
        <f t="shared" si="116"/>
        <v>44335</v>
      </c>
      <c r="T1285" s="12">
        <f t="shared" si="117"/>
        <v>5.0081276341881775</v>
      </c>
      <c r="U1285" s="12">
        <f t="shared" ref="U1285:U1348" si="119">DurMod($S1285,$B$2,$F$7:$G$37,U$3)</f>
        <v>4.8507273388073271</v>
      </c>
      <c r="V1285" s="30">
        <f t="shared" ref="V1285:V1348" si="120">+$U$3*($S$5512-S1285)/365+$T$3*(S1285-$S$4)/365</f>
        <v>0.46892383561643836</v>
      </c>
      <c r="W1285" s="46">
        <f t="shared" si="118"/>
        <v>-5.0081276341881767E-2</v>
      </c>
      <c r="X1285" s="33">
        <f t="shared" ref="X1285:X1348" si="121">+(V1285+W1285)*365/($S$5512-$S$4)</f>
        <v>2.7755543597533253E-2</v>
      </c>
    </row>
    <row r="1286" spans="19:24" x14ac:dyDescent="0.25">
      <c r="S1286" s="44">
        <f t="shared" si="116"/>
        <v>44336</v>
      </c>
      <c r="T1286" s="12">
        <f t="shared" si="117"/>
        <v>5.0054505518866375</v>
      </c>
      <c r="U1286" s="12">
        <f t="shared" si="119"/>
        <v>4.8480761620825392</v>
      </c>
      <c r="V1286" s="30">
        <f t="shared" si="120"/>
        <v>0.4688964383561644</v>
      </c>
      <c r="W1286" s="46">
        <f t="shared" si="118"/>
        <v>-5.0054505518866366E-2</v>
      </c>
      <c r="X1286" s="33">
        <f t="shared" si="121"/>
        <v>2.7755502085260311E-2</v>
      </c>
    </row>
    <row r="1287" spans="19:24" x14ac:dyDescent="0.25">
      <c r="S1287" s="44">
        <f t="shared" si="116"/>
        <v>44337</v>
      </c>
      <c r="T1287" s="12">
        <f t="shared" si="117"/>
        <v>5.0027734695850956</v>
      </c>
      <c r="U1287" s="12">
        <f t="shared" si="119"/>
        <v>4.8454249853577496</v>
      </c>
      <c r="V1287" s="30">
        <f t="shared" si="120"/>
        <v>0.46886904109589045</v>
      </c>
      <c r="W1287" s="46">
        <f t="shared" si="118"/>
        <v>-5.0027734695850951E-2</v>
      </c>
      <c r="X1287" s="33">
        <f t="shared" si="121"/>
        <v>2.7755460572987362E-2</v>
      </c>
    </row>
    <row r="1288" spans="19:24" x14ac:dyDescent="0.25">
      <c r="S1288" s="44">
        <f t="shared" si="116"/>
        <v>44338</v>
      </c>
      <c r="T1288" s="12">
        <f t="shared" si="117"/>
        <v>5.0000963872835538</v>
      </c>
      <c r="U1288" s="12">
        <f t="shared" si="119"/>
        <v>4.8427738086329599</v>
      </c>
      <c r="V1288" s="30">
        <f t="shared" si="120"/>
        <v>0.4688416438356165</v>
      </c>
      <c r="W1288" s="46">
        <f t="shared" si="118"/>
        <v>-5.0000963872835529E-2</v>
      </c>
      <c r="X1288" s="33">
        <f t="shared" si="121"/>
        <v>2.7755419060714426E-2</v>
      </c>
    </row>
    <row r="1289" spans="19:24" x14ac:dyDescent="0.25">
      <c r="S1289" s="44">
        <f t="shared" si="116"/>
        <v>44339</v>
      </c>
      <c r="T1289" s="12">
        <f t="shared" si="117"/>
        <v>4.9974193049820137</v>
      </c>
      <c r="U1289" s="12">
        <f t="shared" si="119"/>
        <v>4.840122631908172</v>
      </c>
      <c r="V1289" s="30">
        <f t="shared" si="120"/>
        <v>0.46881424657534249</v>
      </c>
      <c r="W1289" s="46">
        <f t="shared" si="118"/>
        <v>-4.9974193049820127E-2</v>
      </c>
      <c r="X1289" s="33">
        <f t="shared" si="121"/>
        <v>2.7755377548441477E-2</v>
      </c>
    </row>
    <row r="1290" spans="19:24" x14ac:dyDescent="0.25">
      <c r="S1290" s="44">
        <f t="shared" si="116"/>
        <v>44340</v>
      </c>
      <c r="T1290" s="12">
        <f t="shared" si="117"/>
        <v>4.9947422226804727</v>
      </c>
      <c r="U1290" s="12">
        <f t="shared" si="119"/>
        <v>4.8374714551833806</v>
      </c>
      <c r="V1290" s="30">
        <f t="shared" si="120"/>
        <v>0.46878684931506853</v>
      </c>
      <c r="W1290" s="46">
        <f t="shared" si="118"/>
        <v>-4.9947422226804719E-2</v>
      </c>
      <c r="X1290" s="33">
        <f t="shared" si="121"/>
        <v>2.7755336036168539E-2</v>
      </c>
    </row>
    <row r="1291" spans="19:24" x14ac:dyDescent="0.25">
      <c r="S1291" s="44">
        <f t="shared" si="116"/>
        <v>44341</v>
      </c>
      <c r="T1291" s="12">
        <f t="shared" si="117"/>
        <v>4.99206514037893</v>
      </c>
      <c r="U1291" s="12">
        <f t="shared" si="119"/>
        <v>4.8348202784585927</v>
      </c>
      <c r="V1291" s="30">
        <f t="shared" si="120"/>
        <v>0.46875945205479452</v>
      </c>
      <c r="W1291" s="46">
        <f t="shared" si="118"/>
        <v>-4.992065140378929E-2</v>
      </c>
      <c r="X1291" s="33">
        <f t="shared" si="121"/>
        <v>2.775529452389559E-2</v>
      </c>
    </row>
    <row r="1292" spans="19:24" x14ac:dyDescent="0.25">
      <c r="S1292" s="44">
        <f t="shared" si="116"/>
        <v>44342</v>
      </c>
      <c r="T1292" s="12">
        <f t="shared" si="117"/>
        <v>4.9893880580773899</v>
      </c>
      <c r="U1292" s="12">
        <f t="shared" si="119"/>
        <v>4.8321691017338031</v>
      </c>
      <c r="V1292" s="30">
        <f t="shared" si="120"/>
        <v>0.46873205479452063</v>
      </c>
      <c r="W1292" s="46">
        <f t="shared" si="118"/>
        <v>-4.9893880580773889E-2</v>
      </c>
      <c r="X1292" s="33">
        <f t="shared" si="121"/>
        <v>2.7755253011622655E-2</v>
      </c>
    </row>
    <row r="1293" spans="19:24" x14ac:dyDescent="0.25">
      <c r="S1293" s="44">
        <f t="shared" si="116"/>
        <v>44343</v>
      </c>
      <c r="T1293" s="12">
        <f t="shared" si="117"/>
        <v>4.9867109757758472</v>
      </c>
      <c r="U1293" s="12">
        <f t="shared" si="119"/>
        <v>4.8295179250090143</v>
      </c>
      <c r="V1293" s="30">
        <f t="shared" si="120"/>
        <v>0.46870465753424662</v>
      </c>
      <c r="W1293" s="46">
        <f t="shared" si="118"/>
        <v>-4.9867109757758467E-2</v>
      </c>
      <c r="X1293" s="33">
        <f t="shared" si="121"/>
        <v>2.7755211499349702E-2</v>
      </c>
    </row>
    <row r="1294" spans="19:24" x14ac:dyDescent="0.25">
      <c r="S1294" s="44">
        <f t="shared" si="116"/>
        <v>44344</v>
      </c>
      <c r="T1294" s="12">
        <f t="shared" si="117"/>
        <v>4.9840338934743063</v>
      </c>
      <c r="U1294" s="12">
        <f t="shared" si="119"/>
        <v>4.8268667482842256</v>
      </c>
      <c r="V1294" s="30">
        <f t="shared" si="120"/>
        <v>0.46867726027397261</v>
      </c>
      <c r="W1294" s="46">
        <f t="shared" si="118"/>
        <v>-4.9840338934743052E-2</v>
      </c>
      <c r="X1294" s="33">
        <f t="shared" si="121"/>
        <v>2.775516998707676E-2</v>
      </c>
    </row>
    <row r="1295" spans="19:24" x14ac:dyDescent="0.25">
      <c r="S1295" s="44">
        <f t="shared" si="116"/>
        <v>44345</v>
      </c>
      <c r="T1295" s="12">
        <f t="shared" si="117"/>
        <v>4.9813568111727644</v>
      </c>
      <c r="U1295" s="12">
        <f t="shared" si="119"/>
        <v>4.824215571559435</v>
      </c>
      <c r="V1295" s="30">
        <f t="shared" si="120"/>
        <v>0.46864986301369865</v>
      </c>
      <c r="W1295" s="46">
        <f t="shared" si="118"/>
        <v>-4.9813568111727637E-2</v>
      </c>
      <c r="X1295" s="33">
        <f t="shared" si="121"/>
        <v>2.7755128474803818E-2</v>
      </c>
    </row>
    <row r="1296" spans="19:24" x14ac:dyDescent="0.25">
      <c r="S1296" s="44">
        <f t="shared" si="116"/>
        <v>44346</v>
      </c>
      <c r="T1296" s="12">
        <f t="shared" si="117"/>
        <v>4.9786797288712243</v>
      </c>
      <c r="U1296" s="12">
        <f t="shared" si="119"/>
        <v>4.8215643948346463</v>
      </c>
      <c r="V1296" s="30">
        <f t="shared" si="120"/>
        <v>0.46862246575342464</v>
      </c>
      <c r="W1296" s="46">
        <f t="shared" si="118"/>
        <v>-4.9786797288712235E-2</v>
      </c>
      <c r="X1296" s="33">
        <f t="shared" si="121"/>
        <v>2.7755086962530869E-2</v>
      </c>
    </row>
    <row r="1297" spans="19:24" x14ac:dyDescent="0.25">
      <c r="S1297" s="44">
        <f t="shared" si="116"/>
        <v>44347</v>
      </c>
      <c r="T1297" s="12">
        <f t="shared" si="117"/>
        <v>4.9760026465696834</v>
      </c>
      <c r="U1297" s="12">
        <f t="shared" si="119"/>
        <v>4.8189132181098575</v>
      </c>
      <c r="V1297" s="30">
        <f t="shared" si="120"/>
        <v>0.46859506849315069</v>
      </c>
      <c r="W1297" s="46">
        <f t="shared" si="118"/>
        <v>-4.9760026465696827E-2</v>
      </c>
      <c r="X1297" s="33">
        <f t="shared" si="121"/>
        <v>2.7755045450257927E-2</v>
      </c>
    </row>
    <row r="1298" spans="19:24" x14ac:dyDescent="0.25">
      <c r="S1298" s="44">
        <f t="shared" si="116"/>
        <v>44348</v>
      </c>
      <c r="T1298" s="12">
        <f t="shared" si="117"/>
        <v>4.9733255642681415</v>
      </c>
      <c r="U1298" s="12">
        <f t="shared" si="119"/>
        <v>4.816262041385067</v>
      </c>
      <c r="V1298" s="30">
        <f t="shared" si="120"/>
        <v>0.46856767123287674</v>
      </c>
      <c r="W1298" s="46">
        <f t="shared" si="118"/>
        <v>-4.9733255642681405E-2</v>
      </c>
      <c r="X1298" s="33">
        <f t="shared" si="121"/>
        <v>2.7755003937984985E-2</v>
      </c>
    </row>
    <row r="1299" spans="19:24" x14ac:dyDescent="0.25">
      <c r="S1299" s="44">
        <f t="shared" si="116"/>
        <v>44349</v>
      </c>
      <c r="T1299" s="12">
        <f t="shared" si="117"/>
        <v>4.9706484819666006</v>
      </c>
      <c r="U1299" s="12">
        <f t="shared" si="119"/>
        <v>4.8136108646602791</v>
      </c>
      <c r="V1299" s="30">
        <f t="shared" si="120"/>
        <v>0.46854027397260278</v>
      </c>
      <c r="W1299" s="46">
        <f t="shared" si="118"/>
        <v>-4.9706484819665997E-2</v>
      </c>
      <c r="X1299" s="33">
        <f t="shared" si="121"/>
        <v>2.7754962425712043E-2</v>
      </c>
    </row>
    <row r="1300" spans="19:24" x14ac:dyDescent="0.25">
      <c r="S1300" s="44">
        <f t="shared" si="116"/>
        <v>44350</v>
      </c>
      <c r="T1300" s="12">
        <f t="shared" si="117"/>
        <v>4.967971399665057</v>
      </c>
      <c r="U1300" s="12">
        <f t="shared" si="119"/>
        <v>4.8109596879354903</v>
      </c>
      <c r="V1300" s="30">
        <f t="shared" si="120"/>
        <v>0.46851287671232877</v>
      </c>
      <c r="W1300" s="46">
        <f t="shared" si="118"/>
        <v>-4.9679713996650561E-2</v>
      </c>
      <c r="X1300" s="33">
        <f t="shared" si="121"/>
        <v>2.7754920913439098E-2</v>
      </c>
    </row>
    <row r="1301" spans="19:24" x14ac:dyDescent="0.25">
      <c r="S1301" s="44">
        <f t="shared" si="116"/>
        <v>44351</v>
      </c>
      <c r="T1301" s="12">
        <f t="shared" si="117"/>
        <v>4.9652943173635187</v>
      </c>
      <c r="U1301" s="12">
        <f t="shared" si="119"/>
        <v>4.8083085112106989</v>
      </c>
      <c r="V1301" s="30">
        <f t="shared" si="120"/>
        <v>0.46848547945205482</v>
      </c>
      <c r="W1301" s="46">
        <f t="shared" si="118"/>
        <v>-4.9652943173635181E-2</v>
      </c>
      <c r="X1301" s="33">
        <f t="shared" si="121"/>
        <v>2.7754879401166156E-2</v>
      </c>
    </row>
    <row r="1302" spans="19:24" x14ac:dyDescent="0.25">
      <c r="S1302" s="44">
        <f t="shared" si="116"/>
        <v>44352</v>
      </c>
      <c r="T1302" s="12">
        <f t="shared" si="117"/>
        <v>4.9626172350619777</v>
      </c>
      <c r="U1302" s="12">
        <f t="shared" si="119"/>
        <v>4.8056573344859119</v>
      </c>
      <c r="V1302" s="30">
        <f t="shared" si="120"/>
        <v>0.46845808219178087</v>
      </c>
      <c r="W1302" s="46">
        <f t="shared" si="118"/>
        <v>-4.9626172350619772E-2</v>
      </c>
      <c r="X1302" s="33">
        <f t="shared" si="121"/>
        <v>2.7754837888893207E-2</v>
      </c>
    </row>
    <row r="1303" spans="19:24" x14ac:dyDescent="0.25">
      <c r="S1303" s="44">
        <f t="shared" si="116"/>
        <v>44353</v>
      </c>
      <c r="T1303" s="12">
        <f t="shared" si="117"/>
        <v>4.9599401527604359</v>
      </c>
      <c r="U1303" s="12">
        <f t="shared" si="119"/>
        <v>4.8030061577611214</v>
      </c>
      <c r="V1303" s="30">
        <f t="shared" si="120"/>
        <v>0.46843068493150686</v>
      </c>
      <c r="W1303" s="46">
        <f t="shared" si="118"/>
        <v>-4.959940152760435E-2</v>
      </c>
      <c r="X1303" s="33">
        <f t="shared" si="121"/>
        <v>2.7754796376620264E-2</v>
      </c>
    </row>
    <row r="1304" spans="19:24" x14ac:dyDescent="0.25">
      <c r="S1304" s="44">
        <f t="shared" si="116"/>
        <v>44354</v>
      </c>
      <c r="T1304" s="12">
        <f t="shared" si="117"/>
        <v>4.9572630704588949</v>
      </c>
      <c r="U1304" s="12">
        <f t="shared" si="119"/>
        <v>4.8003549810363308</v>
      </c>
      <c r="V1304" s="30">
        <f t="shared" si="120"/>
        <v>0.46840328767123285</v>
      </c>
      <c r="W1304" s="46">
        <f t="shared" si="118"/>
        <v>-4.9572630704588942E-2</v>
      </c>
      <c r="X1304" s="33">
        <f t="shared" si="121"/>
        <v>2.7754754864347319E-2</v>
      </c>
    </row>
    <row r="1305" spans="19:24" x14ac:dyDescent="0.25">
      <c r="S1305" s="44">
        <f t="shared" si="116"/>
        <v>44355</v>
      </c>
      <c r="T1305" s="12">
        <f t="shared" si="117"/>
        <v>4.9545859881573522</v>
      </c>
      <c r="U1305" s="12">
        <f t="shared" si="119"/>
        <v>4.797703804311543</v>
      </c>
      <c r="V1305" s="30">
        <f t="shared" si="120"/>
        <v>0.46837589041095889</v>
      </c>
      <c r="W1305" s="46">
        <f t="shared" si="118"/>
        <v>-4.9545859881573513E-2</v>
      </c>
      <c r="X1305" s="33">
        <f t="shared" si="121"/>
        <v>2.7754713352074377E-2</v>
      </c>
    </row>
    <row r="1306" spans="19:24" x14ac:dyDescent="0.25">
      <c r="S1306" s="44">
        <f t="shared" si="116"/>
        <v>44356</v>
      </c>
      <c r="T1306" s="12">
        <f t="shared" si="117"/>
        <v>4.951908905855813</v>
      </c>
      <c r="U1306" s="12">
        <f t="shared" si="119"/>
        <v>4.7950526275867515</v>
      </c>
      <c r="V1306" s="30">
        <f t="shared" si="120"/>
        <v>0.46834849315068494</v>
      </c>
      <c r="W1306" s="46">
        <f t="shared" si="118"/>
        <v>-4.9519089058558126E-2</v>
      </c>
      <c r="X1306" s="33">
        <f t="shared" si="121"/>
        <v>2.7754671839801435E-2</v>
      </c>
    </row>
    <row r="1307" spans="19:24" x14ac:dyDescent="0.25">
      <c r="S1307" s="44">
        <f t="shared" si="116"/>
        <v>44357</v>
      </c>
      <c r="T1307" s="12">
        <f t="shared" si="117"/>
        <v>4.9492318235542712</v>
      </c>
      <c r="U1307" s="12">
        <f t="shared" si="119"/>
        <v>4.7924014508619628</v>
      </c>
      <c r="V1307" s="30">
        <f t="shared" si="120"/>
        <v>0.46832109589041099</v>
      </c>
      <c r="W1307" s="46">
        <f t="shared" si="118"/>
        <v>-4.9492318235542704E-2</v>
      </c>
      <c r="X1307" s="33">
        <f t="shared" si="121"/>
        <v>2.7754630327528486E-2</v>
      </c>
    </row>
    <row r="1308" spans="19:24" x14ac:dyDescent="0.25">
      <c r="S1308" s="44">
        <f t="shared" si="116"/>
        <v>44358</v>
      </c>
      <c r="T1308" s="12">
        <f t="shared" si="117"/>
        <v>4.9465547412527302</v>
      </c>
      <c r="U1308" s="12">
        <f t="shared" si="119"/>
        <v>4.7897502741371758</v>
      </c>
      <c r="V1308" s="30">
        <f t="shared" si="120"/>
        <v>0.46829369863013698</v>
      </c>
      <c r="W1308" s="46">
        <f t="shared" si="118"/>
        <v>-4.9465547412527296E-2</v>
      </c>
      <c r="X1308" s="33">
        <f t="shared" si="121"/>
        <v>2.7754588815255544E-2</v>
      </c>
    </row>
    <row r="1309" spans="19:24" x14ac:dyDescent="0.25">
      <c r="S1309" s="44">
        <f t="shared" si="116"/>
        <v>44359</v>
      </c>
      <c r="T1309" s="12">
        <f t="shared" si="117"/>
        <v>4.9438776589511884</v>
      </c>
      <c r="U1309" s="12">
        <f t="shared" si="119"/>
        <v>4.7870990974123853</v>
      </c>
      <c r="V1309" s="30">
        <f t="shared" si="120"/>
        <v>0.46826630136986302</v>
      </c>
      <c r="W1309" s="46">
        <f t="shared" si="118"/>
        <v>-4.9438776589511874E-2</v>
      </c>
      <c r="X1309" s="33">
        <f t="shared" si="121"/>
        <v>2.7754547302982598E-2</v>
      </c>
    </row>
    <row r="1310" spans="19:24" x14ac:dyDescent="0.25">
      <c r="S1310" s="44">
        <f t="shared" si="116"/>
        <v>44360</v>
      </c>
      <c r="T1310" s="12">
        <f t="shared" si="117"/>
        <v>4.9412005766496474</v>
      </c>
      <c r="U1310" s="12">
        <f t="shared" si="119"/>
        <v>4.7844479206875947</v>
      </c>
      <c r="V1310" s="30">
        <f t="shared" si="120"/>
        <v>0.46823890410958907</v>
      </c>
      <c r="W1310" s="46">
        <f t="shared" si="118"/>
        <v>-4.9412005766496465E-2</v>
      </c>
      <c r="X1310" s="33">
        <f t="shared" si="121"/>
        <v>2.7754505790709663E-2</v>
      </c>
    </row>
    <row r="1311" spans="19:24" x14ac:dyDescent="0.25">
      <c r="S1311" s="44">
        <f t="shared" si="116"/>
        <v>44361</v>
      </c>
      <c r="T1311" s="12">
        <f t="shared" si="117"/>
        <v>4.9385234943481056</v>
      </c>
      <c r="U1311" s="12">
        <f t="shared" si="119"/>
        <v>4.781796743962806</v>
      </c>
      <c r="V1311" s="30">
        <f t="shared" si="120"/>
        <v>0.46821150684931512</v>
      </c>
      <c r="W1311" s="46">
        <f t="shared" si="118"/>
        <v>-4.938523494348105E-2</v>
      </c>
      <c r="X1311" s="33">
        <f t="shared" si="121"/>
        <v>2.7754464278436714E-2</v>
      </c>
    </row>
    <row r="1312" spans="19:24" x14ac:dyDescent="0.25">
      <c r="S1312" s="44">
        <f t="shared" si="116"/>
        <v>44362</v>
      </c>
      <c r="T1312" s="12">
        <f t="shared" si="117"/>
        <v>5.2325449174869387</v>
      </c>
      <c r="U1312" s="12">
        <f t="shared" si="119"/>
        <v>5.081627338955327</v>
      </c>
      <c r="V1312" s="30">
        <f t="shared" si="120"/>
        <v>0.46818410958904111</v>
      </c>
      <c r="W1312" s="46">
        <f t="shared" si="118"/>
        <v>-5.2325449174869379E-2</v>
      </c>
      <c r="X1312" s="33">
        <f t="shared" si="121"/>
        <v>2.7557808832820024E-2</v>
      </c>
    </row>
    <row r="1313" spans="19:24" x14ac:dyDescent="0.25">
      <c r="S1313" s="44">
        <f t="shared" si="116"/>
        <v>44363</v>
      </c>
      <c r="T1313" s="12">
        <f t="shared" si="117"/>
        <v>5.229867835185396</v>
      </c>
      <c r="U1313" s="12">
        <f t="shared" si="119"/>
        <v>5.0789761622305374</v>
      </c>
      <c r="V1313" s="30">
        <f t="shared" si="120"/>
        <v>0.4681567123287671</v>
      </c>
      <c r="W1313" s="46">
        <f t="shared" si="118"/>
        <v>-5.229867835185395E-2</v>
      </c>
      <c r="X1313" s="33">
        <f t="shared" si="121"/>
        <v>2.7557767320547075E-2</v>
      </c>
    </row>
    <row r="1314" spans="19:24" x14ac:dyDescent="0.25">
      <c r="S1314" s="44">
        <f t="shared" si="116"/>
        <v>44364</v>
      </c>
      <c r="T1314" s="12">
        <f t="shared" si="117"/>
        <v>5.2271907528838533</v>
      </c>
      <c r="U1314" s="12">
        <f t="shared" si="119"/>
        <v>5.0763249855057468</v>
      </c>
      <c r="V1314" s="30">
        <f t="shared" si="120"/>
        <v>0.46812931506849315</v>
      </c>
      <c r="W1314" s="46">
        <f t="shared" si="118"/>
        <v>-5.2271907528838528E-2</v>
      </c>
      <c r="X1314" s="33">
        <f t="shared" si="121"/>
        <v>2.7557725808274133E-2</v>
      </c>
    </row>
    <row r="1315" spans="19:24" x14ac:dyDescent="0.25">
      <c r="S1315" s="44">
        <f t="shared" si="116"/>
        <v>44365</v>
      </c>
      <c r="T1315" s="12">
        <f t="shared" si="117"/>
        <v>5.2245136705823114</v>
      </c>
      <c r="U1315" s="12">
        <f t="shared" si="119"/>
        <v>5.0736738087809572</v>
      </c>
      <c r="V1315" s="30">
        <f t="shared" si="120"/>
        <v>0.46810191780821919</v>
      </c>
      <c r="W1315" s="46">
        <f t="shared" si="118"/>
        <v>-5.2245136705823106E-2</v>
      </c>
      <c r="X1315" s="33">
        <f t="shared" si="121"/>
        <v>2.7557684296001191E-2</v>
      </c>
    </row>
    <row r="1316" spans="19:24" x14ac:dyDescent="0.25">
      <c r="S1316" s="44">
        <f t="shared" si="116"/>
        <v>44366</v>
      </c>
      <c r="T1316" s="12">
        <f t="shared" si="117"/>
        <v>5.2218365882807696</v>
      </c>
      <c r="U1316" s="12">
        <f t="shared" si="119"/>
        <v>5.0710226320561675</v>
      </c>
      <c r="V1316" s="30">
        <f t="shared" si="120"/>
        <v>0.46807452054794518</v>
      </c>
      <c r="W1316" s="46">
        <f t="shared" si="118"/>
        <v>-5.2218365882807691E-2</v>
      </c>
      <c r="X1316" s="33">
        <f t="shared" si="121"/>
        <v>2.7557642783728246E-2</v>
      </c>
    </row>
    <row r="1317" spans="19:24" x14ac:dyDescent="0.25">
      <c r="S1317" s="44">
        <f t="shared" si="116"/>
        <v>44367</v>
      </c>
      <c r="T1317" s="12">
        <f t="shared" si="117"/>
        <v>5.2191595059792295</v>
      </c>
      <c r="U1317" s="12">
        <f t="shared" si="119"/>
        <v>5.068371455331377</v>
      </c>
      <c r="V1317" s="30">
        <f t="shared" si="120"/>
        <v>0.46804712328767123</v>
      </c>
      <c r="W1317" s="46">
        <f t="shared" si="118"/>
        <v>-5.219159505979229E-2</v>
      </c>
      <c r="X1317" s="33">
        <f t="shared" si="121"/>
        <v>2.7557601271455307E-2</v>
      </c>
    </row>
    <row r="1318" spans="19:24" x14ac:dyDescent="0.25">
      <c r="S1318" s="44">
        <f t="shared" si="116"/>
        <v>44368</v>
      </c>
      <c r="T1318" s="12">
        <f t="shared" si="117"/>
        <v>5.2164824236776877</v>
      </c>
      <c r="U1318" s="12">
        <f t="shared" si="119"/>
        <v>5.0657202786065891</v>
      </c>
      <c r="V1318" s="30">
        <f t="shared" si="120"/>
        <v>0.46801972602739728</v>
      </c>
      <c r="W1318" s="46">
        <f t="shared" si="118"/>
        <v>-5.2164824236776867E-2</v>
      </c>
      <c r="X1318" s="33">
        <f t="shared" si="121"/>
        <v>2.7557559759182362E-2</v>
      </c>
    </row>
    <row r="1319" spans="19:24" x14ac:dyDescent="0.25">
      <c r="S1319" s="44">
        <f t="shared" ref="S1319:S1382" si="122">+S1318+1</f>
        <v>44369</v>
      </c>
      <c r="T1319" s="12">
        <f t="shared" ref="T1319:T1382" si="123">DurMod(S1319,B$2,$F$7:$G$37,$T$3)</f>
        <v>5.2138053413761476</v>
      </c>
      <c r="U1319" s="12">
        <f t="shared" si="119"/>
        <v>5.0630691018818004</v>
      </c>
      <c r="V1319" s="30">
        <f t="shared" si="120"/>
        <v>0.46799232876712332</v>
      </c>
      <c r="W1319" s="46">
        <f t="shared" ref="W1319:W1382" si="124">+-T1319*($U$3-$T$3)</f>
        <v>-5.2138053413761466E-2</v>
      </c>
      <c r="X1319" s="33">
        <f t="shared" si="121"/>
        <v>2.755751824690942E-2</v>
      </c>
    </row>
    <row r="1320" spans="19:24" x14ac:dyDescent="0.25">
      <c r="S1320" s="44">
        <f t="shared" si="122"/>
        <v>44370</v>
      </c>
      <c r="T1320" s="12">
        <f t="shared" si="123"/>
        <v>5.2111282590746066</v>
      </c>
      <c r="U1320" s="12">
        <f t="shared" si="119"/>
        <v>5.0604179251570116</v>
      </c>
      <c r="V1320" s="30">
        <f t="shared" si="120"/>
        <v>0.46796493150684931</v>
      </c>
      <c r="W1320" s="46">
        <f t="shared" si="124"/>
        <v>-5.2111282590746058E-2</v>
      </c>
      <c r="X1320" s="33">
        <f t="shared" si="121"/>
        <v>2.7557476734636471E-2</v>
      </c>
    </row>
    <row r="1321" spans="19:24" x14ac:dyDescent="0.25">
      <c r="S1321" s="44">
        <f t="shared" si="122"/>
        <v>44371</v>
      </c>
      <c r="T1321" s="12">
        <f t="shared" si="123"/>
        <v>5.2084511767730648</v>
      </c>
      <c r="U1321" s="12">
        <f t="shared" si="119"/>
        <v>5.0577667484322228</v>
      </c>
      <c r="V1321" s="30">
        <f t="shared" si="120"/>
        <v>0.46793753424657536</v>
      </c>
      <c r="W1321" s="46">
        <f t="shared" si="124"/>
        <v>-5.2084511767730643E-2</v>
      </c>
      <c r="X1321" s="33">
        <f t="shared" si="121"/>
        <v>2.7557435222363529E-2</v>
      </c>
    </row>
    <row r="1322" spans="19:24" x14ac:dyDescent="0.25">
      <c r="S1322" s="44">
        <f t="shared" si="122"/>
        <v>44372</v>
      </c>
      <c r="T1322" s="12">
        <f t="shared" si="123"/>
        <v>5.2057740944715247</v>
      </c>
      <c r="U1322" s="12">
        <f t="shared" si="119"/>
        <v>5.0551155717074314</v>
      </c>
      <c r="V1322" s="30">
        <f t="shared" si="120"/>
        <v>0.46791013698630135</v>
      </c>
      <c r="W1322" s="46">
        <f t="shared" si="124"/>
        <v>-5.2057740944715242E-2</v>
      </c>
      <c r="X1322" s="33">
        <f t="shared" si="121"/>
        <v>2.7557393710090583E-2</v>
      </c>
    </row>
    <row r="1323" spans="19:24" x14ac:dyDescent="0.25">
      <c r="S1323" s="44">
        <f t="shared" si="122"/>
        <v>44373</v>
      </c>
      <c r="T1323" s="12">
        <f t="shared" si="123"/>
        <v>5.2030970121699829</v>
      </c>
      <c r="U1323" s="12">
        <f t="shared" si="119"/>
        <v>5.0524643949826435</v>
      </c>
      <c r="V1323" s="30">
        <f t="shared" si="120"/>
        <v>0.46788273972602734</v>
      </c>
      <c r="W1323" s="46">
        <f t="shared" si="124"/>
        <v>-5.203097012169982E-2</v>
      </c>
      <c r="X1323" s="33">
        <f t="shared" si="121"/>
        <v>2.7557352197817634E-2</v>
      </c>
    </row>
    <row r="1324" spans="19:24" x14ac:dyDescent="0.25">
      <c r="S1324" s="44">
        <f t="shared" si="122"/>
        <v>44374</v>
      </c>
      <c r="T1324" s="12">
        <f t="shared" si="123"/>
        <v>5.2004199298684419</v>
      </c>
      <c r="U1324" s="12">
        <f t="shared" si="119"/>
        <v>5.0498132182578539</v>
      </c>
      <c r="V1324" s="30">
        <f t="shared" si="120"/>
        <v>0.46785534246575344</v>
      </c>
      <c r="W1324" s="46">
        <f t="shared" si="124"/>
        <v>-5.2004199298684411E-2</v>
      </c>
      <c r="X1324" s="33">
        <f t="shared" si="121"/>
        <v>2.7557310685544699E-2</v>
      </c>
    </row>
    <row r="1325" spans="19:24" x14ac:dyDescent="0.25">
      <c r="S1325" s="44">
        <f t="shared" si="122"/>
        <v>44375</v>
      </c>
      <c r="T1325" s="12">
        <f t="shared" si="123"/>
        <v>5.197742847566901</v>
      </c>
      <c r="U1325" s="12">
        <f t="shared" si="119"/>
        <v>5.0471620415330651</v>
      </c>
      <c r="V1325" s="30">
        <f t="shared" si="120"/>
        <v>0.46782794520547943</v>
      </c>
      <c r="W1325" s="46">
        <f t="shared" si="124"/>
        <v>-5.1977428475669003E-2</v>
      </c>
      <c r="X1325" s="33">
        <f t="shared" si="121"/>
        <v>2.755726917327175E-2</v>
      </c>
    </row>
    <row r="1326" spans="19:24" x14ac:dyDescent="0.25">
      <c r="S1326" s="44">
        <f t="shared" si="122"/>
        <v>44376</v>
      </c>
      <c r="T1326" s="12">
        <f t="shared" si="123"/>
        <v>5.1950657652653591</v>
      </c>
      <c r="U1326" s="12">
        <f t="shared" si="119"/>
        <v>5.0445108648082755</v>
      </c>
      <c r="V1326" s="30">
        <f t="shared" si="120"/>
        <v>0.46780054794520548</v>
      </c>
      <c r="W1326" s="46">
        <f t="shared" si="124"/>
        <v>-5.1950657652653581E-2</v>
      </c>
      <c r="X1326" s="33">
        <f t="shared" si="121"/>
        <v>2.7557227660998811E-2</v>
      </c>
    </row>
    <row r="1327" spans="19:24" x14ac:dyDescent="0.25">
      <c r="S1327" s="44">
        <f t="shared" si="122"/>
        <v>44377</v>
      </c>
      <c r="T1327" s="12">
        <f t="shared" si="123"/>
        <v>5.1923886829638182</v>
      </c>
      <c r="U1327" s="12">
        <f t="shared" si="119"/>
        <v>5.0418596880834858</v>
      </c>
      <c r="V1327" s="30">
        <f t="shared" si="120"/>
        <v>0.46777315068493147</v>
      </c>
      <c r="W1327" s="46">
        <f t="shared" si="124"/>
        <v>-5.1923886829638173E-2</v>
      </c>
      <c r="X1327" s="33">
        <f t="shared" si="121"/>
        <v>2.7557186148725862E-2</v>
      </c>
    </row>
    <row r="1328" spans="19:24" x14ac:dyDescent="0.25">
      <c r="S1328" s="44">
        <f t="shared" si="122"/>
        <v>44378</v>
      </c>
      <c r="T1328" s="12">
        <f t="shared" si="123"/>
        <v>5.1897116006622763</v>
      </c>
      <c r="U1328" s="12">
        <f t="shared" si="119"/>
        <v>5.0392085113586962</v>
      </c>
      <c r="V1328" s="30">
        <f t="shared" si="120"/>
        <v>0.46774575342465752</v>
      </c>
      <c r="W1328" s="46">
        <f t="shared" si="124"/>
        <v>-5.1897116006622758E-2</v>
      </c>
      <c r="X1328" s="33">
        <f t="shared" si="121"/>
        <v>2.755714463645292E-2</v>
      </c>
    </row>
    <row r="1329" spans="19:24" x14ac:dyDescent="0.25">
      <c r="S1329" s="44">
        <f t="shared" si="122"/>
        <v>44379</v>
      </c>
      <c r="T1329" s="12">
        <f t="shared" si="123"/>
        <v>5.1870345183607363</v>
      </c>
      <c r="U1329" s="12">
        <f t="shared" si="119"/>
        <v>5.0365573346339065</v>
      </c>
      <c r="V1329" s="30">
        <f t="shared" si="120"/>
        <v>0.46771835616438356</v>
      </c>
      <c r="W1329" s="46">
        <f t="shared" si="124"/>
        <v>-5.1870345183607357E-2</v>
      </c>
      <c r="X1329" s="33">
        <f t="shared" si="121"/>
        <v>2.7557103124179978E-2</v>
      </c>
    </row>
    <row r="1330" spans="19:24" x14ac:dyDescent="0.25">
      <c r="S1330" s="44">
        <f t="shared" si="122"/>
        <v>44380</v>
      </c>
      <c r="T1330" s="12">
        <f t="shared" si="123"/>
        <v>5.1843574360591935</v>
      </c>
      <c r="U1330" s="12">
        <f t="shared" si="119"/>
        <v>5.0339061579091178</v>
      </c>
      <c r="V1330" s="30">
        <f t="shared" si="120"/>
        <v>0.46769095890410961</v>
      </c>
      <c r="W1330" s="46">
        <f t="shared" si="124"/>
        <v>-5.1843574360591928E-2</v>
      </c>
      <c r="X1330" s="33">
        <f t="shared" si="121"/>
        <v>2.7557061611907036E-2</v>
      </c>
    </row>
    <row r="1331" spans="19:24" x14ac:dyDescent="0.25">
      <c r="S1331" s="44">
        <f t="shared" si="122"/>
        <v>44381</v>
      </c>
      <c r="T1331" s="12">
        <f t="shared" si="123"/>
        <v>5.1816803537576526</v>
      </c>
      <c r="U1331" s="12">
        <f t="shared" si="119"/>
        <v>5.0312549811843272</v>
      </c>
      <c r="V1331" s="30">
        <f t="shared" si="120"/>
        <v>0.4676635616438356</v>
      </c>
      <c r="W1331" s="46">
        <f t="shared" si="124"/>
        <v>-5.181680353757652E-2</v>
      </c>
      <c r="X1331" s="33">
        <f t="shared" si="121"/>
        <v>2.7557020099634091E-2</v>
      </c>
    </row>
    <row r="1332" spans="19:24" x14ac:dyDescent="0.25">
      <c r="S1332" s="44">
        <f t="shared" si="122"/>
        <v>44382</v>
      </c>
      <c r="T1332" s="12">
        <f t="shared" si="123"/>
        <v>5.1790032714561107</v>
      </c>
      <c r="U1332" s="12">
        <f t="shared" si="119"/>
        <v>5.0286038044595402</v>
      </c>
      <c r="V1332" s="30">
        <f t="shared" si="120"/>
        <v>0.46763616438356159</v>
      </c>
      <c r="W1332" s="46">
        <f t="shared" si="124"/>
        <v>-5.1790032714561098E-2</v>
      </c>
      <c r="X1332" s="33">
        <f t="shared" si="121"/>
        <v>2.7556978587361142E-2</v>
      </c>
    </row>
    <row r="1333" spans="19:24" x14ac:dyDescent="0.25">
      <c r="S1333" s="44">
        <f t="shared" si="122"/>
        <v>44383</v>
      </c>
      <c r="T1333" s="12">
        <f t="shared" si="123"/>
        <v>5.1763261891545715</v>
      </c>
      <c r="U1333" s="12">
        <f t="shared" si="119"/>
        <v>5.0259526277347515</v>
      </c>
      <c r="V1333" s="30">
        <f t="shared" si="120"/>
        <v>0.46760876712328769</v>
      </c>
      <c r="W1333" s="46">
        <f t="shared" si="124"/>
        <v>-5.176326189154571E-2</v>
      </c>
      <c r="X1333" s="33">
        <f t="shared" si="121"/>
        <v>2.75569370750882E-2</v>
      </c>
    </row>
    <row r="1334" spans="19:24" x14ac:dyDescent="0.25">
      <c r="S1334" s="44">
        <f t="shared" si="122"/>
        <v>44384</v>
      </c>
      <c r="T1334" s="12">
        <f t="shared" si="123"/>
        <v>5.1736491068530306</v>
      </c>
      <c r="U1334" s="12">
        <f t="shared" si="119"/>
        <v>5.0233014510099609</v>
      </c>
      <c r="V1334" s="30">
        <f t="shared" si="120"/>
        <v>0.46758136986301368</v>
      </c>
      <c r="W1334" s="46">
        <f t="shared" si="124"/>
        <v>-5.1736491068530295E-2</v>
      </c>
      <c r="X1334" s="33">
        <f t="shared" si="121"/>
        <v>2.7556895562815258E-2</v>
      </c>
    </row>
    <row r="1335" spans="19:24" x14ac:dyDescent="0.25">
      <c r="S1335" s="44">
        <f t="shared" si="122"/>
        <v>44385</v>
      </c>
      <c r="T1335" s="12">
        <f t="shared" si="123"/>
        <v>5.1709720245514887</v>
      </c>
      <c r="U1335" s="12">
        <f t="shared" si="119"/>
        <v>5.0206502742851722</v>
      </c>
      <c r="V1335" s="30">
        <f t="shared" si="120"/>
        <v>0.46755397260273968</v>
      </c>
      <c r="W1335" s="46">
        <f t="shared" si="124"/>
        <v>-5.170972024551488E-2</v>
      </c>
      <c r="X1335" s="33">
        <f t="shared" si="121"/>
        <v>2.7556854050542312E-2</v>
      </c>
    </row>
    <row r="1336" spans="19:24" x14ac:dyDescent="0.25">
      <c r="S1336" s="44">
        <f t="shared" si="122"/>
        <v>44386</v>
      </c>
      <c r="T1336" s="12">
        <f t="shared" si="123"/>
        <v>5.1682949422499469</v>
      </c>
      <c r="U1336" s="12">
        <f t="shared" si="119"/>
        <v>5.0179990975603816</v>
      </c>
      <c r="V1336" s="30">
        <f t="shared" si="120"/>
        <v>0.46752657534246572</v>
      </c>
      <c r="W1336" s="46">
        <f t="shared" si="124"/>
        <v>-5.1682949422499458E-2</v>
      </c>
      <c r="X1336" s="33">
        <f t="shared" si="121"/>
        <v>2.755681253826937E-2</v>
      </c>
    </row>
    <row r="1337" spans="19:24" x14ac:dyDescent="0.25">
      <c r="S1337" s="44">
        <f t="shared" si="122"/>
        <v>44387</v>
      </c>
      <c r="T1337" s="12">
        <f t="shared" si="123"/>
        <v>5.1656178599484068</v>
      </c>
      <c r="U1337" s="12">
        <f t="shared" si="119"/>
        <v>5.0153479208355938</v>
      </c>
      <c r="V1337" s="30">
        <f t="shared" si="120"/>
        <v>0.46749917808219177</v>
      </c>
      <c r="W1337" s="46">
        <f t="shared" si="124"/>
        <v>-5.1656178599484064E-2</v>
      </c>
      <c r="X1337" s="33">
        <f t="shared" si="121"/>
        <v>2.7556771025996428E-2</v>
      </c>
    </row>
    <row r="1338" spans="19:24" x14ac:dyDescent="0.25">
      <c r="S1338" s="44">
        <f t="shared" si="122"/>
        <v>44388</v>
      </c>
      <c r="T1338" s="12">
        <f t="shared" si="123"/>
        <v>5.162940777646865</v>
      </c>
      <c r="U1338" s="12">
        <f t="shared" si="119"/>
        <v>5.0126967441108032</v>
      </c>
      <c r="V1338" s="30">
        <f t="shared" si="120"/>
        <v>0.46747178082191782</v>
      </c>
      <c r="W1338" s="46">
        <f t="shared" si="124"/>
        <v>-5.1629407776468642E-2</v>
      </c>
      <c r="X1338" s="33">
        <f t="shared" si="121"/>
        <v>2.7556729513723486E-2</v>
      </c>
    </row>
    <row r="1339" spans="19:24" x14ac:dyDescent="0.25">
      <c r="S1339" s="44">
        <f t="shared" si="122"/>
        <v>44389</v>
      </c>
      <c r="T1339" s="12">
        <f t="shared" si="123"/>
        <v>5.1602636953453231</v>
      </c>
      <c r="U1339" s="12">
        <f t="shared" si="119"/>
        <v>5.0100455673860136</v>
      </c>
      <c r="V1339" s="30">
        <f t="shared" si="120"/>
        <v>0.46744438356164381</v>
      </c>
      <c r="W1339" s="46">
        <f t="shared" si="124"/>
        <v>-5.1602636953453226E-2</v>
      </c>
      <c r="X1339" s="33">
        <f t="shared" si="121"/>
        <v>2.7556688001450537E-2</v>
      </c>
    </row>
    <row r="1340" spans="19:24" x14ac:dyDescent="0.25">
      <c r="S1340" s="44">
        <f t="shared" si="122"/>
        <v>44390</v>
      </c>
      <c r="T1340" s="12">
        <f t="shared" si="123"/>
        <v>5.1575866130437822</v>
      </c>
      <c r="U1340" s="12">
        <f t="shared" si="119"/>
        <v>5.0073943906612257</v>
      </c>
      <c r="V1340" s="30">
        <f t="shared" si="120"/>
        <v>0.46741698630136985</v>
      </c>
      <c r="W1340" s="46">
        <f t="shared" si="124"/>
        <v>-5.1575866130437811E-2</v>
      </c>
      <c r="X1340" s="33">
        <f t="shared" si="121"/>
        <v>2.7556646489177595E-2</v>
      </c>
    </row>
    <row r="1341" spans="19:24" x14ac:dyDescent="0.25">
      <c r="S1341" s="44">
        <f t="shared" si="122"/>
        <v>44391</v>
      </c>
      <c r="T1341" s="12">
        <f t="shared" si="123"/>
        <v>5.154909530742243</v>
      </c>
      <c r="U1341" s="12">
        <f t="shared" si="119"/>
        <v>5.0047432139364378</v>
      </c>
      <c r="V1341" s="30">
        <f t="shared" si="120"/>
        <v>0.46738958904109584</v>
      </c>
      <c r="W1341" s="46">
        <f t="shared" si="124"/>
        <v>-5.1549095307422424E-2</v>
      </c>
      <c r="X1341" s="33">
        <f t="shared" si="121"/>
        <v>2.7556604976904649E-2</v>
      </c>
    </row>
    <row r="1342" spans="19:24" x14ac:dyDescent="0.25">
      <c r="S1342" s="44">
        <f t="shared" si="122"/>
        <v>44392</v>
      </c>
      <c r="T1342" s="12">
        <f t="shared" si="123"/>
        <v>5.1522324484406994</v>
      </c>
      <c r="U1342" s="12">
        <f t="shared" si="119"/>
        <v>5.0020920372116473</v>
      </c>
      <c r="V1342" s="30">
        <f t="shared" si="120"/>
        <v>0.46736219178082195</v>
      </c>
      <c r="W1342" s="46">
        <f t="shared" si="124"/>
        <v>-5.1522324484406988E-2</v>
      </c>
      <c r="X1342" s="33">
        <f t="shared" si="121"/>
        <v>2.7556563464631711E-2</v>
      </c>
    </row>
    <row r="1343" spans="19:24" x14ac:dyDescent="0.25">
      <c r="S1343" s="44">
        <f t="shared" si="122"/>
        <v>44393</v>
      </c>
      <c r="T1343" s="12">
        <f t="shared" si="123"/>
        <v>5.1495553661391602</v>
      </c>
      <c r="U1343" s="12">
        <f t="shared" si="119"/>
        <v>4.9994408604868585</v>
      </c>
      <c r="V1343" s="30">
        <f t="shared" si="120"/>
        <v>0.46733479452054794</v>
      </c>
      <c r="W1343" s="46">
        <f t="shared" si="124"/>
        <v>-5.1495553661391594E-2</v>
      </c>
      <c r="X1343" s="33">
        <f t="shared" si="121"/>
        <v>2.7556521952358765E-2</v>
      </c>
    </row>
    <row r="1344" spans="19:24" x14ac:dyDescent="0.25">
      <c r="S1344" s="44">
        <f t="shared" si="122"/>
        <v>44394</v>
      </c>
      <c r="T1344" s="12">
        <f t="shared" si="123"/>
        <v>5.1468782838376184</v>
      </c>
      <c r="U1344" s="12">
        <f t="shared" si="119"/>
        <v>4.9967896837620671</v>
      </c>
      <c r="V1344" s="30">
        <f t="shared" si="120"/>
        <v>0.46730739726027393</v>
      </c>
      <c r="W1344" s="46">
        <f t="shared" si="124"/>
        <v>-5.1468782838376179E-2</v>
      </c>
      <c r="X1344" s="33">
        <f t="shared" si="121"/>
        <v>2.7556480440085816E-2</v>
      </c>
    </row>
    <row r="1345" spans="19:24" x14ac:dyDescent="0.25">
      <c r="S1345" s="44">
        <f t="shared" si="122"/>
        <v>44395</v>
      </c>
      <c r="T1345" s="12">
        <f t="shared" si="123"/>
        <v>5.1442012015360783</v>
      </c>
      <c r="U1345" s="12">
        <f t="shared" si="119"/>
        <v>4.9941385070372792</v>
      </c>
      <c r="V1345" s="30">
        <f t="shared" si="120"/>
        <v>0.46727999999999997</v>
      </c>
      <c r="W1345" s="46">
        <f t="shared" si="124"/>
        <v>-5.1442012015360777E-2</v>
      </c>
      <c r="X1345" s="33">
        <f t="shared" si="121"/>
        <v>2.7556438927812874E-2</v>
      </c>
    </row>
    <row r="1346" spans="19:24" x14ac:dyDescent="0.25">
      <c r="S1346" s="44">
        <f t="shared" si="122"/>
        <v>44396</v>
      </c>
      <c r="T1346" s="12">
        <f t="shared" si="123"/>
        <v>5.1415241192345338</v>
      </c>
      <c r="U1346" s="12">
        <f t="shared" si="119"/>
        <v>4.9914873303124905</v>
      </c>
      <c r="V1346" s="30">
        <f t="shared" si="120"/>
        <v>0.46725260273972602</v>
      </c>
      <c r="W1346" s="46">
        <f t="shared" si="124"/>
        <v>-5.1415241192345328E-2</v>
      </c>
      <c r="X1346" s="33">
        <f t="shared" si="121"/>
        <v>2.7556397415539936E-2</v>
      </c>
    </row>
    <row r="1347" spans="19:24" x14ac:dyDescent="0.25">
      <c r="S1347" s="44">
        <f t="shared" si="122"/>
        <v>44397</v>
      </c>
      <c r="T1347" s="12">
        <f t="shared" si="123"/>
        <v>5.1388470369329946</v>
      </c>
      <c r="U1347" s="12">
        <f t="shared" si="119"/>
        <v>4.9888361535877008</v>
      </c>
      <c r="V1347" s="30">
        <f t="shared" si="120"/>
        <v>0.46722520547945201</v>
      </c>
      <c r="W1347" s="46">
        <f t="shared" si="124"/>
        <v>-5.138847036932994E-2</v>
      </c>
      <c r="X1347" s="33">
        <f t="shared" si="121"/>
        <v>2.7556355903266987E-2</v>
      </c>
    </row>
    <row r="1348" spans="19:24" x14ac:dyDescent="0.25">
      <c r="S1348" s="44">
        <f t="shared" si="122"/>
        <v>44398</v>
      </c>
      <c r="T1348" s="12">
        <f t="shared" si="123"/>
        <v>5.1361699546314536</v>
      </c>
      <c r="U1348" s="12">
        <f t="shared" si="119"/>
        <v>4.9861849768629103</v>
      </c>
      <c r="V1348" s="30">
        <f t="shared" si="120"/>
        <v>0.46719780821917806</v>
      </c>
      <c r="W1348" s="46">
        <f t="shared" si="124"/>
        <v>-5.1361699546314532E-2</v>
      </c>
      <c r="X1348" s="33">
        <f t="shared" si="121"/>
        <v>2.7556314390994045E-2</v>
      </c>
    </row>
    <row r="1349" spans="19:24" x14ac:dyDescent="0.25">
      <c r="S1349" s="44">
        <f t="shared" si="122"/>
        <v>44399</v>
      </c>
      <c r="T1349" s="12">
        <f t="shared" si="123"/>
        <v>5.1334928723299127</v>
      </c>
      <c r="U1349" s="12">
        <f t="shared" ref="U1349:U1412" si="125">DurMod($S1349,$B$2,$F$7:$G$37,U$3)</f>
        <v>4.9835338001381224</v>
      </c>
      <c r="V1349" s="30">
        <f t="shared" ref="V1349:V1412" si="126">+$U$3*($S$5512-S1349)/365+$T$3*(S1349-$S$4)/365</f>
        <v>0.4671704109589041</v>
      </c>
      <c r="W1349" s="46">
        <f t="shared" si="124"/>
        <v>-5.1334928723299117E-2</v>
      </c>
      <c r="X1349" s="33">
        <f t="shared" ref="X1349:X1412" si="127">+(V1349+W1349)*365/($S$5512-$S$4)</f>
        <v>2.7556272878721099E-2</v>
      </c>
    </row>
    <row r="1350" spans="19:24" x14ac:dyDescent="0.25">
      <c r="S1350" s="44">
        <f t="shared" si="122"/>
        <v>44400</v>
      </c>
      <c r="T1350" s="12">
        <f t="shared" si="123"/>
        <v>5.13081579002837</v>
      </c>
      <c r="U1350" s="12">
        <f t="shared" si="125"/>
        <v>4.9808826234133328</v>
      </c>
      <c r="V1350" s="30">
        <f t="shared" si="126"/>
        <v>0.46714301369863009</v>
      </c>
      <c r="W1350" s="46">
        <f t="shared" si="124"/>
        <v>-5.1308157900283695E-2</v>
      </c>
      <c r="X1350" s="33">
        <f t="shared" si="127"/>
        <v>2.7556231366448157E-2</v>
      </c>
    </row>
    <row r="1351" spans="19:24" x14ac:dyDescent="0.25">
      <c r="S1351" s="44">
        <f t="shared" si="122"/>
        <v>44401</v>
      </c>
      <c r="T1351" s="12">
        <f t="shared" si="123"/>
        <v>5.1281387077268317</v>
      </c>
      <c r="U1351" s="12">
        <f t="shared" si="125"/>
        <v>4.978231446688544</v>
      </c>
      <c r="V1351" s="30">
        <f t="shared" si="126"/>
        <v>0.46711561643835614</v>
      </c>
      <c r="W1351" s="46">
        <f t="shared" si="124"/>
        <v>-5.1281387077268308E-2</v>
      </c>
      <c r="X1351" s="33">
        <f t="shared" si="127"/>
        <v>2.7556189854175208E-2</v>
      </c>
    </row>
    <row r="1352" spans="19:24" x14ac:dyDescent="0.25">
      <c r="S1352" s="44">
        <f t="shared" si="122"/>
        <v>44402</v>
      </c>
      <c r="T1352" s="12">
        <f t="shared" si="123"/>
        <v>5.125461625425288</v>
      </c>
      <c r="U1352" s="12">
        <f t="shared" si="125"/>
        <v>4.9755802699637552</v>
      </c>
      <c r="V1352" s="30">
        <f t="shared" si="126"/>
        <v>0.46708821917808219</v>
      </c>
      <c r="W1352" s="46">
        <f t="shared" si="124"/>
        <v>-5.1254616254252872E-2</v>
      </c>
      <c r="X1352" s="33">
        <f t="shared" si="127"/>
        <v>2.7556148341902273E-2</v>
      </c>
    </row>
    <row r="1353" spans="19:24" x14ac:dyDescent="0.25">
      <c r="S1353" s="44">
        <f t="shared" si="122"/>
        <v>44403</v>
      </c>
      <c r="T1353" s="12">
        <f t="shared" si="123"/>
        <v>5.122784543123748</v>
      </c>
      <c r="U1353" s="12">
        <f t="shared" si="125"/>
        <v>4.9729290932389638</v>
      </c>
      <c r="V1353" s="30">
        <f t="shared" si="126"/>
        <v>0.46706082191780818</v>
      </c>
      <c r="W1353" s="46">
        <f t="shared" si="124"/>
        <v>-5.122784543123747E-2</v>
      </c>
      <c r="X1353" s="33">
        <f t="shared" si="127"/>
        <v>2.755610682962932E-2</v>
      </c>
    </row>
    <row r="1354" spans="19:24" x14ac:dyDescent="0.25">
      <c r="S1354" s="44">
        <f t="shared" si="122"/>
        <v>44404</v>
      </c>
      <c r="T1354" s="12">
        <f t="shared" si="123"/>
        <v>5.1201074608222061</v>
      </c>
      <c r="U1354" s="12">
        <f t="shared" si="125"/>
        <v>4.9702779165141768</v>
      </c>
      <c r="V1354" s="30">
        <f t="shared" si="126"/>
        <v>0.46703342465753417</v>
      </c>
      <c r="W1354" s="46">
        <f t="shared" si="124"/>
        <v>-5.1201074608222055E-2</v>
      </c>
      <c r="X1354" s="33">
        <f t="shared" si="127"/>
        <v>2.7556065317356378E-2</v>
      </c>
    </row>
    <row r="1355" spans="19:24" x14ac:dyDescent="0.25">
      <c r="S1355" s="44">
        <f t="shared" si="122"/>
        <v>44405</v>
      </c>
      <c r="T1355" s="12">
        <f t="shared" si="123"/>
        <v>5.1174303785206643</v>
      </c>
      <c r="U1355" s="12">
        <f t="shared" si="125"/>
        <v>4.9676267397893881</v>
      </c>
      <c r="V1355" s="30">
        <f t="shared" si="126"/>
        <v>0.46700602739726027</v>
      </c>
      <c r="W1355" s="46">
        <f t="shared" si="124"/>
        <v>-5.1174303785206633E-2</v>
      </c>
      <c r="X1355" s="33">
        <f t="shared" si="127"/>
        <v>2.7556023805083436E-2</v>
      </c>
    </row>
    <row r="1356" spans="19:24" x14ac:dyDescent="0.25">
      <c r="S1356" s="44">
        <f t="shared" si="122"/>
        <v>44406</v>
      </c>
      <c r="T1356" s="12">
        <f t="shared" si="123"/>
        <v>5.1147532962191224</v>
      </c>
      <c r="U1356" s="12">
        <f t="shared" si="125"/>
        <v>4.9649755630645958</v>
      </c>
      <c r="V1356" s="30">
        <f t="shared" si="126"/>
        <v>0.46697863013698626</v>
      </c>
      <c r="W1356" s="46">
        <f t="shared" si="124"/>
        <v>-5.1147532962191218E-2</v>
      </c>
      <c r="X1356" s="33">
        <f t="shared" si="127"/>
        <v>2.7555982292810494E-2</v>
      </c>
    </row>
    <row r="1357" spans="19:24" x14ac:dyDescent="0.25">
      <c r="S1357" s="44">
        <f t="shared" si="122"/>
        <v>44407</v>
      </c>
      <c r="T1357" s="12">
        <f t="shared" si="123"/>
        <v>5.1120762139175833</v>
      </c>
      <c r="U1357" s="12">
        <f t="shared" si="125"/>
        <v>4.9623243863398079</v>
      </c>
      <c r="V1357" s="30">
        <f t="shared" si="126"/>
        <v>0.46695123287671231</v>
      </c>
      <c r="W1357" s="46">
        <f t="shared" si="124"/>
        <v>-5.1120762139175824E-2</v>
      </c>
      <c r="X1357" s="33">
        <f t="shared" si="127"/>
        <v>2.7555940780537545E-2</v>
      </c>
    </row>
    <row r="1358" spans="19:24" x14ac:dyDescent="0.25">
      <c r="S1358" s="44">
        <f t="shared" si="122"/>
        <v>44408</v>
      </c>
      <c r="T1358" s="12">
        <f t="shared" si="123"/>
        <v>5.1093991316160396</v>
      </c>
      <c r="U1358" s="12">
        <f t="shared" si="125"/>
        <v>4.9596732096150165</v>
      </c>
      <c r="V1358" s="30">
        <f t="shared" si="126"/>
        <v>0.4669238356164383</v>
      </c>
      <c r="W1358" s="46">
        <f t="shared" si="124"/>
        <v>-5.1093991316160388E-2</v>
      </c>
      <c r="X1358" s="33">
        <f t="shared" si="127"/>
        <v>2.7555899268264603E-2</v>
      </c>
    </row>
    <row r="1359" spans="19:24" x14ac:dyDescent="0.25">
      <c r="S1359" s="44">
        <f t="shared" si="122"/>
        <v>44409</v>
      </c>
      <c r="T1359" s="12">
        <f t="shared" si="123"/>
        <v>5.1067220493144987</v>
      </c>
      <c r="U1359" s="12">
        <f t="shared" si="125"/>
        <v>4.9570220328902286</v>
      </c>
      <c r="V1359" s="30">
        <f t="shared" si="126"/>
        <v>0.46689643835616434</v>
      </c>
      <c r="W1359" s="46">
        <f t="shared" si="124"/>
        <v>-5.106722049314498E-2</v>
      </c>
      <c r="X1359" s="33">
        <f t="shared" si="127"/>
        <v>2.7555857755991661E-2</v>
      </c>
    </row>
    <row r="1360" spans="19:24" x14ac:dyDescent="0.25">
      <c r="S1360" s="44">
        <f t="shared" si="122"/>
        <v>44410</v>
      </c>
      <c r="T1360" s="12">
        <f t="shared" si="123"/>
        <v>5.1040449670129577</v>
      </c>
      <c r="U1360" s="12">
        <f t="shared" si="125"/>
        <v>4.954370856165438</v>
      </c>
      <c r="V1360" s="30">
        <f t="shared" si="126"/>
        <v>0.46686904109589039</v>
      </c>
      <c r="W1360" s="46">
        <f t="shared" si="124"/>
        <v>-5.1040449670129572E-2</v>
      </c>
      <c r="X1360" s="33">
        <f t="shared" si="127"/>
        <v>2.7555816243718719E-2</v>
      </c>
    </row>
    <row r="1361" spans="19:24" x14ac:dyDescent="0.25">
      <c r="S1361" s="44">
        <f t="shared" si="122"/>
        <v>44411</v>
      </c>
      <c r="T1361" s="12">
        <f t="shared" si="123"/>
        <v>5.1013678847114168</v>
      </c>
      <c r="U1361" s="12">
        <f t="shared" si="125"/>
        <v>4.9517196794406484</v>
      </c>
      <c r="V1361" s="30">
        <f t="shared" si="126"/>
        <v>0.46684164383561644</v>
      </c>
      <c r="W1361" s="46">
        <f t="shared" si="124"/>
        <v>-5.1013678847114163E-2</v>
      </c>
      <c r="X1361" s="33">
        <f t="shared" si="127"/>
        <v>2.7555774731445774E-2</v>
      </c>
    </row>
    <row r="1362" spans="19:24" x14ac:dyDescent="0.25">
      <c r="S1362" s="44">
        <f t="shared" si="122"/>
        <v>44412</v>
      </c>
      <c r="T1362" s="12">
        <f t="shared" si="123"/>
        <v>5.0986908024098767</v>
      </c>
      <c r="U1362" s="12">
        <f t="shared" si="125"/>
        <v>4.9490685027158605</v>
      </c>
      <c r="V1362" s="30">
        <f t="shared" si="126"/>
        <v>0.46681424657534243</v>
      </c>
      <c r="W1362" s="46">
        <f t="shared" si="124"/>
        <v>-5.0986908024098762E-2</v>
      </c>
      <c r="X1362" s="33">
        <f t="shared" si="127"/>
        <v>2.7555733219172825E-2</v>
      </c>
    </row>
    <row r="1363" spans="19:24" x14ac:dyDescent="0.25">
      <c r="S1363" s="44">
        <f t="shared" si="122"/>
        <v>44413</v>
      </c>
      <c r="T1363" s="12">
        <f t="shared" si="123"/>
        <v>5.0960137201083358</v>
      </c>
      <c r="U1363" s="12">
        <f t="shared" si="125"/>
        <v>4.9464173259910718</v>
      </c>
      <c r="V1363" s="30">
        <f t="shared" si="126"/>
        <v>0.46678684931506842</v>
      </c>
      <c r="W1363" s="46">
        <f t="shared" si="124"/>
        <v>-5.0960137201083347E-2</v>
      </c>
      <c r="X1363" s="33">
        <f t="shared" si="127"/>
        <v>2.7555691706899883E-2</v>
      </c>
    </row>
    <row r="1364" spans="19:24" x14ac:dyDescent="0.25">
      <c r="S1364" s="44">
        <f t="shared" si="122"/>
        <v>44414</v>
      </c>
      <c r="T1364" s="12">
        <f t="shared" si="123"/>
        <v>5.0933366378067939</v>
      </c>
      <c r="U1364" s="12">
        <f t="shared" si="125"/>
        <v>4.9437661492662812</v>
      </c>
      <c r="V1364" s="30">
        <f t="shared" si="126"/>
        <v>0.46675945205479452</v>
      </c>
      <c r="W1364" s="46">
        <f t="shared" si="124"/>
        <v>-5.0933366378067932E-2</v>
      </c>
      <c r="X1364" s="33">
        <f t="shared" si="127"/>
        <v>2.7555650194626941E-2</v>
      </c>
    </row>
    <row r="1365" spans="19:24" x14ac:dyDescent="0.25">
      <c r="S1365" s="44">
        <f t="shared" si="122"/>
        <v>44415</v>
      </c>
      <c r="T1365" s="12">
        <f t="shared" si="123"/>
        <v>5.0906595555052547</v>
      </c>
      <c r="U1365" s="12">
        <f t="shared" si="125"/>
        <v>4.9411149725414925</v>
      </c>
      <c r="V1365" s="30">
        <f t="shared" si="126"/>
        <v>0.46673205479452051</v>
      </c>
      <c r="W1365" s="46">
        <f t="shared" si="124"/>
        <v>-5.0906595555052538E-2</v>
      </c>
      <c r="X1365" s="33">
        <f t="shared" si="127"/>
        <v>2.7555608682353995E-2</v>
      </c>
    </row>
    <row r="1366" spans="19:24" x14ac:dyDescent="0.25">
      <c r="S1366" s="44">
        <f t="shared" si="122"/>
        <v>44416</v>
      </c>
      <c r="T1366" s="12">
        <f t="shared" si="123"/>
        <v>5.0879824732037111</v>
      </c>
      <c r="U1366" s="12">
        <f t="shared" si="125"/>
        <v>4.9384637958167028</v>
      </c>
      <c r="V1366" s="30">
        <f t="shared" si="126"/>
        <v>0.4667046575342465</v>
      </c>
      <c r="W1366" s="46">
        <f t="shared" si="124"/>
        <v>-5.0879824732037102E-2</v>
      </c>
      <c r="X1366" s="33">
        <f t="shared" si="127"/>
        <v>2.7555567170081053E-2</v>
      </c>
    </row>
    <row r="1367" spans="19:24" x14ac:dyDescent="0.25">
      <c r="S1367" s="44">
        <f t="shared" si="122"/>
        <v>44417</v>
      </c>
      <c r="T1367" s="12">
        <f t="shared" si="123"/>
        <v>5.0853053909021702</v>
      </c>
      <c r="U1367" s="12">
        <f t="shared" si="125"/>
        <v>4.9358126190919149</v>
      </c>
      <c r="V1367" s="30">
        <f t="shared" si="126"/>
        <v>0.46667726027397255</v>
      </c>
      <c r="W1367" s="46">
        <f t="shared" si="124"/>
        <v>-5.0853053909021693E-2</v>
      </c>
      <c r="X1367" s="33">
        <f t="shared" si="127"/>
        <v>2.7555525657808111E-2</v>
      </c>
    </row>
    <row r="1368" spans="19:24" x14ac:dyDescent="0.25">
      <c r="S1368" s="44">
        <f t="shared" si="122"/>
        <v>44418</v>
      </c>
      <c r="T1368" s="12">
        <f t="shared" si="123"/>
        <v>5.0826283086006301</v>
      </c>
      <c r="U1368" s="12">
        <f t="shared" si="125"/>
        <v>4.9331614423671271</v>
      </c>
      <c r="V1368" s="30">
        <f t="shared" si="126"/>
        <v>0.46664986301369854</v>
      </c>
      <c r="W1368" s="46">
        <f t="shared" si="124"/>
        <v>-5.0826283086006292E-2</v>
      </c>
      <c r="X1368" s="33">
        <f t="shared" si="127"/>
        <v>2.7555484145535165E-2</v>
      </c>
    </row>
    <row r="1369" spans="19:24" x14ac:dyDescent="0.25">
      <c r="S1369" s="44">
        <f t="shared" si="122"/>
        <v>44419</v>
      </c>
      <c r="T1369" s="12">
        <f t="shared" si="123"/>
        <v>5.0799512262990874</v>
      </c>
      <c r="U1369" s="12">
        <f t="shared" si="125"/>
        <v>4.9305102656423365</v>
      </c>
      <c r="V1369" s="30">
        <f t="shared" si="126"/>
        <v>0.46662246575342464</v>
      </c>
      <c r="W1369" s="46">
        <f t="shared" si="124"/>
        <v>-5.0799512262990863E-2</v>
      </c>
      <c r="X1369" s="33">
        <f t="shared" si="127"/>
        <v>2.7555442633262227E-2</v>
      </c>
    </row>
    <row r="1370" spans="19:24" x14ac:dyDescent="0.25">
      <c r="S1370" s="44">
        <f t="shared" si="122"/>
        <v>44420</v>
      </c>
      <c r="T1370" s="12">
        <f t="shared" si="123"/>
        <v>5.0772741439975464</v>
      </c>
      <c r="U1370" s="12">
        <f t="shared" si="125"/>
        <v>4.9278590889175469</v>
      </c>
      <c r="V1370" s="30">
        <f t="shared" si="126"/>
        <v>0.46659506849315063</v>
      </c>
      <c r="W1370" s="46">
        <f t="shared" si="124"/>
        <v>-5.0772741439975455E-2</v>
      </c>
      <c r="X1370" s="33">
        <f t="shared" si="127"/>
        <v>2.7555401120989274E-2</v>
      </c>
    </row>
    <row r="1371" spans="19:24" x14ac:dyDescent="0.25">
      <c r="S1371" s="44">
        <f t="shared" si="122"/>
        <v>44421</v>
      </c>
      <c r="T1371" s="12">
        <f t="shared" si="123"/>
        <v>5.0745970616960054</v>
      </c>
      <c r="U1371" s="12">
        <f t="shared" si="125"/>
        <v>4.9252079121927563</v>
      </c>
      <c r="V1371" s="30">
        <f t="shared" si="126"/>
        <v>0.46656767123287668</v>
      </c>
      <c r="W1371" s="46">
        <f t="shared" si="124"/>
        <v>-5.0745970616960047E-2</v>
      </c>
      <c r="X1371" s="33">
        <f t="shared" si="127"/>
        <v>2.7555359608716332E-2</v>
      </c>
    </row>
    <row r="1372" spans="19:24" x14ac:dyDescent="0.25">
      <c r="S1372" s="44">
        <f t="shared" si="122"/>
        <v>44422</v>
      </c>
      <c r="T1372" s="12">
        <f t="shared" si="123"/>
        <v>5.0719199793944636</v>
      </c>
      <c r="U1372" s="12">
        <f t="shared" si="125"/>
        <v>4.9225567354679676</v>
      </c>
      <c r="V1372" s="30">
        <f t="shared" si="126"/>
        <v>0.46654027397260278</v>
      </c>
      <c r="W1372" s="46">
        <f t="shared" si="124"/>
        <v>-5.0719199793944625E-2</v>
      </c>
      <c r="X1372" s="33">
        <f t="shared" si="127"/>
        <v>2.7555318096443397E-2</v>
      </c>
    </row>
    <row r="1373" spans="19:24" x14ac:dyDescent="0.25">
      <c r="S1373" s="44">
        <f t="shared" si="122"/>
        <v>44423</v>
      </c>
      <c r="T1373" s="12">
        <f t="shared" si="123"/>
        <v>5.0692428970929226</v>
      </c>
      <c r="U1373" s="12">
        <f t="shared" si="125"/>
        <v>4.9199055587431797</v>
      </c>
      <c r="V1373" s="30">
        <f t="shared" si="126"/>
        <v>0.46651287671232877</v>
      </c>
      <c r="W1373" s="46">
        <f t="shared" si="124"/>
        <v>-5.0692428970929217E-2</v>
      </c>
      <c r="X1373" s="33">
        <f t="shared" si="127"/>
        <v>2.7555276584170448E-2</v>
      </c>
    </row>
    <row r="1374" spans="19:24" x14ac:dyDescent="0.25">
      <c r="S1374" s="44">
        <f t="shared" si="122"/>
        <v>44424</v>
      </c>
      <c r="T1374" s="12">
        <f t="shared" si="123"/>
        <v>5.0665658147913826</v>
      </c>
      <c r="U1374" s="12">
        <f t="shared" si="125"/>
        <v>4.9172543820183892</v>
      </c>
      <c r="V1374" s="30">
        <f t="shared" si="126"/>
        <v>0.46648547945205482</v>
      </c>
      <c r="W1374" s="46">
        <f t="shared" si="124"/>
        <v>-5.0665658147913815E-2</v>
      </c>
      <c r="X1374" s="33">
        <f t="shared" si="127"/>
        <v>2.7555235071897506E-2</v>
      </c>
    </row>
    <row r="1375" spans="19:24" x14ac:dyDescent="0.25">
      <c r="S1375" s="44">
        <f t="shared" si="122"/>
        <v>44425</v>
      </c>
      <c r="T1375" s="12">
        <f t="shared" si="123"/>
        <v>5.0638887324898407</v>
      </c>
      <c r="U1375" s="12">
        <f t="shared" si="125"/>
        <v>4.9146032052935995</v>
      </c>
      <c r="V1375" s="30">
        <f t="shared" si="126"/>
        <v>0.46645808219178087</v>
      </c>
      <c r="W1375" s="46">
        <f t="shared" si="124"/>
        <v>-5.06388873248984E-2</v>
      </c>
      <c r="X1375" s="33">
        <f t="shared" si="127"/>
        <v>2.7555193559624564E-2</v>
      </c>
    </row>
    <row r="1376" spans="19:24" x14ac:dyDescent="0.25">
      <c r="S1376" s="44">
        <f t="shared" si="122"/>
        <v>44426</v>
      </c>
      <c r="T1376" s="12">
        <f t="shared" si="123"/>
        <v>5.0612116501883007</v>
      </c>
      <c r="U1376" s="12">
        <f t="shared" si="125"/>
        <v>4.9119520285688116</v>
      </c>
      <c r="V1376" s="30">
        <f t="shared" si="126"/>
        <v>0.46643068493150691</v>
      </c>
      <c r="W1376" s="46">
        <f t="shared" si="124"/>
        <v>-5.0612116501882999E-2</v>
      </c>
      <c r="X1376" s="33">
        <f t="shared" si="127"/>
        <v>2.7555152047351619E-2</v>
      </c>
    </row>
    <row r="1377" spans="19:24" x14ac:dyDescent="0.25">
      <c r="S1377" s="44">
        <f t="shared" si="122"/>
        <v>44427</v>
      </c>
      <c r="T1377" s="12">
        <f t="shared" si="123"/>
        <v>5.0585345678867597</v>
      </c>
      <c r="U1377" s="12">
        <f t="shared" si="125"/>
        <v>4.9093008518440211</v>
      </c>
      <c r="V1377" s="30">
        <f t="shared" si="126"/>
        <v>0.4664032876712329</v>
      </c>
      <c r="W1377" s="46">
        <f t="shared" si="124"/>
        <v>-5.0585345678867591E-2</v>
      </c>
      <c r="X1377" s="33">
        <f t="shared" si="127"/>
        <v>2.7555110535078677E-2</v>
      </c>
    </row>
    <row r="1378" spans="19:24" x14ac:dyDescent="0.25">
      <c r="S1378" s="44">
        <f t="shared" si="122"/>
        <v>44428</v>
      </c>
      <c r="T1378" s="12">
        <f t="shared" si="123"/>
        <v>5.055857485585217</v>
      </c>
      <c r="U1378" s="12">
        <f t="shared" si="125"/>
        <v>4.9066496751192323</v>
      </c>
      <c r="V1378" s="30">
        <f t="shared" si="126"/>
        <v>0.46637589041095895</v>
      </c>
      <c r="W1378" s="46">
        <f t="shared" si="124"/>
        <v>-5.0558574855852162E-2</v>
      </c>
      <c r="X1378" s="33">
        <f t="shared" si="127"/>
        <v>2.7555069022805734E-2</v>
      </c>
    </row>
    <row r="1379" spans="19:24" x14ac:dyDescent="0.25">
      <c r="S1379" s="44">
        <f t="shared" si="122"/>
        <v>44429</v>
      </c>
      <c r="T1379" s="12">
        <f t="shared" si="123"/>
        <v>5.0531804032836769</v>
      </c>
      <c r="U1379" s="12">
        <f t="shared" si="125"/>
        <v>4.9039984983944427</v>
      </c>
      <c r="V1379" s="30">
        <f t="shared" si="126"/>
        <v>0.46634849315068494</v>
      </c>
      <c r="W1379" s="46">
        <f t="shared" si="124"/>
        <v>-5.0531804032836761E-2</v>
      </c>
      <c r="X1379" s="33">
        <f t="shared" si="127"/>
        <v>2.7555027510532785E-2</v>
      </c>
    </row>
    <row r="1380" spans="19:24" x14ac:dyDescent="0.25">
      <c r="S1380" s="44">
        <f t="shared" si="122"/>
        <v>44430</v>
      </c>
      <c r="T1380" s="12">
        <f t="shared" si="123"/>
        <v>5.0505033209821333</v>
      </c>
      <c r="U1380" s="12">
        <f t="shared" si="125"/>
        <v>4.901347321669653</v>
      </c>
      <c r="V1380" s="30">
        <f t="shared" si="126"/>
        <v>0.46632109589041099</v>
      </c>
      <c r="W1380" s="46">
        <f t="shared" si="124"/>
        <v>-5.0505033209821325E-2</v>
      </c>
      <c r="X1380" s="33">
        <f t="shared" si="127"/>
        <v>2.7554985998259843E-2</v>
      </c>
    </row>
    <row r="1381" spans="19:24" x14ac:dyDescent="0.25">
      <c r="S1381" s="44">
        <f t="shared" si="122"/>
        <v>44431</v>
      </c>
      <c r="T1381" s="12">
        <f t="shared" si="123"/>
        <v>5.0478262386805923</v>
      </c>
      <c r="U1381" s="12">
        <f t="shared" si="125"/>
        <v>4.8986961449448634</v>
      </c>
      <c r="V1381" s="30">
        <f t="shared" si="126"/>
        <v>0.46629369863013703</v>
      </c>
      <c r="W1381" s="46">
        <f t="shared" si="124"/>
        <v>-5.0478262386805917E-2</v>
      </c>
      <c r="X1381" s="33">
        <f t="shared" si="127"/>
        <v>2.7554944485986901E-2</v>
      </c>
    </row>
    <row r="1382" spans="19:24" x14ac:dyDescent="0.25">
      <c r="S1382" s="44">
        <f t="shared" si="122"/>
        <v>44432</v>
      </c>
      <c r="T1382" s="12">
        <f t="shared" si="123"/>
        <v>5.0451491563790514</v>
      </c>
      <c r="U1382" s="12">
        <f t="shared" si="125"/>
        <v>4.8960449682200746</v>
      </c>
      <c r="V1382" s="30">
        <f t="shared" si="126"/>
        <v>0.46626630136986302</v>
      </c>
      <c r="W1382" s="46">
        <f t="shared" si="124"/>
        <v>-5.0451491563790508E-2</v>
      </c>
      <c r="X1382" s="33">
        <f t="shared" si="127"/>
        <v>2.7554902973713956E-2</v>
      </c>
    </row>
    <row r="1383" spans="19:24" x14ac:dyDescent="0.25">
      <c r="S1383" s="44">
        <f t="shared" ref="S1383:S1446" si="128">+S1382+1</f>
        <v>44433</v>
      </c>
      <c r="T1383" s="12">
        <f t="shared" ref="T1383:T1446" si="129">DurMod(S1383,B$2,$F$7:$G$37,$T$3)</f>
        <v>5.0424720740775113</v>
      </c>
      <c r="U1383" s="12">
        <f t="shared" si="125"/>
        <v>4.8933937914952859</v>
      </c>
      <c r="V1383" s="30">
        <f t="shared" si="126"/>
        <v>0.46623890410958901</v>
      </c>
      <c r="W1383" s="46">
        <f t="shared" ref="W1383:W1446" si="130">+-T1383*($U$3-$T$3)</f>
        <v>-5.0424720740775107E-2</v>
      </c>
      <c r="X1383" s="33">
        <f t="shared" si="127"/>
        <v>2.7554861461441007E-2</v>
      </c>
    </row>
    <row r="1384" spans="19:24" x14ac:dyDescent="0.25">
      <c r="S1384" s="44">
        <f t="shared" si="128"/>
        <v>44434</v>
      </c>
      <c r="T1384" s="12">
        <f t="shared" si="129"/>
        <v>5.0397949917759695</v>
      </c>
      <c r="U1384" s="12">
        <f t="shared" si="125"/>
        <v>4.8907426147704962</v>
      </c>
      <c r="V1384" s="30">
        <f t="shared" si="126"/>
        <v>0.46621150684931506</v>
      </c>
      <c r="W1384" s="46">
        <f t="shared" si="130"/>
        <v>-5.0397949917759685E-2</v>
      </c>
      <c r="X1384" s="33">
        <f t="shared" si="127"/>
        <v>2.7554819949168065E-2</v>
      </c>
    </row>
    <row r="1385" spans="19:24" x14ac:dyDescent="0.25">
      <c r="S1385" s="44">
        <f t="shared" si="128"/>
        <v>44435</v>
      </c>
      <c r="T1385" s="12">
        <f t="shared" si="129"/>
        <v>5.0371179094744294</v>
      </c>
      <c r="U1385" s="12">
        <f t="shared" si="125"/>
        <v>4.8880914380457083</v>
      </c>
      <c r="V1385" s="30">
        <f t="shared" si="126"/>
        <v>0.46618410958904116</v>
      </c>
      <c r="W1385" s="46">
        <f t="shared" si="130"/>
        <v>-5.0371179094744284E-2</v>
      </c>
      <c r="X1385" s="33">
        <f t="shared" si="127"/>
        <v>2.755477843689513E-2</v>
      </c>
    </row>
    <row r="1386" spans="19:24" x14ac:dyDescent="0.25">
      <c r="S1386" s="44">
        <f t="shared" si="128"/>
        <v>44436</v>
      </c>
      <c r="T1386" s="12">
        <f t="shared" si="129"/>
        <v>5.0344408271728867</v>
      </c>
      <c r="U1386" s="12">
        <f t="shared" si="125"/>
        <v>4.885440261320916</v>
      </c>
      <c r="V1386" s="30">
        <f t="shared" si="126"/>
        <v>0.46615671232876715</v>
      </c>
      <c r="W1386" s="46">
        <f t="shared" si="130"/>
        <v>-5.0344408271728862E-2</v>
      </c>
      <c r="X1386" s="33">
        <f t="shared" si="127"/>
        <v>2.7554736924622184E-2</v>
      </c>
    </row>
    <row r="1387" spans="19:24" x14ac:dyDescent="0.25">
      <c r="S1387" s="44">
        <f t="shared" si="128"/>
        <v>44437</v>
      </c>
      <c r="T1387" s="12">
        <f t="shared" si="129"/>
        <v>5.0317637448713466</v>
      </c>
      <c r="U1387" s="12">
        <f t="shared" si="125"/>
        <v>4.8827890845961281</v>
      </c>
      <c r="V1387" s="30">
        <f t="shared" si="126"/>
        <v>0.4661293150684932</v>
      </c>
      <c r="W1387" s="46">
        <f t="shared" si="130"/>
        <v>-5.0317637448713461E-2</v>
      </c>
      <c r="X1387" s="33">
        <f t="shared" si="127"/>
        <v>2.7554695412349235E-2</v>
      </c>
    </row>
    <row r="1388" spans="19:24" x14ac:dyDescent="0.25">
      <c r="S1388" s="44">
        <f t="shared" si="128"/>
        <v>44438</v>
      </c>
      <c r="T1388" s="12">
        <f t="shared" si="129"/>
        <v>5.0290866625698065</v>
      </c>
      <c r="U1388" s="12">
        <f t="shared" si="125"/>
        <v>4.8801379078713385</v>
      </c>
      <c r="V1388" s="30">
        <f t="shared" si="126"/>
        <v>0.46610191780821919</v>
      </c>
      <c r="W1388" s="46">
        <f t="shared" si="130"/>
        <v>-5.0290866625698059E-2</v>
      </c>
      <c r="X1388" s="33">
        <f t="shared" si="127"/>
        <v>2.7554653900076293E-2</v>
      </c>
    </row>
    <row r="1389" spans="19:24" x14ac:dyDescent="0.25">
      <c r="S1389" s="44">
        <f t="shared" si="128"/>
        <v>44439</v>
      </c>
      <c r="T1389" s="12">
        <f t="shared" si="129"/>
        <v>5.0264095802682647</v>
      </c>
      <c r="U1389" s="12">
        <f t="shared" si="125"/>
        <v>4.8774867311465497</v>
      </c>
      <c r="V1389" s="30">
        <f t="shared" si="126"/>
        <v>0.46607452054794524</v>
      </c>
      <c r="W1389" s="46">
        <f t="shared" si="130"/>
        <v>-5.0264095802682637E-2</v>
      </c>
      <c r="X1389" s="33">
        <f t="shared" si="127"/>
        <v>2.7554612387803348E-2</v>
      </c>
    </row>
    <row r="1390" spans="19:24" x14ac:dyDescent="0.25">
      <c r="S1390" s="44">
        <f t="shared" si="128"/>
        <v>44440</v>
      </c>
      <c r="T1390" s="12">
        <f t="shared" si="129"/>
        <v>5.0237324979667228</v>
      </c>
      <c r="U1390" s="12">
        <f t="shared" si="125"/>
        <v>4.8748355544217601</v>
      </c>
      <c r="V1390" s="30">
        <f t="shared" si="126"/>
        <v>0.46604712328767128</v>
      </c>
      <c r="W1390" s="46">
        <f t="shared" si="130"/>
        <v>-5.0237324979667222E-2</v>
      </c>
      <c r="X1390" s="33">
        <f t="shared" si="127"/>
        <v>2.7554570875530409E-2</v>
      </c>
    </row>
    <row r="1391" spans="19:24" x14ac:dyDescent="0.25">
      <c r="S1391" s="44">
        <f t="shared" si="128"/>
        <v>44441</v>
      </c>
      <c r="T1391" s="12">
        <f t="shared" si="129"/>
        <v>5.0210554156651801</v>
      </c>
      <c r="U1391" s="12">
        <f t="shared" si="125"/>
        <v>4.8721843776969713</v>
      </c>
      <c r="V1391" s="30">
        <f t="shared" si="126"/>
        <v>0.46601972602739727</v>
      </c>
      <c r="W1391" s="46">
        <f t="shared" si="130"/>
        <v>-5.0210554156651793E-2</v>
      </c>
      <c r="X1391" s="33">
        <f t="shared" si="127"/>
        <v>2.7554529363257464E-2</v>
      </c>
    </row>
    <row r="1392" spans="19:24" x14ac:dyDescent="0.25">
      <c r="S1392" s="44">
        <f t="shared" si="128"/>
        <v>44442</v>
      </c>
      <c r="T1392" s="12">
        <f t="shared" si="129"/>
        <v>5.0183783333636418</v>
      </c>
      <c r="U1392" s="12">
        <f t="shared" si="125"/>
        <v>4.8695332009721808</v>
      </c>
      <c r="V1392" s="30">
        <f t="shared" si="126"/>
        <v>0.46599232876712327</v>
      </c>
      <c r="W1392" s="46">
        <f t="shared" si="130"/>
        <v>-5.0183783333636413E-2</v>
      </c>
      <c r="X1392" s="33">
        <f t="shared" si="127"/>
        <v>2.7554487850984511E-2</v>
      </c>
    </row>
    <row r="1393" spans="19:24" x14ac:dyDescent="0.25">
      <c r="S1393" s="44">
        <f t="shared" si="128"/>
        <v>44443</v>
      </c>
      <c r="T1393" s="12">
        <f t="shared" si="129"/>
        <v>5.0157012510620982</v>
      </c>
      <c r="U1393" s="12">
        <f t="shared" si="125"/>
        <v>4.8668820242473938</v>
      </c>
      <c r="V1393" s="30">
        <f t="shared" si="126"/>
        <v>0.46596493150684931</v>
      </c>
      <c r="W1393" s="46">
        <f t="shared" si="130"/>
        <v>-5.0157012510620977E-2</v>
      </c>
      <c r="X1393" s="33">
        <f t="shared" si="127"/>
        <v>2.7554446338711572E-2</v>
      </c>
    </row>
    <row r="1394" spans="19:24" x14ac:dyDescent="0.25">
      <c r="S1394" s="44">
        <f t="shared" si="128"/>
        <v>44444</v>
      </c>
      <c r="T1394" s="12">
        <f t="shared" si="129"/>
        <v>5.0130241687605581</v>
      </c>
      <c r="U1394" s="12">
        <f t="shared" si="125"/>
        <v>4.8642308475226033</v>
      </c>
      <c r="V1394" s="30">
        <f t="shared" si="126"/>
        <v>0.46593753424657536</v>
      </c>
      <c r="W1394" s="46">
        <f t="shared" si="130"/>
        <v>-5.0130241687605576E-2</v>
      </c>
      <c r="X1394" s="33">
        <f t="shared" si="127"/>
        <v>2.7554404826438627E-2</v>
      </c>
    </row>
    <row r="1395" spans="19:24" x14ac:dyDescent="0.25">
      <c r="S1395" s="44">
        <f t="shared" si="128"/>
        <v>44445</v>
      </c>
      <c r="T1395" s="12">
        <f t="shared" si="129"/>
        <v>5.0103470864590172</v>
      </c>
      <c r="U1395" s="12">
        <f t="shared" si="125"/>
        <v>4.8615796707978136</v>
      </c>
      <c r="V1395" s="30">
        <f t="shared" si="126"/>
        <v>0.4659101369863014</v>
      </c>
      <c r="W1395" s="46">
        <f t="shared" si="130"/>
        <v>-5.0103470864590161E-2</v>
      </c>
      <c r="X1395" s="33">
        <f t="shared" si="127"/>
        <v>2.7554363314165688E-2</v>
      </c>
    </row>
    <row r="1396" spans="19:24" x14ac:dyDescent="0.25">
      <c r="S1396" s="44">
        <f t="shared" si="128"/>
        <v>44446</v>
      </c>
      <c r="T1396" s="12">
        <f t="shared" si="129"/>
        <v>5.0076700041574762</v>
      </c>
      <c r="U1396" s="12">
        <f t="shared" si="125"/>
        <v>4.858928494073024</v>
      </c>
      <c r="V1396" s="30">
        <f t="shared" si="126"/>
        <v>0.4658827397260274</v>
      </c>
      <c r="W1396" s="46">
        <f t="shared" si="130"/>
        <v>-5.0076700041574752E-2</v>
      </c>
      <c r="X1396" s="33">
        <f t="shared" si="127"/>
        <v>2.7554321801892736E-2</v>
      </c>
    </row>
    <row r="1397" spans="19:24" x14ac:dyDescent="0.25">
      <c r="S1397" s="44">
        <f t="shared" si="128"/>
        <v>44447</v>
      </c>
      <c r="T1397" s="12">
        <f t="shared" si="129"/>
        <v>5.0049929218559344</v>
      </c>
      <c r="U1397" s="12">
        <f t="shared" si="125"/>
        <v>4.8562773173482343</v>
      </c>
      <c r="V1397" s="30">
        <f t="shared" si="126"/>
        <v>0.46585534246575344</v>
      </c>
      <c r="W1397" s="46">
        <f t="shared" si="130"/>
        <v>-5.0049929218559337E-2</v>
      </c>
      <c r="X1397" s="33">
        <f t="shared" si="127"/>
        <v>2.7554280289619801E-2</v>
      </c>
    </row>
    <row r="1398" spans="19:24" x14ac:dyDescent="0.25">
      <c r="S1398" s="44">
        <f t="shared" si="128"/>
        <v>44448</v>
      </c>
      <c r="T1398" s="12">
        <f t="shared" si="129"/>
        <v>5.0023158395543925</v>
      </c>
      <c r="U1398" s="12">
        <f t="shared" si="125"/>
        <v>4.8536261406234473</v>
      </c>
      <c r="V1398" s="30">
        <f t="shared" si="126"/>
        <v>0.46582794520547949</v>
      </c>
      <c r="W1398" s="46">
        <f t="shared" si="130"/>
        <v>-5.0023158395543915E-2</v>
      </c>
      <c r="X1398" s="33">
        <f t="shared" si="127"/>
        <v>2.7554238777346859E-2</v>
      </c>
    </row>
    <row r="1399" spans="19:24" x14ac:dyDescent="0.25">
      <c r="S1399" s="44">
        <f t="shared" si="128"/>
        <v>44449</v>
      </c>
      <c r="T1399" s="12">
        <f t="shared" si="129"/>
        <v>4.9996387572528525</v>
      </c>
      <c r="U1399" s="12">
        <f t="shared" si="125"/>
        <v>4.8509749638986568</v>
      </c>
      <c r="V1399" s="30">
        <f t="shared" si="126"/>
        <v>0.46580054794520553</v>
      </c>
      <c r="W1399" s="46">
        <f t="shared" si="130"/>
        <v>-4.9996387572528514E-2</v>
      </c>
      <c r="X1399" s="33">
        <f t="shared" si="127"/>
        <v>2.7554197265073917E-2</v>
      </c>
    </row>
    <row r="1400" spans="19:24" x14ac:dyDescent="0.25">
      <c r="S1400" s="44">
        <f t="shared" si="128"/>
        <v>44450</v>
      </c>
      <c r="T1400" s="12">
        <f t="shared" si="129"/>
        <v>4.9969616749513106</v>
      </c>
      <c r="U1400" s="12">
        <f t="shared" si="125"/>
        <v>4.8483237871738663</v>
      </c>
      <c r="V1400" s="30">
        <f t="shared" si="126"/>
        <v>0.46577315068493153</v>
      </c>
      <c r="W1400" s="46">
        <f t="shared" si="130"/>
        <v>-4.9969616749513099E-2</v>
      </c>
      <c r="X1400" s="33">
        <f t="shared" si="127"/>
        <v>2.7554155752800964E-2</v>
      </c>
    </row>
    <row r="1401" spans="19:24" x14ac:dyDescent="0.25">
      <c r="S1401" s="44">
        <f t="shared" si="128"/>
        <v>44451</v>
      </c>
      <c r="T1401" s="12">
        <f t="shared" si="129"/>
        <v>4.9942845926497688</v>
      </c>
      <c r="U1401" s="12">
        <f t="shared" si="125"/>
        <v>4.8456726104490793</v>
      </c>
      <c r="V1401" s="30">
        <f t="shared" si="126"/>
        <v>0.46574575342465752</v>
      </c>
      <c r="W1401" s="46">
        <f t="shared" si="130"/>
        <v>-4.9942845926497677E-2</v>
      </c>
      <c r="X1401" s="33">
        <f t="shared" si="127"/>
        <v>2.7554114240528022E-2</v>
      </c>
    </row>
    <row r="1402" spans="19:24" x14ac:dyDescent="0.25">
      <c r="S1402" s="44">
        <f t="shared" si="128"/>
        <v>44452</v>
      </c>
      <c r="T1402" s="12">
        <f t="shared" si="129"/>
        <v>4.9916075103482287</v>
      </c>
      <c r="U1402" s="12">
        <f t="shared" si="125"/>
        <v>4.8430214337242878</v>
      </c>
      <c r="V1402" s="30">
        <f t="shared" si="126"/>
        <v>0.46571835616438356</v>
      </c>
      <c r="W1402" s="46">
        <f t="shared" si="130"/>
        <v>-4.9916075103482282E-2</v>
      </c>
      <c r="X1402" s="33">
        <f t="shared" si="127"/>
        <v>2.755407272825508E-2</v>
      </c>
    </row>
    <row r="1403" spans="19:24" x14ac:dyDescent="0.25">
      <c r="S1403" s="44">
        <f t="shared" si="128"/>
        <v>44453</v>
      </c>
      <c r="T1403" s="12">
        <f t="shared" si="129"/>
        <v>4.9889304280466877</v>
      </c>
      <c r="U1403" s="12">
        <f t="shared" si="125"/>
        <v>4.8403702569995</v>
      </c>
      <c r="V1403" s="30">
        <f t="shared" si="126"/>
        <v>0.46569095890410961</v>
      </c>
      <c r="W1403" s="46">
        <f t="shared" si="130"/>
        <v>-4.9889304280466867E-2</v>
      </c>
      <c r="X1403" s="33">
        <f t="shared" si="127"/>
        <v>2.7554031215982131E-2</v>
      </c>
    </row>
    <row r="1404" spans="19:24" x14ac:dyDescent="0.25">
      <c r="S1404" s="44">
        <f t="shared" si="128"/>
        <v>44454</v>
      </c>
      <c r="T1404" s="12">
        <f t="shared" si="129"/>
        <v>4.9862533457451459</v>
      </c>
      <c r="U1404" s="12">
        <f t="shared" si="125"/>
        <v>4.8377190802747094</v>
      </c>
      <c r="V1404" s="30">
        <f t="shared" si="126"/>
        <v>0.4656635616438356</v>
      </c>
      <c r="W1404" s="46">
        <f t="shared" si="130"/>
        <v>-4.9862533457451452E-2</v>
      </c>
      <c r="X1404" s="33">
        <f t="shared" si="127"/>
        <v>2.7553989703709193E-2</v>
      </c>
    </row>
    <row r="1405" spans="19:24" x14ac:dyDescent="0.25">
      <c r="S1405" s="44">
        <f t="shared" si="128"/>
        <v>44455</v>
      </c>
      <c r="T1405" s="12">
        <f t="shared" si="129"/>
        <v>4.983576263443604</v>
      </c>
      <c r="U1405" s="12">
        <f t="shared" si="125"/>
        <v>4.8350679035499207</v>
      </c>
      <c r="V1405" s="30">
        <f t="shared" si="126"/>
        <v>0.46563616438356165</v>
      </c>
      <c r="W1405" s="46">
        <f t="shared" si="130"/>
        <v>-4.983576263443603E-2</v>
      </c>
      <c r="X1405" s="33">
        <f t="shared" si="127"/>
        <v>2.7553948191436251E-2</v>
      </c>
    </row>
    <row r="1406" spans="19:24" x14ac:dyDescent="0.25">
      <c r="S1406" s="44">
        <f t="shared" si="128"/>
        <v>44456</v>
      </c>
      <c r="T1406" s="12">
        <f t="shared" si="129"/>
        <v>4.9808991811420658</v>
      </c>
      <c r="U1406" s="12">
        <f t="shared" si="125"/>
        <v>4.8324167268251319</v>
      </c>
      <c r="V1406" s="30">
        <f t="shared" si="126"/>
        <v>0.46560876712328769</v>
      </c>
      <c r="W1406" s="46">
        <f t="shared" si="130"/>
        <v>-4.980899181142065E-2</v>
      </c>
      <c r="X1406" s="33">
        <f t="shared" si="127"/>
        <v>2.7553906679163308E-2</v>
      </c>
    </row>
    <row r="1407" spans="19:24" x14ac:dyDescent="0.25">
      <c r="S1407" s="44">
        <f t="shared" si="128"/>
        <v>44457</v>
      </c>
      <c r="T1407" s="12">
        <f t="shared" si="129"/>
        <v>4.9782220988405221</v>
      </c>
      <c r="U1407" s="12">
        <f t="shared" si="125"/>
        <v>4.8297655501003414</v>
      </c>
      <c r="V1407" s="30">
        <f t="shared" si="126"/>
        <v>0.46558136986301374</v>
      </c>
      <c r="W1407" s="46">
        <f t="shared" si="130"/>
        <v>-4.9782220988405214E-2</v>
      </c>
      <c r="X1407" s="33">
        <f t="shared" si="127"/>
        <v>2.7553865166890359E-2</v>
      </c>
    </row>
    <row r="1408" spans="19:24" x14ac:dyDescent="0.25">
      <c r="S1408" s="44">
        <f t="shared" si="128"/>
        <v>44458</v>
      </c>
      <c r="T1408" s="12">
        <f t="shared" si="129"/>
        <v>4.9755450165389812</v>
      </c>
      <c r="U1408" s="12">
        <f t="shared" si="125"/>
        <v>4.8271143733755526</v>
      </c>
      <c r="V1408" s="30">
        <f t="shared" si="126"/>
        <v>0.46555397260273973</v>
      </c>
      <c r="W1408" s="46">
        <f t="shared" si="130"/>
        <v>-4.9755450165389806E-2</v>
      </c>
      <c r="X1408" s="33">
        <f t="shared" si="127"/>
        <v>2.7553823654617417E-2</v>
      </c>
    </row>
    <row r="1409" spans="19:24" x14ac:dyDescent="0.25">
      <c r="S1409" s="44">
        <f t="shared" si="128"/>
        <v>44459</v>
      </c>
      <c r="T1409" s="12">
        <f t="shared" si="129"/>
        <v>4.9728679342374384</v>
      </c>
      <c r="U1409" s="12">
        <f t="shared" si="125"/>
        <v>4.824463196650763</v>
      </c>
      <c r="V1409" s="30">
        <f t="shared" si="126"/>
        <v>0.46552657534246578</v>
      </c>
      <c r="W1409" s="46">
        <f t="shared" si="130"/>
        <v>-4.9728679342374377E-2</v>
      </c>
      <c r="X1409" s="33">
        <f t="shared" si="127"/>
        <v>2.7553782142344475E-2</v>
      </c>
    </row>
    <row r="1410" spans="19:24" x14ac:dyDescent="0.25">
      <c r="S1410" s="44">
        <f t="shared" si="128"/>
        <v>44460</v>
      </c>
      <c r="T1410" s="12">
        <f t="shared" si="129"/>
        <v>4.9701908519358993</v>
      </c>
      <c r="U1410" s="12">
        <f t="shared" si="125"/>
        <v>4.8218120199259751</v>
      </c>
      <c r="V1410" s="30">
        <f t="shared" si="126"/>
        <v>0.46549917808219177</v>
      </c>
      <c r="W1410" s="46">
        <f t="shared" si="130"/>
        <v>-4.9701908519358982E-2</v>
      </c>
      <c r="X1410" s="33">
        <f t="shared" si="127"/>
        <v>2.755374063007153E-2</v>
      </c>
    </row>
    <row r="1411" spans="19:24" x14ac:dyDescent="0.25">
      <c r="S1411" s="44">
        <f t="shared" si="128"/>
        <v>44461</v>
      </c>
      <c r="T1411" s="12">
        <f t="shared" si="129"/>
        <v>4.9675137696343574</v>
      </c>
      <c r="U1411" s="12">
        <f t="shared" si="125"/>
        <v>4.8191608432011845</v>
      </c>
      <c r="V1411" s="30">
        <f t="shared" si="126"/>
        <v>0.46547178082191776</v>
      </c>
      <c r="W1411" s="46">
        <f t="shared" si="130"/>
        <v>-4.9675137696343567E-2</v>
      </c>
      <c r="X1411" s="33">
        <f t="shared" si="127"/>
        <v>2.7553699117798581E-2</v>
      </c>
    </row>
    <row r="1412" spans="19:24" x14ac:dyDescent="0.25">
      <c r="S1412" s="44">
        <f t="shared" si="128"/>
        <v>44462</v>
      </c>
      <c r="T1412" s="12">
        <f t="shared" si="129"/>
        <v>4.9648366873328182</v>
      </c>
      <c r="U1412" s="12">
        <f t="shared" si="125"/>
        <v>4.8165096664763958</v>
      </c>
      <c r="V1412" s="30">
        <f t="shared" si="126"/>
        <v>0.46544438356164386</v>
      </c>
      <c r="W1412" s="46">
        <f t="shared" si="130"/>
        <v>-4.9648366873328173E-2</v>
      </c>
      <c r="X1412" s="33">
        <f t="shared" si="127"/>
        <v>2.7553657605525639E-2</v>
      </c>
    </row>
    <row r="1413" spans="19:24" x14ac:dyDescent="0.25">
      <c r="S1413" s="44">
        <f t="shared" si="128"/>
        <v>44463</v>
      </c>
      <c r="T1413" s="12">
        <f t="shared" si="129"/>
        <v>4.9621596050312746</v>
      </c>
      <c r="U1413" s="12">
        <f t="shared" ref="U1413:U1476" si="131">DurMod($S1413,$B$2,$F$7:$G$37,U$3)</f>
        <v>4.8138584897516052</v>
      </c>
      <c r="V1413" s="30">
        <f t="shared" ref="V1413:V1476" si="132">+$U$3*($S$5512-S1413)/365+$T$3*(S1413-$S$4)/365</f>
        <v>0.46541698630136985</v>
      </c>
      <c r="W1413" s="46">
        <f t="shared" si="130"/>
        <v>-4.9621596050312737E-2</v>
      </c>
      <c r="X1413" s="33">
        <f t="shared" ref="X1413:X1476" si="133">+(V1413+W1413)*365/($S$5512-$S$4)</f>
        <v>2.7553616093252693E-2</v>
      </c>
    </row>
    <row r="1414" spans="19:24" x14ac:dyDescent="0.25">
      <c r="S1414" s="44">
        <f t="shared" si="128"/>
        <v>44464</v>
      </c>
      <c r="T1414" s="12">
        <f t="shared" si="129"/>
        <v>4.9594825227297354</v>
      </c>
      <c r="U1414" s="12">
        <f t="shared" si="131"/>
        <v>4.8112073130268165</v>
      </c>
      <c r="V1414" s="30">
        <f t="shared" si="132"/>
        <v>0.4653895890410959</v>
      </c>
      <c r="W1414" s="46">
        <f t="shared" si="130"/>
        <v>-4.959482522729735E-2</v>
      </c>
      <c r="X1414" s="33">
        <f t="shared" si="133"/>
        <v>2.7553574580979751E-2</v>
      </c>
    </row>
    <row r="1415" spans="19:24" x14ac:dyDescent="0.25">
      <c r="S1415" s="44">
        <f t="shared" si="128"/>
        <v>44465</v>
      </c>
      <c r="T1415" s="12">
        <f t="shared" si="129"/>
        <v>4.9568054404281927</v>
      </c>
      <c r="U1415" s="12">
        <f t="shared" si="131"/>
        <v>4.8085561363020295</v>
      </c>
      <c r="V1415" s="30">
        <f t="shared" si="132"/>
        <v>0.46536219178082189</v>
      </c>
      <c r="W1415" s="46">
        <f t="shared" si="130"/>
        <v>-4.9568054404281921E-2</v>
      </c>
      <c r="X1415" s="33">
        <f t="shared" si="133"/>
        <v>2.7553533068706809E-2</v>
      </c>
    </row>
    <row r="1416" spans="19:24" x14ac:dyDescent="0.25">
      <c r="S1416" s="44">
        <f t="shared" si="128"/>
        <v>44466</v>
      </c>
      <c r="T1416" s="12">
        <f t="shared" si="129"/>
        <v>4.9541283581266526</v>
      </c>
      <c r="U1416" s="12">
        <f t="shared" si="131"/>
        <v>4.8059049595772381</v>
      </c>
      <c r="V1416" s="30">
        <f t="shared" si="132"/>
        <v>0.46533479452054793</v>
      </c>
      <c r="W1416" s="46">
        <f t="shared" si="130"/>
        <v>-4.9541283581266519E-2</v>
      </c>
      <c r="X1416" s="33">
        <f t="shared" si="133"/>
        <v>2.755349155643386E-2</v>
      </c>
    </row>
    <row r="1417" spans="19:24" x14ac:dyDescent="0.25">
      <c r="S1417" s="44">
        <f t="shared" si="128"/>
        <v>44467</v>
      </c>
      <c r="T1417" s="12">
        <f t="shared" si="129"/>
        <v>4.9514512758251108</v>
      </c>
      <c r="U1417" s="12">
        <f t="shared" si="131"/>
        <v>4.8032537828524484</v>
      </c>
      <c r="V1417" s="30">
        <f t="shared" si="132"/>
        <v>0.46530739726027398</v>
      </c>
      <c r="W1417" s="46">
        <f t="shared" si="130"/>
        <v>-4.9514512758251097E-2</v>
      </c>
      <c r="X1417" s="33">
        <f t="shared" si="133"/>
        <v>2.7553450044160918E-2</v>
      </c>
    </row>
    <row r="1418" spans="19:24" x14ac:dyDescent="0.25">
      <c r="S1418" s="44">
        <f t="shared" si="128"/>
        <v>44468</v>
      </c>
      <c r="T1418" s="12">
        <f t="shared" si="129"/>
        <v>4.9487741935235698</v>
      </c>
      <c r="U1418" s="12">
        <f t="shared" si="131"/>
        <v>4.8006026061276597</v>
      </c>
      <c r="V1418" s="30">
        <f t="shared" si="132"/>
        <v>0.46528000000000003</v>
      </c>
      <c r="W1418" s="46">
        <f t="shared" si="130"/>
        <v>-4.9487741935235689E-2</v>
      </c>
      <c r="X1418" s="33">
        <f t="shared" si="133"/>
        <v>2.7553408531887976E-2</v>
      </c>
    </row>
    <row r="1419" spans="19:24" x14ac:dyDescent="0.25">
      <c r="S1419" s="44">
        <f t="shared" si="128"/>
        <v>44469</v>
      </c>
      <c r="T1419" s="12">
        <f t="shared" si="129"/>
        <v>4.946097111222028</v>
      </c>
      <c r="U1419" s="12">
        <f t="shared" si="131"/>
        <v>4.7979514294028691</v>
      </c>
      <c r="V1419" s="30">
        <f t="shared" si="132"/>
        <v>0.46525260273972602</v>
      </c>
      <c r="W1419" s="46">
        <f t="shared" si="130"/>
        <v>-4.9460971112220274E-2</v>
      </c>
      <c r="X1419" s="33">
        <f t="shared" si="133"/>
        <v>2.7553367019615034E-2</v>
      </c>
    </row>
    <row r="1420" spans="19:24" x14ac:dyDescent="0.25">
      <c r="S1420" s="44">
        <f t="shared" si="128"/>
        <v>44470</v>
      </c>
      <c r="T1420" s="12">
        <f t="shared" si="129"/>
        <v>4.9434200289204862</v>
      </c>
      <c r="U1420" s="12">
        <f t="shared" si="131"/>
        <v>4.7953002526780812</v>
      </c>
      <c r="V1420" s="30">
        <f t="shared" si="132"/>
        <v>0.46522520547945201</v>
      </c>
      <c r="W1420" s="46">
        <f t="shared" si="130"/>
        <v>-4.9434200289204852E-2</v>
      </c>
      <c r="X1420" s="33">
        <f t="shared" si="133"/>
        <v>2.7553325507342082E-2</v>
      </c>
    </row>
    <row r="1421" spans="19:24" x14ac:dyDescent="0.25">
      <c r="S1421" s="44">
        <f t="shared" si="128"/>
        <v>44471</v>
      </c>
      <c r="T1421" s="12">
        <f t="shared" si="129"/>
        <v>4.9407429466189461</v>
      </c>
      <c r="U1421" s="12">
        <f t="shared" si="131"/>
        <v>4.7926490759532916</v>
      </c>
      <c r="V1421" s="30">
        <f t="shared" si="132"/>
        <v>0.46519780821917811</v>
      </c>
      <c r="W1421" s="46">
        <f t="shared" si="130"/>
        <v>-4.9407429466189451E-2</v>
      </c>
      <c r="X1421" s="33">
        <f t="shared" si="133"/>
        <v>2.7553283995069146E-2</v>
      </c>
    </row>
    <row r="1422" spans="19:24" x14ac:dyDescent="0.25">
      <c r="S1422" s="44">
        <f t="shared" si="128"/>
        <v>44472</v>
      </c>
      <c r="T1422" s="12">
        <f t="shared" si="129"/>
        <v>4.9380658643174042</v>
      </c>
      <c r="U1422" s="12">
        <f t="shared" si="131"/>
        <v>4.7899978992285028</v>
      </c>
      <c r="V1422" s="30">
        <f t="shared" si="132"/>
        <v>0.4651704109589041</v>
      </c>
      <c r="W1422" s="46">
        <f t="shared" si="130"/>
        <v>-4.9380658643174036E-2</v>
      </c>
      <c r="X1422" s="33">
        <f t="shared" si="133"/>
        <v>2.7553242482796197E-2</v>
      </c>
    </row>
    <row r="1423" spans="19:24" x14ac:dyDescent="0.25">
      <c r="S1423" s="44">
        <f t="shared" si="128"/>
        <v>44473</v>
      </c>
      <c r="T1423" s="12">
        <f t="shared" si="129"/>
        <v>4.9353887820158633</v>
      </c>
      <c r="U1423" s="12">
        <f t="shared" si="131"/>
        <v>4.7873467225037132</v>
      </c>
      <c r="V1423" s="30">
        <f t="shared" si="132"/>
        <v>0.46514301369863009</v>
      </c>
      <c r="W1423" s="46">
        <f t="shared" si="130"/>
        <v>-4.9353887820158628E-2</v>
      </c>
      <c r="X1423" s="33">
        <f t="shared" si="133"/>
        <v>2.7553200970523252E-2</v>
      </c>
    </row>
    <row r="1424" spans="19:24" x14ac:dyDescent="0.25">
      <c r="S1424" s="44">
        <f t="shared" si="128"/>
        <v>44474</v>
      </c>
      <c r="T1424" s="12">
        <f t="shared" si="129"/>
        <v>4.9327116997143214</v>
      </c>
      <c r="U1424" s="12">
        <f t="shared" si="131"/>
        <v>4.7846955457789235</v>
      </c>
      <c r="V1424" s="30">
        <f t="shared" si="132"/>
        <v>0.46511561643835614</v>
      </c>
      <c r="W1424" s="46">
        <f t="shared" si="130"/>
        <v>-4.9327116997143206E-2</v>
      </c>
      <c r="X1424" s="33">
        <f t="shared" si="133"/>
        <v>2.755315945825031E-2</v>
      </c>
    </row>
    <row r="1425" spans="19:24" x14ac:dyDescent="0.25">
      <c r="S1425" s="44">
        <f t="shared" si="128"/>
        <v>44475</v>
      </c>
      <c r="T1425" s="12">
        <f t="shared" si="129"/>
        <v>4.9300346174127823</v>
      </c>
      <c r="U1425" s="12">
        <f t="shared" si="131"/>
        <v>4.7820443690541339</v>
      </c>
      <c r="V1425" s="30">
        <f t="shared" si="132"/>
        <v>0.46508821917808219</v>
      </c>
      <c r="W1425" s="46">
        <f t="shared" si="130"/>
        <v>-4.9300346174127818E-2</v>
      </c>
      <c r="X1425" s="33">
        <f t="shared" si="133"/>
        <v>2.7553117945977368E-2</v>
      </c>
    </row>
    <row r="1426" spans="19:24" x14ac:dyDescent="0.25">
      <c r="S1426" s="44">
        <f t="shared" si="128"/>
        <v>44476</v>
      </c>
      <c r="T1426" s="12">
        <f t="shared" si="129"/>
        <v>4.9273575351112395</v>
      </c>
      <c r="U1426" s="12">
        <f t="shared" si="131"/>
        <v>4.7793931923293442</v>
      </c>
      <c r="V1426" s="30">
        <f t="shared" si="132"/>
        <v>0.46506082191780823</v>
      </c>
      <c r="W1426" s="46">
        <f t="shared" si="130"/>
        <v>-4.9273575351112389E-2</v>
      </c>
      <c r="X1426" s="33">
        <f t="shared" si="133"/>
        <v>2.7553076433704426E-2</v>
      </c>
    </row>
    <row r="1427" spans="19:24" x14ac:dyDescent="0.25">
      <c r="S1427" s="44">
        <f t="shared" si="128"/>
        <v>44477</v>
      </c>
      <c r="T1427" s="12">
        <f t="shared" si="129"/>
        <v>4.9246804528096986</v>
      </c>
      <c r="U1427" s="12">
        <f t="shared" si="131"/>
        <v>4.7767420156045564</v>
      </c>
      <c r="V1427" s="30">
        <f t="shared" si="132"/>
        <v>0.46503342465753422</v>
      </c>
      <c r="W1427" s="46">
        <f t="shared" si="130"/>
        <v>-4.9246804528096981E-2</v>
      </c>
      <c r="X1427" s="33">
        <f t="shared" si="133"/>
        <v>2.755303492143148E-2</v>
      </c>
    </row>
    <row r="1428" spans="19:24" x14ac:dyDescent="0.25">
      <c r="S1428" s="44">
        <f t="shared" si="128"/>
        <v>44478</v>
      </c>
      <c r="T1428" s="12">
        <f t="shared" si="129"/>
        <v>4.9220033705081585</v>
      </c>
      <c r="U1428" s="12">
        <f t="shared" si="131"/>
        <v>4.7740908388797667</v>
      </c>
      <c r="V1428" s="30">
        <f t="shared" si="132"/>
        <v>0.46500602739726027</v>
      </c>
      <c r="W1428" s="46">
        <f t="shared" si="130"/>
        <v>-4.922003370508158E-2</v>
      </c>
      <c r="X1428" s="33">
        <f t="shared" si="133"/>
        <v>2.7552993409158538E-2</v>
      </c>
    </row>
    <row r="1429" spans="19:24" x14ac:dyDescent="0.25">
      <c r="S1429" s="44">
        <f t="shared" si="128"/>
        <v>44479</v>
      </c>
      <c r="T1429" s="12">
        <f t="shared" si="129"/>
        <v>4.9193262882066149</v>
      </c>
      <c r="U1429" s="12">
        <f t="shared" si="131"/>
        <v>4.7714396621549779</v>
      </c>
      <c r="V1429" s="30">
        <f t="shared" si="132"/>
        <v>0.46497863013698626</v>
      </c>
      <c r="W1429" s="46">
        <f t="shared" si="130"/>
        <v>-4.9193262882066144E-2</v>
      </c>
      <c r="X1429" s="33">
        <f t="shared" si="133"/>
        <v>2.7552951896885589E-2</v>
      </c>
    </row>
    <row r="1430" spans="19:24" x14ac:dyDescent="0.25">
      <c r="S1430" s="44">
        <f t="shared" si="128"/>
        <v>44480</v>
      </c>
      <c r="T1430" s="12">
        <f t="shared" si="129"/>
        <v>4.9166492059050757</v>
      </c>
      <c r="U1430" s="12">
        <f t="shared" si="131"/>
        <v>4.7687884854301883</v>
      </c>
      <c r="V1430" s="30">
        <f t="shared" si="132"/>
        <v>0.46495123287671236</v>
      </c>
      <c r="W1430" s="46">
        <f t="shared" si="130"/>
        <v>-4.916649205905075E-2</v>
      </c>
      <c r="X1430" s="33">
        <f t="shared" si="133"/>
        <v>2.7552910384612654E-2</v>
      </c>
    </row>
    <row r="1431" spans="19:24" x14ac:dyDescent="0.25">
      <c r="S1431" s="44">
        <f t="shared" si="128"/>
        <v>44481</v>
      </c>
      <c r="T1431" s="12">
        <f t="shared" si="129"/>
        <v>4.9139721236035339</v>
      </c>
      <c r="U1431" s="12">
        <f t="shared" si="131"/>
        <v>4.7661373087053995</v>
      </c>
      <c r="V1431" s="30">
        <f t="shared" si="132"/>
        <v>0.46492383561643835</v>
      </c>
      <c r="W1431" s="46">
        <f t="shared" si="130"/>
        <v>-4.9139721236035334E-2</v>
      </c>
      <c r="X1431" s="33">
        <f t="shared" si="133"/>
        <v>2.7552868872339705E-2</v>
      </c>
    </row>
    <row r="1432" spans="19:24" x14ac:dyDescent="0.25">
      <c r="S1432" s="44">
        <f t="shared" si="128"/>
        <v>44482</v>
      </c>
      <c r="T1432" s="12">
        <f t="shared" si="129"/>
        <v>4.9112950413019929</v>
      </c>
      <c r="U1432" s="12">
        <f t="shared" si="131"/>
        <v>4.7634861319806099</v>
      </c>
      <c r="V1432" s="30">
        <f t="shared" si="132"/>
        <v>0.46489643835616434</v>
      </c>
      <c r="W1432" s="46">
        <f t="shared" si="130"/>
        <v>-4.9112950413019919E-2</v>
      </c>
      <c r="X1432" s="33">
        <f t="shared" si="133"/>
        <v>2.755282736006676E-2</v>
      </c>
    </row>
    <row r="1433" spans="19:24" x14ac:dyDescent="0.25">
      <c r="S1433" s="44">
        <f t="shared" si="128"/>
        <v>44483</v>
      </c>
      <c r="T1433" s="12">
        <f t="shared" si="129"/>
        <v>4.9086179590004519</v>
      </c>
      <c r="U1433" s="12">
        <f t="shared" si="131"/>
        <v>4.7608349552558202</v>
      </c>
      <c r="V1433" s="30">
        <f t="shared" si="132"/>
        <v>0.46486904109589039</v>
      </c>
      <c r="W1433" s="46">
        <f t="shared" si="130"/>
        <v>-4.9086179590004511E-2</v>
      </c>
      <c r="X1433" s="33">
        <f t="shared" si="133"/>
        <v>2.7552785847793818E-2</v>
      </c>
    </row>
    <row r="1434" spans="19:24" x14ac:dyDescent="0.25">
      <c r="S1434" s="44">
        <f t="shared" si="128"/>
        <v>44484</v>
      </c>
      <c r="T1434" s="12">
        <f t="shared" si="129"/>
        <v>4.9059408766989101</v>
      </c>
      <c r="U1434" s="12">
        <f t="shared" si="131"/>
        <v>4.7581837785310315</v>
      </c>
      <c r="V1434" s="30">
        <f t="shared" si="132"/>
        <v>0.46484164383561638</v>
      </c>
      <c r="W1434" s="46">
        <f t="shared" si="130"/>
        <v>-4.9059408766989096E-2</v>
      </c>
      <c r="X1434" s="33">
        <f t="shared" si="133"/>
        <v>2.7552744335520869E-2</v>
      </c>
    </row>
    <row r="1435" spans="19:24" x14ac:dyDescent="0.25">
      <c r="S1435" s="44">
        <f t="shared" si="128"/>
        <v>44485</v>
      </c>
      <c r="T1435" s="12">
        <f t="shared" si="129"/>
        <v>4.9032637943973683</v>
      </c>
      <c r="U1435" s="12">
        <f t="shared" si="131"/>
        <v>4.7555326018062409</v>
      </c>
      <c r="V1435" s="30">
        <f t="shared" si="132"/>
        <v>0.46481424657534243</v>
      </c>
      <c r="W1435" s="46">
        <f t="shared" si="130"/>
        <v>-4.9032637943973674E-2</v>
      </c>
      <c r="X1435" s="33">
        <f t="shared" si="133"/>
        <v>2.7552702823247927E-2</v>
      </c>
    </row>
    <row r="1436" spans="19:24" x14ac:dyDescent="0.25">
      <c r="S1436" s="44">
        <f t="shared" si="128"/>
        <v>44486</v>
      </c>
      <c r="T1436" s="12">
        <f t="shared" si="129"/>
        <v>4.9005867120958291</v>
      </c>
      <c r="U1436" s="12">
        <f t="shared" si="131"/>
        <v>4.7528814250814513</v>
      </c>
      <c r="V1436" s="30">
        <f t="shared" si="132"/>
        <v>0.46478684931506847</v>
      </c>
      <c r="W1436" s="46">
        <f t="shared" si="130"/>
        <v>-4.9005867120958287E-2</v>
      </c>
      <c r="X1436" s="33">
        <f t="shared" si="133"/>
        <v>2.7552661310974984E-2</v>
      </c>
    </row>
    <row r="1437" spans="19:24" x14ac:dyDescent="0.25">
      <c r="S1437" s="44">
        <f t="shared" si="128"/>
        <v>44487</v>
      </c>
      <c r="T1437" s="12">
        <f t="shared" si="129"/>
        <v>4.8979096297942863</v>
      </c>
      <c r="U1437" s="12">
        <f t="shared" si="131"/>
        <v>4.7502302483566643</v>
      </c>
      <c r="V1437" s="30">
        <f t="shared" si="132"/>
        <v>0.46475945205479452</v>
      </c>
      <c r="W1437" s="46">
        <f t="shared" si="130"/>
        <v>-4.8979096297942858E-2</v>
      </c>
      <c r="X1437" s="33">
        <f t="shared" si="133"/>
        <v>2.7552619798702042E-2</v>
      </c>
    </row>
    <row r="1438" spans="19:24" x14ac:dyDescent="0.25">
      <c r="S1438" s="44">
        <f t="shared" si="128"/>
        <v>44488</v>
      </c>
      <c r="T1438" s="12">
        <f t="shared" si="129"/>
        <v>4.8952325474927454</v>
      </c>
      <c r="U1438" s="12">
        <f t="shared" si="131"/>
        <v>4.7475790716318746</v>
      </c>
      <c r="V1438" s="30">
        <f t="shared" si="132"/>
        <v>0.46473205479452051</v>
      </c>
      <c r="W1438" s="46">
        <f t="shared" si="130"/>
        <v>-4.8952325474927449E-2</v>
      </c>
      <c r="X1438" s="33">
        <f t="shared" si="133"/>
        <v>2.7552578286429097E-2</v>
      </c>
    </row>
    <row r="1439" spans="19:24" x14ac:dyDescent="0.25">
      <c r="S1439" s="44">
        <f t="shared" si="128"/>
        <v>44489</v>
      </c>
      <c r="T1439" s="12">
        <f t="shared" si="129"/>
        <v>4.8925554651912044</v>
      </c>
      <c r="U1439" s="12">
        <f t="shared" si="131"/>
        <v>4.7449278949070832</v>
      </c>
      <c r="V1439" s="30">
        <f t="shared" si="132"/>
        <v>0.46470465753424656</v>
      </c>
      <c r="W1439" s="46">
        <f t="shared" si="130"/>
        <v>-4.8925554651912034E-2</v>
      </c>
      <c r="X1439" s="33">
        <f t="shared" si="133"/>
        <v>2.7552536774156155E-2</v>
      </c>
    </row>
    <row r="1440" spans="19:24" x14ac:dyDescent="0.25">
      <c r="S1440" s="44">
        <f t="shared" si="128"/>
        <v>44490</v>
      </c>
      <c r="T1440" s="12">
        <f t="shared" si="129"/>
        <v>4.8898783828896626</v>
      </c>
      <c r="U1440" s="12">
        <f t="shared" si="131"/>
        <v>4.7422767181822953</v>
      </c>
      <c r="V1440" s="30">
        <f t="shared" si="132"/>
        <v>0.4646772602739726</v>
      </c>
      <c r="W1440" s="46">
        <f t="shared" si="130"/>
        <v>-4.8898783828896619E-2</v>
      </c>
      <c r="X1440" s="33">
        <f t="shared" si="133"/>
        <v>2.7552495261883213E-2</v>
      </c>
    </row>
    <row r="1441" spans="19:24" x14ac:dyDescent="0.25">
      <c r="S1441" s="44">
        <f t="shared" si="128"/>
        <v>44491</v>
      </c>
      <c r="T1441" s="12">
        <f t="shared" si="129"/>
        <v>4.8872013005881225</v>
      </c>
      <c r="U1441" s="12">
        <f t="shared" si="131"/>
        <v>4.7396255414575057</v>
      </c>
      <c r="V1441" s="30">
        <f t="shared" si="132"/>
        <v>0.46464986301369859</v>
      </c>
      <c r="W1441" s="46">
        <f t="shared" si="130"/>
        <v>-4.8872013005881218E-2</v>
      </c>
      <c r="X1441" s="33">
        <f t="shared" si="133"/>
        <v>2.7552453749610264E-2</v>
      </c>
    </row>
    <row r="1442" spans="19:24" x14ac:dyDescent="0.25">
      <c r="S1442" s="44">
        <f t="shared" si="128"/>
        <v>44492</v>
      </c>
      <c r="T1442" s="12">
        <f t="shared" si="129"/>
        <v>4.8845242182865807</v>
      </c>
      <c r="U1442" s="12">
        <f t="shared" si="131"/>
        <v>4.736974364732716</v>
      </c>
      <c r="V1442" s="30">
        <f t="shared" si="132"/>
        <v>0.46462246575342458</v>
      </c>
      <c r="W1442" s="46">
        <f t="shared" si="130"/>
        <v>-4.8845242182865796E-2</v>
      </c>
      <c r="X1442" s="33">
        <f t="shared" si="133"/>
        <v>2.7552412237337318E-2</v>
      </c>
    </row>
    <row r="1443" spans="19:24" x14ac:dyDescent="0.25">
      <c r="S1443" s="44">
        <f t="shared" si="128"/>
        <v>44493</v>
      </c>
      <c r="T1443" s="12">
        <f t="shared" si="129"/>
        <v>4.8818471359850406</v>
      </c>
      <c r="U1443" s="12">
        <f t="shared" si="131"/>
        <v>4.7343231880079282</v>
      </c>
      <c r="V1443" s="30">
        <f t="shared" si="132"/>
        <v>0.46459506849315063</v>
      </c>
      <c r="W1443" s="46">
        <f t="shared" si="130"/>
        <v>-4.8818471359850402E-2</v>
      </c>
      <c r="X1443" s="33">
        <f t="shared" si="133"/>
        <v>2.7552370725064376E-2</v>
      </c>
    </row>
    <row r="1444" spans="19:24" x14ac:dyDescent="0.25">
      <c r="S1444" s="44">
        <f t="shared" si="128"/>
        <v>44494</v>
      </c>
      <c r="T1444" s="12">
        <f t="shared" si="129"/>
        <v>4.8791700536834997</v>
      </c>
      <c r="U1444" s="12">
        <f t="shared" si="131"/>
        <v>4.731672011283135</v>
      </c>
      <c r="V1444" s="30">
        <f t="shared" si="132"/>
        <v>0.46456767123287668</v>
      </c>
      <c r="W1444" s="46">
        <f t="shared" si="130"/>
        <v>-4.8791700536834987E-2</v>
      </c>
      <c r="X1444" s="33">
        <f t="shared" si="133"/>
        <v>2.7552329212791434E-2</v>
      </c>
    </row>
    <row r="1445" spans="19:24" x14ac:dyDescent="0.25">
      <c r="S1445" s="44">
        <f t="shared" si="128"/>
        <v>44495</v>
      </c>
      <c r="T1445" s="12">
        <f t="shared" si="129"/>
        <v>4.8764929713819578</v>
      </c>
      <c r="U1445" s="12">
        <f t="shared" si="131"/>
        <v>4.7290208345583489</v>
      </c>
      <c r="V1445" s="30">
        <f t="shared" si="132"/>
        <v>0.46454027397260272</v>
      </c>
      <c r="W1445" s="46">
        <f t="shared" si="130"/>
        <v>-4.8764929713819571E-2</v>
      </c>
      <c r="X1445" s="33">
        <f t="shared" si="133"/>
        <v>2.7552287700518492E-2</v>
      </c>
    </row>
    <row r="1446" spans="19:24" x14ac:dyDescent="0.25">
      <c r="S1446" s="44">
        <f t="shared" si="128"/>
        <v>44496</v>
      </c>
      <c r="T1446" s="12">
        <f t="shared" si="129"/>
        <v>4.8738158890804169</v>
      </c>
      <c r="U1446" s="12">
        <f t="shared" si="131"/>
        <v>4.7263696578335592</v>
      </c>
      <c r="V1446" s="30">
        <f t="shared" si="132"/>
        <v>0.46451287671232872</v>
      </c>
      <c r="W1446" s="46">
        <f t="shared" si="130"/>
        <v>-4.8738158890804163E-2</v>
      </c>
      <c r="X1446" s="33">
        <f t="shared" si="133"/>
        <v>2.7552246188245547E-2</v>
      </c>
    </row>
    <row r="1447" spans="19:24" x14ac:dyDescent="0.25">
      <c r="S1447" s="44">
        <f t="shared" ref="S1447:S1510" si="134">+S1446+1</f>
        <v>44497</v>
      </c>
      <c r="T1447" s="12">
        <f t="shared" ref="T1447:T1510" si="135">DurMod(S1447,B$2,$F$7:$G$37,$T$3)</f>
        <v>4.8711388067788759</v>
      </c>
      <c r="U1447" s="12">
        <f t="shared" si="131"/>
        <v>4.7237184811087696</v>
      </c>
      <c r="V1447" s="30">
        <f t="shared" si="132"/>
        <v>0.46448547945205476</v>
      </c>
      <c r="W1447" s="46">
        <f t="shared" ref="W1447:W1510" si="136">+-T1447*($U$3-$T$3)</f>
        <v>-4.8711388067788748E-2</v>
      </c>
      <c r="X1447" s="33">
        <f t="shared" si="133"/>
        <v>2.7552204675972605E-2</v>
      </c>
    </row>
    <row r="1448" spans="19:24" x14ac:dyDescent="0.25">
      <c r="S1448" s="44">
        <f t="shared" si="134"/>
        <v>44498</v>
      </c>
      <c r="T1448" s="12">
        <f t="shared" si="135"/>
        <v>4.8684617244773341</v>
      </c>
      <c r="U1448" s="12">
        <f t="shared" si="131"/>
        <v>4.7210673043839808</v>
      </c>
      <c r="V1448" s="30">
        <f t="shared" si="132"/>
        <v>0.46445808219178081</v>
      </c>
      <c r="W1448" s="46">
        <f t="shared" si="136"/>
        <v>-4.8684617244773333E-2</v>
      </c>
      <c r="X1448" s="33">
        <f t="shared" si="133"/>
        <v>2.7552163163699663E-2</v>
      </c>
    </row>
    <row r="1449" spans="19:24" x14ac:dyDescent="0.25">
      <c r="S1449" s="44">
        <f t="shared" si="134"/>
        <v>44499</v>
      </c>
      <c r="T1449" s="12">
        <f t="shared" si="135"/>
        <v>4.8657846421757913</v>
      </c>
      <c r="U1449" s="12">
        <f t="shared" si="131"/>
        <v>4.7184161276591912</v>
      </c>
      <c r="V1449" s="30">
        <f t="shared" si="132"/>
        <v>0.46443068493150685</v>
      </c>
      <c r="W1449" s="46">
        <f t="shared" si="136"/>
        <v>-4.8657846421757904E-2</v>
      </c>
      <c r="X1449" s="33">
        <f t="shared" si="133"/>
        <v>2.755212165142672E-2</v>
      </c>
    </row>
    <row r="1450" spans="19:24" x14ac:dyDescent="0.25">
      <c r="S1450" s="44">
        <f t="shared" si="134"/>
        <v>44500</v>
      </c>
      <c r="T1450" s="12">
        <f t="shared" si="135"/>
        <v>4.8631075598742495</v>
      </c>
      <c r="U1450" s="12">
        <f t="shared" si="131"/>
        <v>4.7157649509344033</v>
      </c>
      <c r="V1450" s="30">
        <f t="shared" si="132"/>
        <v>0.46440328767123285</v>
      </c>
      <c r="W1450" s="46">
        <f t="shared" si="136"/>
        <v>-4.8631075598742489E-2</v>
      </c>
      <c r="X1450" s="33">
        <f t="shared" si="133"/>
        <v>2.7552080139153771E-2</v>
      </c>
    </row>
    <row r="1451" spans="19:24" x14ac:dyDescent="0.25">
      <c r="S1451" s="44">
        <f t="shared" si="134"/>
        <v>44501</v>
      </c>
      <c r="T1451" s="12">
        <f t="shared" si="135"/>
        <v>4.8604304775727103</v>
      </c>
      <c r="U1451" s="12">
        <f t="shared" si="131"/>
        <v>4.7131137742096127</v>
      </c>
      <c r="V1451" s="30">
        <f t="shared" si="132"/>
        <v>0.46437589041095884</v>
      </c>
      <c r="W1451" s="46">
        <f t="shared" si="136"/>
        <v>-4.8604304775727095E-2</v>
      </c>
      <c r="X1451" s="33">
        <f t="shared" si="133"/>
        <v>2.7552038626880826E-2</v>
      </c>
    </row>
    <row r="1452" spans="19:24" x14ac:dyDescent="0.25">
      <c r="S1452" s="44">
        <f t="shared" si="134"/>
        <v>44502</v>
      </c>
      <c r="T1452" s="12">
        <f t="shared" si="135"/>
        <v>4.8577533952711685</v>
      </c>
      <c r="U1452" s="12">
        <f t="shared" si="131"/>
        <v>4.7104625974848231</v>
      </c>
      <c r="V1452" s="30">
        <f t="shared" si="132"/>
        <v>0.46434849315068488</v>
      </c>
      <c r="W1452" s="46">
        <f t="shared" si="136"/>
        <v>-4.857753395271168E-2</v>
      </c>
      <c r="X1452" s="33">
        <f t="shared" si="133"/>
        <v>2.7551997114607884E-2</v>
      </c>
    </row>
    <row r="1453" spans="19:24" x14ac:dyDescent="0.25">
      <c r="S1453" s="44">
        <f t="shared" si="134"/>
        <v>44503</v>
      </c>
      <c r="T1453" s="12">
        <f t="shared" si="135"/>
        <v>4.8550763129696275</v>
      </c>
      <c r="U1453" s="12">
        <f t="shared" si="131"/>
        <v>4.7078114207600343</v>
      </c>
      <c r="V1453" s="30">
        <f t="shared" si="132"/>
        <v>0.46432109589041093</v>
      </c>
      <c r="W1453" s="46">
        <f t="shared" si="136"/>
        <v>-4.8550763129696264E-2</v>
      </c>
      <c r="X1453" s="33">
        <f t="shared" si="133"/>
        <v>2.7551955602334942E-2</v>
      </c>
    </row>
    <row r="1454" spans="19:24" x14ac:dyDescent="0.25">
      <c r="S1454" s="44">
        <f t="shared" si="134"/>
        <v>44504</v>
      </c>
      <c r="T1454" s="12">
        <f t="shared" si="135"/>
        <v>4.8523992306680865</v>
      </c>
      <c r="U1454" s="12">
        <f t="shared" si="131"/>
        <v>4.7051602440352456</v>
      </c>
      <c r="V1454" s="30">
        <f t="shared" si="132"/>
        <v>0.46429369863013692</v>
      </c>
      <c r="W1454" s="46">
        <f t="shared" si="136"/>
        <v>-4.8523992306680856E-2</v>
      </c>
      <c r="X1454" s="33">
        <f t="shared" si="133"/>
        <v>2.7551914090061993E-2</v>
      </c>
    </row>
    <row r="1455" spans="19:24" x14ac:dyDescent="0.25">
      <c r="S1455" s="44">
        <f t="shared" si="134"/>
        <v>44505</v>
      </c>
      <c r="T1455" s="12">
        <f t="shared" si="135"/>
        <v>4.8497221483665447</v>
      </c>
      <c r="U1455" s="12">
        <f t="shared" si="131"/>
        <v>4.7025090673104541</v>
      </c>
      <c r="V1455" s="30">
        <f t="shared" si="132"/>
        <v>0.46426630136986297</v>
      </c>
      <c r="W1455" s="46">
        <f t="shared" si="136"/>
        <v>-4.8497221483665441E-2</v>
      </c>
      <c r="X1455" s="33">
        <f t="shared" si="133"/>
        <v>2.7551872577789051E-2</v>
      </c>
    </row>
    <row r="1456" spans="19:24" x14ac:dyDescent="0.25">
      <c r="S1456" s="44">
        <f t="shared" si="134"/>
        <v>44506</v>
      </c>
      <c r="T1456" s="12">
        <f t="shared" si="135"/>
        <v>4.8470450660650037</v>
      </c>
      <c r="U1456" s="12">
        <f t="shared" si="131"/>
        <v>4.6998578905856681</v>
      </c>
      <c r="V1456" s="30">
        <f t="shared" si="132"/>
        <v>0.46423890410958901</v>
      </c>
      <c r="W1456" s="46">
        <f t="shared" si="136"/>
        <v>-4.8470450660650033E-2</v>
      </c>
      <c r="X1456" s="33">
        <f t="shared" si="133"/>
        <v>2.7551831065516109E-2</v>
      </c>
    </row>
    <row r="1457" spans="19:24" x14ac:dyDescent="0.25">
      <c r="S1457" s="44">
        <f t="shared" si="134"/>
        <v>44507</v>
      </c>
      <c r="T1457" s="12">
        <f t="shared" si="135"/>
        <v>4.8443679837634628</v>
      </c>
      <c r="U1457" s="12">
        <f t="shared" si="131"/>
        <v>4.6972067138608784</v>
      </c>
      <c r="V1457" s="30">
        <f t="shared" si="132"/>
        <v>0.46421150684931506</v>
      </c>
      <c r="W1457" s="46">
        <f t="shared" si="136"/>
        <v>-4.8443679837634618E-2</v>
      </c>
      <c r="X1457" s="33">
        <f t="shared" si="133"/>
        <v>2.7551789553243167E-2</v>
      </c>
    </row>
    <row r="1458" spans="19:24" x14ac:dyDescent="0.25">
      <c r="S1458" s="44">
        <f t="shared" si="134"/>
        <v>44508</v>
      </c>
      <c r="T1458" s="12">
        <f t="shared" si="135"/>
        <v>4.8416909014619218</v>
      </c>
      <c r="U1458" s="12">
        <f t="shared" si="131"/>
        <v>4.694555537136087</v>
      </c>
      <c r="V1458" s="30">
        <f t="shared" si="132"/>
        <v>0.46418410958904105</v>
      </c>
      <c r="W1458" s="46">
        <f t="shared" si="136"/>
        <v>-4.841690901461921E-2</v>
      </c>
      <c r="X1458" s="33">
        <f t="shared" si="133"/>
        <v>2.7551748040970221E-2</v>
      </c>
    </row>
    <row r="1459" spans="19:24" x14ac:dyDescent="0.25">
      <c r="S1459" s="44">
        <f t="shared" si="134"/>
        <v>44509</v>
      </c>
      <c r="T1459" s="12">
        <f t="shared" si="135"/>
        <v>4.8390138191603818</v>
      </c>
      <c r="U1459" s="12">
        <f t="shared" si="131"/>
        <v>4.6919043604112991</v>
      </c>
      <c r="V1459" s="30">
        <f t="shared" si="132"/>
        <v>0.4641567123287671</v>
      </c>
      <c r="W1459" s="46">
        <f t="shared" si="136"/>
        <v>-4.8390138191603808E-2</v>
      </c>
      <c r="X1459" s="33">
        <f t="shared" si="133"/>
        <v>2.7551706528697272E-2</v>
      </c>
    </row>
    <row r="1460" spans="19:24" x14ac:dyDescent="0.25">
      <c r="S1460" s="44">
        <f t="shared" si="134"/>
        <v>44510</v>
      </c>
      <c r="T1460" s="12">
        <f t="shared" si="135"/>
        <v>4.836336736858839</v>
      </c>
      <c r="U1460" s="12">
        <f t="shared" si="131"/>
        <v>4.6892531836865086</v>
      </c>
      <c r="V1460" s="30">
        <f t="shared" si="132"/>
        <v>0.46412931506849309</v>
      </c>
      <c r="W1460" s="46">
        <f t="shared" si="136"/>
        <v>-4.8363367368588379E-2</v>
      </c>
      <c r="X1460" s="33">
        <f t="shared" si="133"/>
        <v>2.755166501642433E-2</v>
      </c>
    </row>
    <row r="1461" spans="19:24" x14ac:dyDescent="0.25">
      <c r="S1461" s="44">
        <f t="shared" si="134"/>
        <v>44511</v>
      </c>
      <c r="T1461" s="12">
        <f t="shared" si="135"/>
        <v>4.8336596545572963</v>
      </c>
      <c r="U1461" s="12">
        <f t="shared" si="131"/>
        <v>4.6866020069617207</v>
      </c>
      <c r="V1461" s="30">
        <f t="shared" si="132"/>
        <v>0.46410191780821919</v>
      </c>
      <c r="W1461" s="46">
        <f t="shared" si="136"/>
        <v>-4.8336596545572957E-2</v>
      </c>
      <c r="X1461" s="33">
        <f t="shared" si="133"/>
        <v>2.7551623504151388E-2</v>
      </c>
    </row>
    <row r="1462" spans="19:24" x14ac:dyDescent="0.25">
      <c r="S1462" s="44">
        <f t="shared" si="134"/>
        <v>44512</v>
      </c>
      <c r="T1462" s="12">
        <f t="shared" si="135"/>
        <v>4.8309825722557571</v>
      </c>
      <c r="U1462" s="12">
        <f t="shared" si="131"/>
        <v>4.683950830236931</v>
      </c>
      <c r="V1462" s="30">
        <f t="shared" si="132"/>
        <v>0.46407452054794524</v>
      </c>
      <c r="W1462" s="46">
        <f t="shared" si="136"/>
        <v>-4.8309825722557563E-2</v>
      </c>
      <c r="X1462" s="33">
        <f t="shared" si="133"/>
        <v>2.7551581991878453E-2</v>
      </c>
    </row>
    <row r="1463" spans="19:24" x14ac:dyDescent="0.25">
      <c r="S1463" s="44">
        <f t="shared" si="134"/>
        <v>44513</v>
      </c>
      <c r="T1463" s="12">
        <f t="shared" si="135"/>
        <v>4.8283054899542153</v>
      </c>
      <c r="U1463" s="12">
        <f t="shared" si="131"/>
        <v>4.6812996535121414</v>
      </c>
      <c r="V1463" s="30">
        <f t="shared" si="132"/>
        <v>0.46404712328767123</v>
      </c>
      <c r="W1463" s="46">
        <f t="shared" si="136"/>
        <v>-4.8283054899542148E-2</v>
      </c>
      <c r="X1463" s="33">
        <f t="shared" si="133"/>
        <v>2.7551540479605501E-2</v>
      </c>
    </row>
    <row r="1464" spans="19:24" x14ac:dyDescent="0.25">
      <c r="S1464" s="44">
        <f t="shared" si="134"/>
        <v>44514</v>
      </c>
      <c r="T1464" s="12">
        <f t="shared" si="135"/>
        <v>4.8256284076526734</v>
      </c>
      <c r="U1464" s="12">
        <f t="shared" si="131"/>
        <v>4.6786484767873535</v>
      </c>
      <c r="V1464" s="30">
        <f t="shared" si="132"/>
        <v>0.46401972602739733</v>
      </c>
      <c r="W1464" s="46">
        <f t="shared" si="136"/>
        <v>-4.8256284076526726E-2</v>
      </c>
      <c r="X1464" s="33">
        <f t="shared" si="133"/>
        <v>2.7551498967332565E-2</v>
      </c>
    </row>
    <row r="1465" spans="19:24" x14ac:dyDescent="0.25">
      <c r="S1465" s="44">
        <f t="shared" si="134"/>
        <v>44515</v>
      </c>
      <c r="T1465" s="12">
        <f t="shared" si="135"/>
        <v>4.8229513253511334</v>
      </c>
      <c r="U1465" s="12">
        <f t="shared" si="131"/>
        <v>4.675997300062563</v>
      </c>
      <c r="V1465" s="30">
        <f t="shared" si="132"/>
        <v>0.46399232876712332</v>
      </c>
      <c r="W1465" s="46">
        <f t="shared" si="136"/>
        <v>-4.8229513253511325E-2</v>
      </c>
      <c r="X1465" s="33">
        <f t="shared" si="133"/>
        <v>2.7551457455059616E-2</v>
      </c>
    </row>
    <row r="1466" spans="19:24" x14ac:dyDescent="0.25">
      <c r="S1466" s="44">
        <f t="shared" si="134"/>
        <v>44516</v>
      </c>
      <c r="T1466" s="12">
        <f t="shared" si="135"/>
        <v>4.8202742430495915</v>
      </c>
      <c r="U1466" s="12">
        <f t="shared" si="131"/>
        <v>4.6733461233377724</v>
      </c>
      <c r="V1466" s="30">
        <f t="shared" si="132"/>
        <v>0.46396493150684937</v>
      </c>
      <c r="W1466" s="46">
        <f t="shared" si="136"/>
        <v>-4.820274243049591E-2</v>
      </c>
      <c r="X1466" s="33">
        <f t="shared" si="133"/>
        <v>2.7551415942786674E-2</v>
      </c>
    </row>
    <row r="1467" spans="19:24" x14ac:dyDescent="0.25">
      <c r="S1467" s="44">
        <f t="shared" si="134"/>
        <v>44517</v>
      </c>
      <c r="T1467" s="12">
        <f t="shared" si="135"/>
        <v>4.8175971607480514</v>
      </c>
      <c r="U1467" s="12">
        <f t="shared" si="131"/>
        <v>4.6706949466129828</v>
      </c>
      <c r="V1467" s="30">
        <f t="shared" si="132"/>
        <v>0.46393753424657536</v>
      </c>
      <c r="W1467" s="46">
        <f t="shared" si="136"/>
        <v>-4.8175971607480508E-2</v>
      </c>
      <c r="X1467" s="33">
        <f t="shared" si="133"/>
        <v>2.7551374430513729E-2</v>
      </c>
    </row>
    <row r="1468" spans="19:24" x14ac:dyDescent="0.25">
      <c r="S1468" s="44">
        <f t="shared" si="134"/>
        <v>44518</v>
      </c>
      <c r="T1468" s="12">
        <f t="shared" si="135"/>
        <v>4.8149200784465087</v>
      </c>
      <c r="U1468" s="12">
        <f t="shared" si="131"/>
        <v>4.6680437698881958</v>
      </c>
      <c r="V1468" s="30">
        <f t="shared" si="132"/>
        <v>0.46391013698630135</v>
      </c>
      <c r="W1468" s="46">
        <f t="shared" si="136"/>
        <v>-4.8149200784465079E-2</v>
      </c>
      <c r="X1468" s="33">
        <f t="shared" si="133"/>
        <v>2.7551332918240787E-2</v>
      </c>
    </row>
    <row r="1469" spans="19:24" x14ac:dyDescent="0.25">
      <c r="S1469" s="44">
        <f t="shared" si="134"/>
        <v>44519</v>
      </c>
      <c r="T1469" s="12">
        <f t="shared" si="135"/>
        <v>4.8122429961449678</v>
      </c>
      <c r="U1469" s="12">
        <f t="shared" si="131"/>
        <v>4.6653925931634062</v>
      </c>
      <c r="V1469" s="30">
        <f t="shared" si="132"/>
        <v>0.46388273972602745</v>
      </c>
      <c r="W1469" s="46">
        <f t="shared" si="136"/>
        <v>-4.8122429961449671E-2</v>
      </c>
      <c r="X1469" s="33">
        <f t="shared" si="133"/>
        <v>2.7551291405967845E-2</v>
      </c>
    </row>
    <row r="1470" spans="19:24" x14ac:dyDescent="0.25">
      <c r="S1470" s="44">
        <f t="shared" si="134"/>
        <v>44520</v>
      </c>
      <c r="T1470" s="12">
        <f t="shared" si="135"/>
        <v>4.8095659138434277</v>
      </c>
      <c r="U1470" s="12">
        <f t="shared" si="131"/>
        <v>4.6627414164386174</v>
      </c>
      <c r="V1470" s="30">
        <f t="shared" si="132"/>
        <v>0.46385534246575344</v>
      </c>
      <c r="W1470" s="46">
        <f t="shared" si="136"/>
        <v>-4.809565913843427E-2</v>
      </c>
      <c r="X1470" s="33">
        <f t="shared" si="133"/>
        <v>2.7551249893694896E-2</v>
      </c>
    </row>
    <row r="1471" spans="19:24" x14ac:dyDescent="0.25">
      <c r="S1471" s="44">
        <f t="shared" si="134"/>
        <v>44521</v>
      </c>
      <c r="T1471" s="12">
        <f t="shared" si="135"/>
        <v>4.8068888315418858</v>
      </c>
      <c r="U1471" s="12">
        <f t="shared" si="131"/>
        <v>4.6600902397138277</v>
      </c>
      <c r="V1471" s="30">
        <f t="shared" si="132"/>
        <v>0.46382794520547949</v>
      </c>
      <c r="W1471" s="46">
        <f t="shared" si="136"/>
        <v>-4.8068888315418848E-2</v>
      </c>
      <c r="X1471" s="33">
        <f t="shared" si="133"/>
        <v>2.7551208381421954E-2</v>
      </c>
    </row>
    <row r="1472" spans="19:24" x14ac:dyDescent="0.25">
      <c r="S1472" s="44">
        <f t="shared" si="134"/>
        <v>44522</v>
      </c>
      <c r="T1472" s="12">
        <f t="shared" si="135"/>
        <v>4.8042117492403458</v>
      </c>
      <c r="U1472" s="12">
        <f t="shared" si="131"/>
        <v>4.6574390629890372</v>
      </c>
      <c r="V1472" s="30">
        <f t="shared" si="132"/>
        <v>0.46380054794520548</v>
      </c>
      <c r="W1472" s="46">
        <f t="shared" si="136"/>
        <v>-4.8042117492403454E-2</v>
      </c>
      <c r="X1472" s="33">
        <f t="shared" si="133"/>
        <v>2.7551166869149008E-2</v>
      </c>
    </row>
    <row r="1473" spans="19:24" x14ac:dyDescent="0.25">
      <c r="S1473" s="44">
        <f t="shared" si="134"/>
        <v>44523</v>
      </c>
      <c r="T1473" s="12">
        <f t="shared" si="135"/>
        <v>4.8015346669388022</v>
      </c>
      <c r="U1473" s="12">
        <f t="shared" si="131"/>
        <v>4.6547878862642484</v>
      </c>
      <c r="V1473" s="30">
        <f t="shared" si="132"/>
        <v>0.46377315068493152</v>
      </c>
      <c r="W1473" s="46">
        <f t="shared" si="136"/>
        <v>-4.8015346669388018E-2</v>
      </c>
      <c r="X1473" s="33">
        <f t="shared" si="133"/>
        <v>2.755112535687607E-2</v>
      </c>
    </row>
    <row r="1474" spans="19:24" x14ac:dyDescent="0.25">
      <c r="S1474" s="44">
        <f t="shared" si="134"/>
        <v>44524</v>
      </c>
      <c r="T1474" s="12">
        <f t="shared" si="135"/>
        <v>4.798857584637263</v>
      </c>
      <c r="U1474" s="12">
        <f t="shared" si="131"/>
        <v>4.6521367095394579</v>
      </c>
      <c r="V1474" s="30">
        <f t="shared" si="132"/>
        <v>0.46374575342465757</v>
      </c>
      <c r="W1474" s="46">
        <f t="shared" si="136"/>
        <v>-4.7988575846372623E-2</v>
      </c>
      <c r="X1474" s="33">
        <f t="shared" si="133"/>
        <v>2.7551083844603124E-2</v>
      </c>
    </row>
    <row r="1475" spans="19:24" x14ac:dyDescent="0.25">
      <c r="S1475" s="44">
        <f t="shared" si="134"/>
        <v>44525</v>
      </c>
      <c r="T1475" s="12">
        <f t="shared" si="135"/>
        <v>4.7961805023357211</v>
      </c>
      <c r="U1475" s="12">
        <f t="shared" si="131"/>
        <v>4.64948553281467</v>
      </c>
      <c r="V1475" s="30">
        <f t="shared" si="132"/>
        <v>0.46371835616438356</v>
      </c>
      <c r="W1475" s="46">
        <f t="shared" si="136"/>
        <v>-4.7961805023357201E-2</v>
      </c>
      <c r="X1475" s="33">
        <f t="shared" si="133"/>
        <v>2.7551042332330182E-2</v>
      </c>
    </row>
    <row r="1476" spans="19:24" x14ac:dyDescent="0.25">
      <c r="S1476" s="44">
        <f t="shared" si="134"/>
        <v>44526</v>
      </c>
      <c r="T1476" s="12">
        <f t="shared" si="135"/>
        <v>4.7935034200341802</v>
      </c>
      <c r="U1476" s="12">
        <f t="shared" si="131"/>
        <v>4.6468343560898804</v>
      </c>
      <c r="V1476" s="30">
        <f t="shared" si="132"/>
        <v>0.46369095890410961</v>
      </c>
      <c r="W1476" s="46">
        <f t="shared" si="136"/>
        <v>-4.7935034200341793E-2</v>
      </c>
      <c r="X1476" s="33">
        <f t="shared" si="133"/>
        <v>2.7551000820057233E-2</v>
      </c>
    </row>
    <row r="1477" spans="19:24" x14ac:dyDescent="0.25">
      <c r="S1477" s="44">
        <f t="shared" si="134"/>
        <v>44527</v>
      </c>
      <c r="T1477" s="12">
        <f t="shared" si="135"/>
        <v>4.790826337732641</v>
      </c>
      <c r="U1477" s="12">
        <f t="shared" ref="U1477:U1540" si="137">DurMod($S1477,$B$2,$F$7:$G$37,U$3)</f>
        <v>4.6441831793650907</v>
      </c>
      <c r="V1477" s="30">
        <f t="shared" ref="V1477:V1540" si="138">+$U$3*($S$5512-S1477)/365+$T$3*(S1477-$S$4)/365</f>
        <v>0.4636635616438356</v>
      </c>
      <c r="W1477" s="46">
        <f t="shared" si="136"/>
        <v>-4.7908263377326406E-2</v>
      </c>
      <c r="X1477" s="33">
        <f t="shared" ref="X1477:X1540" si="139">+(V1477+W1477)*365/($S$5512-$S$4)</f>
        <v>2.7550959307784288E-2</v>
      </c>
    </row>
    <row r="1478" spans="19:24" x14ac:dyDescent="0.25">
      <c r="S1478" s="44">
        <f t="shared" si="134"/>
        <v>44528</v>
      </c>
      <c r="T1478" s="12">
        <f t="shared" si="135"/>
        <v>4.7881492554310974</v>
      </c>
      <c r="U1478" s="12">
        <f t="shared" si="137"/>
        <v>4.6415320026403011</v>
      </c>
      <c r="V1478" s="30">
        <f t="shared" si="138"/>
        <v>0.4636361643835617</v>
      </c>
      <c r="W1478" s="46">
        <f t="shared" si="136"/>
        <v>-4.788149255431097E-2</v>
      </c>
      <c r="X1478" s="33">
        <f t="shared" si="139"/>
        <v>2.7550917795511349E-2</v>
      </c>
    </row>
    <row r="1479" spans="19:24" x14ac:dyDescent="0.25">
      <c r="S1479" s="44">
        <f t="shared" si="134"/>
        <v>44529</v>
      </c>
      <c r="T1479" s="12">
        <f t="shared" si="135"/>
        <v>4.7854721731295573</v>
      </c>
      <c r="U1479" s="12">
        <f t="shared" si="137"/>
        <v>4.6388808259155141</v>
      </c>
      <c r="V1479" s="30">
        <f t="shared" si="138"/>
        <v>0.46360876712328769</v>
      </c>
      <c r="W1479" s="46">
        <f t="shared" si="136"/>
        <v>-4.7854721731295569E-2</v>
      </c>
      <c r="X1479" s="33">
        <f t="shared" si="139"/>
        <v>2.7550876283238403E-2</v>
      </c>
    </row>
    <row r="1480" spans="19:24" x14ac:dyDescent="0.25">
      <c r="S1480" s="44">
        <f t="shared" si="134"/>
        <v>44530</v>
      </c>
      <c r="T1480" s="12">
        <f t="shared" si="135"/>
        <v>4.7827950908280155</v>
      </c>
      <c r="U1480" s="12">
        <f t="shared" si="137"/>
        <v>4.6362296491907236</v>
      </c>
      <c r="V1480" s="30">
        <f t="shared" si="138"/>
        <v>0.46358136986301368</v>
      </c>
      <c r="W1480" s="46">
        <f t="shared" si="136"/>
        <v>-4.7827950908280147E-2</v>
      </c>
      <c r="X1480" s="33">
        <f t="shared" si="139"/>
        <v>2.7550834770965461E-2</v>
      </c>
    </row>
    <row r="1481" spans="19:24" x14ac:dyDescent="0.25">
      <c r="S1481" s="44">
        <f t="shared" si="134"/>
        <v>44531</v>
      </c>
      <c r="T1481" s="12">
        <f t="shared" si="135"/>
        <v>4.7801180085264745</v>
      </c>
      <c r="U1481" s="12">
        <f t="shared" si="137"/>
        <v>4.6335784724659348</v>
      </c>
      <c r="V1481" s="30">
        <f t="shared" si="138"/>
        <v>0.46355397260273973</v>
      </c>
      <c r="W1481" s="46">
        <f t="shared" si="136"/>
        <v>-4.7801180085264738E-2</v>
      </c>
      <c r="X1481" s="33">
        <f t="shared" si="139"/>
        <v>2.7550793258692512E-2</v>
      </c>
    </row>
    <row r="1482" spans="19:24" x14ac:dyDescent="0.25">
      <c r="S1482" s="44">
        <f t="shared" si="134"/>
        <v>44532</v>
      </c>
      <c r="T1482" s="12">
        <f t="shared" si="135"/>
        <v>4.7774409262249327</v>
      </c>
      <c r="U1482" s="12">
        <f t="shared" si="137"/>
        <v>4.6309272957411434</v>
      </c>
      <c r="V1482" s="30">
        <f t="shared" si="138"/>
        <v>0.46352657534246577</v>
      </c>
      <c r="W1482" s="46">
        <f t="shared" si="136"/>
        <v>-4.7774409262249316E-2</v>
      </c>
      <c r="X1482" s="33">
        <f t="shared" si="139"/>
        <v>2.7550751746419574E-2</v>
      </c>
    </row>
    <row r="1483" spans="19:24" x14ac:dyDescent="0.25">
      <c r="S1483" s="44">
        <f t="shared" si="134"/>
        <v>44533</v>
      </c>
      <c r="T1483" s="12">
        <f t="shared" si="135"/>
        <v>4.7747638439233908</v>
      </c>
      <c r="U1483" s="12">
        <f t="shared" si="137"/>
        <v>4.6282761190163546</v>
      </c>
      <c r="V1483" s="30">
        <f t="shared" si="138"/>
        <v>0.46349917808219182</v>
      </c>
      <c r="W1483" s="46">
        <f t="shared" si="136"/>
        <v>-4.7747638439233901E-2</v>
      </c>
      <c r="X1483" s="33">
        <f t="shared" si="139"/>
        <v>2.7550710234146632E-2</v>
      </c>
    </row>
    <row r="1484" spans="19:24" x14ac:dyDescent="0.25">
      <c r="S1484" s="44">
        <f t="shared" si="134"/>
        <v>44534</v>
      </c>
      <c r="T1484" s="12">
        <f t="shared" si="135"/>
        <v>4.772086761621849</v>
      </c>
      <c r="U1484" s="12">
        <f t="shared" si="137"/>
        <v>4.6256249422915667</v>
      </c>
      <c r="V1484" s="30">
        <f t="shared" si="138"/>
        <v>0.46347178082191781</v>
      </c>
      <c r="W1484" s="46">
        <f t="shared" si="136"/>
        <v>-4.7720867616218479E-2</v>
      </c>
      <c r="X1484" s="33">
        <f t="shared" si="139"/>
        <v>2.755066872187369E-2</v>
      </c>
    </row>
    <row r="1485" spans="19:24" x14ac:dyDescent="0.25">
      <c r="S1485" s="44">
        <f t="shared" si="134"/>
        <v>44535</v>
      </c>
      <c r="T1485" s="12">
        <f t="shared" si="135"/>
        <v>4.7694096793203098</v>
      </c>
      <c r="U1485" s="12">
        <f t="shared" si="137"/>
        <v>4.6229737655667771</v>
      </c>
      <c r="V1485" s="30">
        <f t="shared" si="138"/>
        <v>0.46344438356164386</v>
      </c>
      <c r="W1485" s="46">
        <f t="shared" si="136"/>
        <v>-4.7694096793203092E-2</v>
      </c>
      <c r="X1485" s="33">
        <f t="shared" si="139"/>
        <v>2.7550627209600741E-2</v>
      </c>
    </row>
    <row r="1486" spans="19:24" x14ac:dyDescent="0.25">
      <c r="S1486" s="44">
        <f t="shared" si="134"/>
        <v>44536</v>
      </c>
      <c r="T1486" s="12">
        <f t="shared" si="135"/>
        <v>4.7667325970187679</v>
      </c>
      <c r="U1486" s="12">
        <f t="shared" si="137"/>
        <v>4.6203225888419865</v>
      </c>
      <c r="V1486" s="30">
        <f t="shared" si="138"/>
        <v>0.46341698630136985</v>
      </c>
      <c r="W1486" s="46">
        <f t="shared" si="136"/>
        <v>-4.766732597018767E-2</v>
      </c>
      <c r="X1486" s="33">
        <f t="shared" si="139"/>
        <v>2.7550585697327795E-2</v>
      </c>
    </row>
    <row r="1487" spans="19:24" x14ac:dyDescent="0.25">
      <c r="S1487" s="44">
        <f t="shared" si="134"/>
        <v>44537</v>
      </c>
      <c r="T1487" s="12">
        <f t="shared" si="135"/>
        <v>4.764055514717227</v>
      </c>
      <c r="U1487" s="12">
        <f t="shared" si="137"/>
        <v>4.6176714121171987</v>
      </c>
      <c r="V1487" s="30">
        <f t="shared" si="138"/>
        <v>0.4633895890410959</v>
      </c>
      <c r="W1487" s="46">
        <f t="shared" si="136"/>
        <v>-4.7640555147172262E-2</v>
      </c>
      <c r="X1487" s="33">
        <f t="shared" si="139"/>
        <v>2.7550544185054853E-2</v>
      </c>
    </row>
    <row r="1488" spans="19:24" x14ac:dyDescent="0.25">
      <c r="S1488" s="44">
        <f t="shared" si="134"/>
        <v>44538</v>
      </c>
      <c r="T1488" s="12">
        <f t="shared" si="135"/>
        <v>4.7613784324156869</v>
      </c>
      <c r="U1488" s="12">
        <f t="shared" si="137"/>
        <v>4.615020235392409</v>
      </c>
      <c r="V1488" s="30">
        <f t="shared" si="138"/>
        <v>0.46336219178082194</v>
      </c>
      <c r="W1488" s="46">
        <f t="shared" si="136"/>
        <v>-4.761378432415686E-2</v>
      </c>
      <c r="X1488" s="33">
        <f t="shared" si="139"/>
        <v>2.7550502672781911E-2</v>
      </c>
    </row>
    <row r="1489" spans="19:24" x14ac:dyDescent="0.25">
      <c r="S1489" s="44">
        <f t="shared" si="134"/>
        <v>44539</v>
      </c>
      <c r="T1489" s="12">
        <f t="shared" si="135"/>
        <v>4.7587013501141442</v>
      </c>
      <c r="U1489" s="12">
        <f t="shared" si="137"/>
        <v>4.6123690586676203</v>
      </c>
      <c r="V1489" s="30">
        <f t="shared" si="138"/>
        <v>0.46333479452054793</v>
      </c>
      <c r="W1489" s="46">
        <f t="shared" si="136"/>
        <v>-4.7587013501141431E-2</v>
      </c>
      <c r="X1489" s="33">
        <f t="shared" si="139"/>
        <v>2.7550461160508962E-2</v>
      </c>
    </row>
    <row r="1490" spans="19:24" x14ac:dyDescent="0.25">
      <c r="S1490" s="44">
        <f t="shared" si="134"/>
        <v>44540</v>
      </c>
      <c r="T1490" s="12">
        <f t="shared" si="135"/>
        <v>4.7560242678126041</v>
      </c>
      <c r="U1490" s="12">
        <f t="shared" si="137"/>
        <v>4.6097178819428306</v>
      </c>
      <c r="V1490" s="30">
        <f t="shared" si="138"/>
        <v>0.46330739726027392</v>
      </c>
      <c r="W1490" s="46">
        <f t="shared" si="136"/>
        <v>-4.7560242678126037E-2</v>
      </c>
      <c r="X1490" s="33">
        <f t="shared" si="139"/>
        <v>2.7550419648236017E-2</v>
      </c>
    </row>
    <row r="1491" spans="19:24" x14ac:dyDescent="0.25">
      <c r="S1491" s="44">
        <f t="shared" si="134"/>
        <v>44541</v>
      </c>
      <c r="T1491" s="12">
        <f t="shared" si="135"/>
        <v>4.7533471855110632</v>
      </c>
      <c r="U1491" s="12">
        <f t="shared" si="137"/>
        <v>4.607066705218041</v>
      </c>
      <c r="V1491" s="30">
        <f t="shared" si="138"/>
        <v>0.46328000000000003</v>
      </c>
      <c r="W1491" s="46">
        <f t="shared" si="136"/>
        <v>-4.7533471855110622E-2</v>
      </c>
      <c r="X1491" s="33">
        <f t="shared" si="139"/>
        <v>2.7550378135963078E-2</v>
      </c>
    </row>
    <row r="1492" spans="19:24" x14ac:dyDescent="0.25">
      <c r="S1492" s="44">
        <f t="shared" si="134"/>
        <v>44542</v>
      </c>
      <c r="T1492" s="12">
        <f t="shared" si="135"/>
        <v>4.7506701032095213</v>
      </c>
      <c r="U1492" s="12">
        <f t="shared" si="137"/>
        <v>4.6044155284932522</v>
      </c>
      <c r="V1492" s="30">
        <f t="shared" si="138"/>
        <v>0.46325260273972602</v>
      </c>
      <c r="W1492" s="46">
        <f t="shared" si="136"/>
        <v>-4.7506701032095207E-2</v>
      </c>
      <c r="X1492" s="33">
        <f t="shared" si="139"/>
        <v>2.7550336623690132E-2</v>
      </c>
    </row>
    <row r="1493" spans="19:24" x14ac:dyDescent="0.25">
      <c r="S1493" s="44">
        <f t="shared" si="134"/>
        <v>44543</v>
      </c>
      <c r="T1493" s="12">
        <f t="shared" si="135"/>
        <v>4.7479930209079795</v>
      </c>
      <c r="U1493" s="12">
        <f t="shared" si="137"/>
        <v>4.6017643517684625</v>
      </c>
      <c r="V1493" s="30">
        <f t="shared" si="138"/>
        <v>0.46322520547945206</v>
      </c>
      <c r="W1493" s="46">
        <f t="shared" si="136"/>
        <v>-4.7479930209079785E-2</v>
      </c>
      <c r="X1493" s="33">
        <f t="shared" si="139"/>
        <v>2.755029511141719E-2</v>
      </c>
    </row>
    <row r="1494" spans="19:24" x14ac:dyDescent="0.25">
      <c r="S1494" s="44">
        <f t="shared" si="134"/>
        <v>44544</v>
      </c>
      <c r="T1494" s="12">
        <f t="shared" si="135"/>
        <v>4.7453159386064394</v>
      </c>
      <c r="U1494" s="12">
        <f t="shared" si="137"/>
        <v>4.5991131750436729</v>
      </c>
      <c r="V1494" s="30">
        <f t="shared" si="138"/>
        <v>0.46319780821917805</v>
      </c>
      <c r="W1494" s="46">
        <f t="shared" si="136"/>
        <v>-4.7453159386064384E-2</v>
      </c>
      <c r="X1494" s="33">
        <f t="shared" si="139"/>
        <v>2.7550253599144241E-2</v>
      </c>
    </row>
    <row r="1495" spans="19:24" x14ac:dyDescent="0.25">
      <c r="S1495" s="44">
        <f t="shared" si="134"/>
        <v>44545</v>
      </c>
      <c r="T1495" s="12">
        <f t="shared" si="135"/>
        <v>5.0374876282783765</v>
      </c>
      <c r="U1495" s="12">
        <f t="shared" si="137"/>
        <v>4.8967744592069966</v>
      </c>
      <c r="V1495" s="30">
        <f t="shared" si="138"/>
        <v>0.4631704109589041</v>
      </c>
      <c r="W1495" s="46">
        <f t="shared" si="136"/>
        <v>-5.0374876282783754E-2</v>
      </c>
      <c r="X1495" s="33">
        <f t="shared" si="139"/>
        <v>2.7354823920984733E-2</v>
      </c>
    </row>
    <row r="1496" spans="19:24" x14ac:dyDescent="0.25">
      <c r="S1496" s="44">
        <f t="shared" si="134"/>
        <v>44546</v>
      </c>
      <c r="T1496" s="12">
        <f t="shared" si="135"/>
        <v>5.0348105459768346</v>
      </c>
      <c r="U1496" s="12">
        <f t="shared" si="137"/>
        <v>4.8941232824822052</v>
      </c>
      <c r="V1496" s="30">
        <f t="shared" si="138"/>
        <v>0.46314301369863015</v>
      </c>
      <c r="W1496" s="46">
        <f t="shared" si="136"/>
        <v>-5.0348105459768339E-2</v>
      </c>
      <c r="X1496" s="33">
        <f t="shared" si="139"/>
        <v>2.7354782408711791E-2</v>
      </c>
    </row>
    <row r="1497" spans="19:24" x14ac:dyDescent="0.25">
      <c r="S1497" s="44">
        <f t="shared" si="134"/>
        <v>44547</v>
      </c>
      <c r="T1497" s="12">
        <f t="shared" si="135"/>
        <v>5.0321334636752946</v>
      </c>
      <c r="U1497" s="12">
        <f t="shared" si="137"/>
        <v>4.8914721057574173</v>
      </c>
      <c r="V1497" s="30">
        <f t="shared" si="138"/>
        <v>0.46311561643835619</v>
      </c>
      <c r="W1497" s="46">
        <f t="shared" si="136"/>
        <v>-5.0321334636752937E-2</v>
      </c>
      <c r="X1497" s="33">
        <f t="shared" si="139"/>
        <v>2.7354740896438849E-2</v>
      </c>
    </row>
    <row r="1498" spans="19:24" x14ac:dyDescent="0.25">
      <c r="S1498" s="44">
        <f t="shared" si="134"/>
        <v>44548</v>
      </c>
      <c r="T1498" s="12">
        <f t="shared" si="135"/>
        <v>5.0294563813737527</v>
      </c>
      <c r="U1498" s="12">
        <f t="shared" si="137"/>
        <v>4.8888209290326268</v>
      </c>
      <c r="V1498" s="30">
        <f t="shared" si="138"/>
        <v>0.46308821917808218</v>
      </c>
      <c r="W1498" s="46">
        <f t="shared" si="136"/>
        <v>-5.0294563813737522E-2</v>
      </c>
      <c r="X1498" s="33">
        <f t="shared" si="139"/>
        <v>2.7354699384165904E-2</v>
      </c>
    </row>
    <row r="1499" spans="19:24" x14ac:dyDescent="0.25">
      <c r="S1499" s="44">
        <f t="shared" si="134"/>
        <v>44549</v>
      </c>
      <c r="T1499" s="12">
        <f t="shared" si="135"/>
        <v>5.0267792990722109</v>
      </c>
      <c r="U1499" s="12">
        <f t="shared" si="137"/>
        <v>4.8861697523078389</v>
      </c>
      <c r="V1499" s="30">
        <f t="shared" si="138"/>
        <v>0.46306082191780817</v>
      </c>
      <c r="W1499" s="46">
        <f t="shared" si="136"/>
        <v>-5.02677929907221E-2</v>
      </c>
      <c r="X1499" s="33">
        <f t="shared" si="139"/>
        <v>2.7354657871892962E-2</v>
      </c>
    </row>
    <row r="1500" spans="19:24" x14ac:dyDescent="0.25">
      <c r="S1500" s="44">
        <f t="shared" si="134"/>
        <v>44550</v>
      </c>
      <c r="T1500" s="12">
        <f t="shared" si="135"/>
        <v>5.0241022167706717</v>
      </c>
      <c r="U1500" s="12">
        <f t="shared" si="137"/>
        <v>4.8835185755830501</v>
      </c>
      <c r="V1500" s="30">
        <f t="shared" si="138"/>
        <v>0.46303342465753428</v>
      </c>
      <c r="W1500" s="46">
        <f t="shared" si="136"/>
        <v>-5.0241022167706706E-2</v>
      </c>
      <c r="X1500" s="33">
        <f t="shared" si="139"/>
        <v>2.735461635962002E-2</v>
      </c>
    </row>
    <row r="1501" spans="19:24" x14ac:dyDescent="0.25">
      <c r="S1501" s="44">
        <f t="shared" si="134"/>
        <v>44551</v>
      </c>
      <c r="T1501" s="12">
        <f t="shared" si="135"/>
        <v>5.0214251344691307</v>
      </c>
      <c r="U1501" s="12">
        <f t="shared" si="137"/>
        <v>4.8808673988582596</v>
      </c>
      <c r="V1501" s="30">
        <f t="shared" si="138"/>
        <v>0.46300602739726027</v>
      </c>
      <c r="W1501" s="46">
        <f t="shared" si="136"/>
        <v>-5.0214251344691298E-2</v>
      </c>
      <c r="X1501" s="33">
        <f t="shared" si="139"/>
        <v>2.7354574847347074E-2</v>
      </c>
    </row>
    <row r="1502" spans="19:24" x14ac:dyDescent="0.25">
      <c r="S1502" s="44">
        <f t="shared" si="134"/>
        <v>44552</v>
      </c>
      <c r="T1502" s="12">
        <f t="shared" si="135"/>
        <v>5.0187480521675889</v>
      </c>
      <c r="U1502" s="12">
        <f t="shared" si="137"/>
        <v>4.8782162221334717</v>
      </c>
      <c r="V1502" s="30">
        <f t="shared" si="138"/>
        <v>0.46297863013698631</v>
      </c>
      <c r="W1502" s="46">
        <f t="shared" si="136"/>
        <v>-5.0187480521675883E-2</v>
      </c>
      <c r="X1502" s="33">
        <f t="shared" si="139"/>
        <v>2.7354533335074132E-2</v>
      </c>
    </row>
    <row r="1503" spans="19:24" x14ac:dyDescent="0.25">
      <c r="S1503" s="44">
        <f t="shared" si="134"/>
        <v>44553</v>
      </c>
      <c r="T1503" s="12">
        <f t="shared" si="135"/>
        <v>5.0160709698660471</v>
      </c>
      <c r="U1503" s="12">
        <f t="shared" si="137"/>
        <v>4.8755650454086821</v>
      </c>
      <c r="V1503" s="30">
        <f t="shared" si="138"/>
        <v>0.4629512328767123</v>
      </c>
      <c r="W1503" s="46">
        <f t="shared" si="136"/>
        <v>-5.0160709698660461E-2</v>
      </c>
      <c r="X1503" s="33">
        <f t="shared" si="139"/>
        <v>2.735449182280119E-2</v>
      </c>
    </row>
    <row r="1504" spans="19:24" x14ac:dyDescent="0.25">
      <c r="S1504" s="44">
        <f t="shared" si="134"/>
        <v>44554</v>
      </c>
      <c r="T1504" s="12">
        <f t="shared" si="135"/>
        <v>5.013393887564507</v>
      </c>
      <c r="U1504" s="12">
        <f t="shared" si="137"/>
        <v>4.8729138686838906</v>
      </c>
      <c r="V1504" s="30">
        <f t="shared" si="138"/>
        <v>0.46292383561643835</v>
      </c>
      <c r="W1504" s="46">
        <f t="shared" si="136"/>
        <v>-5.0133938875645059E-2</v>
      </c>
      <c r="X1504" s="33">
        <f t="shared" si="139"/>
        <v>2.7354450310528241E-2</v>
      </c>
    </row>
    <row r="1505" spans="19:24" x14ac:dyDescent="0.25">
      <c r="S1505" s="44">
        <f t="shared" si="134"/>
        <v>44555</v>
      </c>
      <c r="T1505" s="12">
        <f t="shared" si="135"/>
        <v>5.0107168052629643</v>
      </c>
      <c r="U1505" s="12">
        <f t="shared" si="137"/>
        <v>4.870262691959101</v>
      </c>
      <c r="V1505" s="30">
        <f t="shared" si="138"/>
        <v>0.4628964383561644</v>
      </c>
      <c r="W1505" s="46">
        <f t="shared" si="136"/>
        <v>-5.0107168052629637E-2</v>
      </c>
      <c r="X1505" s="33">
        <f t="shared" si="139"/>
        <v>2.7354408798255299E-2</v>
      </c>
    </row>
    <row r="1506" spans="19:24" x14ac:dyDescent="0.25">
      <c r="S1506" s="44">
        <f t="shared" si="134"/>
        <v>44556</v>
      </c>
      <c r="T1506" s="12">
        <f t="shared" si="135"/>
        <v>5.0080397229614224</v>
      </c>
      <c r="U1506" s="12">
        <f t="shared" si="137"/>
        <v>4.8676115152343131</v>
      </c>
      <c r="V1506" s="30">
        <f t="shared" si="138"/>
        <v>0.46286904109589039</v>
      </c>
      <c r="W1506" s="46">
        <f t="shared" si="136"/>
        <v>-5.0080397229614215E-2</v>
      </c>
      <c r="X1506" s="33">
        <f t="shared" si="139"/>
        <v>2.7354367285982353E-2</v>
      </c>
    </row>
    <row r="1507" spans="19:24" x14ac:dyDescent="0.25">
      <c r="S1507" s="44">
        <f t="shared" si="134"/>
        <v>44557</v>
      </c>
      <c r="T1507" s="12">
        <f t="shared" si="135"/>
        <v>5.0053626406598806</v>
      </c>
      <c r="U1507" s="12">
        <f t="shared" si="137"/>
        <v>4.8649603385095226</v>
      </c>
      <c r="V1507" s="30">
        <f t="shared" si="138"/>
        <v>0.46284164383561643</v>
      </c>
      <c r="W1507" s="46">
        <f t="shared" si="136"/>
        <v>-5.00536264065988E-2</v>
      </c>
      <c r="X1507" s="33">
        <f t="shared" si="139"/>
        <v>2.7354325773709411E-2</v>
      </c>
    </row>
    <row r="1508" spans="19:24" x14ac:dyDescent="0.25">
      <c r="S1508" s="44">
        <f t="shared" si="134"/>
        <v>44558</v>
      </c>
      <c r="T1508" s="12">
        <f t="shared" si="135"/>
        <v>5.0026855583583396</v>
      </c>
      <c r="U1508" s="12">
        <f t="shared" si="137"/>
        <v>4.8623091617847347</v>
      </c>
      <c r="V1508" s="30">
        <f t="shared" si="138"/>
        <v>0.46281424657534243</v>
      </c>
      <c r="W1508" s="46">
        <f t="shared" si="136"/>
        <v>-5.0026855583583385E-2</v>
      </c>
      <c r="X1508" s="33">
        <f t="shared" si="139"/>
        <v>2.7354284261436462E-2</v>
      </c>
    </row>
    <row r="1509" spans="19:24" x14ac:dyDescent="0.25">
      <c r="S1509" s="44">
        <f t="shared" si="134"/>
        <v>44559</v>
      </c>
      <c r="T1509" s="12">
        <f t="shared" si="135"/>
        <v>5.0000084760568004</v>
      </c>
      <c r="U1509" s="12">
        <f t="shared" si="137"/>
        <v>4.8596579850599442</v>
      </c>
      <c r="V1509" s="30">
        <f t="shared" si="138"/>
        <v>0.46278684931506853</v>
      </c>
      <c r="W1509" s="46">
        <f t="shared" si="136"/>
        <v>-5.0000084760567998E-2</v>
      </c>
      <c r="X1509" s="33">
        <f t="shared" si="139"/>
        <v>2.7354242749163527E-2</v>
      </c>
    </row>
    <row r="1510" spans="19:24" x14ac:dyDescent="0.25">
      <c r="S1510" s="44">
        <f t="shared" si="134"/>
        <v>44560</v>
      </c>
      <c r="T1510" s="12">
        <f t="shared" si="135"/>
        <v>4.9973313937552577</v>
      </c>
      <c r="U1510" s="12">
        <f t="shared" si="137"/>
        <v>4.8570068083351554</v>
      </c>
      <c r="V1510" s="30">
        <f t="shared" si="138"/>
        <v>0.46275945205479452</v>
      </c>
      <c r="W1510" s="46">
        <f t="shared" si="136"/>
        <v>-4.9973313937552569E-2</v>
      </c>
      <c r="X1510" s="33">
        <f t="shared" si="139"/>
        <v>2.7354201236890578E-2</v>
      </c>
    </row>
    <row r="1511" spans="19:24" x14ac:dyDescent="0.25">
      <c r="S1511" s="44">
        <f t="shared" ref="S1511:S1574" si="140">+S1510+1</f>
        <v>44561</v>
      </c>
      <c r="T1511" s="12">
        <f t="shared" ref="T1511:T1574" si="141">DurMod(S1511,B$2,$F$7:$G$37,$T$3)</f>
        <v>4.9946543114537176</v>
      </c>
      <c r="U1511" s="12">
        <f t="shared" si="137"/>
        <v>4.8543556316103667</v>
      </c>
      <c r="V1511" s="30">
        <f t="shared" si="138"/>
        <v>0.46273205479452051</v>
      </c>
      <c r="W1511" s="46">
        <f t="shared" ref="W1511:W1574" si="142">+-T1511*($U$3-$T$3)</f>
        <v>-4.9946543114537167E-2</v>
      </c>
      <c r="X1511" s="33">
        <f t="shared" si="139"/>
        <v>2.7354159724617633E-2</v>
      </c>
    </row>
    <row r="1512" spans="19:24" x14ac:dyDescent="0.25">
      <c r="S1512" s="44">
        <f t="shared" si="140"/>
        <v>44562</v>
      </c>
      <c r="T1512" s="12">
        <f t="shared" si="141"/>
        <v>4.9919772291521767</v>
      </c>
      <c r="U1512" s="12">
        <f t="shared" si="137"/>
        <v>4.8517044548855779</v>
      </c>
      <c r="V1512" s="30">
        <f t="shared" si="138"/>
        <v>0.46270465753424656</v>
      </c>
      <c r="W1512" s="46">
        <f t="shared" si="142"/>
        <v>-4.9919772291521759E-2</v>
      </c>
      <c r="X1512" s="33">
        <f t="shared" si="139"/>
        <v>2.7354118212344691E-2</v>
      </c>
    </row>
    <row r="1513" spans="19:24" x14ac:dyDescent="0.25">
      <c r="S1513" s="44">
        <f t="shared" si="140"/>
        <v>44563</v>
      </c>
      <c r="T1513" s="12">
        <f t="shared" si="141"/>
        <v>4.9893001468506366</v>
      </c>
      <c r="U1513" s="12">
        <f t="shared" si="137"/>
        <v>4.8490532781607882</v>
      </c>
      <c r="V1513" s="30">
        <f t="shared" si="138"/>
        <v>0.46267726027397255</v>
      </c>
      <c r="W1513" s="46">
        <f t="shared" si="142"/>
        <v>-4.9893001468506358E-2</v>
      </c>
      <c r="X1513" s="33">
        <f t="shared" si="139"/>
        <v>2.7354076700071742E-2</v>
      </c>
    </row>
    <row r="1514" spans="19:24" x14ac:dyDescent="0.25">
      <c r="S1514" s="44">
        <f t="shared" si="140"/>
        <v>44564</v>
      </c>
      <c r="T1514" s="12">
        <f t="shared" si="141"/>
        <v>4.9866230645490939</v>
      </c>
      <c r="U1514" s="12">
        <f t="shared" si="137"/>
        <v>4.8464021014359995</v>
      </c>
      <c r="V1514" s="30">
        <f t="shared" si="138"/>
        <v>0.46264986301369865</v>
      </c>
      <c r="W1514" s="46">
        <f t="shared" si="142"/>
        <v>-4.9866230645490929E-2</v>
      </c>
      <c r="X1514" s="33">
        <f t="shared" si="139"/>
        <v>2.7354035187798807E-2</v>
      </c>
    </row>
    <row r="1515" spans="19:24" x14ac:dyDescent="0.25">
      <c r="S1515" s="44">
        <f t="shared" si="140"/>
        <v>44565</v>
      </c>
      <c r="T1515" s="12">
        <f t="shared" si="141"/>
        <v>4.9839459822475529</v>
      </c>
      <c r="U1515" s="12">
        <f t="shared" si="137"/>
        <v>4.8437509247112098</v>
      </c>
      <c r="V1515" s="30">
        <f t="shared" si="138"/>
        <v>0.46262246575342464</v>
      </c>
      <c r="W1515" s="46">
        <f t="shared" si="142"/>
        <v>-4.9839459822475521E-2</v>
      </c>
      <c r="X1515" s="33">
        <f t="shared" si="139"/>
        <v>2.7353993675525858E-2</v>
      </c>
    </row>
    <row r="1516" spans="19:24" x14ac:dyDescent="0.25">
      <c r="S1516" s="44">
        <f t="shared" si="140"/>
        <v>44566</v>
      </c>
      <c r="T1516" s="12">
        <f t="shared" si="141"/>
        <v>4.981268899946012</v>
      </c>
      <c r="U1516" s="12">
        <f t="shared" si="137"/>
        <v>4.8410997479864202</v>
      </c>
      <c r="V1516" s="30">
        <f t="shared" si="138"/>
        <v>0.46259506849315069</v>
      </c>
      <c r="W1516" s="46">
        <f t="shared" si="142"/>
        <v>-4.9812688999460113E-2</v>
      </c>
      <c r="X1516" s="33">
        <f t="shared" si="139"/>
        <v>2.7353952163252915E-2</v>
      </c>
    </row>
    <row r="1517" spans="19:24" x14ac:dyDescent="0.25">
      <c r="S1517" s="44">
        <f t="shared" si="140"/>
        <v>44567</v>
      </c>
      <c r="T1517" s="12">
        <f t="shared" si="141"/>
        <v>4.9785918176444701</v>
      </c>
      <c r="U1517" s="12">
        <f t="shared" si="137"/>
        <v>4.8384485712616305</v>
      </c>
      <c r="V1517" s="30">
        <f t="shared" si="138"/>
        <v>0.46256767123287668</v>
      </c>
      <c r="W1517" s="46">
        <f t="shared" si="142"/>
        <v>-4.9785918176444691E-2</v>
      </c>
      <c r="X1517" s="33">
        <f t="shared" si="139"/>
        <v>2.735391065097997E-2</v>
      </c>
    </row>
    <row r="1518" spans="19:24" x14ac:dyDescent="0.25">
      <c r="S1518" s="44">
        <f t="shared" si="140"/>
        <v>44568</v>
      </c>
      <c r="T1518" s="12">
        <f t="shared" si="141"/>
        <v>4.9759147353429283</v>
      </c>
      <c r="U1518" s="12">
        <f t="shared" si="137"/>
        <v>4.8357973945368418</v>
      </c>
      <c r="V1518" s="30">
        <f t="shared" si="138"/>
        <v>0.46254027397260272</v>
      </c>
      <c r="W1518" s="46">
        <f t="shared" si="142"/>
        <v>-4.9759147353429276E-2</v>
      </c>
      <c r="X1518" s="33">
        <f t="shared" si="139"/>
        <v>2.7353869138707028E-2</v>
      </c>
    </row>
    <row r="1519" spans="19:24" x14ac:dyDescent="0.25">
      <c r="S1519" s="44">
        <f t="shared" si="140"/>
        <v>44569</v>
      </c>
      <c r="T1519" s="12">
        <f t="shared" si="141"/>
        <v>4.9732376530413882</v>
      </c>
      <c r="U1519" s="12">
        <f t="shared" si="137"/>
        <v>4.8331462178120521</v>
      </c>
      <c r="V1519" s="30">
        <f t="shared" si="138"/>
        <v>0.46251287671232877</v>
      </c>
      <c r="W1519" s="46">
        <f t="shared" si="142"/>
        <v>-4.9732376530413874E-2</v>
      </c>
      <c r="X1519" s="33">
        <f t="shared" si="139"/>
        <v>2.7353827626434086E-2</v>
      </c>
    </row>
    <row r="1520" spans="19:24" x14ac:dyDescent="0.25">
      <c r="S1520" s="44">
        <f t="shared" si="140"/>
        <v>44570</v>
      </c>
      <c r="T1520" s="12">
        <f t="shared" si="141"/>
        <v>4.9705605707398473</v>
      </c>
      <c r="U1520" s="12">
        <f t="shared" si="137"/>
        <v>4.8304950410872642</v>
      </c>
      <c r="V1520" s="30">
        <f t="shared" si="138"/>
        <v>0.46248547945205476</v>
      </c>
      <c r="W1520" s="46">
        <f t="shared" si="142"/>
        <v>-4.9705605707398466E-2</v>
      </c>
      <c r="X1520" s="33">
        <f t="shared" si="139"/>
        <v>2.7353786114161137E-2</v>
      </c>
    </row>
    <row r="1521" spans="19:24" x14ac:dyDescent="0.25">
      <c r="S1521" s="44">
        <f t="shared" si="140"/>
        <v>44571</v>
      </c>
      <c r="T1521" s="12">
        <f t="shared" si="141"/>
        <v>4.9678834884383054</v>
      </c>
      <c r="U1521" s="12">
        <f t="shared" si="137"/>
        <v>4.8278438643624737</v>
      </c>
      <c r="V1521" s="30">
        <f t="shared" si="138"/>
        <v>0.46245808219178075</v>
      </c>
      <c r="W1521" s="46">
        <f t="shared" si="142"/>
        <v>-4.9678834884383044E-2</v>
      </c>
      <c r="X1521" s="33">
        <f t="shared" si="139"/>
        <v>2.7353744601888191E-2</v>
      </c>
    </row>
    <row r="1522" spans="19:24" x14ac:dyDescent="0.25">
      <c r="S1522" s="44">
        <f t="shared" si="140"/>
        <v>44572</v>
      </c>
      <c r="T1522" s="12">
        <f t="shared" si="141"/>
        <v>4.9652064061367644</v>
      </c>
      <c r="U1522" s="12">
        <f t="shared" si="137"/>
        <v>4.8251926876376841</v>
      </c>
      <c r="V1522" s="30">
        <f t="shared" si="138"/>
        <v>0.4624306849315068</v>
      </c>
      <c r="W1522" s="46">
        <f t="shared" si="142"/>
        <v>-4.9652064061367636E-2</v>
      </c>
      <c r="X1522" s="33">
        <f t="shared" si="139"/>
        <v>2.7353703089615249E-2</v>
      </c>
    </row>
    <row r="1523" spans="19:24" x14ac:dyDescent="0.25">
      <c r="S1523" s="44">
        <f t="shared" si="140"/>
        <v>44573</v>
      </c>
      <c r="T1523" s="12">
        <f t="shared" si="141"/>
        <v>4.9625293238352217</v>
      </c>
      <c r="U1523" s="12">
        <f t="shared" si="137"/>
        <v>4.8225415109128962</v>
      </c>
      <c r="V1523" s="30">
        <f t="shared" si="138"/>
        <v>0.4624032876712329</v>
      </c>
      <c r="W1523" s="46">
        <f t="shared" si="142"/>
        <v>-4.9625293238352207E-2</v>
      </c>
      <c r="X1523" s="33">
        <f t="shared" si="139"/>
        <v>2.7353661577342314E-2</v>
      </c>
    </row>
    <row r="1524" spans="19:24" x14ac:dyDescent="0.25">
      <c r="S1524" s="44">
        <f t="shared" si="140"/>
        <v>44574</v>
      </c>
      <c r="T1524" s="12">
        <f t="shared" si="141"/>
        <v>4.9598522415336825</v>
      </c>
      <c r="U1524" s="12">
        <f t="shared" si="137"/>
        <v>4.8198903341881065</v>
      </c>
      <c r="V1524" s="30">
        <f t="shared" si="138"/>
        <v>0.46237589041095889</v>
      </c>
      <c r="W1524" s="46">
        <f t="shared" si="142"/>
        <v>-4.959852241533682E-2</v>
      </c>
      <c r="X1524" s="33">
        <f t="shared" si="139"/>
        <v>2.7353620065069365E-2</v>
      </c>
    </row>
    <row r="1525" spans="19:24" x14ac:dyDescent="0.25">
      <c r="S1525" s="44">
        <f t="shared" si="140"/>
        <v>44575</v>
      </c>
      <c r="T1525" s="12">
        <f t="shared" si="141"/>
        <v>4.9571751592321416</v>
      </c>
      <c r="U1525" s="12">
        <f t="shared" si="137"/>
        <v>4.817239157463316</v>
      </c>
      <c r="V1525" s="30">
        <f t="shared" si="138"/>
        <v>0.46234849315068488</v>
      </c>
      <c r="W1525" s="46">
        <f t="shared" si="142"/>
        <v>-4.9571751592321411E-2</v>
      </c>
      <c r="X1525" s="33">
        <f t="shared" si="139"/>
        <v>2.735357855279642E-2</v>
      </c>
    </row>
    <row r="1526" spans="19:24" x14ac:dyDescent="0.25">
      <c r="S1526" s="44">
        <f t="shared" si="140"/>
        <v>44576</v>
      </c>
      <c r="T1526" s="12">
        <f t="shared" si="141"/>
        <v>4.9544980769305997</v>
      </c>
      <c r="U1526" s="12">
        <f t="shared" si="137"/>
        <v>4.8145879807385263</v>
      </c>
      <c r="V1526" s="30">
        <f t="shared" si="138"/>
        <v>0.46232109589041093</v>
      </c>
      <c r="W1526" s="46">
        <f t="shared" si="142"/>
        <v>-4.9544980769305989E-2</v>
      </c>
      <c r="X1526" s="33">
        <f t="shared" si="139"/>
        <v>2.7353537040523478E-2</v>
      </c>
    </row>
    <row r="1527" spans="19:24" x14ac:dyDescent="0.25">
      <c r="S1527" s="44">
        <f t="shared" si="140"/>
        <v>44577</v>
      </c>
      <c r="T1527" s="12">
        <f t="shared" si="141"/>
        <v>4.9518209946290579</v>
      </c>
      <c r="U1527" s="12">
        <f t="shared" si="137"/>
        <v>4.8119368040137385</v>
      </c>
      <c r="V1527" s="30">
        <f t="shared" si="138"/>
        <v>0.46229369863013697</v>
      </c>
      <c r="W1527" s="46">
        <f t="shared" si="142"/>
        <v>-4.9518209946290574E-2</v>
      </c>
      <c r="X1527" s="33">
        <f t="shared" si="139"/>
        <v>2.7353495528250536E-2</v>
      </c>
    </row>
    <row r="1528" spans="19:24" x14ac:dyDescent="0.25">
      <c r="S1528" s="44">
        <f t="shared" si="140"/>
        <v>44578</v>
      </c>
      <c r="T1528" s="12">
        <f t="shared" si="141"/>
        <v>4.9491439123275169</v>
      </c>
      <c r="U1528" s="12">
        <f t="shared" si="137"/>
        <v>4.8092856272889488</v>
      </c>
      <c r="V1528" s="30">
        <f t="shared" si="138"/>
        <v>0.46226630136986302</v>
      </c>
      <c r="W1528" s="46">
        <f t="shared" si="142"/>
        <v>-4.9491439123275159E-2</v>
      </c>
      <c r="X1528" s="33">
        <f t="shared" si="139"/>
        <v>2.7353454015977594E-2</v>
      </c>
    </row>
    <row r="1529" spans="19:24" x14ac:dyDescent="0.25">
      <c r="S1529" s="44">
        <f t="shared" si="140"/>
        <v>44579</v>
      </c>
      <c r="T1529" s="12">
        <f t="shared" si="141"/>
        <v>4.9464668300259769</v>
      </c>
      <c r="U1529" s="12">
        <f t="shared" si="137"/>
        <v>4.8066344505641592</v>
      </c>
      <c r="V1529" s="30">
        <f t="shared" si="138"/>
        <v>0.46223890410958901</v>
      </c>
      <c r="W1529" s="46">
        <f t="shared" si="142"/>
        <v>-4.9464668300259758E-2</v>
      </c>
      <c r="X1529" s="33">
        <f t="shared" si="139"/>
        <v>2.7353412503704645E-2</v>
      </c>
    </row>
    <row r="1530" spans="19:24" x14ac:dyDescent="0.25">
      <c r="S1530" s="44">
        <f t="shared" si="140"/>
        <v>44580</v>
      </c>
      <c r="T1530" s="12">
        <f t="shared" si="141"/>
        <v>4.9437897477244359</v>
      </c>
      <c r="U1530" s="12">
        <f t="shared" si="137"/>
        <v>4.8039832738393713</v>
      </c>
      <c r="V1530" s="30">
        <f t="shared" si="138"/>
        <v>0.462211506849315</v>
      </c>
      <c r="W1530" s="46">
        <f t="shared" si="142"/>
        <v>-4.943789747724435E-2</v>
      </c>
      <c r="X1530" s="33">
        <f t="shared" si="139"/>
        <v>2.7353370991431699E-2</v>
      </c>
    </row>
    <row r="1531" spans="19:24" x14ac:dyDescent="0.25">
      <c r="S1531" s="44">
        <f t="shared" si="140"/>
        <v>44581</v>
      </c>
      <c r="T1531" s="12">
        <f t="shared" si="141"/>
        <v>4.9411126654228923</v>
      </c>
      <c r="U1531" s="12">
        <f t="shared" si="137"/>
        <v>4.801332097114579</v>
      </c>
      <c r="V1531" s="30">
        <f t="shared" si="138"/>
        <v>0.46218410958904105</v>
      </c>
      <c r="W1531" s="46">
        <f t="shared" si="142"/>
        <v>-4.9411126654228914E-2</v>
      </c>
      <c r="X1531" s="33">
        <f t="shared" si="139"/>
        <v>2.7353329479158757E-2</v>
      </c>
    </row>
    <row r="1532" spans="19:24" x14ac:dyDescent="0.25">
      <c r="S1532" s="44">
        <f t="shared" si="140"/>
        <v>44582</v>
      </c>
      <c r="T1532" s="12">
        <f t="shared" si="141"/>
        <v>4.938435583121354</v>
      </c>
      <c r="U1532" s="12">
        <f t="shared" si="137"/>
        <v>4.798680920389792</v>
      </c>
      <c r="V1532" s="30">
        <f t="shared" si="138"/>
        <v>0.46215671232876709</v>
      </c>
      <c r="W1532" s="46">
        <f t="shared" si="142"/>
        <v>-4.9384355831213533E-2</v>
      </c>
      <c r="X1532" s="33">
        <f t="shared" si="139"/>
        <v>2.7353287966885808E-2</v>
      </c>
    </row>
    <row r="1533" spans="19:24" x14ac:dyDescent="0.25">
      <c r="S1533" s="44">
        <f t="shared" si="140"/>
        <v>44583</v>
      </c>
      <c r="T1533" s="12">
        <f t="shared" si="141"/>
        <v>4.9357585008198104</v>
      </c>
      <c r="U1533" s="12">
        <f t="shared" si="137"/>
        <v>4.7960297436650032</v>
      </c>
      <c r="V1533" s="30">
        <f t="shared" si="138"/>
        <v>0.46212931506849314</v>
      </c>
      <c r="W1533" s="46">
        <f t="shared" si="142"/>
        <v>-4.9357585008198097E-2</v>
      </c>
      <c r="X1533" s="33">
        <f t="shared" si="139"/>
        <v>2.7353246454612873E-2</v>
      </c>
    </row>
    <row r="1534" spans="19:24" x14ac:dyDescent="0.25">
      <c r="S1534" s="44">
        <f t="shared" si="140"/>
        <v>44584</v>
      </c>
      <c r="T1534" s="12">
        <f t="shared" si="141"/>
        <v>4.9330814185182685</v>
      </c>
      <c r="U1534" s="12">
        <f t="shared" si="137"/>
        <v>4.7933785669402127</v>
      </c>
      <c r="V1534" s="30">
        <f t="shared" si="138"/>
        <v>0.46210191780821913</v>
      </c>
      <c r="W1534" s="46">
        <f t="shared" si="142"/>
        <v>-4.9330814185182675E-2</v>
      </c>
      <c r="X1534" s="33">
        <f t="shared" si="139"/>
        <v>2.7353204942339924E-2</v>
      </c>
    </row>
    <row r="1535" spans="19:24" x14ac:dyDescent="0.25">
      <c r="S1535" s="44">
        <f t="shared" si="140"/>
        <v>44585</v>
      </c>
      <c r="T1535" s="12">
        <f t="shared" si="141"/>
        <v>4.9304043362167285</v>
      </c>
      <c r="U1535" s="12">
        <f t="shared" si="137"/>
        <v>4.7907273902154248</v>
      </c>
      <c r="V1535" s="30">
        <f t="shared" si="138"/>
        <v>0.46207452054794518</v>
      </c>
      <c r="W1535" s="46">
        <f t="shared" si="142"/>
        <v>-4.9304043362167274E-2</v>
      </c>
      <c r="X1535" s="33">
        <f t="shared" si="139"/>
        <v>2.7353163430066982E-2</v>
      </c>
    </row>
    <row r="1536" spans="19:24" x14ac:dyDescent="0.25">
      <c r="S1536" s="44">
        <f t="shared" si="140"/>
        <v>44586</v>
      </c>
      <c r="T1536" s="12">
        <f t="shared" si="141"/>
        <v>4.9277272539151875</v>
      </c>
      <c r="U1536" s="12">
        <f t="shared" si="137"/>
        <v>4.7880762134906343</v>
      </c>
      <c r="V1536" s="30">
        <f t="shared" si="138"/>
        <v>0.46204712328767122</v>
      </c>
      <c r="W1536" s="46">
        <f t="shared" si="142"/>
        <v>-4.9277272539151866E-2</v>
      </c>
      <c r="X1536" s="33">
        <f t="shared" si="139"/>
        <v>2.7353121917794036E-2</v>
      </c>
    </row>
    <row r="1537" spans="19:24" x14ac:dyDescent="0.25">
      <c r="S1537" s="44">
        <f t="shared" si="140"/>
        <v>44587</v>
      </c>
      <c r="T1537" s="12">
        <f t="shared" si="141"/>
        <v>4.9250501716136466</v>
      </c>
      <c r="U1537" s="12">
        <f t="shared" si="137"/>
        <v>4.7854250367658455</v>
      </c>
      <c r="V1537" s="30">
        <f t="shared" si="138"/>
        <v>0.46201972602739722</v>
      </c>
      <c r="W1537" s="46">
        <f t="shared" si="142"/>
        <v>-4.9250501716136458E-2</v>
      </c>
      <c r="X1537" s="33">
        <f t="shared" si="139"/>
        <v>2.7353080405521087E-2</v>
      </c>
    </row>
    <row r="1538" spans="19:24" x14ac:dyDescent="0.25">
      <c r="S1538" s="44">
        <f t="shared" si="140"/>
        <v>44588</v>
      </c>
      <c r="T1538" s="12">
        <f t="shared" si="141"/>
        <v>4.9223730893121056</v>
      </c>
      <c r="U1538" s="12">
        <f t="shared" si="137"/>
        <v>4.7827738600410559</v>
      </c>
      <c r="V1538" s="30">
        <f t="shared" si="138"/>
        <v>0.46199232876712326</v>
      </c>
      <c r="W1538" s="46">
        <f t="shared" si="142"/>
        <v>-4.922373089312105E-2</v>
      </c>
      <c r="X1538" s="33">
        <f t="shared" si="139"/>
        <v>2.7353038893248152E-2</v>
      </c>
    </row>
    <row r="1539" spans="19:24" x14ac:dyDescent="0.25">
      <c r="S1539" s="44">
        <f t="shared" si="140"/>
        <v>44589</v>
      </c>
      <c r="T1539" s="12">
        <f t="shared" si="141"/>
        <v>4.9196960070105629</v>
      </c>
      <c r="U1539" s="12">
        <f t="shared" si="137"/>
        <v>4.7801226833162671</v>
      </c>
      <c r="V1539" s="30">
        <f t="shared" si="138"/>
        <v>0.46196493150684925</v>
      </c>
      <c r="W1539" s="46">
        <f t="shared" si="142"/>
        <v>-4.9196960070105621E-2</v>
      </c>
      <c r="X1539" s="33">
        <f t="shared" si="139"/>
        <v>2.7352997380975203E-2</v>
      </c>
    </row>
    <row r="1540" spans="19:24" x14ac:dyDescent="0.25">
      <c r="S1540" s="44">
        <f t="shared" si="140"/>
        <v>44590</v>
      </c>
      <c r="T1540" s="12">
        <f t="shared" si="141"/>
        <v>4.9170189247090237</v>
      </c>
      <c r="U1540" s="12">
        <f t="shared" si="137"/>
        <v>4.7774715065914783</v>
      </c>
      <c r="V1540" s="30">
        <f t="shared" si="138"/>
        <v>0.46193753424657524</v>
      </c>
      <c r="W1540" s="46">
        <f t="shared" si="142"/>
        <v>-4.9170189247090226E-2</v>
      </c>
      <c r="X1540" s="33">
        <f t="shared" si="139"/>
        <v>2.7352955868702258E-2</v>
      </c>
    </row>
    <row r="1541" spans="19:24" x14ac:dyDescent="0.25">
      <c r="S1541" s="44">
        <f t="shared" si="140"/>
        <v>44591</v>
      </c>
      <c r="T1541" s="12">
        <f t="shared" si="141"/>
        <v>4.9143418424074818</v>
      </c>
      <c r="U1541" s="12">
        <f t="shared" ref="U1541:U1604" si="143">DurMod($S1541,$B$2,$F$7:$G$37,U$3)</f>
        <v>4.7748203298666878</v>
      </c>
      <c r="V1541" s="30">
        <f t="shared" ref="V1541:V1604" si="144">+$U$3*($S$5512-S1541)/365+$T$3*(S1541-$S$4)/365</f>
        <v>0.46191013698630135</v>
      </c>
      <c r="W1541" s="46">
        <f t="shared" si="142"/>
        <v>-4.9143418424074811E-2</v>
      </c>
      <c r="X1541" s="33">
        <f t="shared" ref="X1541:X1604" si="145">+(V1541+W1541)*365/($S$5512-$S$4)</f>
        <v>2.7352914356429316E-2</v>
      </c>
    </row>
    <row r="1542" spans="19:24" x14ac:dyDescent="0.25">
      <c r="S1542" s="44">
        <f t="shared" si="140"/>
        <v>44592</v>
      </c>
      <c r="T1542" s="12">
        <f t="shared" si="141"/>
        <v>4.9116647601059409</v>
      </c>
      <c r="U1542" s="12">
        <f t="shared" si="143"/>
        <v>4.772169153141899</v>
      </c>
      <c r="V1542" s="30">
        <f t="shared" si="144"/>
        <v>0.46188273972602739</v>
      </c>
      <c r="W1542" s="46">
        <f t="shared" si="142"/>
        <v>-4.9116647601059403E-2</v>
      </c>
      <c r="X1542" s="33">
        <f t="shared" si="145"/>
        <v>2.7352872844156381E-2</v>
      </c>
    </row>
    <row r="1543" spans="19:24" x14ac:dyDescent="0.25">
      <c r="S1543" s="44">
        <f t="shared" si="140"/>
        <v>44593</v>
      </c>
      <c r="T1543" s="12">
        <f t="shared" si="141"/>
        <v>4.9089876778043999</v>
      </c>
      <c r="U1543" s="12">
        <f t="shared" si="143"/>
        <v>4.7695179764171094</v>
      </c>
      <c r="V1543" s="30">
        <f t="shared" si="144"/>
        <v>0.46185534246575338</v>
      </c>
      <c r="W1543" s="46">
        <f t="shared" si="142"/>
        <v>-4.9089876778043995E-2</v>
      </c>
      <c r="X1543" s="33">
        <f t="shared" si="145"/>
        <v>2.7352831331883428E-2</v>
      </c>
    </row>
    <row r="1544" spans="19:24" x14ac:dyDescent="0.25">
      <c r="S1544" s="44">
        <f t="shared" si="140"/>
        <v>44594</v>
      </c>
      <c r="T1544" s="12">
        <f t="shared" si="141"/>
        <v>4.9063105955028572</v>
      </c>
      <c r="U1544" s="12">
        <f t="shared" si="143"/>
        <v>4.7668667996923197</v>
      </c>
      <c r="V1544" s="30">
        <f t="shared" si="144"/>
        <v>0.46182794520547943</v>
      </c>
      <c r="W1544" s="46">
        <f t="shared" si="142"/>
        <v>-4.9063105955028566E-2</v>
      </c>
      <c r="X1544" s="33">
        <f t="shared" si="145"/>
        <v>2.7352789819610489E-2</v>
      </c>
    </row>
    <row r="1545" spans="19:24" x14ac:dyDescent="0.25">
      <c r="S1545" s="44">
        <f t="shared" si="140"/>
        <v>44595</v>
      </c>
      <c r="T1545" s="12">
        <f t="shared" si="141"/>
        <v>4.903633513201318</v>
      </c>
      <c r="U1545" s="12">
        <f t="shared" si="143"/>
        <v>4.7642156229675301</v>
      </c>
      <c r="V1545" s="30">
        <f t="shared" si="144"/>
        <v>0.46180054794520548</v>
      </c>
      <c r="W1545" s="46">
        <f t="shared" si="142"/>
        <v>-4.9036335132013172E-2</v>
      </c>
      <c r="X1545" s="33">
        <f t="shared" si="145"/>
        <v>2.7352748307337544E-2</v>
      </c>
    </row>
    <row r="1546" spans="19:24" x14ac:dyDescent="0.25">
      <c r="S1546" s="44">
        <f t="shared" si="140"/>
        <v>44596</v>
      </c>
      <c r="T1546" s="12">
        <f t="shared" si="141"/>
        <v>4.9009564308997762</v>
      </c>
      <c r="U1546" s="12">
        <f t="shared" si="143"/>
        <v>4.7615644462427413</v>
      </c>
      <c r="V1546" s="30">
        <f t="shared" si="144"/>
        <v>0.46177315068493147</v>
      </c>
      <c r="W1546" s="46">
        <f t="shared" si="142"/>
        <v>-4.9009564308997756E-2</v>
      </c>
      <c r="X1546" s="33">
        <f t="shared" si="145"/>
        <v>2.7352706795064595E-2</v>
      </c>
    </row>
    <row r="1547" spans="19:24" x14ac:dyDescent="0.25">
      <c r="S1547" s="44">
        <f t="shared" si="140"/>
        <v>44597</v>
      </c>
      <c r="T1547" s="12">
        <f t="shared" si="141"/>
        <v>4.8982793485982343</v>
      </c>
      <c r="U1547" s="12">
        <f t="shared" si="143"/>
        <v>4.7589132695179526</v>
      </c>
      <c r="V1547" s="30">
        <f t="shared" si="144"/>
        <v>0.46174575342465751</v>
      </c>
      <c r="W1547" s="46">
        <f t="shared" si="142"/>
        <v>-4.8982793485982334E-2</v>
      </c>
      <c r="X1547" s="33">
        <f t="shared" si="145"/>
        <v>2.7352665282791653E-2</v>
      </c>
    </row>
    <row r="1548" spans="19:24" x14ac:dyDescent="0.25">
      <c r="S1548" s="44">
        <f t="shared" si="140"/>
        <v>44598</v>
      </c>
      <c r="T1548" s="12">
        <f t="shared" si="141"/>
        <v>4.8956022662966943</v>
      </c>
      <c r="U1548" s="12">
        <f t="shared" si="143"/>
        <v>4.7562620927931656</v>
      </c>
      <c r="V1548" s="30">
        <f t="shared" si="144"/>
        <v>0.4617183561643835</v>
      </c>
      <c r="W1548" s="46">
        <f t="shared" si="142"/>
        <v>-4.8956022662966933E-2</v>
      </c>
      <c r="X1548" s="33">
        <f t="shared" si="145"/>
        <v>2.7352623770518707E-2</v>
      </c>
    </row>
    <row r="1549" spans="19:24" x14ac:dyDescent="0.25">
      <c r="S1549" s="44">
        <f t="shared" si="140"/>
        <v>44599</v>
      </c>
      <c r="T1549" s="12">
        <f t="shared" si="141"/>
        <v>4.8929251839951524</v>
      </c>
      <c r="U1549" s="12">
        <f t="shared" si="143"/>
        <v>4.7536109160683733</v>
      </c>
      <c r="V1549" s="30">
        <f t="shared" si="144"/>
        <v>0.46169095890410949</v>
      </c>
      <c r="W1549" s="46">
        <f t="shared" si="142"/>
        <v>-4.8929251839951518E-2</v>
      </c>
      <c r="X1549" s="33">
        <f t="shared" si="145"/>
        <v>2.7352582258245765E-2</v>
      </c>
    </row>
    <row r="1550" spans="19:24" x14ac:dyDescent="0.25">
      <c r="S1550" s="44">
        <f t="shared" si="140"/>
        <v>44600</v>
      </c>
      <c r="T1550" s="12">
        <f t="shared" si="141"/>
        <v>4.8902481016936106</v>
      </c>
      <c r="U1550" s="12">
        <f t="shared" si="143"/>
        <v>4.7509597393435845</v>
      </c>
      <c r="V1550" s="30">
        <f t="shared" si="144"/>
        <v>0.46166356164383565</v>
      </c>
      <c r="W1550" s="46">
        <f t="shared" si="142"/>
        <v>-4.8902481016936096E-2</v>
      </c>
      <c r="X1550" s="33">
        <f t="shared" si="145"/>
        <v>2.7352540745972827E-2</v>
      </c>
    </row>
    <row r="1551" spans="19:24" x14ac:dyDescent="0.25">
      <c r="S1551" s="44">
        <f t="shared" si="140"/>
        <v>44601</v>
      </c>
      <c r="T1551" s="12">
        <f t="shared" si="141"/>
        <v>4.8875710193920714</v>
      </c>
      <c r="U1551" s="12">
        <f t="shared" si="143"/>
        <v>4.7483085626187957</v>
      </c>
      <c r="V1551" s="30">
        <f t="shared" si="144"/>
        <v>0.4616361643835617</v>
      </c>
      <c r="W1551" s="46">
        <f t="shared" si="142"/>
        <v>-4.8875710193920709E-2</v>
      </c>
      <c r="X1551" s="33">
        <f t="shared" si="145"/>
        <v>2.7352499233699881E-2</v>
      </c>
    </row>
    <row r="1552" spans="19:24" x14ac:dyDescent="0.25">
      <c r="S1552" s="44">
        <f t="shared" si="140"/>
        <v>44602</v>
      </c>
      <c r="T1552" s="12">
        <f t="shared" si="141"/>
        <v>4.8848939370905295</v>
      </c>
      <c r="U1552" s="12">
        <f t="shared" si="143"/>
        <v>4.7456573858940061</v>
      </c>
      <c r="V1552" s="30">
        <f t="shared" si="144"/>
        <v>0.46160876712328769</v>
      </c>
      <c r="W1552" s="46">
        <f t="shared" si="142"/>
        <v>-4.8848939370905287E-2</v>
      </c>
      <c r="X1552" s="33">
        <f t="shared" si="145"/>
        <v>2.7352457721426939E-2</v>
      </c>
    </row>
    <row r="1553" spans="19:24" x14ac:dyDescent="0.25">
      <c r="S1553" s="44">
        <f t="shared" si="140"/>
        <v>44603</v>
      </c>
      <c r="T1553" s="12">
        <f t="shared" si="141"/>
        <v>4.8822168547889877</v>
      </c>
      <c r="U1553" s="12">
        <f t="shared" si="143"/>
        <v>4.7430062091692164</v>
      </c>
      <c r="V1553" s="30">
        <f t="shared" si="144"/>
        <v>0.46158136986301374</v>
      </c>
      <c r="W1553" s="46">
        <f t="shared" si="142"/>
        <v>-4.8822168547889871E-2</v>
      </c>
      <c r="X1553" s="33">
        <f t="shared" si="145"/>
        <v>2.7352416209153997E-2</v>
      </c>
    </row>
    <row r="1554" spans="19:24" x14ac:dyDescent="0.25">
      <c r="S1554" s="44">
        <f t="shared" si="140"/>
        <v>44604</v>
      </c>
      <c r="T1554" s="12">
        <f t="shared" si="141"/>
        <v>4.8795397724874467</v>
      </c>
      <c r="U1554" s="12">
        <f t="shared" si="143"/>
        <v>4.7403550324444277</v>
      </c>
      <c r="V1554" s="30">
        <f t="shared" si="144"/>
        <v>0.46155397260273978</v>
      </c>
      <c r="W1554" s="46">
        <f t="shared" si="142"/>
        <v>-4.8795397724874463E-2</v>
      </c>
      <c r="X1554" s="33">
        <f t="shared" si="145"/>
        <v>2.7352374696881055E-2</v>
      </c>
    </row>
    <row r="1555" spans="19:24" x14ac:dyDescent="0.25">
      <c r="S1555" s="44">
        <f t="shared" si="140"/>
        <v>44605</v>
      </c>
      <c r="T1555" s="12">
        <f t="shared" si="141"/>
        <v>4.8768626901859049</v>
      </c>
      <c r="U1555" s="12">
        <f t="shared" si="143"/>
        <v>4.7377038557196398</v>
      </c>
      <c r="V1555" s="30">
        <f t="shared" si="144"/>
        <v>0.46152657534246577</v>
      </c>
      <c r="W1555" s="46">
        <f t="shared" si="142"/>
        <v>-4.8768626901859041E-2</v>
      </c>
      <c r="X1555" s="33">
        <f t="shared" si="145"/>
        <v>2.7352333184608106E-2</v>
      </c>
    </row>
    <row r="1556" spans="19:24" x14ac:dyDescent="0.25">
      <c r="S1556" s="44">
        <f t="shared" si="140"/>
        <v>44606</v>
      </c>
      <c r="T1556" s="12">
        <f t="shared" si="141"/>
        <v>4.8741856078843639</v>
      </c>
      <c r="U1556" s="12">
        <f t="shared" si="143"/>
        <v>4.7350526789948484</v>
      </c>
      <c r="V1556" s="30">
        <f t="shared" si="144"/>
        <v>0.46149917808219176</v>
      </c>
      <c r="W1556" s="46">
        <f t="shared" si="142"/>
        <v>-4.8741856078843633E-2</v>
      </c>
      <c r="X1556" s="33">
        <f t="shared" si="145"/>
        <v>2.7352291672335161E-2</v>
      </c>
    </row>
    <row r="1557" spans="19:24" x14ac:dyDescent="0.25">
      <c r="S1557" s="44">
        <f t="shared" si="140"/>
        <v>44607</v>
      </c>
      <c r="T1557" s="12">
        <f t="shared" si="141"/>
        <v>4.8715085255828221</v>
      </c>
      <c r="U1557" s="12">
        <f t="shared" si="143"/>
        <v>4.7324015022700596</v>
      </c>
      <c r="V1557" s="30">
        <f t="shared" si="144"/>
        <v>0.46147178082191787</v>
      </c>
      <c r="W1557" s="46">
        <f t="shared" si="142"/>
        <v>-4.8715085255828211E-2</v>
      </c>
      <c r="X1557" s="33">
        <f t="shared" si="145"/>
        <v>2.7352250160062222E-2</v>
      </c>
    </row>
    <row r="1558" spans="19:24" x14ac:dyDescent="0.25">
      <c r="S1558" s="44">
        <f t="shared" si="140"/>
        <v>44608</v>
      </c>
      <c r="T1558" s="12">
        <f t="shared" si="141"/>
        <v>4.868831443281282</v>
      </c>
      <c r="U1558" s="12">
        <f t="shared" si="143"/>
        <v>4.7297503255452717</v>
      </c>
      <c r="V1558" s="30">
        <f t="shared" si="144"/>
        <v>0.46144438356164386</v>
      </c>
      <c r="W1558" s="46">
        <f t="shared" si="142"/>
        <v>-4.868831443281281E-2</v>
      </c>
      <c r="X1558" s="33">
        <f t="shared" si="145"/>
        <v>2.7352208647789276E-2</v>
      </c>
    </row>
    <row r="1559" spans="19:24" x14ac:dyDescent="0.25">
      <c r="S1559" s="44">
        <f t="shared" si="140"/>
        <v>44609</v>
      </c>
      <c r="T1559" s="12">
        <f t="shared" si="141"/>
        <v>4.8661543609797411</v>
      </c>
      <c r="U1559" s="12">
        <f t="shared" si="143"/>
        <v>4.7270991488204803</v>
      </c>
      <c r="V1559" s="30">
        <f t="shared" si="144"/>
        <v>0.4614169863013699</v>
      </c>
      <c r="W1559" s="46">
        <f t="shared" si="142"/>
        <v>-4.8661543609797402E-2</v>
      </c>
      <c r="X1559" s="33">
        <f t="shared" si="145"/>
        <v>2.7352167135516334E-2</v>
      </c>
    </row>
    <row r="1560" spans="19:24" x14ac:dyDescent="0.25">
      <c r="S1560" s="44">
        <f t="shared" si="140"/>
        <v>44610</v>
      </c>
      <c r="T1560" s="12">
        <f t="shared" si="141"/>
        <v>4.8634772786781983</v>
      </c>
      <c r="U1560" s="12">
        <f t="shared" si="143"/>
        <v>4.7244479720956907</v>
      </c>
      <c r="V1560" s="30">
        <f t="shared" si="144"/>
        <v>0.46138958904109589</v>
      </c>
      <c r="W1560" s="46">
        <f t="shared" si="142"/>
        <v>-4.8634772786781973E-2</v>
      </c>
      <c r="X1560" s="33">
        <f t="shared" si="145"/>
        <v>2.7352125623243389E-2</v>
      </c>
    </row>
    <row r="1561" spans="19:24" x14ac:dyDescent="0.25">
      <c r="S1561" s="44">
        <f t="shared" si="140"/>
        <v>44611</v>
      </c>
      <c r="T1561" s="12">
        <f t="shared" si="141"/>
        <v>4.8608001963766583</v>
      </c>
      <c r="U1561" s="12">
        <f t="shared" si="143"/>
        <v>4.7217967953709019</v>
      </c>
      <c r="V1561" s="30">
        <f t="shared" si="144"/>
        <v>0.46136219178082194</v>
      </c>
      <c r="W1561" s="46">
        <f t="shared" si="142"/>
        <v>-4.8608001963766578E-2</v>
      </c>
      <c r="X1561" s="33">
        <f t="shared" si="145"/>
        <v>2.7352084110970447E-2</v>
      </c>
    </row>
    <row r="1562" spans="19:24" x14ac:dyDescent="0.25">
      <c r="S1562" s="44">
        <f t="shared" si="140"/>
        <v>44612</v>
      </c>
      <c r="T1562" s="12">
        <f t="shared" si="141"/>
        <v>4.8581231140751164</v>
      </c>
      <c r="U1562" s="12">
        <f t="shared" si="143"/>
        <v>4.7191456186461114</v>
      </c>
      <c r="V1562" s="30">
        <f t="shared" si="144"/>
        <v>0.46133479452054799</v>
      </c>
      <c r="W1562" s="46">
        <f t="shared" si="142"/>
        <v>-4.8581231140751156E-2</v>
      </c>
      <c r="X1562" s="33">
        <f t="shared" si="145"/>
        <v>2.7352042598697505E-2</v>
      </c>
    </row>
    <row r="1563" spans="19:24" x14ac:dyDescent="0.25">
      <c r="S1563" s="44">
        <f t="shared" si="140"/>
        <v>44613</v>
      </c>
      <c r="T1563" s="12">
        <f t="shared" si="141"/>
        <v>4.8554460317735755</v>
      </c>
      <c r="U1563" s="12">
        <f t="shared" si="143"/>
        <v>4.7164944419213235</v>
      </c>
      <c r="V1563" s="30">
        <f t="shared" si="144"/>
        <v>0.46130739726027403</v>
      </c>
      <c r="W1563" s="46">
        <f t="shared" si="142"/>
        <v>-4.8554460317735748E-2</v>
      </c>
      <c r="X1563" s="33">
        <f t="shared" si="145"/>
        <v>2.7352001086424563E-2</v>
      </c>
    </row>
    <row r="1564" spans="19:24" x14ac:dyDescent="0.25">
      <c r="S1564" s="44">
        <f t="shared" si="140"/>
        <v>44614</v>
      </c>
      <c r="T1564" s="12">
        <f t="shared" si="141"/>
        <v>4.8527689494720327</v>
      </c>
      <c r="U1564" s="12">
        <f t="shared" si="143"/>
        <v>4.7138432651965338</v>
      </c>
      <c r="V1564" s="30">
        <f t="shared" si="144"/>
        <v>0.46128000000000002</v>
      </c>
      <c r="W1564" s="46">
        <f t="shared" si="142"/>
        <v>-4.8527689494720319E-2</v>
      </c>
      <c r="X1564" s="33">
        <f t="shared" si="145"/>
        <v>2.7351959574151614E-2</v>
      </c>
    </row>
    <row r="1565" spans="19:24" x14ac:dyDescent="0.25">
      <c r="S1565" s="44">
        <f t="shared" si="140"/>
        <v>44615</v>
      </c>
      <c r="T1565" s="12">
        <f t="shared" si="141"/>
        <v>4.8500918671704945</v>
      </c>
      <c r="U1565" s="12">
        <f t="shared" si="143"/>
        <v>4.711192088471746</v>
      </c>
      <c r="V1565" s="30">
        <f t="shared" si="144"/>
        <v>0.46125260273972601</v>
      </c>
      <c r="W1565" s="46">
        <f t="shared" si="142"/>
        <v>-4.8500918671704939E-2</v>
      </c>
      <c r="X1565" s="33">
        <f t="shared" si="145"/>
        <v>2.7351918061878668E-2</v>
      </c>
    </row>
    <row r="1566" spans="19:24" x14ac:dyDescent="0.25">
      <c r="S1566" s="44">
        <f t="shared" si="140"/>
        <v>44616</v>
      </c>
      <c r="T1566" s="12">
        <f t="shared" si="141"/>
        <v>4.8474147848689517</v>
      </c>
      <c r="U1566" s="12">
        <f t="shared" si="143"/>
        <v>4.7085409117469554</v>
      </c>
      <c r="V1566" s="30">
        <f t="shared" si="144"/>
        <v>0.46122520547945212</v>
      </c>
      <c r="W1566" s="46">
        <f t="shared" si="142"/>
        <v>-4.847414784868951E-2</v>
      </c>
      <c r="X1566" s="33">
        <f t="shared" si="145"/>
        <v>2.7351876549605726E-2</v>
      </c>
    </row>
    <row r="1567" spans="19:24" x14ac:dyDescent="0.25">
      <c r="S1567" s="44">
        <f t="shared" si="140"/>
        <v>44617</v>
      </c>
      <c r="T1567" s="12">
        <f t="shared" si="141"/>
        <v>4.8447377025674108</v>
      </c>
      <c r="U1567" s="12">
        <f t="shared" si="143"/>
        <v>4.7058897350221667</v>
      </c>
      <c r="V1567" s="30">
        <f t="shared" si="144"/>
        <v>0.46119780821917811</v>
      </c>
      <c r="W1567" s="46">
        <f t="shared" si="142"/>
        <v>-4.8447377025674102E-2</v>
      </c>
      <c r="X1567" s="33">
        <f t="shared" si="145"/>
        <v>2.7351835037332784E-2</v>
      </c>
    </row>
    <row r="1568" spans="19:24" x14ac:dyDescent="0.25">
      <c r="S1568" s="44">
        <f t="shared" si="140"/>
        <v>44618</v>
      </c>
      <c r="T1568" s="12">
        <f t="shared" si="141"/>
        <v>4.8420606202658698</v>
      </c>
      <c r="U1568" s="12">
        <f t="shared" si="143"/>
        <v>4.703238558297377</v>
      </c>
      <c r="V1568" s="30">
        <f t="shared" si="144"/>
        <v>0.4611704109589041</v>
      </c>
      <c r="W1568" s="46">
        <f t="shared" si="142"/>
        <v>-4.8420606202658693E-2</v>
      </c>
      <c r="X1568" s="33">
        <f t="shared" si="145"/>
        <v>2.7351793525059835E-2</v>
      </c>
    </row>
    <row r="1569" spans="19:24" x14ac:dyDescent="0.25">
      <c r="S1569" s="44">
        <f t="shared" si="140"/>
        <v>44619</v>
      </c>
      <c r="T1569" s="12">
        <f t="shared" si="141"/>
        <v>4.839383537964328</v>
      </c>
      <c r="U1569" s="12">
        <f t="shared" si="143"/>
        <v>4.7005873815725874</v>
      </c>
      <c r="V1569" s="30">
        <f t="shared" si="144"/>
        <v>0.46114301369863014</v>
      </c>
      <c r="W1569" s="46">
        <f t="shared" si="142"/>
        <v>-4.8393835379643271E-2</v>
      </c>
      <c r="X1569" s="33">
        <f t="shared" si="145"/>
        <v>2.7351752012786893E-2</v>
      </c>
    </row>
    <row r="1570" spans="19:24" x14ac:dyDescent="0.25">
      <c r="S1570" s="44">
        <f t="shared" si="140"/>
        <v>44620</v>
      </c>
      <c r="T1570" s="12">
        <f t="shared" si="141"/>
        <v>4.8367064556627879</v>
      </c>
      <c r="U1570" s="12">
        <f t="shared" si="143"/>
        <v>4.6979362048477995</v>
      </c>
      <c r="V1570" s="30">
        <f t="shared" si="144"/>
        <v>0.46111561643835619</v>
      </c>
      <c r="W1570" s="46">
        <f t="shared" si="142"/>
        <v>-4.836706455662787E-2</v>
      </c>
      <c r="X1570" s="33">
        <f t="shared" si="145"/>
        <v>2.7351710500513951E-2</v>
      </c>
    </row>
    <row r="1571" spans="19:24" x14ac:dyDescent="0.25">
      <c r="S1571" s="44">
        <f t="shared" si="140"/>
        <v>44621</v>
      </c>
      <c r="T1571" s="12">
        <f t="shared" si="141"/>
        <v>4.8340293733612461</v>
      </c>
      <c r="U1571" s="12">
        <f t="shared" si="143"/>
        <v>4.6952850281230099</v>
      </c>
      <c r="V1571" s="30">
        <f t="shared" si="144"/>
        <v>0.46108821917808224</v>
      </c>
      <c r="W1571" s="46">
        <f t="shared" si="142"/>
        <v>-4.8340293733612455E-2</v>
      </c>
      <c r="X1571" s="33">
        <f t="shared" si="145"/>
        <v>2.7351668988241009E-2</v>
      </c>
    </row>
    <row r="1572" spans="19:24" x14ac:dyDescent="0.25">
      <c r="S1572" s="44">
        <f t="shared" si="140"/>
        <v>44622</v>
      </c>
      <c r="T1572" s="12">
        <f t="shared" si="141"/>
        <v>4.8313522910597042</v>
      </c>
      <c r="U1572" s="12">
        <f t="shared" si="143"/>
        <v>4.6926338513982202</v>
      </c>
      <c r="V1572" s="30">
        <f t="shared" si="144"/>
        <v>0.46106082191780823</v>
      </c>
      <c r="W1572" s="46">
        <f t="shared" si="142"/>
        <v>-4.8313522910597033E-2</v>
      </c>
      <c r="X1572" s="33">
        <f t="shared" si="145"/>
        <v>2.7351627475968063E-2</v>
      </c>
    </row>
    <row r="1573" spans="19:24" x14ac:dyDescent="0.25">
      <c r="S1573" s="44">
        <f t="shared" si="140"/>
        <v>44623</v>
      </c>
      <c r="T1573" s="12">
        <f t="shared" si="141"/>
        <v>4.8286752087581633</v>
      </c>
      <c r="U1573" s="12">
        <f t="shared" si="143"/>
        <v>4.6899826746734306</v>
      </c>
      <c r="V1573" s="30">
        <f t="shared" si="144"/>
        <v>0.46103342465753427</v>
      </c>
      <c r="W1573" s="46">
        <f t="shared" si="142"/>
        <v>-4.8286752087581625E-2</v>
      </c>
      <c r="X1573" s="33">
        <f t="shared" si="145"/>
        <v>2.7351585963695121E-2</v>
      </c>
    </row>
    <row r="1574" spans="19:24" x14ac:dyDescent="0.25">
      <c r="S1574" s="44">
        <f t="shared" si="140"/>
        <v>44624</v>
      </c>
      <c r="T1574" s="12">
        <f t="shared" si="141"/>
        <v>4.8259981264566214</v>
      </c>
      <c r="U1574" s="12">
        <f t="shared" si="143"/>
        <v>4.6873314979486427</v>
      </c>
      <c r="V1574" s="30">
        <f t="shared" si="144"/>
        <v>0.46100602739726027</v>
      </c>
      <c r="W1574" s="46">
        <f t="shared" si="142"/>
        <v>-4.825998126456621E-2</v>
      </c>
      <c r="X1574" s="33">
        <f t="shared" si="145"/>
        <v>2.7351544451422172E-2</v>
      </c>
    </row>
    <row r="1575" spans="19:24" x14ac:dyDescent="0.25">
      <c r="S1575" s="44">
        <f t="shared" ref="S1575:S1638" si="146">+S1574+1</f>
        <v>44625</v>
      </c>
      <c r="T1575" s="12">
        <f t="shared" ref="T1575:T1638" si="147">DurMod(S1575,B$2,$F$7:$G$37,$T$3)</f>
        <v>4.8233210441550813</v>
      </c>
      <c r="U1575" s="12">
        <f t="shared" si="143"/>
        <v>4.6846803212238521</v>
      </c>
      <c r="V1575" s="30">
        <f t="shared" si="144"/>
        <v>0.46097863013698637</v>
      </c>
      <c r="W1575" s="46">
        <f t="shared" ref="W1575:W1638" si="148">+-T1575*($U$3-$T$3)</f>
        <v>-4.8233210441550808E-2</v>
      </c>
      <c r="X1575" s="33">
        <f t="shared" si="145"/>
        <v>2.735150293914923E-2</v>
      </c>
    </row>
    <row r="1576" spans="19:24" x14ac:dyDescent="0.25">
      <c r="S1576" s="44">
        <f t="shared" si="146"/>
        <v>44626</v>
      </c>
      <c r="T1576" s="12">
        <f t="shared" si="147"/>
        <v>4.8206439618535386</v>
      </c>
      <c r="U1576" s="12">
        <f t="shared" si="143"/>
        <v>4.6820291444990625</v>
      </c>
      <c r="V1576" s="30">
        <f t="shared" si="144"/>
        <v>0.46095123287671236</v>
      </c>
      <c r="W1576" s="46">
        <f t="shared" si="148"/>
        <v>-4.8206439618535379E-2</v>
      </c>
      <c r="X1576" s="33">
        <f t="shared" si="145"/>
        <v>2.7351461426876288E-2</v>
      </c>
    </row>
    <row r="1577" spans="19:24" x14ac:dyDescent="0.25">
      <c r="S1577" s="44">
        <f t="shared" si="146"/>
        <v>44627</v>
      </c>
      <c r="T1577" s="12">
        <f t="shared" si="147"/>
        <v>4.8179668795519994</v>
      </c>
      <c r="U1577" s="12">
        <f t="shared" si="143"/>
        <v>4.6793779677742737</v>
      </c>
      <c r="V1577" s="30">
        <f t="shared" si="144"/>
        <v>0.46092383561643835</v>
      </c>
      <c r="W1577" s="46">
        <f t="shared" si="148"/>
        <v>-4.8179668795519985E-2</v>
      </c>
      <c r="X1577" s="33">
        <f t="shared" si="145"/>
        <v>2.7351419914603343E-2</v>
      </c>
    </row>
    <row r="1578" spans="19:24" x14ac:dyDescent="0.25">
      <c r="S1578" s="44">
        <f t="shared" si="146"/>
        <v>44628</v>
      </c>
      <c r="T1578" s="12">
        <f t="shared" si="147"/>
        <v>4.8152897972504576</v>
      </c>
      <c r="U1578" s="12">
        <f t="shared" si="143"/>
        <v>4.676726791049485</v>
      </c>
      <c r="V1578" s="30">
        <f t="shared" si="144"/>
        <v>0.4608964383561644</v>
      </c>
      <c r="W1578" s="46">
        <f t="shared" si="148"/>
        <v>-4.815289797250457E-2</v>
      </c>
      <c r="X1578" s="33">
        <f t="shared" si="145"/>
        <v>2.7351378402330401E-2</v>
      </c>
    </row>
    <row r="1579" spans="19:24" x14ac:dyDescent="0.25">
      <c r="S1579" s="44">
        <f t="shared" si="146"/>
        <v>44629</v>
      </c>
      <c r="T1579" s="12">
        <f t="shared" si="147"/>
        <v>4.8126127149489166</v>
      </c>
      <c r="U1579" s="12">
        <f t="shared" si="143"/>
        <v>4.6740756143246944</v>
      </c>
      <c r="V1579" s="30">
        <f t="shared" si="144"/>
        <v>0.46086904109589039</v>
      </c>
      <c r="W1579" s="46">
        <f t="shared" si="148"/>
        <v>-4.8126127149489162E-2</v>
      </c>
      <c r="X1579" s="33">
        <f t="shared" si="145"/>
        <v>2.7351336890057455E-2</v>
      </c>
    </row>
    <row r="1580" spans="19:24" x14ac:dyDescent="0.25">
      <c r="S1580" s="44">
        <f t="shared" si="146"/>
        <v>44630</v>
      </c>
      <c r="T1580" s="12">
        <f t="shared" si="147"/>
        <v>4.8099356326473748</v>
      </c>
      <c r="U1580" s="12">
        <f t="shared" si="143"/>
        <v>4.6714244375999057</v>
      </c>
      <c r="V1580" s="30">
        <f t="shared" si="144"/>
        <v>0.46084164383561643</v>
      </c>
      <c r="W1580" s="46">
        <f t="shared" si="148"/>
        <v>-4.809935632647374E-2</v>
      </c>
      <c r="X1580" s="33">
        <f t="shared" si="145"/>
        <v>2.7351295377784513E-2</v>
      </c>
    </row>
    <row r="1581" spans="19:24" x14ac:dyDescent="0.25">
      <c r="S1581" s="44">
        <f t="shared" si="146"/>
        <v>44631</v>
      </c>
      <c r="T1581" s="12">
        <f t="shared" si="147"/>
        <v>4.8072585503458347</v>
      </c>
      <c r="U1581" s="12">
        <f t="shared" si="143"/>
        <v>4.668773260875116</v>
      </c>
      <c r="V1581" s="30">
        <f t="shared" si="144"/>
        <v>0.46081424657534248</v>
      </c>
      <c r="W1581" s="46">
        <f t="shared" si="148"/>
        <v>-4.8072585503458339E-2</v>
      </c>
      <c r="X1581" s="33">
        <f t="shared" si="145"/>
        <v>2.7351253865511571E-2</v>
      </c>
    </row>
    <row r="1582" spans="19:24" x14ac:dyDescent="0.25">
      <c r="S1582" s="44">
        <f t="shared" si="146"/>
        <v>44632</v>
      </c>
      <c r="T1582" s="12">
        <f t="shared" si="147"/>
        <v>4.8045814680442938</v>
      </c>
      <c r="U1582" s="12">
        <f t="shared" si="143"/>
        <v>4.6661220841503273</v>
      </c>
      <c r="V1582" s="30">
        <f t="shared" si="144"/>
        <v>0.46078684931506853</v>
      </c>
      <c r="W1582" s="46">
        <f t="shared" si="148"/>
        <v>-4.804581468044293E-2</v>
      </c>
      <c r="X1582" s="33">
        <f t="shared" si="145"/>
        <v>2.7351212353238622E-2</v>
      </c>
    </row>
    <row r="1583" spans="19:24" x14ac:dyDescent="0.25">
      <c r="S1583" s="44">
        <f t="shared" si="146"/>
        <v>44633</v>
      </c>
      <c r="T1583" s="12">
        <f t="shared" si="147"/>
        <v>4.8019043857427528</v>
      </c>
      <c r="U1583" s="12">
        <f t="shared" si="143"/>
        <v>4.6634709074255376</v>
      </c>
      <c r="V1583" s="30">
        <f t="shared" si="144"/>
        <v>0.46075945205479452</v>
      </c>
      <c r="W1583" s="46">
        <f t="shared" si="148"/>
        <v>-4.8019043857427522E-2</v>
      </c>
      <c r="X1583" s="33">
        <f t="shared" si="145"/>
        <v>2.735117084096568E-2</v>
      </c>
    </row>
    <row r="1584" spans="19:24" x14ac:dyDescent="0.25">
      <c r="S1584" s="44">
        <f t="shared" si="146"/>
        <v>44634</v>
      </c>
      <c r="T1584" s="12">
        <f t="shared" si="147"/>
        <v>4.7992273034412101</v>
      </c>
      <c r="U1584" s="12">
        <f t="shared" si="143"/>
        <v>4.6608197307007488</v>
      </c>
      <c r="V1584" s="30">
        <f t="shared" si="144"/>
        <v>0.46073205479452056</v>
      </c>
      <c r="W1584" s="46">
        <f t="shared" si="148"/>
        <v>-4.7992273034412093E-2</v>
      </c>
      <c r="X1584" s="33">
        <f t="shared" si="145"/>
        <v>2.7351129328692735E-2</v>
      </c>
    </row>
    <row r="1585" spans="19:24" x14ac:dyDescent="0.25">
      <c r="S1585" s="44">
        <f t="shared" si="146"/>
        <v>44635</v>
      </c>
      <c r="T1585" s="12">
        <f t="shared" si="147"/>
        <v>4.79655022113967</v>
      </c>
      <c r="U1585" s="12">
        <f t="shared" si="143"/>
        <v>4.6581685539759592</v>
      </c>
      <c r="V1585" s="30">
        <f t="shared" si="144"/>
        <v>0.46070465753424661</v>
      </c>
      <c r="W1585" s="46">
        <f t="shared" si="148"/>
        <v>-4.7965502211396692E-2</v>
      </c>
      <c r="X1585" s="33">
        <f t="shared" si="145"/>
        <v>2.7351087816419796E-2</v>
      </c>
    </row>
    <row r="1586" spans="19:24" x14ac:dyDescent="0.25">
      <c r="S1586" s="44">
        <f t="shared" si="146"/>
        <v>44636</v>
      </c>
      <c r="T1586" s="12">
        <f t="shared" si="147"/>
        <v>4.7938731388381264</v>
      </c>
      <c r="U1586" s="12">
        <f t="shared" si="143"/>
        <v>4.6555173772511695</v>
      </c>
      <c r="V1586" s="30">
        <f t="shared" si="144"/>
        <v>0.4606772602739726</v>
      </c>
      <c r="W1586" s="46">
        <f t="shared" si="148"/>
        <v>-4.7938731388381256E-2</v>
      </c>
      <c r="X1586" s="33">
        <f t="shared" si="145"/>
        <v>2.735104630414685E-2</v>
      </c>
    </row>
    <row r="1587" spans="19:24" x14ac:dyDescent="0.25">
      <c r="S1587" s="44">
        <f t="shared" si="146"/>
        <v>44637</v>
      </c>
      <c r="T1587" s="12">
        <f t="shared" si="147"/>
        <v>4.7911960565365863</v>
      </c>
      <c r="U1587" s="12">
        <f t="shared" si="143"/>
        <v>4.652866200526379</v>
      </c>
      <c r="V1587" s="30">
        <f t="shared" si="144"/>
        <v>0.46064986301369859</v>
      </c>
      <c r="W1587" s="46">
        <f t="shared" si="148"/>
        <v>-4.7911960565365855E-2</v>
      </c>
      <c r="X1587" s="33">
        <f t="shared" si="145"/>
        <v>2.7351004791873901E-2</v>
      </c>
    </row>
    <row r="1588" spans="19:24" x14ac:dyDescent="0.25">
      <c r="S1588" s="44">
        <f t="shared" si="146"/>
        <v>44638</v>
      </c>
      <c r="T1588" s="12">
        <f t="shared" si="147"/>
        <v>4.7885189742350445</v>
      </c>
      <c r="U1588" s="12">
        <f t="shared" si="143"/>
        <v>4.6502150238015911</v>
      </c>
      <c r="V1588" s="30">
        <f t="shared" si="144"/>
        <v>0.46062246575342464</v>
      </c>
      <c r="W1588" s="46">
        <f t="shared" si="148"/>
        <v>-4.788518974235044E-2</v>
      </c>
      <c r="X1588" s="33">
        <f t="shared" si="145"/>
        <v>2.7350963279600959E-2</v>
      </c>
    </row>
    <row r="1589" spans="19:24" x14ac:dyDescent="0.25">
      <c r="S1589" s="44">
        <f t="shared" si="146"/>
        <v>44639</v>
      </c>
      <c r="T1589" s="12">
        <f t="shared" si="147"/>
        <v>4.7858418919335044</v>
      </c>
      <c r="U1589" s="12">
        <f t="shared" si="143"/>
        <v>4.6475638470768015</v>
      </c>
      <c r="V1589" s="30">
        <f t="shared" si="144"/>
        <v>0.46059506849315068</v>
      </c>
      <c r="W1589" s="46">
        <f t="shared" si="148"/>
        <v>-4.7858418919335038E-2</v>
      </c>
      <c r="X1589" s="33">
        <f t="shared" si="145"/>
        <v>2.7350921767328014E-2</v>
      </c>
    </row>
    <row r="1590" spans="19:24" x14ac:dyDescent="0.25">
      <c r="S1590" s="44">
        <f t="shared" si="146"/>
        <v>44640</v>
      </c>
      <c r="T1590" s="12">
        <f t="shared" si="147"/>
        <v>4.7831648096319626</v>
      </c>
      <c r="U1590" s="12">
        <f t="shared" si="143"/>
        <v>4.6449126703520127</v>
      </c>
      <c r="V1590" s="30">
        <f t="shared" si="144"/>
        <v>0.46056767123287673</v>
      </c>
      <c r="W1590" s="46">
        <f t="shared" si="148"/>
        <v>-4.7831648096319616E-2</v>
      </c>
      <c r="X1590" s="33">
        <f t="shared" si="145"/>
        <v>2.7350880255055072E-2</v>
      </c>
    </row>
    <row r="1591" spans="19:24" x14ac:dyDescent="0.25">
      <c r="S1591" s="44">
        <f t="shared" si="146"/>
        <v>44641</v>
      </c>
      <c r="T1591" s="12">
        <f t="shared" si="147"/>
        <v>4.7804877273304216</v>
      </c>
      <c r="U1591" s="12">
        <f t="shared" si="143"/>
        <v>4.6422614936272222</v>
      </c>
      <c r="V1591" s="30">
        <f t="shared" si="144"/>
        <v>0.46054027397260272</v>
      </c>
      <c r="W1591" s="46">
        <f t="shared" si="148"/>
        <v>-4.7804877273304208E-2</v>
      </c>
      <c r="X1591" s="33">
        <f t="shared" si="145"/>
        <v>2.7350838742782123E-2</v>
      </c>
    </row>
    <row r="1592" spans="19:24" x14ac:dyDescent="0.25">
      <c r="S1592" s="44">
        <f t="shared" si="146"/>
        <v>44642</v>
      </c>
      <c r="T1592" s="12">
        <f t="shared" si="147"/>
        <v>4.7778106450288806</v>
      </c>
      <c r="U1592" s="12">
        <f t="shared" si="143"/>
        <v>4.6396103169024361</v>
      </c>
      <c r="V1592" s="30">
        <f t="shared" si="144"/>
        <v>0.46051287671232877</v>
      </c>
      <c r="W1592" s="46">
        <f t="shared" si="148"/>
        <v>-4.77781064502888E-2</v>
      </c>
      <c r="X1592" s="33">
        <f t="shared" si="145"/>
        <v>2.7350797230509188E-2</v>
      </c>
    </row>
    <row r="1593" spans="19:24" x14ac:dyDescent="0.25">
      <c r="S1593" s="44">
        <f t="shared" si="146"/>
        <v>44643</v>
      </c>
      <c r="T1593" s="12">
        <f t="shared" si="147"/>
        <v>4.7751335627273397</v>
      </c>
      <c r="U1593" s="12">
        <f t="shared" si="143"/>
        <v>4.6369591401776455</v>
      </c>
      <c r="V1593" s="30">
        <f t="shared" si="144"/>
        <v>0.46048547945205481</v>
      </c>
      <c r="W1593" s="46">
        <f t="shared" si="148"/>
        <v>-4.7751335627273392E-2</v>
      </c>
      <c r="X1593" s="33">
        <f t="shared" si="145"/>
        <v>2.7350755718236239E-2</v>
      </c>
    </row>
    <row r="1594" spans="19:24" x14ac:dyDescent="0.25">
      <c r="S1594" s="44">
        <f t="shared" si="146"/>
        <v>44644</v>
      </c>
      <c r="T1594" s="12">
        <f t="shared" si="147"/>
        <v>4.7724564804257978</v>
      </c>
      <c r="U1594" s="12">
        <f t="shared" si="143"/>
        <v>4.6343079634528559</v>
      </c>
      <c r="V1594" s="30">
        <f t="shared" si="144"/>
        <v>0.46045808219178086</v>
      </c>
      <c r="W1594" s="46">
        <f t="shared" si="148"/>
        <v>-4.772456480425797E-2</v>
      </c>
      <c r="X1594" s="33">
        <f t="shared" si="145"/>
        <v>2.7350714205963297E-2</v>
      </c>
    </row>
    <row r="1595" spans="19:24" x14ac:dyDescent="0.25">
      <c r="S1595" s="44">
        <f t="shared" si="146"/>
        <v>44645</v>
      </c>
      <c r="T1595" s="12">
        <f t="shared" si="147"/>
        <v>4.7697793981242596</v>
      </c>
      <c r="U1595" s="12">
        <f t="shared" si="143"/>
        <v>4.6316567867280671</v>
      </c>
      <c r="V1595" s="30">
        <f t="shared" si="144"/>
        <v>0.46043068493150685</v>
      </c>
      <c r="W1595" s="46">
        <f t="shared" si="148"/>
        <v>-4.7697793981242589E-2</v>
      </c>
      <c r="X1595" s="33">
        <f t="shared" si="145"/>
        <v>2.7350672693690351E-2</v>
      </c>
    </row>
    <row r="1596" spans="19:24" x14ac:dyDescent="0.25">
      <c r="S1596" s="44">
        <f t="shared" si="146"/>
        <v>44646</v>
      </c>
      <c r="T1596" s="12">
        <f t="shared" si="147"/>
        <v>4.7671023158227177</v>
      </c>
      <c r="U1596" s="12">
        <f t="shared" si="143"/>
        <v>4.6290056100032766</v>
      </c>
      <c r="V1596" s="30">
        <f t="shared" si="144"/>
        <v>0.46040328767123284</v>
      </c>
      <c r="W1596" s="46">
        <f t="shared" si="148"/>
        <v>-4.7671023158227167E-2</v>
      </c>
      <c r="X1596" s="33">
        <f t="shared" si="145"/>
        <v>2.7350631181417402E-2</v>
      </c>
    </row>
    <row r="1597" spans="19:24" x14ac:dyDescent="0.25">
      <c r="S1597" s="44">
        <f t="shared" si="146"/>
        <v>44647</v>
      </c>
      <c r="T1597" s="12">
        <f t="shared" si="147"/>
        <v>4.764425233521175</v>
      </c>
      <c r="U1597" s="12">
        <f t="shared" si="143"/>
        <v>4.6263544332784861</v>
      </c>
      <c r="V1597" s="30">
        <f t="shared" si="144"/>
        <v>0.46037589041095889</v>
      </c>
      <c r="W1597" s="46">
        <f t="shared" si="148"/>
        <v>-4.7644252335211745E-2</v>
      </c>
      <c r="X1597" s="33">
        <f t="shared" si="145"/>
        <v>2.735058966914446E-2</v>
      </c>
    </row>
    <row r="1598" spans="19:24" x14ac:dyDescent="0.25">
      <c r="S1598" s="44">
        <f t="shared" si="146"/>
        <v>44648</v>
      </c>
      <c r="T1598" s="12">
        <f t="shared" si="147"/>
        <v>4.761748151219634</v>
      </c>
      <c r="U1598" s="12">
        <f t="shared" si="143"/>
        <v>4.6237032565536973</v>
      </c>
      <c r="V1598" s="30">
        <f t="shared" si="144"/>
        <v>0.46034849315068493</v>
      </c>
      <c r="W1598" s="46">
        <f t="shared" si="148"/>
        <v>-4.761748151219633E-2</v>
      </c>
      <c r="X1598" s="33">
        <f t="shared" si="145"/>
        <v>2.7350548156871518E-2</v>
      </c>
    </row>
    <row r="1599" spans="19:24" x14ac:dyDescent="0.25">
      <c r="S1599" s="44">
        <f t="shared" si="146"/>
        <v>44649</v>
      </c>
      <c r="T1599" s="12">
        <f t="shared" si="147"/>
        <v>4.7590710689180931</v>
      </c>
      <c r="U1599" s="12">
        <f t="shared" si="143"/>
        <v>4.6210520798289103</v>
      </c>
      <c r="V1599" s="30">
        <f t="shared" si="144"/>
        <v>0.46032109589041093</v>
      </c>
      <c r="W1599" s="46">
        <f t="shared" si="148"/>
        <v>-4.7590710689180922E-2</v>
      </c>
      <c r="X1599" s="33">
        <f t="shared" si="145"/>
        <v>2.7350506644598579E-2</v>
      </c>
    </row>
    <row r="1600" spans="19:24" x14ac:dyDescent="0.25">
      <c r="S1600" s="44">
        <f t="shared" si="146"/>
        <v>44650</v>
      </c>
      <c r="T1600" s="12">
        <f t="shared" si="147"/>
        <v>4.756393986616553</v>
      </c>
      <c r="U1600" s="12">
        <f t="shared" si="143"/>
        <v>4.6184009031041189</v>
      </c>
      <c r="V1600" s="30">
        <f t="shared" si="144"/>
        <v>0.46029369863013697</v>
      </c>
      <c r="W1600" s="46">
        <f t="shared" si="148"/>
        <v>-4.7563939866165521E-2</v>
      </c>
      <c r="X1600" s="33">
        <f t="shared" si="145"/>
        <v>2.7350465132325631E-2</v>
      </c>
    </row>
    <row r="1601" spans="19:24" x14ac:dyDescent="0.25">
      <c r="S1601" s="44">
        <f t="shared" si="146"/>
        <v>44651</v>
      </c>
      <c r="T1601" s="12">
        <f t="shared" si="147"/>
        <v>4.7537169043150085</v>
      </c>
      <c r="U1601" s="12">
        <f t="shared" si="143"/>
        <v>4.6157497263793301</v>
      </c>
      <c r="V1601" s="30">
        <f t="shared" si="144"/>
        <v>0.46026630136986296</v>
      </c>
      <c r="W1601" s="46">
        <f t="shared" si="148"/>
        <v>-4.7537169043150078E-2</v>
      </c>
      <c r="X1601" s="33">
        <f t="shared" si="145"/>
        <v>2.7350423620052688E-2</v>
      </c>
    </row>
    <row r="1602" spans="19:24" x14ac:dyDescent="0.25">
      <c r="S1602" s="44">
        <f t="shared" si="146"/>
        <v>44652</v>
      </c>
      <c r="T1602" s="12">
        <f t="shared" si="147"/>
        <v>4.7510398220134693</v>
      </c>
      <c r="U1602" s="12">
        <f t="shared" si="143"/>
        <v>4.6130985496545396</v>
      </c>
      <c r="V1602" s="30">
        <f t="shared" si="144"/>
        <v>0.46023890410958906</v>
      </c>
      <c r="W1602" s="46">
        <f t="shared" si="148"/>
        <v>-4.7510398220134684E-2</v>
      </c>
      <c r="X1602" s="33">
        <f t="shared" si="145"/>
        <v>2.7350382107779746E-2</v>
      </c>
    </row>
    <row r="1603" spans="19:24" x14ac:dyDescent="0.25">
      <c r="S1603" s="44">
        <f t="shared" si="146"/>
        <v>44653</v>
      </c>
      <c r="T1603" s="12">
        <f t="shared" si="147"/>
        <v>4.7483627397119275</v>
      </c>
      <c r="U1603" s="12">
        <f t="shared" si="143"/>
        <v>4.6104473729297499</v>
      </c>
      <c r="V1603" s="30">
        <f t="shared" si="144"/>
        <v>0.46021150684931506</v>
      </c>
      <c r="W1603" s="46">
        <f t="shared" si="148"/>
        <v>-4.7483627397119268E-2</v>
      </c>
      <c r="X1603" s="33">
        <f t="shared" si="145"/>
        <v>2.7350340595506804E-2</v>
      </c>
    </row>
    <row r="1604" spans="19:24" x14ac:dyDescent="0.25">
      <c r="S1604" s="44">
        <f t="shared" si="146"/>
        <v>44654</v>
      </c>
      <c r="T1604" s="12">
        <f t="shared" si="147"/>
        <v>4.7456856574103865</v>
      </c>
      <c r="U1604" s="12">
        <f t="shared" si="143"/>
        <v>4.6077961962049629</v>
      </c>
      <c r="V1604" s="30">
        <f t="shared" si="144"/>
        <v>0.4601841095890411</v>
      </c>
      <c r="W1604" s="46">
        <f t="shared" si="148"/>
        <v>-4.745685657410386E-2</v>
      </c>
      <c r="X1604" s="33">
        <f t="shared" si="145"/>
        <v>2.7350299083233859E-2</v>
      </c>
    </row>
    <row r="1605" spans="19:24" x14ac:dyDescent="0.25">
      <c r="S1605" s="44">
        <f t="shared" si="146"/>
        <v>44655</v>
      </c>
      <c r="T1605" s="12">
        <f t="shared" si="147"/>
        <v>4.7430085751088438</v>
      </c>
      <c r="U1605" s="12">
        <f t="shared" ref="U1605:U1668" si="149">DurMod($S1605,$B$2,$F$7:$G$37,U$3)</f>
        <v>4.6051450194801715</v>
      </c>
      <c r="V1605" s="30">
        <f t="shared" ref="V1605:V1668" si="150">+$U$3*($S$5512-S1605)/365+$T$3*(S1605-$S$4)/365</f>
        <v>0.46015671232876709</v>
      </c>
      <c r="W1605" s="46">
        <f t="shared" si="148"/>
        <v>-4.7430085751088431E-2</v>
      </c>
      <c r="X1605" s="33">
        <f t="shared" ref="X1605:X1668" si="151">+(V1605+W1605)*365/($S$5512-$S$4)</f>
        <v>2.7350257570960917E-2</v>
      </c>
    </row>
    <row r="1606" spans="19:24" x14ac:dyDescent="0.25">
      <c r="S1606" s="44">
        <f t="shared" si="146"/>
        <v>44656</v>
      </c>
      <c r="T1606" s="12">
        <f t="shared" si="147"/>
        <v>4.7403314928073046</v>
      </c>
      <c r="U1606" s="12">
        <f t="shared" si="149"/>
        <v>4.6024938427553828</v>
      </c>
      <c r="V1606" s="30">
        <f t="shared" si="150"/>
        <v>0.46012931506849308</v>
      </c>
      <c r="W1606" s="46">
        <f t="shared" si="148"/>
        <v>-4.7403314928073037E-2</v>
      </c>
      <c r="X1606" s="33">
        <f t="shared" si="151"/>
        <v>2.7350216058687968E-2</v>
      </c>
    </row>
    <row r="1607" spans="19:24" x14ac:dyDescent="0.25">
      <c r="S1607" s="44">
        <f t="shared" si="146"/>
        <v>44657</v>
      </c>
      <c r="T1607" s="12">
        <f t="shared" si="147"/>
        <v>4.7376544105057636</v>
      </c>
      <c r="U1607" s="12">
        <f t="shared" si="149"/>
        <v>4.599842666030594</v>
      </c>
      <c r="V1607" s="30">
        <f t="shared" si="150"/>
        <v>0.46010191780821919</v>
      </c>
      <c r="W1607" s="46">
        <f t="shared" si="148"/>
        <v>-4.7376544105057629E-2</v>
      </c>
      <c r="X1607" s="33">
        <f t="shared" si="151"/>
        <v>2.7350174546415026E-2</v>
      </c>
    </row>
    <row r="1608" spans="19:24" x14ac:dyDescent="0.25">
      <c r="S1608" s="44">
        <f t="shared" si="146"/>
        <v>44658</v>
      </c>
      <c r="T1608" s="12">
        <f t="shared" si="147"/>
        <v>4.7349773282042209</v>
      </c>
      <c r="U1608" s="12">
        <f t="shared" si="149"/>
        <v>4.5971914893058052</v>
      </c>
      <c r="V1608" s="30">
        <f t="shared" si="150"/>
        <v>0.46007452054794518</v>
      </c>
      <c r="W1608" s="46">
        <f t="shared" si="148"/>
        <v>-4.73497732820422E-2</v>
      </c>
      <c r="X1608" s="33">
        <f t="shared" si="151"/>
        <v>2.735013303414208E-2</v>
      </c>
    </row>
    <row r="1609" spans="19:24" x14ac:dyDescent="0.25">
      <c r="S1609" s="44">
        <f t="shared" si="146"/>
        <v>44659</v>
      </c>
      <c r="T1609" s="12">
        <f t="shared" si="147"/>
        <v>4.7323002459026826</v>
      </c>
      <c r="U1609" s="12">
        <f t="shared" si="149"/>
        <v>4.5945403125810156</v>
      </c>
      <c r="V1609" s="30">
        <f t="shared" si="150"/>
        <v>0.46004712328767122</v>
      </c>
      <c r="W1609" s="46">
        <f t="shared" si="148"/>
        <v>-4.7323002459026819E-2</v>
      </c>
      <c r="X1609" s="33">
        <f t="shared" si="151"/>
        <v>2.7350091521869138E-2</v>
      </c>
    </row>
    <row r="1610" spans="19:24" x14ac:dyDescent="0.25">
      <c r="S1610" s="44">
        <f t="shared" si="146"/>
        <v>44660</v>
      </c>
      <c r="T1610" s="12">
        <f t="shared" si="147"/>
        <v>4.7296231636011399</v>
      </c>
      <c r="U1610" s="12">
        <f t="shared" si="149"/>
        <v>4.5918891358562259</v>
      </c>
      <c r="V1610" s="30">
        <f t="shared" si="150"/>
        <v>0.46001972602739721</v>
      </c>
      <c r="W1610" s="46">
        <f t="shared" si="148"/>
        <v>-4.729623163601139E-2</v>
      </c>
      <c r="X1610" s="33">
        <f t="shared" si="151"/>
        <v>2.7350050009596196E-2</v>
      </c>
    </row>
    <row r="1611" spans="19:24" x14ac:dyDescent="0.25">
      <c r="S1611" s="44">
        <f t="shared" si="146"/>
        <v>44661</v>
      </c>
      <c r="T1611" s="12">
        <f t="shared" si="147"/>
        <v>4.7269460812995971</v>
      </c>
      <c r="U1611" s="12">
        <f t="shared" si="149"/>
        <v>4.5892379591314372</v>
      </c>
      <c r="V1611" s="30">
        <f t="shared" si="150"/>
        <v>0.45999232876712326</v>
      </c>
      <c r="W1611" s="46">
        <f t="shared" si="148"/>
        <v>-4.7269460812995961E-2</v>
      </c>
      <c r="X1611" s="33">
        <f t="shared" si="151"/>
        <v>2.7350008497323247E-2</v>
      </c>
    </row>
    <row r="1612" spans="19:24" x14ac:dyDescent="0.25">
      <c r="S1612" s="44">
        <f t="shared" si="146"/>
        <v>44662</v>
      </c>
      <c r="T1612" s="12">
        <f t="shared" si="147"/>
        <v>4.7242689989980571</v>
      </c>
      <c r="U1612" s="12">
        <f t="shared" si="149"/>
        <v>4.5865867824066484</v>
      </c>
      <c r="V1612" s="30">
        <f t="shared" si="150"/>
        <v>0.45996493150684931</v>
      </c>
      <c r="W1612" s="46">
        <f t="shared" si="148"/>
        <v>-4.724268998998056E-2</v>
      </c>
      <c r="X1612" s="33">
        <f t="shared" si="151"/>
        <v>2.7349966985050305E-2</v>
      </c>
    </row>
    <row r="1613" spans="19:24" x14ac:dyDescent="0.25">
      <c r="S1613" s="44">
        <f t="shared" si="146"/>
        <v>44663</v>
      </c>
      <c r="T1613" s="12">
        <f t="shared" si="147"/>
        <v>4.721591916696517</v>
      </c>
      <c r="U1613" s="12">
        <f t="shared" si="149"/>
        <v>4.5839356056818579</v>
      </c>
      <c r="V1613" s="30">
        <f t="shared" si="150"/>
        <v>0.45993753424657535</v>
      </c>
      <c r="W1613" s="46">
        <f t="shared" si="148"/>
        <v>-4.7215919166965166E-2</v>
      </c>
      <c r="X1613" s="33">
        <f t="shared" si="151"/>
        <v>2.7349925472777363E-2</v>
      </c>
    </row>
    <row r="1614" spans="19:24" x14ac:dyDescent="0.25">
      <c r="S1614" s="44">
        <f t="shared" si="146"/>
        <v>44664</v>
      </c>
      <c r="T1614" s="12">
        <f t="shared" si="147"/>
        <v>4.7189148343949743</v>
      </c>
      <c r="U1614" s="12">
        <f t="shared" si="149"/>
        <v>4.5812844289570691</v>
      </c>
      <c r="V1614" s="30">
        <f t="shared" si="150"/>
        <v>0.45991013698630134</v>
      </c>
      <c r="W1614" s="46">
        <f t="shared" si="148"/>
        <v>-4.7189148343949737E-2</v>
      </c>
      <c r="X1614" s="33">
        <f t="shared" si="151"/>
        <v>2.7349883960504418E-2</v>
      </c>
    </row>
    <row r="1615" spans="19:24" x14ac:dyDescent="0.25">
      <c r="S1615" s="44">
        <f t="shared" si="146"/>
        <v>44665</v>
      </c>
      <c r="T1615" s="12">
        <f t="shared" si="147"/>
        <v>4.7162377520934324</v>
      </c>
      <c r="U1615" s="12">
        <f t="shared" si="149"/>
        <v>4.5786332522322803</v>
      </c>
      <c r="V1615" s="30">
        <f t="shared" si="150"/>
        <v>0.45988273972602733</v>
      </c>
      <c r="W1615" s="46">
        <f t="shared" si="148"/>
        <v>-4.7162377520934315E-2</v>
      </c>
      <c r="X1615" s="33">
        <f t="shared" si="151"/>
        <v>2.7349842448231469E-2</v>
      </c>
    </row>
    <row r="1616" spans="19:24" x14ac:dyDescent="0.25">
      <c r="S1616" s="44">
        <f t="shared" si="146"/>
        <v>44666</v>
      </c>
      <c r="T1616" s="12">
        <f t="shared" si="147"/>
        <v>4.7135606697918924</v>
      </c>
      <c r="U1616" s="12">
        <f t="shared" si="149"/>
        <v>4.5759820755074925</v>
      </c>
      <c r="V1616" s="30">
        <f t="shared" si="150"/>
        <v>0.45985534246575344</v>
      </c>
      <c r="W1616" s="46">
        <f t="shared" si="148"/>
        <v>-4.7135606697918914E-2</v>
      </c>
      <c r="X1616" s="33">
        <f t="shared" si="151"/>
        <v>2.7349800935958533E-2</v>
      </c>
    </row>
    <row r="1617" spans="19:24" x14ac:dyDescent="0.25">
      <c r="S1617" s="44">
        <f t="shared" si="146"/>
        <v>44667</v>
      </c>
      <c r="T1617" s="12">
        <f t="shared" si="147"/>
        <v>4.7108835874903523</v>
      </c>
      <c r="U1617" s="12">
        <f t="shared" si="149"/>
        <v>4.573330898782701</v>
      </c>
      <c r="V1617" s="30">
        <f t="shared" si="150"/>
        <v>0.45982794520547943</v>
      </c>
      <c r="W1617" s="46">
        <f t="shared" si="148"/>
        <v>-4.7108835874903512E-2</v>
      </c>
      <c r="X1617" s="33">
        <f t="shared" si="151"/>
        <v>2.7349759423685584E-2</v>
      </c>
    </row>
    <row r="1618" spans="19:24" x14ac:dyDescent="0.25">
      <c r="S1618" s="44">
        <f t="shared" si="146"/>
        <v>44668</v>
      </c>
      <c r="T1618" s="12">
        <f t="shared" si="147"/>
        <v>4.7082065051888087</v>
      </c>
      <c r="U1618" s="12">
        <f t="shared" si="149"/>
        <v>4.5706797220579123</v>
      </c>
      <c r="V1618" s="30">
        <f t="shared" si="150"/>
        <v>0.45980054794520542</v>
      </c>
      <c r="W1618" s="46">
        <f t="shared" si="148"/>
        <v>-4.7082065051888077E-2</v>
      </c>
      <c r="X1618" s="33">
        <f t="shared" si="151"/>
        <v>2.7349717911412646E-2</v>
      </c>
    </row>
    <row r="1619" spans="19:24" x14ac:dyDescent="0.25">
      <c r="S1619" s="44">
        <f t="shared" si="146"/>
        <v>44669</v>
      </c>
      <c r="T1619" s="12">
        <f t="shared" si="147"/>
        <v>4.7055294228872677</v>
      </c>
      <c r="U1619" s="12">
        <f t="shared" si="149"/>
        <v>4.5680285453331226</v>
      </c>
      <c r="V1619" s="30">
        <f t="shared" si="150"/>
        <v>0.45977315068493146</v>
      </c>
      <c r="W1619" s="46">
        <f t="shared" si="148"/>
        <v>-4.7055294228872668E-2</v>
      </c>
      <c r="X1619" s="33">
        <f t="shared" si="151"/>
        <v>2.7349676399139697E-2</v>
      </c>
    </row>
    <row r="1620" spans="19:24" x14ac:dyDescent="0.25">
      <c r="S1620" s="44">
        <f t="shared" si="146"/>
        <v>44670</v>
      </c>
      <c r="T1620" s="12">
        <f t="shared" si="147"/>
        <v>4.7028523405857268</v>
      </c>
      <c r="U1620" s="12">
        <f t="shared" si="149"/>
        <v>4.5653773686083348</v>
      </c>
      <c r="V1620" s="30">
        <f t="shared" si="150"/>
        <v>0.45974575342465751</v>
      </c>
      <c r="W1620" s="46">
        <f t="shared" si="148"/>
        <v>-4.702852340585726E-2</v>
      </c>
      <c r="X1620" s="33">
        <f t="shared" si="151"/>
        <v>2.7349634886866755E-2</v>
      </c>
    </row>
    <row r="1621" spans="19:24" x14ac:dyDescent="0.25">
      <c r="S1621" s="44">
        <f t="shared" si="146"/>
        <v>44671</v>
      </c>
      <c r="T1621" s="12">
        <f t="shared" si="147"/>
        <v>4.7001752582841867</v>
      </c>
      <c r="U1621" s="12">
        <f t="shared" si="149"/>
        <v>4.5627261918835433</v>
      </c>
      <c r="V1621" s="30">
        <f t="shared" si="150"/>
        <v>0.45971835616438356</v>
      </c>
      <c r="W1621" s="46">
        <f t="shared" si="148"/>
        <v>-4.7001752582841859E-2</v>
      </c>
      <c r="X1621" s="33">
        <f t="shared" si="151"/>
        <v>2.7349593374593813E-2</v>
      </c>
    </row>
    <row r="1622" spans="19:24" x14ac:dyDescent="0.25">
      <c r="S1622" s="44">
        <f t="shared" si="146"/>
        <v>44672</v>
      </c>
      <c r="T1622" s="12">
        <f t="shared" si="147"/>
        <v>4.6974981759826449</v>
      </c>
      <c r="U1622" s="12">
        <f t="shared" si="149"/>
        <v>4.5600750151587555</v>
      </c>
      <c r="V1622" s="30">
        <f t="shared" si="150"/>
        <v>0.45969095890410955</v>
      </c>
      <c r="W1622" s="46">
        <f t="shared" si="148"/>
        <v>-4.6974981759826444E-2</v>
      </c>
      <c r="X1622" s="33">
        <f t="shared" si="151"/>
        <v>2.7349551862320867E-2</v>
      </c>
    </row>
    <row r="1623" spans="19:24" x14ac:dyDescent="0.25">
      <c r="S1623" s="44">
        <f t="shared" si="146"/>
        <v>44673</v>
      </c>
      <c r="T1623" s="12">
        <f t="shared" si="147"/>
        <v>4.6948210936811039</v>
      </c>
      <c r="U1623" s="12">
        <f t="shared" si="149"/>
        <v>4.5574238384339676</v>
      </c>
      <c r="V1623" s="30">
        <f t="shared" si="150"/>
        <v>0.45966356164383559</v>
      </c>
      <c r="W1623" s="46">
        <f t="shared" si="148"/>
        <v>-4.6948210936811029E-2</v>
      </c>
      <c r="X1623" s="33">
        <f t="shared" si="151"/>
        <v>2.7349510350047925E-2</v>
      </c>
    </row>
    <row r="1624" spans="19:24" x14ac:dyDescent="0.25">
      <c r="S1624" s="44">
        <f t="shared" si="146"/>
        <v>44674</v>
      </c>
      <c r="T1624" s="12">
        <f t="shared" si="147"/>
        <v>4.6921440113795621</v>
      </c>
      <c r="U1624" s="12">
        <f t="shared" si="149"/>
        <v>4.5547726617091762</v>
      </c>
      <c r="V1624" s="30">
        <f t="shared" si="150"/>
        <v>0.45963616438356159</v>
      </c>
      <c r="W1624" s="46">
        <f t="shared" si="148"/>
        <v>-4.6921440113795614E-2</v>
      </c>
      <c r="X1624" s="33">
        <f t="shared" si="151"/>
        <v>2.7349468837774976E-2</v>
      </c>
    </row>
    <row r="1625" spans="19:24" x14ac:dyDescent="0.25">
      <c r="S1625" s="44">
        <f t="shared" si="146"/>
        <v>44675</v>
      </c>
      <c r="T1625" s="12">
        <f t="shared" si="147"/>
        <v>4.6894669290780211</v>
      </c>
      <c r="U1625" s="12">
        <f t="shared" si="149"/>
        <v>4.5521214849843874</v>
      </c>
      <c r="V1625" s="30">
        <f t="shared" si="150"/>
        <v>0.45960876712328769</v>
      </c>
      <c r="W1625" s="46">
        <f t="shared" si="148"/>
        <v>-4.6894669290780205E-2</v>
      </c>
      <c r="X1625" s="33">
        <f t="shared" si="151"/>
        <v>2.7349427325502034E-2</v>
      </c>
    </row>
    <row r="1626" spans="19:24" x14ac:dyDescent="0.25">
      <c r="S1626" s="44">
        <f t="shared" si="146"/>
        <v>44676</v>
      </c>
      <c r="T1626" s="12">
        <f t="shared" si="147"/>
        <v>4.6867898467764793</v>
      </c>
      <c r="U1626" s="12">
        <f t="shared" si="149"/>
        <v>4.5494703082595978</v>
      </c>
      <c r="V1626" s="30">
        <f t="shared" si="150"/>
        <v>0.45958136986301368</v>
      </c>
      <c r="W1626" s="46">
        <f t="shared" si="148"/>
        <v>-4.6867898467764783E-2</v>
      </c>
      <c r="X1626" s="33">
        <f t="shared" si="151"/>
        <v>2.7349385813229092E-2</v>
      </c>
    </row>
    <row r="1627" spans="19:24" x14ac:dyDescent="0.25">
      <c r="S1627" s="44">
        <f t="shared" si="146"/>
        <v>44677</v>
      </c>
      <c r="T1627" s="12">
        <f t="shared" si="147"/>
        <v>4.6841127644749374</v>
      </c>
      <c r="U1627" s="12">
        <f t="shared" si="149"/>
        <v>4.5468191315348081</v>
      </c>
      <c r="V1627" s="30">
        <f t="shared" si="150"/>
        <v>0.45955397260273967</v>
      </c>
      <c r="W1627" s="46">
        <f t="shared" si="148"/>
        <v>-4.6841127644749368E-2</v>
      </c>
      <c r="X1627" s="33">
        <f t="shared" si="151"/>
        <v>2.734934430095615E-2</v>
      </c>
    </row>
    <row r="1628" spans="19:24" x14ac:dyDescent="0.25">
      <c r="S1628" s="44">
        <f t="shared" si="146"/>
        <v>44678</v>
      </c>
      <c r="T1628" s="12">
        <f t="shared" si="147"/>
        <v>4.6814356821733973</v>
      </c>
      <c r="U1628" s="12">
        <f t="shared" si="149"/>
        <v>4.5441679548100193</v>
      </c>
      <c r="V1628" s="30">
        <f t="shared" si="150"/>
        <v>0.45952657534246572</v>
      </c>
      <c r="W1628" s="46">
        <f t="shared" si="148"/>
        <v>-4.6814356821733967E-2</v>
      </c>
      <c r="X1628" s="33">
        <f t="shared" si="151"/>
        <v>2.7349302788683204E-2</v>
      </c>
    </row>
    <row r="1629" spans="19:24" x14ac:dyDescent="0.25">
      <c r="S1629" s="44">
        <f t="shared" si="146"/>
        <v>44679</v>
      </c>
      <c r="T1629" s="12">
        <f t="shared" si="147"/>
        <v>4.6787585998718546</v>
      </c>
      <c r="U1629" s="12">
        <f t="shared" si="149"/>
        <v>4.5415167780852297</v>
      </c>
      <c r="V1629" s="30">
        <f t="shared" si="150"/>
        <v>0.45949917808219176</v>
      </c>
      <c r="W1629" s="46">
        <f t="shared" si="148"/>
        <v>-4.6787585998718538E-2</v>
      </c>
      <c r="X1629" s="33">
        <f t="shared" si="151"/>
        <v>2.7349261276410262E-2</v>
      </c>
    </row>
    <row r="1630" spans="19:24" x14ac:dyDescent="0.25">
      <c r="S1630" s="44">
        <f t="shared" si="146"/>
        <v>44680</v>
      </c>
      <c r="T1630" s="12">
        <f t="shared" si="147"/>
        <v>4.6760815175703154</v>
      </c>
      <c r="U1630" s="12">
        <f t="shared" si="149"/>
        <v>4.53886560136044</v>
      </c>
      <c r="V1630" s="30">
        <f t="shared" si="150"/>
        <v>0.45947178082191775</v>
      </c>
      <c r="W1630" s="46">
        <f t="shared" si="148"/>
        <v>-4.6760815175703144E-2</v>
      </c>
      <c r="X1630" s="33">
        <f t="shared" si="151"/>
        <v>2.7349219764137313E-2</v>
      </c>
    </row>
    <row r="1631" spans="19:24" x14ac:dyDescent="0.25">
      <c r="S1631" s="44">
        <f t="shared" si="146"/>
        <v>44681</v>
      </c>
      <c r="T1631" s="12">
        <f t="shared" si="147"/>
        <v>4.6734044352687745</v>
      </c>
      <c r="U1631" s="12">
        <f t="shared" si="149"/>
        <v>4.5362144246356513</v>
      </c>
      <c r="V1631" s="30">
        <f t="shared" si="150"/>
        <v>0.4594443835616438</v>
      </c>
      <c r="W1631" s="46">
        <f t="shared" si="148"/>
        <v>-4.6734044352687736E-2</v>
      </c>
      <c r="X1631" s="33">
        <f t="shared" si="151"/>
        <v>2.7349178251864371E-2</v>
      </c>
    </row>
    <row r="1632" spans="19:24" x14ac:dyDescent="0.25">
      <c r="S1632" s="44">
        <f t="shared" si="146"/>
        <v>44682</v>
      </c>
      <c r="T1632" s="12">
        <f t="shared" si="147"/>
        <v>4.6707273529672335</v>
      </c>
      <c r="U1632" s="12">
        <f t="shared" si="149"/>
        <v>4.5335632479108616</v>
      </c>
      <c r="V1632" s="30">
        <f t="shared" si="150"/>
        <v>0.45941698630136979</v>
      </c>
      <c r="W1632" s="46">
        <f t="shared" si="148"/>
        <v>-4.6707273529672327E-2</v>
      </c>
      <c r="X1632" s="33">
        <f t="shared" si="151"/>
        <v>2.7349136739591426E-2</v>
      </c>
    </row>
    <row r="1633" spans="19:24" x14ac:dyDescent="0.25">
      <c r="S1633" s="44">
        <f t="shared" si="146"/>
        <v>44683</v>
      </c>
      <c r="T1633" s="12">
        <f t="shared" si="147"/>
        <v>4.6680502706656926</v>
      </c>
      <c r="U1633" s="12">
        <f t="shared" si="149"/>
        <v>4.530912071186072</v>
      </c>
      <c r="V1633" s="30">
        <f t="shared" si="150"/>
        <v>0.45938958904109584</v>
      </c>
      <c r="W1633" s="46">
        <f t="shared" si="148"/>
        <v>-4.6680502706656919E-2</v>
      </c>
      <c r="X1633" s="33">
        <f t="shared" si="151"/>
        <v>2.7349095227318484E-2</v>
      </c>
    </row>
    <row r="1634" spans="19:24" x14ac:dyDescent="0.25">
      <c r="S1634" s="44">
        <f t="shared" si="146"/>
        <v>44684</v>
      </c>
      <c r="T1634" s="12">
        <f t="shared" si="147"/>
        <v>4.6653731883641507</v>
      </c>
      <c r="U1634" s="12">
        <f t="shared" si="149"/>
        <v>4.5282608944612841</v>
      </c>
      <c r="V1634" s="30">
        <f t="shared" si="150"/>
        <v>0.45936219178082188</v>
      </c>
      <c r="W1634" s="46">
        <f t="shared" si="148"/>
        <v>-4.6653731883641497E-2</v>
      </c>
      <c r="X1634" s="33">
        <f t="shared" si="151"/>
        <v>2.7349053715045542E-2</v>
      </c>
    </row>
    <row r="1635" spans="19:24" x14ac:dyDescent="0.25">
      <c r="S1635" s="44">
        <f t="shared" si="146"/>
        <v>44685</v>
      </c>
      <c r="T1635" s="12">
        <f t="shared" si="147"/>
        <v>4.6626961060626089</v>
      </c>
      <c r="U1635" s="12">
        <f t="shared" si="149"/>
        <v>4.5256097177364936</v>
      </c>
      <c r="V1635" s="30">
        <f t="shared" si="150"/>
        <v>0.45933479452054793</v>
      </c>
      <c r="W1635" s="46">
        <f t="shared" si="148"/>
        <v>-4.6626961060626082E-2</v>
      </c>
      <c r="X1635" s="33">
        <f t="shared" si="151"/>
        <v>2.73490122027726E-2</v>
      </c>
    </row>
    <row r="1636" spans="19:24" x14ac:dyDescent="0.25">
      <c r="S1636" s="44">
        <f t="shared" si="146"/>
        <v>44686</v>
      </c>
      <c r="T1636" s="12">
        <f t="shared" si="147"/>
        <v>4.660019023761067</v>
      </c>
      <c r="U1636" s="12">
        <f t="shared" si="149"/>
        <v>4.5229585410117039</v>
      </c>
      <c r="V1636" s="30">
        <f t="shared" si="150"/>
        <v>0.45930739726027392</v>
      </c>
      <c r="W1636" s="46">
        <f t="shared" si="148"/>
        <v>-4.660019023761066E-2</v>
      </c>
      <c r="X1636" s="33">
        <f t="shared" si="151"/>
        <v>2.7348970690499651E-2</v>
      </c>
    </row>
    <row r="1637" spans="19:24" x14ac:dyDescent="0.25">
      <c r="S1637" s="44">
        <f t="shared" si="146"/>
        <v>44687</v>
      </c>
      <c r="T1637" s="12">
        <f t="shared" si="147"/>
        <v>4.657341941459527</v>
      </c>
      <c r="U1637" s="12">
        <f t="shared" si="149"/>
        <v>4.5203073642869152</v>
      </c>
      <c r="V1637" s="30">
        <f t="shared" si="150"/>
        <v>0.45927999999999991</v>
      </c>
      <c r="W1637" s="46">
        <f t="shared" si="148"/>
        <v>-4.6573419414595266E-2</v>
      </c>
      <c r="X1637" s="33">
        <f t="shared" si="151"/>
        <v>2.7348929178226705E-2</v>
      </c>
    </row>
    <row r="1638" spans="19:24" x14ac:dyDescent="0.25">
      <c r="S1638" s="44">
        <f t="shared" si="146"/>
        <v>44688</v>
      </c>
      <c r="T1638" s="12">
        <f t="shared" si="147"/>
        <v>4.6546648591579851</v>
      </c>
      <c r="U1638" s="12">
        <f t="shared" si="149"/>
        <v>4.5176561875621273</v>
      </c>
      <c r="V1638" s="30">
        <f t="shared" si="150"/>
        <v>0.45925260273972601</v>
      </c>
      <c r="W1638" s="46">
        <f t="shared" si="148"/>
        <v>-4.6546648591579844E-2</v>
      </c>
      <c r="X1638" s="33">
        <f t="shared" si="151"/>
        <v>2.734888766595377E-2</v>
      </c>
    </row>
    <row r="1639" spans="19:24" x14ac:dyDescent="0.25">
      <c r="S1639" s="44">
        <f t="shared" ref="S1639:S1697" si="152">+S1638+1</f>
        <v>44689</v>
      </c>
      <c r="T1639" s="12">
        <f t="shared" ref="T1639:T1697" si="153">DurMod(S1639,B$2,$F$7:$G$37,$T$3)</f>
        <v>4.6519877768564459</v>
      </c>
      <c r="U1639" s="12">
        <f t="shared" si="149"/>
        <v>4.5150050108373376</v>
      </c>
      <c r="V1639" s="30">
        <f t="shared" si="150"/>
        <v>0.45922520547945206</v>
      </c>
      <c r="W1639" s="46">
        <f t="shared" ref="W1639:W1697" si="154">+-T1639*($U$3-$T$3)</f>
        <v>-4.6519877768564449E-2</v>
      </c>
      <c r="X1639" s="33">
        <f t="shared" si="151"/>
        <v>2.7348846153680828E-2</v>
      </c>
    </row>
    <row r="1640" spans="19:24" x14ac:dyDescent="0.25">
      <c r="S1640" s="44">
        <f t="shared" si="152"/>
        <v>44690</v>
      </c>
      <c r="T1640" s="12">
        <f t="shared" si="153"/>
        <v>4.6493106945549032</v>
      </c>
      <c r="U1640" s="12">
        <f t="shared" si="149"/>
        <v>4.5123538341125471</v>
      </c>
      <c r="V1640" s="30">
        <f t="shared" si="150"/>
        <v>0.45919780821917811</v>
      </c>
      <c r="W1640" s="46">
        <f t="shared" si="154"/>
        <v>-4.6493106945549027E-2</v>
      </c>
      <c r="X1640" s="33">
        <f t="shared" si="151"/>
        <v>2.7348804641407879E-2</v>
      </c>
    </row>
    <row r="1641" spans="19:24" x14ac:dyDescent="0.25">
      <c r="S1641" s="44">
        <f t="shared" si="152"/>
        <v>44691</v>
      </c>
      <c r="T1641" s="12">
        <f t="shared" si="153"/>
        <v>4.6466336122533622</v>
      </c>
      <c r="U1641" s="12">
        <f t="shared" si="149"/>
        <v>4.5097026573877583</v>
      </c>
      <c r="V1641" s="30">
        <f t="shared" si="150"/>
        <v>0.45917041095890415</v>
      </c>
      <c r="W1641" s="46">
        <f t="shared" si="154"/>
        <v>-4.6466336122533612E-2</v>
      </c>
      <c r="X1641" s="33">
        <f t="shared" si="151"/>
        <v>2.7348763129134944E-2</v>
      </c>
    </row>
    <row r="1642" spans="19:24" x14ac:dyDescent="0.25">
      <c r="S1642" s="44">
        <f t="shared" si="152"/>
        <v>44692</v>
      </c>
      <c r="T1642" s="12">
        <f t="shared" si="153"/>
        <v>4.6439565299518213</v>
      </c>
      <c r="U1642" s="12">
        <f t="shared" si="149"/>
        <v>4.5070514806629687</v>
      </c>
      <c r="V1642" s="30">
        <f t="shared" si="150"/>
        <v>0.4591430136986302</v>
      </c>
      <c r="W1642" s="46">
        <f t="shared" si="154"/>
        <v>-4.6439565299518204E-2</v>
      </c>
      <c r="X1642" s="33">
        <f t="shared" si="151"/>
        <v>2.7348721616861995E-2</v>
      </c>
    </row>
    <row r="1643" spans="19:24" x14ac:dyDescent="0.25">
      <c r="S1643" s="44">
        <f t="shared" si="152"/>
        <v>44693</v>
      </c>
      <c r="T1643" s="12">
        <f t="shared" si="153"/>
        <v>4.6412794476502794</v>
      </c>
      <c r="U1643" s="12">
        <f t="shared" si="149"/>
        <v>4.504400303938179</v>
      </c>
      <c r="V1643" s="30">
        <f t="shared" si="150"/>
        <v>0.45911561643835619</v>
      </c>
      <c r="W1643" s="46">
        <f t="shared" si="154"/>
        <v>-4.6412794476502789E-2</v>
      </c>
      <c r="X1643" s="33">
        <f t="shared" si="151"/>
        <v>2.7348680104589049E-2</v>
      </c>
    </row>
    <row r="1644" spans="19:24" x14ac:dyDescent="0.25">
      <c r="S1644" s="44">
        <f t="shared" si="152"/>
        <v>44694</v>
      </c>
      <c r="T1644" s="12">
        <f t="shared" si="153"/>
        <v>4.6386023653487385</v>
      </c>
      <c r="U1644" s="12">
        <f t="shared" si="149"/>
        <v>4.5017491272133903</v>
      </c>
      <c r="V1644" s="30">
        <f t="shared" si="150"/>
        <v>0.45908821917808218</v>
      </c>
      <c r="W1644" s="46">
        <f t="shared" si="154"/>
        <v>-4.6386023653487381E-2</v>
      </c>
      <c r="X1644" s="33">
        <f t="shared" si="151"/>
        <v>2.7348638592316107E-2</v>
      </c>
    </row>
    <row r="1645" spans="19:24" x14ac:dyDescent="0.25">
      <c r="S1645" s="44">
        <f t="shared" si="152"/>
        <v>44695</v>
      </c>
      <c r="T1645" s="12">
        <f t="shared" si="153"/>
        <v>4.6359252830471966</v>
      </c>
      <c r="U1645" s="12">
        <f t="shared" si="149"/>
        <v>4.4990979504886006</v>
      </c>
      <c r="V1645" s="30">
        <f t="shared" si="150"/>
        <v>0.45906082191780828</v>
      </c>
      <c r="W1645" s="46">
        <f t="shared" si="154"/>
        <v>-4.6359252830471959E-2</v>
      </c>
      <c r="X1645" s="33">
        <f t="shared" si="151"/>
        <v>2.7348597080043169E-2</v>
      </c>
    </row>
    <row r="1646" spans="19:24" x14ac:dyDescent="0.25">
      <c r="S1646" s="44">
        <f t="shared" si="152"/>
        <v>44696</v>
      </c>
      <c r="T1646" s="12">
        <f t="shared" si="153"/>
        <v>4.6332482007456557</v>
      </c>
      <c r="U1646" s="12">
        <f t="shared" si="149"/>
        <v>4.4964467737638119</v>
      </c>
      <c r="V1646" s="30">
        <f t="shared" si="150"/>
        <v>0.45903342465753427</v>
      </c>
      <c r="W1646" s="46">
        <f t="shared" si="154"/>
        <v>-4.633248200745655E-2</v>
      </c>
      <c r="X1646" s="33">
        <f t="shared" si="151"/>
        <v>2.7348555567770223E-2</v>
      </c>
    </row>
    <row r="1647" spans="19:24" x14ac:dyDescent="0.25">
      <c r="S1647" s="44">
        <f t="shared" si="152"/>
        <v>44697</v>
      </c>
      <c r="T1647" s="12">
        <f t="shared" si="153"/>
        <v>4.6305711184441138</v>
      </c>
      <c r="U1647" s="12">
        <f t="shared" si="149"/>
        <v>4.4937955970390222</v>
      </c>
      <c r="V1647" s="30">
        <f t="shared" si="150"/>
        <v>0.45900602739726032</v>
      </c>
      <c r="W1647" s="46">
        <f t="shared" si="154"/>
        <v>-4.6305711184441128E-2</v>
      </c>
      <c r="X1647" s="33">
        <f t="shared" si="151"/>
        <v>2.7348514055497281E-2</v>
      </c>
    </row>
    <row r="1648" spans="19:24" x14ac:dyDescent="0.25">
      <c r="S1648" s="44">
        <f t="shared" si="152"/>
        <v>44698</v>
      </c>
      <c r="T1648" s="12">
        <f t="shared" si="153"/>
        <v>4.6278940361425729</v>
      </c>
      <c r="U1648" s="12">
        <f t="shared" si="149"/>
        <v>4.4911444203142334</v>
      </c>
      <c r="V1648" s="30">
        <f t="shared" si="150"/>
        <v>0.45897863013698631</v>
      </c>
      <c r="W1648" s="46">
        <f t="shared" si="154"/>
        <v>-4.627894036142572E-2</v>
      </c>
      <c r="X1648" s="33">
        <f t="shared" si="151"/>
        <v>2.7348472543224332E-2</v>
      </c>
    </row>
    <row r="1649" spans="19:24" x14ac:dyDescent="0.25">
      <c r="S1649" s="44">
        <f t="shared" si="152"/>
        <v>44699</v>
      </c>
      <c r="T1649" s="12">
        <f t="shared" si="153"/>
        <v>4.6252169538410346</v>
      </c>
      <c r="U1649" s="12">
        <f t="shared" si="149"/>
        <v>4.4884932435894438</v>
      </c>
      <c r="V1649" s="30">
        <f t="shared" si="150"/>
        <v>0.45895123287671236</v>
      </c>
      <c r="W1649" s="46">
        <f t="shared" si="154"/>
        <v>-4.625216953841034E-2</v>
      </c>
      <c r="X1649" s="33">
        <f t="shared" si="151"/>
        <v>2.7348431030951387E-2</v>
      </c>
    </row>
    <row r="1650" spans="19:24" x14ac:dyDescent="0.25">
      <c r="S1650" s="44">
        <f t="shared" si="152"/>
        <v>44700</v>
      </c>
      <c r="T1650" s="12">
        <f t="shared" si="153"/>
        <v>4.6225398715394919</v>
      </c>
      <c r="U1650" s="12">
        <f t="shared" si="149"/>
        <v>4.4858420668646559</v>
      </c>
      <c r="V1650" s="30">
        <f t="shared" si="150"/>
        <v>0.4589238356164384</v>
      </c>
      <c r="W1650" s="46">
        <f t="shared" si="154"/>
        <v>-4.6225398715394911E-2</v>
      </c>
      <c r="X1650" s="33">
        <f t="shared" si="151"/>
        <v>2.7348389518678445E-2</v>
      </c>
    </row>
    <row r="1651" spans="19:24" x14ac:dyDescent="0.25">
      <c r="S1651" s="44">
        <f t="shared" si="152"/>
        <v>44701</v>
      </c>
      <c r="T1651" s="12">
        <f t="shared" si="153"/>
        <v>4.6198627892379491</v>
      </c>
      <c r="U1651" s="12">
        <f t="shared" si="149"/>
        <v>4.4831908901398654</v>
      </c>
      <c r="V1651" s="30">
        <f t="shared" si="150"/>
        <v>0.45889643835616439</v>
      </c>
      <c r="W1651" s="46">
        <f t="shared" si="154"/>
        <v>-4.6198627892379482E-2</v>
      </c>
      <c r="X1651" s="33">
        <f t="shared" si="151"/>
        <v>2.7348348006405496E-2</v>
      </c>
    </row>
    <row r="1652" spans="19:24" x14ac:dyDescent="0.25">
      <c r="S1652" s="44">
        <f t="shared" si="152"/>
        <v>44702</v>
      </c>
      <c r="T1652" s="12">
        <f t="shared" si="153"/>
        <v>4.61718570693641</v>
      </c>
      <c r="U1652" s="12">
        <f t="shared" si="149"/>
        <v>4.4805397134150757</v>
      </c>
      <c r="V1652" s="30">
        <f t="shared" si="150"/>
        <v>0.45886904109589044</v>
      </c>
      <c r="W1652" s="46">
        <f t="shared" si="154"/>
        <v>-4.6171857069364095E-2</v>
      </c>
      <c r="X1652" s="33">
        <f t="shared" si="151"/>
        <v>2.7348306494132554E-2</v>
      </c>
    </row>
    <row r="1653" spans="19:24" x14ac:dyDescent="0.25">
      <c r="S1653" s="44">
        <f t="shared" si="152"/>
        <v>44703</v>
      </c>
      <c r="T1653" s="12">
        <f t="shared" si="153"/>
        <v>4.6145086246348672</v>
      </c>
      <c r="U1653" s="12">
        <f t="shared" si="149"/>
        <v>4.477888536690287</v>
      </c>
      <c r="V1653" s="30">
        <f t="shared" si="150"/>
        <v>0.45884164383561643</v>
      </c>
      <c r="W1653" s="46">
        <f t="shared" si="154"/>
        <v>-4.6145086246348666E-2</v>
      </c>
      <c r="X1653" s="33">
        <f t="shared" si="151"/>
        <v>2.7348264981859612E-2</v>
      </c>
    </row>
    <row r="1654" spans="19:24" x14ac:dyDescent="0.25">
      <c r="S1654" s="44">
        <f t="shared" si="152"/>
        <v>44704</v>
      </c>
      <c r="T1654" s="12">
        <f t="shared" si="153"/>
        <v>4.6118315423333263</v>
      </c>
      <c r="U1654" s="12">
        <f t="shared" si="149"/>
        <v>4.4752373599654982</v>
      </c>
      <c r="V1654" s="30">
        <f t="shared" si="150"/>
        <v>0.45881424657534253</v>
      </c>
      <c r="W1654" s="46">
        <f t="shared" si="154"/>
        <v>-4.6118315423333257E-2</v>
      </c>
      <c r="X1654" s="33">
        <f t="shared" si="151"/>
        <v>2.734822346958667E-2</v>
      </c>
    </row>
    <row r="1655" spans="19:24" x14ac:dyDescent="0.25">
      <c r="S1655" s="44">
        <f t="shared" si="152"/>
        <v>44705</v>
      </c>
      <c r="T1655" s="12">
        <f t="shared" si="153"/>
        <v>4.6091544600317853</v>
      </c>
      <c r="U1655" s="12">
        <f t="shared" si="149"/>
        <v>4.4725861832407086</v>
      </c>
      <c r="V1655" s="30">
        <f t="shared" si="150"/>
        <v>0.45878684931506852</v>
      </c>
      <c r="W1655" s="46">
        <f t="shared" si="154"/>
        <v>-4.6091544600317849E-2</v>
      </c>
      <c r="X1655" s="33">
        <f t="shared" si="151"/>
        <v>2.7348181957313724E-2</v>
      </c>
    </row>
    <row r="1656" spans="19:24" x14ac:dyDescent="0.25">
      <c r="S1656" s="44">
        <f t="shared" si="152"/>
        <v>44706</v>
      </c>
      <c r="T1656" s="12">
        <f t="shared" si="153"/>
        <v>4.6064773777302443</v>
      </c>
      <c r="U1656" s="12">
        <f t="shared" si="149"/>
        <v>4.4699350065159189</v>
      </c>
      <c r="V1656" s="30">
        <f t="shared" si="150"/>
        <v>0.45875945205479451</v>
      </c>
      <c r="W1656" s="46">
        <f t="shared" si="154"/>
        <v>-4.6064773777302434E-2</v>
      </c>
      <c r="X1656" s="33">
        <f t="shared" si="151"/>
        <v>2.7348140445040775E-2</v>
      </c>
    </row>
    <row r="1657" spans="19:24" x14ac:dyDescent="0.25">
      <c r="S1657" s="44">
        <f t="shared" si="152"/>
        <v>44707</v>
      </c>
      <c r="T1657" s="12">
        <f t="shared" si="153"/>
        <v>4.6038002954287016</v>
      </c>
      <c r="U1657" s="12">
        <f t="shared" si="149"/>
        <v>4.4672838297911301</v>
      </c>
      <c r="V1657" s="30">
        <f t="shared" si="150"/>
        <v>0.45873205479452056</v>
      </c>
      <c r="W1657" s="46">
        <f t="shared" si="154"/>
        <v>-4.6038002954287012E-2</v>
      </c>
      <c r="X1657" s="33">
        <f t="shared" si="151"/>
        <v>2.7348098932767836E-2</v>
      </c>
    </row>
    <row r="1658" spans="19:24" x14ac:dyDescent="0.25">
      <c r="S1658" s="44">
        <f t="shared" si="152"/>
        <v>44708</v>
      </c>
      <c r="T1658" s="12">
        <f t="shared" si="153"/>
        <v>4.6011232131271624</v>
      </c>
      <c r="U1658" s="12">
        <f t="shared" si="149"/>
        <v>4.4646326530663387</v>
      </c>
      <c r="V1658" s="30">
        <f t="shared" si="150"/>
        <v>0.45870465753424655</v>
      </c>
      <c r="W1658" s="46">
        <f t="shared" si="154"/>
        <v>-4.6011232131271618E-2</v>
      </c>
      <c r="X1658" s="33">
        <f t="shared" si="151"/>
        <v>2.7348057420494887E-2</v>
      </c>
    </row>
    <row r="1659" spans="19:24" x14ac:dyDescent="0.25">
      <c r="S1659" s="44">
        <f t="shared" si="152"/>
        <v>44709</v>
      </c>
      <c r="T1659" s="12">
        <f t="shared" si="153"/>
        <v>4.5984461308256206</v>
      </c>
      <c r="U1659" s="12">
        <f t="shared" si="149"/>
        <v>4.4619814763415517</v>
      </c>
      <c r="V1659" s="30">
        <f t="shared" si="150"/>
        <v>0.45867726027397265</v>
      </c>
      <c r="W1659" s="46">
        <f t="shared" si="154"/>
        <v>-4.5984461308256196E-2</v>
      </c>
      <c r="X1659" s="33">
        <f t="shared" si="151"/>
        <v>2.7348015908221952E-2</v>
      </c>
    </row>
    <row r="1660" spans="19:24" x14ac:dyDescent="0.25">
      <c r="S1660" s="44">
        <f t="shared" si="152"/>
        <v>44710</v>
      </c>
      <c r="T1660" s="12">
        <f t="shared" si="153"/>
        <v>4.5957690485240779</v>
      </c>
      <c r="U1660" s="12">
        <f t="shared" si="149"/>
        <v>4.4593302996167612</v>
      </c>
      <c r="V1660" s="30">
        <f t="shared" si="150"/>
        <v>0.45864986301369864</v>
      </c>
      <c r="W1660" s="46">
        <f t="shared" si="154"/>
        <v>-4.5957690485240774E-2</v>
      </c>
      <c r="X1660" s="33">
        <f t="shared" si="151"/>
        <v>2.7347974395949003E-2</v>
      </c>
    </row>
    <row r="1661" spans="19:24" x14ac:dyDescent="0.25">
      <c r="S1661" s="44">
        <f t="shared" si="152"/>
        <v>44711</v>
      </c>
      <c r="T1661" s="12">
        <f t="shared" si="153"/>
        <v>4.5930919662225378</v>
      </c>
      <c r="U1661" s="12">
        <f t="shared" si="149"/>
        <v>4.4566791228919724</v>
      </c>
      <c r="V1661" s="30">
        <f t="shared" si="150"/>
        <v>0.45862246575342469</v>
      </c>
      <c r="W1661" s="46">
        <f t="shared" si="154"/>
        <v>-4.5930919662225372E-2</v>
      </c>
      <c r="X1661" s="33">
        <f t="shared" si="151"/>
        <v>2.7347932883676061E-2</v>
      </c>
    </row>
    <row r="1662" spans="19:24" x14ac:dyDescent="0.25">
      <c r="S1662" s="44">
        <f t="shared" si="152"/>
        <v>44712</v>
      </c>
      <c r="T1662" s="12">
        <f t="shared" si="153"/>
        <v>4.5904148839209977</v>
      </c>
      <c r="U1662" s="12">
        <f t="shared" si="149"/>
        <v>4.4540279461671828</v>
      </c>
      <c r="V1662" s="30">
        <f t="shared" si="150"/>
        <v>0.45859506849315068</v>
      </c>
      <c r="W1662" s="46">
        <f t="shared" si="154"/>
        <v>-4.5904148839209971E-2</v>
      </c>
      <c r="X1662" s="33">
        <f t="shared" si="151"/>
        <v>2.7347891371403116E-2</v>
      </c>
    </row>
    <row r="1663" spans="19:24" x14ac:dyDescent="0.25">
      <c r="S1663" s="44">
        <f t="shared" si="152"/>
        <v>44713</v>
      </c>
      <c r="T1663" s="12">
        <f t="shared" si="153"/>
        <v>4.5877378016194568</v>
      </c>
      <c r="U1663" s="12">
        <f t="shared" si="149"/>
        <v>4.4513767694423931</v>
      </c>
      <c r="V1663" s="30">
        <f t="shared" si="150"/>
        <v>0.45856767123287673</v>
      </c>
      <c r="W1663" s="46">
        <f t="shared" si="154"/>
        <v>-4.5877378016194563E-2</v>
      </c>
      <c r="X1663" s="33">
        <f t="shared" si="151"/>
        <v>2.7347849859130174E-2</v>
      </c>
    </row>
    <row r="1664" spans="19:24" x14ac:dyDescent="0.25">
      <c r="S1664" s="44">
        <f t="shared" si="152"/>
        <v>44714</v>
      </c>
      <c r="T1664" s="12">
        <f t="shared" si="153"/>
        <v>4.5850607193179149</v>
      </c>
      <c r="U1664" s="12">
        <f t="shared" si="149"/>
        <v>4.4487255927176044</v>
      </c>
      <c r="V1664" s="30">
        <f t="shared" si="150"/>
        <v>0.45854027397260277</v>
      </c>
      <c r="W1664" s="46">
        <f t="shared" si="154"/>
        <v>-4.5850607193179141E-2</v>
      </c>
      <c r="X1664" s="33">
        <f t="shared" si="151"/>
        <v>2.7347808346857232E-2</v>
      </c>
    </row>
    <row r="1665" spans="19:24" x14ac:dyDescent="0.25">
      <c r="S1665" s="44">
        <f t="shared" si="152"/>
        <v>44715</v>
      </c>
      <c r="T1665" s="12">
        <f t="shared" si="153"/>
        <v>4.5823836370163731</v>
      </c>
      <c r="U1665" s="12">
        <f t="shared" si="149"/>
        <v>4.4460744159928138</v>
      </c>
      <c r="V1665" s="30">
        <f t="shared" si="150"/>
        <v>0.45851287671232877</v>
      </c>
      <c r="W1665" s="46">
        <f t="shared" si="154"/>
        <v>-4.5823836370163726E-2</v>
      </c>
      <c r="X1665" s="33">
        <f t="shared" si="151"/>
        <v>2.7347766834584283E-2</v>
      </c>
    </row>
    <row r="1666" spans="19:24" x14ac:dyDescent="0.25">
      <c r="S1666" s="44">
        <f t="shared" si="152"/>
        <v>44716</v>
      </c>
      <c r="T1666" s="12">
        <f t="shared" si="153"/>
        <v>4.5797065547148321</v>
      </c>
      <c r="U1666" s="12">
        <f t="shared" si="149"/>
        <v>4.443423239268026</v>
      </c>
      <c r="V1666" s="30">
        <f t="shared" si="150"/>
        <v>0.45848547945205476</v>
      </c>
      <c r="W1666" s="46">
        <f t="shared" si="154"/>
        <v>-4.5797065547148318E-2</v>
      </c>
      <c r="X1666" s="33">
        <f t="shared" si="151"/>
        <v>2.7347725322311341E-2</v>
      </c>
    </row>
    <row r="1667" spans="19:24" x14ac:dyDescent="0.25">
      <c r="S1667" s="44">
        <f t="shared" si="152"/>
        <v>44717</v>
      </c>
      <c r="T1667" s="12">
        <f t="shared" si="153"/>
        <v>4.5770294724132921</v>
      </c>
      <c r="U1667" s="12">
        <f t="shared" si="149"/>
        <v>4.4407720625432354</v>
      </c>
      <c r="V1667" s="30">
        <f t="shared" si="150"/>
        <v>0.4584580821917808</v>
      </c>
      <c r="W1667" s="46">
        <f t="shared" si="154"/>
        <v>-4.5770294724132916E-2</v>
      </c>
      <c r="X1667" s="33">
        <f t="shared" si="151"/>
        <v>2.7347683810038395E-2</v>
      </c>
    </row>
    <row r="1668" spans="19:24" x14ac:dyDescent="0.25">
      <c r="S1668" s="44">
        <f t="shared" si="152"/>
        <v>44718</v>
      </c>
      <c r="T1668" s="12">
        <f t="shared" si="153"/>
        <v>4.5743523901117511</v>
      </c>
      <c r="U1668" s="12">
        <f t="shared" si="149"/>
        <v>4.4381208858184467</v>
      </c>
      <c r="V1668" s="30">
        <f t="shared" si="150"/>
        <v>0.45843068493150685</v>
      </c>
      <c r="W1668" s="46">
        <f t="shared" si="154"/>
        <v>-4.5743523901117501E-2</v>
      </c>
      <c r="X1668" s="33">
        <f t="shared" si="151"/>
        <v>2.7347642297765453E-2</v>
      </c>
    </row>
    <row r="1669" spans="19:24" x14ac:dyDescent="0.25">
      <c r="S1669" s="44">
        <f t="shared" si="152"/>
        <v>44719</v>
      </c>
      <c r="T1669" s="12">
        <f t="shared" si="153"/>
        <v>4.5716753078102093</v>
      </c>
      <c r="U1669" s="12">
        <f t="shared" ref="U1669:U1732" si="155">DurMod($S1669,$B$2,$F$7:$G$37,U$3)</f>
        <v>4.4354697090936561</v>
      </c>
      <c r="V1669" s="30">
        <f t="shared" ref="V1669:V1732" si="156">+$U$3*($S$5512-S1669)/365+$T$3*(S1669-$S$4)/365</f>
        <v>0.4584032876712329</v>
      </c>
      <c r="W1669" s="46">
        <f t="shared" si="154"/>
        <v>-4.5716753078102086E-2</v>
      </c>
      <c r="X1669" s="33">
        <f t="shared" ref="X1669:X1732" si="157">+(V1669+W1669)*365/($S$5512-$S$4)</f>
        <v>2.7347600785492511E-2</v>
      </c>
    </row>
    <row r="1670" spans="19:24" x14ac:dyDescent="0.25">
      <c r="S1670" s="44">
        <f t="shared" si="152"/>
        <v>44720</v>
      </c>
      <c r="T1670" s="12">
        <f t="shared" si="153"/>
        <v>4.5689982255086665</v>
      </c>
      <c r="U1670" s="12">
        <f t="shared" si="155"/>
        <v>4.4328185323688674</v>
      </c>
      <c r="V1670" s="30">
        <f t="shared" si="156"/>
        <v>0.45837589041095889</v>
      </c>
      <c r="W1670" s="46">
        <f t="shared" si="154"/>
        <v>-4.5689982255086657E-2</v>
      </c>
      <c r="X1670" s="33">
        <f t="shared" si="157"/>
        <v>2.7347559273219569E-2</v>
      </c>
    </row>
    <row r="1671" spans="19:24" x14ac:dyDescent="0.25">
      <c r="S1671" s="44">
        <f t="shared" si="152"/>
        <v>44721</v>
      </c>
      <c r="T1671" s="12">
        <f t="shared" si="153"/>
        <v>4.5663211432071265</v>
      </c>
      <c r="U1671" s="12">
        <f t="shared" si="155"/>
        <v>4.4301673556440795</v>
      </c>
      <c r="V1671" s="30">
        <f t="shared" si="156"/>
        <v>0.45834849315068493</v>
      </c>
      <c r="W1671" s="46">
        <f t="shared" si="154"/>
        <v>-4.5663211432071256E-2</v>
      </c>
      <c r="X1671" s="33">
        <f t="shared" si="157"/>
        <v>2.734751776094662E-2</v>
      </c>
    </row>
    <row r="1672" spans="19:24" x14ac:dyDescent="0.25">
      <c r="S1672" s="44">
        <f t="shared" si="152"/>
        <v>44722</v>
      </c>
      <c r="T1672" s="12">
        <f t="shared" si="153"/>
        <v>4.5636440609055864</v>
      </c>
      <c r="U1672" s="12">
        <f t="shared" si="155"/>
        <v>4.4275161789192907</v>
      </c>
      <c r="V1672" s="30">
        <f t="shared" si="156"/>
        <v>0.45832109589041098</v>
      </c>
      <c r="W1672" s="46">
        <f t="shared" si="154"/>
        <v>-4.5636440609055855E-2</v>
      </c>
      <c r="X1672" s="33">
        <f t="shared" si="157"/>
        <v>2.7347476248673678E-2</v>
      </c>
    </row>
    <row r="1673" spans="19:24" x14ac:dyDescent="0.25">
      <c r="S1673" s="44">
        <f t="shared" si="152"/>
        <v>44723</v>
      </c>
      <c r="T1673" s="12">
        <f t="shared" si="153"/>
        <v>4.5609669786040445</v>
      </c>
      <c r="U1673" s="12">
        <f t="shared" si="155"/>
        <v>4.4248650021945011</v>
      </c>
      <c r="V1673" s="30">
        <f t="shared" si="156"/>
        <v>0.45829369863013703</v>
      </c>
      <c r="W1673" s="46">
        <f t="shared" si="154"/>
        <v>-4.560966978604044E-2</v>
      </c>
      <c r="X1673" s="33">
        <f t="shared" si="157"/>
        <v>2.7347434736400736E-2</v>
      </c>
    </row>
    <row r="1674" spans="19:24" x14ac:dyDescent="0.25">
      <c r="S1674" s="44">
        <f t="shared" si="152"/>
        <v>44724</v>
      </c>
      <c r="T1674" s="12">
        <f t="shared" si="153"/>
        <v>4.5582898963025018</v>
      </c>
      <c r="U1674" s="12">
        <f t="shared" si="155"/>
        <v>4.4222138254697114</v>
      </c>
      <c r="V1674" s="30">
        <f t="shared" si="156"/>
        <v>0.45826630136986302</v>
      </c>
      <c r="W1674" s="46">
        <f t="shared" si="154"/>
        <v>-4.5582898963025011E-2</v>
      </c>
      <c r="X1674" s="33">
        <f t="shared" si="157"/>
        <v>2.734739322412779E-2</v>
      </c>
    </row>
    <row r="1675" spans="19:24" x14ac:dyDescent="0.25">
      <c r="S1675" s="44">
        <f t="shared" si="152"/>
        <v>44725</v>
      </c>
      <c r="T1675" s="12">
        <f t="shared" si="153"/>
        <v>4.5556128140009617</v>
      </c>
      <c r="U1675" s="12">
        <f t="shared" si="155"/>
        <v>4.4195626487449218</v>
      </c>
      <c r="V1675" s="30">
        <f t="shared" si="156"/>
        <v>0.45823890410958901</v>
      </c>
      <c r="W1675" s="46">
        <f t="shared" si="154"/>
        <v>-4.5556128140009609E-2</v>
      </c>
      <c r="X1675" s="33">
        <f t="shared" si="157"/>
        <v>2.7347351711854841E-2</v>
      </c>
    </row>
    <row r="1676" spans="19:24" x14ac:dyDescent="0.25">
      <c r="S1676" s="44">
        <f t="shared" si="152"/>
        <v>44726</v>
      </c>
      <c r="T1676" s="12">
        <f t="shared" si="153"/>
        <v>4.5529357316994208</v>
      </c>
      <c r="U1676" s="12">
        <f t="shared" si="155"/>
        <v>4.4169114720201339</v>
      </c>
      <c r="V1676" s="30">
        <f t="shared" si="156"/>
        <v>0.45821150684931505</v>
      </c>
      <c r="W1676" s="46">
        <f t="shared" si="154"/>
        <v>-4.5529357316994201E-2</v>
      </c>
      <c r="X1676" s="33">
        <f t="shared" si="157"/>
        <v>2.7347310199581899E-2</v>
      </c>
    </row>
    <row r="1677" spans="19:24" x14ac:dyDescent="0.25">
      <c r="S1677" s="44">
        <f t="shared" si="152"/>
        <v>44727</v>
      </c>
      <c r="T1677" s="12">
        <f t="shared" si="153"/>
        <v>4.8434085556745288</v>
      </c>
      <c r="U1677" s="12">
        <f t="shared" si="155"/>
        <v>4.7125654246198252</v>
      </c>
      <c r="V1677" s="30">
        <f t="shared" si="156"/>
        <v>0.4581841095890411</v>
      </c>
      <c r="W1677" s="46">
        <f t="shared" si="154"/>
        <v>-4.8434085556745284E-2</v>
      </c>
      <c r="X1677" s="33">
        <f t="shared" si="157"/>
        <v>2.7153006312960779E-2</v>
      </c>
    </row>
    <row r="1678" spans="19:24" x14ac:dyDescent="0.25">
      <c r="S1678" s="44">
        <f t="shared" si="152"/>
        <v>44728</v>
      </c>
      <c r="T1678" s="12">
        <f t="shared" si="153"/>
        <v>4.8407314733729887</v>
      </c>
      <c r="U1678" s="12">
        <f t="shared" si="155"/>
        <v>4.7099142478950338</v>
      </c>
      <c r="V1678" s="30">
        <f t="shared" si="156"/>
        <v>0.45815671232876709</v>
      </c>
      <c r="W1678" s="46">
        <f t="shared" si="154"/>
        <v>-4.8407314733729882E-2</v>
      </c>
      <c r="X1678" s="33">
        <f t="shared" si="157"/>
        <v>2.7152964800687834E-2</v>
      </c>
    </row>
    <row r="1679" spans="19:24" x14ac:dyDescent="0.25">
      <c r="S1679" s="44">
        <f t="shared" si="152"/>
        <v>44729</v>
      </c>
      <c r="T1679" s="12">
        <f t="shared" si="153"/>
        <v>4.838054391071446</v>
      </c>
      <c r="U1679" s="12">
        <f t="shared" si="155"/>
        <v>4.707263071170245</v>
      </c>
      <c r="V1679" s="30">
        <f t="shared" si="156"/>
        <v>0.45812931506849314</v>
      </c>
      <c r="W1679" s="46">
        <f t="shared" si="154"/>
        <v>-4.8380543910714453E-2</v>
      </c>
      <c r="X1679" s="33">
        <f t="shared" si="157"/>
        <v>2.7152923288414892E-2</v>
      </c>
    </row>
    <row r="1680" spans="19:24" x14ac:dyDescent="0.25">
      <c r="S1680" s="44">
        <f t="shared" si="152"/>
        <v>44730</v>
      </c>
      <c r="T1680" s="12">
        <f t="shared" si="153"/>
        <v>4.8353773087699059</v>
      </c>
      <c r="U1680" s="12">
        <f t="shared" si="155"/>
        <v>4.7046118944454554</v>
      </c>
      <c r="V1680" s="30">
        <f t="shared" si="156"/>
        <v>0.45810191780821918</v>
      </c>
      <c r="W1680" s="46">
        <f t="shared" si="154"/>
        <v>-4.8353773087699052E-2</v>
      </c>
      <c r="X1680" s="33">
        <f t="shared" si="157"/>
        <v>2.715288177614195E-2</v>
      </c>
    </row>
    <row r="1681" spans="19:24" x14ac:dyDescent="0.25">
      <c r="S1681" s="44">
        <f t="shared" si="152"/>
        <v>44731</v>
      </c>
      <c r="T1681" s="12">
        <f t="shared" si="153"/>
        <v>4.8327002264683641</v>
      </c>
      <c r="U1681" s="12">
        <f t="shared" si="155"/>
        <v>4.7019607177206657</v>
      </c>
      <c r="V1681" s="30">
        <f t="shared" si="156"/>
        <v>0.45807452054794523</v>
      </c>
      <c r="W1681" s="46">
        <f t="shared" si="154"/>
        <v>-4.832700226468363E-2</v>
      </c>
      <c r="X1681" s="33">
        <f t="shared" si="157"/>
        <v>2.7152840263869008E-2</v>
      </c>
    </row>
    <row r="1682" spans="19:24" x14ac:dyDescent="0.25">
      <c r="S1682" s="44">
        <f t="shared" si="152"/>
        <v>44732</v>
      </c>
      <c r="T1682" s="12">
        <f t="shared" si="153"/>
        <v>4.830023144166824</v>
      </c>
      <c r="U1682" s="12">
        <f t="shared" si="155"/>
        <v>4.6993095409958778</v>
      </c>
      <c r="V1682" s="30">
        <f t="shared" si="156"/>
        <v>0.45804712328767122</v>
      </c>
      <c r="W1682" s="46">
        <f t="shared" si="154"/>
        <v>-4.8300231441668236E-2</v>
      </c>
      <c r="X1682" s="33">
        <f t="shared" si="157"/>
        <v>2.7152798751596059E-2</v>
      </c>
    </row>
    <row r="1683" spans="19:24" x14ac:dyDescent="0.25">
      <c r="S1683" s="44">
        <f t="shared" si="152"/>
        <v>44733</v>
      </c>
      <c r="T1683" s="12">
        <f t="shared" si="153"/>
        <v>4.8273460618652821</v>
      </c>
      <c r="U1683" s="12">
        <f t="shared" si="155"/>
        <v>4.6966583642710873</v>
      </c>
      <c r="V1683" s="30">
        <f t="shared" si="156"/>
        <v>0.45801972602739727</v>
      </c>
      <c r="W1683" s="46">
        <f t="shared" si="154"/>
        <v>-4.8273460618652814E-2</v>
      </c>
      <c r="X1683" s="33">
        <f t="shared" si="157"/>
        <v>2.715275723932312E-2</v>
      </c>
    </row>
    <row r="1684" spans="19:24" x14ac:dyDescent="0.25">
      <c r="S1684" s="44">
        <f t="shared" si="152"/>
        <v>44734</v>
      </c>
      <c r="T1684" s="12">
        <f t="shared" si="153"/>
        <v>4.8246689795637412</v>
      </c>
      <c r="U1684" s="12">
        <f t="shared" si="155"/>
        <v>4.6940071875462994</v>
      </c>
      <c r="V1684" s="30">
        <f t="shared" si="156"/>
        <v>0.45799232876712326</v>
      </c>
      <c r="W1684" s="46">
        <f t="shared" si="154"/>
        <v>-4.8246689795637406E-2</v>
      </c>
      <c r="X1684" s="33">
        <f t="shared" si="157"/>
        <v>2.7152715727050171E-2</v>
      </c>
    </row>
    <row r="1685" spans="19:24" x14ac:dyDescent="0.25">
      <c r="S1685" s="44">
        <f t="shared" si="152"/>
        <v>44735</v>
      </c>
      <c r="T1685" s="12">
        <f t="shared" si="153"/>
        <v>4.8219918972622002</v>
      </c>
      <c r="U1685" s="12">
        <f t="shared" si="155"/>
        <v>4.6913560108215098</v>
      </c>
      <c r="V1685" s="30">
        <f t="shared" si="156"/>
        <v>0.45796493150684925</v>
      </c>
      <c r="W1685" s="46">
        <f t="shared" si="154"/>
        <v>-4.8219918972621997E-2</v>
      </c>
      <c r="X1685" s="33">
        <f t="shared" si="157"/>
        <v>2.7152674214777225E-2</v>
      </c>
    </row>
    <row r="1686" spans="19:24" x14ac:dyDescent="0.25">
      <c r="S1686" s="44">
        <f t="shared" si="152"/>
        <v>44736</v>
      </c>
      <c r="T1686" s="12">
        <f t="shared" si="153"/>
        <v>4.8193148149606584</v>
      </c>
      <c r="U1686" s="12">
        <f t="shared" si="155"/>
        <v>4.6887048340967219</v>
      </c>
      <c r="V1686" s="30">
        <f t="shared" si="156"/>
        <v>0.45793753424657535</v>
      </c>
      <c r="W1686" s="46">
        <f t="shared" si="154"/>
        <v>-4.8193148149606575E-2</v>
      </c>
      <c r="X1686" s="33">
        <f t="shared" si="157"/>
        <v>2.7152632702504287E-2</v>
      </c>
    </row>
    <row r="1687" spans="19:24" x14ac:dyDescent="0.25">
      <c r="S1687" s="44">
        <f t="shared" si="152"/>
        <v>44737</v>
      </c>
      <c r="T1687" s="12">
        <f t="shared" si="153"/>
        <v>4.8166377326591183</v>
      </c>
      <c r="U1687" s="12">
        <f t="shared" si="155"/>
        <v>4.6860536573719296</v>
      </c>
      <c r="V1687" s="30">
        <f t="shared" si="156"/>
        <v>0.4579101369863014</v>
      </c>
      <c r="W1687" s="46">
        <f t="shared" si="154"/>
        <v>-4.8166377326591174E-2</v>
      </c>
      <c r="X1687" s="33">
        <f t="shared" si="157"/>
        <v>2.7152591190231341E-2</v>
      </c>
    </row>
    <row r="1688" spans="19:24" x14ac:dyDescent="0.25">
      <c r="S1688" s="44">
        <f t="shared" si="152"/>
        <v>44738</v>
      </c>
      <c r="T1688" s="12">
        <f t="shared" si="153"/>
        <v>4.8139606503575738</v>
      </c>
      <c r="U1688" s="12">
        <f t="shared" si="155"/>
        <v>4.6834024806471408</v>
      </c>
      <c r="V1688" s="30">
        <f t="shared" si="156"/>
        <v>0.45788273972602739</v>
      </c>
      <c r="W1688" s="46">
        <f t="shared" si="154"/>
        <v>-4.8139606503575731E-2</v>
      </c>
      <c r="X1688" s="33">
        <f t="shared" si="157"/>
        <v>2.7152549677958399E-2</v>
      </c>
    </row>
    <row r="1689" spans="19:24" x14ac:dyDescent="0.25">
      <c r="S1689" s="44">
        <f t="shared" si="152"/>
        <v>44739</v>
      </c>
      <c r="T1689" s="12">
        <f t="shared" si="153"/>
        <v>4.8112835680560346</v>
      </c>
      <c r="U1689" s="12">
        <f t="shared" si="155"/>
        <v>4.6807513039223521</v>
      </c>
      <c r="V1689" s="30">
        <f t="shared" si="156"/>
        <v>0.45785534246575343</v>
      </c>
      <c r="W1689" s="46">
        <f t="shared" si="154"/>
        <v>-4.8112835680560337E-2</v>
      </c>
      <c r="X1689" s="33">
        <f t="shared" si="157"/>
        <v>2.715250816568545E-2</v>
      </c>
    </row>
    <row r="1690" spans="19:24" x14ac:dyDescent="0.25">
      <c r="S1690" s="44">
        <f t="shared" si="152"/>
        <v>44740</v>
      </c>
      <c r="T1690" s="12">
        <f t="shared" si="153"/>
        <v>4.8086064857544946</v>
      </c>
      <c r="U1690" s="12">
        <f t="shared" si="155"/>
        <v>4.6781001271975615</v>
      </c>
      <c r="V1690" s="30">
        <f t="shared" si="156"/>
        <v>0.45782794520547948</v>
      </c>
      <c r="W1690" s="46">
        <f t="shared" si="154"/>
        <v>-4.8086064857544936E-2</v>
      </c>
      <c r="X1690" s="33">
        <f t="shared" si="157"/>
        <v>2.7152466653412515E-2</v>
      </c>
    </row>
    <row r="1691" spans="19:24" x14ac:dyDescent="0.25">
      <c r="S1691" s="44">
        <f t="shared" si="152"/>
        <v>44741</v>
      </c>
      <c r="T1691" s="12">
        <f t="shared" si="153"/>
        <v>4.8059294034529509</v>
      </c>
      <c r="U1691" s="12">
        <f t="shared" si="155"/>
        <v>4.6754489504727736</v>
      </c>
      <c r="V1691" s="30">
        <f t="shared" si="156"/>
        <v>0.45780054794520547</v>
      </c>
      <c r="W1691" s="46">
        <f t="shared" si="154"/>
        <v>-4.80592940345295E-2</v>
      </c>
      <c r="X1691" s="33">
        <f t="shared" si="157"/>
        <v>2.7152425141139566E-2</v>
      </c>
    </row>
    <row r="1692" spans="19:24" x14ac:dyDescent="0.25">
      <c r="S1692" s="44">
        <f t="shared" si="152"/>
        <v>44742</v>
      </c>
      <c r="T1692" s="12">
        <f t="shared" si="153"/>
        <v>4.80325232115141</v>
      </c>
      <c r="U1692" s="12">
        <f t="shared" si="155"/>
        <v>4.6727977737479867</v>
      </c>
      <c r="V1692" s="30">
        <f t="shared" si="156"/>
        <v>0.45777315068493152</v>
      </c>
      <c r="W1692" s="46">
        <f t="shared" si="154"/>
        <v>-4.8032523211514092E-2</v>
      </c>
      <c r="X1692" s="33">
        <f t="shared" si="157"/>
        <v>2.7152383628866624E-2</v>
      </c>
    </row>
    <row r="1693" spans="19:24" x14ac:dyDescent="0.25">
      <c r="S1693" s="44">
        <f t="shared" si="152"/>
        <v>44743</v>
      </c>
      <c r="T1693" s="12">
        <f t="shared" si="153"/>
        <v>4.800575238849869</v>
      </c>
      <c r="U1693" s="12">
        <f t="shared" si="155"/>
        <v>4.6701465970231961</v>
      </c>
      <c r="V1693" s="30">
        <f t="shared" si="156"/>
        <v>0.45774575342465751</v>
      </c>
      <c r="W1693" s="46">
        <f t="shared" si="154"/>
        <v>-4.8005752388498683E-2</v>
      </c>
      <c r="X1693" s="33">
        <f t="shared" si="157"/>
        <v>2.7152342116593679E-2</v>
      </c>
    </row>
    <row r="1694" spans="19:24" x14ac:dyDescent="0.25">
      <c r="S1694" s="44">
        <f t="shared" si="152"/>
        <v>44744</v>
      </c>
      <c r="T1694" s="12">
        <f t="shared" si="153"/>
        <v>4.7978981565483299</v>
      </c>
      <c r="U1694" s="12">
        <f t="shared" si="155"/>
        <v>4.6674954202984047</v>
      </c>
      <c r="V1694" s="30">
        <f t="shared" si="156"/>
        <v>0.4577183561643835</v>
      </c>
      <c r="W1694" s="46">
        <f t="shared" si="154"/>
        <v>-4.7978981565483289E-2</v>
      </c>
      <c r="X1694" s="33">
        <f t="shared" si="157"/>
        <v>2.715230060432073E-2</v>
      </c>
    </row>
    <row r="1695" spans="19:24" x14ac:dyDescent="0.25">
      <c r="S1695" s="44">
        <f t="shared" si="152"/>
        <v>44745</v>
      </c>
      <c r="T1695" s="12">
        <f t="shared" si="153"/>
        <v>4.7952210742467871</v>
      </c>
      <c r="U1695" s="12">
        <f t="shared" si="155"/>
        <v>4.6648442435736168</v>
      </c>
      <c r="V1695" s="30">
        <f t="shared" si="156"/>
        <v>0.4576909589041096</v>
      </c>
      <c r="W1695" s="46">
        <f t="shared" si="154"/>
        <v>-4.7952210742467867E-2</v>
      </c>
      <c r="X1695" s="33">
        <f t="shared" si="157"/>
        <v>2.7152259092047795E-2</v>
      </c>
    </row>
    <row r="1696" spans="19:24" x14ac:dyDescent="0.25">
      <c r="S1696" s="44">
        <f t="shared" si="152"/>
        <v>44746</v>
      </c>
      <c r="T1696" s="12">
        <f t="shared" si="153"/>
        <v>4.7925439919452471</v>
      </c>
      <c r="U1696" s="12">
        <f t="shared" si="155"/>
        <v>4.6621930668488289</v>
      </c>
      <c r="V1696" s="30">
        <f t="shared" si="156"/>
        <v>0.45766356164383559</v>
      </c>
      <c r="W1696" s="46">
        <f t="shared" si="154"/>
        <v>-4.7925439919452466E-2</v>
      </c>
      <c r="X1696" s="33">
        <f t="shared" si="157"/>
        <v>2.7152217579774842E-2</v>
      </c>
    </row>
    <row r="1697" spans="19:24" x14ac:dyDescent="0.25">
      <c r="S1697" s="44">
        <f t="shared" si="152"/>
        <v>44747</v>
      </c>
      <c r="T1697" s="12">
        <f t="shared" si="153"/>
        <v>4.7898669096437034</v>
      </c>
      <c r="U1697" s="12">
        <f t="shared" si="155"/>
        <v>4.6595418901240393</v>
      </c>
      <c r="V1697" s="30">
        <f t="shared" si="156"/>
        <v>0.45763616438356158</v>
      </c>
      <c r="W1697" s="46">
        <f t="shared" si="154"/>
        <v>-4.789866909643703E-2</v>
      </c>
      <c r="X1697" s="33">
        <f t="shared" si="157"/>
        <v>2.71521760675019E-2</v>
      </c>
    </row>
    <row r="1698" spans="19:24" x14ac:dyDescent="0.25">
      <c r="S1698" s="44">
        <f t="shared" ref="S1698:S1761" si="158">+S1697+1</f>
        <v>44748</v>
      </c>
      <c r="T1698" s="12">
        <f t="shared" ref="T1698:T1761" si="159">DurMod(S1698,B$2,$F$7:$G$37,$T$3)</f>
        <v>4.7871898273421643</v>
      </c>
      <c r="U1698" s="12">
        <f t="shared" si="155"/>
        <v>4.6568907133992488</v>
      </c>
      <c r="V1698" s="30">
        <f t="shared" si="156"/>
        <v>0.45760876712328763</v>
      </c>
      <c r="W1698" s="46">
        <f t="shared" ref="W1698:W1761" si="160">+-T1698*($U$3-$T$3)</f>
        <v>-4.7871898273421636E-2</v>
      </c>
      <c r="X1698" s="33">
        <f t="shared" si="157"/>
        <v>2.7152134555228958E-2</v>
      </c>
    </row>
    <row r="1699" spans="19:24" x14ac:dyDescent="0.25">
      <c r="S1699" s="44">
        <f t="shared" si="158"/>
        <v>44749</v>
      </c>
      <c r="T1699" s="12">
        <f t="shared" si="159"/>
        <v>4.7845127450406242</v>
      </c>
      <c r="U1699" s="12">
        <f t="shared" si="155"/>
        <v>4.65423953667446</v>
      </c>
      <c r="V1699" s="30">
        <f t="shared" si="156"/>
        <v>0.45758136986301373</v>
      </c>
      <c r="W1699" s="46">
        <f t="shared" si="160"/>
        <v>-4.7845127450406234E-2</v>
      </c>
      <c r="X1699" s="33">
        <f t="shared" si="157"/>
        <v>2.7152093042956016E-2</v>
      </c>
    </row>
    <row r="1700" spans="19:24" x14ac:dyDescent="0.25">
      <c r="S1700" s="44">
        <f t="shared" si="158"/>
        <v>44750</v>
      </c>
      <c r="T1700" s="12">
        <f t="shared" si="159"/>
        <v>4.7818356627390823</v>
      </c>
      <c r="U1700" s="12">
        <f t="shared" si="155"/>
        <v>4.6515883599496703</v>
      </c>
      <c r="V1700" s="30">
        <f t="shared" si="156"/>
        <v>0.45755397260273972</v>
      </c>
      <c r="W1700" s="46">
        <f t="shared" si="160"/>
        <v>-4.7818356627390819E-2</v>
      </c>
      <c r="X1700" s="33">
        <f t="shared" si="157"/>
        <v>2.7152051530683067E-2</v>
      </c>
    </row>
    <row r="1701" spans="19:24" x14ac:dyDescent="0.25">
      <c r="S1701" s="44">
        <f t="shared" si="158"/>
        <v>44751</v>
      </c>
      <c r="T1701" s="12">
        <f t="shared" si="159"/>
        <v>4.7791585804375396</v>
      </c>
      <c r="U1701" s="12">
        <f t="shared" si="155"/>
        <v>4.6489371832248798</v>
      </c>
      <c r="V1701" s="30">
        <f t="shared" si="156"/>
        <v>0.45752657534246577</v>
      </c>
      <c r="W1701" s="46">
        <f t="shared" si="160"/>
        <v>-4.779158580437539E-2</v>
      </c>
      <c r="X1701" s="33">
        <f t="shared" si="157"/>
        <v>2.7152010018410132E-2</v>
      </c>
    </row>
    <row r="1702" spans="19:24" x14ac:dyDescent="0.25">
      <c r="S1702" s="44">
        <f t="shared" si="158"/>
        <v>44752</v>
      </c>
      <c r="T1702" s="12">
        <f t="shared" si="159"/>
        <v>4.7764814981359995</v>
      </c>
      <c r="U1702" s="12">
        <f t="shared" si="155"/>
        <v>4.6462860065000928</v>
      </c>
      <c r="V1702" s="30">
        <f t="shared" si="156"/>
        <v>0.45749917808219176</v>
      </c>
      <c r="W1702" s="46">
        <f t="shared" si="160"/>
        <v>-4.7764814981359989E-2</v>
      </c>
      <c r="X1702" s="33">
        <f t="shared" si="157"/>
        <v>2.7151968506137183E-2</v>
      </c>
    </row>
    <row r="1703" spans="19:24" x14ac:dyDescent="0.25">
      <c r="S1703" s="44">
        <f t="shared" si="158"/>
        <v>44753</v>
      </c>
      <c r="T1703" s="12">
        <f t="shared" si="159"/>
        <v>4.7738044158344568</v>
      </c>
      <c r="U1703" s="12">
        <f t="shared" si="155"/>
        <v>4.6436348297753023</v>
      </c>
      <c r="V1703" s="30">
        <f t="shared" si="156"/>
        <v>0.45747178082191775</v>
      </c>
      <c r="W1703" s="46">
        <f t="shared" si="160"/>
        <v>-4.773804415834456E-2</v>
      </c>
      <c r="X1703" s="33">
        <f t="shared" si="157"/>
        <v>2.7151926993864237E-2</v>
      </c>
    </row>
    <row r="1704" spans="19:24" x14ac:dyDescent="0.25">
      <c r="S1704" s="44">
        <f t="shared" si="158"/>
        <v>44754</v>
      </c>
      <c r="T1704" s="12">
        <f t="shared" si="159"/>
        <v>4.7711273335329167</v>
      </c>
      <c r="U1704" s="12">
        <f t="shared" si="155"/>
        <v>4.6409836530505144</v>
      </c>
      <c r="V1704" s="30">
        <f t="shared" si="156"/>
        <v>0.45744438356164385</v>
      </c>
      <c r="W1704" s="46">
        <f t="shared" si="160"/>
        <v>-4.7711273335329159E-2</v>
      </c>
      <c r="X1704" s="33">
        <f t="shared" si="157"/>
        <v>2.7151885481591295E-2</v>
      </c>
    </row>
    <row r="1705" spans="19:24" x14ac:dyDescent="0.25">
      <c r="S1705" s="44">
        <f t="shared" si="158"/>
        <v>44755</v>
      </c>
      <c r="T1705" s="12">
        <f t="shared" si="159"/>
        <v>4.7684502512313767</v>
      </c>
      <c r="U1705" s="12">
        <f t="shared" si="155"/>
        <v>4.6383324763257221</v>
      </c>
      <c r="V1705" s="30">
        <f t="shared" si="156"/>
        <v>0.45741698630136984</v>
      </c>
      <c r="W1705" s="46">
        <f t="shared" si="160"/>
        <v>-4.7684502512313758E-2</v>
      </c>
      <c r="X1705" s="33">
        <f t="shared" si="157"/>
        <v>2.715184396931835E-2</v>
      </c>
    </row>
    <row r="1706" spans="19:24" x14ac:dyDescent="0.25">
      <c r="S1706" s="44">
        <f t="shared" si="158"/>
        <v>44756</v>
      </c>
      <c r="T1706" s="12">
        <f t="shared" si="159"/>
        <v>4.7657731689298339</v>
      </c>
      <c r="U1706" s="12">
        <f t="shared" si="155"/>
        <v>4.6356812996009351</v>
      </c>
      <c r="V1706" s="30">
        <f t="shared" si="156"/>
        <v>0.45738958904109589</v>
      </c>
      <c r="W1706" s="46">
        <f t="shared" si="160"/>
        <v>-4.7657731689298335E-2</v>
      </c>
      <c r="X1706" s="33">
        <f t="shared" si="157"/>
        <v>2.7151802457045411E-2</v>
      </c>
    </row>
    <row r="1707" spans="19:24" x14ac:dyDescent="0.25">
      <c r="S1707" s="44">
        <f t="shared" si="158"/>
        <v>44757</v>
      </c>
      <c r="T1707" s="12">
        <f t="shared" si="159"/>
        <v>4.763096086628293</v>
      </c>
      <c r="U1707" s="12">
        <f t="shared" si="155"/>
        <v>4.6330301228761464</v>
      </c>
      <c r="V1707" s="30">
        <f t="shared" si="156"/>
        <v>0.45736219178082194</v>
      </c>
      <c r="W1707" s="46">
        <f t="shared" si="160"/>
        <v>-4.763096086628292E-2</v>
      </c>
      <c r="X1707" s="33">
        <f t="shared" si="157"/>
        <v>2.7151760944772466E-2</v>
      </c>
    </row>
    <row r="1708" spans="19:24" x14ac:dyDescent="0.25">
      <c r="S1708" s="44">
        <f t="shared" si="158"/>
        <v>44758</v>
      </c>
      <c r="T1708" s="12">
        <f t="shared" si="159"/>
        <v>4.760419004326752</v>
      </c>
      <c r="U1708" s="12">
        <f t="shared" si="155"/>
        <v>4.6303789461513567</v>
      </c>
      <c r="V1708" s="30">
        <f t="shared" si="156"/>
        <v>0.45733479452054793</v>
      </c>
      <c r="W1708" s="46">
        <f t="shared" si="160"/>
        <v>-4.7604190043267512E-2</v>
      </c>
      <c r="X1708" s="33">
        <f t="shared" si="157"/>
        <v>2.7151719432499524E-2</v>
      </c>
    </row>
    <row r="1709" spans="19:24" x14ac:dyDescent="0.25">
      <c r="S1709" s="44">
        <f t="shared" si="158"/>
        <v>44759</v>
      </c>
      <c r="T1709" s="12">
        <f t="shared" si="159"/>
        <v>4.7577419220252102</v>
      </c>
      <c r="U1709" s="12">
        <f t="shared" si="155"/>
        <v>4.6277277694265662</v>
      </c>
      <c r="V1709" s="30">
        <f t="shared" si="156"/>
        <v>0.45730739726027392</v>
      </c>
      <c r="W1709" s="46">
        <f t="shared" si="160"/>
        <v>-4.7577419220252097E-2</v>
      </c>
      <c r="X1709" s="33">
        <f t="shared" si="157"/>
        <v>2.7151677920226575E-2</v>
      </c>
    </row>
    <row r="1710" spans="19:24" x14ac:dyDescent="0.25">
      <c r="S1710" s="44">
        <f t="shared" si="158"/>
        <v>44760</v>
      </c>
      <c r="T1710" s="12">
        <f t="shared" si="159"/>
        <v>4.7550648397236692</v>
      </c>
      <c r="U1710" s="12">
        <f t="shared" si="155"/>
        <v>4.6250765927017783</v>
      </c>
      <c r="V1710" s="30">
        <f t="shared" si="156"/>
        <v>0.45728000000000002</v>
      </c>
      <c r="W1710" s="46">
        <f t="shared" si="160"/>
        <v>-4.7550648397236682E-2</v>
      </c>
      <c r="X1710" s="33">
        <f t="shared" si="157"/>
        <v>2.7151636407953639E-2</v>
      </c>
    </row>
    <row r="1711" spans="19:24" x14ac:dyDescent="0.25">
      <c r="S1711" s="44">
        <f t="shared" si="158"/>
        <v>44761</v>
      </c>
      <c r="T1711" s="12">
        <f t="shared" si="159"/>
        <v>4.7523877574221292</v>
      </c>
      <c r="U1711" s="12">
        <f t="shared" si="155"/>
        <v>4.6224254159769878</v>
      </c>
      <c r="V1711" s="30">
        <f t="shared" si="156"/>
        <v>0.45725260273972607</v>
      </c>
      <c r="W1711" s="46">
        <f t="shared" si="160"/>
        <v>-4.7523877574221288E-2</v>
      </c>
      <c r="X1711" s="33">
        <f t="shared" si="157"/>
        <v>2.715159489568069E-2</v>
      </c>
    </row>
    <row r="1712" spans="19:24" x14ac:dyDescent="0.25">
      <c r="S1712" s="44">
        <f t="shared" si="158"/>
        <v>44762</v>
      </c>
      <c r="T1712" s="12">
        <f t="shared" si="159"/>
        <v>4.7497106751205882</v>
      </c>
      <c r="U1712" s="12">
        <f t="shared" si="155"/>
        <v>4.6197742392521981</v>
      </c>
      <c r="V1712" s="30">
        <f t="shared" si="156"/>
        <v>0.45722520547945206</v>
      </c>
      <c r="W1712" s="46">
        <f t="shared" si="160"/>
        <v>-4.7497106751205873E-2</v>
      </c>
      <c r="X1712" s="33">
        <f t="shared" si="157"/>
        <v>2.7151553383407745E-2</v>
      </c>
    </row>
    <row r="1713" spans="19:24" x14ac:dyDescent="0.25">
      <c r="S1713" s="44">
        <f t="shared" si="158"/>
        <v>44763</v>
      </c>
      <c r="T1713" s="12">
        <f t="shared" si="159"/>
        <v>4.7470335928190464</v>
      </c>
      <c r="U1713" s="12">
        <f t="shared" si="155"/>
        <v>4.6171230625274085</v>
      </c>
      <c r="V1713" s="30">
        <f t="shared" si="156"/>
        <v>0.4571978082191781</v>
      </c>
      <c r="W1713" s="46">
        <f t="shared" si="160"/>
        <v>-4.7470335928190457E-2</v>
      </c>
      <c r="X1713" s="33">
        <f t="shared" si="157"/>
        <v>2.7151511871134803E-2</v>
      </c>
    </row>
    <row r="1714" spans="19:24" x14ac:dyDescent="0.25">
      <c r="S1714" s="44">
        <f t="shared" si="158"/>
        <v>44764</v>
      </c>
      <c r="T1714" s="12">
        <f t="shared" si="159"/>
        <v>4.7443565105175036</v>
      </c>
      <c r="U1714" s="12">
        <f t="shared" si="155"/>
        <v>4.6144718858026206</v>
      </c>
      <c r="V1714" s="30">
        <f t="shared" si="156"/>
        <v>0.45717041095890415</v>
      </c>
      <c r="W1714" s="46">
        <f t="shared" si="160"/>
        <v>-4.7443565105175028E-2</v>
      </c>
      <c r="X1714" s="33">
        <f t="shared" si="157"/>
        <v>2.7151470358861861E-2</v>
      </c>
    </row>
    <row r="1715" spans="19:24" x14ac:dyDescent="0.25">
      <c r="S1715" s="44">
        <f t="shared" si="158"/>
        <v>44765</v>
      </c>
      <c r="T1715" s="12">
        <f t="shared" si="159"/>
        <v>4.7416794282159618</v>
      </c>
      <c r="U1715" s="12">
        <f t="shared" si="155"/>
        <v>4.61182070907783</v>
      </c>
      <c r="V1715" s="30">
        <f t="shared" si="156"/>
        <v>0.45714301369863014</v>
      </c>
      <c r="W1715" s="46">
        <f t="shared" si="160"/>
        <v>-4.7416794282159613E-2</v>
      </c>
      <c r="X1715" s="33">
        <f t="shared" si="157"/>
        <v>2.7151428846588912E-2</v>
      </c>
    </row>
    <row r="1716" spans="19:24" x14ac:dyDescent="0.25">
      <c r="S1716" s="44">
        <f t="shared" si="158"/>
        <v>44766</v>
      </c>
      <c r="T1716" s="12">
        <f t="shared" si="159"/>
        <v>4.7390023459144235</v>
      </c>
      <c r="U1716" s="12">
        <f t="shared" si="155"/>
        <v>4.6091695323530422</v>
      </c>
      <c r="V1716" s="30">
        <f t="shared" si="156"/>
        <v>0.45711561643835619</v>
      </c>
      <c r="W1716" s="46">
        <f t="shared" si="160"/>
        <v>-4.7390023459144226E-2</v>
      </c>
      <c r="X1716" s="33">
        <f t="shared" si="157"/>
        <v>2.715138733431597E-2</v>
      </c>
    </row>
    <row r="1717" spans="19:24" x14ac:dyDescent="0.25">
      <c r="S1717" s="44">
        <f t="shared" si="158"/>
        <v>44767</v>
      </c>
      <c r="T1717" s="12">
        <f t="shared" si="159"/>
        <v>4.7363252636128816</v>
      </c>
      <c r="U1717" s="12">
        <f t="shared" si="155"/>
        <v>4.6065183556282516</v>
      </c>
      <c r="V1717" s="30">
        <f t="shared" si="156"/>
        <v>0.45708821917808218</v>
      </c>
      <c r="W1717" s="46">
        <f t="shared" si="160"/>
        <v>-4.7363252636128811E-2</v>
      </c>
      <c r="X1717" s="33">
        <f t="shared" si="157"/>
        <v>2.7151345822043024E-2</v>
      </c>
    </row>
    <row r="1718" spans="19:24" x14ac:dyDescent="0.25">
      <c r="S1718" s="44">
        <f t="shared" si="158"/>
        <v>44768</v>
      </c>
      <c r="T1718" s="12">
        <f t="shared" si="159"/>
        <v>4.7336481813113407</v>
      </c>
      <c r="U1718" s="12">
        <f t="shared" si="155"/>
        <v>4.603867178903462</v>
      </c>
      <c r="V1718" s="30">
        <f t="shared" si="156"/>
        <v>0.45706082191780817</v>
      </c>
      <c r="W1718" s="46">
        <f t="shared" si="160"/>
        <v>-4.7336481813113403E-2</v>
      </c>
      <c r="X1718" s="33">
        <f t="shared" si="157"/>
        <v>2.7151304309770075E-2</v>
      </c>
    </row>
    <row r="1719" spans="19:24" x14ac:dyDescent="0.25">
      <c r="S1719" s="44">
        <f t="shared" si="158"/>
        <v>44769</v>
      </c>
      <c r="T1719" s="12">
        <f t="shared" si="159"/>
        <v>4.730971099009798</v>
      </c>
      <c r="U1719" s="12">
        <f t="shared" si="155"/>
        <v>4.6012160021786741</v>
      </c>
      <c r="V1719" s="30">
        <f t="shared" si="156"/>
        <v>0.45703342465753427</v>
      </c>
      <c r="W1719" s="46">
        <f t="shared" si="160"/>
        <v>-4.7309710990097974E-2</v>
      </c>
      <c r="X1719" s="33">
        <f t="shared" si="157"/>
        <v>2.715126279749714E-2</v>
      </c>
    </row>
    <row r="1720" spans="19:24" x14ac:dyDescent="0.25">
      <c r="S1720" s="44">
        <f t="shared" si="158"/>
        <v>44770</v>
      </c>
      <c r="T1720" s="12">
        <f t="shared" si="159"/>
        <v>4.728294016708257</v>
      </c>
      <c r="U1720" s="12">
        <f t="shared" si="155"/>
        <v>4.5985648254538862</v>
      </c>
      <c r="V1720" s="30">
        <f t="shared" si="156"/>
        <v>0.45700602739726026</v>
      </c>
      <c r="W1720" s="46">
        <f t="shared" si="160"/>
        <v>-4.7282940167082566E-2</v>
      </c>
      <c r="X1720" s="33">
        <f t="shared" si="157"/>
        <v>2.7151221285224191E-2</v>
      </c>
    </row>
    <row r="1721" spans="19:24" x14ac:dyDescent="0.25">
      <c r="S1721" s="44">
        <f t="shared" si="158"/>
        <v>44771</v>
      </c>
      <c r="T1721" s="12">
        <f t="shared" si="159"/>
        <v>4.7256169344067178</v>
      </c>
      <c r="U1721" s="12">
        <f t="shared" si="155"/>
        <v>4.5959136487290957</v>
      </c>
      <c r="V1721" s="30">
        <f t="shared" si="156"/>
        <v>0.45697863013698625</v>
      </c>
      <c r="W1721" s="46">
        <f t="shared" si="160"/>
        <v>-4.7256169344067171E-2</v>
      </c>
      <c r="X1721" s="33">
        <f t="shared" si="157"/>
        <v>2.7151179772951246E-2</v>
      </c>
    </row>
    <row r="1722" spans="19:24" x14ac:dyDescent="0.25">
      <c r="S1722" s="44">
        <f t="shared" si="158"/>
        <v>44772</v>
      </c>
      <c r="T1722" s="12">
        <f t="shared" si="159"/>
        <v>4.722939852105176</v>
      </c>
      <c r="U1722" s="12">
        <f t="shared" si="155"/>
        <v>4.5932624720043052</v>
      </c>
      <c r="V1722" s="30">
        <f t="shared" si="156"/>
        <v>0.4569512328767123</v>
      </c>
      <c r="W1722" s="46">
        <f t="shared" si="160"/>
        <v>-4.7229398521051749E-2</v>
      </c>
      <c r="X1722" s="33">
        <f t="shared" si="157"/>
        <v>2.7151138260678304E-2</v>
      </c>
    </row>
    <row r="1723" spans="19:24" x14ac:dyDescent="0.25">
      <c r="S1723" s="44">
        <f t="shared" si="158"/>
        <v>44773</v>
      </c>
      <c r="T1723" s="12">
        <f t="shared" si="159"/>
        <v>4.7202627698036332</v>
      </c>
      <c r="U1723" s="12">
        <f t="shared" si="155"/>
        <v>4.5906112952795164</v>
      </c>
      <c r="V1723" s="30">
        <f t="shared" si="156"/>
        <v>0.4569238356164384</v>
      </c>
      <c r="W1723" s="46">
        <f t="shared" si="160"/>
        <v>-4.7202627698036327E-2</v>
      </c>
      <c r="X1723" s="33">
        <f t="shared" si="157"/>
        <v>2.7151096748405368E-2</v>
      </c>
    </row>
    <row r="1724" spans="19:24" x14ac:dyDescent="0.25">
      <c r="S1724" s="44">
        <f t="shared" si="158"/>
        <v>44774</v>
      </c>
      <c r="T1724" s="12">
        <f t="shared" si="159"/>
        <v>4.7175856875020932</v>
      </c>
      <c r="U1724" s="12">
        <f t="shared" si="155"/>
        <v>4.5879601185547259</v>
      </c>
      <c r="V1724" s="30">
        <f t="shared" si="156"/>
        <v>0.45689643835616439</v>
      </c>
      <c r="W1724" s="46">
        <f t="shared" si="160"/>
        <v>-4.7175856875020926E-2</v>
      </c>
      <c r="X1724" s="33">
        <f t="shared" si="157"/>
        <v>2.715105523613242E-2</v>
      </c>
    </row>
    <row r="1725" spans="19:24" x14ac:dyDescent="0.25">
      <c r="S1725" s="44">
        <f t="shared" si="158"/>
        <v>44775</v>
      </c>
      <c r="T1725" s="12">
        <f t="shared" si="159"/>
        <v>4.7149086052005531</v>
      </c>
      <c r="U1725" s="12">
        <f t="shared" si="155"/>
        <v>4.5853089418299371</v>
      </c>
      <c r="V1725" s="30">
        <f t="shared" si="156"/>
        <v>0.45686904109589044</v>
      </c>
      <c r="W1725" s="46">
        <f t="shared" si="160"/>
        <v>-4.7149086052005525E-2</v>
      </c>
      <c r="X1725" s="33">
        <f t="shared" si="157"/>
        <v>2.7151013723859477E-2</v>
      </c>
    </row>
    <row r="1726" spans="19:24" x14ac:dyDescent="0.25">
      <c r="S1726" s="44">
        <f t="shared" si="158"/>
        <v>44776</v>
      </c>
      <c r="T1726" s="12">
        <f t="shared" si="159"/>
        <v>4.7122315228990121</v>
      </c>
      <c r="U1726" s="12">
        <f t="shared" si="155"/>
        <v>4.5826577651051483</v>
      </c>
      <c r="V1726" s="30">
        <f t="shared" si="156"/>
        <v>0.45684164383561643</v>
      </c>
      <c r="W1726" s="46">
        <f t="shared" si="160"/>
        <v>-4.7122315228990116E-2</v>
      </c>
      <c r="X1726" s="33">
        <f t="shared" si="157"/>
        <v>2.7150972211586532E-2</v>
      </c>
    </row>
    <row r="1727" spans="19:24" x14ac:dyDescent="0.25">
      <c r="S1727" s="44">
        <f t="shared" si="158"/>
        <v>44777</v>
      </c>
      <c r="T1727" s="12">
        <f t="shared" si="159"/>
        <v>4.7095544405974694</v>
      </c>
      <c r="U1727" s="12">
        <f t="shared" si="155"/>
        <v>4.5800065883803587</v>
      </c>
      <c r="V1727" s="30">
        <f t="shared" si="156"/>
        <v>0.45681424657534242</v>
      </c>
      <c r="W1727" s="46">
        <f t="shared" si="160"/>
        <v>-4.7095544405974687E-2</v>
      </c>
      <c r="X1727" s="33">
        <f t="shared" si="157"/>
        <v>2.7150930699313583E-2</v>
      </c>
    </row>
    <row r="1728" spans="19:24" x14ac:dyDescent="0.25">
      <c r="S1728" s="44">
        <f t="shared" si="158"/>
        <v>44778</v>
      </c>
      <c r="T1728" s="12">
        <f t="shared" si="159"/>
        <v>4.7068773582959267</v>
      </c>
      <c r="U1728" s="12">
        <f t="shared" si="155"/>
        <v>4.5773554116555699</v>
      </c>
      <c r="V1728" s="30">
        <f t="shared" si="156"/>
        <v>0.45678684931506852</v>
      </c>
      <c r="W1728" s="46">
        <f t="shared" si="160"/>
        <v>-4.7068773582959259E-2</v>
      </c>
      <c r="X1728" s="33">
        <f t="shared" si="157"/>
        <v>2.7150889187040648E-2</v>
      </c>
    </row>
    <row r="1729" spans="19:24" x14ac:dyDescent="0.25">
      <c r="S1729" s="44">
        <f t="shared" si="158"/>
        <v>44779</v>
      </c>
      <c r="T1729" s="12">
        <f t="shared" si="159"/>
        <v>4.7042002759943866</v>
      </c>
      <c r="U1729" s="12">
        <f t="shared" si="155"/>
        <v>4.5747042349307794</v>
      </c>
      <c r="V1729" s="30">
        <f t="shared" si="156"/>
        <v>0.45675945205479451</v>
      </c>
      <c r="W1729" s="46">
        <f t="shared" si="160"/>
        <v>-4.7042002759943857E-2</v>
      </c>
      <c r="X1729" s="33">
        <f t="shared" si="157"/>
        <v>2.7150847674767699E-2</v>
      </c>
    </row>
    <row r="1730" spans="19:24" x14ac:dyDescent="0.25">
      <c r="S1730" s="44">
        <f t="shared" si="158"/>
        <v>44780</v>
      </c>
      <c r="T1730" s="12">
        <f t="shared" si="159"/>
        <v>4.7015231936928457</v>
      </c>
      <c r="U1730" s="12">
        <f t="shared" si="155"/>
        <v>4.5720530582059915</v>
      </c>
      <c r="V1730" s="30">
        <f t="shared" si="156"/>
        <v>0.45673205479452056</v>
      </c>
      <c r="W1730" s="46">
        <f t="shared" si="160"/>
        <v>-4.7015231936928449E-2</v>
      </c>
      <c r="X1730" s="33">
        <f t="shared" si="157"/>
        <v>2.7150806162494757E-2</v>
      </c>
    </row>
    <row r="1731" spans="19:24" x14ac:dyDescent="0.25">
      <c r="S1731" s="44">
        <f t="shared" si="158"/>
        <v>44781</v>
      </c>
      <c r="T1731" s="12">
        <f t="shared" si="159"/>
        <v>4.6988461113913047</v>
      </c>
      <c r="U1731" s="12">
        <f t="shared" si="155"/>
        <v>4.569401881481201</v>
      </c>
      <c r="V1731" s="30">
        <f t="shared" si="156"/>
        <v>0.45670465753424655</v>
      </c>
      <c r="W1731" s="46">
        <f t="shared" si="160"/>
        <v>-4.6988461113913041E-2</v>
      </c>
      <c r="X1731" s="33">
        <f t="shared" si="157"/>
        <v>2.7150764650221811E-2</v>
      </c>
    </row>
    <row r="1732" spans="19:24" x14ac:dyDescent="0.25">
      <c r="S1732" s="44">
        <f t="shared" si="158"/>
        <v>44782</v>
      </c>
      <c r="T1732" s="12">
        <f t="shared" si="159"/>
        <v>4.696169029089762</v>
      </c>
      <c r="U1732" s="12">
        <f t="shared" si="155"/>
        <v>4.5667507047564122</v>
      </c>
      <c r="V1732" s="30">
        <f t="shared" si="156"/>
        <v>0.4566772602739726</v>
      </c>
      <c r="W1732" s="46">
        <f t="shared" si="160"/>
        <v>-4.6961690290897612E-2</v>
      </c>
      <c r="X1732" s="33">
        <f t="shared" si="157"/>
        <v>2.7150723137948869E-2</v>
      </c>
    </row>
    <row r="1733" spans="19:24" x14ac:dyDescent="0.25">
      <c r="S1733" s="44">
        <f t="shared" si="158"/>
        <v>44783</v>
      </c>
      <c r="T1733" s="12">
        <f t="shared" si="159"/>
        <v>4.693491946788221</v>
      </c>
      <c r="U1733" s="12">
        <f t="shared" ref="U1733:U1796" si="161">DurMod($S1733,$B$2,$F$7:$G$37,U$3)</f>
        <v>4.5640995280316226</v>
      </c>
      <c r="V1733" s="30">
        <f t="shared" ref="V1733:V1796" si="162">+$U$3*($S$5512-S1733)/365+$T$3*(S1733-$S$4)/365</f>
        <v>0.45664986301369864</v>
      </c>
      <c r="W1733" s="46">
        <f t="shared" si="160"/>
        <v>-4.6934919467882204E-2</v>
      </c>
      <c r="X1733" s="33">
        <f t="shared" ref="X1733:X1796" si="163">+(V1733+W1733)*365/($S$5512-$S$4)</f>
        <v>2.7150681625675927E-2</v>
      </c>
    </row>
    <row r="1734" spans="19:24" x14ac:dyDescent="0.25">
      <c r="S1734" s="44">
        <f t="shared" si="158"/>
        <v>44784</v>
      </c>
      <c r="T1734" s="12">
        <f t="shared" si="159"/>
        <v>4.6908148644866809</v>
      </c>
      <c r="U1734" s="12">
        <f t="shared" si="161"/>
        <v>4.5614483513068338</v>
      </c>
      <c r="V1734" s="30">
        <f t="shared" si="162"/>
        <v>0.45662246575342463</v>
      </c>
      <c r="W1734" s="46">
        <f t="shared" si="160"/>
        <v>-4.6908148644866803E-2</v>
      </c>
      <c r="X1734" s="33">
        <f t="shared" si="163"/>
        <v>2.7150640113402978E-2</v>
      </c>
    </row>
    <row r="1735" spans="19:24" x14ac:dyDescent="0.25">
      <c r="S1735" s="44">
        <f t="shared" si="158"/>
        <v>44785</v>
      </c>
      <c r="T1735" s="12">
        <f t="shared" si="159"/>
        <v>4.6881377821851409</v>
      </c>
      <c r="U1735" s="12">
        <f t="shared" si="161"/>
        <v>4.558797174582045</v>
      </c>
      <c r="V1735" s="30">
        <f t="shared" si="162"/>
        <v>0.45659506849315068</v>
      </c>
      <c r="W1735" s="46">
        <f t="shared" si="160"/>
        <v>-4.6881377821851401E-2</v>
      </c>
      <c r="X1735" s="33">
        <f t="shared" si="163"/>
        <v>2.7150598601130033E-2</v>
      </c>
    </row>
    <row r="1736" spans="19:24" x14ac:dyDescent="0.25">
      <c r="S1736" s="44">
        <f t="shared" si="158"/>
        <v>44786</v>
      </c>
      <c r="T1736" s="12">
        <f t="shared" si="159"/>
        <v>4.685460699883599</v>
      </c>
      <c r="U1736" s="12">
        <f t="shared" si="161"/>
        <v>4.5561459978572554</v>
      </c>
      <c r="V1736" s="30">
        <f t="shared" si="162"/>
        <v>0.45656767123287667</v>
      </c>
      <c r="W1736" s="46">
        <f t="shared" si="160"/>
        <v>-4.6854606998835986E-2</v>
      </c>
      <c r="X1736" s="33">
        <f t="shared" si="163"/>
        <v>2.7150557088857091E-2</v>
      </c>
    </row>
    <row r="1737" spans="19:24" x14ac:dyDescent="0.25">
      <c r="S1737" s="44">
        <f t="shared" si="158"/>
        <v>44787</v>
      </c>
      <c r="T1737" s="12">
        <f t="shared" si="159"/>
        <v>4.682783617582059</v>
      </c>
      <c r="U1737" s="12">
        <f t="shared" si="161"/>
        <v>4.5534948211324666</v>
      </c>
      <c r="V1737" s="30">
        <f t="shared" si="162"/>
        <v>0.45654027397260277</v>
      </c>
      <c r="W1737" s="46">
        <f t="shared" si="160"/>
        <v>-4.6827836175820585E-2</v>
      </c>
      <c r="X1737" s="33">
        <f t="shared" si="163"/>
        <v>2.7150515576584149E-2</v>
      </c>
    </row>
    <row r="1738" spans="19:24" x14ac:dyDescent="0.25">
      <c r="S1738" s="44">
        <f t="shared" si="158"/>
        <v>44788</v>
      </c>
      <c r="T1738" s="12">
        <f t="shared" si="159"/>
        <v>4.6801065352805162</v>
      </c>
      <c r="U1738" s="12">
        <f t="shared" si="161"/>
        <v>4.550843644407677</v>
      </c>
      <c r="V1738" s="30">
        <f t="shared" si="162"/>
        <v>0.45651287671232876</v>
      </c>
      <c r="W1738" s="46">
        <f t="shared" si="160"/>
        <v>-4.6801065352805156E-2</v>
      </c>
      <c r="X1738" s="33">
        <f t="shared" si="163"/>
        <v>2.7150474064311206E-2</v>
      </c>
    </row>
    <row r="1739" spans="19:24" x14ac:dyDescent="0.25">
      <c r="S1739" s="44">
        <f t="shared" si="158"/>
        <v>44789</v>
      </c>
      <c r="T1739" s="12">
        <f t="shared" si="159"/>
        <v>4.6774294529789735</v>
      </c>
      <c r="U1739" s="12">
        <f t="shared" si="161"/>
        <v>4.5481924676828864</v>
      </c>
      <c r="V1739" s="30">
        <f t="shared" si="162"/>
        <v>0.45648547945205475</v>
      </c>
      <c r="W1739" s="46">
        <f t="shared" si="160"/>
        <v>-4.6774294529789727E-2</v>
      </c>
      <c r="X1739" s="33">
        <f t="shared" si="163"/>
        <v>2.7150432552038258E-2</v>
      </c>
    </row>
    <row r="1740" spans="19:24" x14ac:dyDescent="0.25">
      <c r="S1740" s="44">
        <f t="shared" si="158"/>
        <v>44790</v>
      </c>
      <c r="T1740" s="12">
        <f t="shared" si="159"/>
        <v>4.6747523706774334</v>
      </c>
      <c r="U1740" s="12">
        <f t="shared" si="161"/>
        <v>4.5455412909580986</v>
      </c>
      <c r="V1740" s="30">
        <f t="shared" si="162"/>
        <v>0.4564580821917808</v>
      </c>
      <c r="W1740" s="46">
        <f t="shared" si="160"/>
        <v>-4.6747523706774326E-2</v>
      </c>
      <c r="X1740" s="33">
        <f t="shared" si="163"/>
        <v>2.7150391039765315E-2</v>
      </c>
    </row>
    <row r="1741" spans="19:24" x14ac:dyDescent="0.25">
      <c r="S1741" s="44">
        <f t="shared" si="158"/>
        <v>44791</v>
      </c>
      <c r="T1741" s="12">
        <f t="shared" si="159"/>
        <v>4.6720752883758934</v>
      </c>
      <c r="U1741" s="12">
        <f t="shared" si="161"/>
        <v>4.5428901142333098</v>
      </c>
      <c r="V1741" s="30">
        <f t="shared" si="162"/>
        <v>0.45643068493150685</v>
      </c>
      <c r="W1741" s="46">
        <f t="shared" si="160"/>
        <v>-4.6720752883758924E-2</v>
      </c>
      <c r="X1741" s="33">
        <f t="shared" si="163"/>
        <v>2.7150349527492373E-2</v>
      </c>
    </row>
    <row r="1742" spans="19:24" x14ac:dyDescent="0.25">
      <c r="S1742" s="44">
        <f t="shared" si="158"/>
        <v>44792</v>
      </c>
      <c r="T1742" s="12">
        <f t="shared" si="159"/>
        <v>4.6693982060743515</v>
      </c>
      <c r="U1742" s="12">
        <f t="shared" si="161"/>
        <v>4.5402389375085193</v>
      </c>
      <c r="V1742" s="30">
        <f t="shared" si="162"/>
        <v>0.45640328767123289</v>
      </c>
      <c r="W1742" s="46">
        <f t="shared" si="160"/>
        <v>-4.6693982060743509E-2</v>
      </c>
      <c r="X1742" s="33">
        <f t="shared" si="163"/>
        <v>2.7150308015219435E-2</v>
      </c>
    </row>
    <row r="1743" spans="19:24" x14ac:dyDescent="0.25">
      <c r="S1743" s="44">
        <f t="shared" si="158"/>
        <v>44793</v>
      </c>
      <c r="T1743" s="12">
        <f t="shared" si="159"/>
        <v>4.6667211237728115</v>
      </c>
      <c r="U1743" s="12">
        <f t="shared" si="161"/>
        <v>4.5375877607837323</v>
      </c>
      <c r="V1743" s="30">
        <f t="shared" si="162"/>
        <v>0.45637589041095888</v>
      </c>
      <c r="W1743" s="46">
        <f t="shared" si="160"/>
        <v>-4.6667211237728108E-2</v>
      </c>
      <c r="X1743" s="33">
        <f t="shared" si="163"/>
        <v>2.7150266502946486E-2</v>
      </c>
    </row>
    <row r="1744" spans="19:24" x14ac:dyDescent="0.25">
      <c r="S1744" s="44">
        <f t="shared" si="158"/>
        <v>44794</v>
      </c>
      <c r="T1744" s="12">
        <f t="shared" si="159"/>
        <v>4.6640440414712687</v>
      </c>
      <c r="U1744" s="12">
        <f t="shared" si="161"/>
        <v>4.53493658405894</v>
      </c>
      <c r="V1744" s="30">
        <f t="shared" si="162"/>
        <v>0.45634849315068493</v>
      </c>
      <c r="W1744" s="46">
        <f t="shared" si="160"/>
        <v>-4.6640440414712679E-2</v>
      </c>
      <c r="X1744" s="33">
        <f t="shared" si="163"/>
        <v>2.7150224990673544E-2</v>
      </c>
    </row>
    <row r="1745" spans="19:24" x14ac:dyDescent="0.25">
      <c r="S1745" s="44">
        <f t="shared" si="158"/>
        <v>44795</v>
      </c>
      <c r="T1745" s="12">
        <f t="shared" si="159"/>
        <v>4.6613669591697278</v>
      </c>
      <c r="U1745" s="12">
        <f t="shared" si="161"/>
        <v>4.5322854073341521</v>
      </c>
      <c r="V1745" s="30">
        <f t="shared" si="162"/>
        <v>0.45632109589041092</v>
      </c>
      <c r="W1745" s="46">
        <f t="shared" si="160"/>
        <v>-4.6613669591697271E-2</v>
      </c>
      <c r="X1745" s="33">
        <f t="shared" si="163"/>
        <v>2.7150183478400598E-2</v>
      </c>
    </row>
    <row r="1746" spans="19:24" x14ac:dyDescent="0.25">
      <c r="S1746" s="44">
        <f t="shared" si="158"/>
        <v>44796</v>
      </c>
      <c r="T1746" s="12">
        <f t="shared" si="159"/>
        <v>4.6586898768681868</v>
      </c>
      <c r="U1746" s="12">
        <f t="shared" si="161"/>
        <v>4.5296342306093624</v>
      </c>
      <c r="V1746" s="30">
        <f t="shared" si="162"/>
        <v>0.45629369863013697</v>
      </c>
      <c r="W1746" s="46">
        <f t="shared" si="160"/>
        <v>-4.6586898768681863E-2</v>
      </c>
      <c r="X1746" s="33">
        <f t="shared" si="163"/>
        <v>2.7150141966127649E-2</v>
      </c>
    </row>
    <row r="1747" spans="19:24" x14ac:dyDescent="0.25">
      <c r="S1747" s="44">
        <f t="shared" si="158"/>
        <v>44797</v>
      </c>
      <c r="T1747" s="12">
        <f t="shared" si="159"/>
        <v>4.656012794566645</v>
      </c>
      <c r="U1747" s="12">
        <f t="shared" si="161"/>
        <v>4.5269830538845728</v>
      </c>
      <c r="V1747" s="30">
        <f t="shared" si="162"/>
        <v>0.45626630136986301</v>
      </c>
      <c r="W1747" s="46">
        <f t="shared" si="160"/>
        <v>-4.6560127945666441E-2</v>
      </c>
      <c r="X1747" s="33">
        <f t="shared" si="163"/>
        <v>2.7150100453854714E-2</v>
      </c>
    </row>
    <row r="1748" spans="19:24" x14ac:dyDescent="0.25">
      <c r="S1748" s="44">
        <f t="shared" si="158"/>
        <v>44798</v>
      </c>
      <c r="T1748" s="12">
        <f t="shared" si="159"/>
        <v>4.6533357122651031</v>
      </c>
      <c r="U1748" s="12">
        <f t="shared" si="161"/>
        <v>4.524331877159784</v>
      </c>
      <c r="V1748" s="30">
        <f t="shared" si="162"/>
        <v>0.45623890410958901</v>
      </c>
      <c r="W1748" s="46">
        <f t="shared" si="160"/>
        <v>-4.6533357122651026E-2</v>
      </c>
      <c r="X1748" s="33">
        <f t="shared" si="163"/>
        <v>2.7150058941581765E-2</v>
      </c>
    </row>
    <row r="1749" spans="19:24" x14ac:dyDescent="0.25">
      <c r="S1749" s="44">
        <f t="shared" si="158"/>
        <v>44799</v>
      </c>
      <c r="T1749" s="12">
        <f t="shared" si="159"/>
        <v>4.6506586299635622</v>
      </c>
      <c r="U1749" s="12">
        <f t="shared" si="161"/>
        <v>4.5216807004349944</v>
      </c>
      <c r="V1749" s="30">
        <f t="shared" si="162"/>
        <v>0.456211506849315</v>
      </c>
      <c r="W1749" s="46">
        <f t="shared" si="160"/>
        <v>-4.6506586299635617E-2</v>
      </c>
      <c r="X1749" s="33">
        <f t="shared" si="163"/>
        <v>2.715001742930882E-2</v>
      </c>
    </row>
    <row r="1750" spans="19:24" x14ac:dyDescent="0.25">
      <c r="S1750" s="44">
        <f t="shared" si="158"/>
        <v>44800</v>
      </c>
      <c r="T1750" s="12">
        <f t="shared" si="159"/>
        <v>4.6479815476620221</v>
      </c>
      <c r="U1750" s="12">
        <f t="shared" si="161"/>
        <v>4.5190295237102056</v>
      </c>
      <c r="V1750" s="30">
        <f t="shared" si="162"/>
        <v>0.4561841095890411</v>
      </c>
      <c r="W1750" s="46">
        <f t="shared" si="160"/>
        <v>-4.6479815476620216E-2</v>
      </c>
      <c r="X1750" s="33">
        <f t="shared" si="163"/>
        <v>2.7149975917035878E-2</v>
      </c>
    </row>
    <row r="1751" spans="19:24" x14ac:dyDescent="0.25">
      <c r="S1751" s="44">
        <f t="shared" si="158"/>
        <v>44801</v>
      </c>
      <c r="T1751" s="12">
        <f t="shared" si="159"/>
        <v>4.6453044653604803</v>
      </c>
      <c r="U1751" s="12">
        <f t="shared" si="161"/>
        <v>4.516378346985416</v>
      </c>
      <c r="V1751" s="30">
        <f t="shared" si="162"/>
        <v>0.45615671232876709</v>
      </c>
      <c r="W1751" s="46">
        <f t="shared" si="160"/>
        <v>-4.6453044653604794E-2</v>
      </c>
      <c r="X1751" s="33">
        <f t="shared" si="163"/>
        <v>2.7149934404762936E-2</v>
      </c>
    </row>
    <row r="1752" spans="19:24" x14ac:dyDescent="0.25">
      <c r="S1752" s="44">
        <f t="shared" si="158"/>
        <v>44802</v>
      </c>
      <c r="T1752" s="12">
        <f t="shared" si="159"/>
        <v>4.6426273830589402</v>
      </c>
      <c r="U1752" s="12">
        <f t="shared" si="161"/>
        <v>4.5137271702606272</v>
      </c>
      <c r="V1752" s="30">
        <f t="shared" si="162"/>
        <v>0.45612931506849319</v>
      </c>
      <c r="W1752" s="46">
        <f t="shared" si="160"/>
        <v>-4.6426273830589393E-2</v>
      </c>
      <c r="X1752" s="33">
        <f t="shared" si="163"/>
        <v>2.7149892892489993E-2</v>
      </c>
    </row>
    <row r="1753" spans="19:24" x14ac:dyDescent="0.25">
      <c r="S1753" s="44">
        <f t="shared" si="158"/>
        <v>44803</v>
      </c>
      <c r="T1753" s="12">
        <f t="shared" si="159"/>
        <v>4.6399503007573992</v>
      </c>
      <c r="U1753" s="12">
        <f t="shared" si="161"/>
        <v>4.5110759935358367</v>
      </c>
      <c r="V1753" s="30">
        <f t="shared" si="162"/>
        <v>0.45610191780821918</v>
      </c>
      <c r="W1753" s="46">
        <f t="shared" si="160"/>
        <v>-4.6399503007573985E-2</v>
      </c>
      <c r="X1753" s="33">
        <f t="shared" si="163"/>
        <v>2.7149851380217044E-2</v>
      </c>
    </row>
    <row r="1754" spans="19:24" x14ac:dyDescent="0.25">
      <c r="S1754" s="44">
        <f t="shared" si="158"/>
        <v>44804</v>
      </c>
      <c r="T1754" s="12">
        <f t="shared" si="159"/>
        <v>4.6372732184558574</v>
      </c>
      <c r="U1754" s="12">
        <f t="shared" si="161"/>
        <v>4.5084248168110479</v>
      </c>
      <c r="V1754" s="30">
        <f t="shared" si="162"/>
        <v>0.45607452054794523</v>
      </c>
      <c r="W1754" s="46">
        <f t="shared" si="160"/>
        <v>-4.637273218455857E-2</v>
      </c>
      <c r="X1754" s="33">
        <f t="shared" si="163"/>
        <v>2.7149809867944102E-2</v>
      </c>
    </row>
    <row r="1755" spans="19:24" x14ac:dyDescent="0.25">
      <c r="S1755" s="44">
        <f t="shared" si="158"/>
        <v>44805</v>
      </c>
      <c r="T1755" s="12">
        <f t="shared" si="159"/>
        <v>4.6345961361543155</v>
      </c>
      <c r="U1755" s="12">
        <f t="shared" si="161"/>
        <v>4.50577364008626</v>
      </c>
      <c r="V1755" s="30">
        <f t="shared" si="162"/>
        <v>0.45604712328767122</v>
      </c>
      <c r="W1755" s="46">
        <f t="shared" si="160"/>
        <v>-4.6345961361543148E-2</v>
      </c>
      <c r="X1755" s="33">
        <f t="shared" si="163"/>
        <v>2.7149768355671157E-2</v>
      </c>
    </row>
    <row r="1756" spans="19:24" x14ac:dyDescent="0.25">
      <c r="S1756" s="44">
        <f t="shared" si="158"/>
        <v>44806</v>
      </c>
      <c r="T1756" s="12">
        <f t="shared" si="159"/>
        <v>4.6319190538527746</v>
      </c>
      <c r="U1756" s="12">
        <f t="shared" si="161"/>
        <v>4.5031224633614686</v>
      </c>
      <c r="V1756" s="30">
        <f t="shared" si="162"/>
        <v>0.45601972602739727</v>
      </c>
      <c r="W1756" s="46">
        <f t="shared" si="160"/>
        <v>-4.6319190538527739E-2</v>
      </c>
      <c r="X1756" s="33">
        <f t="shared" si="163"/>
        <v>2.7149726843398215E-2</v>
      </c>
    </row>
    <row r="1757" spans="19:24" x14ac:dyDescent="0.25">
      <c r="S1757" s="44">
        <f t="shared" si="158"/>
        <v>44807</v>
      </c>
      <c r="T1757" s="12">
        <f t="shared" si="159"/>
        <v>4.6292419715512336</v>
      </c>
      <c r="U1757" s="12">
        <f t="shared" si="161"/>
        <v>4.5004712866366807</v>
      </c>
      <c r="V1757" s="30">
        <f t="shared" si="162"/>
        <v>0.45599232876712331</v>
      </c>
      <c r="W1757" s="46">
        <f t="shared" si="160"/>
        <v>-4.6292419715512331E-2</v>
      </c>
      <c r="X1757" s="33">
        <f t="shared" si="163"/>
        <v>2.7149685331125273E-2</v>
      </c>
    </row>
    <row r="1758" spans="19:24" x14ac:dyDescent="0.25">
      <c r="S1758" s="44">
        <f t="shared" si="158"/>
        <v>44808</v>
      </c>
      <c r="T1758" s="12">
        <f t="shared" si="159"/>
        <v>4.6265648892496936</v>
      </c>
      <c r="U1758" s="12">
        <f t="shared" si="161"/>
        <v>4.4978201099118893</v>
      </c>
      <c r="V1758" s="30">
        <f t="shared" si="162"/>
        <v>0.4559649315068493</v>
      </c>
      <c r="W1758" s="46">
        <f t="shared" si="160"/>
        <v>-4.626564889249693E-2</v>
      </c>
      <c r="X1758" s="33">
        <f t="shared" si="163"/>
        <v>2.7149643818852331E-2</v>
      </c>
    </row>
    <row r="1759" spans="19:24" x14ac:dyDescent="0.25">
      <c r="S1759" s="44">
        <f t="shared" si="158"/>
        <v>44809</v>
      </c>
      <c r="T1759" s="12">
        <f t="shared" si="159"/>
        <v>4.6238878069481517</v>
      </c>
      <c r="U1759" s="12">
        <f t="shared" si="161"/>
        <v>4.4951689331871014</v>
      </c>
      <c r="V1759" s="30">
        <f t="shared" si="162"/>
        <v>0.45593753424657535</v>
      </c>
      <c r="W1759" s="46">
        <f t="shared" si="160"/>
        <v>-4.6238878069481508E-2</v>
      </c>
      <c r="X1759" s="33">
        <f t="shared" si="163"/>
        <v>2.7149602306579382E-2</v>
      </c>
    </row>
    <row r="1760" spans="19:24" x14ac:dyDescent="0.25">
      <c r="S1760" s="44">
        <f t="shared" si="158"/>
        <v>44810</v>
      </c>
      <c r="T1760" s="12">
        <f t="shared" si="159"/>
        <v>4.6212107246466108</v>
      </c>
      <c r="U1760" s="12">
        <f t="shared" si="161"/>
        <v>4.4925177564623118</v>
      </c>
      <c r="V1760" s="30">
        <f t="shared" si="162"/>
        <v>0.45591013698630134</v>
      </c>
      <c r="W1760" s="46">
        <f t="shared" si="160"/>
        <v>-4.62121072464661E-2</v>
      </c>
      <c r="X1760" s="33">
        <f t="shared" si="163"/>
        <v>2.714956079430644E-2</v>
      </c>
    </row>
    <row r="1761" spans="19:24" x14ac:dyDescent="0.25">
      <c r="S1761" s="44">
        <f t="shared" si="158"/>
        <v>44811</v>
      </c>
      <c r="T1761" s="12">
        <f t="shared" si="159"/>
        <v>4.6185336423450707</v>
      </c>
      <c r="U1761" s="12">
        <f t="shared" si="161"/>
        <v>4.489866579737523</v>
      </c>
      <c r="V1761" s="30">
        <f t="shared" si="162"/>
        <v>0.45588273972602744</v>
      </c>
      <c r="W1761" s="46">
        <f t="shared" si="160"/>
        <v>-4.6185336423450699E-2</v>
      </c>
      <c r="X1761" s="33">
        <f t="shared" si="163"/>
        <v>2.7149519282033501E-2</v>
      </c>
    </row>
    <row r="1762" spans="19:24" x14ac:dyDescent="0.25">
      <c r="S1762" s="44">
        <f t="shared" ref="S1762:S1825" si="164">+S1761+1</f>
        <v>44812</v>
      </c>
      <c r="T1762" s="12">
        <f t="shared" ref="T1762:T1825" si="165">DurMod(S1762,B$2,$F$7:$G$37,$T$3)</f>
        <v>4.6158565600435271</v>
      </c>
      <c r="U1762" s="12">
        <f t="shared" si="161"/>
        <v>4.4872154030127334</v>
      </c>
      <c r="V1762" s="30">
        <f t="shared" si="162"/>
        <v>0.45585534246575343</v>
      </c>
      <c r="W1762" s="46">
        <f t="shared" ref="W1762:W1825" si="166">+-T1762*($U$3-$T$3)</f>
        <v>-4.6158565600435263E-2</v>
      </c>
      <c r="X1762" s="33">
        <f t="shared" si="163"/>
        <v>2.7149477769760559E-2</v>
      </c>
    </row>
    <row r="1763" spans="19:24" x14ac:dyDescent="0.25">
      <c r="S1763" s="44">
        <f t="shared" si="164"/>
        <v>44813</v>
      </c>
      <c r="T1763" s="12">
        <f t="shared" si="165"/>
        <v>4.613179477741987</v>
      </c>
      <c r="U1763" s="12">
        <f t="shared" si="161"/>
        <v>4.4845642262879455</v>
      </c>
      <c r="V1763" s="30">
        <f t="shared" si="162"/>
        <v>0.45582794520547942</v>
      </c>
      <c r="W1763" s="46">
        <f t="shared" si="166"/>
        <v>-4.6131794777419861E-2</v>
      </c>
      <c r="X1763" s="33">
        <f t="shared" si="163"/>
        <v>2.7149436257487607E-2</v>
      </c>
    </row>
    <row r="1764" spans="19:24" x14ac:dyDescent="0.25">
      <c r="S1764" s="44">
        <f t="shared" si="164"/>
        <v>44814</v>
      </c>
      <c r="T1764" s="12">
        <f t="shared" si="165"/>
        <v>4.6105023954404443</v>
      </c>
      <c r="U1764" s="12">
        <f t="shared" si="161"/>
        <v>4.4819130495631558</v>
      </c>
      <c r="V1764" s="30">
        <f t="shared" si="162"/>
        <v>0.45580054794520547</v>
      </c>
      <c r="W1764" s="46">
        <f t="shared" si="166"/>
        <v>-4.6105023954404432E-2</v>
      </c>
      <c r="X1764" s="33">
        <f t="shared" si="163"/>
        <v>2.7149394745214668E-2</v>
      </c>
    </row>
    <row r="1765" spans="19:24" x14ac:dyDescent="0.25">
      <c r="S1765" s="44">
        <f t="shared" si="164"/>
        <v>44815</v>
      </c>
      <c r="T1765" s="12">
        <f t="shared" si="165"/>
        <v>4.6078253131389042</v>
      </c>
      <c r="U1765" s="12">
        <f t="shared" si="161"/>
        <v>4.4792618728383653</v>
      </c>
      <c r="V1765" s="30">
        <f t="shared" si="162"/>
        <v>0.45577315068493152</v>
      </c>
      <c r="W1765" s="46">
        <f t="shared" si="166"/>
        <v>-4.6078253131389038E-2</v>
      </c>
      <c r="X1765" s="33">
        <f t="shared" si="163"/>
        <v>2.7149353232941723E-2</v>
      </c>
    </row>
    <row r="1766" spans="19:24" x14ac:dyDescent="0.25">
      <c r="S1766" s="44">
        <f t="shared" si="164"/>
        <v>44816</v>
      </c>
      <c r="T1766" s="12">
        <f t="shared" si="165"/>
        <v>4.6051482308373632</v>
      </c>
      <c r="U1766" s="12">
        <f t="shared" si="161"/>
        <v>4.4766106961135748</v>
      </c>
      <c r="V1766" s="30">
        <f t="shared" si="162"/>
        <v>0.45574575342465756</v>
      </c>
      <c r="W1766" s="46">
        <f t="shared" si="166"/>
        <v>-4.6051482308373623E-2</v>
      </c>
      <c r="X1766" s="33">
        <f t="shared" si="163"/>
        <v>2.714931172066878E-2</v>
      </c>
    </row>
    <row r="1767" spans="19:24" x14ac:dyDescent="0.25">
      <c r="S1767" s="44">
        <f t="shared" si="164"/>
        <v>44817</v>
      </c>
      <c r="T1767" s="12">
        <f t="shared" si="165"/>
        <v>4.6024711485358205</v>
      </c>
      <c r="U1767" s="12">
        <f t="shared" si="161"/>
        <v>4.4739595193887887</v>
      </c>
      <c r="V1767" s="30">
        <f t="shared" si="162"/>
        <v>0.45571835616438355</v>
      </c>
      <c r="W1767" s="46">
        <f t="shared" si="166"/>
        <v>-4.6024711485358201E-2</v>
      </c>
      <c r="X1767" s="33">
        <f t="shared" si="163"/>
        <v>2.7149270208395831E-2</v>
      </c>
    </row>
    <row r="1768" spans="19:24" x14ac:dyDescent="0.25">
      <c r="S1768" s="44">
        <f t="shared" si="164"/>
        <v>44818</v>
      </c>
      <c r="T1768" s="12">
        <f t="shared" si="165"/>
        <v>4.5997940662342813</v>
      </c>
      <c r="U1768" s="12">
        <f t="shared" si="161"/>
        <v>4.4713083426639963</v>
      </c>
      <c r="V1768" s="30">
        <f t="shared" si="162"/>
        <v>0.4556909589041096</v>
      </c>
      <c r="W1768" s="46">
        <f t="shared" si="166"/>
        <v>-4.5997940662342807E-2</v>
      </c>
      <c r="X1768" s="33">
        <f t="shared" si="163"/>
        <v>2.7149228696122889E-2</v>
      </c>
    </row>
    <row r="1769" spans="19:24" x14ac:dyDescent="0.25">
      <c r="S1769" s="44">
        <f t="shared" si="164"/>
        <v>44819</v>
      </c>
      <c r="T1769" s="12">
        <f t="shared" si="165"/>
        <v>4.5971169839327395</v>
      </c>
      <c r="U1769" s="12">
        <f t="shared" si="161"/>
        <v>4.4686571659392094</v>
      </c>
      <c r="V1769" s="30">
        <f t="shared" si="162"/>
        <v>0.45566356164383559</v>
      </c>
      <c r="W1769" s="46">
        <f t="shared" si="166"/>
        <v>-4.5971169839327385E-2</v>
      </c>
      <c r="X1769" s="33">
        <f t="shared" si="163"/>
        <v>2.7149187183849947E-2</v>
      </c>
    </row>
    <row r="1770" spans="19:24" x14ac:dyDescent="0.25">
      <c r="S1770" s="44">
        <f t="shared" si="164"/>
        <v>44820</v>
      </c>
      <c r="T1770" s="12">
        <f t="shared" si="165"/>
        <v>4.5944399016311976</v>
      </c>
      <c r="U1770" s="12">
        <f t="shared" si="161"/>
        <v>4.4660059892144179</v>
      </c>
      <c r="V1770" s="30">
        <f t="shared" si="162"/>
        <v>0.45563616438356169</v>
      </c>
      <c r="W1770" s="46">
        <f t="shared" si="166"/>
        <v>-4.5944399016311969E-2</v>
      </c>
      <c r="X1770" s="33">
        <f t="shared" si="163"/>
        <v>2.7149145671577005E-2</v>
      </c>
    </row>
    <row r="1771" spans="19:24" x14ac:dyDescent="0.25">
      <c r="S1771" s="44">
        <f t="shared" si="164"/>
        <v>44821</v>
      </c>
      <c r="T1771" s="12">
        <f t="shared" si="165"/>
        <v>4.5917628193296576</v>
      </c>
      <c r="U1771" s="12">
        <f t="shared" si="161"/>
        <v>4.4633548124896301</v>
      </c>
      <c r="V1771" s="30">
        <f t="shared" si="162"/>
        <v>0.45560876712328768</v>
      </c>
      <c r="W1771" s="46">
        <f t="shared" si="166"/>
        <v>-4.5917628193296568E-2</v>
      </c>
      <c r="X1771" s="33">
        <f t="shared" si="163"/>
        <v>2.714910415930406E-2</v>
      </c>
    </row>
    <row r="1772" spans="19:24" x14ac:dyDescent="0.25">
      <c r="S1772" s="44">
        <f t="shared" si="164"/>
        <v>44822</v>
      </c>
      <c r="T1772" s="12">
        <f t="shared" si="165"/>
        <v>4.5890857370281157</v>
      </c>
      <c r="U1772" s="12">
        <f t="shared" si="161"/>
        <v>4.4607036357648404</v>
      </c>
      <c r="V1772" s="30">
        <f t="shared" si="162"/>
        <v>0.45558136986301367</v>
      </c>
      <c r="W1772" s="46">
        <f t="shared" si="166"/>
        <v>-4.5890857370281153E-2</v>
      </c>
      <c r="X1772" s="33">
        <f t="shared" si="163"/>
        <v>2.7149062647031111E-2</v>
      </c>
    </row>
    <row r="1773" spans="19:24" x14ac:dyDescent="0.25">
      <c r="S1773" s="44">
        <f t="shared" si="164"/>
        <v>44823</v>
      </c>
      <c r="T1773" s="12">
        <f t="shared" si="165"/>
        <v>4.5864086547265748</v>
      </c>
      <c r="U1773" s="12">
        <f t="shared" si="161"/>
        <v>4.4580524590400525</v>
      </c>
      <c r="V1773" s="30">
        <f t="shared" si="162"/>
        <v>0.45555397260273972</v>
      </c>
      <c r="W1773" s="46">
        <f t="shared" si="166"/>
        <v>-4.5864086547265738E-2</v>
      </c>
      <c r="X1773" s="33">
        <f t="shared" si="163"/>
        <v>2.7149021134758169E-2</v>
      </c>
    </row>
    <row r="1774" spans="19:24" x14ac:dyDescent="0.25">
      <c r="S1774" s="44">
        <f t="shared" si="164"/>
        <v>44824</v>
      </c>
      <c r="T1774" s="12">
        <f t="shared" si="165"/>
        <v>4.583731572425032</v>
      </c>
      <c r="U1774" s="12">
        <f t="shared" si="161"/>
        <v>4.4554012823152611</v>
      </c>
      <c r="V1774" s="30">
        <f t="shared" si="162"/>
        <v>0.45552657534246577</v>
      </c>
      <c r="W1774" s="46">
        <f t="shared" si="166"/>
        <v>-4.5837315724250316E-2</v>
      </c>
      <c r="X1774" s="33">
        <f t="shared" si="163"/>
        <v>2.7148979622485227E-2</v>
      </c>
    </row>
    <row r="1775" spans="19:24" x14ac:dyDescent="0.25">
      <c r="S1775" s="44">
        <f t="shared" si="164"/>
        <v>44825</v>
      </c>
      <c r="T1775" s="12">
        <f t="shared" si="165"/>
        <v>4.581054490123492</v>
      </c>
      <c r="U1775" s="12">
        <f t="shared" si="161"/>
        <v>4.4527501055904715</v>
      </c>
      <c r="V1775" s="30">
        <f t="shared" si="162"/>
        <v>0.45549917808219176</v>
      </c>
      <c r="W1775" s="46">
        <f t="shared" si="166"/>
        <v>-4.5810544901234915E-2</v>
      </c>
      <c r="X1775" s="33">
        <f t="shared" si="163"/>
        <v>2.7148938110212281E-2</v>
      </c>
    </row>
    <row r="1776" spans="19:24" x14ac:dyDescent="0.25">
      <c r="S1776" s="44">
        <f t="shared" si="164"/>
        <v>44826</v>
      </c>
      <c r="T1776" s="12">
        <f t="shared" si="165"/>
        <v>4.5783774078219492</v>
      </c>
      <c r="U1776" s="12">
        <f t="shared" si="161"/>
        <v>4.4500989288656836</v>
      </c>
      <c r="V1776" s="30">
        <f t="shared" si="162"/>
        <v>0.4554717808219178</v>
      </c>
      <c r="W1776" s="46">
        <f t="shared" si="166"/>
        <v>-4.5783774078219486E-2</v>
      </c>
      <c r="X1776" s="33">
        <f t="shared" si="163"/>
        <v>2.7148896597939339E-2</v>
      </c>
    </row>
    <row r="1777" spans="19:24" x14ac:dyDescent="0.25">
      <c r="S1777" s="44">
        <f t="shared" si="164"/>
        <v>44827</v>
      </c>
      <c r="T1777" s="12">
        <f t="shared" si="165"/>
        <v>4.5757003255204101</v>
      </c>
      <c r="U1777" s="12">
        <f t="shared" si="161"/>
        <v>4.4474477521408939</v>
      </c>
      <c r="V1777" s="30">
        <f t="shared" si="162"/>
        <v>0.4554443835616438</v>
      </c>
      <c r="W1777" s="46">
        <f t="shared" si="166"/>
        <v>-4.5757003255204091E-2</v>
      </c>
      <c r="X1777" s="33">
        <f t="shared" si="163"/>
        <v>2.714885508566639E-2</v>
      </c>
    </row>
    <row r="1778" spans="19:24" x14ac:dyDescent="0.25">
      <c r="S1778" s="44">
        <f t="shared" si="164"/>
        <v>44828</v>
      </c>
      <c r="T1778" s="12">
        <f t="shared" si="165"/>
        <v>4.5730232432188673</v>
      </c>
      <c r="U1778" s="12">
        <f t="shared" si="161"/>
        <v>4.4447965754161052</v>
      </c>
      <c r="V1778" s="30">
        <f t="shared" si="162"/>
        <v>0.45541698630136984</v>
      </c>
      <c r="W1778" s="46">
        <f t="shared" si="166"/>
        <v>-4.5730232432188669E-2</v>
      </c>
      <c r="X1778" s="33">
        <f t="shared" si="163"/>
        <v>2.7148813573393448E-2</v>
      </c>
    </row>
    <row r="1779" spans="19:24" x14ac:dyDescent="0.25">
      <c r="S1779" s="44">
        <f t="shared" si="164"/>
        <v>44829</v>
      </c>
      <c r="T1779" s="12">
        <f t="shared" si="165"/>
        <v>4.570346160917329</v>
      </c>
      <c r="U1779" s="12">
        <f t="shared" si="161"/>
        <v>4.4421453986913164</v>
      </c>
      <c r="V1779" s="30">
        <f t="shared" si="162"/>
        <v>0.45538958904109589</v>
      </c>
      <c r="W1779" s="46">
        <f t="shared" si="166"/>
        <v>-4.5703461609173282E-2</v>
      </c>
      <c r="X1779" s="33">
        <f t="shared" si="163"/>
        <v>2.7148772061120506E-2</v>
      </c>
    </row>
    <row r="1780" spans="19:24" x14ac:dyDescent="0.25">
      <c r="S1780" s="44">
        <f t="shared" si="164"/>
        <v>44830</v>
      </c>
      <c r="T1780" s="12">
        <f t="shared" si="165"/>
        <v>4.5676690786157863</v>
      </c>
      <c r="U1780" s="12">
        <f t="shared" si="161"/>
        <v>4.4394942219665268</v>
      </c>
      <c r="V1780" s="30">
        <f t="shared" si="162"/>
        <v>0.45536219178082193</v>
      </c>
      <c r="W1780" s="46">
        <f t="shared" si="166"/>
        <v>-4.5676690786157853E-2</v>
      </c>
      <c r="X1780" s="33">
        <f t="shared" si="163"/>
        <v>2.7148730548847564E-2</v>
      </c>
    </row>
    <row r="1781" spans="19:24" x14ac:dyDescent="0.25">
      <c r="S1781" s="44">
        <f t="shared" si="164"/>
        <v>44831</v>
      </c>
      <c r="T1781" s="12">
        <f t="shared" si="165"/>
        <v>4.5649919963142445</v>
      </c>
      <c r="U1781" s="12">
        <f t="shared" si="161"/>
        <v>4.4368430452417362</v>
      </c>
      <c r="V1781" s="30">
        <f t="shared" si="162"/>
        <v>0.45533479452054793</v>
      </c>
      <c r="W1781" s="46">
        <f t="shared" si="166"/>
        <v>-4.5649919963142438E-2</v>
      </c>
      <c r="X1781" s="33">
        <f t="shared" si="163"/>
        <v>2.7148689036574618E-2</v>
      </c>
    </row>
    <row r="1782" spans="19:24" x14ac:dyDescent="0.25">
      <c r="S1782" s="44">
        <f t="shared" si="164"/>
        <v>44832</v>
      </c>
      <c r="T1782" s="12">
        <f t="shared" si="165"/>
        <v>4.5623149140127044</v>
      </c>
      <c r="U1782" s="12">
        <f t="shared" si="161"/>
        <v>4.4341918685169484</v>
      </c>
      <c r="V1782" s="30">
        <f t="shared" si="162"/>
        <v>0.45530739726027392</v>
      </c>
      <c r="W1782" s="46">
        <f t="shared" si="166"/>
        <v>-4.5623149140127037E-2</v>
      </c>
      <c r="X1782" s="33">
        <f t="shared" si="163"/>
        <v>2.7148647524301673E-2</v>
      </c>
    </row>
    <row r="1783" spans="19:24" x14ac:dyDescent="0.25">
      <c r="S1783" s="44">
        <f t="shared" si="164"/>
        <v>44833</v>
      </c>
      <c r="T1783" s="12">
        <f t="shared" si="165"/>
        <v>4.5596378317111625</v>
      </c>
      <c r="U1783" s="12">
        <f t="shared" si="161"/>
        <v>4.4315406917921569</v>
      </c>
      <c r="V1783" s="30">
        <f t="shared" si="162"/>
        <v>0.45528000000000002</v>
      </c>
      <c r="W1783" s="46">
        <f t="shared" si="166"/>
        <v>-4.5596378317111622E-2</v>
      </c>
      <c r="X1783" s="33">
        <f t="shared" si="163"/>
        <v>2.7148606012028734E-2</v>
      </c>
    </row>
    <row r="1784" spans="19:24" x14ac:dyDescent="0.25">
      <c r="S1784" s="44">
        <f t="shared" si="164"/>
        <v>44834</v>
      </c>
      <c r="T1784" s="12">
        <f t="shared" si="165"/>
        <v>4.5569607494096216</v>
      </c>
      <c r="U1784" s="12">
        <f t="shared" si="161"/>
        <v>4.4288895150673691</v>
      </c>
      <c r="V1784" s="30">
        <f t="shared" si="162"/>
        <v>0.45525260273972601</v>
      </c>
      <c r="W1784" s="46">
        <f t="shared" si="166"/>
        <v>-4.5569607494096206E-2</v>
      </c>
      <c r="X1784" s="33">
        <f t="shared" si="163"/>
        <v>2.7148564499755789E-2</v>
      </c>
    </row>
    <row r="1785" spans="19:24" x14ac:dyDescent="0.25">
      <c r="S1785" s="44">
        <f t="shared" si="164"/>
        <v>44835</v>
      </c>
      <c r="T1785" s="12">
        <f t="shared" si="165"/>
        <v>4.5542836671080806</v>
      </c>
      <c r="U1785" s="12">
        <f t="shared" si="161"/>
        <v>4.4262383383425794</v>
      </c>
      <c r="V1785" s="30">
        <f t="shared" si="162"/>
        <v>0.45522520547945206</v>
      </c>
      <c r="W1785" s="46">
        <f t="shared" si="166"/>
        <v>-4.5542836671080798E-2</v>
      </c>
      <c r="X1785" s="33">
        <f t="shared" si="163"/>
        <v>2.7148522987482847E-2</v>
      </c>
    </row>
    <row r="1786" spans="19:24" x14ac:dyDescent="0.25">
      <c r="S1786" s="44">
        <f t="shared" si="164"/>
        <v>44836</v>
      </c>
      <c r="T1786" s="12">
        <f t="shared" si="165"/>
        <v>4.5516065848065388</v>
      </c>
      <c r="U1786" s="12">
        <f t="shared" si="161"/>
        <v>4.4235871616177906</v>
      </c>
      <c r="V1786" s="30">
        <f t="shared" si="162"/>
        <v>0.45519780821917805</v>
      </c>
      <c r="W1786" s="46">
        <f t="shared" si="166"/>
        <v>-4.5516065848065383E-2</v>
      </c>
      <c r="X1786" s="33">
        <f t="shared" si="163"/>
        <v>2.7148481475209898E-2</v>
      </c>
    </row>
    <row r="1787" spans="19:24" x14ac:dyDescent="0.25">
      <c r="S1787" s="44">
        <f t="shared" si="164"/>
        <v>44837</v>
      </c>
      <c r="T1787" s="12">
        <f t="shared" si="165"/>
        <v>4.5489295025049969</v>
      </c>
      <c r="U1787" s="12">
        <f t="shared" si="161"/>
        <v>4.420935984893001</v>
      </c>
      <c r="V1787" s="30">
        <f t="shared" si="162"/>
        <v>0.45517041095890409</v>
      </c>
      <c r="W1787" s="46">
        <f t="shared" si="166"/>
        <v>-4.5489295025049961E-2</v>
      </c>
      <c r="X1787" s="33">
        <f t="shared" si="163"/>
        <v>2.7148439962936956E-2</v>
      </c>
    </row>
    <row r="1788" spans="19:24" x14ac:dyDescent="0.25">
      <c r="S1788" s="44">
        <f t="shared" si="164"/>
        <v>44838</v>
      </c>
      <c r="T1788" s="12">
        <f t="shared" si="165"/>
        <v>4.546252420203456</v>
      </c>
      <c r="U1788" s="12">
        <f t="shared" si="161"/>
        <v>4.4182848081682113</v>
      </c>
      <c r="V1788" s="30">
        <f t="shared" si="162"/>
        <v>0.45514301369863014</v>
      </c>
      <c r="W1788" s="46">
        <f t="shared" si="166"/>
        <v>-4.5462524202034553E-2</v>
      </c>
      <c r="X1788" s="33">
        <f t="shared" si="163"/>
        <v>2.7148398450664014E-2</v>
      </c>
    </row>
    <row r="1789" spans="19:24" x14ac:dyDescent="0.25">
      <c r="S1789" s="44">
        <f t="shared" si="164"/>
        <v>44839</v>
      </c>
      <c r="T1789" s="12">
        <f t="shared" si="165"/>
        <v>4.5435753379019159</v>
      </c>
      <c r="U1789" s="12">
        <f t="shared" si="161"/>
        <v>4.4156336314434235</v>
      </c>
      <c r="V1789" s="30">
        <f t="shared" si="162"/>
        <v>0.45511561643835613</v>
      </c>
      <c r="W1789" s="46">
        <f t="shared" si="166"/>
        <v>-4.5435753379019152E-2</v>
      </c>
      <c r="X1789" s="33">
        <f t="shared" si="163"/>
        <v>2.7148356938391068E-2</v>
      </c>
    </row>
    <row r="1790" spans="19:24" x14ac:dyDescent="0.25">
      <c r="S1790" s="44">
        <f t="shared" si="164"/>
        <v>44840</v>
      </c>
      <c r="T1790" s="12">
        <f t="shared" si="165"/>
        <v>4.5408982556003732</v>
      </c>
      <c r="U1790" s="12">
        <f t="shared" si="161"/>
        <v>4.4129824547186329</v>
      </c>
      <c r="V1790" s="30">
        <f t="shared" si="162"/>
        <v>0.45508821917808218</v>
      </c>
      <c r="W1790" s="46">
        <f t="shared" si="166"/>
        <v>-4.5408982556003723E-2</v>
      </c>
      <c r="X1790" s="33">
        <f t="shared" si="163"/>
        <v>2.7148315426118126E-2</v>
      </c>
    </row>
    <row r="1791" spans="19:24" x14ac:dyDescent="0.25">
      <c r="S1791" s="44">
        <f t="shared" si="164"/>
        <v>44841</v>
      </c>
      <c r="T1791" s="12">
        <f t="shared" si="165"/>
        <v>4.5382211732988313</v>
      </c>
      <c r="U1791" s="12">
        <f t="shared" si="161"/>
        <v>4.4103312779938433</v>
      </c>
      <c r="V1791" s="30">
        <f t="shared" si="162"/>
        <v>0.45506082191780817</v>
      </c>
      <c r="W1791" s="46">
        <f t="shared" si="166"/>
        <v>-4.5382211732988308E-2</v>
      </c>
      <c r="X1791" s="33">
        <f t="shared" si="163"/>
        <v>2.7148273913845184E-2</v>
      </c>
    </row>
    <row r="1792" spans="19:24" x14ac:dyDescent="0.25">
      <c r="S1792" s="44">
        <f t="shared" si="164"/>
        <v>44842</v>
      </c>
      <c r="T1792" s="12">
        <f t="shared" si="165"/>
        <v>4.5355440909972913</v>
      </c>
      <c r="U1792" s="12">
        <f t="shared" si="161"/>
        <v>4.4076801012690545</v>
      </c>
      <c r="V1792" s="30">
        <f t="shared" si="162"/>
        <v>0.45503342465753427</v>
      </c>
      <c r="W1792" s="46">
        <f t="shared" si="166"/>
        <v>-4.5355440909972906E-2</v>
      </c>
      <c r="X1792" s="33">
        <f t="shared" si="163"/>
        <v>2.7148232401572242E-2</v>
      </c>
    </row>
    <row r="1793" spans="19:24" x14ac:dyDescent="0.25">
      <c r="S1793" s="44">
        <f t="shared" si="164"/>
        <v>44843</v>
      </c>
      <c r="T1793" s="12">
        <f t="shared" si="165"/>
        <v>4.5328670086957494</v>
      </c>
      <c r="U1793" s="12">
        <f t="shared" si="161"/>
        <v>4.4050289245442649</v>
      </c>
      <c r="V1793" s="30">
        <f t="shared" si="162"/>
        <v>0.45500602739726026</v>
      </c>
      <c r="W1793" s="46">
        <f t="shared" si="166"/>
        <v>-4.5328670086957484E-2</v>
      </c>
      <c r="X1793" s="33">
        <f t="shared" si="163"/>
        <v>2.7148190889299293E-2</v>
      </c>
    </row>
    <row r="1794" spans="19:24" x14ac:dyDescent="0.25">
      <c r="S1794" s="44">
        <f t="shared" si="164"/>
        <v>44844</v>
      </c>
      <c r="T1794" s="12">
        <f t="shared" si="165"/>
        <v>4.5301899263942094</v>
      </c>
      <c r="U1794" s="12">
        <f t="shared" si="161"/>
        <v>4.4023777478194743</v>
      </c>
      <c r="V1794" s="30">
        <f t="shared" si="162"/>
        <v>0.45497863013698625</v>
      </c>
      <c r="W1794" s="46">
        <f t="shared" si="166"/>
        <v>-4.530189926394209E-2</v>
      </c>
      <c r="X1794" s="33">
        <f t="shared" si="163"/>
        <v>2.7148149377026348E-2</v>
      </c>
    </row>
    <row r="1795" spans="19:24" x14ac:dyDescent="0.25">
      <c r="S1795" s="44">
        <f t="shared" si="164"/>
        <v>44845</v>
      </c>
      <c r="T1795" s="12">
        <f t="shared" si="165"/>
        <v>4.5275128440926702</v>
      </c>
      <c r="U1795" s="12">
        <f t="shared" si="161"/>
        <v>4.3997265710946873</v>
      </c>
      <c r="V1795" s="30">
        <f t="shared" si="162"/>
        <v>0.45495123287671235</v>
      </c>
      <c r="W1795" s="46">
        <f t="shared" si="166"/>
        <v>-4.5275128440926696E-2</v>
      </c>
      <c r="X1795" s="33">
        <f t="shared" si="163"/>
        <v>2.7148107864753409E-2</v>
      </c>
    </row>
    <row r="1796" spans="19:24" x14ac:dyDescent="0.25">
      <c r="S1796" s="44">
        <f t="shared" si="164"/>
        <v>44846</v>
      </c>
      <c r="T1796" s="12">
        <f t="shared" si="165"/>
        <v>4.5248357617911283</v>
      </c>
      <c r="U1796" s="12">
        <f t="shared" si="161"/>
        <v>4.3970753943698977</v>
      </c>
      <c r="V1796" s="30">
        <f t="shared" si="162"/>
        <v>0.45492383561643834</v>
      </c>
      <c r="W1796" s="46">
        <f t="shared" si="166"/>
        <v>-4.5248357617911274E-2</v>
      </c>
      <c r="X1796" s="33">
        <f t="shared" si="163"/>
        <v>2.7148066352480456E-2</v>
      </c>
    </row>
    <row r="1797" spans="19:24" x14ac:dyDescent="0.25">
      <c r="S1797" s="44">
        <f t="shared" si="164"/>
        <v>44847</v>
      </c>
      <c r="T1797" s="12">
        <f t="shared" si="165"/>
        <v>4.5221586794895856</v>
      </c>
      <c r="U1797" s="12">
        <f t="shared" ref="U1797:U1860" si="167">DurMod($S1797,$B$2,$F$7:$G$37,U$3)</f>
        <v>4.3944242176451072</v>
      </c>
      <c r="V1797" s="30">
        <f t="shared" ref="V1797:V1860" si="168">+$U$3*($S$5512-S1797)/365+$T$3*(S1797-$S$4)/365</f>
        <v>0.45489643835616439</v>
      </c>
      <c r="W1797" s="46">
        <f t="shared" si="166"/>
        <v>-4.5221586794895852E-2</v>
      </c>
      <c r="X1797" s="33">
        <f t="shared" ref="X1797:X1860" si="169">+(V1797+W1797)*365/($S$5512-$S$4)</f>
        <v>2.7148024840207521E-2</v>
      </c>
    </row>
    <row r="1798" spans="19:24" x14ac:dyDescent="0.25">
      <c r="S1798" s="44">
        <f t="shared" si="164"/>
        <v>44848</v>
      </c>
      <c r="T1798" s="12">
        <f t="shared" si="165"/>
        <v>4.5194815971880447</v>
      </c>
      <c r="U1798" s="12">
        <f t="shared" si="167"/>
        <v>4.3917730409203184</v>
      </c>
      <c r="V1798" s="30">
        <f t="shared" si="168"/>
        <v>0.45486904109589044</v>
      </c>
      <c r="W1798" s="46">
        <f t="shared" si="166"/>
        <v>-4.5194815971880437E-2</v>
      </c>
      <c r="X1798" s="33">
        <f t="shared" si="169"/>
        <v>2.7147983327934572E-2</v>
      </c>
    </row>
    <row r="1799" spans="19:24" x14ac:dyDescent="0.25">
      <c r="S1799" s="44">
        <f t="shared" si="164"/>
        <v>44849</v>
      </c>
      <c r="T1799" s="12">
        <f t="shared" si="165"/>
        <v>4.5168045148865046</v>
      </c>
      <c r="U1799" s="12">
        <f t="shared" si="167"/>
        <v>4.3891218641955279</v>
      </c>
      <c r="V1799" s="30">
        <f t="shared" si="168"/>
        <v>0.45484164383561643</v>
      </c>
      <c r="W1799" s="46">
        <f t="shared" si="166"/>
        <v>-4.5168045148865042E-2</v>
      </c>
      <c r="X1799" s="33">
        <f t="shared" si="169"/>
        <v>2.714794181566163E-2</v>
      </c>
    </row>
    <row r="1800" spans="19:24" x14ac:dyDescent="0.25">
      <c r="S1800" s="44">
        <f t="shared" si="164"/>
        <v>44850</v>
      </c>
      <c r="T1800" s="12">
        <f t="shared" si="165"/>
        <v>4.5141274325849619</v>
      </c>
      <c r="U1800" s="12">
        <f t="shared" si="167"/>
        <v>4.38647068747074</v>
      </c>
      <c r="V1800" s="30">
        <f t="shared" si="168"/>
        <v>0.45481424657534247</v>
      </c>
      <c r="W1800" s="46">
        <f t="shared" si="166"/>
        <v>-4.5141274325849613E-2</v>
      </c>
      <c r="X1800" s="33">
        <f t="shared" si="169"/>
        <v>2.7147900303388685E-2</v>
      </c>
    </row>
    <row r="1801" spans="19:24" x14ac:dyDescent="0.25">
      <c r="S1801" s="44">
        <f t="shared" si="164"/>
        <v>44851</v>
      </c>
      <c r="T1801" s="12">
        <f t="shared" si="165"/>
        <v>4.5114503502834209</v>
      </c>
      <c r="U1801" s="12">
        <f t="shared" si="167"/>
        <v>4.3838195107459503</v>
      </c>
      <c r="V1801" s="30">
        <f t="shared" si="168"/>
        <v>0.45478684931506852</v>
      </c>
      <c r="W1801" s="46">
        <f t="shared" si="166"/>
        <v>-4.5114503502834205E-2</v>
      </c>
      <c r="X1801" s="33">
        <f t="shared" si="169"/>
        <v>2.714785879111575E-2</v>
      </c>
    </row>
    <row r="1802" spans="19:24" x14ac:dyDescent="0.25">
      <c r="S1802" s="44">
        <f t="shared" si="164"/>
        <v>44852</v>
      </c>
      <c r="T1802" s="12">
        <f t="shared" si="165"/>
        <v>4.5087732679818791</v>
      </c>
      <c r="U1802" s="12">
        <f t="shared" si="167"/>
        <v>4.3811683340211625</v>
      </c>
      <c r="V1802" s="30">
        <f t="shared" si="168"/>
        <v>0.45475945205479451</v>
      </c>
      <c r="W1802" s="46">
        <f t="shared" si="166"/>
        <v>-4.5087732679818783E-2</v>
      </c>
      <c r="X1802" s="33">
        <f t="shared" si="169"/>
        <v>2.7147817278842797E-2</v>
      </c>
    </row>
    <row r="1803" spans="19:24" x14ac:dyDescent="0.25">
      <c r="S1803" s="44">
        <f t="shared" si="164"/>
        <v>44853</v>
      </c>
      <c r="T1803" s="12">
        <f t="shared" si="165"/>
        <v>4.506096185680339</v>
      </c>
      <c r="U1803" s="12">
        <f t="shared" si="167"/>
        <v>4.3785171572963719</v>
      </c>
      <c r="V1803" s="30">
        <f t="shared" si="168"/>
        <v>0.45473205479452056</v>
      </c>
      <c r="W1803" s="46">
        <f t="shared" si="166"/>
        <v>-4.5060961856803382E-2</v>
      </c>
      <c r="X1803" s="33">
        <f t="shared" si="169"/>
        <v>2.7147775766569859E-2</v>
      </c>
    </row>
    <row r="1804" spans="19:24" x14ac:dyDescent="0.25">
      <c r="S1804" s="44">
        <f t="shared" si="164"/>
        <v>44854</v>
      </c>
      <c r="T1804" s="12">
        <f t="shared" si="165"/>
        <v>4.503419103378798</v>
      </c>
      <c r="U1804" s="12">
        <f t="shared" si="167"/>
        <v>4.3758659805715832</v>
      </c>
      <c r="V1804" s="30">
        <f t="shared" si="168"/>
        <v>0.4547046575342466</v>
      </c>
      <c r="W1804" s="46">
        <f t="shared" si="166"/>
        <v>-4.5034191033787974E-2</v>
      </c>
      <c r="X1804" s="33">
        <f t="shared" si="169"/>
        <v>2.7147734254296913E-2</v>
      </c>
    </row>
    <row r="1805" spans="19:24" x14ac:dyDescent="0.25">
      <c r="S1805" s="44">
        <f t="shared" si="164"/>
        <v>44855</v>
      </c>
      <c r="T1805" s="12">
        <f t="shared" si="165"/>
        <v>4.5007420210772571</v>
      </c>
      <c r="U1805" s="12">
        <f t="shared" si="167"/>
        <v>4.3732148038467935</v>
      </c>
      <c r="V1805" s="30">
        <f t="shared" si="168"/>
        <v>0.45467726027397259</v>
      </c>
      <c r="W1805" s="46">
        <f t="shared" si="166"/>
        <v>-4.5007420210772565E-2</v>
      </c>
      <c r="X1805" s="33">
        <f t="shared" si="169"/>
        <v>2.7147692742023964E-2</v>
      </c>
    </row>
    <row r="1806" spans="19:24" x14ac:dyDescent="0.25">
      <c r="S1806" s="44">
        <f t="shared" si="164"/>
        <v>44856</v>
      </c>
      <c r="T1806" s="12">
        <f t="shared" si="165"/>
        <v>4.4980649387757143</v>
      </c>
      <c r="U1806" s="12">
        <f t="shared" si="167"/>
        <v>4.3705636271220056</v>
      </c>
      <c r="V1806" s="30">
        <f t="shared" si="168"/>
        <v>0.45464986301369859</v>
      </c>
      <c r="W1806" s="46">
        <f t="shared" si="166"/>
        <v>-4.4980649387757136E-2</v>
      </c>
      <c r="X1806" s="33">
        <f t="shared" si="169"/>
        <v>2.7147651229751022E-2</v>
      </c>
    </row>
    <row r="1807" spans="19:24" x14ac:dyDescent="0.25">
      <c r="S1807" s="44">
        <f t="shared" si="164"/>
        <v>44857</v>
      </c>
      <c r="T1807" s="12">
        <f t="shared" si="165"/>
        <v>4.4953878564741734</v>
      </c>
      <c r="U1807" s="12">
        <f t="shared" si="167"/>
        <v>4.367912450397216</v>
      </c>
      <c r="V1807" s="30">
        <f t="shared" si="168"/>
        <v>0.45462246575342469</v>
      </c>
      <c r="W1807" s="46">
        <f t="shared" si="166"/>
        <v>-4.4953878564741728E-2</v>
      </c>
      <c r="X1807" s="33">
        <f t="shared" si="169"/>
        <v>2.714760971747808E-2</v>
      </c>
    </row>
    <row r="1808" spans="19:24" x14ac:dyDescent="0.25">
      <c r="S1808" s="44">
        <f t="shared" si="164"/>
        <v>44858</v>
      </c>
      <c r="T1808" s="12">
        <f t="shared" si="165"/>
        <v>4.4927107741726315</v>
      </c>
      <c r="U1808" s="12">
        <f t="shared" si="167"/>
        <v>4.3652612736724254</v>
      </c>
      <c r="V1808" s="30">
        <f t="shared" si="168"/>
        <v>0.45459506849315068</v>
      </c>
      <c r="W1808" s="46">
        <f t="shared" si="166"/>
        <v>-4.4927107741726306E-2</v>
      </c>
      <c r="X1808" s="33">
        <f t="shared" si="169"/>
        <v>2.7147568205205138E-2</v>
      </c>
    </row>
    <row r="1809" spans="19:24" x14ac:dyDescent="0.25">
      <c r="S1809" s="44">
        <f t="shared" si="164"/>
        <v>44859</v>
      </c>
      <c r="T1809" s="12">
        <f t="shared" si="165"/>
        <v>4.4900336918710906</v>
      </c>
      <c r="U1809" s="12">
        <f t="shared" si="167"/>
        <v>4.3626100969476367</v>
      </c>
      <c r="V1809" s="30">
        <f t="shared" si="168"/>
        <v>0.45456767123287672</v>
      </c>
      <c r="W1809" s="46">
        <f t="shared" si="166"/>
        <v>-4.4900336918710898E-2</v>
      </c>
      <c r="X1809" s="33">
        <f t="shared" si="169"/>
        <v>2.7147526692932192E-2</v>
      </c>
    </row>
    <row r="1810" spans="19:24" x14ac:dyDescent="0.25">
      <c r="S1810" s="44">
        <f t="shared" si="164"/>
        <v>44860</v>
      </c>
      <c r="T1810" s="12">
        <f t="shared" si="165"/>
        <v>4.4873566095695505</v>
      </c>
      <c r="U1810" s="12">
        <f t="shared" si="167"/>
        <v>4.3599589202228461</v>
      </c>
      <c r="V1810" s="30">
        <f t="shared" si="168"/>
        <v>0.45454027397260272</v>
      </c>
      <c r="W1810" s="46">
        <f t="shared" si="166"/>
        <v>-4.4873566095695497E-2</v>
      </c>
      <c r="X1810" s="33">
        <f t="shared" si="169"/>
        <v>2.714748518065925E-2</v>
      </c>
    </row>
    <row r="1811" spans="19:24" x14ac:dyDescent="0.25">
      <c r="S1811" s="44">
        <f t="shared" si="164"/>
        <v>44861</v>
      </c>
      <c r="T1811" s="12">
        <f t="shared" si="165"/>
        <v>4.4846795272680096</v>
      </c>
      <c r="U1811" s="12">
        <f t="shared" si="167"/>
        <v>4.3573077434980583</v>
      </c>
      <c r="V1811" s="30">
        <f t="shared" si="168"/>
        <v>0.45451287671232876</v>
      </c>
      <c r="W1811" s="46">
        <f t="shared" si="166"/>
        <v>-4.4846795272680089E-2</v>
      </c>
      <c r="X1811" s="33">
        <f t="shared" si="169"/>
        <v>2.7147443668386301E-2</v>
      </c>
    </row>
    <row r="1812" spans="19:24" x14ac:dyDescent="0.25">
      <c r="S1812" s="44">
        <f t="shared" si="164"/>
        <v>44862</v>
      </c>
      <c r="T1812" s="12">
        <f t="shared" si="165"/>
        <v>4.4820024449664677</v>
      </c>
      <c r="U1812" s="12">
        <f t="shared" si="167"/>
        <v>4.3546565667732677</v>
      </c>
      <c r="V1812" s="30">
        <f t="shared" si="168"/>
        <v>0.45448547945205481</v>
      </c>
      <c r="W1812" s="46">
        <f t="shared" si="166"/>
        <v>-4.4820024449664674E-2</v>
      </c>
      <c r="X1812" s="33">
        <f t="shared" si="169"/>
        <v>2.7147402156113366E-2</v>
      </c>
    </row>
    <row r="1813" spans="19:24" x14ac:dyDescent="0.25">
      <c r="S1813" s="44">
        <f t="shared" si="164"/>
        <v>44863</v>
      </c>
      <c r="T1813" s="12">
        <f t="shared" si="165"/>
        <v>4.4793253626649259</v>
      </c>
      <c r="U1813" s="12">
        <f t="shared" si="167"/>
        <v>4.3520053900484781</v>
      </c>
      <c r="V1813" s="30">
        <f t="shared" si="168"/>
        <v>0.45445808219178085</v>
      </c>
      <c r="W1813" s="46">
        <f t="shared" si="166"/>
        <v>-4.4793253626649251E-2</v>
      </c>
      <c r="X1813" s="33">
        <f t="shared" si="169"/>
        <v>2.7147360643840417E-2</v>
      </c>
    </row>
    <row r="1814" spans="19:24" x14ac:dyDescent="0.25">
      <c r="S1814" s="44">
        <f t="shared" si="164"/>
        <v>44864</v>
      </c>
      <c r="T1814" s="12">
        <f t="shared" si="165"/>
        <v>4.4766482803633867</v>
      </c>
      <c r="U1814" s="12">
        <f t="shared" si="167"/>
        <v>4.3493542133236893</v>
      </c>
      <c r="V1814" s="30">
        <f t="shared" si="168"/>
        <v>0.45443068493150685</v>
      </c>
      <c r="W1814" s="46">
        <f t="shared" si="166"/>
        <v>-4.4766482803633857E-2</v>
      </c>
      <c r="X1814" s="33">
        <f t="shared" si="169"/>
        <v>2.7147319131567472E-2</v>
      </c>
    </row>
    <row r="1815" spans="19:24" x14ac:dyDescent="0.25">
      <c r="S1815" s="44">
        <f t="shared" si="164"/>
        <v>44865</v>
      </c>
      <c r="T1815" s="12">
        <f t="shared" si="165"/>
        <v>4.473971198061844</v>
      </c>
      <c r="U1815" s="12">
        <f t="shared" si="167"/>
        <v>4.3467030365989014</v>
      </c>
      <c r="V1815" s="30">
        <f t="shared" si="168"/>
        <v>0.45440328767123284</v>
      </c>
      <c r="W1815" s="46">
        <f t="shared" si="166"/>
        <v>-4.4739711980618435E-2</v>
      </c>
      <c r="X1815" s="33">
        <f t="shared" si="169"/>
        <v>2.714727761929453E-2</v>
      </c>
    </row>
    <row r="1816" spans="19:24" x14ac:dyDescent="0.25">
      <c r="S1816" s="44">
        <f t="shared" si="164"/>
        <v>44866</v>
      </c>
      <c r="T1816" s="12">
        <f t="shared" si="165"/>
        <v>4.471294115760303</v>
      </c>
      <c r="U1816" s="12">
        <f t="shared" si="167"/>
        <v>4.3440518598741127</v>
      </c>
      <c r="V1816" s="30">
        <f t="shared" si="168"/>
        <v>0.45437589041095894</v>
      </c>
      <c r="W1816" s="46">
        <f t="shared" si="166"/>
        <v>-4.471294115760302E-2</v>
      </c>
      <c r="X1816" s="33">
        <f t="shared" si="169"/>
        <v>2.7147236107021588E-2</v>
      </c>
    </row>
    <row r="1817" spans="19:24" x14ac:dyDescent="0.25">
      <c r="S1817" s="44">
        <f t="shared" si="164"/>
        <v>44867</v>
      </c>
      <c r="T1817" s="12">
        <f t="shared" si="165"/>
        <v>4.4686170334587612</v>
      </c>
      <c r="U1817" s="12">
        <f t="shared" si="167"/>
        <v>4.3414006831493239</v>
      </c>
      <c r="V1817" s="30">
        <f t="shared" si="168"/>
        <v>0.45434849315068493</v>
      </c>
      <c r="W1817" s="46">
        <f t="shared" si="166"/>
        <v>-4.4686170334587605E-2</v>
      </c>
      <c r="X1817" s="33">
        <f t="shared" si="169"/>
        <v>2.7147194594748639E-2</v>
      </c>
    </row>
    <row r="1818" spans="19:24" x14ac:dyDescent="0.25">
      <c r="S1818" s="44">
        <f t="shared" si="164"/>
        <v>44868</v>
      </c>
      <c r="T1818" s="12">
        <f t="shared" si="165"/>
        <v>4.4659399511572211</v>
      </c>
      <c r="U1818" s="12">
        <f t="shared" si="167"/>
        <v>4.3387495064245334</v>
      </c>
      <c r="V1818" s="30">
        <f t="shared" si="168"/>
        <v>0.45432109589041092</v>
      </c>
      <c r="W1818" s="46">
        <f t="shared" si="166"/>
        <v>-4.4659399511572204E-2</v>
      </c>
      <c r="X1818" s="33">
        <f t="shared" si="169"/>
        <v>2.7147153082475693E-2</v>
      </c>
    </row>
    <row r="1819" spans="19:24" x14ac:dyDescent="0.25">
      <c r="S1819" s="44">
        <f t="shared" si="164"/>
        <v>44869</v>
      </c>
      <c r="T1819" s="12">
        <f t="shared" si="165"/>
        <v>4.4632628688556801</v>
      </c>
      <c r="U1819" s="12">
        <f t="shared" si="167"/>
        <v>4.3360983296997437</v>
      </c>
      <c r="V1819" s="30">
        <f t="shared" si="168"/>
        <v>0.45429369863013697</v>
      </c>
      <c r="W1819" s="46">
        <f t="shared" si="166"/>
        <v>-4.4632628688556795E-2</v>
      </c>
      <c r="X1819" s="33">
        <f t="shared" si="169"/>
        <v>2.7147111570202755E-2</v>
      </c>
    </row>
    <row r="1820" spans="19:24" x14ac:dyDescent="0.25">
      <c r="S1820" s="44">
        <f t="shared" si="164"/>
        <v>44870</v>
      </c>
      <c r="T1820" s="12">
        <f t="shared" si="165"/>
        <v>4.4605857865541365</v>
      </c>
      <c r="U1820" s="12">
        <f t="shared" si="167"/>
        <v>4.333447152974955</v>
      </c>
      <c r="V1820" s="30">
        <f t="shared" si="168"/>
        <v>0.45426630136986296</v>
      </c>
      <c r="W1820" s="46">
        <f t="shared" si="166"/>
        <v>-4.460585786554136E-2</v>
      </c>
      <c r="X1820" s="33">
        <f t="shared" si="169"/>
        <v>2.7147070057929809E-2</v>
      </c>
    </row>
    <row r="1821" spans="19:24" x14ac:dyDescent="0.25">
      <c r="S1821" s="44">
        <f t="shared" si="164"/>
        <v>44871</v>
      </c>
      <c r="T1821" s="12">
        <f t="shared" si="165"/>
        <v>4.4579087042525964</v>
      </c>
      <c r="U1821" s="12">
        <f t="shared" si="167"/>
        <v>4.3307959762501644</v>
      </c>
      <c r="V1821" s="30">
        <f t="shared" si="168"/>
        <v>0.45423890410958906</v>
      </c>
      <c r="W1821" s="46">
        <f t="shared" si="166"/>
        <v>-4.4579087042525958E-2</v>
      </c>
      <c r="X1821" s="33">
        <f t="shared" si="169"/>
        <v>2.7147028545656867E-2</v>
      </c>
    </row>
    <row r="1822" spans="19:24" x14ac:dyDescent="0.25">
      <c r="S1822" s="44">
        <f t="shared" si="164"/>
        <v>44872</v>
      </c>
      <c r="T1822" s="12">
        <f t="shared" si="165"/>
        <v>4.4552316219510555</v>
      </c>
      <c r="U1822" s="12">
        <f t="shared" si="167"/>
        <v>4.3281447995253748</v>
      </c>
      <c r="V1822" s="30">
        <f t="shared" si="168"/>
        <v>0.45421150684931505</v>
      </c>
      <c r="W1822" s="46">
        <f t="shared" si="166"/>
        <v>-4.455231621951055E-2</v>
      </c>
      <c r="X1822" s="33">
        <f t="shared" si="169"/>
        <v>2.7146987033383922E-2</v>
      </c>
    </row>
    <row r="1823" spans="19:24" x14ac:dyDescent="0.25">
      <c r="S1823" s="44">
        <f t="shared" si="164"/>
        <v>44873</v>
      </c>
      <c r="T1823" s="12">
        <f t="shared" si="165"/>
        <v>4.4525545396495136</v>
      </c>
      <c r="U1823" s="12">
        <f t="shared" si="167"/>
        <v>4.3254936228005869</v>
      </c>
      <c r="V1823" s="30">
        <f t="shared" si="168"/>
        <v>0.4541841095890411</v>
      </c>
      <c r="W1823" s="46">
        <f t="shared" si="166"/>
        <v>-4.4525545396495128E-2</v>
      </c>
      <c r="X1823" s="33">
        <f t="shared" si="169"/>
        <v>2.7146945521110983E-2</v>
      </c>
    </row>
    <row r="1824" spans="19:24" x14ac:dyDescent="0.25">
      <c r="S1824" s="44">
        <f t="shared" si="164"/>
        <v>44874</v>
      </c>
      <c r="T1824" s="12">
        <f t="shared" si="165"/>
        <v>4.4498774573479718</v>
      </c>
      <c r="U1824" s="12">
        <f t="shared" si="167"/>
        <v>4.3228424460757973</v>
      </c>
      <c r="V1824" s="30">
        <f t="shared" si="168"/>
        <v>0.45415671232876709</v>
      </c>
      <c r="W1824" s="46">
        <f t="shared" si="166"/>
        <v>-4.4498774573479713E-2</v>
      </c>
      <c r="X1824" s="33">
        <f t="shared" si="169"/>
        <v>2.714690400883803E-2</v>
      </c>
    </row>
    <row r="1825" spans="19:24" x14ac:dyDescent="0.25">
      <c r="S1825" s="44">
        <f t="shared" si="164"/>
        <v>44875</v>
      </c>
      <c r="T1825" s="12">
        <f t="shared" si="165"/>
        <v>4.44720037504643</v>
      </c>
      <c r="U1825" s="12">
        <f t="shared" si="167"/>
        <v>4.3201912693510067</v>
      </c>
      <c r="V1825" s="30">
        <f t="shared" si="168"/>
        <v>0.45412931506849319</v>
      </c>
      <c r="W1825" s="46">
        <f t="shared" si="166"/>
        <v>-4.4472003750464291E-2</v>
      </c>
      <c r="X1825" s="33">
        <f t="shared" si="169"/>
        <v>2.7146862496565095E-2</v>
      </c>
    </row>
    <row r="1826" spans="19:24" x14ac:dyDescent="0.25">
      <c r="S1826" s="44">
        <f t="shared" ref="S1826:S1889" si="170">+S1825+1</f>
        <v>44876</v>
      </c>
      <c r="T1826" s="12">
        <f t="shared" ref="T1826:T1889" si="171">DurMod(S1826,B$2,$F$7:$G$37,$T$3)</f>
        <v>4.4445232927448926</v>
      </c>
      <c r="U1826" s="12">
        <f t="shared" si="167"/>
        <v>4.3175400926262171</v>
      </c>
      <c r="V1826" s="30">
        <f t="shared" si="168"/>
        <v>0.45410191780821918</v>
      </c>
      <c r="W1826" s="46">
        <f t="shared" ref="W1826:W1889" si="172">+-T1826*($U$3-$T$3)</f>
        <v>-4.4445232927448917E-2</v>
      </c>
      <c r="X1826" s="33">
        <f t="shared" si="169"/>
        <v>2.7146820984292146E-2</v>
      </c>
    </row>
    <row r="1827" spans="19:24" x14ac:dyDescent="0.25">
      <c r="S1827" s="44">
        <f t="shared" si="170"/>
        <v>44877</v>
      </c>
      <c r="T1827" s="12">
        <f t="shared" si="171"/>
        <v>4.4418462104433489</v>
      </c>
      <c r="U1827" s="12">
        <f t="shared" si="167"/>
        <v>4.3148889159014292</v>
      </c>
      <c r="V1827" s="30">
        <f t="shared" si="168"/>
        <v>0.45407452054794517</v>
      </c>
      <c r="W1827" s="46">
        <f t="shared" si="172"/>
        <v>-4.4418462104433482E-2</v>
      </c>
      <c r="X1827" s="33">
        <f t="shared" si="169"/>
        <v>2.7146779472019204E-2</v>
      </c>
    </row>
    <row r="1828" spans="19:24" x14ac:dyDescent="0.25">
      <c r="S1828" s="44">
        <f t="shared" si="170"/>
        <v>44878</v>
      </c>
      <c r="T1828" s="12">
        <f t="shared" si="171"/>
        <v>4.4391691281418089</v>
      </c>
      <c r="U1828" s="12">
        <f t="shared" si="167"/>
        <v>4.3122377391766413</v>
      </c>
      <c r="V1828" s="30">
        <f t="shared" si="168"/>
        <v>0.45404712328767122</v>
      </c>
      <c r="W1828" s="46">
        <f t="shared" si="172"/>
        <v>-4.439169128141808E-2</v>
      </c>
      <c r="X1828" s="33">
        <f t="shared" si="169"/>
        <v>2.7146737959746259E-2</v>
      </c>
    </row>
    <row r="1829" spans="19:24" x14ac:dyDescent="0.25">
      <c r="S1829" s="44">
        <f t="shared" si="170"/>
        <v>44879</v>
      </c>
      <c r="T1829" s="12">
        <f t="shared" si="171"/>
        <v>4.436492045840267</v>
      </c>
      <c r="U1829" s="12">
        <f t="shared" si="167"/>
        <v>4.3095865624518508</v>
      </c>
      <c r="V1829" s="30">
        <f t="shared" si="168"/>
        <v>0.45401972602739721</v>
      </c>
      <c r="W1829" s="46">
        <f t="shared" si="172"/>
        <v>-4.4364920458402665E-2</v>
      </c>
      <c r="X1829" s="33">
        <f t="shared" si="169"/>
        <v>2.714669644747331E-2</v>
      </c>
    </row>
    <row r="1830" spans="19:24" x14ac:dyDescent="0.25">
      <c r="S1830" s="44">
        <f t="shared" si="170"/>
        <v>44880</v>
      </c>
      <c r="T1830" s="12">
        <f t="shared" si="171"/>
        <v>4.4338149635387261</v>
      </c>
      <c r="U1830" s="12">
        <f t="shared" si="167"/>
        <v>4.306935385727062</v>
      </c>
      <c r="V1830" s="30">
        <f t="shared" si="168"/>
        <v>0.45399232876712325</v>
      </c>
      <c r="W1830" s="46">
        <f t="shared" si="172"/>
        <v>-4.4338149635387257E-2</v>
      </c>
      <c r="X1830" s="33">
        <f t="shared" si="169"/>
        <v>2.7146654935200375E-2</v>
      </c>
    </row>
    <row r="1831" spans="19:24" x14ac:dyDescent="0.25">
      <c r="S1831" s="44">
        <f t="shared" si="170"/>
        <v>44881</v>
      </c>
      <c r="T1831" s="12">
        <f t="shared" si="171"/>
        <v>4.4311378812371851</v>
      </c>
      <c r="U1831" s="12">
        <f t="shared" si="167"/>
        <v>4.3042842090022715</v>
      </c>
      <c r="V1831" s="30">
        <f t="shared" si="168"/>
        <v>0.4539649315068493</v>
      </c>
      <c r="W1831" s="46">
        <f t="shared" si="172"/>
        <v>-4.4311378812371842E-2</v>
      </c>
      <c r="X1831" s="33">
        <f t="shared" si="169"/>
        <v>2.7146613422927426E-2</v>
      </c>
    </row>
    <row r="1832" spans="19:24" x14ac:dyDescent="0.25">
      <c r="S1832" s="44">
        <f t="shared" si="170"/>
        <v>44882</v>
      </c>
      <c r="T1832" s="12">
        <f t="shared" si="171"/>
        <v>4.4284607989356433</v>
      </c>
      <c r="U1832" s="12">
        <f t="shared" si="167"/>
        <v>4.3016330322774827</v>
      </c>
      <c r="V1832" s="30">
        <f t="shared" si="168"/>
        <v>0.45393753424657529</v>
      </c>
      <c r="W1832" s="46">
        <f t="shared" si="172"/>
        <v>-4.4284607989356427E-2</v>
      </c>
      <c r="X1832" s="33">
        <f t="shared" si="169"/>
        <v>2.7146571910654484E-2</v>
      </c>
    </row>
    <row r="1833" spans="19:24" x14ac:dyDescent="0.25">
      <c r="S1833" s="44">
        <f t="shared" si="170"/>
        <v>44883</v>
      </c>
      <c r="T1833" s="12">
        <f t="shared" si="171"/>
        <v>4.4257837166341023</v>
      </c>
      <c r="U1833" s="12">
        <f t="shared" si="167"/>
        <v>4.298981855552694</v>
      </c>
      <c r="V1833" s="30">
        <f t="shared" si="168"/>
        <v>0.45391013698630134</v>
      </c>
      <c r="W1833" s="46">
        <f t="shared" si="172"/>
        <v>-4.4257837166341019E-2</v>
      </c>
      <c r="X1833" s="33">
        <f t="shared" si="169"/>
        <v>2.7146530398381538E-2</v>
      </c>
    </row>
    <row r="1834" spans="19:24" x14ac:dyDescent="0.25">
      <c r="S1834" s="44">
        <f t="shared" si="170"/>
        <v>44884</v>
      </c>
      <c r="T1834" s="12">
        <f t="shared" si="171"/>
        <v>4.4231066343325605</v>
      </c>
      <c r="U1834" s="12">
        <f t="shared" si="167"/>
        <v>4.2963306788279052</v>
      </c>
      <c r="V1834" s="30">
        <f t="shared" si="168"/>
        <v>0.45388273972602738</v>
      </c>
      <c r="W1834" s="46">
        <f t="shared" si="172"/>
        <v>-4.4231066343325597E-2</v>
      </c>
      <c r="X1834" s="33">
        <f t="shared" si="169"/>
        <v>2.71464888861086E-2</v>
      </c>
    </row>
    <row r="1835" spans="19:24" x14ac:dyDescent="0.25">
      <c r="S1835" s="44">
        <f t="shared" si="170"/>
        <v>44885</v>
      </c>
      <c r="T1835" s="12">
        <f t="shared" si="171"/>
        <v>4.4204295520310204</v>
      </c>
      <c r="U1835" s="12">
        <f t="shared" si="167"/>
        <v>4.2936795021031147</v>
      </c>
      <c r="V1835" s="30">
        <f t="shared" si="168"/>
        <v>0.45385534246575343</v>
      </c>
      <c r="W1835" s="46">
        <f t="shared" si="172"/>
        <v>-4.4204295520310195E-2</v>
      </c>
      <c r="X1835" s="33">
        <f t="shared" si="169"/>
        <v>2.7146447373835654E-2</v>
      </c>
    </row>
    <row r="1836" spans="19:24" x14ac:dyDescent="0.25">
      <c r="S1836" s="44">
        <f t="shared" si="170"/>
        <v>44886</v>
      </c>
      <c r="T1836" s="12">
        <f t="shared" si="171"/>
        <v>4.4177524697294794</v>
      </c>
      <c r="U1836" s="12">
        <f t="shared" si="167"/>
        <v>4.2910283253783259</v>
      </c>
      <c r="V1836" s="30">
        <f t="shared" si="168"/>
        <v>0.45382794520547942</v>
      </c>
      <c r="W1836" s="46">
        <f t="shared" si="172"/>
        <v>-4.4177524697294787E-2</v>
      </c>
      <c r="X1836" s="33">
        <f t="shared" si="169"/>
        <v>2.7146405861562705E-2</v>
      </c>
    </row>
    <row r="1837" spans="19:24" x14ac:dyDescent="0.25">
      <c r="S1837" s="44">
        <f t="shared" si="170"/>
        <v>44887</v>
      </c>
      <c r="T1837" s="12">
        <f t="shared" si="171"/>
        <v>4.4150753874279376</v>
      </c>
      <c r="U1837" s="12">
        <f t="shared" si="167"/>
        <v>4.2883771486535371</v>
      </c>
      <c r="V1837" s="30">
        <f t="shared" si="168"/>
        <v>0.45380054794520541</v>
      </c>
      <c r="W1837" s="46">
        <f t="shared" si="172"/>
        <v>-4.4150753874279372E-2</v>
      </c>
      <c r="X1837" s="33">
        <f t="shared" si="169"/>
        <v>2.7146364349289763E-2</v>
      </c>
    </row>
    <row r="1838" spans="19:24" x14ac:dyDescent="0.25">
      <c r="S1838" s="44">
        <f t="shared" si="170"/>
        <v>44888</v>
      </c>
      <c r="T1838" s="12">
        <f t="shared" si="171"/>
        <v>4.4123983051263957</v>
      </c>
      <c r="U1838" s="12">
        <f t="shared" si="167"/>
        <v>4.2857259719287475</v>
      </c>
      <c r="V1838" s="30">
        <f t="shared" si="168"/>
        <v>0.45377315068493146</v>
      </c>
      <c r="W1838" s="46">
        <f t="shared" si="172"/>
        <v>-4.412398305126395E-2</v>
      </c>
      <c r="X1838" s="33">
        <f t="shared" si="169"/>
        <v>2.7146322837016817E-2</v>
      </c>
    </row>
    <row r="1839" spans="19:24" x14ac:dyDescent="0.25">
      <c r="S1839" s="44">
        <f t="shared" si="170"/>
        <v>44889</v>
      </c>
      <c r="T1839" s="12">
        <f t="shared" si="171"/>
        <v>4.4097212228248548</v>
      </c>
      <c r="U1839" s="12">
        <f t="shared" si="167"/>
        <v>4.2830747952039578</v>
      </c>
      <c r="V1839" s="30">
        <f t="shared" si="168"/>
        <v>0.45374575342465751</v>
      </c>
      <c r="W1839" s="46">
        <f t="shared" si="172"/>
        <v>-4.4097212228248542E-2</v>
      </c>
      <c r="X1839" s="33">
        <f t="shared" si="169"/>
        <v>2.7146281324743875E-2</v>
      </c>
    </row>
    <row r="1840" spans="19:24" x14ac:dyDescent="0.25">
      <c r="S1840" s="44">
        <f t="shared" si="170"/>
        <v>44890</v>
      </c>
      <c r="T1840" s="12">
        <f t="shared" si="171"/>
        <v>4.4070441405233121</v>
      </c>
      <c r="U1840" s="12">
        <f t="shared" si="167"/>
        <v>4.2804236184791682</v>
      </c>
      <c r="V1840" s="30">
        <f t="shared" si="168"/>
        <v>0.45371835616438361</v>
      </c>
      <c r="W1840" s="46">
        <f t="shared" si="172"/>
        <v>-4.4070441405233113E-2</v>
      </c>
      <c r="X1840" s="33">
        <f t="shared" si="169"/>
        <v>2.714623981247094E-2</v>
      </c>
    </row>
    <row r="1841" spans="19:24" x14ac:dyDescent="0.25">
      <c r="S1841" s="44">
        <f t="shared" si="170"/>
        <v>44891</v>
      </c>
      <c r="T1841" s="12">
        <f t="shared" si="171"/>
        <v>4.4043670582217738</v>
      </c>
      <c r="U1841" s="12">
        <f t="shared" si="167"/>
        <v>4.2777724417543777</v>
      </c>
      <c r="V1841" s="30">
        <f t="shared" si="168"/>
        <v>0.4536909589041096</v>
      </c>
      <c r="W1841" s="46">
        <f t="shared" si="172"/>
        <v>-4.4043670582217732E-2</v>
      </c>
      <c r="X1841" s="33">
        <f t="shared" si="169"/>
        <v>2.7146198300197991E-2</v>
      </c>
    </row>
    <row r="1842" spans="19:24" x14ac:dyDescent="0.25">
      <c r="S1842" s="44">
        <f t="shared" si="170"/>
        <v>44892</v>
      </c>
      <c r="T1842" s="12">
        <f t="shared" si="171"/>
        <v>4.4016899759202328</v>
      </c>
      <c r="U1842" s="12">
        <f t="shared" si="167"/>
        <v>4.2751212650295889</v>
      </c>
      <c r="V1842" s="30">
        <f t="shared" si="168"/>
        <v>0.45366356164383559</v>
      </c>
      <c r="W1842" s="46">
        <f t="shared" si="172"/>
        <v>-4.4016899759202324E-2</v>
      </c>
      <c r="X1842" s="33">
        <f t="shared" si="169"/>
        <v>2.7146156787925046E-2</v>
      </c>
    </row>
    <row r="1843" spans="19:24" x14ac:dyDescent="0.25">
      <c r="S1843" s="44">
        <f t="shared" si="170"/>
        <v>44893</v>
      </c>
      <c r="T1843" s="12">
        <f t="shared" si="171"/>
        <v>4.3990128936186901</v>
      </c>
      <c r="U1843" s="12">
        <f t="shared" si="167"/>
        <v>4.2724700883048001</v>
      </c>
      <c r="V1843" s="30">
        <f t="shared" si="168"/>
        <v>0.45363616438356164</v>
      </c>
      <c r="W1843" s="46">
        <f t="shared" si="172"/>
        <v>-4.3990128936186895E-2</v>
      </c>
      <c r="X1843" s="33">
        <f t="shared" si="169"/>
        <v>2.7146115275652104E-2</v>
      </c>
    </row>
    <row r="1844" spans="19:24" x14ac:dyDescent="0.25">
      <c r="S1844" s="44">
        <f t="shared" si="170"/>
        <v>44894</v>
      </c>
      <c r="T1844" s="12">
        <f t="shared" si="171"/>
        <v>4.3963358113171482</v>
      </c>
      <c r="U1844" s="12">
        <f t="shared" si="167"/>
        <v>4.2698189115800123</v>
      </c>
      <c r="V1844" s="30">
        <f t="shared" si="168"/>
        <v>0.45360876712328768</v>
      </c>
      <c r="W1844" s="46">
        <f t="shared" si="172"/>
        <v>-4.3963358113171473E-2</v>
      </c>
      <c r="X1844" s="33">
        <f t="shared" si="169"/>
        <v>2.7146073763379162E-2</v>
      </c>
    </row>
    <row r="1845" spans="19:24" x14ac:dyDescent="0.25">
      <c r="S1845" s="44">
        <f t="shared" si="170"/>
        <v>44895</v>
      </c>
      <c r="T1845" s="12">
        <f t="shared" si="171"/>
        <v>4.3936587290156091</v>
      </c>
      <c r="U1845" s="12">
        <f t="shared" si="167"/>
        <v>4.2671677348552217</v>
      </c>
      <c r="V1845" s="30">
        <f t="shared" si="168"/>
        <v>0.45358136986301373</v>
      </c>
      <c r="W1845" s="46">
        <f t="shared" si="172"/>
        <v>-4.3936587290156086E-2</v>
      </c>
      <c r="X1845" s="33">
        <f t="shared" si="169"/>
        <v>2.7146032251106213E-2</v>
      </c>
    </row>
    <row r="1846" spans="19:24" x14ac:dyDescent="0.25">
      <c r="S1846" s="44">
        <f t="shared" si="170"/>
        <v>44896</v>
      </c>
      <c r="T1846" s="12">
        <f t="shared" si="171"/>
        <v>4.3909816467140654</v>
      </c>
      <c r="U1846" s="12">
        <f t="shared" si="167"/>
        <v>4.264516558130433</v>
      </c>
      <c r="V1846" s="30">
        <f t="shared" si="168"/>
        <v>0.45355397260273972</v>
      </c>
      <c r="W1846" s="46">
        <f t="shared" si="172"/>
        <v>-4.390981646714065E-2</v>
      </c>
      <c r="X1846" s="33">
        <f t="shared" si="169"/>
        <v>2.7145990738833271E-2</v>
      </c>
    </row>
    <row r="1847" spans="19:24" x14ac:dyDescent="0.25">
      <c r="S1847" s="44">
        <f t="shared" si="170"/>
        <v>44897</v>
      </c>
      <c r="T1847" s="12">
        <f t="shared" si="171"/>
        <v>4.3883045644125263</v>
      </c>
      <c r="U1847" s="12">
        <f t="shared" si="167"/>
        <v>4.2618653814056433</v>
      </c>
      <c r="V1847" s="30">
        <f t="shared" si="168"/>
        <v>0.45352657534246577</v>
      </c>
      <c r="W1847" s="46">
        <f t="shared" si="172"/>
        <v>-4.3883045644125256E-2</v>
      </c>
      <c r="X1847" s="33">
        <f t="shared" si="169"/>
        <v>2.7145949226560329E-2</v>
      </c>
    </row>
    <row r="1848" spans="19:24" x14ac:dyDescent="0.25">
      <c r="S1848" s="44">
        <f t="shared" si="170"/>
        <v>44898</v>
      </c>
      <c r="T1848" s="12">
        <f t="shared" si="171"/>
        <v>4.3856274821109853</v>
      </c>
      <c r="U1848" s="12">
        <f t="shared" si="167"/>
        <v>4.2592142046808537</v>
      </c>
      <c r="V1848" s="30">
        <f t="shared" si="168"/>
        <v>0.45349917808219176</v>
      </c>
      <c r="W1848" s="46">
        <f t="shared" si="172"/>
        <v>-4.3856274821109847E-2</v>
      </c>
      <c r="X1848" s="33">
        <f t="shared" si="169"/>
        <v>2.7145907714287376E-2</v>
      </c>
    </row>
    <row r="1849" spans="19:24" x14ac:dyDescent="0.25">
      <c r="S1849" s="44">
        <f t="shared" si="170"/>
        <v>44899</v>
      </c>
      <c r="T1849" s="12">
        <f t="shared" si="171"/>
        <v>4.3829503998094452</v>
      </c>
      <c r="U1849" s="12">
        <f t="shared" si="167"/>
        <v>4.2565630279560649</v>
      </c>
      <c r="V1849" s="30">
        <f t="shared" si="168"/>
        <v>0.45347178082191786</v>
      </c>
      <c r="W1849" s="46">
        <f t="shared" si="172"/>
        <v>-4.3829503998094446E-2</v>
      </c>
      <c r="X1849" s="33">
        <f t="shared" si="169"/>
        <v>2.7145866202014441E-2</v>
      </c>
    </row>
    <row r="1850" spans="19:24" x14ac:dyDescent="0.25">
      <c r="S1850" s="44">
        <f t="shared" si="170"/>
        <v>44900</v>
      </c>
      <c r="T1850" s="12">
        <f t="shared" si="171"/>
        <v>4.3802733175079016</v>
      </c>
      <c r="U1850" s="12">
        <f t="shared" si="167"/>
        <v>4.2539118512312744</v>
      </c>
      <c r="V1850" s="30">
        <f t="shared" si="168"/>
        <v>0.45344438356164385</v>
      </c>
      <c r="W1850" s="46">
        <f t="shared" si="172"/>
        <v>-4.380273317507901E-2</v>
      </c>
      <c r="X1850" s="33">
        <f t="shared" si="169"/>
        <v>2.7145824689741499E-2</v>
      </c>
    </row>
    <row r="1851" spans="19:24" x14ac:dyDescent="0.25">
      <c r="S1851" s="44">
        <f t="shared" si="170"/>
        <v>44901</v>
      </c>
      <c r="T1851" s="12">
        <f t="shared" si="171"/>
        <v>4.3775962352063607</v>
      </c>
      <c r="U1851" s="12">
        <f t="shared" si="167"/>
        <v>4.2512606745064856</v>
      </c>
      <c r="V1851" s="30">
        <f t="shared" si="168"/>
        <v>0.45341698630136984</v>
      </c>
      <c r="W1851" s="46">
        <f t="shared" si="172"/>
        <v>-4.3775962352063602E-2</v>
      </c>
      <c r="X1851" s="33">
        <f t="shared" si="169"/>
        <v>2.714578317746855E-2</v>
      </c>
    </row>
    <row r="1852" spans="19:24" x14ac:dyDescent="0.25">
      <c r="S1852" s="44">
        <f t="shared" si="170"/>
        <v>44902</v>
      </c>
      <c r="T1852" s="12">
        <f t="shared" si="171"/>
        <v>4.3749191529048215</v>
      </c>
      <c r="U1852" s="12">
        <f t="shared" si="167"/>
        <v>4.2486094977816968</v>
      </c>
      <c r="V1852" s="30">
        <f t="shared" si="168"/>
        <v>0.45338958904109589</v>
      </c>
      <c r="W1852" s="46">
        <f t="shared" si="172"/>
        <v>-4.3749191529048208E-2</v>
      </c>
      <c r="X1852" s="33">
        <f t="shared" si="169"/>
        <v>2.7145741665195604E-2</v>
      </c>
    </row>
    <row r="1853" spans="19:24" x14ac:dyDescent="0.25">
      <c r="S1853" s="44">
        <f t="shared" si="170"/>
        <v>44903</v>
      </c>
      <c r="T1853" s="12">
        <f t="shared" si="171"/>
        <v>4.3722420706032779</v>
      </c>
      <c r="U1853" s="12">
        <f t="shared" si="167"/>
        <v>4.2459583210569098</v>
      </c>
      <c r="V1853" s="30">
        <f t="shared" si="168"/>
        <v>0.45336219178082193</v>
      </c>
      <c r="W1853" s="46">
        <f t="shared" si="172"/>
        <v>-4.3722420706032772E-2</v>
      </c>
      <c r="X1853" s="33">
        <f t="shared" si="169"/>
        <v>2.7145700152922666E-2</v>
      </c>
    </row>
    <row r="1854" spans="19:24" x14ac:dyDescent="0.25">
      <c r="S1854" s="44">
        <f t="shared" si="170"/>
        <v>44904</v>
      </c>
      <c r="T1854" s="12">
        <f t="shared" si="171"/>
        <v>4.3695649883017378</v>
      </c>
      <c r="U1854" s="12">
        <f t="shared" si="167"/>
        <v>4.2433071443321193</v>
      </c>
      <c r="V1854" s="30">
        <f t="shared" si="168"/>
        <v>0.45333479452054792</v>
      </c>
      <c r="W1854" s="46">
        <f t="shared" si="172"/>
        <v>-4.3695649883017371E-2</v>
      </c>
      <c r="X1854" s="33">
        <f t="shared" si="169"/>
        <v>2.714565864064972E-2</v>
      </c>
    </row>
    <row r="1855" spans="19:24" x14ac:dyDescent="0.25">
      <c r="S1855" s="44">
        <f t="shared" si="170"/>
        <v>44905</v>
      </c>
      <c r="T1855" s="12">
        <f t="shared" si="171"/>
        <v>4.3668879060001951</v>
      </c>
      <c r="U1855" s="12">
        <f t="shared" si="167"/>
        <v>4.2406559676073279</v>
      </c>
      <c r="V1855" s="30">
        <f t="shared" si="168"/>
        <v>0.45330739726027397</v>
      </c>
      <c r="W1855" s="46">
        <f t="shared" si="172"/>
        <v>-4.3668879060001942E-2</v>
      </c>
      <c r="X1855" s="33">
        <f t="shared" si="169"/>
        <v>2.7145617128376778E-2</v>
      </c>
    </row>
    <row r="1856" spans="19:24" x14ac:dyDescent="0.25">
      <c r="S1856" s="44">
        <f t="shared" si="170"/>
        <v>44906</v>
      </c>
      <c r="T1856" s="12">
        <f t="shared" si="171"/>
        <v>4.3642108236986541</v>
      </c>
      <c r="U1856" s="12">
        <f t="shared" si="167"/>
        <v>4.2380047908825409</v>
      </c>
      <c r="V1856" s="30">
        <f t="shared" si="168"/>
        <v>0.45328000000000002</v>
      </c>
      <c r="W1856" s="46">
        <f t="shared" si="172"/>
        <v>-4.3642108236986533E-2</v>
      </c>
      <c r="X1856" s="33">
        <f t="shared" si="169"/>
        <v>2.7145575616103829E-2</v>
      </c>
    </row>
    <row r="1857" spans="19:24" x14ac:dyDescent="0.25">
      <c r="S1857" s="44">
        <f t="shared" si="170"/>
        <v>44907</v>
      </c>
      <c r="T1857" s="12">
        <f t="shared" si="171"/>
        <v>4.3615337413971131</v>
      </c>
      <c r="U1857" s="12">
        <f t="shared" si="167"/>
        <v>4.2353536141577486</v>
      </c>
      <c r="V1857" s="30">
        <f t="shared" si="168"/>
        <v>0.45325260273972601</v>
      </c>
      <c r="W1857" s="46">
        <f t="shared" si="172"/>
        <v>-4.3615337413971125E-2</v>
      </c>
      <c r="X1857" s="33">
        <f t="shared" si="169"/>
        <v>2.7145534103830887E-2</v>
      </c>
    </row>
    <row r="1858" spans="19:24" x14ac:dyDescent="0.25">
      <c r="S1858" s="44">
        <f t="shared" si="170"/>
        <v>44908</v>
      </c>
      <c r="T1858" s="12">
        <f t="shared" si="171"/>
        <v>4.3588566590955722</v>
      </c>
      <c r="U1858" s="12">
        <f t="shared" si="167"/>
        <v>4.2327024374329598</v>
      </c>
      <c r="V1858" s="30">
        <f t="shared" si="168"/>
        <v>0.45322520547945211</v>
      </c>
      <c r="W1858" s="46">
        <f t="shared" si="172"/>
        <v>-4.3588566590955717E-2</v>
      </c>
      <c r="X1858" s="33">
        <f t="shared" si="169"/>
        <v>2.7145492591557945E-2</v>
      </c>
    </row>
    <row r="1859" spans="19:24" x14ac:dyDescent="0.25">
      <c r="S1859" s="44">
        <f t="shared" si="170"/>
        <v>44909</v>
      </c>
      <c r="T1859" s="12">
        <f t="shared" si="171"/>
        <v>4.3561795767940303</v>
      </c>
      <c r="U1859" s="12">
        <f t="shared" si="167"/>
        <v>4.2300512607081728</v>
      </c>
      <c r="V1859" s="30">
        <f t="shared" si="168"/>
        <v>0.4531978082191781</v>
      </c>
      <c r="W1859" s="46">
        <f t="shared" si="172"/>
        <v>-4.3561795767940295E-2</v>
      </c>
      <c r="X1859" s="33">
        <f t="shared" si="169"/>
        <v>2.7145451079285007E-2</v>
      </c>
    </row>
    <row r="1860" spans="19:24" x14ac:dyDescent="0.25">
      <c r="S1860" s="44">
        <f t="shared" si="170"/>
        <v>44910</v>
      </c>
      <c r="T1860" s="12">
        <f t="shared" si="171"/>
        <v>4.6447377169916928</v>
      </c>
      <c r="U1860" s="12">
        <f t="shared" si="167"/>
        <v>4.5234641179954833</v>
      </c>
      <c r="V1860" s="30">
        <f t="shared" si="168"/>
        <v>0.45317041095890409</v>
      </c>
      <c r="W1860" s="46">
        <f t="shared" si="172"/>
        <v>-4.6447377169916919E-2</v>
      </c>
      <c r="X1860" s="33">
        <f t="shared" si="169"/>
        <v>2.6952416000904197E-2</v>
      </c>
    </row>
    <row r="1861" spans="19:24" x14ac:dyDescent="0.25">
      <c r="S1861" s="44">
        <f t="shared" si="170"/>
        <v>44911</v>
      </c>
      <c r="T1861" s="12">
        <f t="shared" si="171"/>
        <v>4.6420606346901518</v>
      </c>
      <c r="U1861" s="12">
        <f t="shared" ref="U1861:U1924" si="173">DurMod($S1861,$B$2,$F$7:$G$37,U$3)</f>
        <v>4.5208129412706946</v>
      </c>
      <c r="V1861" s="30">
        <f t="shared" ref="V1861:V1924" si="174">+$U$3*($S$5512-S1861)/365+$T$3*(S1861-$S$4)/365</f>
        <v>0.45314301369863014</v>
      </c>
      <c r="W1861" s="46">
        <f t="shared" si="172"/>
        <v>-4.6420606346901511E-2</v>
      </c>
      <c r="X1861" s="33">
        <f t="shared" ref="X1861:X1924" si="175">+(V1861+W1861)*365/($S$5512-$S$4)</f>
        <v>2.6952374488631251E-2</v>
      </c>
    </row>
    <row r="1862" spans="19:24" x14ac:dyDescent="0.25">
      <c r="S1862" s="44">
        <f t="shared" si="170"/>
        <v>44912</v>
      </c>
      <c r="T1862" s="12">
        <f t="shared" si="171"/>
        <v>4.6393835523886118</v>
      </c>
      <c r="U1862" s="12">
        <f t="shared" si="173"/>
        <v>4.5181617645459058</v>
      </c>
      <c r="V1862" s="30">
        <f t="shared" si="174"/>
        <v>0.45311561643835613</v>
      </c>
      <c r="W1862" s="46">
        <f t="shared" si="172"/>
        <v>-4.6393835523886109E-2</v>
      </c>
      <c r="X1862" s="33">
        <f t="shared" si="175"/>
        <v>2.6952332976358309E-2</v>
      </c>
    </row>
    <row r="1863" spans="19:24" x14ac:dyDescent="0.25">
      <c r="S1863" s="44">
        <f t="shared" si="170"/>
        <v>44913</v>
      </c>
      <c r="T1863" s="12">
        <f t="shared" si="171"/>
        <v>4.6367064700870708</v>
      </c>
      <c r="U1863" s="12">
        <f t="shared" si="173"/>
        <v>4.5155105878211161</v>
      </c>
      <c r="V1863" s="30">
        <f t="shared" si="174"/>
        <v>0.45308821917808217</v>
      </c>
      <c r="W1863" s="46">
        <f t="shared" si="172"/>
        <v>-4.6367064700870701E-2</v>
      </c>
      <c r="X1863" s="33">
        <f t="shared" si="175"/>
        <v>2.695229146408536E-2</v>
      </c>
    </row>
    <row r="1864" spans="19:24" x14ac:dyDescent="0.25">
      <c r="S1864" s="44">
        <f t="shared" si="170"/>
        <v>44914</v>
      </c>
      <c r="T1864" s="12">
        <f t="shared" si="171"/>
        <v>4.6340293877855281</v>
      </c>
      <c r="U1864" s="12">
        <f t="shared" si="173"/>
        <v>4.5128594110963256</v>
      </c>
      <c r="V1864" s="30">
        <f t="shared" si="174"/>
        <v>0.45306082191780822</v>
      </c>
      <c r="W1864" s="46">
        <f t="shared" si="172"/>
        <v>-4.6340293877855272E-2</v>
      </c>
      <c r="X1864" s="33">
        <f t="shared" si="175"/>
        <v>2.6952249951812425E-2</v>
      </c>
    </row>
    <row r="1865" spans="19:24" x14ac:dyDescent="0.25">
      <c r="S1865" s="44">
        <f t="shared" si="170"/>
        <v>44915</v>
      </c>
      <c r="T1865" s="12">
        <f t="shared" si="171"/>
        <v>4.631352305483988</v>
      </c>
      <c r="U1865" s="12">
        <f t="shared" si="173"/>
        <v>4.510208234371536</v>
      </c>
      <c r="V1865" s="30">
        <f t="shared" si="174"/>
        <v>0.45303342465753427</v>
      </c>
      <c r="W1865" s="46">
        <f t="shared" si="172"/>
        <v>-4.6313523054839871E-2</v>
      </c>
      <c r="X1865" s="33">
        <f t="shared" si="175"/>
        <v>2.6952208439539476E-2</v>
      </c>
    </row>
    <row r="1866" spans="19:24" x14ac:dyDescent="0.25">
      <c r="S1866" s="44">
        <f t="shared" si="170"/>
        <v>44916</v>
      </c>
      <c r="T1866" s="12">
        <f t="shared" si="171"/>
        <v>4.6286752231824462</v>
      </c>
      <c r="U1866" s="12">
        <f t="shared" si="173"/>
        <v>4.5075570576467472</v>
      </c>
      <c r="V1866" s="30">
        <f t="shared" si="174"/>
        <v>0.45300602739726026</v>
      </c>
      <c r="W1866" s="46">
        <f t="shared" si="172"/>
        <v>-4.6286752231824456E-2</v>
      </c>
      <c r="X1866" s="33">
        <f t="shared" si="175"/>
        <v>2.6952166927266534E-2</v>
      </c>
    </row>
    <row r="1867" spans="19:24" x14ac:dyDescent="0.25">
      <c r="S1867" s="44">
        <f t="shared" si="170"/>
        <v>44917</v>
      </c>
      <c r="T1867" s="12">
        <f t="shared" si="171"/>
        <v>4.6259981408809052</v>
      </c>
      <c r="U1867" s="12">
        <f t="shared" si="173"/>
        <v>4.5049058809219602</v>
      </c>
      <c r="V1867" s="30">
        <f t="shared" si="174"/>
        <v>0.4529786301369863</v>
      </c>
      <c r="W1867" s="46">
        <f t="shared" si="172"/>
        <v>-4.6259981408809048E-2</v>
      </c>
      <c r="X1867" s="33">
        <f t="shared" si="175"/>
        <v>2.6952125414993588E-2</v>
      </c>
    </row>
    <row r="1868" spans="19:24" x14ac:dyDescent="0.25">
      <c r="S1868" s="44">
        <f t="shared" si="170"/>
        <v>44918</v>
      </c>
      <c r="T1868" s="12">
        <f t="shared" si="171"/>
        <v>4.6233210585793643</v>
      </c>
      <c r="U1868" s="12">
        <f t="shared" si="173"/>
        <v>4.5022547041971697</v>
      </c>
      <c r="V1868" s="30">
        <f t="shared" si="174"/>
        <v>0.45295123287671235</v>
      </c>
      <c r="W1868" s="46">
        <f t="shared" si="172"/>
        <v>-4.6233210585793633E-2</v>
      </c>
      <c r="X1868" s="33">
        <f t="shared" si="175"/>
        <v>2.6952083902720646E-2</v>
      </c>
    </row>
    <row r="1869" spans="19:24" x14ac:dyDescent="0.25">
      <c r="S1869" s="44">
        <f t="shared" si="170"/>
        <v>44919</v>
      </c>
      <c r="T1869" s="12">
        <f t="shared" si="171"/>
        <v>4.6206439762778224</v>
      </c>
      <c r="U1869" s="12">
        <f t="shared" si="173"/>
        <v>4.49960352747238</v>
      </c>
      <c r="V1869" s="30">
        <f t="shared" si="174"/>
        <v>0.45292383561643834</v>
      </c>
      <c r="W1869" s="46">
        <f t="shared" si="172"/>
        <v>-4.6206439762778218E-2</v>
      </c>
      <c r="X1869" s="33">
        <f t="shared" si="175"/>
        <v>2.6952042390447704E-2</v>
      </c>
    </row>
    <row r="1870" spans="19:24" x14ac:dyDescent="0.25">
      <c r="S1870" s="44">
        <f t="shared" si="170"/>
        <v>44920</v>
      </c>
      <c r="T1870" s="12">
        <f t="shared" si="171"/>
        <v>4.6179668939762815</v>
      </c>
      <c r="U1870" s="12">
        <f t="shared" si="173"/>
        <v>4.4969523507475895</v>
      </c>
      <c r="V1870" s="30">
        <f t="shared" si="174"/>
        <v>0.45289643835616433</v>
      </c>
      <c r="W1870" s="46">
        <f t="shared" si="172"/>
        <v>-4.6179668939762809E-2</v>
      </c>
      <c r="X1870" s="33">
        <f t="shared" si="175"/>
        <v>2.6952000878174752E-2</v>
      </c>
    </row>
    <row r="1871" spans="19:24" x14ac:dyDescent="0.25">
      <c r="S1871" s="44">
        <f t="shared" si="170"/>
        <v>44921</v>
      </c>
      <c r="T1871" s="12">
        <f t="shared" si="171"/>
        <v>4.6152898116747405</v>
      </c>
      <c r="U1871" s="12">
        <f t="shared" si="173"/>
        <v>4.4943011740228025</v>
      </c>
      <c r="V1871" s="30">
        <f t="shared" si="174"/>
        <v>0.45286904109589038</v>
      </c>
      <c r="W1871" s="46">
        <f t="shared" si="172"/>
        <v>-4.6152898116747401E-2</v>
      </c>
      <c r="X1871" s="33">
        <f t="shared" si="175"/>
        <v>2.6951959365901817E-2</v>
      </c>
    </row>
    <row r="1872" spans="19:24" x14ac:dyDescent="0.25">
      <c r="S1872" s="44">
        <f t="shared" si="170"/>
        <v>44922</v>
      </c>
      <c r="T1872" s="12">
        <f t="shared" si="171"/>
        <v>4.6126127293731987</v>
      </c>
      <c r="U1872" s="12">
        <f t="shared" si="173"/>
        <v>4.4916499972980111</v>
      </c>
      <c r="V1872" s="30">
        <f t="shared" si="174"/>
        <v>0.45284164383561643</v>
      </c>
      <c r="W1872" s="46">
        <f t="shared" si="172"/>
        <v>-4.6126127293731979E-2</v>
      </c>
      <c r="X1872" s="33">
        <f t="shared" si="175"/>
        <v>2.6951917853628868E-2</v>
      </c>
    </row>
    <row r="1873" spans="19:24" x14ac:dyDescent="0.25">
      <c r="S1873" s="44">
        <f t="shared" si="170"/>
        <v>44923</v>
      </c>
      <c r="T1873" s="12">
        <f t="shared" si="171"/>
        <v>4.6099356470716586</v>
      </c>
      <c r="U1873" s="12">
        <f t="shared" si="173"/>
        <v>4.4889988205732223</v>
      </c>
      <c r="V1873" s="30">
        <f t="shared" si="174"/>
        <v>0.45281424657534247</v>
      </c>
      <c r="W1873" s="46">
        <f t="shared" si="172"/>
        <v>-4.6099356470716578E-2</v>
      </c>
      <c r="X1873" s="33">
        <f t="shared" si="175"/>
        <v>2.6951876341355933E-2</v>
      </c>
    </row>
    <row r="1874" spans="19:24" x14ac:dyDescent="0.25">
      <c r="S1874" s="44">
        <f t="shared" si="170"/>
        <v>44924</v>
      </c>
      <c r="T1874" s="12">
        <f t="shared" si="171"/>
        <v>4.6072585647701185</v>
      </c>
      <c r="U1874" s="12">
        <f t="shared" si="173"/>
        <v>4.4863476438484318</v>
      </c>
      <c r="V1874" s="30">
        <f t="shared" si="174"/>
        <v>0.45278684931506846</v>
      </c>
      <c r="W1874" s="46">
        <f t="shared" si="172"/>
        <v>-4.6072585647701177E-2</v>
      </c>
      <c r="X1874" s="33">
        <f t="shared" si="175"/>
        <v>2.695183482908298E-2</v>
      </c>
    </row>
    <row r="1875" spans="19:24" x14ac:dyDescent="0.25">
      <c r="S1875" s="44">
        <f t="shared" si="170"/>
        <v>44925</v>
      </c>
      <c r="T1875" s="12">
        <f t="shared" si="171"/>
        <v>4.604581482468574</v>
      </c>
      <c r="U1875" s="12">
        <f t="shared" si="173"/>
        <v>4.483696467123643</v>
      </c>
      <c r="V1875" s="30">
        <f t="shared" si="174"/>
        <v>0.45275945205479445</v>
      </c>
      <c r="W1875" s="46">
        <f t="shared" si="172"/>
        <v>-4.6045814824685734E-2</v>
      </c>
      <c r="X1875" s="33">
        <f t="shared" si="175"/>
        <v>2.6951793316810038E-2</v>
      </c>
    </row>
    <row r="1876" spans="19:24" x14ac:dyDescent="0.25">
      <c r="S1876" s="44">
        <f t="shared" si="170"/>
        <v>44926</v>
      </c>
      <c r="T1876" s="12">
        <f t="shared" si="171"/>
        <v>4.6019044001670348</v>
      </c>
      <c r="U1876" s="12">
        <f t="shared" si="173"/>
        <v>4.4810452903988551</v>
      </c>
      <c r="V1876" s="30">
        <f t="shared" si="174"/>
        <v>0.45273205479452056</v>
      </c>
      <c r="W1876" s="46">
        <f t="shared" si="172"/>
        <v>-4.6019044001670339E-2</v>
      </c>
      <c r="X1876" s="33">
        <f t="shared" si="175"/>
        <v>2.6951751804537096E-2</v>
      </c>
    </row>
    <row r="1877" spans="19:24" x14ac:dyDescent="0.25">
      <c r="S1877" s="44">
        <f t="shared" si="170"/>
        <v>44927</v>
      </c>
      <c r="T1877" s="12">
        <f t="shared" si="171"/>
        <v>4.5992273178654912</v>
      </c>
      <c r="U1877" s="12">
        <f t="shared" si="173"/>
        <v>4.4783941136740655</v>
      </c>
      <c r="V1877" s="30">
        <f t="shared" si="174"/>
        <v>0.4527046575342466</v>
      </c>
      <c r="W1877" s="46">
        <f t="shared" si="172"/>
        <v>-4.5992273178654904E-2</v>
      </c>
      <c r="X1877" s="33">
        <f t="shared" si="175"/>
        <v>2.6951710292264158E-2</v>
      </c>
    </row>
    <row r="1878" spans="19:24" x14ac:dyDescent="0.25">
      <c r="S1878" s="44">
        <f t="shared" si="170"/>
        <v>44928</v>
      </c>
      <c r="T1878" s="12">
        <f t="shared" si="171"/>
        <v>4.5965502355639538</v>
      </c>
      <c r="U1878" s="12">
        <f t="shared" si="173"/>
        <v>4.4757429369492749</v>
      </c>
      <c r="V1878" s="30">
        <f t="shared" si="174"/>
        <v>0.45267726027397259</v>
      </c>
      <c r="W1878" s="46">
        <f t="shared" si="172"/>
        <v>-4.596550235563953E-2</v>
      </c>
      <c r="X1878" s="33">
        <f t="shared" si="175"/>
        <v>2.6951668779991205E-2</v>
      </c>
    </row>
    <row r="1879" spans="19:24" x14ac:dyDescent="0.25">
      <c r="S1879" s="44">
        <f t="shared" si="170"/>
        <v>44929</v>
      </c>
      <c r="T1879" s="12">
        <f t="shared" si="171"/>
        <v>4.5938731532624102</v>
      </c>
      <c r="U1879" s="12">
        <f t="shared" si="173"/>
        <v>4.4730917602244871</v>
      </c>
      <c r="V1879" s="30">
        <f t="shared" si="174"/>
        <v>0.45264986301369858</v>
      </c>
      <c r="W1879" s="46">
        <f t="shared" si="172"/>
        <v>-4.5938731532624094E-2</v>
      </c>
      <c r="X1879" s="33">
        <f t="shared" si="175"/>
        <v>2.6951627267718263E-2</v>
      </c>
    </row>
    <row r="1880" spans="19:24" x14ac:dyDescent="0.25">
      <c r="S1880" s="44">
        <f t="shared" si="170"/>
        <v>44930</v>
      </c>
      <c r="T1880" s="12">
        <f t="shared" si="171"/>
        <v>4.5911960709608701</v>
      </c>
      <c r="U1880" s="12">
        <f t="shared" si="173"/>
        <v>4.4704405834996956</v>
      </c>
      <c r="V1880" s="30">
        <f t="shared" si="174"/>
        <v>0.45262246575342463</v>
      </c>
      <c r="W1880" s="46">
        <f t="shared" si="172"/>
        <v>-4.5911960709608693E-2</v>
      </c>
      <c r="X1880" s="33">
        <f t="shared" si="175"/>
        <v>2.6951585755445321E-2</v>
      </c>
    </row>
    <row r="1881" spans="19:24" x14ac:dyDescent="0.25">
      <c r="S1881" s="44">
        <f t="shared" si="170"/>
        <v>44931</v>
      </c>
      <c r="T1881" s="12">
        <f t="shared" si="171"/>
        <v>4.5885189886593283</v>
      </c>
      <c r="U1881" s="12">
        <f t="shared" si="173"/>
        <v>4.4677894067749087</v>
      </c>
      <c r="V1881" s="30">
        <f t="shared" si="174"/>
        <v>0.45259506849315068</v>
      </c>
      <c r="W1881" s="46">
        <f t="shared" si="172"/>
        <v>-4.5885189886593278E-2</v>
      </c>
      <c r="X1881" s="33">
        <f t="shared" si="175"/>
        <v>2.6951544243172375E-2</v>
      </c>
    </row>
    <row r="1882" spans="19:24" x14ac:dyDescent="0.25">
      <c r="S1882" s="44">
        <f t="shared" si="170"/>
        <v>44932</v>
      </c>
      <c r="T1882" s="12">
        <f t="shared" si="171"/>
        <v>4.5858419063577882</v>
      </c>
      <c r="U1882" s="12">
        <f t="shared" si="173"/>
        <v>4.4651382300501172</v>
      </c>
      <c r="V1882" s="30">
        <f t="shared" si="174"/>
        <v>0.45256767123287667</v>
      </c>
      <c r="W1882" s="46">
        <f t="shared" si="172"/>
        <v>-4.5858419063577877E-2</v>
      </c>
      <c r="X1882" s="33">
        <f t="shared" si="175"/>
        <v>2.6951502730899426E-2</v>
      </c>
    </row>
    <row r="1883" spans="19:24" x14ac:dyDescent="0.25">
      <c r="S1883" s="44">
        <f t="shared" si="170"/>
        <v>44933</v>
      </c>
      <c r="T1883" s="12">
        <f t="shared" si="171"/>
        <v>4.5831648240562455</v>
      </c>
      <c r="U1883" s="12">
        <f t="shared" si="173"/>
        <v>4.4624870533253294</v>
      </c>
      <c r="V1883" s="30">
        <f t="shared" si="174"/>
        <v>0.45254027397260271</v>
      </c>
      <c r="W1883" s="46">
        <f t="shared" si="172"/>
        <v>-4.5831648240562448E-2</v>
      </c>
      <c r="X1883" s="33">
        <f t="shared" si="175"/>
        <v>2.6951461218626484E-2</v>
      </c>
    </row>
    <row r="1884" spans="19:24" x14ac:dyDescent="0.25">
      <c r="S1884" s="44">
        <f t="shared" si="170"/>
        <v>44934</v>
      </c>
      <c r="T1884" s="12">
        <f t="shared" si="171"/>
        <v>4.5804877417547045</v>
      </c>
      <c r="U1884" s="12">
        <f t="shared" si="173"/>
        <v>4.4598358766005397</v>
      </c>
      <c r="V1884" s="30">
        <f t="shared" si="174"/>
        <v>0.45251287671232876</v>
      </c>
      <c r="W1884" s="46">
        <f t="shared" si="172"/>
        <v>-4.5804877417547039E-2</v>
      </c>
      <c r="X1884" s="33">
        <f t="shared" si="175"/>
        <v>2.6951419706353549E-2</v>
      </c>
    </row>
    <row r="1885" spans="19:24" x14ac:dyDescent="0.25">
      <c r="S1885" s="44">
        <f t="shared" si="170"/>
        <v>44935</v>
      </c>
      <c r="T1885" s="12">
        <f t="shared" si="171"/>
        <v>4.5778106594531636</v>
      </c>
      <c r="U1885" s="12">
        <f t="shared" si="173"/>
        <v>4.4571846998757518</v>
      </c>
      <c r="V1885" s="30">
        <f t="shared" si="174"/>
        <v>0.45248547945205481</v>
      </c>
      <c r="W1885" s="46">
        <f t="shared" si="172"/>
        <v>-4.5778106594531631E-2</v>
      </c>
      <c r="X1885" s="33">
        <f t="shared" si="175"/>
        <v>2.69513781940806E-2</v>
      </c>
    </row>
    <row r="1886" spans="19:24" x14ac:dyDescent="0.25">
      <c r="S1886" s="44">
        <f t="shared" si="170"/>
        <v>44936</v>
      </c>
      <c r="T1886" s="12">
        <f t="shared" si="171"/>
        <v>4.5751335771516235</v>
      </c>
      <c r="U1886" s="12">
        <f t="shared" si="173"/>
        <v>4.4545335231509622</v>
      </c>
      <c r="V1886" s="30">
        <f t="shared" si="174"/>
        <v>0.45245808219178085</v>
      </c>
      <c r="W1886" s="46">
        <f t="shared" si="172"/>
        <v>-4.575133577151623E-2</v>
      </c>
      <c r="X1886" s="33">
        <f t="shared" si="175"/>
        <v>2.6951336681807658E-2</v>
      </c>
    </row>
    <row r="1887" spans="19:24" x14ac:dyDescent="0.25">
      <c r="S1887" s="44">
        <f t="shared" si="170"/>
        <v>44937</v>
      </c>
      <c r="T1887" s="12">
        <f t="shared" si="171"/>
        <v>4.5724564948500799</v>
      </c>
      <c r="U1887" s="12">
        <f t="shared" si="173"/>
        <v>4.4518823464261725</v>
      </c>
      <c r="V1887" s="30">
        <f t="shared" si="174"/>
        <v>0.4524306849315069</v>
      </c>
      <c r="W1887" s="46">
        <f t="shared" si="172"/>
        <v>-4.5724564948500794E-2</v>
      </c>
      <c r="X1887" s="33">
        <f t="shared" si="175"/>
        <v>2.6951295169534716E-2</v>
      </c>
    </row>
    <row r="1888" spans="19:24" x14ac:dyDescent="0.25">
      <c r="S1888" s="44">
        <f t="shared" si="170"/>
        <v>44938</v>
      </c>
      <c r="T1888" s="12">
        <f t="shared" si="171"/>
        <v>4.5697794125485407</v>
      </c>
      <c r="U1888" s="12">
        <f t="shared" si="173"/>
        <v>4.449231169701382</v>
      </c>
      <c r="V1888" s="30">
        <f t="shared" si="174"/>
        <v>0.45240328767123289</v>
      </c>
      <c r="W1888" s="46">
        <f t="shared" si="172"/>
        <v>-4.56977941254854E-2</v>
      </c>
      <c r="X1888" s="33">
        <f t="shared" si="175"/>
        <v>2.6951253657261771E-2</v>
      </c>
    </row>
    <row r="1889" spans="19:24" x14ac:dyDescent="0.25">
      <c r="S1889" s="44">
        <f t="shared" si="170"/>
        <v>44939</v>
      </c>
      <c r="T1889" s="12">
        <f t="shared" si="171"/>
        <v>4.567102330246998</v>
      </c>
      <c r="U1889" s="12">
        <f t="shared" si="173"/>
        <v>4.4465799929765932</v>
      </c>
      <c r="V1889" s="30">
        <f t="shared" si="174"/>
        <v>0.45237589041095894</v>
      </c>
      <c r="W1889" s="46">
        <f t="shared" si="172"/>
        <v>-4.5671023302469971E-2</v>
      </c>
      <c r="X1889" s="33">
        <f t="shared" si="175"/>
        <v>2.6951212144988829E-2</v>
      </c>
    </row>
    <row r="1890" spans="19:24" x14ac:dyDescent="0.25">
      <c r="S1890" s="44">
        <f t="shared" ref="S1890:S1953" si="176">+S1889+1</f>
        <v>44940</v>
      </c>
      <c r="T1890" s="12">
        <f t="shared" ref="T1890:T1953" si="177">DurMod(S1890,B$2,$F$7:$G$37,$T$3)</f>
        <v>4.5644252479454579</v>
      </c>
      <c r="U1890" s="12">
        <f t="shared" si="173"/>
        <v>4.4439288162518045</v>
      </c>
      <c r="V1890" s="30">
        <f t="shared" si="174"/>
        <v>0.45234849315068493</v>
      </c>
      <c r="W1890" s="46">
        <f t="shared" ref="W1890:W1953" si="178">+-T1890*($U$3-$T$3)</f>
        <v>-4.564425247945457E-2</v>
      </c>
      <c r="X1890" s="33">
        <f t="shared" si="175"/>
        <v>2.6951170632715883E-2</v>
      </c>
    </row>
    <row r="1891" spans="19:24" x14ac:dyDescent="0.25">
      <c r="S1891" s="44">
        <f t="shared" si="176"/>
        <v>44941</v>
      </c>
      <c r="T1891" s="12">
        <f t="shared" si="177"/>
        <v>4.5617481656439161</v>
      </c>
      <c r="U1891" s="12">
        <f t="shared" si="173"/>
        <v>4.4412776395270157</v>
      </c>
      <c r="V1891" s="30">
        <f t="shared" si="174"/>
        <v>0.45232109589041097</v>
      </c>
      <c r="W1891" s="46">
        <f t="shared" si="178"/>
        <v>-4.5617481656439154E-2</v>
      </c>
      <c r="X1891" s="33">
        <f t="shared" si="175"/>
        <v>2.6951129120442941E-2</v>
      </c>
    </row>
    <row r="1892" spans="19:24" x14ac:dyDescent="0.25">
      <c r="S1892" s="44">
        <f t="shared" si="176"/>
        <v>44942</v>
      </c>
      <c r="T1892" s="12">
        <f t="shared" si="177"/>
        <v>4.5590710833423751</v>
      </c>
      <c r="U1892" s="12">
        <f t="shared" si="173"/>
        <v>4.4386264628022243</v>
      </c>
      <c r="V1892" s="30">
        <f t="shared" si="174"/>
        <v>0.45229369863013702</v>
      </c>
      <c r="W1892" s="46">
        <f t="shared" si="178"/>
        <v>-4.5590710833423746E-2</v>
      </c>
      <c r="X1892" s="33">
        <f t="shared" si="175"/>
        <v>2.6951087608169999E-2</v>
      </c>
    </row>
    <row r="1893" spans="19:24" x14ac:dyDescent="0.25">
      <c r="S1893" s="44">
        <f t="shared" si="176"/>
        <v>44943</v>
      </c>
      <c r="T1893" s="12">
        <f t="shared" si="177"/>
        <v>4.5563940010408333</v>
      </c>
      <c r="U1893" s="12">
        <f t="shared" si="173"/>
        <v>4.4359752860774382</v>
      </c>
      <c r="V1893" s="30">
        <f t="shared" si="174"/>
        <v>0.45226630136986301</v>
      </c>
      <c r="W1893" s="46">
        <f t="shared" si="178"/>
        <v>-4.5563940010408324E-2</v>
      </c>
      <c r="X1893" s="33">
        <f t="shared" si="175"/>
        <v>2.695104609589705E-2</v>
      </c>
    </row>
    <row r="1894" spans="19:24" x14ac:dyDescent="0.25">
      <c r="S1894" s="44">
        <f t="shared" si="176"/>
        <v>44944</v>
      </c>
      <c r="T1894" s="12">
        <f t="shared" si="177"/>
        <v>4.5537169187392932</v>
      </c>
      <c r="U1894" s="12">
        <f t="shared" si="173"/>
        <v>4.4333241093526468</v>
      </c>
      <c r="V1894" s="30">
        <f t="shared" si="174"/>
        <v>0.452238904109589</v>
      </c>
      <c r="W1894" s="46">
        <f t="shared" si="178"/>
        <v>-4.5537169187392923E-2</v>
      </c>
      <c r="X1894" s="33">
        <f t="shared" si="175"/>
        <v>2.6951004583624105E-2</v>
      </c>
    </row>
    <row r="1895" spans="19:24" x14ac:dyDescent="0.25">
      <c r="S1895" s="44">
        <f t="shared" si="176"/>
        <v>44945</v>
      </c>
      <c r="T1895" s="12">
        <f t="shared" si="177"/>
        <v>4.5510398364377513</v>
      </c>
      <c r="U1895" s="12">
        <f t="shared" si="173"/>
        <v>4.430672932627858</v>
      </c>
      <c r="V1895" s="30">
        <f t="shared" si="174"/>
        <v>0.4522115068493151</v>
      </c>
      <c r="W1895" s="46">
        <f t="shared" si="178"/>
        <v>-4.5510398364377508E-2</v>
      </c>
      <c r="X1895" s="33">
        <f t="shared" si="175"/>
        <v>2.6950963071351166E-2</v>
      </c>
    </row>
    <row r="1896" spans="19:24" x14ac:dyDescent="0.25">
      <c r="S1896" s="44">
        <f t="shared" si="176"/>
        <v>44946</v>
      </c>
      <c r="T1896" s="12">
        <f t="shared" si="177"/>
        <v>4.5483627541362113</v>
      </c>
      <c r="U1896" s="12">
        <f t="shared" si="173"/>
        <v>4.4280217559030683</v>
      </c>
      <c r="V1896" s="30">
        <f t="shared" si="174"/>
        <v>0.45218410958904109</v>
      </c>
      <c r="W1896" s="46">
        <f t="shared" si="178"/>
        <v>-4.5483627541362107E-2</v>
      </c>
      <c r="X1896" s="33">
        <f t="shared" si="175"/>
        <v>2.695092155907822E-2</v>
      </c>
    </row>
    <row r="1897" spans="19:24" x14ac:dyDescent="0.25">
      <c r="S1897" s="44">
        <f t="shared" si="176"/>
        <v>44947</v>
      </c>
      <c r="T1897" s="12">
        <f t="shared" si="177"/>
        <v>4.5456856718346677</v>
      </c>
      <c r="U1897" s="12">
        <f t="shared" si="173"/>
        <v>4.4253705791782796</v>
      </c>
      <c r="V1897" s="30">
        <f t="shared" si="174"/>
        <v>0.45215671232876714</v>
      </c>
      <c r="W1897" s="46">
        <f t="shared" si="178"/>
        <v>-4.5456856718346671E-2</v>
      </c>
      <c r="X1897" s="33">
        <f t="shared" si="175"/>
        <v>2.6950880046805278E-2</v>
      </c>
    </row>
    <row r="1898" spans="19:24" x14ac:dyDescent="0.25">
      <c r="S1898" s="44">
        <f t="shared" si="176"/>
        <v>44948</v>
      </c>
      <c r="T1898" s="12">
        <f t="shared" si="177"/>
        <v>4.5430085895331276</v>
      </c>
      <c r="U1898" s="12">
        <f t="shared" si="173"/>
        <v>4.4227194024534917</v>
      </c>
      <c r="V1898" s="30">
        <f t="shared" si="174"/>
        <v>0.45212931506849313</v>
      </c>
      <c r="W1898" s="46">
        <f t="shared" si="178"/>
        <v>-4.5430085895331269E-2</v>
      </c>
      <c r="X1898" s="33">
        <f t="shared" si="175"/>
        <v>2.6950838534532329E-2</v>
      </c>
    </row>
    <row r="1899" spans="19:24" x14ac:dyDescent="0.25">
      <c r="S1899" s="44">
        <f t="shared" si="176"/>
        <v>44949</v>
      </c>
      <c r="T1899" s="12">
        <f t="shared" si="177"/>
        <v>4.5403315072315866</v>
      </c>
      <c r="U1899" s="12">
        <f t="shared" si="173"/>
        <v>4.4200682257287003</v>
      </c>
      <c r="V1899" s="30">
        <f t="shared" si="174"/>
        <v>0.45210191780821918</v>
      </c>
      <c r="W1899" s="46">
        <f t="shared" si="178"/>
        <v>-4.5403315072315861E-2</v>
      </c>
      <c r="X1899" s="33">
        <f t="shared" si="175"/>
        <v>2.6950797022259387E-2</v>
      </c>
    </row>
    <row r="1900" spans="19:24" x14ac:dyDescent="0.25">
      <c r="S1900" s="44">
        <f t="shared" si="176"/>
        <v>44950</v>
      </c>
      <c r="T1900" s="12">
        <f t="shared" si="177"/>
        <v>4.5376544249300457</v>
      </c>
      <c r="U1900" s="12">
        <f t="shared" si="173"/>
        <v>4.4174170490039124</v>
      </c>
      <c r="V1900" s="30">
        <f t="shared" si="174"/>
        <v>0.45207452054794522</v>
      </c>
      <c r="W1900" s="46">
        <f t="shared" si="178"/>
        <v>-4.5376544249300453E-2</v>
      </c>
      <c r="X1900" s="33">
        <f t="shared" si="175"/>
        <v>2.6950755509986445E-2</v>
      </c>
    </row>
    <row r="1901" spans="19:24" x14ac:dyDescent="0.25">
      <c r="S1901" s="44">
        <f t="shared" si="176"/>
        <v>44951</v>
      </c>
      <c r="T1901" s="12">
        <f t="shared" si="177"/>
        <v>4.5349773426285047</v>
      </c>
      <c r="U1901" s="12">
        <f t="shared" si="173"/>
        <v>4.4147658722791219</v>
      </c>
      <c r="V1901" s="30">
        <f t="shared" si="174"/>
        <v>0.45204712328767127</v>
      </c>
      <c r="W1901" s="46">
        <f t="shared" si="178"/>
        <v>-4.5349773426285038E-2</v>
      </c>
      <c r="X1901" s="33">
        <f t="shared" si="175"/>
        <v>2.6950713997713503E-2</v>
      </c>
    </row>
    <row r="1902" spans="19:24" x14ac:dyDescent="0.25">
      <c r="S1902" s="44">
        <f t="shared" si="176"/>
        <v>44952</v>
      </c>
      <c r="T1902" s="12">
        <f t="shared" si="177"/>
        <v>4.5323002603269646</v>
      </c>
      <c r="U1902" s="12">
        <f t="shared" si="173"/>
        <v>4.412114695554334</v>
      </c>
      <c r="V1902" s="30">
        <f t="shared" si="174"/>
        <v>0.45201972602739726</v>
      </c>
      <c r="W1902" s="46">
        <f t="shared" si="178"/>
        <v>-4.5323002603269637E-2</v>
      </c>
      <c r="X1902" s="33">
        <f t="shared" si="175"/>
        <v>2.6950672485440551E-2</v>
      </c>
    </row>
    <row r="1903" spans="19:24" x14ac:dyDescent="0.25">
      <c r="S1903" s="44">
        <f t="shared" si="176"/>
        <v>44953</v>
      </c>
      <c r="T1903" s="12">
        <f t="shared" si="177"/>
        <v>4.5296231780254228</v>
      </c>
      <c r="U1903" s="12">
        <f t="shared" si="173"/>
        <v>4.4094635188295426</v>
      </c>
      <c r="V1903" s="30">
        <f t="shared" si="174"/>
        <v>0.45199232876712325</v>
      </c>
      <c r="W1903" s="46">
        <f t="shared" si="178"/>
        <v>-4.5296231780254222E-2</v>
      </c>
      <c r="X1903" s="33">
        <f t="shared" si="175"/>
        <v>2.6950630973167609E-2</v>
      </c>
    </row>
    <row r="1904" spans="19:24" x14ac:dyDescent="0.25">
      <c r="S1904" s="44">
        <f t="shared" si="176"/>
        <v>44954</v>
      </c>
      <c r="T1904" s="12">
        <f t="shared" si="177"/>
        <v>4.5269460957238818</v>
      </c>
      <c r="U1904" s="12">
        <f t="shared" si="173"/>
        <v>4.4068123421047556</v>
      </c>
      <c r="V1904" s="30">
        <f t="shared" si="174"/>
        <v>0.45196493150684935</v>
      </c>
      <c r="W1904" s="46">
        <f t="shared" si="178"/>
        <v>-4.5269460957238813E-2</v>
      </c>
      <c r="X1904" s="33">
        <f t="shared" si="175"/>
        <v>2.6950589460894667E-2</v>
      </c>
    </row>
    <row r="1905" spans="19:24" x14ac:dyDescent="0.25">
      <c r="S1905" s="44">
        <f t="shared" si="176"/>
        <v>44955</v>
      </c>
      <c r="T1905" s="12">
        <f t="shared" si="177"/>
        <v>4.5242690134223391</v>
      </c>
      <c r="U1905" s="12">
        <f t="shared" si="173"/>
        <v>4.404161165379965</v>
      </c>
      <c r="V1905" s="30">
        <f t="shared" si="174"/>
        <v>0.45193753424657535</v>
      </c>
      <c r="W1905" s="46">
        <f t="shared" si="178"/>
        <v>-4.5242690134223384E-2</v>
      </c>
      <c r="X1905" s="33">
        <f t="shared" si="175"/>
        <v>2.6950547948621725E-2</v>
      </c>
    </row>
    <row r="1906" spans="19:24" x14ac:dyDescent="0.25">
      <c r="S1906" s="44">
        <f t="shared" si="176"/>
        <v>44956</v>
      </c>
      <c r="T1906" s="12">
        <f t="shared" si="177"/>
        <v>4.521591931120799</v>
      </c>
      <c r="U1906" s="12">
        <f t="shared" si="173"/>
        <v>4.4015099886551745</v>
      </c>
      <c r="V1906" s="30">
        <f t="shared" si="174"/>
        <v>0.45191013698630134</v>
      </c>
      <c r="W1906" s="46">
        <f t="shared" si="178"/>
        <v>-4.5215919311207983E-2</v>
      </c>
      <c r="X1906" s="33">
        <f t="shared" si="175"/>
        <v>2.6950506436348779E-2</v>
      </c>
    </row>
    <row r="1907" spans="19:24" x14ac:dyDescent="0.25">
      <c r="S1907" s="44">
        <f t="shared" si="176"/>
        <v>44957</v>
      </c>
      <c r="T1907" s="12">
        <f t="shared" si="177"/>
        <v>4.5189148488192572</v>
      </c>
      <c r="U1907" s="12">
        <f t="shared" si="173"/>
        <v>4.3988588119303857</v>
      </c>
      <c r="V1907" s="30">
        <f t="shared" si="174"/>
        <v>0.45188273972602738</v>
      </c>
      <c r="W1907" s="46">
        <f t="shared" si="178"/>
        <v>-4.5189148488192568E-2</v>
      </c>
      <c r="X1907" s="33">
        <f t="shared" si="175"/>
        <v>2.6950464924075837E-2</v>
      </c>
    </row>
    <row r="1908" spans="19:24" x14ac:dyDescent="0.25">
      <c r="S1908" s="44">
        <f t="shared" si="176"/>
        <v>44958</v>
      </c>
      <c r="T1908" s="12">
        <f t="shared" si="177"/>
        <v>4.5162377665177154</v>
      </c>
      <c r="U1908" s="12">
        <f t="shared" si="173"/>
        <v>4.396207635205597</v>
      </c>
      <c r="V1908" s="30">
        <f t="shared" si="174"/>
        <v>0.45185534246575343</v>
      </c>
      <c r="W1908" s="46">
        <f t="shared" si="178"/>
        <v>-4.5162377665177146E-2</v>
      </c>
      <c r="X1908" s="33">
        <f t="shared" si="175"/>
        <v>2.6950423411802895E-2</v>
      </c>
    </row>
    <row r="1909" spans="19:24" x14ac:dyDescent="0.25">
      <c r="S1909" s="44">
        <f t="shared" si="176"/>
        <v>44959</v>
      </c>
      <c r="T1909" s="12">
        <f t="shared" si="177"/>
        <v>4.5135606842161744</v>
      </c>
      <c r="U1909" s="12">
        <f t="shared" si="173"/>
        <v>4.3935564584808064</v>
      </c>
      <c r="V1909" s="30">
        <f t="shared" si="174"/>
        <v>0.45182794520547948</v>
      </c>
      <c r="W1909" s="46">
        <f t="shared" si="178"/>
        <v>-4.5135606842161738E-2</v>
      </c>
      <c r="X1909" s="33">
        <f t="shared" si="175"/>
        <v>2.6950381899529953E-2</v>
      </c>
    </row>
    <row r="1910" spans="19:24" x14ac:dyDescent="0.25">
      <c r="S1910" s="44">
        <f t="shared" si="176"/>
        <v>44960</v>
      </c>
      <c r="T1910" s="12">
        <f t="shared" si="177"/>
        <v>4.5108836019146326</v>
      </c>
      <c r="U1910" s="12">
        <f t="shared" si="173"/>
        <v>4.3909052817560195</v>
      </c>
      <c r="V1910" s="30">
        <f t="shared" si="174"/>
        <v>0.45180054794520547</v>
      </c>
      <c r="W1910" s="46">
        <f t="shared" si="178"/>
        <v>-4.5108836019146316E-2</v>
      </c>
      <c r="X1910" s="33">
        <f t="shared" si="175"/>
        <v>2.6950340387257007E-2</v>
      </c>
    </row>
    <row r="1911" spans="19:24" x14ac:dyDescent="0.25">
      <c r="S1911" s="44">
        <f t="shared" si="176"/>
        <v>44961</v>
      </c>
      <c r="T1911" s="12">
        <f t="shared" si="177"/>
        <v>4.5082065196130925</v>
      </c>
      <c r="U1911" s="12">
        <f t="shared" si="173"/>
        <v>4.3882541050312298</v>
      </c>
      <c r="V1911" s="30">
        <f t="shared" si="174"/>
        <v>0.45177315068493151</v>
      </c>
      <c r="W1911" s="46">
        <f t="shared" si="178"/>
        <v>-4.5082065196130915E-2</v>
      </c>
      <c r="X1911" s="33">
        <f t="shared" si="175"/>
        <v>2.6950298874984065E-2</v>
      </c>
    </row>
    <row r="1912" spans="19:24" x14ac:dyDescent="0.25">
      <c r="S1912" s="44">
        <f t="shared" si="176"/>
        <v>44962</v>
      </c>
      <c r="T1912" s="12">
        <f t="shared" si="177"/>
        <v>4.5055294373115498</v>
      </c>
      <c r="U1912" s="12">
        <f t="shared" si="173"/>
        <v>4.3856029283064402</v>
      </c>
      <c r="V1912" s="30">
        <f t="shared" si="174"/>
        <v>0.4517457534246575</v>
      </c>
      <c r="W1912" s="46">
        <f t="shared" si="178"/>
        <v>-4.5055294373115493E-2</v>
      </c>
      <c r="X1912" s="33">
        <f t="shared" si="175"/>
        <v>2.6950257362711116E-2</v>
      </c>
    </row>
    <row r="1913" spans="19:24" x14ac:dyDescent="0.25">
      <c r="S1913" s="44">
        <f t="shared" si="176"/>
        <v>44963</v>
      </c>
      <c r="T1913" s="12">
        <f t="shared" si="177"/>
        <v>4.5028523550100097</v>
      </c>
      <c r="U1913" s="12">
        <f t="shared" si="173"/>
        <v>4.3829517515816514</v>
      </c>
      <c r="V1913" s="30">
        <f t="shared" si="174"/>
        <v>0.45171835616438361</v>
      </c>
      <c r="W1913" s="46">
        <f t="shared" si="178"/>
        <v>-4.5028523550100091E-2</v>
      </c>
      <c r="X1913" s="33">
        <f t="shared" si="175"/>
        <v>2.6950215850438174E-2</v>
      </c>
    </row>
    <row r="1914" spans="19:24" x14ac:dyDescent="0.25">
      <c r="S1914" s="44">
        <f t="shared" si="176"/>
        <v>44964</v>
      </c>
      <c r="T1914" s="12">
        <f t="shared" si="177"/>
        <v>4.5001752727084687</v>
      </c>
      <c r="U1914" s="12">
        <f t="shared" si="173"/>
        <v>4.3803005748568618</v>
      </c>
      <c r="V1914" s="30">
        <f t="shared" si="174"/>
        <v>0.4516909589041096</v>
      </c>
      <c r="W1914" s="46">
        <f t="shared" si="178"/>
        <v>-4.5001752727084683E-2</v>
      </c>
      <c r="X1914" s="33">
        <f t="shared" si="175"/>
        <v>2.6950174338165232E-2</v>
      </c>
    </row>
    <row r="1915" spans="19:24" x14ac:dyDescent="0.25">
      <c r="S1915" s="44">
        <f t="shared" si="176"/>
        <v>44965</v>
      </c>
      <c r="T1915" s="12">
        <f t="shared" si="177"/>
        <v>4.4974981904069269</v>
      </c>
      <c r="U1915" s="12">
        <f t="shared" si="173"/>
        <v>4.3776493981320721</v>
      </c>
      <c r="V1915" s="30">
        <f t="shared" si="174"/>
        <v>0.45166356164383559</v>
      </c>
      <c r="W1915" s="46">
        <f t="shared" si="178"/>
        <v>-4.4974981904069261E-2</v>
      </c>
      <c r="X1915" s="33">
        <f t="shared" si="175"/>
        <v>2.6950132825892287E-2</v>
      </c>
    </row>
    <row r="1916" spans="19:24" x14ac:dyDescent="0.25">
      <c r="S1916" s="44">
        <f t="shared" si="176"/>
        <v>44966</v>
      </c>
      <c r="T1916" s="12">
        <f t="shared" si="177"/>
        <v>4.4948211081053859</v>
      </c>
      <c r="U1916" s="12">
        <f t="shared" si="173"/>
        <v>4.3749982214072833</v>
      </c>
      <c r="V1916" s="30">
        <f t="shared" si="174"/>
        <v>0.45163616438356163</v>
      </c>
      <c r="W1916" s="46">
        <f t="shared" si="178"/>
        <v>-4.4948211081053853E-2</v>
      </c>
      <c r="X1916" s="33">
        <f t="shared" si="175"/>
        <v>2.6950091313619345E-2</v>
      </c>
    </row>
    <row r="1917" spans="19:24" x14ac:dyDescent="0.25">
      <c r="S1917" s="44">
        <f t="shared" si="176"/>
        <v>44967</v>
      </c>
      <c r="T1917" s="12">
        <f t="shared" si="177"/>
        <v>4.4921440258038468</v>
      </c>
      <c r="U1917" s="12">
        <f t="shared" si="173"/>
        <v>4.3723470446824946</v>
      </c>
      <c r="V1917" s="30">
        <f t="shared" si="174"/>
        <v>0.45160876712328762</v>
      </c>
      <c r="W1917" s="46">
        <f t="shared" si="178"/>
        <v>-4.4921440258038459E-2</v>
      </c>
      <c r="X1917" s="33">
        <f t="shared" si="175"/>
        <v>2.6950049801346396E-2</v>
      </c>
    </row>
    <row r="1918" spans="19:24" x14ac:dyDescent="0.25">
      <c r="S1918" s="44">
        <f t="shared" si="176"/>
        <v>44968</v>
      </c>
      <c r="T1918" s="12">
        <f t="shared" si="177"/>
        <v>4.4894669435023049</v>
      </c>
      <c r="U1918" s="12">
        <f t="shared" si="173"/>
        <v>4.369695867957704</v>
      </c>
      <c r="V1918" s="30">
        <f t="shared" si="174"/>
        <v>0.45158136986301373</v>
      </c>
      <c r="W1918" s="46">
        <f t="shared" si="178"/>
        <v>-4.4894669435023044E-2</v>
      </c>
      <c r="X1918" s="33">
        <f t="shared" si="175"/>
        <v>2.6950008289073461E-2</v>
      </c>
    </row>
    <row r="1919" spans="19:24" x14ac:dyDescent="0.25">
      <c r="S1919" s="44">
        <f t="shared" si="176"/>
        <v>44969</v>
      </c>
      <c r="T1919" s="12">
        <f t="shared" si="177"/>
        <v>4.4867898612007622</v>
      </c>
      <c r="U1919" s="12">
        <f t="shared" si="173"/>
        <v>4.3670446912329153</v>
      </c>
      <c r="V1919" s="30">
        <f t="shared" si="174"/>
        <v>0.45155397260273972</v>
      </c>
      <c r="W1919" s="46">
        <f t="shared" si="178"/>
        <v>-4.4867898612007615E-2</v>
      </c>
      <c r="X1919" s="33">
        <f t="shared" si="175"/>
        <v>2.6949966776800512E-2</v>
      </c>
    </row>
    <row r="1920" spans="19:24" x14ac:dyDescent="0.25">
      <c r="S1920" s="44">
        <f t="shared" si="176"/>
        <v>44970</v>
      </c>
      <c r="T1920" s="12">
        <f t="shared" si="177"/>
        <v>4.4841127788992203</v>
      </c>
      <c r="U1920" s="12">
        <f t="shared" si="173"/>
        <v>4.3643935145081256</v>
      </c>
      <c r="V1920" s="30">
        <f t="shared" si="174"/>
        <v>0.45152657534246576</v>
      </c>
      <c r="W1920" s="46">
        <f t="shared" si="178"/>
        <v>-4.4841127788992199E-2</v>
      </c>
      <c r="X1920" s="33">
        <f t="shared" si="175"/>
        <v>2.694992526452757E-2</v>
      </c>
    </row>
    <row r="1921" spans="19:24" x14ac:dyDescent="0.25">
      <c r="S1921" s="44">
        <f t="shared" si="176"/>
        <v>44971</v>
      </c>
      <c r="T1921" s="12">
        <f t="shared" si="177"/>
        <v>4.4814356965976803</v>
      </c>
      <c r="U1921" s="12">
        <f t="shared" si="173"/>
        <v>4.3617423377833369</v>
      </c>
      <c r="V1921" s="30">
        <f t="shared" si="174"/>
        <v>0.45149917808219175</v>
      </c>
      <c r="W1921" s="46">
        <f t="shared" si="178"/>
        <v>-4.4814356965976798E-2</v>
      </c>
      <c r="X1921" s="33">
        <f t="shared" si="175"/>
        <v>2.6949883752254624E-2</v>
      </c>
    </row>
    <row r="1922" spans="19:24" x14ac:dyDescent="0.25">
      <c r="S1922" s="44">
        <f t="shared" si="176"/>
        <v>44972</v>
      </c>
      <c r="T1922" s="12">
        <f t="shared" si="177"/>
        <v>4.4787586142961402</v>
      </c>
      <c r="U1922" s="12">
        <f t="shared" si="173"/>
        <v>4.3590911610585472</v>
      </c>
      <c r="V1922" s="30">
        <f t="shared" si="174"/>
        <v>0.4514717808219178</v>
      </c>
      <c r="W1922" s="46">
        <f t="shared" si="178"/>
        <v>-4.4787586142961397E-2</v>
      </c>
      <c r="X1922" s="33">
        <f t="shared" si="175"/>
        <v>2.6949842239981675E-2</v>
      </c>
    </row>
    <row r="1923" spans="19:24" x14ac:dyDescent="0.25">
      <c r="S1923" s="44">
        <f t="shared" si="176"/>
        <v>44973</v>
      </c>
      <c r="T1923" s="12">
        <f t="shared" si="177"/>
        <v>4.4760815319945984</v>
      </c>
      <c r="U1923" s="12">
        <f t="shared" si="173"/>
        <v>4.3564399843337576</v>
      </c>
      <c r="V1923" s="30">
        <f t="shared" si="174"/>
        <v>0.45144438356164385</v>
      </c>
      <c r="W1923" s="46">
        <f t="shared" si="178"/>
        <v>-4.4760815319945975E-2</v>
      </c>
      <c r="X1923" s="33">
        <f t="shared" si="175"/>
        <v>2.694980072770874E-2</v>
      </c>
    </row>
    <row r="1924" spans="19:24" x14ac:dyDescent="0.25">
      <c r="S1924" s="44">
        <f t="shared" si="176"/>
        <v>44974</v>
      </c>
      <c r="T1924" s="12">
        <f t="shared" si="177"/>
        <v>4.4734044496930565</v>
      </c>
      <c r="U1924" s="12">
        <f t="shared" si="173"/>
        <v>4.3537888076089697</v>
      </c>
      <c r="V1924" s="30">
        <f t="shared" si="174"/>
        <v>0.45141698630136984</v>
      </c>
      <c r="W1924" s="46">
        <f t="shared" si="178"/>
        <v>-4.473404449693056E-2</v>
      </c>
      <c r="X1924" s="33">
        <f t="shared" si="175"/>
        <v>2.6949759215435787E-2</v>
      </c>
    </row>
    <row r="1925" spans="19:24" x14ac:dyDescent="0.25">
      <c r="S1925" s="44">
        <f t="shared" si="176"/>
        <v>44975</v>
      </c>
      <c r="T1925" s="12">
        <f t="shared" si="177"/>
        <v>4.4707273673915155</v>
      </c>
      <c r="U1925" s="12">
        <f t="shared" ref="U1925:U1988" si="179">DurMod($S1925,$B$2,$F$7:$G$37,U$3)</f>
        <v>4.3511376308841792</v>
      </c>
      <c r="V1925" s="30">
        <f t="shared" ref="V1925:V1988" si="180">+$U$3*($S$5512-S1925)/365+$T$3*(S1925-$S$4)/365</f>
        <v>0.45138958904109583</v>
      </c>
      <c r="W1925" s="46">
        <f t="shared" si="178"/>
        <v>-4.4707273673915152E-2</v>
      </c>
      <c r="X1925" s="33">
        <f t="shared" ref="X1925:X1988" si="181">+(V1925+W1925)*365/($S$5512-$S$4)</f>
        <v>2.6949717703162845E-2</v>
      </c>
    </row>
    <row r="1926" spans="19:24" x14ac:dyDescent="0.25">
      <c r="S1926" s="44">
        <f t="shared" si="176"/>
        <v>44976</v>
      </c>
      <c r="T1926" s="12">
        <f t="shared" si="177"/>
        <v>4.4680502850899746</v>
      </c>
      <c r="U1926" s="12">
        <f t="shared" si="179"/>
        <v>4.3484864541593904</v>
      </c>
      <c r="V1926" s="30">
        <f t="shared" si="180"/>
        <v>0.45136219178082188</v>
      </c>
      <c r="W1926" s="46">
        <f t="shared" si="178"/>
        <v>-4.4680502850899736E-2</v>
      </c>
      <c r="X1926" s="33">
        <f t="shared" si="181"/>
        <v>2.6949676190889903E-2</v>
      </c>
    </row>
    <row r="1927" spans="19:24" x14ac:dyDescent="0.25">
      <c r="S1927" s="44">
        <f t="shared" si="176"/>
        <v>44977</v>
      </c>
      <c r="T1927" s="12">
        <f t="shared" si="177"/>
        <v>4.4653732027884327</v>
      </c>
      <c r="U1927" s="12">
        <f t="shared" si="179"/>
        <v>4.3458352774346016</v>
      </c>
      <c r="V1927" s="30">
        <f t="shared" si="180"/>
        <v>0.45133479452054792</v>
      </c>
      <c r="W1927" s="46">
        <f t="shared" si="178"/>
        <v>-4.4653732027884321E-2</v>
      </c>
      <c r="X1927" s="33">
        <f t="shared" si="181"/>
        <v>2.6949634678616961E-2</v>
      </c>
    </row>
    <row r="1928" spans="19:24" x14ac:dyDescent="0.25">
      <c r="S1928" s="44">
        <f t="shared" si="176"/>
        <v>44978</v>
      </c>
      <c r="T1928" s="12">
        <f t="shared" si="177"/>
        <v>4.4626961204868918</v>
      </c>
      <c r="U1928" s="12">
        <f t="shared" si="179"/>
        <v>4.3431841007098111</v>
      </c>
      <c r="V1928" s="30">
        <f t="shared" si="180"/>
        <v>0.45130739726027402</v>
      </c>
      <c r="W1928" s="46">
        <f t="shared" si="178"/>
        <v>-4.4626961204868913E-2</v>
      </c>
      <c r="X1928" s="33">
        <f t="shared" si="181"/>
        <v>2.6949593166344019E-2</v>
      </c>
    </row>
    <row r="1929" spans="19:24" x14ac:dyDescent="0.25">
      <c r="S1929" s="44">
        <f t="shared" si="176"/>
        <v>44979</v>
      </c>
      <c r="T1929" s="12">
        <f t="shared" si="177"/>
        <v>4.4600190381853517</v>
      </c>
      <c r="U1929" s="12">
        <f t="shared" si="179"/>
        <v>4.3405329239850214</v>
      </c>
      <c r="V1929" s="30">
        <f t="shared" si="180"/>
        <v>0.45128000000000001</v>
      </c>
      <c r="W1929" s="46">
        <f t="shared" si="178"/>
        <v>-4.4600190381853512E-2</v>
      </c>
      <c r="X1929" s="33">
        <f t="shared" si="181"/>
        <v>2.6949551654071074E-2</v>
      </c>
    </row>
    <row r="1930" spans="19:24" x14ac:dyDescent="0.25">
      <c r="S1930" s="44">
        <f t="shared" si="176"/>
        <v>44980</v>
      </c>
      <c r="T1930" s="12">
        <f t="shared" si="177"/>
        <v>4.4573419558838099</v>
      </c>
      <c r="U1930" s="12">
        <f t="shared" si="179"/>
        <v>4.3378817472602345</v>
      </c>
      <c r="V1930" s="30">
        <f t="shared" si="180"/>
        <v>0.45125260273972606</v>
      </c>
      <c r="W1930" s="46">
        <f t="shared" si="178"/>
        <v>-4.457341955883809E-2</v>
      </c>
      <c r="X1930" s="33">
        <f t="shared" si="181"/>
        <v>2.6949510141798132E-2</v>
      </c>
    </row>
    <row r="1931" spans="19:24" x14ac:dyDescent="0.25">
      <c r="S1931" s="44">
        <f t="shared" si="176"/>
        <v>44981</v>
      </c>
      <c r="T1931" s="12">
        <f t="shared" si="177"/>
        <v>4.454664873582268</v>
      </c>
      <c r="U1931" s="12">
        <f t="shared" si="179"/>
        <v>4.3352305705354439</v>
      </c>
      <c r="V1931" s="30">
        <f t="shared" si="180"/>
        <v>0.45122520547945205</v>
      </c>
      <c r="W1931" s="46">
        <f t="shared" si="178"/>
        <v>-4.4546648735822675E-2</v>
      </c>
      <c r="X1931" s="33">
        <f t="shared" si="181"/>
        <v>2.694946862952519E-2</v>
      </c>
    </row>
    <row r="1932" spans="19:24" x14ac:dyDescent="0.25">
      <c r="S1932" s="44">
        <f t="shared" si="176"/>
        <v>44982</v>
      </c>
      <c r="T1932" s="12">
        <f t="shared" si="177"/>
        <v>4.4519877912807271</v>
      </c>
      <c r="U1932" s="12">
        <f t="shared" si="179"/>
        <v>4.3325793938106552</v>
      </c>
      <c r="V1932" s="30">
        <f t="shared" si="180"/>
        <v>0.4511978082191781</v>
      </c>
      <c r="W1932" s="46">
        <f t="shared" si="178"/>
        <v>-4.4519877912807267E-2</v>
      </c>
      <c r="X1932" s="33">
        <f t="shared" si="181"/>
        <v>2.6949427117252241E-2</v>
      </c>
    </row>
    <row r="1933" spans="19:24" x14ac:dyDescent="0.25">
      <c r="S1933" s="44">
        <f t="shared" si="176"/>
        <v>44983</v>
      </c>
      <c r="T1933" s="12">
        <f t="shared" si="177"/>
        <v>4.4493107089791861</v>
      </c>
      <c r="U1933" s="12">
        <f t="shared" si="179"/>
        <v>4.3299282170858646</v>
      </c>
      <c r="V1933" s="30">
        <f t="shared" si="180"/>
        <v>0.45117041095890414</v>
      </c>
      <c r="W1933" s="46">
        <f t="shared" si="178"/>
        <v>-4.4493107089791852E-2</v>
      </c>
      <c r="X1933" s="33">
        <f t="shared" si="181"/>
        <v>2.6949385604979299E-2</v>
      </c>
    </row>
    <row r="1934" spans="19:24" x14ac:dyDescent="0.25">
      <c r="S1934" s="44">
        <f t="shared" si="176"/>
        <v>44984</v>
      </c>
      <c r="T1934" s="12">
        <f t="shared" si="177"/>
        <v>4.4466336266776452</v>
      </c>
      <c r="U1934" s="12">
        <f t="shared" si="179"/>
        <v>4.3272770403610732</v>
      </c>
      <c r="V1934" s="30">
        <f t="shared" si="180"/>
        <v>0.45114301369863014</v>
      </c>
      <c r="W1934" s="46">
        <f t="shared" si="178"/>
        <v>-4.4466336266776443E-2</v>
      </c>
      <c r="X1934" s="33">
        <f t="shared" si="181"/>
        <v>2.6949344092706357E-2</v>
      </c>
    </row>
    <row r="1935" spans="19:24" x14ac:dyDescent="0.25">
      <c r="S1935" s="44">
        <f t="shared" si="176"/>
        <v>44985</v>
      </c>
      <c r="T1935" s="12">
        <f t="shared" si="177"/>
        <v>4.4439565443761042</v>
      </c>
      <c r="U1935" s="12">
        <f t="shared" si="179"/>
        <v>4.3246258636362853</v>
      </c>
      <c r="V1935" s="30">
        <f t="shared" si="180"/>
        <v>0.45111561643835618</v>
      </c>
      <c r="W1935" s="46">
        <f t="shared" si="178"/>
        <v>-4.4439565443761035E-2</v>
      </c>
      <c r="X1935" s="33">
        <f t="shared" si="181"/>
        <v>2.6949302580433411E-2</v>
      </c>
    </row>
    <row r="1936" spans="19:24" x14ac:dyDescent="0.25">
      <c r="S1936" s="44">
        <f t="shared" si="176"/>
        <v>44986</v>
      </c>
      <c r="T1936" s="12">
        <f t="shared" si="177"/>
        <v>4.4412794620745624</v>
      </c>
      <c r="U1936" s="12">
        <f t="shared" si="179"/>
        <v>4.3219746869114966</v>
      </c>
      <c r="V1936" s="30">
        <f t="shared" si="180"/>
        <v>0.45108821917808217</v>
      </c>
      <c r="W1936" s="46">
        <f t="shared" si="178"/>
        <v>-4.441279462074562E-2</v>
      </c>
      <c r="X1936" s="33">
        <f t="shared" si="181"/>
        <v>2.6949261068160469E-2</v>
      </c>
    </row>
    <row r="1937" spans="19:24" x14ac:dyDescent="0.25">
      <c r="S1937" s="44">
        <f t="shared" si="176"/>
        <v>44987</v>
      </c>
      <c r="T1937" s="12">
        <f t="shared" si="177"/>
        <v>4.4386023797730214</v>
      </c>
      <c r="U1937" s="12">
        <f t="shared" si="179"/>
        <v>4.3193235101867069</v>
      </c>
      <c r="V1937" s="30">
        <f t="shared" si="180"/>
        <v>0.45106082191780827</v>
      </c>
      <c r="W1937" s="46">
        <f t="shared" si="178"/>
        <v>-4.4386023797730205E-2</v>
      </c>
      <c r="X1937" s="33">
        <f t="shared" si="181"/>
        <v>2.6949219555887527E-2</v>
      </c>
    </row>
    <row r="1938" spans="19:24" x14ac:dyDescent="0.25">
      <c r="S1938" s="44">
        <f t="shared" si="176"/>
        <v>44988</v>
      </c>
      <c r="T1938" s="12">
        <f t="shared" si="177"/>
        <v>4.4359252974714796</v>
      </c>
      <c r="U1938" s="12">
        <f t="shared" si="179"/>
        <v>4.3166723334619181</v>
      </c>
      <c r="V1938" s="30">
        <f t="shared" si="180"/>
        <v>0.45103342465753427</v>
      </c>
      <c r="W1938" s="46">
        <f t="shared" si="178"/>
        <v>-4.435925297471479E-2</v>
      </c>
      <c r="X1938" s="33">
        <f t="shared" si="181"/>
        <v>2.6949178043614585E-2</v>
      </c>
    </row>
    <row r="1939" spans="19:24" x14ac:dyDescent="0.25">
      <c r="S1939" s="44">
        <f t="shared" si="176"/>
        <v>44989</v>
      </c>
      <c r="T1939" s="12">
        <f t="shared" si="177"/>
        <v>4.4332482151699368</v>
      </c>
      <c r="U1939" s="12">
        <f t="shared" si="179"/>
        <v>4.3140211567371294</v>
      </c>
      <c r="V1939" s="30">
        <f t="shared" si="180"/>
        <v>0.45100602739726026</v>
      </c>
      <c r="W1939" s="46">
        <f t="shared" si="178"/>
        <v>-4.4332482151699361E-2</v>
      </c>
      <c r="X1939" s="33">
        <f t="shared" si="181"/>
        <v>2.6949136531341632E-2</v>
      </c>
    </row>
    <row r="1940" spans="19:24" x14ac:dyDescent="0.25">
      <c r="S1940" s="44">
        <f t="shared" si="176"/>
        <v>44990</v>
      </c>
      <c r="T1940" s="12">
        <f t="shared" si="177"/>
        <v>4.4305711328684003</v>
      </c>
      <c r="U1940" s="12">
        <f t="shared" si="179"/>
        <v>4.3113699800123406</v>
      </c>
      <c r="V1940" s="30">
        <f t="shared" si="180"/>
        <v>0.4509786301369863</v>
      </c>
      <c r="W1940" s="46">
        <f t="shared" si="178"/>
        <v>-4.4305711328683994E-2</v>
      </c>
      <c r="X1940" s="33">
        <f t="shared" si="181"/>
        <v>2.694909501906869E-2</v>
      </c>
    </row>
    <row r="1941" spans="19:24" x14ac:dyDescent="0.25">
      <c r="S1941" s="44">
        <f t="shared" si="176"/>
        <v>44991</v>
      </c>
      <c r="T1941" s="12">
        <f t="shared" si="177"/>
        <v>4.4278940505668567</v>
      </c>
      <c r="U1941" s="12">
        <f t="shared" si="179"/>
        <v>4.308718803287551</v>
      </c>
      <c r="V1941" s="30">
        <f t="shared" si="180"/>
        <v>0.45095123287671229</v>
      </c>
      <c r="W1941" s="46">
        <f t="shared" si="178"/>
        <v>-4.4278940505668558E-2</v>
      </c>
      <c r="X1941" s="33">
        <f t="shared" si="181"/>
        <v>2.6949053506795748E-2</v>
      </c>
    </row>
    <row r="1942" spans="19:24" x14ac:dyDescent="0.25">
      <c r="S1942" s="44">
        <f t="shared" si="176"/>
        <v>44992</v>
      </c>
      <c r="T1942" s="12">
        <f t="shared" si="177"/>
        <v>4.4252169682653149</v>
      </c>
      <c r="U1942" s="12">
        <f t="shared" si="179"/>
        <v>4.3060676265627613</v>
      </c>
      <c r="V1942" s="30">
        <f t="shared" si="180"/>
        <v>0.4509238356164384</v>
      </c>
      <c r="W1942" s="46">
        <f t="shared" si="178"/>
        <v>-4.4252169682653143E-2</v>
      </c>
      <c r="X1942" s="33">
        <f t="shared" si="181"/>
        <v>2.6949011994522806E-2</v>
      </c>
    </row>
    <row r="1943" spans="19:24" x14ac:dyDescent="0.25">
      <c r="S1943" s="44">
        <f t="shared" si="176"/>
        <v>44993</v>
      </c>
      <c r="T1943" s="12">
        <f t="shared" si="177"/>
        <v>4.4225398859637739</v>
      </c>
      <c r="U1943" s="12">
        <f t="shared" si="179"/>
        <v>4.3034164498379708</v>
      </c>
      <c r="V1943" s="30">
        <f t="shared" si="180"/>
        <v>0.45089643835616439</v>
      </c>
      <c r="W1943" s="46">
        <f t="shared" si="178"/>
        <v>-4.4225398859637735E-2</v>
      </c>
      <c r="X1943" s="33">
        <f t="shared" si="181"/>
        <v>2.6948970482249857E-2</v>
      </c>
    </row>
    <row r="1944" spans="19:24" x14ac:dyDescent="0.25">
      <c r="S1944" s="44">
        <f t="shared" si="176"/>
        <v>44994</v>
      </c>
      <c r="T1944" s="12">
        <f t="shared" si="177"/>
        <v>4.4198628036622321</v>
      </c>
      <c r="U1944" s="12">
        <f t="shared" si="179"/>
        <v>4.3007652731131829</v>
      </c>
      <c r="V1944" s="30">
        <f t="shared" si="180"/>
        <v>0.45086904109589043</v>
      </c>
      <c r="W1944" s="46">
        <f t="shared" si="178"/>
        <v>-4.4198628036622313E-2</v>
      </c>
      <c r="X1944" s="33">
        <f t="shared" si="181"/>
        <v>2.6948928969976915E-2</v>
      </c>
    </row>
    <row r="1945" spans="19:24" x14ac:dyDescent="0.25">
      <c r="S1945" s="44">
        <f t="shared" si="176"/>
        <v>44995</v>
      </c>
      <c r="T1945" s="12">
        <f t="shared" si="177"/>
        <v>4.4171857213606929</v>
      </c>
      <c r="U1945" s="12">
        <f t="shared" si="179"/>
        <v>4.2981140963883924</v>
      </c>
      <c r="V1945" s="30">
        <f t="shared" si="180"/>
        <v>0.45084164383561642</v>
      </c>
      <c r="W1945" s="46">
        <f t="shared" si="178"/>
        <v>-4.4171857213606919E-2</v>
      </c>
      <c r="X1945" s="33">
        <f t="shared" si="181"/>
        <v>2.694888745770397E-2</v>
      </c>
    </row>
    <row r="1946" spans="19:24" x14ac:dyDescent="0.25">
      <c r="S1946" s="44">
        <f t="shared" si="176"/>
        <v>44996</v>
      </c>
      <c r="T1946" s="12">
        <f t="shared" si="177"/>
        <v>4.4145086390591501</v>
      </c>
      <c r="U1946" s="12">
        <f t="shared" si="179"/>
        <v>4.2954629196636036</v>
      </c>
      <c r="V1946" s="30">
        <f t="shared" si="180"/>
        <v>0.45081424657534247</v>
      </c>
      <c r="W1946" s="46">
        <f t="shared" si="178"/>
        <v>-4.4145086390591497E-2</v>
      </c>
      <c r="X1946" s="33">
        <f t="shared" si="181"/>
        <v>2.6948845945431028E-2</v>
      </c>
    </row>
    <row r="1947" spans="19:24" x14ac:dyDescent="0.25">
      <c r="S1947" s="44">
        <f t="shared" si="176"/>
        <v>44997</v>
      </c>
      <c r="T1947" s="12">
        <f t="shared" si="177"/>
        <v>4.4118315567576083</v>
      </c>
      <c r="U1947" s="12">
        <f t="shared" si="179"/>
        <v>4.292811742938814</v>
      </c>
      <c r="V1947" s="30">
        <f t="shared" si="180"/>
        <v>0.45078684931506852</v>
      </c>
      <c r="W1947" s="46">
        <f t="shared" si="178"/>
        <v>-4.4118315567576075E-2</v>
      </c>
      <c r="X1947" s="33">
        <f t="shared" si="181"/>
        <v>2.6948804433158086E-2</v>
      </c>
    </row>
    <row r="1948" spans="19:24" x14ac:dyDescent="0.25">
      <c r="S1948" s="44">
        <f t="shared" si="176"/>
        <v>44998</v>
      </c>
      <c r="T1948" s="12">
        <f t="shared" si="177"/>
        <v>4.4091544744560673</v>
      </c>
      <c r="U1948" s="12">
        <f t="shared" si="179"/>
        <v>4.2901605662140261</v>
      </c>
      <c r="V1948" s="30">
        <f t="shared" si="180"/>
        <v>0.45075945205479451</v>
      </c>
      <c r="W1948" s="46">
        <f t="shared" si="178"/>
        <v>-4.4091544744560666E-2</v>
      </c>
      <c r="X1948" s="33">
        <f t="shared" si="181"/>
        <v>2.694876292088514E-2</v>
      </c>
    </row>
    <row r="1949" spans="19:24" x14ac:dyDescent="0.25">
      <c r="S1949" s="44">
        <f t="shared" si="176"/>
        <v>44999</v>
      </c>
      <c r="T1949" s="12">
        <f t="shared" si="177"/>
        <v>4.4064773921545282</v>
      </c>
      <c r="U1949" s="12">
        <f t="shared" si="179"/>
        <v>4.2875093894892364</v>
      </c>
      <c r="V1949" s="30">
        <f t="shared" si="180"/>
        <v>0.4507320547945205</v>
      </c>
      <c r="W1949" s="46">
        <f t="shared" si="178"/>
        <v>-4.4064773921545272E-2</v>
      </c>
      <c r="X1949" s="33">
        <f t="shared" si="181"/>
        <v>2.6948721408612191E-2</v>
      </c>
    </row>
    <row r="1950" spans="19:24" x14ac:dyDescent="0.25">
      <c r="S1950" s="44">
        <f t="shared" si="176"/>
        <v>45000</v>
      </c>
      <c r="T1950" s="12">
        <f t="shared" si="177"/>
        <v>4.4038003098529845</v>
      </c>
      <c r="U1950" s="12">
        <f t="shared" si="179"/>
        <v>4.2848582127644468</v>
      </c>
      <c r="V1950" s="30">
        <f t="shared" si="180"/>
        <v>0.45070465753424654</v>
      </c>
      <c r="W1950" s="46">
        <f t="shared" si="178"/>
        <v>-4.4038003098529836E-2</v>
      </c>
      <c r="X1950" s="33">
        <f t="shared" si="181"/>
        <v>2.6948679896339249E-2</v>
      </c>
    </row>
    <row r="1951" spans="19:24" x14ac:dyDescent="0.25">
      <c r="S1951" s="44">
        <f t="shared" si="176"/>
        <v>45001</v>
      </c>
      <c r="T1951" s="12">
        <f t="shared" si="177"/>
        <v>4.4011232275514445</v>
      </c>
      <c r="U1951" s="12">
        <f t="shared" si="179"/>
        <v>4.282207036039658</v>
      </c>
      <c r="V1951" s="30">
        <f t="shared" si="180"/>
        <v>0.45067726027397259</v>
      </c>
      <c r="W1951" s="46">
        <f t="shared" si="178"/>
        <v>-4.4011232275514435E-2</v>
      </c>
      <c r="X1951" s="33">
        <f t="shared" si="181"/>
        <v>2.6948638384066307E-2</v>
      </c>
    </row>
    <row r="1952" spans="19:24" x14ac:dyDescent="0.25">
      <c r="S1952" s="44">
        <f t="shared" si="176"/>
        <v>45002</v>
      </c>
      <c r="T1952" s="12">
        <f t="shared" si="177"/>
        <v>4.3984461452499035</v>
      </c>
      <c r="U1952" s="12">
        <f t="shared" si="179"/>
        <v>4.2795558593148684</v>
      </c>
      <c r="V1952" s="30">
        <f t="shared" si="180"/>
        <v>0.45064986301369864</v>
      </c>
      <c r="W1952" s="46">
        <f t="shared" si="178"/>
        <v>-4.3984461452499027E-2</v>
      </c>
      <c r="X1952" s="33">
        <f t="shared" si="181"/>
        <v>2.6948596871793365E-2</v>
      </c>
    </row>
    <row r="1953" spans="19:24" x14ac:dyDescent="0.25">
      <c r="S1953" s="44">
        <f t="shared" si="176"/>
        <v>45003</v>
      </c>
      <c r="T1953" s="12">
        <f t="shared" si="177"/>
        <v>4.3957690629483608</v>
      </c>
      <c r="U1953" s="12">
        <f t="shared" si="179"/>
        <v>4.2769046825900796</v>
      </c>
      <c r="V1953" s="30">
        <f t="shared" si="180"/>
        <v>0.45062246575342463</v>
      </c>
      <c r="W1953" s="46">
        <f t="shared" si="178"/>
        <v>-4.3957690629483598E-2</v>
      </c>
      <c r="X1953" s="33">
        <f t="shared" si="181"/>
        <v>2.6948555359520423E-2</v>
      </c>
    </row>
    <row r="1954" spans="19:24" x14ac:dyDescent="0.25">
      <c r="S1954" s="44">
        <f t="shared" ref="S1954:S2017" si="182">+S1953+1</f>
        <v>45004</v>
      </c>
      <c r="T1954" s="12">
        <f t="shared" ref="T1954:T2017" si="183">DurMod(S1954,B$2,$F$7:$G$37,$T$3)</f>
        <v>4.3930919806468207</v>
      </c>
      <c r="U1954" s="12">
        <f t="shared" si="179"/>
        <v>4.2742535058652891</v>
      </c>
      <c r="V1954" s="30">
        <f t="shared" si="180"/>
        <v>0.45059506849315067</v>
      </c>
      <c r="W1954" s="46">
        <f t="shared" ref="W1954:W2017" si="184">+-T1954*($U$3-$T$3)</f>
        <v>-4.3930919806468204E-2</v>
      </c>
      <c r="X1954" s="33">
        <f t="shared" si="181"/>
        <v>2.6948513847247477E-2</v>
      </c>
    </row>
    <row r="1955" spans="19:24" x14ac:dyDescent="0.25">
      <c r="S1955" s="44">
        <f t="shared" si="182"/>
        <v>45005</v>
      </c>
      <c r="T1955" s="12">
        <f t="shared" si="183"/>
        <v>4.3904148983452789</v>
      </c>
      <c r="U1955" s="12">
        <f t="shared" si="179"/>
        <v>4.2716023291404994</v>
      </c>
      <c r="V1955" s="30">
        <f t="shared" si="180"/>
        <v>0.45056767123287672</v>
      </c>
      <c r="W1955" s="46">
        <f t="shared" si="184"/>
        <v>-4.3904148983452781E-2</v>
      </c>
      <c r="X1955" s="33">
        <f t="shared" si="181"/>
        <v>2.6948472334974535E-2</v>
      </c>
    </row>
    <row r="1956" spans="19:24" x14ac:dyDescent="0.25">
      <c r="S1956" s="44">
        <f t="shared" si="182"/>
        <v>45006</v>
      </c>
      <c r="T1956" s="12">
        <f t="shared" si="183"/>
        <v>4.3877378160437388</v>
      </c>
      <c r="U1956" s="12">
        <f t="shared" si="179"/>
        <v>4.2689511524157124</v>
      </c>
      <c r="V1956" s="30">
        <f t="shared" si="180"/>
        <v>0.45054027397260277</v>
      </c>
      <c r="W1956" s="46">
        <f t="shared" si="184"/>
        <v>-4.387737816043738E-2</v>
      </c>
      <c r="X1956" s="33">
        <f t="shared" si="181"/>
        <v>2.6948430822701593E-2</v>
      </c>
    </row>
    <row r="1957" spans="19:24" x14ac:dyDescent="0.25">
      <c r="S1957" s="44">
        <f t="shared" si="182"/>
        <v>45007</v>
      </c>
      <c r="T1957" s="12">
        <f t="shared" si="183"/>
        <v>4.3850607337421978</v>
      </c>
      <c r="U1957" s="12">
        <f t="shared" si="179"/>
        <v>4.2662999756909219</v>
      </c>
      <c r="V1957" s="30">
        <f t="shared" si="180"/>
        <v>0.45051287671232876</v>
      </c>
      <c r="W1957" s="46">
        <f t="shared" si="184"/>
        <v>-4.3850607337421972E-2</v>
      </c>
      <c r="X1957" s="33">
        <f t="shared" si="181"/>
        <v>2.6948389310428644E-2</v>
      </c>
    </row>
    <row r="1958" spans="19:24" x14ac:dyDescent="0.25">
      <c r="S1958" s="44">
        <f t="shared" si="182"/>
        <v>45008</v>
      </c>
      <c r="T1958" s="12">
        <f t="shared" si="183"/>
        <v>4.382383651440656</v>
      </c>
      <c r="U1958" s="12">
        <f t="shared" si="179"/>
        <v>4.2636487989661331</v>
      </c>
      <c r="V1958" s="30">
        <f t="shared" si="180"/>
        <v>0.45048547945205475</v>
      </c>
      <c r="W1958" s="46">
        <f t="shared" si="184"/>
        <v>-4.382383651440655E-2</v>
      </c>
      <c r="X1958" s="33">
        <f t="shared" si="181"/>
        <v>2.6948347798155699E-2</v>
      </c>
    </row>
    <row r="1959" spans="19:24" x14ac:dyDescent="0.25">
      <c r="S1959" s="44">
        <f t="shared" si="182"/>
        <v>45009</v>
      </c>
      <c r="T1959" s="12">
        <f t="shared" si="183"/>
        <v>4.3797065691391142</v>
      </c>
      <c r="U1959" s="12">
        <f t="shared" si="179"/>
        <v>4.2609976222413417</v>
      </c>
      <c r="V1959" s="30">
        <f t="shared" si="180"/>
        <v>0.4504580821917808</v>
      </c>
      <c r="W1959" s="46">
        <f t="shared" si="184"/>
        <v>-4.3797065691391135E-2</v>
      </c>
      <c r="X1959" s="33">
        <f t="shared" si="181"/>
        <v>2.6948306285882757E-2</v>
      </c>
    </row>
    <row r="1960" spans="19:24" x14ac:dyDescent="0.25">
      <c r="S1960" s="44">
        <f t="shared" si="182"/>
        <v>45010</v>
      </c>
      <c r="T1960" s="12">
        <f t="shared" si="183"/>
        <v>4.3770294868375723</v>
      </c>
      <c r="U1960" s="12">
        <f t="shared" si="179"/>
        <v>4.2583464455165529</v>
      </c>
      <c r="V1960" s="30">
        <f t="shared" si="180"/>
        <v>0.45043068493150684</v>
      </c>
      <c r="W1960" s="46">
        <f t="shared" si="184"/>
        <v>-4.377029486837572E-2</v>
      </c>
      <c r="X1960" s="33">
        <f t="shared" si="181"/>
        <v>2.6948264773609815E-2</v>
      </c>
    </row>
    <row r="1961" spans="19:24" x14ac:dyDescent="0.25">
      <c r="S1961" s="44">
        <f t="shared" si="182"/>
        <v>45011</v>
      </c>
      <c r="T1961" s="12">
        <f t="shared" si="183"/>
        <v>4.374352404536034</v>
      </c>
      <c r="U1961" s="12">
        <f t="shared" si="179"/>
        <v>4.2556952687917633</v>
      </c>
      <c r="V1961" s="30">
        <f t="shared" si="180"/>
        <v>0.45040328767123289</v>
      </c>
      <c r="W1961" s="46">
        <f t="shared" si="184"/>
        <v>-4.3743524045360332E-2</v>
      </c>
      <c r="X1961" s="33">
        <f t="shared" si="181"/>
        <v>2.6948223261336866E-2</v>
      </c>
    </row>
    <row r="1962" spans="19:24" x14ac:dyDescent="0.25">
      <c r="S1962" s="44">
        <f t="shared" si="182"/>
        <v>45012</v>
      </c>
      <c r="T1962" s="12">
        <f t="shared" si="183"/>
        <v>4.3716753222344904</v>
      </c>
      <c r="U1962" s="12">
        <f t="shared" si="179"/>
        <v>4.2530440920669754</v>
      </c>
      <c r="V1962" s="30">
        <f t="shared" si="180"/>
        <v>0.45037589041095888</v>
      </c>
      <c r="W1962" s="46">
        <f t="shared" si="184"/>
        <v>-4.3716753222344897E-2</v>
      </c>
      <c r="X1962" s="33">
        <f t="shared" si="181"/>
        <v>2.6948181749063924E-2</v>
      </c>
    </row>
    <row r="1963" spans="19:24" x14ac:dyDescent="0.25">
      <c r="S1963" s="44">
        <f t="shared" si="182"/>
        <v>45013</v>
      </c>
      <c r="T1963" s="12">
        <f t="shared" si="183"/>
        <v>4.3689982399329494</v>
      </c>
      <c r="U1963" s="12">
        <f t="shared" si="179"/>
        <v>4.2503929153421858</v>
      </c>
      <c r="V1963" s="30">
        <f t="shared" si="180"/>
        <v>0.45034849315068493</v>
      </c>
      <c r="W1963" s="46">
        <f t="shared" si="184"/>
        <v>-4.3689982399329488E-2</v>
      </c>
      <c r="X1963" s="33">
        <f t="shared" si="181"/>
        <v>2.6948140236790982E-2</v>
      </c>
    </row>
    <row r="1964" spans="19:24" x14ac:dyDescent="0.25">
      <c r="S1964" s="44">
        <f t="shared" si="182"/>
        <v>45014</v>
      </c>
      <c r="T1964" s="12">
        <f t="shared" si="183"/>
        <v>4.3663211576314085</v>
      </c>
      <c r="U1964" s="12">
        <f t="shared" si="179"/>
        <v>4.2477417386173952</v>
      </c>
      <c r="V1964" s="30">
        <f t="shared" si="180"/>
        <v>0.45032109589041097</v>
      </c>
      <c r="W1964" s="46">
        <f t="shared" si="184"/>
        <v>-4.366321157631408E-2</v>
      </c>
      <c r="X1964" s="33">
        <f t="shared" si="181"/>
        <v>2.694809872451804E-2</v>
      </c>
    </row>
    <row r="1965" spans="19:24" x14ac:dyDescent="0.25">
      <c r="S1965" s="44">
        <f t="shared" si="182"/>
        <v>45015</v>
      </c>
      <c r="T1965" s="12">
        <f t="shared" si="183"/>
        <v>4.3636440753298684</v>
      </c>
      <c r="U1965" s="12">
        <f t="shared" si="179"/>
        <v>4.2450905618926074</v>
      </c>
      <c r="V1965" s="30">
        <f t="shared" si="180"/>
        <v>0.45029369863013702</v>
      </c>
      <c r="W1965" s="46">
        <f t="shared" si="184"/>
        <v>-4.3636440753298679E-2</v>
      </c>
      <c r="X1965" s="33">
        <f t="shared" si="181"/>
        <v>2.6948057212245094E-2</v>
      </c>
    </row>
    <row r="1966" spans="19:24" x14ac:dyDescent="0.25">
      <c r="S1966" s="44">
        <f t="shared" si="182"/>
        <v>45016</v>
      </c>
      <c r="T1966" s="12">
        <f t="shared" si="183"/>
        <v>4.3609669930283266</v>
      </c>
      <c r="U1966" s="12">
        <f t="shared" si="179"/>
        <v>4.2424393851678168</v>
      </c>
      <c r="V1966" s="30">
        <f t="shared" si="180"/>
        <v>0.45026630136986301</v>
      </c>
      <c r="W1966" s="46">
        <f t="shared" si="184"/>
        <v>-4.3609669930283257E-2</v>
      </c>
      <c r="X1966" s="33">
        <f t="shared" si="181"/>
        <v>2.6948015699972152E-2</v>
      </c>
    </row>
    <row r="1967" spans="19:24" x14ac:dyDescent="0.25">
      <c r="S1967" s="44">
        <f t="shared" si="182"/>
        <v>45017</v>
      </c>
      <c r="T1967" s="12">
        <f t="shared" si="183"/>
        <v>4.3582899107267856</v>
      </c>
      <c r="U1967" s="12">
        <f t="shared" si="179"/>
        <v>4.2397882084430289</v>
      </c>
      <c r="V1967" s="30">
        <f t="shared" si="180"/>
        <v>0.450238904109589</v>
      </c>
      <c r="W1967" s="46">
        <f t="shared" si="184"/>
        <v>-4.3582899107267849E-2</v>
      </c>
      <c r="X1967" s="33">
        <f t="shared" si="181"/>
        <v>2.6947974187699206E-2</v>
      </c>
    </row>
    <row r="1968" spans="19:24" x14ac:dyDescent="0.25">
      <c r="S1968" s="44">
        <f t="shared" si="182"/>
        <v>45018</v>
      </c>
      <c r="T1968" s="12">
        <f t="shared" si="183"/>
        <v>4.3556128284252447</v>
      </c>
      <c r="U1968" s="12">
        <f t="shared" si="179"/>
        <v>4.2371370317182384</v>
      </c>
      <c r="V1968" s="30">
        <f t="shared" si="180"/>
        <v>0.45021150684931499</v>
      </c>
      <c r="W1968" s="46">
        <f t="shared" si="184"/>
        <v>-4.3556128284252441E-2</v>
      </c>
      <c r="X1968" s="33">
        <f t="shared" si="181"/>
        <v>2.6947932675426257E-2</v>
      </c>
    </row>
    <row r="1969" spans="19:24" x14ac:dyDescent="0.25">
      <c r="S1969" s="44">
        <f t="shared" si="182"/>
        <v>45019</v>
      </c>
      <c r="T1969" s="12">
        <f t="shared" si="183"/>
        <v>4.3529357461237028</v>
      </c>
      <c r="U1969" s="12">
        <f t="shared" si="179"/>
        <v>4.2344858549934505</v>
      </c>
      <c r="V1969" s="30">
        <f t="shared" si="180"/>
        <v>0.45018410958904109</v>
      </c>
      <c r="W1969" s="46">
        <f t="shared" si="184"/>
        <v>-4.3529357461237018E-2</v>
      </c>
      <c r="X1969" s="33">
        <f t="shared" si="181"/>
        <v>2.6947891163153322E-2</v>
      </c>
    </row>
    <row r="1970" spans="19:24" x14ac:dyDescent="0.25">
      <c r="S1970" s="44">
        <f t="shared" si="182"/>
        <v>45020</v>
      </c>
      <c r="T1970" s="12">
        <f t="shared" si="183"/>
        <v>4.3502586638221619</v>
      </c>
      <c r="U1970" s="12">
        <f t="shared" si="179"/>
        <v>4.23183467826866</v>
      </c>
      <c r="V1970" s="30">
        <f t="shared" si="180"/>
        <v>0.45015671232876708</v>
      </c>
      <c r="W1970" s="46">
        <f t="shared" si="184"/>
        <v>-4.350258663822161E-2</v>
      </c>
      <c r="X1970" s="33">
        <f t="shared" si="181"/>
        <v>2.6947849650880373E-2</v>
      </c>
    </row>
    <row r="1971" spans="19:24" x14ac:dyDescent="0.25">
      <c r="S1971" s="44">
        <f t="shared" si="182"/>
        <v>45021</v>
      </c>
      <c r="T1971" s="12">
        <f t="shared" si="183"/>
        <v>4.3475815815206209</v>
      </c>
      <c r="U1971" s="12">
        <f t="shared" si="179"/>
        <v>4.2291835015438712</v>
      </c>
      <c r="V1971" s="30">
        <f t="shared" si="180"/>
        <v>0.45012931506849313</v>
      </c>
      <c r="W1971" s="46">
        <f t="shared" si="184"/>
        <v>-4.3475815815206202E-2</v>
      </c>
      <c r="X1971" s="33">
        <f t="shared" si="181"/>
        <v>2.6947808138607431E-2</v>
      </c>
    </row>
    <row r="1972" spans="19:24" x14ac:dyDescent="0.25">
      <c r="S1972" s="44">
        <f t="shared" si="182"/>
        <v>45022</v>
      </c>
      <c r="T1972" s="12">
        <f t="shared" si="183"/>
        <v>4.3449044992190791</v>
      </c>
      <c r="U1972" s="12">
        <f t="shared" si="179"/>
        <v>4.2265323248190816</v>
      </c>
      <c r="V1972" s="30">
        <f t="shared" si="180"/>
        <v>0.45010191780821918</v>
      </c>
      <c r="W1972" s="46">
        <f t="shared" si="184"/>
        <v>-4.3449044992190787E-2</v>
      </c>
      <c r="X1972" s="33">
        <f t="shared" si="181"/>
        <v>2.6947766626334489E-2</v>
      </c>
    </row>
    <row r="1973" spans="19:24" x14ac:dyDescent="0.25">
      <c r="S1973" s="44">
        <f t="shared" si="182"/>
        <v>45023</v>
      </c>
      <c r="T1973" s="12">
        <f t="shared" si="183"/>
        <v>4.3422274169175381</v>
      </c>
      <c r="U1973" s="12">
        <f t="shared" si="179"/>
        <v>4.2238811480942928</v>
      </c>
      <c r="V1973" s="30">
        <f t="shared" si="180"/>
        <v>0.45007452054794522</v>
      </c>
      <c r="W1973" s="46">
        <f t="shared" si="184"/>
        <v>-4.3422274169175372E-2</v>
      </c>
      <c r="X1973" s="33">
        <f t="shared" si="181"/>
        <v>2.6947725114061547E-2</v>
      </c>
    </row>
    <row r="1974" spans="19:24" x14ac:dyDescent="0.25">
      <c r="S1974" s="44">
        <f t="shared" si="182"/>
        <v>45024</v>
      </c>
      <c r="T1974" s="12">
        <f t="shared" si="183"/>
        <v>4.339550334615998</v>
      </c>
      <c r="U1974" s="12">
        <f t="shared" si="179"/>
        <v>4.2212299713695032</v>
      </c>
      <c r="V1974" s="30">
        <f t="shared" si="180"/>
        <v>0.45004712328767121</v>
      </c>
      <c r="W1974" s="46">
        <f t="shared" si="184"/>
        <v>-4.3395503346159971E-2</v>
      </c>
      <c r="X1974" s="33">
        <f t="shared" si="181"/>
        <v>2.6947683601788595E-2</v>
      </c>
    </row>
    <row r="1975" spans="19:24" x14ac:dyDescent="0.25">
      <c r="S1975" s="44">
        <f t="shared" si="182"/>
        <v>45025</v>
      </c>
      <c r="T1975" s="12">
        <f t="shared" si="183"/>
        <v>4.3368732523144571</v>
      </c>
      <c r="U1975" s="12">
        <f t="shared" si="179"/>
        <v>4.2185787946447144</v>
      </c>
      <c r="V1975" s="30">
        <f t="shared" si="180"/>
        <v>0.45001972602739726</v>
      </c>
      <c r="W1975" s="46">
        <f t="shared" si="184"/>
        <v>-4.3368732523144563E-2</v>
      </c>
      <c r="X1975" s="33">
        <f t="shared" si="181"/>
        <v>2.694764208951566E-2</v>
      </c>
    </row>
    <row r="1976" spans="19:24" x14ac:dyDescent="0.25">
      <c r="S1976" s="44">
        <f t="shared" si="182"/>
        <v>45026</v>
      </c>
      <c r="T1976" s="12">
        <f t="shared" si="183"/>
        <v>4.3341961700129144</v>
      </c>
      <c r="U1976" s="12">
        <f t="shared" si="179"/>
        <v>4.215927617919923</v>
      </c>
      <c r="V1976" s="30">
        <f t="shared" si="180"/>
        <v>0.44999232876712331</v>
      </c>
      <c r="W1976" s="46">
        <f t="shared" si="184"/>
        <v>-4.3341961700129134E-2</v>
      </c>
      <c r="X1976" s="33">
        <f t="shared" si="181"/>
        <v>2.6947600577242718E-2</v>
      </c>
    </row>
    <row r="1977" spans="19:24" x14ac:dyDescent="0.25">
      <c r="S1977" s="44">
        <f t="shared" si="182"/>
        <v>45027</v>
      </c>
      <c r="T1977" s="12">
        <f t="shared" si="183"/>
        <v>4.3315190877113743</v>
      </c>
      <c r="U1977" s="12">
        <f t="shared" si="179"/>
        <v>4.2132764411951369</v>
      </c>
      <c r="V1977" s="30">
        <f t="shared" si="180"/>
        <v>0.44996493150684935</v>
      </c>
      <c r="W1977" s="46">
        <f t="shared" si="184"/>
        <v>-4.3315190877113739E-2</v>
      </c>
      <c r="X1977" s="33">
        <f t="shared" si="181"/>
        <v>2.6947559064969775E-2</v>
      </c>
    </row>
    <row r="1978" spans="19:24" x14ac:dyDescent="0.25">
      <c r="S1978" s="44">
        <f t="shared" si="182"/>
        <v>45028</v>
      </c>
      <c r="T1978" s="12">
        <f t="shared" si="183"/>
        <v>4.3288420054098316</v>
      </c>
      <c r="U1978" s="12">
        <f t="shared" si="179"/>
        <v>4.2106252644703472</v>
      </c>
      <c r="V1978" s="30">
        <f t="shared" si="180"/>
        <v>0.44993753424657534</v>
      </c>
      <c r="W1978" s="46">
        <f t="shared" si="184"/>
        <v>-4.328842005409831E-2</v>
      </c>
      <c r="X1978" s="33">
        <f t="shared" si="181"/>
        <v>2.6947517552696823E-2</v>
      </c>
    </row>
    <row r="1979" spans="19:24" x14ac:dyDescent="0.25">
      <c r="S1979" s="44">
        <f t="shared" si="182"/>
        <v>45029</v>
      </c>
      <c r="T1979" s="12">
        <f t="shared" si="183"/>
        <v>4.3261649231082915</v>
      </c>
      <c r="U1979" s="12">
        <f t="shared" si="179"/>
        <v>4.2079740877455567</v>
      </c>
      <c r="V1979" s="30">
        <f t="shared" si="180"/>
        <v>0.44991013698630145</v>
      </c>
      <c r="W1979" s="46">
        <f t="shared" si="184"/>
        <v>-4.3261649231082909E-2</v>
      </c>
      <c r="X1979" s="33">
        <f t="shared" si="181"/>
        <v>2.6947476040423884E-2</v>
      </c>
    </row>
    <row r="1980" spans="19:24" x14ac:dyDescent="0.25">
      <c r="S1980" s="44">
        <f t="shared" si="182"/>
        <v>45030</v>
      </c>
      <c r="T1980" s="12">
        <f t="shared" si="183"/>
        <v>4.3234878408067514</v>
      </c>
      <c r="U1980" s="12">
        <f t="shared" si="179"/>
        <v>4.2053229110207679</v>
      </c>
      <c r="V1980" s="30">
        <f t="shared" si="180"/>
        <v>0.44988273972602744</v>
      </c>
      <c r="W1980" s="46">
        <f t="shared" si="184"/>
        <v>-4.3234878408067508E-2</v>
      </c>
      <c r="X1980" s="33">
        <f t="shared" si="181"/>
        <v>2.6947434528150939E-2</v>
      </c>
    </row>
    <row r="1981" spans="19:24" x14ac:dyDescent="0.25">
      <c r="S1981" s="44">
        <f t="shared" si="182"/>
        <v>45031</v>
      </c>
      <c r="T1981" s="12">
        <f t="shared" si="183"/>
        <v>4.3208107585052096</v>
      </c>
      <c r="U1981" s="12">
        <f t="shared" si="179"/>
        <v>4.2026717342959783</v>
      </c>
      <c r="V1981" s="30">
        <f t="shared" si="180"/>
        <v>0.44985534246575343</v>
      </c>
      <c r="W1981" s="46">
        <f t="shared" si="184"/>
        <v>-4.3208107585052086E-2</v>
      </c>
      <c r="X1981" s="33">
        <f t="shared" si="181"/>
        <v>2.694739301587799E-2</v>
      </c>
    </row>
    <row r="1982" spans="19:24" x14ac:dyDescent="0.25">
      <c r="S1982" s="44">
        <f t="shared" si="182"/>
        <v>45032</v>
      </c>
      <c r="T1982" s="12">
        <f t="shared" si="183"/>
        <v>4.3181336762036677</v>
      </c>
      <c r="U1982" s="12">
        <f t="shared" si="179"/>
        <v>4.2000205575711904</v>
      </c>
      <c r="V1982" s="30">
        <f t="shared" si="180"/>
        <v>0.44982794520547942</v>
      </c>
      <c r="W1982" s="46">
        <f t="shared" si="184"/>
        <v>-4.3181336762036671E-2</v>
      </c>
      <c r="X1982" s="33">
        <f t="shared" si="181"/>
        <v>2.6947351503605048E-2</v>
      </c>
    </row>
    <row r="1983" spans="19:24" x14ac:dyDescent="0.25">
      <c r="S1983" s="44">
        <f t="shared" si="182"/>
        <v>45033</v>
      </c>
      <c r="T1983" s="12">
        <f t="shared" si="183"/>
        <v>4.3154565939021277</v>
      </c>
      <c r="U1983" s="12">
        <f t="shared" si="179"/>
        <v>4.1973693808463999</v>
      </c>
      <c r="V1983" s="30">
        <f t="shared" si="180"/>
        <v>0.44980054794520546</v>
      </c>
      <c r="W1983" s="46">
        <f t="shared" si="184"/>
        <v>-4.3154565939021269E-2</v>
      </c>
      <c r="X1983" s="33">
        <f t="shared" si="181"/>
        <v>2.6947309991332102E-2</v>
      </c>
    </row>
    <row r="1984" spans="19:24" x14ac:dyDescent="0.25">
      <c r="S1984" s="44">
        <f t="shared" si="182"/>
        <v>45034</v>
      </c>
      <c r="T1984" s="12">
        <f t="shared" si="183"/>
        <v>4.3127795116005849</v>
      </c>
      <c r="U1984" s="12">
        <f t="shared" si="179"/>
        <v>4.1947182041216111</v>
      </c>
      <c r="V1984" s="30">
        <f t="shared" si="180"/>
        <v>0.44977315068493151</v>
      </c>
      <c r="W1984" s="46">
        <f t="shared" si="184"/>
        <v>-4.312779511600584E-2</v>
      </c>
      <c r="X1984" s="33">
        <f t="shared" si="181"/>
        <v>2.6947268479059164E-2</v>
      </c>
    </row>
    <row r="1985" spans="19:24" x14ac:dyDescent="0.25">
      <c r="S1985" s="44">
        <f t="shared" si="182"/>
        <v>45035</v>
      </c>
      <c r="T1985" s="12">
        <f t="shared" si="183"/>
        <v>4.3101024292990449</v>
      </c>
      <c r="U1985" s="12">
        <f t="shared" si="179"/>
        <v>4.1920670273968215</v>
      </c>
      <c r="V1985" s="30">
        <f t="shared" si="180"/>
        <v>0.44974575342465756</v>
      </c>
      <c r="W1985" s="46">
        <f t="shared" si="184"/>
        <v>-4.3101024292990439E-2</v>
      </c>
      <c r="X1985" s="33">
        <f t="shared" si="181"/>
        <v>2.6947226966786218E-2</v>
      </c>
    </row>
    <row r="1986" spans="19:24" x14ac:dyDescent="0.25">
      <c r="S1986" s="44">
        <f t="shared" si="182"/>
        <v>45036</v>
      </c>
      <c r="T1986" s="12">
        <f t="shared" si="183"/>
        <v>4.3074253469975021</v>
      </c>
      <c r="U1986" s="12">
        <f t="shared" si="179"/>
        <v>4.1894158506720318</v>
      </c>
      <c r="V1986" s="30">
        <f t="shared" si="180"/>
        <v>0.44971835616438355</v>
      </c>
      <c r="W1986" s="46">
        <f t="shared" si="184"/>
        <v>-4.3074253469975017E-2</v>
      </c>
      <c r="X1986" s="33">
        <f t="shared" si="181"/>
        <v>2.6947185454513276E-2</v>
      </c>
    </row>
    <row r="1987" spans="19:24" x14ac:dyDescent="0.25">
      <c r="S1987" s="44">
        <f t="shared" si="182"/>
        <v>45037</v>
      </c>
      <c r="T1987" s="12">
        <f t="shared" si="183"/>
        <v>4.3047482646959612</v>
      </c>
      <c r="U1987" s="12">
        <f t="shared" si="179"/>
        <v>4.1867646739472422</v>
      </c>
      <c r="V1987" s="30">
        <f t="shared" si="180"/>
        <v>0.44969095890410959</v>
      </c>
      <c r="W1987" s="46">
        <f t="shared" si="184"/>
        <v>-4.3047482646959602E-2</v>
      </c>
      <c r="X1987" s="33">
        <f t="shared" si="181"/>
        <v>2.6947143942240331E-2</v>
      </c>
    </row>
    <row r="1988" spans="19:24" x14ac:dyDescent="0.25">
      <c r="S1988" s="44">
        <f t="shared" si="182"/>
        <v>45038</v>
      </c>
      <c r="T1988" s="12">
        <f t="shared" si="183"/>
        <v>4.3020711823944202</v>
      </c>
      <c r="U1988" s="12">
        <f t="shared" si="179"/>
        <v>4.1841134972224525</v>
      </c>
      <c r="V1988" s="30">
        <f t="shared" si="180"/>
        <v>0.44966356164383564</v>
      </c>
      <c r="W1988" s="46">
        <f t="shared" si="184"/>
        <v>-4.3020711823944194E-2</v>
      </c>
      <c r="X1988" s="33">
        <f t="shared" si="181"/>
        <v>2.6947102429967392E-2</v>
      </c>
    </row>
    <row r="1989" spans="19:24" x14ac:dyDescent="0.25">
      <c r="S1989" s="44">
        <f t="shared" si="182"/>
        <v>45039</v>
      </c>
      <c r="T1989" s="12">
        <f t="shared" si="183"/>
        <v>4.2993941000928784</v>
      </c>
      <c r="U1989" s="12">
        <f t="shared" ref="U1989:U2052" si="185">DurMod($S1989,$B$2,$F$7:$G$37,U$3)</f>
        <v>4.1814623204976646</v>
      </c>
      <c r="V1989" s="30">
        <f t="shared" ref="V1989:V2052" si="186">+$U$3*($S$5512-S1989)/365+$T$3*(S1989-$S$4)/365</f>
        <v>0.44963616438356169</v>
      </c>
      <c r="W1989" s="46">
        <f t="shared" si="184"/>
        <v>-4.2993941000928779E-2</v>
      </c>
      <c r="X1989" s="33">
        <f t="shared" ref="X1989:X2052" si="187">+(V1989+W1989)*365/($S$5512-$S$4)</f>
        <v>2.6947060917694447E-2</v>
      </c>
    </row>
    <row r="1990" spans="19:24" x14ac:dyDescent="0.25">
      <c r="S1990" s="44">
        <f t="shared" si="182"/>
        <v>45040</v>
      </c>
      <c r="T1990" s="12">
        <f t="shared" si="183"/>
        <v>4.2967170177913383</v>
      </c>
      <c r="U1990" s="12">
        <f t="shared" si="185"/>
        <v>4.178811143772875</v>
      </c>
      <c r="V1990" s="30">
        <f t="shared" si="186"/>
        <v>0.44960876712328768</v>
      </c>
      <c r="W1990" s="46">
        <f t="shared" si="184"/>
        <v>-4.2967170177913377E-2</v>
      </c>
      <c r="X1990" s="33">
        <f t="shared" si="187"/>
        <v>2.6947019405421498E-2</v>
      </c>
    </row>
    <row r="1991" spans="19:24" x14ac:dyDescent="0.25">
      <c r="S1991" s="44">
        <f t="shared" si="182"/>
        <v>45041</v>
      </c>
      <c r="T1991" s="12">
        <f t="shared" si="183"/>
        <v>4.2940399354897965</v>
      </c>
      <c r="U1991" s="12">
        <f t="shared" si="185"/>
        <v>4.1761599670480853</v>
      </c>
      <c r="V1991" s="30">
        <f t="shared" si="186"/>
        <v>0.44958136986301367</v>
      </c>
      <c r="W1991" s="46">
        <f t="shared" si="184"/>
        <v>-4.2940399354897955E-2</v>
      </c>
      <c r="X1991" s="33">
        <f t="shared" si="187"/>
        <v>2.6946977893148552E-2</v>
      </c>
    </row>
    <row r="1992" spans="19:24" x14ac:dyDescent="0.25">
      <c r="S1992" s="44">
        <f t="shared" si="182"/>
        <v>45042</v>
      </c>
      <c r="T1992" s="12">
        <f t="shared" si="183"/>
        <v>4.2913628531882546</v>
      </c>
      <c r="U1992" s="12">
        <f t="shared" si="185"/>
        <v>4.1735087903232957</v>
      </c>
      <c r="V1992" s="30">
        <f t="shared" si="186"/>
        <v>0.44955397260273966</v>
      </c>
      <c r="W1992" s="46">
        <f t="shared" si="184"/>
        <v>-4.291362853188254E-2</v>
      </c>
      <c r="X1992" s="33">
        <f t="shared" si="187"/>
        <v>2.694693638087561E-2</v>
      </c>
    </row>
    <row r="1993" spans="19:24" x14ac:dyDescent="0.25">
      <c r="S1993" s="44">
        <f t="shared" si="182"/>
        <v>45043</v>
      </c>
      <c r="T1993" s="12">
        <f t="shared" si="183"/>
        <v>4.2886857708867145</v>
      </c>
      <c r="U1993" s="12">
        <f t="shared" si="185"/>
        <v>4.1708576135985069</v>
      </c>
      <c r="V1993" s="30">
        <f t="shared" si="186"/>
        <v>0.44952657534246576</v>
      </c>
      <c r="W1993" s="46">
        <f t="shared" si="184"/>
        <v>-4.2886857708867139E-2</v>
      </c>
      <c r="X1993" s="33">
        <f t="shared" si="187"/>
        <v>2.6946894868602668E-2</v>
      </c>
    </row>
    <row r="1994" spans="19:24" x14ac:dyDescent="0.25">
      <c r="S1994" s="44">
        <f t="shared" si="182"/>
        <v>45044</v>
      </c>
      <c r="T1994" s="12">
        <f t="shared" si="183"/>
        <v>4.2860086885851736</v>
      </c>
      <c r="U1994" s="12">
        <f t="shared" si="185"/>
        <v>4.1682064368737173</v>
      </c>
      <c r="V1994" s="30">
        <f t="shared" si="186"/>
        <v>0.44949917808219175</v>
      </c>
      <c r="W1994" s="46">
        <f t="shared" si="184"/>
        <v>-4.2860086885851731E-2</v>
      </c>
      <c r="X1994" s="33">
        <f t="shared" si="187"/>
        <v>2.6946853356329719E-2</v>
      </c>
    </row>
    <row r="1995" spans="19:24" x14ac:dyDescent="0.25">
      <c r="S1995" s="44">
        <f t="shared" si="182"/>
        <v>45045</v>
      </c>
      <c r="T1995" s="12">
        <f t="shared" si="183"/>
        <v>4.2833316062836317</v>
      </c>
      <c r="U1995" s="12">
        <f t="shared" si="185"/>
        <v>4.1655552601489285</v>
      </c>
      <c r="V1995" s="30">
        <f t="shared" si="186"/>
        <v>0.4494717808219178</v>
      </c>
      <c r="W1995" s="46">
        <f t="shared" si="184"/>
        <v>-4.2833316062836309E-2</v>
      </c>
      <c r="X1995" s="33">
        <f t="shared" si="187"/>
        <v>2.6946811844056777E-2</v>
      </c>
    </row>
    <row r="1996" spans="19:24" x14ac:dyDescent="0.25">
      <c r="S1996" s="44">
        <f t="shared" si="182"/>
        <v>45046</v>
      </c>
      <c r="T1996" s="12">
        <f t="shared" si="183"/>
        <v>4.2806545239820908</v>
      </c>
      <c r="U1996" s="12">
        <f t="shared" si="185"/>
        <v>4.1629040834241371</v>
      </c>
      <c r="V1996" s="30">
        <f t="shared" si="186"/>
        <v>0.44944438356164385</v>
      </c>
      <c r="W1996" s="46">
        <f t="shared" si="184"/>
        <v>-4.2806545239820901E-2</v>
      </c>
      <c r="X1996" s="33">
        <f t="shared" si="187"/>
        <v>2.6946770331783835E-2</v>
      </c>
    </row>
    <row r="1997" spans="19:24" x14ac:dyDescent="0.25">
      <c r="S1997" s="44">
        <f t="shared" si="182"/>
        <v>45047</v>
      </c>
      <c r="T1997" s="12">
        <f t="shared" si="183"/>
        <v>4.2779774416805498</v>
      </c>
      <c r="U1997" s="12">
        <f t="shared" si="185"/>
        <v>4.1602529066993483</v>
      </c>
      <c r="V1997" s="30">
        <f t="shared" si="186"/>
        <v>0.44941698630136989</v>
      </c>
      <c r="W1997" s="46">
        <f t="shared" si="184"/>
        <v>-4.2779774416805492E-2</v>
      </c>
      <c r="X1997" s="33">
        <f t="shared" si="187"/>
        <v>2.6946728819510893E-2</v>
      </c>
    </row>
    <row r="1998" spans="19:24" x14ac:dyDescent="0.25">
      <c r="S1998" s="44">
        <f t="shared" si="182"/>
        <v>45048</v>
      </c>
      <c r="T1998" s="12">
        <f t="shared" si="183"/>
        <v>4.275300359379008</v>
      </c>
      <c r="U1998" s="12">
        <f t="shared" si="185"/>
        <v>4.1576017299745587</v>
      </c>
      <c r="V1998" s="30">
        <f t="shared" si="186"/>
        <v>0.44938958904109594</v>
      </c>
      <c r="W1998" s="46">
        <f t="shared" si="184"/>
        <v>-4.275300359379007E-2</v>
      </c>
      <c r="X1998" s="33">
        <f t="shared" si="187"/>
        <v>2.6946687307237951E-2</v>
      </c>
    </row>
    <row r="1999" spans="19:24" x14ac:dyDescent="0.25">
      <c r="S1999" s="44">
        <f t="shared" si="182"/>
        <v>45049</v>
      </c>
      <c r="T1999" s="12">
        <f t="shared" si="183"/>
        <v>4.272623277077467</v>
      </c>
      <c r="U1999" s="12">
        <f t="shared" si="185"/>
        <v>4.1549505532497708</v>
      </c>
      <c r="V1999" s="30">
        <f t="shared" si="186"/>
        <v>0.44936219178082193</v>
      </c>
      <c r="W1999" s="46">
        <f t="shared" si="184"/>
        <v>-4.2726232770774662E-2</v>
      </c>
      <c r="X1999" s="33">
        <f t="shared" si="187"/>
        <v>2.6946645794965005E-2</v>
      </c>
    </row>
    <row r="2000" spans="19:24" x14ac:dyDescent="0.25">
      <c r="S2000" s="44">
        <f t="shared" si="182"/>
        <v>45050</v>
      </c>
      <c r="T2000" s="12">
        <f t="shared" si="183"/>
        <v>4.2699461947759261</v>
      </c>
      <c r="U2000" s="12">
        <f t="shared" si="185"/>
        <v>4.152299376524982</v>
      </c>
      <c r="V2000" s="30">
        <f t="shared" si="186"/>
        <v>0.44933479452054792</v>
      </c>
      <c r="W2000" s="46">
        <f t="shared" si="184"/>
        <v>-4.2699461947759254E-2</v>
      </c>
      <c r="X2000" s="33">
        <f t="shared" si="187"/>
        <v>2.6946604282692056E-2</v>
      </c>
    </row>
    <row r="2001" spans="19:24" x14ac:dyDescent="0.25">
      <c r="S2001" s="44">
        <f t="shared" si="182"/>
        <v>45051</v>
      </c>
      <c r="T2001" s="12">
        <f t="shared" si="183"/>
        <v>4.2672691124743842</v>
      </c>
      <c r="U2001" s="12">
        <f t="shared" si="185"/>
        <v>4.1496481998001915</v>
      </c>
      <c r="V2001" s="30">
        <f t="shared" si="186"/>
        <v>0.44930739726027391</v>
      </c>
      <c r="W2001" s="46">
        <f t="shared" si="184"/>
        <v>-4.2672691124743839E-2</v>
      </c>
      <c r="X2001" s="33">
        <f t="shared" si="187"/>
        <v>2.6946562770419114E-2</v>
      </c>
    </row>
    <row r="2002" spans="19:24" x14ac:dyDescent="0.25">
      <c r="S2002" s="44">
        <f t="shared" si="182"/>
        <v>45052</v>
      </c>
      <c r="T2002" s="12">
        <f t="shared" si="183"/>
        <v>4.2645920301728442</v>
      </c>
      <c r="U2002" s="12">
        <f t="shared" si="185"/>
        <v>4.1469970230754036</v>
      </c>
      <c r="V2002" s="30">
        <f t="shared" si="186"/>
        <v>0.44928000000000001</v>
      </c>
      <c r="W2002" s="46">
        <f t="shared" si="184"/>
        <v>-4.2645920301728438E-2</v>
      </c>
      <c r="X2002" s="33">
        <f t="shared" si="187"/>
        <v>2.6946521258146172E-2</v>
      </c>
    </row>
    <row r="2003" spans="19:24" x14ac:dyDescent="0.25">
      <c r="S2003" s="44">
        <f t="shared" si="182"/>
        <v>45053</v>
      </c>
      <c r="T2003" s="12">
        <f t="shared" si="183"/>
        <v>4.2619149478713023</v>
      </c>
      <c r="U2003" s="12">
        <f t="shared" si="185"/>
        <v>4.1443458463506131</v>
      </c>
      <c r="V2003" s="30">
        <f t="shared" si="186"/>
        <v>0.449252602739726</v>
      </c>
      <c r="W2003" s="46">
        <f t="shared" si="184"/>
        <v>-4.2619149478713016E-2</v>
      </c>
      <c r="X2003" s="33">
        <f t="shared" si="187"/>
        <v>2.6946479745873227E-2</v>
      </c>
    </row>
    <row r="2004" spans="19:24" x14ac:dyDescent="0.25">
      <c r="S2004" s="44">
        <f t="shared" si="182"/>
        <v>45054</v>
      </c>
      <c r="T2004" s="12">
        <f t="shared" si="183"/>
        <v>4.2592378655697614</v>
      </c>
      <c r="U2004" s="12">
        <f t="shared" si="185"/>
        <v>4.1416946696258243</v>
      </c>
      <c r="V2004" s="30">
        <f t="shared" si="186"/>
        <v>0.44922520547945205</v>
      </c>
      <c r="W2004" s="46">
        <f t="shared" si="184"/>
        <v>-4.2592378655697608E-2</v>
      </c>
      <c r="X2004" s="33">
        <f t="shared" si="187"/>
        <v>2.6946438233600285E-2</v>
      </c>
    </row>
    <row r="2005" spans="19:24" x14ac:dyDescent="0.25">
      <c r="S2005" s="44">
        <f t="shared" si="182"/>
        <v>45055</v>
      </c>
      <c r="T2005" s="12">
        <f t="shared" si="183"/>
        <v>4.2565607832682195</v>
      </c>
      <c r="U2005" s="12">
        <f t="shared" si="185"/>
        <v>4.1390434929010365</v>
      </c>
      <c r="V2005" s="30">
        <f t="shared" si="186"/>
        <v>0.44919780821917804</v>
      </c>
      <c r="W2005" s="46">
        <f t="shared" si="184"/>
        <v>-4.2565607832682185E-2</v>
      </c>
      <c r="X2005" s="33">
        <f t="shared" si="187"/>
        <v>2.6946396721327339E-2</v>
      </c>
    </row>
    <row r="2006" spans="19:24" x14ac:dyDescent="0.25">
      <c r="S2006" s="44">
        <f t="shared" si="182"/>
        <v>45056</v>
      </c>
      <c r="T2006" s="12">
        <f t="shared" si="183"/>
        <v>4.2538837009666786</v>
      </c>
      <c r="U2006" s="12">
        <f t="shared" si="185"/>
        <v>4.136392316176245</v>
      </c>
      <c r="V2006" s="30">
        <f t="shared" si="186"/>
        <v>0.44917041095890409</v>
      </c>
      <c r="W2006" s="46">
        <f t="shared" si="184"/>
        <v>-4.2538837009666777E-2</v>
      </c>
      <c r="X2006" s="33">
        <f t="shared" si="187"/>
        <v>2.6946355209054397E-2</v>
      </c>
    </row>
    <row r="2007" spans="19:24" x14ac:dyDescent="0.25">
      <c r="S2007" s="44">
        <f t="shared" si="182"/>
        <v>45057</v>
      </c>
      <c r="T2007" s="12">
        <f t="shared" si="183"/>
        <v>4.2512066186651376</v>
      </c>
      <c r="U2007" s="12">
        <f t="shared" si="185"/>
        <v>4.1337411394514563</v>
      </c>
      <c r="V2007" s="30">
        <f t="shared" si="186"/>
        <v>0.44914301369863013</v>
      </c>
      <c r="W2007" s="46">
        <f t="shared" si="184"/>
        <v>-4.2512066186651369E-2</v>
      </c>
      <c r="X2007" s="33">
        <f t="shared" si="187"/>
        <v>2.6946313696781455E-2</v>
      </c>
    </row>
    <row r="2008" spans="19:24" x14ac:dyDescent="0.25">
      <c r="S2008" s="44">
        <f t="shared" si="182"/>
        <v>45058</v>
      </c>
      <c r="T2008" s="12">
        <f t="shared" si="183"/>
        <v>4.2485295363635975</v>
      </c>
      <c r="U2008" s="12">
        <f t="shared" si="185"/>
        <v>4.1310899627266675</v>
      </c>
      <c r="V2008" s="30">
        <f t="shared" si="186"/>
        <v>0.44911561643835618</v>
      </c>
      <c r="W2008" s="46">
        <f t="shared" si="184"/>
        <v>-4.2485295363635968E-2</v>
      </c>
      <c r="X2008" s="33">
        <f t="shared" si="187"/>
        <v>2.6946272184508513E-2</v>
      </c>
    </row>
    <row r="2009" spans="19:24" x14ac:dyDescent="0.25">
      <c r="S2009" s="44">
        <f t="shared" si="182"/>
        <v>45059</v>
      </c>
      <c r="T2009" s="12">
        <f t="shared" si="183"/>
        <v>4.2458524540620566</v>
      </c>
      <c r="U2009" s="12">
        <f t="shared" si="185"/>
        <v>4.128438786001877</v>
      </c>
      <c r="V2009" s="30">
        <f t="shared" si="186"/>
        <v>0.44908821917808217</v>
      </c>
      <c r="W2009" s="46">
        <f t="shared" si="184"/>
        <v>-4.245852454062056E-2</v>
      </c>
      <c r="X2009" s="33">
        <f t="shared" si="187"/>
        <v>2.6946230672235564E-2</v>
      </c>
    </row>
    <row r="2010" spans="19:24" x14ac:dyDescent="0.25">
      <c r="S2010" s="44">
        <f t="shared" si="182"/>
        <v>45060</v>
      </c>
      <c r="T2010" s="12">
        <f t="shared" si="183"/>
        <v>4.2431753717605138</v>
      </c>
      <c r="U2010" s="12">
        <f t="shared" si="185"/>
        <v>4.1257876092770882</v>
      </c>
      <c r="V2010" s="30">
        <f t="shared" si="186"/>
        <v>0.44906082191780816</v>
      </c>
      <c r="W2010" s="46">
        <f t="shared" si="184"/>
        <v>-4.2431753717605131E-2</v>
      </c>
      <c r="X2010" s="33">
        <f t="shared" si="187"/>
        <v>2.6946189159962622E-2</v>
      </c>
    </row>
    <row r="2011" spans="19:24" x14ac:dyDescent="0.25">
      <c r="S2011" s="44">
        <f t="shared" si="182"/>
        <v>45061</v>
      </c>
      <c r="T2011" s="12">
        <f t="shared" si="183"/>
        <v>4.2404982894589738</v>
      </c>
      <c r="U2011" s="12">
        <f t="shared" si="185"/>
        <v>4.1231364325523003</v>
      </c>
      <c r="V2011" s="30">
        <f t="shared" si="186"/>
        <v>0.44903342465753426</v>
      </c>
      <c r="W2011" s="46">
        <f t="shared" si="184"/>
        <v>-4.2404982894589729E-2</v>
      </c>
      <c r="X2011" s="33">
        <f t="shared" si="187"/>
        <v>2.694614764768968E-2</v>
      </c>
    </row>
    <row r="2012" spans="19:24" x14ac:dyDescent="0.25">
      <c r="S2012" s="44">
        <f t="shared" si="182"/>
        <v>45062</v>
      </c>
      <c r="T2012" s="12">
        <f t="shared" si="183"/>
        <v>4.2378212071574319</v>
      </c>
      <c r="U2012" s="12">
        <f t="shared" si="185"/>
        <v>4.1204852558275107</v>
      </c>
      <c r="V2012" s="30">
        <f t="shared" si="186"/>
        <v>0.44900602739726025</v>
      </c>
      <c r="W2012" s="46">
        <f t="shared" si="184"/>
        <v>-4.2378212071574314E-2</v>
      </c>
      <c r="X2012" s="33">
        <f t="shared" si="187"/>
        <v>2.6946106135416734E-2</v>
      </c>
    </row>
    <row r="2013" spans="19:24" x14ac:dyDescent="0.25">
      <c r="S2013" s="44">
        <f t="shared" si="182"/>
        <v>45063</v>
      </c>
      <c r="T2013" s="12">
        <f t="shared" si="183"/>
        <v>4.235144124855891</v>
      </c>
      <c r="U2013" s="12">
        <f t="shared" si="185"/>
        <v>4.117834079102721</v>
      </c>
      <c r="V2013" s="30">
        <f t="shared" si="186"/>
        <v>0.44897863013698625</v>
      </c>
      <c r="W2013" s="46">
        <f t="shared" si="184"/>
        <v>-4.2351441248558906E-2</v>
      </c>
      <c r="X2013" s="33">
        <f t="shared" si="187"/>
        <v>2.6946064623143785E-2</v>
      </c>
    </row>
    <row r="2014" spans="19:24" x14ac:dyDescent="0.25">
      <c r="S2014" s="44">
        <f t="shared" si="182"/>
        <v>45064</v>
      </c>
      <c r="T2014" s="12">
        <f t="shared" si="183"/>
        <v>4.2324670425543482</v>
      </c>
      <c r="U2014" s="12">
        <f t="shared" si="185"/>
        <v>4.1151829023779305</v>
      </c>
      <c r="V2014" s="30">
        <f t="shared" si="186"/>
        <v>0.44895123287671229</v>
      </c>
      <c r="W2014" s="46">
        <f t="shared" si="184"/>
        <v>-4.2324670425543477E-2</v>
      </c>
      <c r="X2014" s="33">
        <f t="shared" si="187"/>
        <v>2.6946023110870843E-2</v>
      </c>
    </row>
    <row r="2015" spans="19:24" x14ac:dyDescent="0.25">
      <c r="S2015" s="44">
        <f t="shared" si="182"/>
        <v>45065</v>
      </c>
      <c r="T2015" s="12">
        <f t="shared" si="183"/>
        <v>4.2297899602528082</v>
      </c>
      <c r="U2015" s="12">
        <f t="shared" si="185"/>
        <v>4.1125317256531426</v>
      </c>
      <c r="V2015" s="30">
        <f t="shared" si="186"/>
        <v>0.44892383561643834</v>
      </c>
      <c r="W2015" s="46">
        <f t="shared" si="184"/>
        <v>-4.2297899602528076E-2</v>
      </c>
      <c r="X2015" s="33">
        <f t="shared" si="187"/>
        <v>2.6945981598597901E-2</v>
      </c>
    </row>
    <row r="2016" spans="19:24" x14ac:dyDescent="0.25">
      <c r="S2016" s="44">
        <f t="shared" si="182"/>
        <v>45066</v>
      </c>
      <c r="T2016" s="12">
        <f t="shared" si="183"/>
        <v>4.2271128779512663</v>
      </c>
      <c r="U2016" s="12">
        <f t="shared" si="185"/>
        <v>4.109880548928353</v>
      </c>
      <c r="V2016" s="30">
        <f t="shared" si="186"/>
        <v>0.44889643835616438</v>
      </c>
      <c r="W2016" s="46">
        <f t="shared" si="184"/>
        <v>-4.2271128779512654E-2</v>
      </c>
      <c r="X2016" s="33">
        <f t="shared" si="187"/>
        <v>2.6945940086324959E-2</v>
      </c>
    </row>
    <row r="2017" spans="19:24" x14ac:dyDescent="0.25">
      <c r="S2017" s="44">
        <f t="shared" si="182"/>
        <v>45067</v>
      </c>
      <c r="T2017" s="12">
        <f t="shared" si="183"/>
        <v>4.2244357956497263</v>
      </c>
      <c r="U2017" s="12">
        <f t="shared" si="185"/>
        <v>4.1072293722035633</v>
      </c>
      <c r="V2017" s="30">
        <f t="shared" si="186"/>
        <v>0.44886904109589038</v>
      </c>
      <c r="W2017" s="46">
        <f t="shared" si="184"/>
        <v>-4.224435795649726E-2</v>
      </c>
      <c r="X2017" s="33">
        <f t="shared" si="187"/>
        <v>2.6945898574052014E-2</v>
      </c>
    </row>
    <row r="2018" spans="19:24" x14ac:dyDescent="0.25">
      <c r="S2018" s="44">
        <f t="shared" ref="S2018:S2081" si="188">+S2017+1</f>
        <v>45068</v>
      </c>
      <c r="T2018" s="12">
        <f t="shared" ref="T2018:T2081" si="189">DurMod(S2018,B$2,$F$7:$G$37,$T$3)</f>
        <v>4.2217587133481835</v>
      </c>
      <c r="U2018" s="12">
        <f t="shared" si="185"/>
        <v>4.1045781954787754</v>
      </c>
      <c r="V2018" s="30">
        <f t="shared" si="186"/>
        <v>0.44884164383561642</v>
      </c>
      <c r="W2018" s="46">
        <f t="shared" ref="W2018:W2081" si="190">+-T2018*($U$3-$T$3)</f>
        <v>-4.2217587133481831E-2</v>
      </c>
      <c r="X2018" s="33">
        <f t="shared" si="187"/>
        <v>2.6945857061779072E-2</v>
      </c>
    </row>
    <row r="2019" spans="19:24" x14ac:dyDescent="0.25">
      <c r="S2019" s="44">
        <f t="shared" si="188"/>
        <v>45069</v>
      </c>
      <c r="T2019" s="12">
        <f t="shared" si="189"/>
        <v>4.2190816310466444</v>
      </c>
      <c r="U2019" s="12">
        <f t="shared" si="185"/>
        <v>4.1019270187539867</v>
      </c>
      <c r="V2019" s="30">
        <f t="shared" si="186"/>
        <v>0.44881424657534247</v>
      </c>
      <c r="W2019" s="46">
        <f t="shared" si="190"/>
        <v>-4.2190816310466436E-2</v>
      </c>
      <c r="X2019" s="33">
        <f t="shared" si="187"/>
        <v>2.694581554950613E-2</v>
      </c>
    </row>
    <row r="2020" spans="19:24" x14ac:dyDescent="0.25">
      <c r="S2020" s="44">
        <f t="shared" si="188"/>
        <v>45070</v>
      </c>
      <c r="T2020" s="12">
        <f t="shared" si="189"/>
        <v>4.2164045487451034</v>
      </c>
      <c r="U2020" s="12">
        <f t="shared" si="185"/>
        <v>4.099275842029197</v>
      </c>
      <c r="V2020" s="30">
        <f t="shared" si="186"/>
        <v>0.44878684931506851</v>
      </c>
      <c r="W2020" s="46">
        <f t="shared" si="190"/>
        <v>-4.2164045487451028E-2</v>
      </c>
      <c r="X2020" s="33">
        <f t="shared" si="187"/>
        <v>2.6945774037233187E-2</v>
      </c>
    </row>
    <row r="2021" spans="19:24" x14ac:dyDescent="0.25">
      <c r="S2021" s="44">
        <f t="shared" si="188"/>
        <v>45071</v>
      </c>
      <c r="T2021" s="12">
        <f t="shared" si="189"/>
        <v>4.2137274664435598</v>
      </c>
      <c r="U2021" s="12">
        <f t="shared" si="185"/>
        <v>4.0966246653044065</v>
      </c>
      <c r="V2021" s="30">
        <f t="shared" si="186"/>
        <v>0.44875945205479456</v>
      </c>
      <c r="W2021" s="46">
        <f t="shared" si="190"/>
        <v>-4.2137274664435592E-2</v>
      </c>
      <c r="X2021" s="33">
        <f t="shared" si="187"/>
        <v>2.6945732524960245E-2</v>
      </c>
    </row>
    <row r="2022" spans="19:24" x14ac:dyDescent="0.25">
      <c r="S2022" s="44">
        <f t="shared" si="188"/>
        <v>45072</v>
      </c>
      <c r="T2022" s="12">
        <f t="shared" si="189"/>
        <v>4.2110503841420206</v>
      </c>
      <c r="U2022" s="12">
        <f t="shared" si="185"/>
        <v>4.0939734885796186</v>
      </c>
      <c r="V2022" s="30">
        <f t="shared" si="186"/>
        <v>0.44873205479452061</v>
      </c>
      <c r="W2022" s="46">
        <f t="shared" si="190"/>
        <v>-4.2110503841420198E-2</v>
      </c>
      <c r="X2022" s="33">
        <f t="shared" si="187"/>
        <v>2.6945691012687303E-2</v>
      </c>
    </row>
    <row r="2023" spans="19:24" x14ac:dyDescent="0.25">
      <c r="S2023" s="44">
        <f t="shared" si="188"/>
        <v>45073</v>
      </c>
      <c r="T2023" s="12">
        <f t="shared" si="189"/>
        <v>4.2083733018404788</v>
      </c>
      <c r="U2023" s="12">
        <f t="shared" si="185"/>
        <v>4.0913223118548263</v>
      </c>
      <c r="V2023" s="30">
        <f t="shared" si="186"/>
        <v>0.4487046575342466</v>
      </c>
      <c r="W2023" s="46">
        <f t="shared" si="190"/>
        <v>-4.2083733018404783E-2</v>
      </c>
      <c r="X2023" s="33">
        <f t="shared" si="187"/>
        <v>2.6945649500414354E-2</v>
      </c>
    </row>
    <row r="2024" spans="19:24" x14ac:dyDescent="0.25">
      <c r="S2024" s="44">
        <f t="shared" si="188"/>
        <v>45074</v>
      </c>
      <c r="T2024" s="12">
        <f t="shared" si="189"/>
        <v>4.2056962195389369</v>
      </c>
      <c r="U2024" s="12">
        <f t="shared" si="185"/>
        <v>4.0886711351300393</v>
      </c>
      <c r="V2024" s="30">
        <f t="shared" si="186"/>
        <v>0.44867726027397259</v>
      </c>
      <c r="W2024" s="46">
        <f t="shared" si="190"/>
        <v>-4.2056962195389361E-2</v>
      </c>
      <c r="X2024" s="33">
        <f t="shared" si="187"/>
        <v>2.6945607988141409E-2</v>
      </c>
    </row>
    <row r="2025" spans="19:24" x14ac:dyDescent="0.25">
      <c r="S2025" s="44">
        <f t="shared" si="188"/>
        <v>45075</v>
      </c>
      <c r="T2025" s="12">
        <f t="shared" si="189"/>
        <v>4.2030191372373968</v>
      </c>
      <c r="U2025" s="12">
        <f t="shared" si="185"/>
        <v>4.0860199584052506</v>
      </c>
      <c r="V2025" s="30">
        <f t="shared" si="186"/>
        <v>0.44864986301369858</v>
      </c>
      <c r="W2025" s="46">
        <f t="shared" si="190"/>
        <v>-4.203019137237396E-2</v>
      </c>
      <c r="X2025" s="33">
        <f t="shared" si="187"/>
        <v>2.6945566475868463E-2</v>
      </c>
    </row>
    <row r="2026" spans="19:24" x14ac:dyDescent="0.25">
      <c r="S2026" s="44">
        <f t="shared" si="188"/>
        <v>45076</v>
      </c>
      <c r="T2026" s="12">
        <f t="shared" si="189"/>
        <v>4.2003420549358541</v>
      </c>
      <c r="U2026" s="12">
        <f t="shared" si="185"/>
        <v>4.08336878168046</v>
      </c>
      <c r="V2026" s="30">
        <f t="shared" si="186"/>
        <v>0.44862246575342468</v>
      </c>
      <c r="W2026" s="46">
        <f t="shared" si="190"/>
        <v>-4.2003420549358537E-2</v>
      </c>
      <c r="X2026" s="33">
        <f t="shared" si="187"/>
        <v>2.6945524963595525E-2</v>
      </c>
    </row>
    <row r="2027" spans="19:24" x14ac:dyDescent="0.25">
      <c r="S2027" s="44">
        <f t="shared" si="188"/>
        <v>45077</v>
      </c>
      <c r="T2027" s="12">
        <f t="shared" si="189"/>
        <v>4.197664972634314</v>
      </c>
      <c r="U2027" s="12">
        <f t="shared" si="185"/>
        <v>4.0807176049556713</v>
      </c>
      <c r="V2027" s="30">
        <f t="shared" si="186"/>
        <v>0.44859506849315067</v>
      </c>
      <c r="W2027" s="46">
        <f t="shared" si="190"/>
        <v>-4.1976649726343136E-2</v>
      </c>
      <c r="X2027" s="33">
        <f t="shared" si="187"/>
        <v>2.6945483451322579E-2</v>
      </c>
    </row>
    <row r="2028" spans="19:24" x14ac:dyDescent="0.25">
      <c r="S2028" s="44">
        <f t="shared" si="188"/>
        <v>45078</v>
      </c>
      <c r="T2028" s="12">
        <f t="shared" si="189"/>
        <v>4.1949878903327731</v>
      </c>
      <c r="U2028" s="12">
        <f t="shared" si="185"/>
        <v>4.0780664282308816</v>
      </c>
      <c r="V2028" s="30">
        <f t="shared" si="186"/>
        <v>0.44856767123287672</v>
      </c>
      <c r="W2028" s="46">
        <f t="shared" si="190"/>
        <v>-4.1949878903327721E-2</v>
      </c>
      <c r="X2028" s="33">
        <f t="shared" si="187"/>
        <v>2.694544193904963E-2</v>
      </c>
    </row>
    <row r="2029" spans="19:24" x14ac:dyDescent="0.25">
      <c r="S2029" s="44">
        <f t="shared" si="188"/>
        <v>45079</v>
      </c>
      <c r="T2029" s="12">
        <f t="shared" si="189"/>
        <v>4.1923108080312312</v>
      </c>
      <c r="U2029" s="12">
        <f t="shared" si="185"/>
        <v>4.0754152515060911</v>
      </c>
      <c r="V2029" s="30">
        <f t="shared" si="186"/>
        <v>0.44854027397260271</v>
      </c>
      <c r="W2029" s="46">
        <f t="shared" si="190"/>
        <v>-4.1923108080312306E-2</v>
      </c>
      <c r="X2029" s="33">
        <f t="shared" si="187"/>
        <v>2.6945400426776688E-2</v>
      </c>
    </row>
    <row r="2030" spans="19:24" x14ac:dyDescent="0.25">
      <c r="S2030" s="44">
        <f t="shared" si="188"/>
        <v>45080</v>
      </c>
      <c r="T2030" s="12">
        <f t="shared" si="189"/>
        <v>4.1896337257296885</v>
      </c>
      <c r="U2030" s="12">
        <f t="shared" si="185"/>
        <v>4.0727640747813032</v>
      </c>
      <c r="V2030" s="30">
        <f t="shared" si="186"/>
        <v>0.44851287671232876</v>
      </c>
      <c r="W2030" s="46">
        <f t="shared" si="190"/>
        <v>-4.1896337257296877E-2</v>
      </c>
      <c r="X2030" s="33">
        <f t="shared" si="187"/>
        <v>2.6945358914503746E-2</v>
      </c>
    </row>
    <row r="2031" spans="19:24" x14ac:dyDescent="0.25">
      <c r="S2031" s="44">
        <f t="shared" si="188"/>
        <v>45081</v>
      </c>
      <c r="T2031" s="12">
        <f t="shared" si="189"/>
        <v>4.1869566434281493</v>
      </c>
      <c r="U2031" s="12">
        <f t="shared" si="185"/>
        <v>4.0701128980565136</v>
      </c>
      <c r="V2031" s="30">
        <f t="shared" si="186"/>
        <v>0.4484854794520548</v>
      </c>
      <c r="W2031" s="46">
        <f t="shared" si="190"/>
        <v>-4.186956643428149E-2</v>
      </c>
      <c r="X2031" s="33">
        <f t="shared" si="187"/>
        <v>2.6945317402230804E-2</v>
      </c>
    </row>
    <row r="2032" spans="19:24" x14ac:dyDescent="0.25">
      <c r="S2032" s="44">
        <f t="shared" si="188"/>
        <v>45082</v>
      </c>
      <c r="T2032" s="12">
        <f t="shared" si="189"/>
        <v>4.1842795611266066</v>
      </c>
      <c r="U2032" s="12">
        <f t="shared" si="185"/>
        <v>4.0674617213317248</v>
      </c>
      <c r="V2032" s="30">
        <f t="shared" si="186"/>
        <v>0.44845808219178085</v>
      </c>
      <c r="W2032" s="46">
        <f t="shared" si="190"/>
        <v>-4.1842795611266061E-2</v>
      </c>
      <c r="X2032" s="33">
        <f t="shared" si="187"/>
        <v>2.6945275889957859E-2</v>
      </c>
    </row>
    <row r="2033" spans="19:24" x14ac:dyDescent="0.25">
      <c r="S2033" s="44">
        <f t="shared" si="188"/>
        <v>45083</v>
      </c>
      <c r="T2033" s="12">
        <f t="shared" si="189"/>
        <v>4.1816024788250665</v>
      </c>
      <c r="U2033" s="12">
        <f t="shared" si="185"/>
        <v>4.064810544606936</v>
      </c>
      <c r="V2033" s="30">
        <f t="shared" si="186"/>
        <v>0.44843068493150684</v>
      </c>
      <c r="W2033" s="46">
        <f t="shared" si="190"/>
        <v>-4.1816024788250659E-2</v>
      </c>
      <c r="X2033" s="33">
        <f t="shared" si="187"/>
        <v>2.6945234377684917E-2</v>
      </c>
    </row>
    <row r="2034" spans="19:24" x14ac:dyDescent="0.25">
      <c r="S2034" s="44">
        <f t="shared" si="188"/>
        <v>45084</v>
      </c>
      <c r="T2034" s="12">
        <f t="shared" si="189"/>
        <v>4.1789253965235256</v>
      </c>
      <c r="U2034" s="12">
        <f t="shared" si="185"/>
        <v>4.0621593678821455</v>
      </c>
      <c r="V2034" s="30">
        <f t="shared" si="186"/>
        <v>0.44840328767123283</v>
      </c>
      <c r="W2034" s="46">
        <f t="shared" si="190"/>
        <v>-4.1789253965235251E-2</v>
      </c>
      <c r="X2034" s="33">
        <f t="shared" si="187"/>
        <v>2.6945192865411968E-2</v>
      </c>
    </row>
    <row r="2035" spans="19:24" x14ac:dyDescent="0.25">
      <c r="S2035" s="44">
        <f t="shared" si="188"/>
        <v>45085</v>
      </c>
      <c r="T2035" s="12">
        <f t="shared" si="189"/>
        <v>4.1762483142219837</v>
      </c>
      <c r="U2035" s="12">
        <f t="shared" si="185"/>
        <v>4.0595081911573558</v>
      </c>
      <c r="V2035" s="30">
        <f t="shared" si="186"/>
        <v>0.44837589041095893</v>
      </c>
      <c r="W2035" s="46">
        <f t="shared" si="190"/>
        <v>-4.1762483142219829E-2</v>
      </c>
      <c r="X2035" s="33">
        <f t="shared" si="187"/>
        <v>2.6945151353139032E-2</v>
      </c>
    </row>
    <row r="2036" spans="19:24" x14ac:dyDescent="0.25">
      <c r="S2036" s="44">
        <f t="shared" si="188"/>
        <v>45086</v>
      </c>
      <c r="T2036" s="12">
        <f t="shared" si="189"/>
        <v>4.1735712319204419</v>
      </c>
      <c r="U2036" s="12">
        <f t="shared" si="185"/>
        <v>4.0568570144325671</v>
      </c>
      <c r="V2036" s="30">
        <f t="shared" si="186"/>
        <v>0.44834849315068492</v>
      </c>
      <c r="W2036" s="46">
        <f t="shared" si="190"/>
        <v>-4.1735712319204414E-2</v>
      </c>
      <c r="X2036" s="33">
        <f t="shared" si="187"/>
        <v>2.6945109840866083E-2</v>
      </c>
    </row>
    <row r="2037" spans="19:24" x14ac:dyDescent="0.25">
      <c r="S2037" s="44">
        <f t="shared" si="188"/>
        <v>45087</v>
      </c>
      <c r="T2037" s="12">
        <f t="shared" si="189"/>
        <v>4.1708941496189027</v>
      </c>
      <c r="U2037" s="12">
        <f t="shared" si="185"/>
        <v>4.0542058377077774</v>
      </c>
      <c r="V2037" s="30">
        <f t="shared" si="186"/>
        <v>0.44832109589041091</v>
      </c>
      <c r="W2037" s="46">
        <f t="shared" si="190"/>
        <v>-4.170894149618902E-2</v>
      </c>
      <c r="X2037" s="33">
        <f t="shared" si="187"/>
        <v>2.6945068328593131E-2</v>
      </c>
    </row>
    <row r="2038" spans="19:24" x14ac:dyDescent="0.25">
      <c r="S2038" s="44">
        <f t="shared" si="188"/>
        <v>45088</v>
      </c>
      <c r="T2038" s="12">
        <f t="shared" si="189"/>
        <v>4.1682170673173609</v>
      </c>
      <c r="U2038" s="12">
        <f t="shared" si="185"/>
        <v>4.0515546609829887</v>
      </c>
      <c r="V2038" s="30">
        <f t="shared" si="186"/>
        <v>0.44829369863013696</v>
      </c>
      <c r="W2038" s="46">
        <f t="shared" si="190"/>
        <v>-4.1682170673173605E-2</v>
      </c>
      <c r="X2038" s="33">
        <f t="shared" si="187"/>
        <v>2.6945026816320196E-2</v>
      </c>
    </row>
    <row r="2039" spans="19:24" x14ac:dyDescent="0.25">
      <c r="S2039" s="44">
        <f t="shared" si="188"/>
        <v>45089</v>
      </c>
      <c r="T2039" s="12">
        <f t="shared" si="189"/>
        <v>4.165539985015819</v>
      </c>
      <c r="U2039" s="12">
        <f t="shared" si="185"/>
        <v>4.0489034842581999</v>
      </c>
      <c r="V2039" s="30">
        <f t="shared" si="186"/>
        <v>0.44826630136986301</v>
      </c>
      <c r="W2039" s="46">
        <f t="shared" si="190"/>
        <v>-4.1655399850158183E-2</v>
      </c>
      <c r="X2039" s="33">
        <f t="shared" si="187"/>
        <v>2.6944985304047247E-2</v>
      </c>
    </row>
    <row r="2040" spans="19:24" x14ac:dyDescent="0.25">
      <c r="S2040" s="44">
        <f t="shared" si="188"/>
        <v>45090</v>
      </c>
      <c r="T2040" s="12">
        <f t="shared" si="189"/>
        <v>4.1628629027142781</v>
      </c>
      <c r="U2040" s="12">
        <f t="shared" si="185"/>
        <v>4.0462523075334085</v>
      </c>
      <c r="V2040" s="30">
        <f t="shared" si="186"/>
        <v>0.44823890410958905</v>
      </c>
      <c r="W2040" s="46">
        <f t="shared" si="190"/>
        <v>-4.1628629027142774E-2</v>
      </c>
      <c r="X2040" s="33">
        <f t="shared" si="187"/>
        <v>2.6944943791774312E-2</v>
      </c>
    </row>
    <row r="2041" spans="19:24" x14ac:dyDescent="0.25">
      <c r="S2041" s="44">
        <f t="shared" si="188"/>
        <v>45091</v>
      </c>
      <c r="T2041" s="12">
        <f t="shared" si="189"/>
        <v>4.1601858204127371</v>
      </c>
      <c r="U2041" s="12">
        <f t="shared" si="185"/>
        <v>4.0436011308086206</v>
      </c>
      <c r="V2041" s="30">
        <f t="shared" si="186"/>
        <v>0.4482115068493151</v>
      </c>
      <c r="W2041" s="46">
        <f t="shared" si="190"/>
        <v>-4.1601858204127366E-2</v>
      </c>
      <c r="X2041" s="33">
        <f t="shared" si="187"/>
        <v>2.6944902279501363E-2</v>
      </c>
    </row>
    <row r="2042" spans="19:24" x14ac:dyDescent="0.25">
      <c r="S2042" s="44">
        <f t="shared" si="188"/>
        <v>45092</v>
      </c>
      <c r="T2042" s="12">
        <f t="shared" si="189"/>
        <v>4.4469909039402005</v>
      </c>
      <c r="U2042" s="12">
        <f t="shared" si="185"/>
        <v>4.3349454461795549</v>
      </c>
      <c r="V2042" s="30">
        <f t="shared" si="186"/>
        <v>0.44818410958904109</v>
      </c>
      <c r="W2042" s="46">
        <f t="shared" si="190"/>
        <v>-4.4469909039401997E-2</v>
      </c>
      <c r="X2042" s="33">
        <f t="shared" si="187"/>
        <v>2.6753028903525468E-2</v>
      </c>
    </row>
    <row r="2043" spans="19:24" x14ac:dyDescent="0.25">
      <c r="S2043" s="44">
        <f t="shared" si="188"/>
        <v>45093</v>
      </c>
      <c r="T2043" s="12">
        <f t="shared" si="189"/>
        <v>4.4443138216386577</v>
      </c>
      <c r="U2043" s="12">
        <f t="shared" si="185"/>
        <v>4.3322942694547653</v>
      </c>
      <c r="V2043" s="30">
        <f t="shared" si="186"/>
        <v>0.44815671232876708</v>
      </c>
      <c r="W2043" s="46">
        <f t="shared" si="190"/>
        <v>-4.4443138216386568E-2</v>
      </c>
      <c r="X2043" s="33">
        <f t="shared" si="187"/>
        <v>2.6752987391252519E-2</v>
      </c>
    </row>
    <row r="2044" spans="19:24" x14ac:dyDescent="0.25">
      <c r="S2044" s="44">
        <f t="shared" si="188"/>
        <v>45094</v>
      </c>
      <c r="T2044" s="12">
        <f t="shared" si="189"/>
        <v>4.4416367393371168</v>
      </c>
      <c r="U2044" s="12">
        <f t="shared" si="185"/>
        <v>4.3296430927299765</v>
      </c>
      <c r="V2044" s="30">
        <f t="shared" si="186"/>
        <v>0.44812931506849318</v>
      </c>
      <c r="W2044" s="46">
        <f t="shared" si="190"/>
        <v>-4.441636739337116E-2</v>
      </c>
      <c r="X2044" s="33">
        <f t="shared" si="187"/>
        <v>2.6752945878979584E-2</v>
      </c>
    </row>
    <row r="2045" spans="19:24" x14ac:dyDescent="0.25">
      <c r="S2045" s="44">
        <f t="shared" si="188"/>
        <v>45095</v>
      </c>
      <c r="T2045" s="12">
        <f t="shared" si="189"/>
        <v>4.4389596570355767</v>
      </c>
      <c r="U2045" s="12">
        <f t="shared" si="185"/>
        <v>4.3269919160051877</v>
      </c>
      <c r="V2045" s="30">
        <f t="shared" si="186"/>
        <v>0.44810191780821917</v>
      </c>
      <c r="W2045" s="46">
        <f t="shared" si="190"/>
        <v>-4.4389596570355759E-2</v>
      </c>
      <c r="X2045" s="33">
        <f t="shared" si="187"/>
        <v>2.6752904366706635E-2</v>
      </c>
    </row>
    <row r="2046" spans="19:24" x14ac:dyDescent="0.25">
      <c r="S2046" s="44">
        <f t="shared" si="188"/>
        <v>45096</v>
      </c>
      <c r="T2046" s="12">
        <f t="shared" si="189"/>
        <v>4.436282574734034</v>
      </c>
      <c r="U2046" s="12">
        <f t="shared" si="185"/>
        <v>4.3243407392803972</v>
      </c>
      <c r="V2046" s="30">
        <f t="shared" si="186"/>
        <v>0.44807452054794517</v>
      </c>
      <c r="W2046" s="46">
        <f t="shared" si="190"/>
        <v>-4.436282574734033E-2</v>
      </c>
      <c r="X2046" s="33">
        <f t="shared" si="187"/>
        <v>2.6752862854433689E-2</v>
      </c>
    </row>
    <row r="2047" spans="19:24" x14ac:dyDescent="0.25">
      <c r="S2047" s="44">
        <f t="shared" si="188"/>
        <v>45097</v>
      </c>
      <c r="T2047" s="12">
        <f t="shared" si="189"/>
        <v>4.433605492432493</v>
      </c>
      <c r="U2047" s="12">
        <f t="shared" si="185"/>
        <v>4.3216895625556084</v>
      </c>
      <c r="V2047" s="30">
        <f t="shared" si="186"/>
        <v>0.44804712328767121</v>
      </c>
      <c r="W2047" s="46">
        <f t="shared" si="190"/>
        <v>-4.4336054924324922E-2</v>
      </c>
      <c r="X2047" s="33">
        <f t="shared" si="187"/>
        <v>2.6752821342160747E-2</v>
      </c>
    </row>
    <row r="2048" spans="19:24" x14ac:dyDescent="0.25">
      <c r="S2048" s="44">
        <f t="shared" si="188"/>
        <v>45098</v>
      </c>
      <c r="T2048" s="12">
        <f t="shared" si="189"/>
        <v>4.4309284101309512</v>
      </c>
      <c r="U2048" s="12">
        <f t="shared" si="185"/>
        <v>4.3190383858308197</v>
      </c>
      <c r="V2048" s="30">
        <f t="shared" si="186"/>
        <v>0.44801972602739726</v>
      </c>
      <c r="W2048" s="46">
        <f t="shared" si="190"/>
        <v>-4.4309284101309507E-2</v>
      </c>
      <c r="X2048" s="33">
        <f t="shared" si="187"/>
        <v>2.6752779829887805E-2</v>
      </c>
    </row>
    <row r="2049" spans="19:24" x14ac:dyDescent="0.25">
      <c r="S2049" s="44">
        <f t="shared" si="188"/>
        <v>45099</v>
      </c>
      <c r="T2049" s="12">
        <f t="shared" si="189"/>
        <v>4.428251327829412</v>
      </c>
      <c r="U2049" s="12">
        <f t="shared" si="185"/>
        <v>4.31638720910603</v>
      </c>
      <c r="V2049" s="30">
        <f t="shared" si="186"/>
        <v>0.44799232876712325</v>
      </c>
      <c r="W2049" s="46">
        <f t="shared" si="190"/>
        <v>-4.4282513278294112E-2</v>
      </c>
      <c r="X2049" s="33">
        <f t="shared" si="187"/>
        <v>2.6752738317614856E-2</v>
      </c>
    </row>
    <row r="2050" spans="19:24" x14ac:dyDescent="0.25">
      <c r="S2050" s="44">
        <f t="shared" si="188"/>
        <v>45100</v>
      </c>
      <c r="T2050" s="12">
        <f t="shared" si="189"/>
        <v>4.4255742455278693</v>
      </c>
      <c r="U2050" s="12">
        <f t="shared" si="185"/>
        <v>4.3137360323812413</v>
      </c>
      <c r="V2050" s="30">
        <f t="shared" si="186"/>
        <v>0.4479649315068493</v>
      </c>
      <c r="W2050" s="46">
        <f t="shared" si="190"/>
        <v>-4.4255742455278684E-2</v>
      </c>
      <c r="X2050" s="33">
        <f t="shared" si="187"/>
        <v>2.6752696805341918E-2</v>
      </c>
    </row>
    <row r="2051" spans="19:24" x14ac:dyDescent="0.25">
      <c r="S2051" s="44">
        <f t="shared" si="188"/>
        <v>45101</v>
      </c>
      <c r="T2051" s="12">
        <f t="shared" si="189"/>
        <v>4.4228971632263301</v>
      </c>
      <c r="U2051" s="12">
        <f t="shared" si="185"/>
        <v>4.3110848556564516</v>
      </c>
      <c r="V2051" s="30">
        <f t="shared" si="186"/>
        <v>0.44793753424657534</v>
      </c>
      <c r="W2051" s="46">
        <f t="shared" si="190"/>
        <v>-4.4228971632263296E-2</v>
      </c>
      <c r="X2051" s="33">
        <f t="shared" si="187"/>
        <v>2.6752655293068976E-2</v>
      </c>
    </row>
    <row r="2052" spans="19:24" x14ac:dyDescent="0.25">
      <c r="S2052" s="44">
        <f t="shared" si="188"/>
        <v>45102</v>
      </c>
      <c r="T2052" s="12">
        <f t="shared" si="189"/>
        <v>4.4202200809247891</v>
      </c>
      <c r="U2052" s="12">
        <f t="shared" si="185"/>
        <v>4.3084336789316611</v>
      </c>
      <c r="V2052" s="30">
        <f t="shared" si="186"/>
        <v>0.44791013698630133</v>
      </c>
      <c r="W2052" s="46">
        <f t="shared" si="190"/>
        <v>-4.4202200809247888E-2</v>
      </c>
      <c r="X2052" s="33">
        <f t="shared" si="187"/>
        <v>2.6752613780796027E-2</v>
      </c>
    </row>
    <row r="2053" spans="19:24" x14ac:dyDescent="0.25">
      <c r="S2053" s="44">
        <f t="shared" si="188"/>
        <v>45103</v>
      </c>
      <c r="T2053" s="12">
        <f t="shared" si="189"/>
        <v>4.4175429986232464</v>
      </c>
      <c r="U2053" s="12">
        <f t="shared" ref="U2053:U2116" si="191">DurMod($S2053,$B$2,$F$7:$G$37,U$3)</f>
        <v>4.3057825022068732</v>
      </c>
      <c r="V2053" s="30">
        <f t="shared" ref="V2053:V2116" si="192">+$U$3*($S$5512-S2053)/365+$T$3*(S2053-$S$4)/365</f>
        <v>0.44788273972602743</v>
      </c>
      <c r="W2053" s="46">
        <f t="shared" si="190"/>
        <v>-4.4175429986232459E-2</v>
      </c>
      <c r="X2053" s="33">
        <f t="shared" ref="X2053:X2116" si="193">+(V2053+W2053)*365/($S$5512-$S$4)</f>
        <v>2.6752572268523084E-2</v>
      </c>
    </row>
    <row r="2054" spans="19:24" x14ac:dyDescent="0.25">
      <c r="S2054" s="44">
        <f t="shared" si="188"/>
        <v>45104</v>
      </c>
      <c r="T2054" s="12">
        <f t="shared" si="189"/>
        <v>4.4148659163217054</v>
      </c>
      <c r="U2054" s="12">
        <f t="shared" si="191"/>
        <v>4.3031313254820835</v>
      </c>
      <c r="V2054" s="30">
        <f t="shared" si="192"/>
        <v>0.44785534246575343</v>
      </c>
      <c r="W2054" s="46">
        <f t="shared" si="190"/>
        <v>-4.4148659163217051E-2</v>
      </c>
      <c r="X2054" s="33">
        <f t="shared" si="193"/>
        <v>2.6752530756250142E-2</v>
      </c>
    </row>
    <row r="2055" spans="19:24" x14ac:dyDescent="0.25">
      <c r="S2055" s="44">
        <f t="shared" si="188"/>
        <v>45105</v>
      </c>
      <c r="T2055" s="12">
        <f t="shared" si="189"/>
        <v>4.4121888340201645</v>
      </c>
      <c r="U2055" s="12">
        <f t="shared" si="191"/>
        <v>4.3004801487572957</v>
      </c>
      <c r="V2055" s="30">
        <f t="shared" si="192"/>
        <v>0.44782794520547942</v>
      </c>
      <c r="W2055" s="46">
        <f t="shared" si="190"/>
        <v>-4.4121888340201636E-2</v>
      </c>
      <c r="X2055" s="33">
        <f t="shared" si="193"/>
        <v>2.6752489243977197E-2</v>
      </c>
    </row>
    <row r="2056" spans="19:24" x14ac:dyDescent="0.25">
      <c r="S2056" s="44">
        <f t="shared" si="188"/>
        <v>45106</v>
      </c>
      <c r="T2056" s="12">
        <f t="shared" si="189"/>
        <v>4.4095117517186226</v>
      </c>
      <c r="U2056" s="12">
        <f t="shared" si="191"/>
        <v>4.2978289720325051</v>
      </c>
      <c r="V2056" s="30">
        <f t="shared" si="192"/>
        <v>0.44780054794520541</v>
      </c>
      <c r="W2056" s="46">
        <f t="shared" si="190"/>
        <v>-4.4095117517186221E-2</v>
      </c>
      <c r="X2056" s="33">
        <f t="shared" si="193"/>
        <v>2.6752447731704248E-2</v>
      </c>
    </row>
    <row r="2057" spans="19:24" x14ac:dyDescent="0.25">
      <c r="S2057" s="44">
        <f t="shared" si="188"/>
        <v>45107</v>
      </c>
      <c r="T2057" s="12">
        <f t="shared" si="189"/>
        <v>4.4068346694170808</v>
      </c>
      <c r="U2057" s="12">
        <f t="shared" si="191"/>
        <v>4.2951777953077155</v>
      </c>
      <c r="V2057" s="30">
        <f t="shared" si="192"/>
        <v>0.44777315068493151</v>
      </c>
      <c r="W2057" s="46">
        <f t="shared" si="190"/>
        <v>-4.4068346694170799E-2</v>
      </c>
      <c r="X2057" s="33">
        <f t="shared" si="193"/>
        <v>2.6752406219431313E-2</v>
      </c>
    </row>
    <row r="2058" spans="19:24" x14ac:dyDescent="0.25">
      <c r="S2058" s="44">
        <f t="shared" si="188"/>
        <v>45108</v>
      </c>
      <c r="T2058" s="12">
        <f t="shared" si="189"/>
        <v>4.4041575871155416</v>
      </c>
      <c r="U2058" s="12">
        <f t="shared" si="191"/>
        <v>4.2925266185829258</v>
      </c>
      <c r="V2058" s="30">
        <f t="shared" si="192"/>
        <v>0.4477457534246575</v>
      </c>
      <c r="W2058" s="46">
        <f t="shared" si="190"/>
        <v>-4.4041575871155411E-2</v>
      </c>
      <c r="X2058" s="33">
        <f t="shared" si="193"/>
        <v>2.675236470715836E-2</v>
      </c>
    </row>
    <row r="2059" spans="19:24" x14ac:dyDescent="0.25">
      <c r="S2059" s="44">
        <f t="shared" si="188"/>
        <v>45109</v>
      </c>
      <c r="T2059" s="12">
        <f t="shared" si="189"/>
        <v>4.4014805048139989</v>
      </c>
      <c r="U2059" s="12">
        <f t="shared" si="191"/>
        <v>4.2898754418581371</v>
      </c>
      <c r="V2059" s="30">
        <f t="shared" si="192"/>
        <v>0.44771835616438355</v>
      </c>
      <c r="W2059" s="46">
        <f t="shared" si="190"/>
        <v>-4.4014805048139982E-2</v>
      </c>
      <c r="X2059" s="33">
        <f t="shared" si="193"/>
        <v>2.6752323194885422E-2</v>
      </c>
    </row>
    <row r="2060" spans="19:24" x14ac:dyDescent="0.25">
      <c r="S2060" s="44">
        <f t="shared" si="188"/>
        <v>45110</v>
      </c>
      <c r="T2060" s="12">
        <f t="shared" si="189"/>
        <v>4.3988034225124579</v>
      </c>
      <c r="U2060" s="12">
        <f t="shared" si="191"/>
        <v>4.2872242651333474</v>
      </c>
      <c r="V2060" s="30">
        <f t="shared" si="192"/>
        <v>0.44769095890410954</v>
      </c>
      <c r="W2060" s="46">
        <f t="shared" si="190"/>
        <v>-4.3988034225124574E-2</v>
      </c>
      <c r="X2060" s="33">
        <f t="shared" si="193"/>
        <v>2.6752281682612476E-2</v>
      </c>
    </row>
    <row r="2061" spans="19:24" x14ac:dyDescent="0.25">
      <c r="S2061" s="44">
        <f t="shared" si="188"/>
        <v>45111</v>
      </c>
      <c r="T2061" s="12">
        <f t="shared" si="189"/>
        <v>4.3961263402109152</v>
      </c>
      <c r="U2061" s="12">
        <f t="shared" si="191"/>
        <v>4.2845730884085595</v>
      </c>
      <c r="V2061" s="30">
        <f t="shared" si="192"/>
        <v>0.44766356164383558</v>
      </c>
      <c r="W2061" s="46">
        <f t="shared" si="190"/>
        <v>-4.3961263402109145E-2</v>
      </c>
      <c r="X2061" s="33">
        <f t="shared" si="193"/>
        <v>2.6752240170339534E-2</v>
      </c>
    </row>
    <row r="2062" spans="19:24" x14ac:dyDescent="0.25">
      <c r="S2062" s="44">
        <f t="shared" si="188"/>
        <v>45112</v>
      </c>
      <c r="T2062" s="12">
        <f t="shared" si="189"/>
        <v>4.3934492579093769</v>
      </c>
      <c r="U2062" s="12">
        <f t="shared" si="191"/>
        <v>4.2819219116837681</v>
      </c>
      <c r="V2062" s="30">
        <f t="shared" si="192"/>
        <v>0.44763616438356163</v>
      </c>
      <c r="W2062" s="46">
        <f t="shared" si="190"/>
        <v>-4.3934492579093765E-2</v>
      </c>
      <c r="X2062" s="33">
        <f t="shared" si="193"/>
        <v>2.6752198658066585E-2</v>
      </c>
    </row>
    <row r="2063" spans="19:24" x14ac:dyDescent="0.25">
      <c r="S2063" s="44">
        <f t="shared" si="188"/>
        <v>45113</v>
      </c>
      <c r="T2063" s="12">
        <f t="shared" si="189"/>
        <v>4.3907721756078333</v>
      </c>
      <c r="U2063" s="12">
        <f t="shared" si="191"/>
        <v>4.2792707349589794</v>
      </c>
      <c r="V2063" s="30">
        <f t="shared" si="192"/>
        <v>0.44760876712328768</v>
      </c>
      <c r="W2063" s="46">
        <f t="shared" si="190"/>
        <v>-4.3907721756078329E-2</v>
      </c>
      <c r="X2063" s="33">
        <f t="shared" si="193"/>
        <v>2.675215714579365E-2</v>
      </c>
    </row>
    <row r="2064" spans="19:24" x14ac:dyDescent="0.25">
      <c r="S2064" s="44">
        <f t="shared" si="188"/>
        <v>45114</v>
      </c>
      <c r="T2064" s="12">
        <f t="shared" si="189"/>
        <v>4.3880950933062941</v>
      </c>
      <c r="U2064" s="12">
        <f t="shared" si="191"/>
        <v>4.2766195582341906</v>
      </c>
      <c r="V2064" s="30">
        <f t="shared" si="192"/>
        <v>0.44758136986301372</v>
      </c>
      <c r="W2064" s="46">
        <f t="shared" si="190"/>
        <v>-4.3880950933062934E-2</v>
      </c>
      <c r="X2064" s="33">
        <f t="shared" si="193"/>
        <v>2.6752115633520701E-2</v>
      </c>
    </row>
    <row r="2065" spans="19:24" x14ac:dyDescent="0.25">
      <c r="S2065" s="44">
        <f t="shared" si="188"/>
        <v>45115</v>
      </c>
      <c r="T2065" s="12">
        <f t="shared" si="189"/>
        <v>4.3854180110047514</v>
      </c>
      <c r="U2065" s="12">
        <f t="shared" si="191"/>
        <v>4.2739683815094018</v>
      </c>
      <c r="V2065" s="30">
        <f t="shared" si="192"/>
        <v>0.44755397260273977</v>
      </c>
      <c r="W2065" s="46">
        <f t="shared" si="190"/>
        <v>-4.3854180110047505E-2</v>
      </c>
      <c r="X2065" s="33">
        <f t="shared" si="193"/>
        <v>2.6752074121247766E-2</v>
      </c>
    </row>
    <row r="2066" spans="19:24" x14ac:dyDescent="0.25">
      <c r="S2066" s="44">
        <f t="shared" si="188"/>
        <v>45116</v>
      </c>
      <c r="T2066" s="12">
        <f t="shared" si="189"/>
        <v>4.3827409287032113</v>
      </c>
      <c r="U2066" s="12">
        <f t="shared" si="191"/>
        <v>4.2713172047846122</v>
      </c>
      <c r="V2066" s="30">
        <f t="shared" si="192"/>
        <v>0.44752657534246576</v>
      </c>
      <c r="W2066" s="46">
        <f t="shared" si="190"/>
        <v>-4.3827409287032104E-2</v>
      </c>
      <c r="X2066" s="33">
        <f t="shared" si="193"/>
        <v>2.6752032608974814E-2</v>
      </c>
    </row>
    <row r="2067" spans="19:24" x14ac:dyDescent="0.25">
      <c r="S2067" s="44">
        <f t="shared" si="188"/>
        <v>45117</v>
      </c>
      <c r="T2067" s="12">
        <f t="shared" si="189"/>
        <v>4.3800638464016712</v>
      </c>
      <c r="U2067" s="12">
        <f t="shared" si="191"/>
        <v>4.2686660280598234</v>
      </c>
      <c r="V2067" s="30">
        <f t="shared" si="192"/>
        <v>0.44749917808219175</v>
      </c>
      <c r="W2067" s="46">
        <f t="shared" si="190"/>
        <v>-4.3800638464016703E-2</v>
      </c>
      <c r="X2067" s="33">
        <f t="shared" si="193"/>
        <v>2.6751991096701865E-2</v>
      </c>
    </row>
    <row r="2068" spans="19:24" x14ac:dyDescent="0.25">
      <c r="S2068" s="44">
        <f t="shared" si="188"/>
        <v>45118</v>
      </c>
      <c r="T2068" s="12">
        <f t="shared" si="189"/>
        <v>4.3773867641001276</v>
      </c>
      <c r="U2068" s="12">
        <f t="shared" si="191"/>
        <v>4.2660148513350338</v>
      </c>
      <c r="V2068" s="30">
        <f t="shared" si="192"/>
        <v>0.44747178082191785</v>
      </c>
      <c r="W2068" s="46">
        <f t="shared" si="190"/>
        <v>-4.3773867641001267E-2</v>
      </c>
      <c r="X2068" s="33">
        <f t="shared" si="193"/>
        <v>2.6751949584428929E-2</v>
      </c>
    </row>
    <row r="2069" spans="19:24" x14ac:dyDescent="0.25">
      <c r="S2069" s="44">
        <f t="shared" si="188"/>
        <v>45119</v>
      </c>
      <c r="T2069" s="12">
        <f t="shared" si="189"/>
        <v>4.3747096817985858</v>
      </c>
      <c r="U2069" s="12">
        <f t="shared" si="191"/>
        <v>4.2633636746102432</v>
      </c>
      <c r="V2069" s="30">
        <f t="shared" si="192"/>
        <v>0.44744438356164384</v>
      </c>
      <c r="W2069" s="46">
        <f t="shared" si="190"/>
        <v>-4.3747096817985852E-2</v>
      </c>
      <c r="X2069" s="33">
        <f t="shared" si="193"/>
        <v>2.6751908072155987E-2</v>
      </c>
    </row>
    <row r="2070" spans="19:24" x14ac:dyDescent="0.25">
      <c r="S2070" s="44">
        <f t="shared" si="188"/>
        <v>45120</v>
      </c>
      <c r="T2070" s="12">
        <f t="shared" si="189"/>
        <v>4.3720325994970457</v>
      </c>
      <c r="U2070" s="12">
        <f t="shared" si="191"/>
        <v>4.2607124978854545</v>
      </c>
      <c r="V2070" s="30">
        <f t="shared" si="192"/>
        <v>0.44741698630136983</v>
      </c>
      <c r="W2070" s="46">
        <f t="shared" si="190"/>
        <v>-4.3720325994970451E-2</v>
      </c>
      <c r="X2070" s="33">
        <f t="shared" si="193"/>
        <v>2.6751866559883042E-2</v>
      </c>
    </row>
    <row r="2071" spans="19:24" x14ac:dyDescent="0.25">
      <c r="S2071" s="44">
        <f t="shared" si="188"/>
        <v>45121</v>
      </c>
      <c r="T2071" s="12">
        <f t="shared" si="189"/>
        <v>4.3693555171955047</v>
      </c>
      <c r="U2071" s="12">
        <f t="shared" si="191"/>
        <v>4.2580613211606648</v>
      </c>
      <c r="V2071" s="30">
        <f t="shared" si="192"/>
        <v>0.44738958904109588</v>
      </c>
      <c r="W2071" s="46">
        <f t="shared" si="190"/>
        <v>-4.3693555171955042E-2</v>
      </c>
      <c r="X2071" s="33">
        <f t="shared" si="193"/>
        <v>2.6751825047610093E-2</v>
      </c>
    </row>
    <row r="2072" spans="19:24" x14ac:dyDescent="0.25">
      <c r="S2072" s="44">
        <f t="shared" si="188"/>
        <v>45122</v>
      </c>
      <c r="T2072" s="12">
        <f t="shared" si="189"/>
        <v>4.3666784348939638</v>
      </c>
      <c r="U2072" s="12">
        <f t="shared" si="191"/>
        <v>4.2554101444358752</v>
      </c>
      <c r="V2072" s="30">
        <f t="shared" si="192"/>
        <v>0.44736219178082193</v>
      </c>
      <c r="W2072" s="46">
        <f t="shared" si="190"/>
        <v>-4.3666784348939634E-2</v>
      </c>
      <c r="X2072" s="33">
        <f t="shared" si="193"/>
        <v>2.6751783535337158E-2</v>
      </c>
    </row>
    <row r="2073" spans="19:24" x14ac:dyDescent="0.25">
      <c r="S2073" s="44">
        <f t="shared" si="188"/>
        <v>45123</v>
      </c>
      <c r="T2073" s="12">
        <f t="shared" si="189"/>
        <v>4.3640013525924219</v>
      </c>
      <c r="U2073" s="12">
        <f t="shared" si="191"/>
        <v>4.2527589677110873</v>
      </c>
      <c r="V2073" s="30">
        <f t="shared" si="192"/>
        <v>0.44733479452054792</v>
      </c>
      <c r="W2073" s="46">
        <f t="shared" si="190"/>
        <v>-4.3640013525924212E-2</v>
      </c>
      <c r="X2073" s="33">
        <f t="shared" si="193"/>
        <v>2.6751742023064205E-2</v>
      </c>
    </row>
    <row r="2074" spans="19:24" x14ac:dyDescent="0.25">
      <c r="S2074" s="44">
        <f t="shared" si="188"/>
        <v>45124</v>
      </c>
      <c r="T2074" s="12">
        <f t="shared" si="189"/>
        <v>4.361324270290881</v>
      </c>
      <c r="U2074" s="12">
        <f t="shared" si="191"/>
        <v>4.2501077909862985</v>
      </c>
      <c r="V2074" s="30">
        <f t="shared" si="192"/>
        <v>0.44730739726027396</v>
      </c>
      <c r="W2074" s="46">
        <f t="shared" si="190"/>
        <v>-4.3613242702908804E-2</v>
      </c>
      <c r="X2074" s="33">
        <f t="shared" si="193"/>
        <v>2.6751700510791267E-2</v>
      </c>
    </row>
    <row r="2075" spans="19:24" x14ac:dyDescent="0.25">
      <c r="S2075" s="44">
        <f t="shared" si="188"/>
        <v>45125</v>
      </c>
      <c r="T2075" s="12">
        <f t="shared" si="189"/>
        <v>4.35864718798934</v>
      </c>
      <c r="U2075" s="12">
        <f t="shared" si="191"/>
        <v>4.247456614261508</v>
      </c>
      <c r="V2075" s="30">
        <f t="shared" si="192"/>
        <v>0.44728000000000001</v>
      </c>
      <c r="W2075" s="46">
        <f t="shared" si="190"/>
        <v>-4.3586471879893396E-2</v>
      </c>
      <c r="X2075" s="33">
        <f t="shared" si="193"/>
        <v>2.6751658998518321E-2</v>
      </c>
    </row>
    <row r="2076" spans="19:24" x14ac:dyDescent="0.25">
      <c r="S2076" s="44">
        <f t="shared" si="188"/>
        <v>45126</v>
      </c>
      <c r="T2076" s="12">
        <f t="shared" si="189"/>
        <v>4.3559701056878</v>
      </c>
      <c r="U2076" s="12">
        <f t="shared" si="191"/>
        <v>4.2448054375367175</v>
      </c>
      <c r="V2076" s="30">
        <f t="shared" si="192"/>
        <v>0.447252602739726</v>
      </c>
      <c r="W2076" s="46">
        <f t="shared" si="190"/>
        <v>-4.3559701056877995E-2</v>
      </c>
      <c r="X2076" s="33">
        <f t="shared" si="193"/>
        <v>2.6751617486245372E-2</v>
      </c>
    </row>
    <row r="2077" spans="19:24" x14ac:dyDescent="0.25">
      <c r="S2077" s="44">
        <f t="shared" si="188"/>
        <v>45127</v>
      </c>
      <c r="T2077" s="12">
        <f t="shared" si="189"/>
        <v>4.3532930233862572</v>
      </c>
      <c r="U2077" s="12">
        <f t="shared" si="191"/>
        <v>4.2421542608119314</v>
      </c>
      <c r="V2077" s="30">
        <f t="shared" si="192"/>
        <v>0.4472252054794521</v>
      </c>
      <c r="W2077" s="46">
        <f t="shared" si="190"/>
        <v>-4.3532930233862566E-2</v>
      </c>
      <c r="X2077" s="33">
        <f t="shared" si="193"/>
        <v>2.6751575973972437E-2</v>
      </c>
    </row>
    <row r="2078" spans="19:24" x14ac:dyDescent="0.25">
      <c r="S2078" s="44">
        <f t="shared" si="188"/>
        <v>45128</v>
      </c>
      <c r="T2078" s="12">
        <f t="shared" si="189"/>
        <v>4.3506159410847163</v>
      </c>
      <c r="U2078" s="12">
        <f t="shared" si="191"/>
        <v>4.2395030840871408</v>
      </c>
      <c r="V2078" s="30">
        <f t="shared" si="192"/>
        <v>0.44719780821917809</v>
      </c>
      <c r="W2078" s="46">
        <f t="shared" si="190"/>
        <v>-4.3506159410847157E-2</v>
      </c>
      <c r="X2078" s="33">
        <f t="shared" si="193"/>
        <v>2.6751534461699488E-2</v>
      </c>
    </row>
    <row r="2079" spans="19:24" x14ac:dyDescent="0.25">
      <c r="S2079" s="44">
        <f t="shared" si="188"/>
        <v>45129</v>
      </c>
      <c r="T2079" s="12">
        <f t="shared" si="189"/>
        <v>4.3479388587831762</v>
      </c>
      <c r="U2079" s="12">
        <f t="shared" si="191"/>
        <v>4.2368519073623521</v>
      </c>
      <c r="V2079" s="30">
        <f t="shared" si="192"/>
        <v>0.44717041095890409</v>
      </c>
      <c r="W2079" s="46">
        <f t="shared" si="190"/>
        <v>-4.3479388587831756E-2</v>
      </c>
      <c r="X2079" s="33">
        <f t="shared" si="193"/>
        <v>2.6751492949426546E-2</v>
      </c>
    </row>
    <row r="2080" spans="19:24" x14ac:dyDescent="0.25">
      <c r="S2080" s="44">
        <f t="shared" si="188"/>
        <v>45130</v>
      </c>
      <c r="T2080" s="12">
        <f t="shared" si="189"/>
        <v>4.3452617764816353</v>
      </c>
      <c r="U2080" s="12">
        <f t="shared" si="191"/>
        <v>4.2342007306375624</v>
      </c>
      <c r="V2080" s="30">
        <f t="shared" si="192"/>
        <v>0.44714301369863008</v>
      </c>
      <c r="W2080" s="46">
        <f t="shared" si="190"/>
        <v>-4.3452617764816348E-2</v>
      </c>
      <c r="X2080" s="33">
        <f t="shared" si="193"/>
        <v>2.6751451437153594E-2</v>
      </c>
    </row>
    <row r="2081" spans="19:24" x14ac:dyDescent="0.25">
      <c r="S2081" s="44">
        <f t="shared" si="188"/>
        <v>45131</v>
      </c>
      <c r="T2081" s="12">
        <f t="shared" si="189"/>
        <v>4.3425846941800934</v>
      </c>
      <c r="U2081" s="12">
        <f t="shared" si="191"/>
        <v>4.2315495539127737</v>
      </c>
      <c r="V2081" s="30">
        <f t="shared" si="192"/>
        <v>0.44711561643835618</v>
      </c>
      <c r="W2081" s="46">
        <f t="shared" si="190"/>
        <v>-4.3425846941800926E-2</v>
      </c>
      <c r="X2081" s="33">
        <f t="shared" si="193"/>
        <v>2.6751409924880658E-2</v>
      </c>
    </row>
    <row r="2082" spans="19:24" x14ac:dyDescent="0.25">
      <c r="S2082" s="44">
        <f t="shared" ref="S2082:S2145" si="194">+S2081+1</f>
        <v>45132</v>
      </c>
      <c r="T2082" s="12">
        <f t="shared" ref="T2082:T2145" si="195">DurMod(S2082,B$2,$F$7:$G$37,$T$3)</f>
        <v>4.3399076118785507</v>
      </c>
      <c r="U2082" s="12">
        <f t="shared" si="191"/>
        <v>4.2288983771879831</v>
      </c>
      <c r="V2082" s="30">
        <f t="shared" si="192"/>
        <v>0.44708821917808217</v>
      </c>
      <c r="W2082" s="46">
        <f t="shared" ref="W2082:W2145" si="196">+-T2082*($U$3-$T$3)</f>
        <v>-4.3399076118785497E-2</v>
      </c>
      <c r="X2082" s="33">
        <f t="shared" si="193"/>
        <v>2.6751368412607709E-2</v>
      </c>
    </row>
    <row r="2083" spans="19:24" x14ac:dyDescent="0.25">
      <c r="S2083" s="44">
        <f t="shared" si="194"/>
        <v>45133</v>
      </c>
      <c r="T2083" s="12">
        <f t="shared" si="195"/>
        <v>4.3372305295770115</v>
      </c>
      <c r="U2083" s="12">
        <f t="shared" si="191"/>
        <v>4.2262472004631944</v>
      </c>
      <c r="V2083" s="30">
        <f t="shared" si="192"/>
        <v>0.44706082191780822</v>
      </c>
      <c r="W2083" s="46">
        <f t="shared" si="196"/>
        <v>-4.337230529577011E-2</v>
      </c>
      <c r="X2083" s="33">
        <f t="shared" si="193"/>
        <v>2.6751326900334767E-2</v>
      </c>
    </row>
    <row r="2084" spans="19:24" x14ac:dyDescent="0.25">
      <c r="S2084" s="44">
        <f t="shared" si="194"/>
        <v>45134</v>
      </c>
      <c r="T2084" s="12">
        <f t="shared" si="195"/>
        <v>4.3345534472754688</v>
      </c>
      <c r="U2084" s="12">
        <f t="shared" si="191"/>
        <v>4.2235960237384038</v>
      </c>
      <c r="V2084" s="30">
        <f t="shared" si="192"/>
        <v>0.44703342465753426</v>
      </c>
      <c r="W2084" s="46">
        <f t="shared" si="196"/>
        <v>-4.3345534472754681E-2</v>
      </c>
      <c r="X2084" s="33">
        <f t="shared" si="193"/>
        <v>2.6751285388061825E-2</v>
      </c>
    </row>
    <row r="2085" spans="19:24" x14ac:dyDescent="0.25">
      <c r="S2085" s="44">
        <f t="shared" si="194"/>
        <v>45135</v>
      </c>
      <c r="T2085" s="12">
        <f t="shared" si="195"/>
        <v>4.3318763649739287</v>
      </c>
      <c r="U2085" s="12">
        <f t="shared" si="191"/>
        <v>4.2209448470136159</v>
      </c>
      <c r="V2085" s="30">
        <f t="shared" si="192"/>
        <v>0.44700602739726025</v>
      </c>
      <c r="W2085" s="46">
        <f t="shared" si="196"/>
        <v>-4.3318763649739279E-2</v>
      </c>
      <c r="X2085" s="33">
        <f t="shared" si="193"/>
        <v>2.675124387578888E-2</v>
      </c>
    </row>
    <row r="2086" spans="19:24" x14ac:dyDescent="0.25">
      <c r="S2086" s="44">
        <f t="shared" si="194"/>
        <v>45136</v>
      </c>
      <c r="T2086" s="12">
        <f t="shared" si="195"/>
        <v>4.3291992826723877</v>
      </c>
      <c r="U2086" s="12">
        <f t="shared" si="191"/>
        <v>4.2182936702888263</v>
      </c>
      <c r="V2086" s="30">
        <f t="shared" si="192"/>
        <v>0.4469786301369863</v>
      </c>
      <c r="W2086" s="46">
        <f t="shared" si="196"/>
        <v>-4.3291992826723871E-2</v>
      </c>
      <c r="X2086" s="33">
        <f t="shared" si="193"/>
        <v>2.6751202363515938E-2</v>
      </c>
    </row>
    <row r="2087" spans="19:24" x14ac:dyDescent="0.25">
      <c r="S2087" s="44">
        <f t="shared" si="194"/>
        <v>45137</v>
      </c>
      <c r="T2087" s="12">
        <f t="shared" si="195"/>
        <v>4.326522200370845</v>
      </c>
      <c r="U2087" s="12">
        <f t="shared" si="191"/>
        <v>4.2156424935640366</v>
      </c>
      <c r="V2087" s="30">
        <f t="shared" si="192"/>
        <v>0.44695123287671235</v>
      </c>
      <c r="W2087" s="46">
        <f t="shared" si="196"/>
        <v>-4.3265222003708442E-2</v>
      </c>
      <c r="X2087" s="33">
        <f t="shared" si="193"/>
        <v>2.6751160851242999E-2</v>
      </c>
    </row>
    <row r="2088" spans="19:24" x14ac:dyDescent="0.25">
      <c r="S2088" s="44">
        <f t="shared" si="194"/>
        <v>45138</v>
      </c>
      <c r="T2088" s="12">
        <f t="shared" si="195"/>
        <v>4.323845118069304</v>
      </c>
      <c r="U2088" s="12">
        <f t="shared" si="191"/>
        <v>4.2129913168392479</v>
      </c>
      <c r="V2088" s="30">
        <f t="shared" si="192"/>
        <v>0.44692383561643834</v>
      </c>
      <c r="W2088" s="46">
        <f t="shared" si="196"/>
        <v>-4.3238451180693034E-2</v>
      </c>
      <c r="X2088" s="33">
        <f t="shared" si="193"/>
        <v>2.6751119338970047E-2</v>
      </c>
    </row>
    <row r="2089" spans="19:24" x14ac:dyDescent="0.25">
      <c r="S2089" s="44">
        <f t="shared" si="194"/>
        <v>45139</v>
      </c>
      <c r="T2089" s="12">
        <f t="shared" si="195"/>
        <v>4.3211680357677631</v>
      </c>
      <c r="U2089" s="12">
        <f t="shared" si="191"/>
        <v>4.2103401401144573</v>
      </c>
      <c r="V2089" s="30">
        <f t="shared" si="192"/>
        <v>0.44689643835616433</v>
      </c>
      <c r="W2089" s="46">
        <f t="shared" si="196"/>
        <v>-4.3211680357677626E-2</v>
      </c>
      <c r="X2089" s="33">
        <f t="shared" si="193"/>
        <v>2.6751077826697101E-2</v>
      </c>
    </row>
    <row r="2090" spans="19:24" x14ac:dyDescent="0.25">
      <c r="S2090" s="44">
        <f t="shared" si="194"/>
        <v>45140</v>
      </c>
      <c r="T2090" s="12">
        <f t="shared" si="195"/>
        <v>4.318490953466223</v>
      </c>
      <c r="U2090" s="12">
        <f t="shared" si="191"/>
        <v>4.2076889633896695</v>
      </c>
      <c r="V2090" s="30">
        <f t="shared" si="192"/>
        <v>0.44686904109589043</v>
      </c>
      <c r="W2090" s="46">
        <f t="shared" si="196"/>
        <v>-4.3184909534662225E-2</v>
      </c>
      <c r="X2090" s="33">
        <f t="shared" si="193"/>
        <v>2.6751036314424166E-2</v>
      </c>
    </row>
    <row r="2091" spans="19:24" x14ac:dyDescent="0.25">
      <c r="S2091" s="44">
        <f t="shared" si="194"/>
        <v>45141</v>
      </c>
      <c r="T2091" s="12">
        <f t="shared" si="195"/>
        <v>4.3158138711646803</v>
      </c>
      <c r="U2091" s="12">
        <f t="shared" si="191"/>
        <v>4.2050377866648798</v>
      </c>
      <c r="V2091" s="30">
        <f t="shared" si="192"/>
        <v>0.44684164383561642</v>
      </c>
      <c r="W2091" s="46">
        <f t="shared" si="196"/>
        <v>-4.3158138711646796E-2</v>
      </c>
      <c r="X2091" s="33">
        <f t="shared" si="193"/>
        <v>2.6750994802151217E-2</v>
      </c>
    </row>
    <row r="2092" spans="19:24" x14ac:dyDescent="0.25">
      <c r="S2092" s="44">
        <f t="shared" si="194"/>
        <v>45142</v>
      </c>
      <c r="T2092" s="12">
        <f t="shared" si="195"/>
        <v>4.3131367888631393</v>
      </c>
      <c r="U2092" s="12">
        <f t="shared" si="191"/>
        <v>4.2023866099400902</v>
      </c>
      <c r="V2092" s="30">
        <f t="shared" si="192"/>
        <v>0.44681424657534241</v>
      </c>
      <c r="W2092" s="46">
        <f t="shared" si="196"/>
        <v>-4.3131367888631388E-2</v>
      </c>
      <c r="X2092" s="33">
        <f t="shared" si="193"/>
        <v>2.6750953289878275E-2</v>
      </c>
    </row>
    <row r="2093" spans="19:24" x14ac:dyDescent="0.25">
      <c r="S2093" s="44">
        <f t="shared" si="194"/>
        <v>45143</v>
      </c>
      <c r="T2093" s="12">
        <f t="shared" si="195"/>
        <v>4.3104597065615993</v>
      </c>
      <c r="U2093" s="12">
        <f t="shared" si="191"/>
        <v>4.1997354332153014</v>
      </c>
      <c r="V2093" s="30">
        <f t="shared" si="192"/>
        <v>0.44678684931506851</v>
      </c>
      <c r="W2093" s="46">
        <f t="shared" si="196"/>
        <v>-4.3104597065615986E-2</v>
      </c>
      <c r="X2093" s="33">
        <f t="shared" si="193"/>
        <v>2.6750911777605333E-2</v>
      </c>
    </row>
    <row r="2094" spans="19:24" x14ac:dyDescent="0.25">
      <c r="S2094" s="44">
        <f t="shared" si="194"/>
        <v>45144</v>
      </c>
      <c r="T2094" s="12">
        <f t="shared" si="195"/>
        <v>4.3077826242600574</v>
      </c>
      <c r="U2094" s="12">
        <f t="shared" si="191"/>
        <v>4.1970842564905109</v>
      </c>
      <c r="V2094" s="30">
        <f t="shared" si="192"/>
        <v>0.4467594520547945</v>
      </c>
      <c r="W2094" s="46">
        <f t="shared" si="196"/>
        <v>-4.3077826242600564E-2</v>
      </c>
      <c r="X2094" s="33">
        <f t="shared" si="193"/>
        <v>2.6750870265332388E-2</v>
      </c>
    </row>
    <row r="2095" spans="19:24" x14ac:dyDescent="0.25">
      <c r="S2095" s="44">
        <f t="shared" si="194"/>
        <v>45145</v>
      </c>
      <c r="T2095" s="12">
        <f t="shared" si="195"/>
        <v>4.3051055419585156</v>
      </c>
      <c r="U2095" s="12">
        <f t="shared" si="191"/>
        <v>4.1944330797657212</v>
      </c>
      <c r="V2095" s="30">
        <f t="shared" si="192"/>
        <v>0.44673205479452055</v>
      </c>
      <c r="W2095" s="46">
        <f t="shared" si="196"/>
        <v>-4.3051055419585149E-2</v>
      </c>
      <c r="X2095" s="33">
        <f t="shared" si="193"/>
        <v>2.6750828753059445E-2</v>
      </c>
    </row>
    <row r="2096" spans="19:24" x14ac:dyDescent="0.25">
      <c r="S2096" s="44">
        <f t="shared" si="194"/>
        <v>45146</v>
      </c>
      <c r="T2096" s="12">
        <f t="shared" si="195"/>
        <v>4.3024284596569755</v>
      </c>
      <c r="U2096" s="12">
        <f t="shared" si="191"/>
        <v>4.1917819030409325</v>
      </c>
      <c r="V2096" s="30">
        <f t="shared" si="192"/>
        <v>0.4467046575342466</v>
      </c>
      <c r="W2096" s="46">
        <f t="shared" si="196"/>
        <v>-4.3024284596569748E-2</v>
      </c>
      <c r="X2096" s="33">
        <f t="shared" si="193"/>
        <v>2.6750787240786503E-2</v>
      </c>
    </row>
    <row r="2097" spans="19:24" x14ac:dyDescent="0.25">
      <c r="S2097" s="44">
        <f t="shared" si="194"/>
        <v>45147</v>
      </c>
      <c r="T2097" s="12">
        <f t="shared" si="195"/>
        <v>4.2997513773554337</v>
      </c>
      <c r="U2097" s="12">
        <f t="shared" si="191"/>
        <v>4.1891307263161437</v>
      </c>
      <c r="V2097" s="30">
        <f t="shared" si="192"/>
        <v>0.44667726027397259</v>
      </c>
      <c r="W2097" s="46">
        <f t="shared" si="196"/>
        <v>-4.2997513773554333E-2</v>
      </c>
      <c r="X2097" s="33">
        <f t="shared" si="193"/>
        <v>2.6750745728513554E-2</v>
      </c>
    </row>
    <row r="2098" spans="19:24" x14ac:dyDescent="0.25">
      <c r="S2098" s="44">
        <f t="shared" si="194"/>
        <v>45148</v>
      </c>
      <c r="T2098" s="12">
        <f t="shared" si="195"/>
        <v>4.2970742950538918</v>
      </c>
      <c r="U2098" s="12">
        <f t="shared" si="191"/>
        <v>4.1864795495913558</v>
      </c>
      <c r="V2098" s="30">
        <f t="shared" si="192"/>
        <v>0.44664986301369858</v>
      </c>
      <c r="W2098" s="46">
        <f t="shared" si="196"/>
        <v>-4.2970742950538911E-2</v>
      </c>
      <c r="X2098" s="33">
        <f t="shared" si="193"/>
        <v>2.6750704216240609E-2</v>
      </c>
    </row>
    <row r="2099" spans="19:24" x14ac:dyDescent="0.25">
      <c r="S2099" s="44">
        <f t="shared" si="194"/>
        <v>45149</v>
      </c>
      <c r="T2099" s="12">
        <f t="shared" si="195"/>
        <v>4.2943972127523518</v>
      </c>
      <c r="U2099" s="12">
        <f t="shared" si="191"/>
        <v>4.1838283728665653</v>
      </c>
      <c r="V2099" s="30">
        <f t="shared" si="192"/>
        <v>0.44662246575342468</v>
      </c>
      <c r="W2099" s="46">
        <f t="shared" si="196"/>
        <v>-4.294397212752351E-2</v>
      </c>
      <c r="X2099" s="33">
        <f t="shared" si="193"/>
        <v>2.675066270396767E-2</v>
      </c>
    </row>
    <row r="2100" spans="19:24" x14ac:dyDescent="0.25">
      <c r="S2100" s="44">
        <f t="shared" si="194"/>
        <v>45150</v>
      </c>
      <c r="T2100" s="12">
        <f t="shared" si="195"/>
        <v>4.2917201304508108</v>
      </c>
      <c r="U2100" s="12">
        <f t="shared" si="191"/>
        <v>4.1811771961417765</v>
      </c>
      <c r="V2100" s="30">
        <f t="shared" si="192"/>
        <v>0.44659506849315067</v>
      </c>
      <c r="W2100" s="46">
        <f t="shared" si="196"/>
        <v>-4.2917201304508101E-2</v>
      </c>
      <c r="X2100" s="33">
        <f t="shared" si="193"/>
        <v>2.6750621191694725E-2</v>
      </c>
    </row>
    <row r="2101" spans="19:24" x14ac:dyDescent="0.25">
      <c r="S2101" s="44">
        <f t="shared" si="194"/>
        <v>45151</v>
      </c>
      <c r="T2101" s="12">
        <f t="shared" si="195"/>
        <v>4.2890430481492698</v>
      </c>
      <c r="U2101" s="12">
        <f t="shared" si="191"/>
        <v>4.1785260194169869</v>
      </c>
      <c r="V2101" s="30">
        <f t="shared" si="192"/>
        <v>0.44656767123287666</v>
      </c>
      <c r="W2101" s="46">
        <f t="shared" si="196"/>
        <v>-4.2890430481492693E-2</v>
      </c>
      <c r="X2101" s="33">
        <f t="shared" si="193"/>
        <v>2.6750579679421776E-2</v>
      </c>
    </row>
    <row r="2102" spans="19:24" x14ac:dyDescent="0.25">
      <c r="S2102" s="44">
        <f t="shared" si="194"/>
        <v>45152</v>
      </c>
      <c r="T2102" s="12">
        <f t="shared" si="195"/>
        <v>4.2863659658477271</v>
      </c>
      <c r="U2102" s="12">
        <f t="shared" si="191"/>
        <v>4.1758748426921981</v>
      </c>
      <c r="V2102" s="30">
        <f t="shared" si="192"/>
        <v>0.44654027397260271</v>
      </c>
      <c r="W2102" s="46">
        <f t="shared" si="196"/>
        <v>-4.2863659658477264E-2</v>
      </c>
      <c r="X2102" s="33">
        <f t="shared" si="193"/>
        <v>2.6750538167148834E-2</v>
      </c>
    </row>
    <row r="2103" spans="19:24" x14ac:dyDescent="0.25">
      <c r="S2103" s="44">
        <f t="shared" si="194"/>
        <v>45153</v>
      </c>
      <c r="T2103" s="12">
        <f t="shared" si="195"/>
        <v>4.283688883546187</v>
      </c>
      <c r="U2103" s="12">
        <f t="shared" si="191"/>
        <v>4.1732236659674085</v>
      </c>
      <c r="V2103" s="30">
        <f t="shared" si="192"/>
        <v>0.4465128767123287</v>
      </c>
      <c r="W2103" s="46">
        <f t="shared" si="196"/>
        <v>-4.2836888835461863E-2</v>
      </c>
      <c r="X2103" s="33">
        <f t="shared" si="193"/>
        <v>2.6750496654875888E-2</v>
      </c>
    </row>
    <row r="2104" spans="19:24" x14ac:dyDescent="0.25">
      <c r="S2104" s="44">
        <f t="shared" si="194"/>
        <v>45154</v>
      </c>
      <c r="T2104" s="12">
        <f t="shared" si="195"/>
        <v>4.2810118012446452</v>
      </c>
      <c r="U2104" s="12">
        <f t="shared" si="191"/>
        <v>4.170572489242617</v>
      </c>
      <c r="V2104" s="30">
        <f t="shared" si="192"/>
        <v>0.4464854794520548</v>
      </c>
      <c r="W2104" s="46">
        <f t="shared" si="196"/>
        <v>-4.2810118012446448E-2</v>
      </c>
      <c r="X2104" s="33">
        <f t="shared" si="193"/>
        <v>2.675045514260295E-2</v>
      </c>
    </row>
    <row r="2105" spans="19:24" x14ac:dyDescent="0.25">
      <c r="S2105" s="44">
        <f t="shared" si="194"/>
        <v>45155</v>
      </c>
      <c r="T2105" s="12">
        <f t="shared" si="195"/>
        <v>4.2783347189431042</v>
      </c>
      <c r="U2105" s="12">
        <f t="shared" si="191"/>
        <v>4.1679213125178309</v>
      </c>
      <c r="V2105" s="30">
        <f t="shared" si="192"/>
        <v>0.44645808219178085</v>
      </c>
      <c r="W2105" s="46">
        <f t="shared" si="196"/>
        <v>-4.2783347189431033E-2</v>
      </c>
      <c r="X2105" s="33">
        <f t="shared" si="193"/>
        <v>2.6750413630330004E-2</v>
      </c>
    </row>
    <row r="2106" spans="19:24" x14ac:dyDescent="0.25">
      <c r="S2106" s="44">
        <f t="shared" si="194"/>
        <v>45156</v>
      </c>
      <c r="T2106" s="12">
        <f t="shared" si="195"/>
        <v>4.2756576366415624</v>
      </c>
      <c r="U2106" s="12">
        <f t="shared" si="191"/>
        <v>4.1652701357930395</v>
      </c>
      <c r="V2106" s="30">
        <f t="shared" si="192"/>
        <v>0.44643068493150684</v>
      </c>
      <c r="W2106" s="46">
        <f t="shared" si="196"/>
        <v>-4.2756576366415618E-2</v>
      </c>
      <c r="X2106" s="33">
        <f t="shared" si="193"/>
        <v>2.6750372118057062E-2</v>
      </c>
    </row>
    <row r="2107" spans="19:24" x14ac:dyDescent="0.25">
      <c r="S2107" s="44">
        <f t="shared" si="194"/>
        <v>45157</v>
      </c>
      <c r="T2107" s="12">
        <f t="shared" si="195"/>
        <v>4.2729805543400214</v>
      </c>
      <c r="U2107" s="12">
        <f t="shared" si="191"/>
        <v>4.1626189590682499</v>
      </c>
      <c r="V2107" s="30">
        <f t="shared" si="192"/>
        <v>0.44640328767123288</v>
      </c>
      <c r="W2107" s="46">
        <f t="shared" si="196"/>
        <v>-4.2729805543400209E-2</v>
      </c>
      <c r="X2107" s="33">
        <f t="shared" si="193"/>
        <v>2.675033060578412E-2</v>
      </c>
    </row>
    <row r="2108" spans="19:24" x14ac:dyDescent="0.25">
      <c r="S2108" s="44">
        <f t="shared" si="194"/>
        <v>45158</v>
      </c>
      <c r="T2108" s="12">
        <f t="shared" si="195"/>
        <v>4.2703034720384805</v>
      </c>
      <c r="U2108" s="12">
        <f t="shared" si="191"/>
        <v>4.1599677823434611</v>
      </c>
      <c r="V2108" s="30">
        <f t="shared" si="192"/>
        <v>0.44637589041095893</v>
      </c>
      <c r="W2108" s="46">
        <f t="shared" si="196"/>
        <v>-4.2703034720384801E-2</v>
      </c>
      <c r="X2108" s="33">
        <f t="shared" si="193"/>
        <v>2.6750289093511178E-2</v>
      </c>
    </row>
    <row r="2109" spans="19:24" x14ac:dyDescent="0.25">
      <c r="S2109" s="44">
        <f t="shared" si="194"/>
        <v>45159</v>
      </c>
      <c r="T2109" s="12">
        <f t="shared" si="195"/>
        <v>4.2676263897369395</v>
      </c>
      <c r="U2109" s="12">
        <f t="shared" si="191"/>
        <v>4.1573166056186714</v>
      </c>
      <c r="V2109" s="30">
        <f t="shared" si="192"/>
        <v>0.44634849315068492</v>
      </c>
      <c r="W2109" s="46">
        <f t="shared" si="196"/>
        <v>-4.2676263897369386E-2</v>
      </c>
      <c r="X2109" s="33">
        <f t="shared" si="193"/>
        <v>2.6750247581238232E-2</v>
      </c>
    </row>
    <row r="2110" spans="19:24" x14ac:dyDescent="0.25">
      <c r="S2110" s="44">
        <f t="shared" si="194"/>
        <v>45160</v>
      </c>
      <c r="T2110" s="12">
        <f t="shared" si="195"/>
        <v>4.2649493074353986</v>
      </c>
      <c r="U2110" s="12">
        <f t="shared" si="191"/>
        <v>4.1546654288938836</v>
      </c>
      <c r="V2110" s="30">
        <f t="shared" si="192"/>
        <v>0.44632109589041102</v>
      </c>
      <c r="W2110" s="46">
        <f t="shared" si="196"/>
        <v>-4.2649493074353978E-2</v>
      </c>
      <c r="X2110" s="33">
        <f t="shared" si="193"/>
        <v>2.6750206068965294E-2</v>
      </c>
    </row>
    <row r="2111" spans="19:24" x14ac:dyDescent="0.25">
      <c r="S2111" s="44">
        <f t="shared" si="194"/>
        <v>45161</v>
      </c>
      <c r="T2111" s="12">
        <f t="shared" si="195"/>
        <v>4.2622722251338576</v>
      </c>
      <c r="U2111" s="12">
        <f t="shared" si="191"/>
        <v>4.152014252169093</v>
      </c>
      <c r="V2111" s="30">
        <f t="shared" si="192"/>
        <v>0.44629369863013701</v>
      </c>
      <c r="W2111" s="46">
        <f t="shared" si="196"/>
        <v>-4.262272225133857E-2</v>
      </c>
      <c r="X2111" s="33">
        <f t="shared" si="193"/>
        <v>2.6750164556692348E-2</v>
      </c>
    </row>
    <row r="2112" spans="19:24" x14ac:dyDescent="0.25">
      <c r="S2112" s="44">
        <f t="shared" si="194"/>
        <v>45162</v>
      </c>
      <c r="T2112" s="12">
        <f t="shared" si="195"/>
        <v>4.2595951428323149</v>
      </c>
      <c r="U2112" s="12">
        <f t="shared" si="191"/>
        <v>4.1493630754443043</v>
      </c>
      <c r="V2112" s="30">
        <f t="shared" si="192"/>
        <v>0.44626630136986301</v>
      </c>
      <c r="W2112" s="46">
        <f t="shared" si="196"/>
        <v>-4.2595951428323141E-2</v>
      </c>
      <c r="X2112" s="33">
        <f t="shared" si="193"/>
        <v>2.6750123044419399E-2</v>
      </c>
    </row>
    <row r="2113" spans="19:24" x14ac:dyDescent="0.25">
      <c r="S2113" s="44">
        <f t="shared" si="194"/>
        <v>45163</v>
      </c>
      <c r="T2113" s="12">
        <f t="shared" si="195"/>
        <v>4.2569180605307748</v>
      </c>
      <c r="U2113" s="12">
        <f t="shared" si="191"/>
        <v>4.1467118987195146</v>
      </c>
      <c r="V2113" s="30">
        <f t="shared" si="192"/>
        <v>0.446238904109589</v>
      </c>
      <c r="W2113" s="46">
        <f t="shared" si="196"/>
        <v>-4.256918060530774E-2</v>
      </c>
      <c r="X2113" s="33">
        <f t="shared" si="193"/>
        <v>2.6750081532146454E-2</v>
      </c>
    </row>
    <row r="2114" spans="19:24" x14ac:dyDescent="0.25">
      <c r="S2114" s="44">
        <f t="shared" si="194"/>
        <v>45164</v>
      </c>
      <c r="T2114" s="12">
        <f t="shared" si="195"/>
        <v>4.254240978229233</v>
      </c>
      <c r="U2114" s="12">
        <f t="shared" si="191"/>
        <v>4.144060721994725</v>
      </c>
      <c r="V2114" s="30">
        <f t="shared" si="192"/>
        <v>0.4462115068493151</v>
      </c>
      <c r="W2114" s="46">
        <f t="shared" si="196"/>
        <v>-4.2542409782292324E-2</v>
      </c>
      <c r="X2114" s="33">
        <f t="shared" si="193"/>
        <v>2.6750040019873512E-2</v>
      </c>
    </row>
    <row r="2115" spans="19:24" x14ac:dyDescent="0.25">
      <c r="S2115" s="44">
        <f t="shared" si="194"/>
        <v>45165</v>
      </c>
      <c r="T2115" s="12">
        <f t="shared" si="195"/>
        <v>4.2515638959276911</v>
      </c>
      <c r="U2115" s="12">
        <f t="shared" si="191"/>
        <v>4.1414095452699362</v>
      </c>
      <c r="V2115" s="30">
        <f t="shared" si="192"/>
        <v>0.44618410958904109</v>
      </c>
      <c r="W2115" s="46">
        <f t="shared" si="196"/>
        <v>-4.2515638959276902E-2</v>
      </c>
      <c r="X2115" s="33">
        <f t="shared" si="193"/>
        <v>2.674999850760057E-2</v>
      </c>
    </row>
    <row r="2116" spans="19:24" x14ac:dyDescent="0.25">
      <c r="S2116" s="44">
        <f t="shared" si="194"/>
        <v>45166</v>
      </c>
      <c r="T2116" s="12">
        <f t="shared" si="195"/>
        <v>4.2488868136261502</v>
      </c>
      <c r="U2116" s="12">
        <f t="shared" si="191"/>
        <v>4.1387583685451466</v>
      </c>
      <c r="V2116" s="30">
        <f t="shared" si="192"/>
        <v>0.44615671232876714</v>
      </c>
      <c r="W2116" s="46">
        <f t="shared" si="196"/>
        <v>-4.2488868136261494E-2</v>
      </c>
      <c r="X2116" s="33">
        <f t="shared" si="193"/>
        <v>2.6749956995327621E-2</v>
      </c>
    </row>
    <row r="2117" spans="19:24" x14ac:dyDescent="0.25">
      <c r="S2117" s="44">
        <f t="shared" si="194"/>
        <v>45167</v>
      </c>
      <c r="T2117" s="12">
        <f t="shared" si="195"/>
        <v>4.2462097313246083</v>
      </c>
      <c r="U2117" s="12">
        <f t="shared" ref="U2117:U2180" si="197">DurMod($S2117,$B$2,$F$7:$G$37,U$3)</f>
        <v>4.1361071918203569</v>
      </c>
      <c r="V2117" s="30">
        <f t="shared" ref="V2117:V2180" si="198">+$U$3*($S$5512-S2117)/365+$T$3*(S2117-$S$4)/365</f>
        <v>0.44612931506849318</v>
      </c>
      <c r="W2117" s="46">
        <f t="shared" si="196"/>
        <v>-4.2462097313246079E-2</v>
      </c>
      <c r="X2117" s="33">
        <f t="shared" ref="X2117:X2180" si="199">+(V2117+W2117)*365/($S$5512-$S$4)</f>
        <v>2.6749915483054686E-2</v>
      </c>
    </row>
    <row r="2118" spans="19:24" x14ac:dyDescent="0.25">
      <c r="S2118" s="44">
        <f t="shared" si="194"/>
        <v>45168</v>
      </c>
      <c r="T2118" s="12">
        <f t="shared" si="195"/>
        <v>4.2435326490230674</v>
      </c>
      <c r="U2118" s="12">
        <f t="shared" si="197"/>
        <v>4.1334560150955681</v>
      </c>
      <c r="V2118" s="30">
        <f t="shared" si="198"/>
        <v>0.44610191780821923</v>
      </c>
      <c r="W2118" s="46">
        <f t="shared" si="196"/>
        <v>-4.2435326490230664E-2</v>
      </c>
      <c r="X2118" s="33">
        <f t="shared" si="199"/>
        <v>2.6749873970781737E-2</v>
      </c>
    </row>
    <row r="2119" spans="19:24" x14ac:dyDescent="0.25">
      <c r="S2119" s="44">
        <f t="shared" si="194"/>
        <v>45169</v>
      </c>
      <c r="T2119" s="12">
        <f t="shared" si="195"/>
        <v>4.2408555667215264</v>
      </c>
      <c r="U2119" s="12">
        <f t="shared" si="197"/>
        <v>4.1308048383707803</v>
      </c>
      <c r="V2119" s="30">
        <f t="shared" si="198"/>
        <v>0.44607452054794522</v>
      </c>
      <c r="W2119" s="46">
        <f t="shared" si="196"/>
        <v>-4.2408555667215256E-2</v>
      </c>
      <c r="X2119" s="33">
        <f t="shared" si="199"/>
        <v>2.6749832458508795E-2</v>
      </c>
    </row>
    <row r="2120" spans="19:24" x14ac:dyDescent="0.25">
      <c r="S2120" s="44">
        <f t="shared" si="194"/>
        <v>45170</v>
      </c>
      <c r="T2120" s="12">
        <f t="shared" si="195"/>
        <v>4.2381784844199863</v>
      </c>
      <c r="U2120" s="12">
        <f t="shared" si="197"/>
        <v>4.1281536616459897</v>
      </c>
      <c r="V2120" s="30">
        <f t="shared" si="198"/>
        <v>0.44604712328767127</v>
      </c>
      <c r="W2120" s="46">
        <f t="shared" si="196"/>
        <v>-4.2381784844199855E-2</v>
      </c>
      <c r="X2120" s="33">
        <f t="shared" si="199"/>
        <v>2.6749790946235849E-2</v>
      </c>
    </row>
    <row r="2121" spans="19:24" x14ac:dyDescent="0.25">
      <c r="S2121" s="44">
        <f t="shared" si="194"/>
        <v>45171</v>
      </c>
      <c r="T2121" s="12">
        <f t="shared" si="195"/>
        <v>4.2355014021184445</v>
      </c>
      <c r="U2121" s="12">
        <f t="shared" si="197"/>
        <v>4.1255024849212001</v>
      </c>
      <c r="V2121" s="30">
        <f t="shared" si="198"/>
        <v>0.44601972602739726</v>
      </c>
      <c r="W2121" s="46">
        <f t="shared" si="196"/>
        <v>-4.2355014021184439E-2</v>
      </c>
      <c r="X2121" s="33">
        <f t="shared" si="199"/>
        <v>2.67497494339629E-2</v>
      </c>
    </row>
    <row r="2122" spans="19:24" x14ac:dyDescent="0.25">
      <c r="S2122" s="44">
        <f t="shared" si="194"/>
        <v>45172</v>
      </c>
      <c r="T2122" s="12">
        <f t="shared" si="195"/>
        <v>4.2328243198169035</v>
      </c>
      <c r="U2122" s="12">
        <f t="shared" si="197"/>
        <v>4.1228513081964113</v>
      </c>
      <c r="V2122" s="30">
        <f t="shared" si="198"/>
        <v>0.44599232876712325</v>
      </c>
      <c r="W2122" s="46">
        <f t="shared" si="196"/>
        <v>-4.2328243198169031E-2</v>
      </c>
      <c r="X2122" s="33">
        <f t="shared" si="199"/>
        <v>2.6749707921689958E-2</v>
      </c>
    </row>
    <row r="2123" spans="19:24" x14ac:dyDescent="0.25">
      <c r="S2123" s="44">
        <f t="shared" si="194"/>
        <v>45173</v>
      </c>
      <c r="T2123" s="12">
        <f t="shared" si="195"/>
        <v>4.2301472375153608</v>
      </c>
      <c r="U2123" s="12">
        <f t="shared" si="197"/>
        <v>4.1202001314716217</v>
      </c>
      <c r="V2123" s="30">
        <f t="shared" si="198"/>
        <v>0.44596493150684935</v>
      </c>
      <c r="W2123" s="46">
        <f t="shared" si="196"/>
        <v>-4.2301472375153602E-2</v>
      </c>
      <c r="X2123" s="33">
        <f t="shared" si="199"/>
        <v>2.6749666409417023E-2</v>
      </c>
    </row>
    <row r="2124" spans="19:24" x14ac:dyDescent="0.25">
      <c r="S2124" s="44">
        <f t="shared" si="194"/>
        <v>45174</v>
      </c>
      <c r="T2124" s="12">
        <f t="shared" si="195"/>
        <v>4.2274701552138216</v>
      </c>
      <c r="U2124" s="12">
        <f t="shared" si="197"/>
        <v>4.1175489547468329</v>
      </c>
      <c r="V2124" s="30">
        <f t="shared" si="198"/>
        <v>0.44593753424657534</v>
      </c>
      <c r="W2124" s="46">
        <f t="shared" si="196"/>
        <v>-4.2274701552138208E-2</v>
      </c>
      <c r="X2124" s="33">
        <f t="shared" si="199"/>
        <v>2.6749624897144074E-2</v>
      </c>
    </row>
    <row r="2125" spans="19:24" x14ac:dyDescent="0.25">
      <c r="S2125" s="44">
        <f t="shared" si="194"/>
        <v>45175</v>
      </c>
      <c r="T2125" s="12">
        <f t="shared" si="195"/>
        <v>4.2247930729122798</v>
      </c>
      <c r="U2125" s="12">
        <f t="shared" si="197"/>
        <v>4.1148977780220433</v>
      </c>
      <c r="V2125" s="30">
        <f t="shared" si="198"/>
        <v>0.44591013698630133</v>
      </c>
      <c r="W2125" s="46">
        <f t="shared" si="196"/>
        <v>-4.2247930729122793E-2</v>
      </c>
      <c r="X2125" s="33">
        <f t="shared" si="199"/>
        <v>2.6749583384871128E-2</v>
      </c>
    </row>
    <row r="2126" spans="19:24" x14ac:dyDescent="0.25">
      <c r="S2126" s="44">
        <f t="shared" si="194"/>
        <v>45176</v>
      </c>
      <c r="T2126" s="12">
        <f t="shared" si="195"/>
        <v>4.2221159906107388</v>
      </c>
      <c r="U2126" s="12">
        <f t="shared" si="197"/>
        <v>4.1122466012972545</v>
      </c>
      <c r="V2126" s="30">
        <f t="shared" si="198"/>
        <v>0.44588273972602738</v>
      </c>
      <c r="W2126" s="46">
        <f t="shared" si="196"/>
        <v>-4.2221159906107385E-2</v>
      </c>
      <c r="X2126" s="33">
        <f t="shared" si="199"/>
        <v>2.6749541872598186E-2</v>
      </c>
    </row>
    <row r="2127" spans="19:24" x14ac:dyDescent="0.25">
      <c r="S2127" s="44">
        <f t="shared" si="194"/>
        <v>45177</v>
      </c>
      <c r="T2127" s="12">
        <f t="shared" si="195"/>
        <v>4.219438908309197</v>
      </c>
      <c r="U2127" s="12">
        <f t="shared" si="197"/>
        <v>4.1095954245724649</v>
      </c>
      <c r="V2127" s="30">
        <f t="shared" si="198"/>
        <v>0.44585534246575342</v>
      </c>
      <c r="W2127" s="46">
        <f t="shared" si="196"/>
        <v>-4.2194389083091963E-2</v>
      </c>
      <c r="X2127" s="33">
        <f t="shared" si="199"/>
        <v>2.6749500360325237E-2</v>
      </c>
    </row>
    <row r="2128" spans="19:24" x14ac:dyDescent="0.25">
      <c r="S2128" s="44">
        <f t="shared" si="194"/>
        <v>45178</v>
      </c>
      <c r="T2128" s="12">
        <f t="shared" si="195"/>
        <v>4.2167618260076569</v>
      </c>
      <c r="U2128" s="12">
        <f t="shared" si="197"/>
        <v>4.1069442478476761</v>
      </c>
      <c r="V2128" s="30">
        <f t="shared" si="198"/>
        <v>0.44582794520547947</v>
      </c>
      <c r="W2128" s="46">
        <f t="shared" si="196"/>
        <v>-4.2167618260076561E-2</v>
      </c>
      <c r="X2128" s="33">
        <f t="shared" si="199"/>
        <v>2.6749458848052299E-2</v>
      </c>
    </row>
    <row r="2129" spans="19:24" x14ac:dyDescent="0.25">
      <c r="S2129" s="44">
        <f t="shared" si="194"/>
        <v>45179</v>
      </c>
      <c r="T2129" s="12">
        <f t="shared" si="195"/>
        <v>4.2140847437061142</v>
      </c>
      <c r="U2129" s="12">
        <f t="shared" si="197"/>
        <v>4.1042930711228864</v>
      </c>
      <c r="V2129" s="30">
        <f t="shared" si="198"/>
        <v>0.44580054794520552</v>
      </c>
      <c r="W2129" s="46">
        <f t="shared" si="196"/>
        <v>-4.2140847437061132E-2</v>
      </c>
      <c r="X2129" s="33">
        <f t="shared" si="199"/>
        <v>2.6749417335779357E-2</v>
      </c>
    </row>
    <row r="2130" spans="19:24" x14ac:dyDescent="0.25">
      <c r="S2130" s="44">
        <f t="shared" si="194"/>
        <v>45180</v>
      </c>
      <c r="T2130" s="12">
        <f t="shared" si="195"/>
        <v>4.211407661404575</v>
      </c>
      <c r="U2130" s="12">
        <f t="shared" si="197"/>
        <v>4.1016418943980977</v>
      </c>
      <c r="V2130" s="30">
        <f t="shared" si="198"/>
        <v>0.44577315068493151</v>
      </c>
      <c r="W2130" s="46">
        <f t="shared" si="196"/>
        <v>-4.2114076614045745E-2</v>
      </c>
      <c r="X2130" s="33">
        <f t="shared" si="199"/>
        <v>2.6749375823506408E-2</v>
      </c>
    </row>
    <row r="2131" spans="19:24" x14ac:dyDescent="0.25">
      <c r="S2131" s="44">
        <f t="shared" si="194"/>
        <v>45181</v>
      </c>
      <c r="T2131" s="12">
        <f t="shared" si="195"/>
        <v>4.2087305791030332</v>
      </c>
      <c r="U2131" s="12">
        <f t="shared" si="197"/>
        <v>4.0989907176733071</v>
      </c>
      <c r="V2131" s="30">
        <f t="shared" si="198"/>
        <v>0.4457457534246575</v>
      </c>
      <c r="W2131" s="46">
        <f t="shared" si="196"/>
        <v>-4.2087305791030323E-2</v>
      </c>
      <c r="X2131" s="33">
        <f t="shared" si="199"/>
        <v>2.6749334311233466E-2</v>
      </c>
    </row>
    <row r="2132" spans="19:24" x14ac:dyDescent="0.25">
      <c r="S2132" s="44">
        <f t="shared" si="194"/>
        <v>45182</v>
      </c>
      <c r="T2132" s="12">
        <f t="shared" si="195"/>
        <v>4.2060534968014913</v>
      </c>
      <c r="U2132" s="12">
        <f t="shared" si="197"/>
        <v>4.0963395409485193</v>
      </c>
      <c r="V2132" s="30">
        <f t="shared" si="198"/>
        <v>0.4457183561643836</v>
      </c>
      <c r="W2132" s="46">
        <f t="shared" si="196"/>
        <v>-4.2060534968014908E-2</v>
      </c>
      <c r="X2132" s="33">
        <f t="shared" si="199"/>
        <v>2.6749292798960524E-2</v>
      </c>
    </row>
    <row r="2133" spans="19:24" x14ac:dyDescent="0.25">
      <c r="S2133" s="44">
        <f t="shared" si="194"/>
        <v>45183</v>
      </c>
      <c r="T2133" s="12">
        <f t="shared" si="195"/>
        <v>4.2033764144999513</v>
      </c>
      <c r="U2133" s="12">
        <f t="shared" si="197"/>
        <v>4.0936883642237278</v>
      </c>
      <c r="V2133" s="30">
        <f t="shared" si="198"/>
        <v>0.44569095890410959</v>
      </c>
      <c r="W2133" s="46">
        <f t="shared" si="196"/>
        <v>-4.2033764144999507E-2</v>
      </c>
      <c r="X2133" s="33">
        <f t="shared" si="199"/>
        <v>2.6749251286687582E-2</v>
      </c>
    </row>
    <row r="2134" spans="19:24" x14ac:dyDescent="0.25">
      <c r="S2134" s="44">
        <f t="shared" si="194"/>
        <v>45184</v>
      </c>
      <c r="T2134" s="12">
        <f t="shared" si="195"/>
        <v>4.2006993321984094</v>
      </c>
      <c r="U2134" s="12">
        <f t="shared" si="197"/>
        <v>4.0910371874989382</v>
      </c>
      <c r="V2134" s="30">
        <f t="shared" si="198"/>
        <v>0.44566356164383558</v>
      </c>
      <c r="W2134" s="46">
        <f t="shared" si="196"/>
        <v>-4.2006993321984085E-2</v>
      </c>
      <c r="X2134" s="33">
        <f t="shared" si="199"/>
        <v>2.6749209774414629E-2</v>
      </c>
    </row>
    <row r="2135" spans="19:24" x14ac:dyDescent="0.25">
      <c r="S2135" s="44">
        <f t="shared" si="194"/>
        <v>45185</v>
      </c>
      <c r="T2135" s="12">
        <f t="shared" si="195"/>
        <v>4.1980222498968685</v>
      </c>
      <c r="U2135" s="12">
        <f t="shared" si="197"/>
        <v>4.0883860107741494</v>
      </c>
      <c r="V2135" s="30">
        <f t="shared" si="198"/>
        <v>0.44563616438356163</v>
      </c>
      <c r="W2135" s="46">
        <f t="shared" si="196"/>
        <v>-4.1980222498968676E-2</v>
      </c>
      <c r="X2135" s="33">
        <f t="shared" si="199"/>
        <v>2.6749168262141694E-2</v>
      </c>
    </row>
    <row r="2136" spans="19:24" x14ac:dyDescent="0.25">
      <c r="S2136" s="44">
        <f t="shared" si="194"/>
        <v>45186</v>
      </c>
      <c r="T2136" s="12">
        <f t="shared" si="195"/>
        <v>4.1953451675953266</v>
      </c>
      <c r="U2136" s="12">
        <f t="shared" si="197"/>
        <v>4.0857348340493616</v>
      </c>
      <c r="V2136" s="30">
        <f t="shared" si="198"/>
        <v>0.44560876712328767</v>
      </c>
      <c r="W2136" s="46">
        <f t="shared" si="196"/>
        <v>-4.1953451675953261E-2</v>
      </c>
      <c r="X2136" s="33">
        <f t="shared" si="199"/>
        <v>2.6749126749868745E-2</v>
      </c>
    </row>
    <row r="2137" spans="19:24" x14ac:dyDescent="0.25">
      <c r="S2137" s="44">
        <f t="shared" si="194"/>
        <v>45187</v>
      </c>
      <c r="T2137" s="12">
        <f t="shared" si="195"/>
        <v>4.1926680852937857</v>
      </c>
      <c r="U2137" s="12">
        <f t="shared" si="197"/>
        <v>4.083083657324571</v>
      </c>
      <c r="V2137" s="30">
        <f t="shared" si="198"/>
        <v>0.44558136986301367</v>
      </c>
      <c r="W2137" s="46">
        <f t="shared" si="196"/>
        <v>-4.1926680852937853E-2</v>
      </c>
      <c r="X2137" s="33">
        <f t="shared" si="199"/>
        <v>2.6749085237595803E-2</v>
      </c>
    </row>
    <row r="2138" spans="19:24" x14ac:dyDescent="0.25">
      <c r="S2138" s="44">
        <f t="shared" si="194"/>
        <v>45188</v>
      </c>
      <c r="T2138" s="12">
        <f t="shared" si="195"/>
        <v>4.1899910029922447</v>
      </c>
      <c r="U2138" s="12">
        <f t="shared" si="197"/>
        <v>4.0804324805997823</v>
      </c>
      <c r="V2138" s="30">
        <f t="shared" si="198"/>
        <v>0.44555397260273971</v>
      </c>
      <c r="W2138" s="46">
        <f t="shared" si="196"/>
        <v>-4.1899910029922438E-2</v>
      </c>
      <c r="X2138" s="33">
        <f t="shared" si="199"/>
        <v>2.6749043725322857E-2</v>
      </c>
    </row>
    <row r="2139" spans="19:24" x14ac:dyDescent="0.25">
      <c r="S2139" s="44">
        <f t="shared" si="194"/>
        <v>45189</v>
      </c>
      <c r="T2139" s="12">
        <f t="shared" si="195"/>
        <v>4.1873139206907037</v>
      </c>
      <c r="U2139" s="12">
        <f t="shared" si="197"/>
        <v>4.0777813038749944</v>
      </c>
      <c r="V2139" s="30">
        <f t="shared" si="198"/>
        <v>0.44552657534246576</v>
      </c>
      <c r="W2139" s="46">
        <f t="shared" si="196"/>
        <v>-4.187313920690703E-2</v>
      </c>
      <c r="X2139" s="33">
        <f t="shared" si="199"/>
        <v>2.6749002213049915E-2</v>
      </c>
    </row>
    <row r="2140" spans="19:24" x14ac:dyDescent="0.25">
      <c r="S2140" s="44">
        <f t="shared" si="194"/>
        <v>45190</v>
      </c>
      <c r="T2140" s="12">
        <f t="shared" si="195"/>
        <v>4.1846368383891628</v>
      </c>
      <c r="U2140" s="12">
        <f t="shared" si="197"/>
        <v>4.0751301271502038</v>
      </c>
      <c r="V2140" s="30">
        <f t="shared" si="198"/>
        <v>0.44549917808219175</v>
      </c>
      <c r="W2140" s="46">
        <f t="shared" si="196"/>
        <v>-4.1846368383891622E-2</v>
      </c>
      <c r="X2140" s="33">
        <f t="shared" si="199"/>
        <v>2.6748960700776973E-2</v>
      </c>
    </row>
    <row r="2141" spans="19:24" x14ac:dyDescent="0.25">
      <c r="S2141" s="44">
        <f t="shared" si="194"/>
        <v>45191</v>
      </c>
      <c r="T2141" s="12">
        <f t="shared" si="195"/>
        <v>4.1819597560876201</v>
      </c>
      <c r="U2141" s="12">
        <f t="shared" si="197"/>
        <v>4.072478950425416</v>
      </c>
      <c r="V2141" s="30">
        <f t="shared" si="198"/>
        <v>0.44547178082191785</v>
      </c>
      <c r="W2141" s="46">
        <f t="shared" si="196"/>
        <v>-4.1819597560876193E-2</v>
      </c>
      <c r="X2141" s="33">
        <f t="shared" si="199"/>
        <v>2.6748919188504035E-2</v>
      </c>
    </row>
    <row r="2142" spans="19:24" x14ac:dyDescent="0.25">
      <c r="S2142" s="44">
        <f t="shared" si="194"/>
        <v>45192</v>
      </c>
      <c r="T2142" s="12">
        <f t="shared" si="195"/>
        <v>4.1792826737860782</v>
      </c>
      <c r="U2142" s="12">
        <f t="shared" si="197"/>
        <v>4.0698277737006254</v>
      </c>
      <c r="V2142" s="30">
        <f t="shared" si="198"/>
        <v>0.44544438356164384</v>
      </c>
      <c r="W2142" s="46">
        <f t="shared" si="196"/>
        <v>-4.1792826737860778E-2</v>
      </c>
      <c r="X2142" s="33">
        <f t="shared" si="199"/>
        <v>2.6748877676231082E-2</v>
      </c>
    </row>
    <row r="2143" spans="19:24" x14ac:dyDescent="0.25">
      <c r="S2143" s="44">
        <f t="shared" si="194"/>
        <v>45193</v>
      </c>
      <c r="T2143" s="12">
        <f t="shared" si="195"/>
        <v>4.176605591484539</v>
      </c>
      <c r="U2143" s="12">
        <f t="shared" si="197"/>
        <v>4.0671765969758349</v>
      </c>
      <c r="V2143" s="30">
        <f t="shared" si="198"/>
        <v>0.44541698630136983</v>
      </c>
      <c r="W2143" s="46">
        <f t="shared" si="196"/>
        <v>-4.1766055914845383E-2</v>
      </c>
      <c r="X2143" s="33">
        <f t="shared" si="199"/>
        <v>2.6748836163958137E-2</v>
      </c>
    </row>
    <row r="2144" spans="19:24" x14ac:dyDescent="0.25">
      <c r="S2144" s="44">
        <f t="shared" si="194"/>
        <v>45194</v>
      </c>
      <c r="T2144" s="12">
        <f t="shared" si="195"/>
        <v>4.1739285091829954</v>
      </c>
      <c r="U2144" s="12">
        <f t="shared" si="197"/>
        <v>4.0645254202510479</v>
      </c>
      <c r="V2144" s="30">
        <f t="shared" si="198"/>
        <v>0.44538958904109582</v>
      </c>
      <c r="W2144" s="46">
        <f t="shared" si="196"/>
        <v>-4.1739285091829947E-2</v>
      </c>
      <c r="X2144" s="33">
        <f t="shared" si="199"/>
        <v>2.6748794651685195E-2</v>
      </c>
    </row>
    <row r="2145" spans="19:24" x14ac:dyDescent="0.25">
      <c r="S2145" s="44">
        <f t="shared" si="194"/>
        <v>45195</v>
      </c>
      <c r="T2145" s="12">
        <f t="shared" si="195"/>
        <v>4.1712514268814562</v>
      </c>
      <c r="U2145" s="12">
        <f t="shared" si="197"/>
        <v>4.0618742435262574</v>
      </c>
      <c r="V2145" s="30">
        <f t="shared" si="198"/>
        <v>0.44536219178082187</v>
      </c>
      <c r="W2145" s="46">
        <f t="shared" si="196"/>
        <v>-4.1712514268814553E-2</v>
      </c>
      <c r="X2145" s="33">
        <f t="shared" si="199"/>
        <v>2.6748753139412246E-2</v>
      </c>
    </row>
    <row r="2146" spans="19:24" x14ac:dyDescent="0.25">
      <c r="S2146" s="44">
        <f t="shared" ref="S2146:S2209" si="200">+S2145+1</f>
        <v>45196</v>
      </c>
      <c r="T2146" s="12">
        <f t="shared" ref="T2146:T2209" si="201">DurMod(S2146,B$2,$F$7:$G$37,$T$3)</f>
        <v>4.1685743445799144</v>
      </c>
      <c r="U2146" s="12">
        <f t="shared" si="197"/>
        <v>4.0592230668014686</v>
      </c>
      <c r="V2146" s="30">
        <f t="shared" si="198"/>
        <v>0.44533479452054792</v>
      </c>
      <c r="W2146" s="46">
        <f t="shared" ref="W2146:W2209" si="202">+-T2146*($U$3-$T$3)</f>
        <v>-4.1685743445799138E-2</v>
      </c>
      <c r="X2146" s="33">
        <f t="shared" si="199"/>
        <v>2.6748711627139311E-2</v>
      </c>
    </row>
    <row r="2147" spans="19:24" x14ac:dyDescent="0.25">
      <c r="S2147" s="44">
        <f t="shared" si="200"/>
        <v>45197</v>
      </c>
      <c r="T2147" s="12">
        <f t="shared" si="201"/>
        <v>4.1658972622783734</v>
      </c>
      <c r="U2147" s="12">
        <f t="shared" si="197"/>
        <v>4.056571890076679</v>
      </c>
      <c r="V2147" s="30">
        <f t="shared" si="198"/>
        <v>0.44530739726027396</v>
      </c>
      <c r="W2147" s="46">
        <f t="shared" si="202"/>
        <v>-4.165897262278373E-2</v>
      </c>
      <c r="X2147" s="33">
        <f t="shared" si="199"/>
        <v>2.6748670114866362E-2</v>
      </c>
    </row>
    <row r="2148" spans="19:24" x14ac:dyDescent="0.25">
      <c r="S2148" s="44">
        <f t="shared" si="200"/>
        <v>45198</v>
      </c>
      <c r="T2148" s="12">
        <f t="shared" si="201"/>
        <v>4.1632201799768325</v>
      </c>
      <c r="U2148" s="12">
        <f t="shared" si="197"/>
        <v>4.0539207133518884</v>
      </c>
      <c r="V2148" s="30">
        <f t="shared" si="198"/>
        <v>0.44528000000000001</v>
      </c>
      <c r="W2148" s="46">
        <f t="shared" si="202"/>
        <v>-4.1632201799768322E-2</v>
      </c>
      <c r="X2148" s="33">
        <f t="shared" si="199"/>
        <v>2.6748628602593423E-2</v>
      </c>
    </row>
    <row r="2149" spans="19:24" x14ac:dyDescent="0.25">
      <c r="S2149" s="44">
        <f t="shared" si="200"/>
        <v>45199</v>
      </c>
      <c r="T2149" s="12">
        <f t="shared" si="201"/>
        <v>4.1605430976752924</v>
      </c>
      <c r="U2149" s="12">
        <f t="shared" si="197"/>
        <v>4.0512695366270997</v>
      </c>
      <c r="V2149" s="30">
        <f t="shared" si="198"/>
        <v>0.445252602739726</v>
      </c>
      <c r="W2149" s="46">
        <f t="shared" si="202"/>
        <v>-4.160543097675292E-2</v>
      </c>
      <c r="X2149" s="33">
        <f t="shared" si="199"/>
        <v>2.6748587090320474E-2</v>
      </c>
    </row>
    <row r="2150" spans="19:24" x14ac:dyDescent="0.25">
      <c r="S2150" s="44">
        <f t="shared" si="200"/>
        <v>45200</v>
      </c>
      <c r="T2150" s="12">
        <f t="shared" si="201"/>
        <v>4.1578660153737497</v>
      </c>
      <c r="U2150" s="12">
        <f t="shared" si="197"/>
        <v>4.0486183599023118</v>
      </c>
      <c r="V2150" s="30">
        <f t="shared" si="198"/>
        <v>0.44522520547945205</v>
      </c>
      <c r="W2150" s="46">
        <f t="shared" si="202"/>
        <v>-4.1578660153737491E-2</v>
      </c>
      <c r="X2150" s="33">
        <f t="shared" si="199"/>
        <v>2.6748545578047532E-2</v>
      </c>
    </row>
    <row r="2151" spans="19:24" x14ac:dyDescent="0.25">
      <c r="S2151" s="44">
        <f t="shared" si="200"/>
        <v>45201</v>
      </c>
      <c r="T2151" s="12">
        <f t="shared" si="201"/>
        <v>4.1551889330722096</v>
      </c>
      <c r="U2151" s="12">
        <f t="shared" si="197"/>
        <v>4.0459671831775212</v>
      </c>
      <c r="V2151" s="30">
        <f t="shared" si="198"/>
        <v>0.44519780821917809</v>
      </c>
      <c r="W2151" s="46">
        <f t="shared" si="202"/>
        <v>-4.155188933072209E-2</v>
      </c>
      <c r="X2151" s="33">
        <f t="shared" si="199"/>
        <v>2.674850406577459E-2</v>
      </c>
    </row>
    <row r="2152" spans="19:24" x14ac:dyDescent="0.25">
      <c r="S2152" s="44">
        <f t="shared" si="200"/>
        <v>45202</v>
      </c>
      <c r="T2152" s="12">
        <f t="shared" si="201"/>
        <v>4.1525118507706678</v>
      </c>
      <c r="U2152" s="12">
        <f t="shared" si="197"/>
        <v>4.0433160064527325</v>
      </c>
      <c r="V2152" s="30">
        <f t="shared" si="198"/>
        <v>0.44517041095890414</v>
      </c>
      <c r="W2152" s="46">
        <f t="shared" si="202"/>
        <v>-4.1525118507706668E-2</v>
      </c>
      <c r="X2152" s="33">
        <f t="shared" si="199"/>
        <v>2.6748462553501648E-2</v>
      </c>
    </row>
    <row r="2153" spans="19:24" x14ac:dyDescent="0.25">
      <c r="S2153" s="44">
        <f t="shared" si="200"/>
        <v>45203</v>
      </c>
      <c r="T2153" s="12">
        <f t="shared" si="201"/>
        <v>4.1498347684691277</v>
      </c>
      <c r="U2153" s="12">
        <f t="shared" si="197"/>
        <v>4.0406648297279437</v>
      </c>
      <c r="V2153" s="30">
        <f t="shared" si="198"/>
        <v>0.44514301369863019</v>
      </c>
      <c r="W2153" s="46">
        <f t="shared" si="202"/>
        <v>-4.1498347684691274E-2</v>
      </c>
      <c r="X2153" s="33">
        <f t="shared" si="199"/>
        <v>2.6748421041228702E-2</v>
      </c>
    </row>
    <row r="2154" spans="19:24" x14ac:dyDescent="0.25">
      <c r="S2154" s="44">
        <f t="shared" si="200"/>
        <v>45204</v>
      </c>
      <c r="T2154" s="12">
        <f t="shared" si="201"/>
        <v>4.1471576861675858</v>
      </c>
      <c r="U2154" s="12">
        <f t="shared" si="197"/>
        <v>4.0380136530031541</v>
      </c>
      <c r="V2154" s="30">
        <f t="shared" si="198"/>
        <v>0.44511561643835618</v>
      </c>
      <c r="W2154" s="46">
        <f t="shared" si="202"/>
        <v>-4.1471576861675852E-2</v>
      </c>
      <c r="X2154" s="33">
        <f t="shared" si="199"/>
        <v>2.674837952895576E-2</v>
      </c>
    </row>
    <row r="2155" spans="19:24" x14ac:dyDescent="0.25">
      <c r="S2155" s="44">
        <f t="shared" si="200"/>
        <v>45205</v>
      </c>
      <c r="T2155" s="12">
        <f t="shared" si="201"/>
        <v>4.1444806038660449</v>
      </c>
      <c r="U2155" s="12">
        <f t="shared" si="197"/>
        <v>4.0353624762783635</v>
      </c>
      <c r="V2155" s="30">
        <f t="shared" si="198"/>
        <v>0.44508821917808217</v>
      </c>
      <c r="W2155" s="46">
        <f t="shared" si="202"/>
        <v>-4.1444806038660444E-2</v>
      </c>
      <c r="X2155" s="33">
        <f t="shared" si="199"/>
        <v>2.6748338016682811E-2</v>
      </c>
    </row>
    <row r="2156" spans="19:24" x14ac:dyDescent="0.25">
      <c r="S2156" s="44">
        <f t="shared" si="200"/>
        <v>45206</v>
      </c>
      <c r="T2156" s="12">
        <f t="shared" si="201"/>
        <v>4.1418035215645039</v>
      </c>
      <c r="U2156" s="12">
        <f t="shared" si="197"/>
        <v>4.0327112995535748</v>
      </c>
      <c r="V2156" s="30">
        <f t="shared" si="198"/>
        <v>0.44506082191780827</v>
      </c>
      <c r="W2156" s="46">
        <f t="shared" si="202"/>
        <v>-4.1418035215645035E-2</v>
      </c>
      <c r="X2156" s="33">
        <f t="shared" si="199"/>
        <v>2.6748296504409876E-2</v>
      </c>
    </row>
    <row r="2157" spans="19:24" x14ac:dyDescent="0.25">
      <c r="S2157" s="44">
        <f t="shared" si="200"/>
        <v>45207</v>
      </c>
      <c r="T2157" s="12">
        <f t="shared" si="201"/>
        <v>4.1391264392629612</v>
      </c>
      <c r="U2157" s="12">
        <f t="shared" si="197"/>
        <v>4.030060122828786</v>
      </c>
      <c r="V2157" s="30">
        <f t="shared" si="198"/>
        <v>0.44503342465753426</v>
      </c>
      <c r="W2157" s="46">
        <f t="shared" si="202"/>
        <v>-4.1391264392629606E-2</v>
      </c>
      <c r="X2157" s="33">
        <f t="shared" si="199"/>
        <v>2.6748254992136927E-2</v>
      </c>
    </row>
    <row r="2158" spans="19:24" x14ac:dyDescent="0.25">
      <c r="S2158" s="44">
        <f t="shared" si="200"/>
        <v>45208</v>
      </c>
      <c r="T2158" s="12">
        <f t="shared" si="201"/>
        <v>4.1364493569614202</v>
      </c>
      <c r="U2158" s="12">
        <f t="shared" si="197"/>
        <v>4.0274089461039955</v>
      </c>
      <c r="V2158" s="30">
        <f t="shared" si="198"/>
        <v>0.44500602739726025</v>
      </c>
      <c r="W2158" s="46">
        <f t="shared" si="202"/>
        <v>-4.1364493569614198E-2</v>
      </c>
      <c r="X2158" s="33">
        <f t="shared" si="199"/>
        <v>2.6748213479863982E-2</v>
      </c>
    </row>
    <row r="2159" spans="19:24" x14ac:dyDescent="0.25">
      <c r="S2159" s="44">
        <f t="shared" si="200"/>
        <v>45209</v>
      </c>
      <c r="T2159" s="12">
        <f t="shared" si="201"/>
        <v>4.1337722746598793</v>
      </c>
      <c r="U2159" s="12">
        <f t="shared" si="197"/>
        <v>4.0247577693792067</v>
      </c>
      <c r="V2159" s="30">
        <f t="shared" si="198"/>
        <v>0.4449786301369863</v>
      </c>
      <c r="W2159" s="46">
        <f t="shared" si="202"/>
        <v>-4.1337722746598783E-2</v>
      </c>
      <c r="X2159" s="33">
        <f t="shared" si="199"/>
        <v>2.674817196759104E-2</v>
      </c>
    </row>
    <row r="2160" spans="19:24" x14ac:dyDescent="0.25">
      <c r="S2160" s="44">
        <f t="shared" si="200"/>
        <v>45210</v>
      </c>
      <c r="T2160" s="12">
        <f t="shared" si="201"/>
        <v>4.1310951923583383</v>
      </c>
      <c r="U2160" s="12">
        <f t="shared" si="197"/>
        <v>4.0221065926544179</v>
      </c>
      <c r="V2160" s="30">
        <f t="shared" si="198"/>
        <v>0.44495123287671234</v>
      </c>
      <c r="W2160" s="46">
        <f t="shared" si="202"/>
        <v>-4.1310951923583375E-2</v>
      </c>
      <c r="X2160" s="33">
        <f t="shared" si="199"/>
        <v>2.6748130455318098E-2</v>
      </c>
    </row>
    <row r="2161" spans="19:24" x14ac:dyDescent="0.25">
      <c r="S2161" s="44">
        <f t="shared" si="200"/>
        <v>45211</v>
      </c>
      <c r="T2161" s="12">
        <f t="shared" si="201"/>
        <v>4.1284181100567974</v>
      </c>
      <c r="U2161" s="12">
        <f t="shared" si="197"/>
        <v>4.0194554159296283</v>
      </c>
      <c r="V2161" s="30">
        <f t="shared" si="198"/>
        <v>0.44492383561643839</v>
      </c>
      <c r="W2161" s="46">
        <f t="shared" si="202"/>
        <v>-4.1284181100567967E-2</v>
      </c>
      <c r="X2161" s="33">
        <f t="shared" si="199"/>
        <v>2.6748088943045156E-2</v>
      </c>
    </row>
    <row r="2162" spans="19:24" x14ac:dyDescent="0.25">
      <c r="S2162" s="44">
        <f t="shared" si="200"/>
        <v>45212</v>
      </c>
      <c r="T2162" s="12">
        <f t="shared" si="201"/>
        <v>4.1257410277552555</v>
      </c>
      <c r="U2162" s="12">
        <f t="shared" si="197"/>
        <v>4.0168042392048386</v>
      </c>
      <c r="V2162" s="30">
        <f t="shared" si="198"/>
        <v>0.44489643835616438</v>
      </c>
      <c r="W2162" s="46">
        <f t="shared" si="202"/>
        <v>-4.1257410277552552E-2</v>
      </c>
      <c r="X2162" s="33">
        <f t="shared" si="199"/>
        <v>2.6748047430772207E-2</v>
      </c>
    </row>
    <row r="2163" spans="19:24" x14ac:dyDescent="0.25">
      <c r="S2163" s="44">
        <f t="shared" si="200"/>
        <v>45213</v>
      </c>
      <c r="T2163" s="12">
        <f t="shared" si="201"/>
        <v>4.1230639454537155</v>
      </c>
      <c r="U2163" s="12">
        <f t="shared" si="197"/>
        <v>4.0141530624800508</v>
      </c>
      <c r="V2163" s="30">
        <f t="shared" si="198"/>
        <v>0.44486904109589043</v>
      </c>
      <c r="W2163" s="46">
        <f t="shared" si="202"/>
        <v>-4.123063945453715E-2</v>
      </c>
      <c r="X2163" s="33">
        <f t="shared" si="199"/>
        <v>2.6748005918499265E-2</v>
      </c>
    </row>
    <row r="2164" spans="19:24" x14ac:dyDescent="0.25">
      <c r="S2164" s="44">
        <f t="shared" si="200"/>
        <v>45214</v>
      </c>
      <c r="T2164" s="12">
        <f t="shared" si="201"/>
        <v>4.1203868631521718</v>
      </c>
      <c r="U2164" s="12">
        <f t="shared" si="197"/>
        <v>4.0115018857552611</v>
      </c>
      <c r="V2164" s="30">
        <f t="shared" si="198"/>
        <v>0.44484164383561642</v>
      </c>
      <c r="W2164" s="46">
        <f t="shared" si="202"/>
        <v>-4.1203868631521715E-2</v>
      </c>
      <c r="X2164" s="33">
        <f t="shared" si="199"/>
        <v>2.6747964406226319E-2</v>
      </c>
    </row>
    <row r="2165" spans="19:24" x14ac:dyDescent="0.25">
      <c r="S2165" s="44">
        <f t="shared" si="200"/>
        <v>45215</v>
      </c>
      <c r="T2165" s="12">
        <f t="shared" si="201"/>
        <v>4.1177097808506327</v>
      </c>
      <c r="U2165" s="12">
        <f t="shared" si="197"/>
        <v>4.0088507090304715</v>
      </c>
      <c r="V2165" s="30">
        <f t="shared" si="198"/>
        <v>0.44481424657534252</v>
      </c>
      <c r="W2165" s="46">
        <f t="shared" si="202"/>
        <v>-4.117709780850632E-2</v>
      </c>
      <c r="X2165" s="33">
        <f t="shared" si="199"/>
        <v>2.674792289395338E-2</v>
      </c>
    </row>
    <row r="2166" spans="19:24" x14ac:dyDescent="0.25">
      <c r="S2166" s="44">
        <f t="shared" si="200"/>
        <v>45216</v>
      </c>
      <c r="T2166" s="12">
        <f t="shared" si="201"/>
        <v>4.1150326985490908</v>
      </c>
      <c r="U2166" s="12">
        <f t="shared" si="197"/>
        <v>4.0061995323056818</v>
      </c>
      <c r="V2166" s="30">
        <f t="shared" si="198"/>
        <v>0.44478684931506851</v>
      </c>
      <c r="W2166" s="46">
        <f t="shared" si="202"/>
        <v>-4.1150326985490905E-2</v>
      </c>
      <c r="X2166" s="33">
        <f t="shared" si="199"/>
        <v>2.6747881381680428E-2</v>
      </c>
    </row>
    <row r="2167" spans="19:24" x14ac:dyDescent="0.25">
      <c r="S2167" s="44">
        <f t="shared" si="200"/>
        <v>45217</v>
      </c>
      <c r="T2167" s="12">
        <f t="shared" si="201"/>
        <v>4.112355616247549</v>
      </c>
      <c r="U2167" s="12">
        <f t="shared" si="197"/>
        <v>4.0035483555808931</v>
      </c>
      <c r="V2167" s="30">
        <f t="shared" si="198"/>
        <v>0.4447594520547945</v>
      </c>
      <c r="W2167" s="46">
        <f t="shared" si="202"/>
        <v>-4.1123556162475483E-2</v>
      </c>
      <c r="X2167" s="33">
        <f t="shared" si="199"/>
        <v>2.6747839869407486E-2</v>
      </c>
    </row>
    <row r="2168" spans="19:24" x14ac:dyDescent="0.25">
      <c r="S2168" s="44">
        <f t="shared" si="200"/>
        <v>45218</v>
      </c>
      <c r="T2168" s="12">
        <f t="shared" si="201"/>
        <v>4.1096785339460098</v>
      </c>
      <c r="U2168" s="12">
        <f t="shared" si="197"/>
        <v>4.0008971788561052</v>
      </c>
      <c r="V2168" s="30">
        <f t="shared" si="198"/>
        <v>0.44473205479452049</v>
      </c>
      <c r="W2168" s="46">
        <f t="shared" si="202"/>
        <v>-4.1096785339460089E-2</v>
      </c>
      <c r="X2168" s="33">
        <f t="shared" si="199"/>
        <v>2.674779835713454E-2</v>
      </c>
    </row>
    <row r="2169" spans="19:24" x14ac:dyDescent="0.25">
      <c r="S2169" s="44">
        <f t="shared" si="200"/>
        <v>45219</v>
      </c>
      <c r="T2169" s="12">
        <f t="shared" si="201"/>
        <v>4.1070014516444671</v>
      </c>
      <c r="U2169" s="12">
        <f t="shared" si="197"/>
        <v>3.9982460021313138</v>
      </c>
      <c r="V2169" s="30">
        <f t="shared" si="198"/>
        <v>0.44470465753424659</v>
      </c>
      <c r="W2169" s="46">
        <f t="shared" si="202"/>
        <v>-4.1070014516444667E-2</v>
      </c>
      <c r="X2169" s="33">
        <f t="shared" si="199"/>
        <v>2.6747756844861605E-2</v>
      </c>
    </row>
    <row r="2170" spans="19:24" x14ac:dyDescent="0.25">
      <c r="S2170" s="44">
        <f t="shared" si="200"/>
        <v>45220</v>
      </c>
      <c r="T2170" s="12">
        <f t="shared" si="201"/>
        <v>4.1043243693429261</v>
      </c>
      <c r="U2170" s="12">
        <f t="shared" si="197"/>
        <v>3.9955948254065259</v>
      </c>
      <c r="V2170" s="30">
        <f t="shared" si="198"/>
        <v>0.44467726027397259</v>
      </c>
      <c r="W2170" s="46">
        <f t="shared" si="202"/>
        <v>-4.1043243693429252E-2</v>
      </c>
      <c r="X2170" s="33">
        <f t="shared" si="199"/>
        <v>2.6747715332588656E-2</v>
      </c>
    </row>
    <row r="2171" spans="19:24" x14ac:dyDescent="0.25">
      <c r="S2171" s="44">
        <f t="shared" si="200"/>
        <v>45221</v>
      </c>
      <c r="T2171" s="12">
        <f t="shared" si="201"/>
        <v>4.1016472870413851</v>
      </c>
      <c r="U2171" s="12">
        <f t="shared" si="197"/>
        <v>3.9929436486817371</v>
      </c>
      <c r="V2171" s="30">
        <f t="shared" si="198"/>
        <v>0.44464986301369863</v>
      </c>
      <c r="W2171" s="46">
        <f t="shared" si="202"/>
        <v>-4.1016472870413843E-2</v>
      </c>
      <c r="X2171" s="33">
        <f t="shared" si="199"/>
        <v>2.6747673820315714E-2</v>
      </c>
    </row>
    <row r="2172" spans="19:24" x14ac:dyDescent="0.25">
      <c r="S2172" s="44">
        <f t="shared" si="200"/>
        <v>45222</v>
      </c>
      <c r="T2172" s="12">
        <f t="shared" si="201"/>
        <v>4.0989702047398433</v>
      </c>
      <c r="U2172" s="12">
        <f t="shared" si="197"/>
        <v>3.9902924719569479</v>
      </c>
      <c r="V2172" s="30">
        <f t="shared" si="198"/>
        <v>0.44462246575342468</v>
      </c>
      <c r="W2172" s="46">
        <f t="shared" si="202"/>
        <v>-4.0989702047398428E-2</v>
      </c>
      <c r="X2172" s="33">
        <f t="shared" si="199"/>
        <v>2.6747632308042772E-2</v>
      </c>
    </row>
    <row r="2173" spans="19:24" x14ac:dyDescent="0.25">
      <c r="S2173" s="44">
        <f t="shared" si="200"/>
        <v>45223</v>
      </c>
      <c r="T2173" s="12">
        <f t="shared" si="201"/>
        <v>4.0962931224383023</v>
      </c>
      <c r="U2173" s="12">
        <f t="shared" si="197"/>
        <v>3.9876412952321583</v>
      </c>
      <c r="V2173" s="30">
        <f t="shared" si="198"/>
        <v>0.44459506849315067</v>
      </c>
      <c r="W2173" s="46">
        <f t="shared" si="202"/>
        <v>-4.096293122438302E-2</v>
      </c>
      <c r="X2173" s="33">
        <f t="shared" si="199"/>
        <v>2.6747590795769827E-2</v>
      </c>
    </row>
    <row r="2174" spans="19:24" x14ac:dyDescent="0.25">
      <c r="S2174" s="44">
        <f t="shared" si="200"/>
        <v>45224</v>
      </c>
      <c r="T2174" s="12">
        <f t="shared" si="201"/>
        <v>4.0936160401367605</v>
      </c>
      <c r="U2174" s="12">
        <f t="shared" si="197"/>
        <v>3.9849901185073677</v>
      </c>
      <c r="V2174" s="30">
        <f t="shared" si="198"/>
        <v>0.44456767123287672</v>
      </c>
      <c r="W2174" s="46">
        <f t="shared" si="202"/>
        <v>-4.0936160401367598E-2</v>
      </c>
      <c r="X2174" s="33">
        <f t="shared" si="199"/>
        <v>2.6747549283496885E-2</v>
      </c>
    </row>
    <row r="2175" spans="19:24" x14ac:dyDescent="0.25">
      <c r="S2175" s="44">
        <f t="shared" si="200"/>
        <v>45225</v>
      </c>
      <c r="T2175" s="12">
        <f t="shared" si="201"/>
        <v>4.0909389578352204</v>
      </c>
      <c r="U2175" s="12">
        <f t="shared" si="197"/>
        <v>3.9823389417825785</v>
      </c>
      <c r="V2175" s="30">
        <f t="shared" si="198"/>
        <v>0.44454027397260276</v>
      </c>
      <c r="W2175" s="46">
        <f t="shared" si="202"/>
        <v>-4.0909389578352197E-2</v>
      </c>
      <c r="X2175" s="33">
        <f t="shared" si="199"/>
        <v>2.6747507771223936E-2</v>
      </c>
    </row>
    <row r="2176" spans="19:24" x14ac:dyDescent="0.25">
      <c r="S2176" s="44">
        <f t="shared" si="200"/>
        <v>45226</v>
      </c>
      <c r="T2176" s="12">
        <f t="shared" si="201"/>
        <v>4.0882618755336795</v>
      </c>
      <c r="U2176" s="12">
        <f t="shared" si="197"/>
        <v>3.9796877650577898</v>
      </c>
      <c r="V2176" s="30">
        <f t="shared" si="198"/>
        <v>0.44451287671232875</v>
      </c>
      <c r="W2176" s="46">
        <f t="shared" si="202"/>
        <v>-4.0882618755336789E-2</v>
      </c>
      <c r="X2176" s="33">
        <f t="shared" si="199"/>
        <v>2.6747466258950994E-2</v>
      </c>
    </row>
    <row r="2177" spans="19:24" x14ac:dyDescent="0.25">
      <c r="S2177" s="44">
        <f t="shared" si="200"/>
        <v>45227</v>
      </c>
      <c r="T2177" s="12">
        <f t="shared" si="201"/>
        <v>4.0855847932321385</v>
      </c>
      <c r="U2177" s="12">
        <f t="shared" si="197"/>
        <v>3.9770365883330006</v>
      </c>
      <c r="V2177" s="30">
        <f t="shared" si="198"/>
        <v>0.44448547945205474</v>
      </c>
      <c r="W2177" s="46">
        <f t="shared" si="202"/>
        <v>-4.0855847932321381E-2</v>
      </c>
      <c r="X2177" s="33">
        <f t="shared" si="199"/>
        <v>2.6747424746678048E-2</v>
      </c>
    </row>
    <row r="2178" spans="19:24" x14ac:dyDescent="0.25">
      <c r="S2178" s="44">
        <f t="shared" si="200"/>
        <v>45228</v>
      </c>
      <c r="T2178" s="12">
        <f t="shared" si="201"/>
        <v>4.0829077109305976</v>
      </c>
      <c r="U2178" s="12">
        <f t="shared" si="197"/>
        <v>3.97438541160821</v>
      </c>
      <c r="V2178" s="30">
        <f t="shared" si="198"/>
        <v>0.44445808219178085</v>
      </c>
      <c r="W2178" s="46">
        <f t="shared" si="202"/>
        <v>-4.0829077109305972E-2</v>
      </c>
      <c r="X2178" s="33">
        <f t="shared" si="199"/>
        <v>2.6747383234405109E-2</v>
      </c>
    </row>
    <row r="2179" spans="19:24" x14ac:dyDescent="0.25">
      <c r="S2179" s="44">
        <f t="shared" si="200"/>
        <v>45229</v>
      </c>
      <c r="T2179" s="12">
        <f t="shared" si="201"/>
        <v>4.0802306286290557</v>
      </c>
      <c r="U2179" s="12">
        <f t="shared" si="197"/>
        <v>3.9717342348834213</v>
      </c>
      <c r="V2179" s="30">
        <f t="shared" si="198"/>
        <v>0.44443068493150684</v>
      </c>
      <c r="W2179" s="46">
        <f t="shared" si="202"/>
        <v>-4.080230628629055E-2</v>
      </c>
      <c r="X2179" s="33">
        <f t="shared" si="199"/>
        <v>2.6747341722132164E-2</v>
      </c>
    </row>
    <row r="2180" spans="19:24" x14ac:dyDescent="0.25">
      <c r="S2180" s="44">
        <f t="shared" si="200"/>
        <v>45230</v>
      </c>
      <c r="T2180" s="12">
        <f t="shared" si="201"/>
        <v>4.0775535463275148</v>
      </c>
      <c r="U2180" s="12">
        <f t="shared" si="197"/>
        <v>3.9690830581586325</v>
      </c>
      <c r="V2180" s="30">
        <f t="shared" si="198"/>
        <v>0.44440328767123283</v>
      </c>
      <c r="W2180" s="46">
        <f t="shared" si="202"/>
        <v>-4.0775535463275142E-2</v>
      </c>
      <c r="X2180" s="33">
        <f t="shared" si="199"/>
        <v>2.6747300209859212E-2</v>
      </c>
    </row>
    <row r="2181" spans="19:24" x14ac:dyDescent="0.25">
      <c r="S2181" s="44">
        <f t="shared" si="200"/>
        <v>45231</v>
      </c>
      <c r="T2181" s="12">
        <f t="shared" si="201"/>
        <v>4.0748764640259729</v>
      </c>
      <c r="U2181" s="12">
        <f t="shared" ref="U2181:U2244" si="203">DurMod($S2181,$B$2,$F$7:$G$37,U$3)</f>
        <v>3.9664318814338424</v>
      </c>
      <c r="V2181" s="30">
        <f t="shared" ref="V2181:V2244" si="204">+$U$3*($S$5512-S2181)/365+$T$3*(S2181-$S$4)/365</f>
        <v>0.44437589041095887</v>
      </c>
      <c r="W2181" s="46">
        <f t="shared" si="202"/>
        <v>-4.074876464025972E-2</v>
      </c>
      <c r="X2181" s="33">
        <f t="shared" ref="X2181:X2244" si="205">+(V2181+W2181)*365/($S$5512-$S$4)</f>
        <v>2.6747258697586273E-2</v>
      </c>
    </row>
    <row r="2182" spans="19:24" x14ac:dyDescent="0.25">
      <c r="S2182" s="44">
        <f t="shared" si="200"/>
        <v>45232</v>
      </c>
      <c r="T2182" s="12">
        <f t="shared" si="201"/>
        <v>4.0721993817244311</v>
      </c>
      <c r="U2182" s="12">
        <f t="shared" si="203"/>
        <v>3.9637807047090545</v>
      </c>
      <c r="V2182" s="30">
        <f t="shared" si="204"/>
        <v>0.44434849315068492</v>
      </c>
      <c r="W2182" s="46">
        <f t="shared" si="202"/>
        <v>-4.0721993817244305E-2</v>
      </c>
      <c r="X2182" s="33">
        <f t="shared" si="205"/>
        <v>2.6747217185313331E-2</v>
      </c>
    </row>
    <row r="2183" spans="19:24" x14ac:dyDescent="0.25">
      <c r="S2183" s="44">
        <f t="shared" si="200"/>
        <v>45233</v>
      </c>
      <c r="T2183" s="12">
        <f t="shared" si="201"/>
        <v>4.069522299422891</v>
      </c>
      <c r="U2183" s="12">
        <f t="shared" si="203"/>
        <v>3.9611295279842644</v>
      </c>
      <c r="V2183" s="30">
        <f t="shared" si="204"/>
        <v>0.44432109589041097</v>
      </c>
      <c r="W2183" s="46">
        <f t="shared" si="202"/>
        <v>-4.0695222994228904E-2</v>
      </c>
      <c r="X2183" s="33">
        <f t="shared" si="205"/>
        <v>2.6747175673040389E-2</v>
      </c>
    </row>
    <row r="2184" spans="19:24" x14ac:dyDescent="0.25">
      <c r="S2184" s="44">
        <f t="shared" si="200"/>
        <v>45234</v>
      </c>
      <c r="T2184" s="12">
        <f t="shared" si="201"/>
        <v>4.0668452171213501</v>
      </c>
      <c r="U2184" s="12">
        <f t="shared" si="203"/>
        <v>3.9584783512594748</v>
      </c>
      <c r="V2184" s="30">
        <f t="shared" si="204"/>
        <v>0.44429369863013701</v>
      </c>
      <c r="W2184" s="46">
        <f t="shared" si="202"/>
        <v>-4.0668452171213496E-2</v>
      </c>
      <c r="X2184" s="33">
        <f t="shared" si="205"/>
        <v>2.6747134160767443E-2</v>
      </c>
    </row>
    <row r="2185" spans="19:24" x14ac:dyDescent="0.25">
      <c r="S2185" s="44">
        <f t="shared" si="200"/>
        <v>45235</v>
      </c>
      <c r="T2185" s="12">
        <f t="shared" si="201"/>
        <v>4.0641681348198082</v>
      </c>
      <c r="U2185" s="12">
        <f t="shared" si="203"/>
        <v>3.955827174534686</v>
      </c>
      <c r="V2185" s="30">
        <f t="shared" si="204"/>
        <v>0.444266301369863</v>
      </c>
      <c r="W2185" s="46">
        <f t="shared" si="202"/>
        <v>-4.0641681348198073E-2</v>
      </c>
      <c r="X2185" s="33">
        <f t="shared" si="205"/>
        <v>2.6747092648494501E-2</v>
      </c>
    </row>
    <row r="2186" spans="19:24" x14ac:dyDescent="0.25">
      <c r="S2186" s="44">
        <f t="shared" si="200"/>
        <v>45236</v>
      </c>
      <c r="T2186" s="12">
        <f t="shared" si="201"/>
        <v>4.0614910525182681</v>
      </c>
      <c r="U2186" s="12">
        <f t="shared" si="203"/>
        <v>3.9531759978098968</v>
      </c>
      <c r="V2186" s="30">
        <f t="shared" si="204"/>
        <v>0.44423890410958899</v>
      </c>
      <c r="W2186" s="46">
        <f t="shared" si="202"/>
        <v>-4.0614910525182672E-2</v>
      </c>
      <c r="X2186" s="33">
        <f t="shared" si="205"/>
        <v>2.6747051136221552E-2</v>
      </c>
    </row>
    <row r="2187" spans="19:24" x14ac:dyDescent="0.25">
      <c r="S2187" s="44">
        <f t="shared" si="200"/>
        <v>45237</v>
      </c>
      <c r="T2187" s="12">
        <f t="shared" si="201"/>
        <v>4.0588139702167254</v>
      </c>
      <c r="U2187" s="12">
        <f t="shared" si="203"/>
        <v>3.9505248210851081</v>
      </c>
      <c r="V2187" s="30">
        <f t="shared" si="204"/>
        <v>0.4442115068493151</v>
      </c>
      <c r="W2187" s="46">
        <f t="shared" si="202"/>
        <v>-4.058813970216725E-2</v>
      </c>
      <c r="X2187" s="33">
        <f t="shared" si="205"/>
        <v>2.6747009623948614E-2</v>
      </c>
    </row>
    <row r="2188" spans="19:24" x14ac:dyDescent="0.25">
      <c r="S2188" s="44">
        <f t="shared" si="200"/>
        <v>45238</v>
      </c>
      <c r="T2188" s="12">
        <f t="shared" si="201"/>
        <v>4.0561368879151853</v>
      </c>
      <c r="U2188" s="12">
        <f t="shared" si="203"/>
        <v>3.947873644360318</v>
      </c>
      <c r="V2188" s="30">
        <f t="shared" si="204"/>
        <v>0.44418410958904109</v>
      </c>
      <c r="W2188" s="46">
        <f t="shared" si="202"/>
        <v>-4.0561368879151849E-2</v>
      </c>
      <c r="X2188" s="33">
        <f t="shared" si="205"/>
        <v>2.6746968111675665E-2</v>
      </c>
    </row>
    <row r="2189" spans="19:24" x14ac:dyDescent="0.25">
      <c r="S2189" s="44">
        <f t="shared" si="200"/>
        <v>45239</v>
      </c>
      <c r="T2189" s="12">
        <f t="shared" si="201"/>
        <v>4.0534598056136444</v>
      </c>
      <c r="U2189" s="12">
        <f t="shared" si="203"/>
        <v>3.9452224676355292</v>
      </c>
      <c r="V2189" s="30">
        <f t="shared" si="204"/>
        <v>0.44415671232876708</v>
      </c>
      <c r="W2189" s="46">
        <f t="shared" si="202"/>
        <v>-4.0534598056136441E-2</v>
      </c>
      <c r="X2189" s="33">
        <f t="shared" si="205"/>
        <v>2.6746926599402719E-2</v>
      </c>
    </row>
    <row r="2190" spans="19:24" x14ac:dyDescent="0.25">
      <c r="S2190" s="44">
        <f t="shared" si="200"/>
        <v>45240</v>
      </c>
      <c r="T2190" s="12">
        <f t="shared" si="201"/>
        <v>4.0507827233121025</v>
      </c>
      <c r="U2190" s="12">
        <f t="shared" si="203"/>
        <v>3.94257129091074</v>
      </c>
      <c r="V2190" s="30">
        <f t="shared" si="204"/>
        <v>0.44412931506849312</v>
      </c>
      <c r="W2190" s="46">
        <f t="shared" si="202"/>
        <v>-4.0507827233121019E-2</v>
      </c>
      <c r="X2190" s="33">
        <f t="shared" si="205"/>
        <v>2.6746885087129777E-2</v>
      </c>
    </row>
    <row r="2191" spans="19:24" x14ac:dyDescent="0.25">
      <c r="S2191" s="44">
        <f t="shared" si="200"/>
        <v>45241</v>
      </c>
      <c r="T2191" s="12">
        <f t="shared" si="201"/>
        <v>4.0481056410105607</v>
      </c>
      <c r="U2191" s="12">
        <f t="shared" si="203"/>
        <v>3.9399201141859503</v>
      </c>
      <c r="V2191" s="30">
        <f t="shared" si="204"/>
        <v>0.44410191780821917</v>
      </c>
      <c r="W2191" s="46">
        <f t="shared" si="202"/>
        <v>-4.0481056410105604E-2</v>
      </c>
      <c r="X2191" s="33">
        <f t="shared" si="205"/>
        <v>2.6746843574856839E-2</v>
      </c>
    </row>
    <row r="2192" spans="19:24" x14ac:dyDescent="0.25">
      <c r="S2192" s="44">
        <f t="shared" si="200"/>
        <v>45242</v>
      </c>
      <c r="T2192" s="12">
        <f t="shared" si="201"/>
        <v>4.0454285587090189</v>
      </c>
      <c r="U2192" s="12">
        <f t="shared" si="203"/>
        <v>3.9372689374611607</v>
      </c>
      <c r="V2192" s="30">
        <f t="shared" si="204"/>
        <v>0.44407452054794522</v>
      </c>
      <c r="W2192" s="46">
        <f t="shared" si="202"/>
        <v>-4.0454285587090182E-2</v>
      </c>
      <c r="X2192" s="33">
        <f t="shared" si="205"/>
        <v>2.6746802062583893E-2</v>
      </c>
    </row>
    <row r="2193" spans="19:24" x14ac:dyDescent="0.25">
      <c r="S2193" s="44">
        <f t="shared" si="200"/>
        <v>45243</v>
      </c>
      <c r="T2193" s="12">
        <f t="shared" si="201"/>
        <v>4.0427514764074779</v>
      </c>
      <c r="U2193" s="12">
        <f t="shared" si="203"/>
        <v>3.9346177607363724</v>
      </c>
      <c r="V2193" s="30">
        <f t="shared" si="204"/>
        <v>0.44404712328767121</v>
      </c>
      <c r="W2193" s="46">
        <f t="shared" si="202"/>
        <v>-4.0427514764074773E-2</v>
      </c>
      <c r="X2193" s="33">
        <f t="shared" si="205"/>
        <v>2.6746760550310951E-2</v>
      </c>
    </row>
    <row r="2194" spans="19:24" x14ac:dyDescent="0.25">
      <c r="S2194" s="44">
        <f t="shared" si="200"/>
        <v>45244</v>
      </c>
      <c r="T2194" s="12">
        <f t="shared" si="201"/>
        <v>4.0400743941059378</v>
      </c>
      <c r="U2194" s="12">
        <f t="shared" si="203"/>
        <v>3.9319665840115814</v>
      </c>
      <c r="V2194" s="30">
        <f t="shared" si="204"/>
        <v>0.44401972602739725</v>
      </c>
      <c r="W2194" s="46">
        <f t="shared" si="202"/>
        <v>-4.0400743941059372E-2</v>
      </c>
      <c r="X2194" s="33">
        <f t="shared" si="205"/>
        <v>2.6746719038038002E-2</v>
      </c>
    </row>
    <row r="2195" spans="19:24" x14ac:dyDescent="0.25">
      <c r="S2195" s="44">
        <f t="shared" si="200"/>
        <v>45245</v>
      </c>
      <c r="T2195" s="12">
        <f t="shared" si="201"/>
        <v>4.0373973118043978</v>
      </c>
      <c r="U2195" s="12">
        <f t="shared" si="203"/>
        <v>3.9293154072867931</v>
      </c>
      <c r="V2195" s="30">
        <f t="shared" si="204"/>
        <v>0.44399232876712325</v>
      </c>
      <c r="W2195" s="46">
        <f t="shared" si="202"/>
        <v>-4.0373973118043971E-2</v>
      </c>
      <c r="X2195" s="33">
        <f t="shared" si="205"/>
        <v>2.6746677525765056E-2</v>
      </c>
    </row>
    <row r="2196" spans="19:24" x14ac:dyDescent="0.25">
      <c r="S2196" s="44">
        <f t="shared" si="200"/>
        <v>45246</v>
      </c>
      <c r="T2196" s="12">
        <f t="shared" si="201"/>
        <v>4.0347202295028559</v>
      </c>
      <c r="U2196" s="12">
        <f t="shared" si="203"/>
        <v>3.9266642305620048</v>
      </c>
      <c r="V2196" s="30">
        <f t="shared" si="204"/>
        <v>0.44396493150684935</v>
      </c>
      <c r="W2196" s="46">
        <f t="shared" si="202"/>
        <v>-4.0347202295028556E-2</v>
      </c>
      <c r="X2196" s="33">
        <f t="shared" si="205"/>
        <v>2.6746636013492118E-2</v>
      </c>
    </row>
    <row r="2197" spans="19:24" x14ac:dyDescent="0.25">
      <c r="S2197" s="44">
        <f t="shared" si="200"/>
        <v>45247</v>
      </c>
      <c r="T2197" s="12">
        <f t="shared" si="201"/>
        <v>4.0320431472013141</v>
      </c>
      <c r="U2197" s="12">
        <f t="shared" si="203"/>
        <v>3.9240130538372138</v>
      </c>
      <c r="V2197" s="30">
        <f t="shared" si="204"/>
        <v>0.44393753424657534</v>
      </c>
      <c r="W2197" s="46">
        <f t="shared" si="202"/>
        <v>-4.0320431472013134E-2</v>
      </c>
      <c r="X2197" s="33">
        <f t="shared" si="205"/>
        <v>2.6746594501219172E-2</v>
      </c>
    </row>
    <row r="2198" spans="19:24" x14ac:dyDescent="0.25">
      <c r="S2198" s="44">
        <f t="shared" si="200"/>
        <v>45248</v>
      </c>
      <c r="T2198" s="12">
        <f t="shared" si="201"/>
        <v>4.0293660648997731</v>
      </c>
      <c r="U2198" s="12">
        <f t="shared" si="203"/>
        <v>3.9213618771124255</v>
      </c>
      <c r="V2198" s="30">
        <f t="shared" si="204"/>
        <v>0.44391013698630144</v>
      </c>
      <c r="W2198" s="46">
        <f t="shared" si="202"/>
        <v>-4.0293660648997726E-2</v>
      </c>
      <c r="X2198" s="33">
        <f t="shared" si="205"/>
        <v>2.674655298894623E-2</v>
      </c>
    </row>
    <row r="2199" spans="19:24" x14ac:dyDescent="0.25">
      <c r="S2199" s="44">
        <f t="shared" si="200"/>
        <v>45249</v>
      </c>
      <c r="T2199" s="12">
        <f t="shared" si="201"/>
        <v>4.0266889825982304</v>
      </c>
      <c r="U2199" s="12">
        <f t="shared" si="203"/>
        <v>3.9187107003876349</v>
      </c>
      <c r="V2199" s="30">
        <f t="shared" si="204"/>
        <v>0.44388273972602743</v>
      </c>
      <c r="W2199" s="46">
        <f t="shared" si="202"/>
        <v>-4.0266889825982297E-2</v>
      </c>
      <c r="X2199" s="33">
        <f t="shared" si="205"/>
        <v>2.6746511476673288E-2</v>
      </c>
    </row>
    <row r="2200" spans="19:24" x14ac:dyDescent="0.25">
      <c r="S2200" s="44">
        <f t="shared" si="200"/>
        <v>45250</v>
      </c>
      <c r="T2200" s="12">
        <f t="shared" si="201"/>
        <v>4.0240119002966903</v>
      </c>
      <c r="U2200" s="12">
        <f t="shared" si="203"/>
        <v>3.9160595236628462</v>
      </c>
      <c r="V2200" s="30">
        <f t="shared" si="204"/>
        <v>0.44385534246575342</v>
      </c>
      <c r="W2200" s="46">
        <f t="shared" si="202"/>
        <v>-4.0240119002966895E-2</v>
      </c>
      <c r="X2200" s="33">
        <f t="shared" si="205"/>
        <v>2.6746469964400346E-2</v>
      </c>
    </row>
    <row r="2201" spans="19:24" x14ac:dyDescent="0.25">
      <c r="S2201" s="44">
        <f t="shared" si="200"/>
        <v>45251</v>
      </c>
      <c r="T2201" s="12">
        <f t="shared" si="201"/>
        <v>4.0213348179951485</v>
      </c>
      <c r="U2201" s="12">
        <f t="shared" si="203"/>
        <v>3.9134083469380556</v>
      </c>
      <c r="V2201" s="30">
        <f t="shared" si="204"/>
        <v>0.44382794520547941</v>
      </c>
      <c r="W2201" s="46">
        <f t="shared" si="202"/>
        <v>-4.021334817995148E-2</v>
      </c>
      <c r="X2201" s="33">
        <f t="shared" si="205"/>
        <v>2.6746428452127394E-2</v>
      </c>
    </row>
    <row r="2202" spans="19:24" x14ac:dyDescent="0.25">
      <c r="S2202" s="44">
        <f t="shared" si="200"/>
        <v>45252</v>
      </c>
      <c r="T2202" s="12">
        <f t="shared" si="201"/>
        <v>4.0186577356936084</v>
      </c>
      <c r="U2202" s="12">
        <f t="shared" si="203"/>
        <v>3.9107571702132682</v>
      </c>
      <c r="V2202" s="30">
        <f t="shared" si="204"/>
        <v>0.44380054794520551</v>
      </c>
      <c r="W2202" s="46">
        <f t="shared" si="202"/>
        <v>-4.0186577356936079E-2</v>
      </c>
      <c r="X2202" s="33">
        <f t="shared" si="205"/>
        <v>2.6746386939854455E-2</v>
      </c>
    </row>
    <row r="2203" spans="19:24" x14ac:dyDescent="0.25">
      <c r="S2203" s="44">
        <f t="shared" si="200"/>
        <v>45253</v>
      </c>
      <c r="T2203" s="12">
        <f t="shared" si="201"/>
        <v>4.0159806533920657</v>
      </c>
      <c r="U2203" s="12">
        <f t="shared" si="203"/>
        <v>3.9081059934884772</v>
      </c>
      <c r="V2203" s="30">
        <f t="shared" si="204"/>
        <v>0.44377315068493151</v>
      </c>
      <c r="W2203" s="46">
        <f t="shared" si="202"/>
        <v>-4.015980653392065E-2</v>
      </c>
      <c r="X2203" s="33">
        <f t="shared" si="205"/>
        <v>2.674634542758151E-2</v>
      </c>
    </row>
    <row r="2204" spans="19:24" x14ac:dyDescent="0.25">
      <c r="S2204" s="44">
        <f t="shared" si="200"/>
        <v>45254</v>
      </c>
      <c r="T2204" s="12">
        <f t="shared" si="201"/>
        <v>4.0133035710905247</v>
      </c>
      <c r="U2204" s="12">
        <f t="shared" si="203"/>
        <v>3.9054548167636898</v>
      </c>
      <c r="V2204" s="30">
        <f t="shared" si="204"/>
        <v>0.44374575342465755</v>
      </c>
      <c r="W2204" s="46">
        <f t="shared" si="202"/>
        <v>-4.0133035710905242E-2</v>
      </c>
      <c r="X2204" s="33">
        <f t="shared" si="205"/>
        <v>2.6746303915308568E-2</v>
      </c>
    </row>
    <row r="2205" spans="19:24" x14ac:dyDescent="0.25">
      <c r="S2205" s="44">
        <f t="shared" si="200"/>
        <v>45255</v>
      </c>
      <c r="T2205" s="12">
        <f t="shared" si="201"/>
        <v>4.0106264887889855</v>
      </c>
      <c r="U2205" s="12">
        <f t="shared" si="203"/>
        <v>3.9028036400388997</v>
      </c>
      <c r="V2205" s="30">
        <f t="shared" si="204"/>
        <v>0.44371835616438354</v>
      </c>
      <c r="W2205" s="46">
        <f t="shared" si="202"/>
        <v>-4.0106264887889848E-2</v>
      </c>
      <c r="X2205" s="33">
        <f t="shared" si="205"/>
        <v>2.6746262403035619E-2</v>
      </c>
    </row>
    <row r="2206" spans="19:24" x14ac:dyDescent="0.25">
      <c r="S2206" s="44">
        <f t="shared" si="200"/>
        <v>45256</v>
      </c>
      <c r="T2206" s="12">
        <f t="shared" si="201"/>
        <v>4.0079494064874419</v>
      </c>
      <c r="U2206" s="12">
        <f t="shared" si="203"/>
        <v>3.9001524633141114</v>
      </c>
      <c r="V2206" s="30">
        <f t="shared" si="204"/>
        <v>0.44369095890410959</v>
      </c>
      <c r="W2206" s="46">
        <f t="shared" si="202"/>
        <v>-4.0079494064874412E-2</v>
      </c>
      <c r="X2206" s="33">
        <f t="shared" si="205"/>
        <v>2.6746220890762677E-2</v>
      </c>
    </row>
    <row r="2207" spans="19:24" x14ac:dyDescent="0.25">
      <c r="S2207" s="44">
        <f t="shared" si="200"/>
        <v>45257</v>
      </c>
      <c r="T2207" s="12">
        <f t="shared" si="201"/>
        <v>4.005272324185901</v>
      </c>
      <c r="U2207" s="12">
        <f t="shared" si="203"/>
        <v>3.8975012865893217</v>
      </c>
      <c r="V2207" s="30">
        <f t="shared" si="204"/>
        <v>0.44366356164383564</v>
      </c>
      <c r="W2207" s="46">
        <f t="shared" si="202"/>
        <v>-4.0052723241859003E-2</v>
      </c>
      <c r="X2207" s="33">
        <f t="shared" si="205"/>
        <v>2.6746179378489738E-2</v>
      </c>
    </row>
    <row r="2208" spans="19:24" x14ac:dyDescent="0.25">
      <c r="S2208" s="44">
        <f t="shared" si="200"/>
        <v>45258</v>
      </c>
      <c r="T2208" s="12">
        <f t="shared" si="201"/>
        <v>4.00259524188436</v>
      </c>
      <c r="U2208" s="12">
        <f t="shared" si="203"/>
        <v>3.8948501098645321</v>
      </c>
      <c r="V2208" s="30">
        <f t="shared" si="204"/>
        <v>0.44363616438356168</v>
      </c>
      <c r="W2208" s="46">
        <f t="shared" si="202"/>
        <v>-4.0025952418843595E-2</v>
      </c>
      <c r="X2208" s="33">
        <f t="shared" si="205"/>
        <v>2.6746137866216796E-2</v>
      </c>
    </row>
    <row r="2209" spans="19:24" x14ac:dyDescent="0.25">
      <c r="S2209" s="44">
        <f t="shared" si="200"/>
        <v>45259</v>
      </c>
      <c r="T2209" s="12">
        <f t="shared" si="201"/>
        <v>3.9999181595828186</v>
      </c>
      <c r="U2209" s="12">
        <f t="shared" si="203"/>
        <v>3.8921989331397429</v>
      </c>
      <c r="V2209" s="30">
        <f t="shared" si="204"/>
        <v>0.44360876712328767</v>
      </c>
      <c r="W2209" s="46">
        <f t="shared" si="202"/>
        <v>-3.999918159582818E-2</v>
      </c>
      <c r="X2209" s="33">
        <f t="shared" si="205"/>
        <v>2.6746096353943847E-2</v>
      </c>
    </row>
    <row r="2210" spans="19:24" x14ac:dyDescent="0.25">
      <c r="S2210" s="44">
        <f t="shared" ref="S2210:S2273" si="206">+S2209+1</f>
        <v>45260</v>
      </c>
      <c r="T2210" s="12">
        <f t="shared" ref="T2210:T2273" si="207">DurMod(S2210,B$2,$F$7:$G$37,$T$3)</f>
        <v>3.9972410772812785</v>
      </c>
      <c r="U2210" s="12">
        <f t="shared" si="203"/>
        <v>3.8895477564149541</v>
      </c>
      <c r="V2210" s="30">
        <f t="shared" si="204"/>
        <v>0.44358136986301366</v>
      </c>
      <c r="W2210" s="46">
        <f t="shared" ref="W2210:W2273" si="208">+-T2210*($U$3-$T$3)</f>
        <v>-3.9972410772812779E-2</v>
      </c>
      <c r="X2210" s="33">
        <f t="shared" si="205"/>
        <v>2.6746054841670901E-2</v>
      </c>
    </row>
    <row r="2211" spans="19:24" x14ac:dyDescent="0.25">
      <c r="S2211" s="44">
        <f t="shared" si="206"/>
        <v>45261</v>
      </c>
      <c r="T2211" s="12">
        <f t="shared" si="207"/>
        <v>3.9945639949797362</v>
      </c>
      <c r="U2211" s="12">
        <f t="shared" si="203"/>
        <v>3.886896579690164</v>
      </c>
      <c r="V2211" s="30">
        <f t="shared" si="204"/>
        <v>0.44355397260273977</v>
      </c>
      <c r="W2211" s="46">
        <f t="shared" si="208"/>
        <v>-3.9945639949797357E-2</v>
      </c>
      <c r="X2211" s="33">
        <f t="shared" si="205"/>
        <v>2.6746013329397963E-2</v>
      </c>
    </row>
    <row r="2212" spans="19:24" x14ac:dyDescent="0.25">
      <c r="S2212" s="44">
        <f t="shared" si="206"/>
        <v>45262</v>
      </c>
      <c r="T2212" s="12">
        <f t="shared" si="207"/>
        <v>3.9918869126781966</v>
      </c>
      <c r="U2212" s="12">
        <f t="shared" si="203"/>
        <v>3.8842454029653743</v>
      </c>
      <c r="V2212" s="30">
        <f t="shared" si="204"/>
        <v>0.44352657534246576</v>
      </c>
      <c r="W2212" s="46">
        <f t="shared" si="208"/>
        <v>-3.9918869126781963E-2</v>
      </c>
      <c r="X2212" s="33">
        <f t="shared" si="205"/>
        <v>2.6745971817125017E-2</v>
      </c>
    </row>
    <row r="2213" spans="19:24" x14ac:dyDescent="0.25">
      <c r="S2213" s="44">
        <f t="shared" si="206"/>
        <v>45263</v>
      </c>
      <c r="T2213" s="12">
        <f t="shared" si="207"/>
        <v>3.9892098303766552</v>
      </c>
      <c r="U2213" s="12">
        <f t="shared" si="203"/>
        <v>3.881594226240586</v>
      </c>
      <c r="V2213" s="30">
        <f t="shared" si="204"/>
        <v>0.44349917808219175</v>
      </c>
      <c r="W2213" s="46">
        <f t="shared" si="208"/>
        <v>-3.9892098303766547E-2</v>
      </c>
      <c r="X2213" s="33">
        <f t="shared" si="205"/>
        <v>2.6745930304852068E-2</v>
      </c>
    </row>
    <row r="2214" spans="19:24" x14ac:dyDescent="0.25">
      <c r="S2214" s="44">
        <f t="shared" si="206"/>
        <v>45264</v>
      </c>
      <c r="T2214" s="12">
        <f t="shared" si="207"/>
        <v>3.9865327480751138</v>
      </c>
      <c r="U2214" s="12">
        <f t="shared" si="203"/>
        <v>3.878943049515795</v>
      </c>
      <c r="V2214" s="30">
        <f t="shared" si="204"/>
        <v>0.44347178082191779</v>
      </c>
      <c r="W2214" s="46">
        <f t="shared" si="208"/>
        <v>-3.9865327480751132E-2</v>
      </c>
      <c r="X2214" s="33">
        <f t="shared" si="205"/>
        <v>2.6745888792579126E-2</v>
      </c>
    </row>
    <row r="2215" spans="19:24" x14ac:dyDescent="0.25">
      <c r="S2215" s="44">
        <f t="shared" si="206"/>
        <v>45265</v>
      </c>
      <c r="T2215" s="12">
        <f t="shared" si="207"/>
        <v>3.983855665773572</v>
      </c>
      <c r="U2215" s="12">
        <f t="shared" si="203"/>
        <v>3.8762918727910063</v>
      </c>
      <c r="V2215" s="30">
        <f t="shared" si="204"/>
        <v>0.44344438356164384</v>
      </c>
      <c r="W2215" s="46">
        <f t="shared" si="208"/>
        <v>-3.983855665773571E-2</v>
      </c>
      <c r="X2215" s="33">
        <f t="shared" si="205"/>
        <v>2.6745847280306184E-2</v>
      </c>
    </row>
    <row r="2216" spans="19:24" x14ac:dyDescent="0.25">
      <c r="S2216" s="44">
        <f t="shared" si="206"/>
        <v>45266</v>
      </c>
      <c r="T2216" s="12">
        <f t="shared" si="207"/>
        <v>3.9811785834720315</v>
      </c>
      <c r="U2216" s="12">
        <f t="shared" si="203"/>
        <v>3.8736406960662184</v>
      </c>
      <c r="V2216" s="30">
        <f t="shared" si="204"/>
        <v>0.44341698630136989</v>
      </c>
      <c r="W2216" s="46">
        <f t="shared" si="208"/>
        <v>-3.9811785834720309E-2</v>
      </c>
      <c r="X2216" s="33">
        <f t="shared" si="205"/>
        <v>2.6745805768033242E-2</v>
      </c>
    </row>
    <row r="2217" spans="19:24" x14ac:dyDescent="0.25">
      <c r="S2217" s="44">
        <f t="shared" si="206"/>
        <v>45267</v>
      </c>
      <c r="T2217" s="12">
        <f t="shared" si="207"/>
        <v>3.9785015011704901</v>
      </c>
      <c r="U2217" s="12">
        <f t="shared" si="203"/>
        <v>3.870989519341427</v>
      </c>
      <c r="V2217" s="30">
        <f t="shared" si="204"/>
        <v>0.44338958904109588</v>
      </c>
      <c r="W2217" s="46">
        <f t="shared" si="208"/>
        <v>-3.9785015011704894E-2</v>
      </c>
      <c r="X2217" s="33">
        <f t="shared" si="205"/>
        <v>2.6745764255760297E-2</v>
      </c>
    </row>
    <row r="2218" spans="19:24" x14ac:dyDescent="0.25">
      <c r="S2218" s="44">
        <f t="shared" si="206"/>
        <v>45268</v>
      </c>
      <c r="T2218" s="12">
        <f t="shared" si="207"/>
        <v>3.9758244188689491</v>
      </c>
      <c r="U2218" s="12">
        <f t="shared" si="203"/>
        <v>3.8683383426166387</v>
      </c>
      <c r="V2218" s="30">
        <f t="shared" si="204"/>
        <v>0.44336219178082192</v>
      </c>
      <c r="W2218" s="46">
        <f t="shared" si="208"/>
        <v>-3.9758244188689486E-2</v>
      </c>
      <c r="X2218" s="33">
        <f t="shared" si="205"/>
        <v>2.6745722743487355E-2</v>
      </c>
    </row>
    <row r="2219" spans="19:24" x14ac:dyDescent="0.25">
      <c r="S2219" s="44">
        <f t="shared" si="206"/>
        <v>45269</v>
      </c>
      <c r="T2219" s="12">
        <f t="shared" si="207"/>
        <v>3.9731473365674064</v>
      </c>
      <c r="U2219" s="12">
        <f t="shared" si="203"/>
        <v>3.8656871658918512</v>
      </c>
      <c r="V2219" s="30">
        <f t="shared" si="204"/>
        <v>0.44333479452054791</v>
      </c>
      <c r="W2219" s="46">
        <f t="shared" si="208"/>
        <v>-3.9731473365674057E-2</v>
      </c>
      <c r="X2219" s="33">
        <f t="shared" si="205"/>
        <v>2.6745681231214406E-2</v>
      </c>
    </row>
    <row r="2220" spans="19:24" x14ac:dyDescent="0.25">
      <c r="S2220" s="44">
        <f t="shared" si="206"/>
        <v>45270</v>
      </c>
      <c r="T2220" s="12">
        <f t="shared" si="207"/>
        <v>3.9704702542658672</v>
      </c>
      <c r="U2220" s="12">
        <f t="shared" si="203"/>
        <v>3.8630359891670598</v>
      </c>
      <c r="V2220" s="30">
        <f t="shared" si="204"/>
        <v>0.44330739726027402</v>
      </c>
      <c r="W2220" s="46">
        <f t="shared" si="208"/>
        <v>-3.9704702542658663E-2</v>
      </c>
      <c r="X2220" s="33">
        <f t="shared" si="205"/>
        <v>2.6745639718941464E-2</v>
      </c>
    </row>
    <row r="2221" spans="19:24" x14ac:dyDescent="0.25">
      <c r="S2221" s="44">
        <f t="shared" si="206"/>
        <v>45271</v>
      </c>
      <c r="T2221" s="12">
        <f t="shared" si="207"/>
        <v>3.9677931719643249</v>
      </c>
      <c r="U2221" s="12">
        <f t="shared" si="203"/>
        <v>3.8603848124422706</v>
      </c>
      <c r="V2221" s="30">
        <f t="shared" si="204"/>
        <v>0.44328000000000001</v>
      </c>
      <c r="W2221" s="46">
        <f t="shared" si="208"/>
        <v>-3.967793171964324E-2</v>
      </c>
      <c r="X2221" s="33">
        <f t="shared" si="205"/>
        <v>2.6745598206668521E-2</v>
      </c>
    </row>
    <row r="2222" spans="19:24" x14ac:dyDescent="0.25">
      <c r="S2222" s="44">
        <f t="shared" si="206"/>
        <v>45272</v>
      </c>
      <c r="T2222" s="12">
        <f t="shared" si="207"/>
        <v>3.9651160896627848</v>
      </c>
      <c r="U2222" s="12">
        <f t="shared" si="203"/>
        <v>3.8577336357174823</v>
      </c>
      <c r="V2222" s="30">
        <f t="shared" si="204"/>
        <v>0.443252602739726</v>
      </c>
      <c r="W2222" s="46">
        <f t="shared" si="208"/>
        <v>-3.9651160896627839E-2</v>
      </c>
      <c r="X2222" s="33">
        <f t="shared" si="205"/>
        <v>2.6745556694395576E-2</v>
      </c>
    </row>
    <row r="2223" spans="19:24" x14ac:dyDescent="0.25">
      <c r="S2223" s="44">
        <f t="shared" si="206"/>
        <v>45273</v>
      </c>
      <c r="T2223" s="12">
        <f t="shared" si="207"/>
        <v>3.9624390073612425</v>
      </c>
      <c r="U2223" s="12">
        <f t="shared" si="203"/>
        <v>3.8550824589926922</v>
      </c>
      <c r="V2223" s="30">
        <f t="shared" si="204"/>
        <v>0.44322520547945199</v>
      </c>
      <c r="W2223" s="46">
        <f t="shared" si="208"/>
        <v>-3.9624390073612417E-2</v>
      </c>
      <c r="X2223" s="33">
        <f t="shared" si="205"/>
        <v>2.6745515182122627E-2</v>
      </c>
    </row>
    <row r="2224" spans="19:24" x14ac:dyDescent="0.25">
      <c r="S2224" s="44">
        <f t="shared" si="206"/>
        <v>45274</v>
      </c>
      <c r="T2224" s="12">
        <f t="shared" si="207"/>
        <v>3.9597619250597025</v>
      </c>
      <c r="U2224" s="12">
        <f t="shared" si="203"/>
        <v>3.8524312822679034</v>
      </c>
      <c r="V2224" s="30">
        <f t="shared" si="204"/>
        <v>0.44319780821917804</v>
      </c>
      <c r="W2224" s="46">
        <f t="shared" si="208"/>
        <v>-3.9597619250597016E-2</v>
      </c>
      <c r="X2224" s="33">
        <f t="shared" si="205"/>
        <v>2.6745473669849685E-2</v>
      </c>
    </row>
    <row r="2225" spans="19:24" x14ac:dyDescent="0.25">
      <c r="S2225" s="44">
        <f t="shared" si="206"/>
        <v>45275</v>
      </c>
      <c r="T2225" s="12">
        <f t="shared" si="207"/>
        <v>4.2445844802957531</v>
      </c>
      <c r="U2225" s="12">
        <f t="shared" si="203"/>
        <v>4.1414602501632887</v>
      </c>
      <c r="V2225" s="30">
        <f t="shared" si="204"/>
        <v>0.44317041095890408</v>
      </c>
      <c r="W2225" s="46">
        <f t="shared" si="208"/>
        <v>-4.2445844802957523E-2</v>
      </c>
      <c r="X2225" s="33">
        <f t="shared" si="205"/>
        <v>2.6554914060806189E-2</v>
      </c>
    </row>
    <row r="2226" spans="19:24" x14ac:dyDescent="0.25">
      <c r="S2226" s="44">
        <f t="shared" si="206"/>
        <v>45276</v>
      </c>
      <c r="T2226" s="12">
        <f t="shared" si="207"/>
        <v>4.2419073979942103</v>
      </c>
      <c r="U2226" s="12">
        <f t="shared" si="203"/>
        <v>4.1388090734384981</v>
      </c>
      <c r="V2226" s="30">
        <f t="shared" si="204"/>
        <v>0.44314301369863018</v>
      </c>
      <c r="W2226" s="46">
        <f t="shared" si="208"/>
        <v>-4.2419073979942094E-2</v>
      </c>
      <c r="X2226" s="33">
        <f t="shared" si="205"/>
        <v>2.655487254853325E-2</v>
      </c>
    </row>
    <row r="2227" spans="19:24" x14ac:dyDescent="0.25">
      <c r="S2227" s="44">
        <f t="shared" si="206"/>
        <v>45277</v>
      </c>
      <c r="T2227" s="12">
        <f t="shared" si="207"/>
        <v>4.2392303156926694</v>
      </c>
      <c r="U2227" s="12">
        <f t="shared" si="203"/>
        <v>4.1361578967137076</v>
      </c>
      <c r="V2227" s="30">
        <f t="shared" si="204"/>
        <v>0.44311561643835617</v>
      </c>
      <c r="W2227" s="46">
        <f t="shared" si="208"/>
        <v>-4.2392303156926686E-2</v>
      </c>
      <c r="X2227" s="33">
        <f t="shared" si="205"/>
        <v>2.6554831036260308E-2</v>
      </c>
    </row>
    <row r="2228" spans="19:24" x14ac:dyDescent="0.25">
      <c r="S2228" s="44">
        <f t="shared" si="206"/>
        <v>45278</v>
      </c>
      <c r="T2228" s="12">
        <f t="shared" si="207"/>
        <v>4.2365532333911275</v>
      </c>
      <c r="U2228" s="12">
        <f t="shared" si="203"/>
        <v>4.1335067199889215</v>
      </c>
      <c r="V2228" s="30">
        <f t="shared" si="204"/>
        <v>0.44308821917808217</v>
      </c>
      <c r="W2228" s="46">
        <f t="shared" si="208"/>
        <v>-4.2365532333911271E-2</v>
      </c>
      <c r="X2228" s="33">
        <f t="shared" si="205"/>
        <v>2.6554789523987363E-2</v>
      </c>
    </row>
    <row r="2229" spans="19:24" x14ac:dyDescent="0.25">
      <c r="S2229" s="44">
        <f t="shared" si="206"/>
        <v>45279</v>
      </c>
      <c r="T2229" s="12">
        <f t="shared" si="207"/>
        <v>4.2338761510895866</v>
      </c>
      <c r="U2229" s="12">
        <f t="shared" si="203"/>
        <v>4.1308555432641301</v>
      </c>
      <c r="V2229" s="30">
        <f t="shared" si="204"/>
        <v>0.44306082191780827</v>
      </c>
      <c r="W2229" s="46">
        <f t="shared" si="208"/>
        <v>-4.2338761510895863E-2</v>
      </c>
      <c r="X2229" s="33">
        <f t="shared" si="205"/>
        <v>2.6554748011714421E-2</v>
      </c>
    </row>
    <row r="2230" spans="19:24" x14ac:dyDescent="0.25">
      <c r="S2230" s="44">
        <f t="shared" si="206"/>
        <v>45280</v>
      </c>
      <c r="T2230" s="12">
        <f t="shared" si="207"/>
        <v>4.2311990687880465</v>
      </c>
      <c r="U2230" s="12">
        <f t="shared" si="203"/>
        <v>4.1282043665393404</v>
      </c>
      <c r="V2230" s="30">
        <f t="shared" si="204"/>
        <v>0.44303342465753426</v>
      </c>
      <c r="W2230" s="46">
        <f t="shared" si="208"/>
        <v>-4.2311990687880462E-2</v>
      </c>
      <c r="X2230" s="33">
        <f t="shared" si="205"/>
        <v>2.6554706499441472E-2</v>
      </c>
    </row>
    <row r="2231" spans="19:24" x14ac:dyDescent="0.25">
      <c r="S2231" s="44">
        <f t="shared" si="206"/>
        <v>45281</v>
      </c>
      <c r="T2231" s="12">
        <f t="shared" si="207"/>
        <v>4.2285219864865038</v>
      </c>
      <c r="U2231" s="12">
        <f t="shared" si="203"/>
        <v>4.1255531898145525</v>
      </c>
      <c r="V2231" s="30">
        <f t="shared" si="204"/>
        <v>0.44300602739726025</v>
      </c>
      <c r="W2231" s="46">
        <f t="shared" si="208"/>
        <v>-4.2285219864865033E-2</v>
      </c>
      <c r="X2231" s="33">
        <f t="shared" si="205"/>
        <v>2.6554664987168526E-2</v>
      </c>
    </row>
    <row r="2232" spans="19:24" x14ac:dyDescent="0.25">
      <c r="S2232" s="44">
        <f t="shared" si="206"/>
        <v>45282</v>
      </c>
      <c r="T2232" s="12">
        <f t="shared" si="207"/>
        <v>4.2258449041849628</v>
      </c>
      <c r="U2232" s="12">
        <f t="shared" si="203"/>
        <v>4.122902013089762</v>
      </c>
      <c r="V2232" s="30">
        <f t="shared" si="204"/>
        <v>0.4429786301369863</v>
      </c>
      <c r="W2232" s="46">
        <f t="shared" si="208"/>
        <v>-4.2258449041849624E-2</v>
      </c>
      <c r="X2232" s="33">
        <f t="shared" si="205"/>
        <v>2.6554623474895588E-2</v>
      </c>
    </row>
    <row r="2233" spans="19:24" x14ac:dyDescent="0.25">
      <c r="S2233" s="44">
        <f t="shared" si="206"/>
        <v>45283</v>
      </c>
      <c r="T2233" s="12">
        <f t="shared" si="207"/>
        <v>4.2231678218834228</v>
      </c>
      <c r="U2233" s="12">
        <f t="shared" si="203"/>
        <v>4.120250836364975</v>
      </c>
      <c r="V2233" s="30">
        <f t="shared" si="204"/>
        <v>0.44295123287671229</v>
      </c>
      <c r="W2233" s="46">
        <f t="shared" si="208"/>
        <v>-4.2231678218834223E-2</v>
      </c>
      <c r="X2233" s="33">
        <f t="shared" si="205"/>
        <v>2.6554581962622635E-2</v>
      </c>
    </row>
    <row r="2234" spans="19:24" x14ac:dyDescent="0.25">
      <c r="S2234" s="44">
        <f t="shared" si="206"/>
        <v>45284</v>
      </c>
      <c r="T2234" s="12">
        <f t="shared" si="207"/>
        <v>4.2204907395818818</v>
      </c>
      <c r="U2234" s="12">
        <f t="shared" si="203"/>
        <v>4.1175996596401836</v>
      </c>
      <c r="V2234" s="30">
        <f t="shared" si="204"/>
        <v>0.44292383561643833</v>
      </c>
      <c r="W2234" s="46">
        <f t="shared" si="208"/>
        <v>-4.2204907395818815E-2</v>
      </c>
      <c r="X2234" s="33">
        <f t="shared" si="205"/>
        <v>2.6554540450349693E-2</v>
      </c>
    </row>
    <row r="2235" spans="19:24" x14ac:dyDescent="0.25">
      <c r="S2235" s="44">
        <f t="shared" si="206"/>
        <v>45285</v>
      </c>
      <c r="T2235" s="12">
        <f t="shared" si="207"/>
        <v>4.2178136572803391</v>
      </c>
      <c r="U2235" s="12">
        <f t="shared" si="203"/>
        <v>4.1149484829153948</v>
      </c>
      <c r="V2235" s="30">
        <f t="shared" si="204"/>
        <v>0.44289643835616438</v>
      </c>
      <c r="W2235" s="46">
        <f t="shared" si="208"/>
        <v>-4.2178136572803386E-2</v>
      </c>
      <c r="X2235" s="33">
        <f t="shared" si="205"/>
        <v>2.6554498938076751E-2</v>
      </c>
    </row>
    <row r="2236" spans="19:24" x14ac:dyDescent="0.25">
      <c r="S2236" s="44">
        <f t="shared" si="206"/>
        <v>45286</v>
      </c>
      <c r="T2236" s="12">
        <f t="shared" si="207"/>
        <v>4.215136574978799</v>
      </c>
      <c r="U2236" s="12">
        <f t="shared" si="203"/>
        <v>4.1122973061906052</v>
      </c>
      <c r="V2236" s="30">
        <f t="shared" si="204"/>
        <v>0.44286904109589037</v>
      </c>
      <c r="W2236" s="46">
        <f t="shared" si="208"/>
        <v>-4.2151365749787985E-2</v>
      </c>
      <c r="X2236" s="33">
        <f t="shared" si="205"/>
        <v>2.6554457425803805E-2</v>
      </c>
    </row>
    <row r="2237" spans="19:24" x14ac:dyDescent="0.25">
      <c r="S2237" s="44">
        <f t="shared" si="206"/>
        <v>45287</v>
      </c>
      <c r="T2237" s="12">
        <f t="shared" si="207"/>
        <v>4.2124594926772589</v>
      </c>
      <c r="U2237" s="12">
        <f t="shared" si="203"/>
        <v>4.1096461294658164</v>
      </c>
      <c r="V2237" s="30">
        <f t="shared" si="204"/>
        <v>0.44284164383561642</v>
      </c>
      <c r="W2237" s="46">
        <f t="shared" si="208"/>
        <v>-4.2124594926772584E-2</v>
      </c>
      <c r="X2237" s="33">
        <f t="shared" si="205"/>
        <v>2.6554415913530863E-2</v>
      </c>
    </row>
    <row r="2238" spans="19:24" x14ac:dyDescent="0.25">
      <c r="S2238" s="44">
        <f t="shared" si="206"/>
        <v>45288</v>
      </c>
      <c r="T2238" s="12">
        <f t="shared" si="207"/>
        <v>4.2097824103757171</v>
      </c>
      <c r="U2238" s="12">
        <f t="shared" si="203"/>
        <v>4.1069949527410277</v>
      </c>
      <c r="V2238" s="30">
        <f t="shared" si="204"/>
        <v>0.44281424657534252</v>
      </c>
      <c r="W2238" s="46">
        <f t="shared" si="208"/>
        <v>-4.2097824103757162E-2</v>
      </c>
      <c r="X2238" s="33">
        <f t="shared" si="205"/>
        <v>2.6554374401257925E-2</v>
      </c>
    </row>
    <row r="2239" spans="19:24" x14ac:dyDescent="0.25">
      <c r="S2239" s="44">
        <f t="shared" si="206"/>
        <v>45289</v>
      </c>
      <c r="T2239" s="12">
        <f t="shared" si="207"/>
        <v>4.2071053280741761</v>
      </c>
      <c r="U2239" s="12">
        <f t="shared" si="203"/>
        <v>4.104343776016238</v>
      </c>
      <c r="V2239" s="30">
        <f t="shared" si="204"/>
        <v>0.44278684931506851</v>
      </c>
      <c r="W2239" s="46">
        <f t="shared" si="208"/>
        <v>-4.2071053280741753E-2</v>
      </c>
      <c r="X2239" s="33">
        <f t="shared" si="205"/>
        <v>2.6554332888984979E-2</v>
      </c>
    </row>
    <row r="2240" spans="19:24" x14ac:dyDescent="0.25">
      <c r="S2240" s="44">
        <f t="shared" si="206"/>
        <v>45290</v>
      </c>
      <c r="T2240" s="12">
        <f t="shared" si="207"/>
        <v>4.2044282457726343</v>
      </c>
      <c r="U2240" s="12">
        <f t="shared" si="203"/>
        <v>4.1016925992914484</v>
      </c>
      <c r="V2240" s="30">
        <f t="shared" si="204"/>
        <v>0.44275945205479456</v>
      </c>
      <c r="W2240" s="46">
        <f t="shared" si="208"/>
        <v>-4.2044282457726338E-2</v>
      </c>
      <c r="X2240" s="33">
        <f t="shared" si="205"/>
        <v>2.6554291376712037E-2</v>
      </c>
    </row>
    <row r="2241" spans="19:24" x14ac:dyDescent="0.25">
      <c r="S2241" s="44">
        <f t="shared" si="206"/>
        <v>45291</v>
      </c>
      <c r="T2241" s="12">
        <f t="shared" si="207"/>
        <v>4.2017511634710933</v>
      </c>
      <c r="U2241" s="12">
        <f t="shared" si="203"/>
        <v>4.0990414225666587</v>
      </c>
      <c r="V2241" s="30">
        <f t="shared" si="204"/>
        <v>0.4427320547945206</v>
      </c>
      <c r="W2241" s="46">
        <f t="shared" si="208"/>
        <v>-4.201751163471093E-2</v>
      </c>
      <c r="X2241" s="33">
        <f t="shared" si="205"/>
        <v>2.6554249864439095E-2</v>
      </c>
    </row>
    <row r="2242" spans="19:24" x14ac:dyDescent="0.25">
      <c r="S2242" s="44">
        <f t="shared" si="206"/>
        <v>45292</v>
      </c>
      <c r="T2242" s="12">
        <f t="shared" si="207"/>
        <v>4.1990740811695515</v>
      </c>
      <c r="U2242" s="12">
        <f t="shared" si="203"/>
        <v>4.0963902458418699</v>
      </c>
      <c r="V2242" s="30">
        <f t="shared" si="204"/>
        <v>0.44270465753424659</v>
      </c>
      <c r="W2242" s="46">
        <f t="shared" si="208"/>
        <v>-4.1990740811695508E-2</v>
      </c>
      <c r="X2242" s="33">
        <f t="shared" si="205"/>
        <v>2.655420835216615E-2</v>
      </c>
    </row>
    <row r="2243" spans="19:24" x14ac:dyDescent="0.25">
      <c r="S2243" s="44">
        <f t="shared" si="206"/>
        <v>45293</v>
      </c>
      <c r="T2243" s="12">
        <f t="shared" si="207"/>
        <v>4.1963969988680114</v>
      </c>
      <c r="U2243" s="12">
        <f t="shared" si="203"/>
        <v>4.0937390691170812</v>
      </c>
      <c r="V2243" s="30">
        <f t="shared" si="204"/>
        <v>0.44267726027397258</v>
      </c>
      <c r="W2243" s="46">
        <f t="shared" si="208"/>
        <v>-4.1963969988680107E-2</v>
      </c>
      <c r="X2243" s="33">
        <f t="shared" si="205"/>
        <v>2.6554166839893201E-2</v>
      </c>
    </row>
    <row r="2244" spans="19:24" x14ac:dyDescent="0.25">
      <c r="S2244" s="44">
        <f t="shared" si="206"/>
        <v>45294</v>
      </c>
      <c r="T2244" s="12">
        <f t="shared" si="207"/>
        <v>4.1937199165664696</v>
      </c>
      <c r="U2244" s="12">
        <f t="shared" si="203"/>
        <v>4.0910878923922906</v>
      </c>
      <c r="V2244" s="30">
        <f t="shared" si="204"/>
        <v>0.44264986301369869</v>
      </c>
      <c r="W2244" s="46">
        <f t="shared" si="208"/>
        <v>-4.1937199165664692E-2</v>
      </c>
      <c r="X2244" s="33">
        <f t="shared" si="205"/>
        <v>2.6554125327620266E-2</v>
      </c>
    </row>
    <row r="2245" spans="19:24" x14ac:dyDescent="0.25">
      <c r="S2245" s="44">
        <f t="shared" si="206"/>
        <v>45295</v>
      </c>
      <c r="T2245" s="12">
        <f t="shared" si="207"/>
        <v>4.1910428342649277</v>
      </c>
      <c r="U2245" s="12">
        <f t="shared" ref="U2245:U2308" si="209">DurMod($S2245,$B$2,$F$7:$G$37,U$3)</f>
        <v>4.0884367156675028</v>
      </c>
      <c r="V2245" s="30">
        <f t="shared" ref="V2245:V2308" si="210">+$U$3*($S$5512-S2245)/365+$T$3*(S2245-$S$4)/365</f>
        <v>0.44262246575342468</v>
      </c>
      <c r="W2245" s="46">
        <f t="shared" si="208"/>
        <v>-4.191042834264927E-2</v>
      </c>
      <c r="X2245" s="33">
        <f t="shared" ref="X2245:X2308" si="211">+(V2245+W2245)*365/($S$5512-$S$4)</f>
        <v>2.6554083815347317E-2</v>
      </c>
    </row>
    <row r="2246" spans="19:24" x14ac:dyDescent="0.25">
      <c r="S2246" s="44">
        <f t="shared" si="206"/>
        <v>45296</v>
      </c>
      <c r="T2246" s="12">
        <f t="shared" si="207"/>
        <v>4.1883657519633859</v>
      </c>
      <c r="U2246" s="12">
        <f t="shared" si="209"/>
        <v>4.0857855389427131</v>
      </c>
      <c r="V2246" s="30">
        <f t="shared" si="210"/>
        <v>0.44259506849315067</v>
      </c>
      <c r="W2246" s="46">
        <f t="shared" si="208"/>
        <v>-4.1883657519633855E-2</v>
      </c>
      <c r="X2246" s="33">
        <f t="shared" si="211"/>
        <v>2.6554042303074371E-2</v>
      </c>
    </row>
    <row r="2247" spans="19:24" x14ac:dyDescent="0.25">
      <c r="S2247" s="44">
        <f t="shared" si="206"/>
        <v>45297</v>
      </c>
      <c r="T2247" s="12">
        <f t="shared" si="207"/>
        <v>4.1856886696618449</v>
      </c>
      <c r="U2247" s="12">
        <f t="shared" si="209"/>
        <v>4.0831343622179244</v>
      </c>
      <c r="V2247" s="30">
        <f t="shared" si="210"/>
        <v>0.44256767123287671</v>
      </c>
      <c r="W2247" s="46">
        <f t="shared" si="208"/>
        <v>-4.1856886696618446E-2</v>
      </c>
      <c r="X2247" s="33">
        <f t="shared" si="211"/>
        <v>2.6554000790801429E-2</v>
      </c>
    </row>
    <row r="2248" spans="19:24" x14ac:dyDescent="0.25">
      <c r="S2248" s="44">
        <f t="shared" si="206"/>
        <v>45298</v>
      </c>
      <c r="T2248" s="12">
        <f t="shared" si="207"/>
        <v>4.1830115873603058</v>
      </c>
      <c r="U2248" s="12">
        <f t="shared" si="209"/>
        <v>4.0804831854931347</v>
      </c>
      <c r="V2248" s="30">
        <f t="shared" si="210"/>
        <v>0.4425402739726027</v>
      </c>
      <c r="W2248" s="46">
        <f t="shared" si="208"/>
        <v>-4.1830115873603052E-2</v>
      </c>
      <c r="X2248" s="33">
        <f t="shared" si="211"/>
        <v>2.655395927852848E-2</v>
      </c>
    </row>
    <row r="2249" spans="19:24" x14ac:dyDescent="0.25">
      <c r="S2249" s="44">
        <f t="shared" si="206"/>
        <v>45299</v>
      </c>
      <c r="T2249" s="12">
        <f t="shared" si="207"/>
        <v>4.180334505058763</v>
      </c>
      <c r="U2249" s="12">
        <f t="shared" si="209"/>
        <v>4.0778320087683442</v>
      </c>
      <c r="V2249" s="30">
        <f t="shared" si="210"/>
        <v>0.44251287671232875</v>
      </c>
      <c r="W2249" s="46">
        <f t="shared" si="208"/>
        <v>-4.1803345050587623E-2</v>
      </c>
      <c r="X2249" s="33">
        <f t="shared" si="211"/>
        <v>2.6553917766255538E-2</v>
      </c>
    </row>
    <row r="2250" spans="19:24" x14ac:dyDescent="0.25">
      <c r="S2250" s="44">
        <f t="shared" si="206"/>
        <v>45300</v>
      </c>
      <c r="T2250" s="12">
        <f t="shared" si="207"/>
        <v>4.1776574227572221</v>
      </c>
      <c r="U2250" s="12">
        <f t="shared" si="209"/>
        <v>4.0751808320435563</v>
      </c>
      <c r="V2250" s="30">
        <f t="shared" si="210"/>
        <v>0.44248547945205485</v>
      </c>
      <c r="W2250" s="46">
        <f t="shared" si="208"/>
        <v>-4.1776574227572215E-2</v>
      </c>
      <c r="X2250" s="33">
        <f t="shared" si="211"/>
        <v>2.6553876253982603E-2</v>
      </c>
    </row>
    <row r="2251" spans="19:24" x14ac:dyDescent="0.25">
      <c r="S2251" s="44">
        <f t="shared" si="206"/>
        <v>45301</v>
      </c>
      <c r="T2251" s="12">
        <f t="shared" si="207"/>
        <v>4.1749803404556811</v>
      </c>
      <c r="U2251" s="12">
        <f t="shared" si="209"/>
        <v>4.0725296553187658</v>
      </c>
      <c r="V2251" s="30">
        <f t="shared" si="210"/>
        <v>0.44245808219178084</v>
      </c>
      <c r="W2251" s="46">
        <f t="shared" si="208"/>
        <v>-4.1749803404556807E-2</v>
      </c>
      <c r="X2251" s="33">
        <f t="shared" si="211"/>
        <v>2.6553834741709654E-2</v>
      </c>
    </row>
    <row r="2252" spans="19:24" x14ac:dyDescent="0.25">
      <c r="S2252" s="44">
        <f t="shared" si="206"/>
        <v>45302</v>
      </c>
      <c r="T2252" s="12">
        <f t="shared" si="207"/>
        <v>4.1723032581541393</v>
      </c>
      <c r="U2252" s="12">
        <f t="shared" si="209"/>
        <v>4.0698784785939761</v>
      </c>
      <c r="V2252" s="30">
        <f t="shared" si="210"/>
        <v>0.44243068493150683</v>
      </c>
      <c r="W2252" s="46">
        <f t="shared" si="208"/>
        <v>-4.1723032581541385E-2</v>
      </c>
      <c r="X2252" s="33">
        <f t="shared" si="211"/>
        <v>2.6553793229436708E-2</v>
      </c>
    </row>
    <row r="2253" spans="19:24" x14ac:dyDescent="0.25">
      <c r="S2253" s="44">
        <f t="shared" si="206"/>
        <v>45303</v>
      </c>
      <c r="T2253" s="12">
        <f t="shared" si="207"/>
        <v>4.1696261758525983</v>
      </c>
      <c r="U2253" s="12">
        <f t="shared" si="209"/>
        <v>4.0672273018691874</v>
      </c>
      <c r="V2253" s="30">
        <f t="shared" si="210"/>
        <v>0.44240328767123294</v>
      </c>
      <c r="W2253" s="46">
        <f t="shared" si="208"/>
        <v>-4.1696261758525976E-2</v>
      </c>
      <c r="X2253" s="33">
        <f t="shared" si="211"/>
        <v>2.655375171716377E-2</v>
      </c>
    </row>
    <row r="2254" spans="19:24" x14ac:dyDescent="0.25">
      <c r="S2254" s="44">
        <f t="shared" si="206"/>
        <v>45304</v>
      </c>
      <c r="T2254" s="12">
        <f t="shared" si="207"/>
        <v>4.1669490935510591</v>
      </c>
      <c r="U2254" s="12">
        <f t="shared" si="209"/>
        <v>4.0645761251443977</v>
      </c>
      <c r="V2254" s="30">
        <f t="shared" si="210"/>
        <v>0.44237589041095893</v>
      </c>
      <c r="W2254" s="46">
        <f t="shared" si="208"/>
        <v>-4.1669490935510582E-2</v>
      </c>
      <c r="X2254" s="33">
        <f t="shared" si="211"/>
        <v>2.6553710204890817E-2</v>
      </c>
    </row>
    <row r="2255" spans="19:24" x14ac:dyDescent="0.25">
      <c r="S2255" s="44">
        <f t="shared" si="206"/>
        <v>45305</v>
      </c>
      <c r="T2255" s="12">
        <f t="shared" si="207"/>
        <v>4.1642720112495155</v>
      </c>
      <c r="U2255" s="12">
        <f t="shared" si="209"/>
        <v>4.0619249484196089</v>
      </c>
      <c r="V2255" s="30">
        <f t="shared" si="210"/>
        <v>0.44234849315068492</v>
      </c>
      <c r="W2255" s="46">
        <f t="shared" si="208"/>
        <v>-4.1642720112495146E-2</v>
      </c>
      <c r="X2255" s="33">
        <f t="shared" si="211"/>
        <v>2.6553668692617875E-2</v>
      </c>
    </row>
    <row r="2256" spans="19:24" x14ac:dyDescent="0.25">
      <c r="S2256" s="44">
        <f t="shared" si="206"/>
        <v>45306</v>
      </c>
      <c r="T2256" s="12">
        <f t="shared" si="207"/>
        <v>4.1615949289479746</v>
      </c>
      <c r="U2256" s="12">
        <f t="shared" si="209"/>
        <v>4.0592737716948184</v>
      </c>
      <c r="V2256" s="30">
        <f t="shared" si="210"/>
        <v>0.44232109589041096</v>
      </c>
      <c r="W2256" s="46">
        <f t="shared" si="208"/>
        <v>-4.1615949289479738E-2</v>
      </c>
      <c r="X2256" s="33">
        <f t="shared" si="211"/>
        <v>2.6553627180344933E-2</v>
      </c>
    </row>
    <row r="2257" spans="19:24" x14ac:dyDescent="0.25">
      <c r="S2257" s="44">
        <f t="shared" si="206"/>
        <v>45307</v>
      </c>
      <c r="T2257" s="12">
        <f t="shared" si="207"/>
        <v>4.1589178466464354</v>
      </c>
      <c r="U2257" s="12">
        <f t="shared" si="209"/>
        <v>4.0566225949700296</v>
      </c>
      <c r="V2257" s="30">
        <f t="shared" si="210"/>
        <v>0.44229369863013696</v>
      </c>
      <c r="W2257" s="46">
        <f t="shared" si="208"/>
        <v>-4.1589178466464351E-2</v>
      </c>
      <c r="X2257" s="33">
        <f t="shared" si="211"/>
        <v>2.6553585668071984E-2</v>
      </c>
    </row>
    <row r="2258" spans="19:24" x14ac:dyDescent="0.25">
      <c r="S2258" s="44">
        <f t="shared" si="206"/>
        <v>45308</v>
      </c>
      <c r="T2258" s="12">
        <f t="shared" si="207"/>
        <v>4.1562407643448909</v>
      </c>
      <c r="U2258" s="12">
        <f t="shared" si="209"/>
        <v>4.0539714182452418</v>
      </c>
      <c r="V2258" s="30">
        <f t="shared" si="210"/>
        <v>0.442266301369863</v>
      </c>
      <c r="W2258" s="46">
        <f t="shared" si="208"/>
        <v>-4.1562407643448901E-2</v>
      </c>
      <c r="X2258" s="33">
        <f t="shared" si="211"/>
        <v>2.6553544155799046E-2</v>
      </c>
    </row>
    <row r="2259" spans="19:24" x14ac:dyDescent="0.25">
      <c r="S2259" s="44">
        <f t="shared" si="206"/>
        <v>45309</v>
      </c>
      <c r="T2259" s="12">
        <f t="shared" si="207"/>
        <v>4.1535636820433517</v>
      </c>
      <c r="U2259" s="12">
        <f t="shared" si="209"/>
        <v>4.0513202415204521</v>
      </c>
      <c r="V2259" s="30">
        <f t="shared" si="210"/>
        <v>0.44223890410958905</v>
      </c>
      <c r="W2259" s="46">
        <f t="shared" si="208"/>
        <v>-4.1535636820433514E-2</v>
      </c>
      <c r="X2259" s="33">
        <f t="shared" si="211"/>
        <v>2.65535026435261E-2</v>
      </c>
    </row>
    <row r="2260" spans="19:24" x14ac:dyDescent="0.25">
      <c r="S2260" s="44">
        <f t="shared" si="206"/>
        <v>45310</v>
      </c>
      <c r="T2260" s="12">
        <f t="shared" si="207"/>
        <v>4.1508865997418098</v>
      </c>
      <c r="U2260" s="12">
        <f t="shared" si="209"/>
        <v>4.0486690647956625</v>
      </c>
      <c r="V2260" s="30">
        <f t="shared" si="210"/>
        <v>0.44221150684931504</v>
      </c>
      <c r="W2260" s="46">
        <f t="shared" si="208"/>
        <v>-4.1508865997418092E-2</v>
      </c>
      <c r="X2260" s="33">
        <f t="shared" si="211"/>
        <v>2.6553461131253158E-2</v>
      </c>
    </row>
    <row r="2261" spans="19:24" x14ac:dyDescent="0.25">
      <c r="S2261" s="44">
        <f t="shared" si="206"/>
        <v>45311</v>
      </c>
      <c r="T2261" s="12">
        <f t="shared" si="207"/>
        <v>4.148209517440268</v>
      </c>
      <c r="U2261" s="12">
        <f t="shared" si="209"/>
        <v>4.0460178880708728</v>
      </c>
      <c r="V2261" s="30">
        <f t="shared" si="210"/>
        <v>0.44218410958904109</v>
      </c>
      <c r="W2261" s="46">
        <f t="shared" si="208"/>
        <v>-4.1482095174402676E-2</v>
      </c>
      <c r="X2261" s="33">
        <f t="shared" si="211"/>
        <v>2.6553419618980216E-2</v>
      </c>
    </row>
    <row r="2262" spans="19:24" x14ac:dyDescent="0.25">
      <c r="S2262" s="44">
        <f t="shared" si="206"/>
        <v>45312</v>
      </c>
      <c r="T2262" s="12">
        <f t="shared" si="207"/>
        <v>4.1455324351387279</v>
      </c>
      <c r="U2262" s="12">
        <f t="shared" si="209"/>
        <v>4.0433667113460832</v>
      </c>
      <c r="V2262" s="30">
        <f t="shared" si="210"/>
        <v>0.44215671232876719</v>
      </c>
      <c r="W2262" s="46">
        <f t="shared" si="208"/>
        <v>-4.1455324351387275E-2</v>
      </c>
      <c r="X2262" s="33">
        <f t="shared" si="211"/>
        <v>2.6553378106707274E-2</v>
      </c>
    </row>
    <row r="2263" spans="19:24" x14ac:dyDescent="0.25">
      <c r="S2263" s="44">
        <f t="shared" si="206"/>
        <v>45313</v>
      </c>
      <c r="T2263" s="12">
        <f t="shared" si="207"/>
        <v>4.142855352837187</v>
      </c>
      <c r="U2263" s="12">
        <f t="shared" si="209"/>
        <v>4.0407155346212953</v>
      </c>
      <c r="V2263" s="30">
        <f t="shared" si="210"/>
        <v>0.44212931506849318</v>
      </c>
      <c r="W2263" s="46">
        <f t="shared" si="208"/>
        <v>-4.142855352837186E-2</v>
      </c>
      <c r="X2263" s="33">
        <f t="shared" si="211"/>
        <v>2.6553336594434325E-2</v>
      </c>
    </row>
    <row r="2264" spans="19:24" x14ac:dyDescent="0.25">
      <c r="S2264" s="44">
        <f t="shared" si="206"/>
        <v>45314</v>
      </c>
      <c r="T2264" s="12">
        <f t="shared" si="207"/>
        <v>4.1401782705356469</v>
      </c>
      <c r="U2264" s="12">
        <f t="shared" si="209"/>
        <v>4.0380643578965048</v>
      </c>
      <c r="V2264" s="30">
        <f t="shared" si="210"/>
        <v>0.44210191780821917</v>
      </c>
      <c r="W2264" s="46">
        <f t="shared" si="208"/>
        <v>-4.1401782705356466E-2</v>
      </c>
      <c r="X2264" s="33">
        <f t="shared" si="211"/>
        <v>2.6553295082161383E-2</v>
      </c>
    </row>
    <row r="2265" spans="19:24" x14ac:dyDescent="0.25">
      <c r="S2265" s="44">
        <f t="shared" si="206"/>
        <v>45315</v>
      </c>
      <c r="T2265" s="12">
        <f t="shared" si="207"/>
        <v>4.1375011882341033</v>
      </c>
      <c r="U2265" s="12">
        <f t="shared" si="209"/>
        <v>4.0354131811717169</v>
      </c>
      <c r="V2265" s="30">
        <f t="shared" si="210"/>
        <v>0.44207452054794516</v>
      </c>
      <c r="W2265" s="46">
        <f t="shared" si="208"/>
        <v>-4.137501188234103E-2</v>
      </c>
      <c r="X2265" s="33">
        <f t="shared" si="211"/>
        <v>2.6553253569888437E-2</v>
      </c>
    </row>
    <row r="2266" spans="19:24" x14ac:dyDescent="0.25">
      <c r="S2266" s="44">
        <f t="shared" si="206"/>
        <v>45316</v>
      </c>
      <c r="T2266" s="12">
        <f t="shared" si="207"/>
        <v>4.1348241059325623</v>
      </c>
      <c r="U2266" s="12">
        <f t="shared" si="209"/>
        <v>4.0327620044469263</v>
      </c>
      <c r="V2266" s="30">
        <f t="shared" si="210"/>
        <v>0.44204712328767121</v>
      </c>
      <c r="W2266" s="46">
        <f t="shared" si="208"/>
        <v>-4.1348241059325615E-2</v>
      </c>
      <c r="X2266" s="33">
        <f t="shared" si="211"/>
        <v>2.6553212057615495E-2</v>
      </c>
    </row>
    <row r="2267" spans="19:24" x14ac:dyDescent="0.25">
      <c r="S2267" s="44">
        <f t="shared" si="206"/>
        <v>45317</v>
      </c>
      <c r="T2267" s="12">
        <f t="shared" si="207"/>
        <v>4.1321470236310223</v>
      </c>
      <c r="U2267" s="12">
        <f t="shared" si="209"/>
        <v>4.0301108277221367</v>
      </c>
      <c r="V2267" s="30">
        <f t="shared" si="210"/>
        <v>0.44201972602739725</v>
      </c>
      <c r="W2267" s="46">
        <f t="shared" si="208"/>
        <v>-4.1321470236310213E-2</v>
      </c>
      <c r="X2267" s="33">
        <f t="shared" si="211"/>
        <v>2.6553170545342553E-2</v>
      </c>
    </row>
    <row r="2268" spans="19:24" x14ac:dyDescent="0.25">
      <c r="S2268" s="44">
        <f t="shared" si="206"/>
        <v>45318</v>
      </c>
      <c r="T2268" s="12">
        <f t="shared" si="207"/>
        <v>4.1294699413294822</v>
      </c>
      <c r="U2268" s="12">
        <f t="shared" si="209"/>
        <v>4.027459650997347</v>
      </c>
      <c r="V2268" s="30">
        <f t="shared" si="210"/>
        <v>0.4419923287671233</v>
      </c>
      <c r="W2268" s="46">
        <f t="shared" si="208"/>
        <v>-4.1294699413294812E-2</v>
      </c>
      <c r="X2268" s="33">
        <f t="shared" si="211"/>
        <v>2.6553129033069604E-2</v>
      </c>
    </row>
    <row r="2269" spans="19:24" x14ac:dyDescent="0.25">
      <c r="S2269" s="44">
        <f t="shared" si="206"/>
        <v>45319</v>
      </c>
      <c r="T2269" s="12">
        <f t="shared" si="207"/>
        <v>4.1267928590279386</v>
      </c>
      <c r="U2269" s="12">
        <f t="shared" si="209"/>
        <v>4.0248084742725574</v>
      </c>
      <c r="V2269" s="30">
        <f t="shared" si="210"/>
        <v>0.44196493150684935</v>
      </c>
      <c r="W2269" s="46">
        <f t="shared" si="208"/>
        <v>-4.1267928590279376E-2</v>
      </c>
      <c r="X2269" s="33">
        <f t="shared" si="211"/>
        <v>2.6553087520796662E-2</v>
      </c>
    </row>
    <row r="2270" spans="19:24" x14ac:dyDescent="0.25">
      <c r="S2270" s="44">
        <f t="shared" si="206"/>
        <v>45320</v>
      </c>
      <c r="T2270" s="12">
        <f t="shared" si="207"/>
        <v>4.1241157767263994</v>
      </c>
      <c r="U2270" s="12">
        <f t="shared" si="209"/>
        <v>4.0221572975477695</v>
      </c>
      <c r="V2270" s="30">
        <f t="shared" si="210"/>
        <v>0.44193753424657534</v>
      </c>
      <c r="W2270" s="46">
        <f t="shared" si="208"/>
        <v>-4.1241157767263989E-2</v>
      </c>
      <c r="X2270" s="33">
        <f t="shared" si="211"/>
        <v>2.6553046008523717E-2</v>
      </c>
    </row>
    <row r="2271" spans="19:24" x14ac:dyDescent="0.25">
      <c r="S2271" s="44">
        <f t="shared" si="206"/>
        <v>45321</v>
      </c>
      <c r="T2271" s="12">
        <f t="shared" si="207"/>
        <v>4.1214386944248567</v>
      </c>
      <c r="U2271" s="12">
        <f t="shared" si="209"/>
        <v>4.0195061208229799</v>
      </c>
      <c r="V2271" s="30">
        <f t="shared" si="210"/>
        <v>0.44191013698630138</v>
      </c>
      <c r="W2271" s="46">
        <f t="shared" si="208"/>
        <v>-4.121438694424856E-2</v>
      </c>
      <c r="X2271" s="33">
        <f t="shared" si="211"/>
        <v>2.6553004496250778E-2</v>
      </c>
    </row>
    <row r="2272" spans="19:24" x14ac:dyDescent="0.25">
      <c r="S2272" s="44">
        <f t="shared" si="206"/>
        <v>45322</v>
      </c>
      <c r="T2272" s="12">
        <f t="shared" si="207"/>
        <v>4.1187616121233157</v>
      </c>
      <c r="U2272" s="12">
        <f t="shared" si="209"/>
        <v>4.0168549440981911</v>
      </c>
      <c r="V2272" s="30">
        <f t="shared" si="210"/>
        <v>0.44188273972602743</v>
      </c>
      <c r="W2272" s="46">
        <f t="shared" si="208"/>
        <v>-4.1187616121233152E-2</v>
      </c>
      <c r="X2272" s="33">
        <f t="shared" si="211"/>
        <v>2.6552962983977833E-2</v>
      </c>
    </row>
    <row r="2273" spans="19:24" x14ac:dyDescent="0.25">
      <c r="S2273" s="44">
        <f t="shared" si="206"/>
        <v>45323</v>
      </c>
      <c r="T2273" s="12">
        <f t="shared" si="207"/>
        <v>4.1160845298217756</v>
      </c>
      <c r="U2273" s="12">
        <f t="shared" si="209"/>
        <v>4.0142037673734006</v>
      </c>
      <c r="V2273" s="30">
        <f t="shared" si="210"/>
        <v>0.44185534246575342</v>
      </c>
      <c r="W2273" s="46">
        <f t="shared" si="208"/>
        <v>-4.1160845298217751E-2</v>
      </c>
      <c r="X2273" s="33">
        <f t="shared" si="211"/>
        <v>2.6552921471704891E-2</v>
      </c>
    </row>
    <row r="2274" spans="19:24" x14ac:dyDescent="0.25">
      <c r="S2274" s="44">
        <f t="shared" ref="S2274:S2337" si="212">+S2273+1</f>
        <v>45324</v>
      </c>
      <c r="T2274" s="12">
        <f t="shared" ref="T2274:T2337" si="213">DurMod(S2274,B$2,$F$7:$G$37,$T$3)</f>
        <v>4.1134074475202329</v>
      </c>
      <c r="U2274" s="12">
        <f t="shared" si="209"/>
        <v>4.0115525906486118</v>
      </c>
      <c r="V2274" s="30">
        <f t="shared" si="210"/>
        <v>0.44182794520547941</v>
      </c>
      <c r="W2274" s="46">
        <f t="shared" ref="W2274:W2337" si="214">+-T2274*($U$3-$T$3)</f>
        <v>-4.1134074475202322E-2</v>
      </c>
      <c r="X2274" s="33">
        <f t="shared" si="211"/>
        <v>2.6552879959431942E-2</v>
      </c>
    </row>
    <row r="2275" spans="19:24" x14ac:dyDescent="0.25">
      <c r="S2275" s="44">
        <f t="shared" si="212"/>
        <v>45325</v>
      </c>
      <c r="T2275" s="12">
        <f t="shared" si="213"/>
        <v>4.1107303652186928</v>
      </c>
      <c r="U2275" s="12">
        <f t="shared" si="209"/>
        <v>4.0089014139238213</v>
      </c>
      <c r="V2275" s="30">
        <f t="shared" si="210"/>
        <v>0.44180054794520546</v>
      </c>
      <c r="W2275" s="46">
        <f t="shared" si="214"/>
        <v>-4.110730365218692E-2</v>
      </c>
      <c r="X2275" s="33">
        <f t="shared" si="211"/>
        <v>2.6552838447159E-2</v>
      </c>
    </row>
    <row r="2276" spans="19:24" x14ac:dyDescent="0.25">
      <c r="S2276" s="44">
        <f t="shared" si="212"/>
        <v>45326</v>
      </c>
      <c r="T2276" s="12">
        <f t="shared" si="213"/>
        <v>4.108053282917151</v>
      </c>
      <c r="U2276" s="12">
        <f t="shared" si="209"/>
        <v>4.0062502371990325</v>
      </c>
      <c r="V2276" s="30">
        <f t="shared" si="210"/>
        <v>0.4417731506849315</v>
      </c>
      <c r="W2276" s="46">
        <f t="shared" si="214"/>
        <v>-4.1080532829171505E-2</v>
      </c>
      <c r="X2276" s="33">
        <f t="shared" si="211"/>
        <v>2.6552796934886054E-2</v>
      </c>
    </row>
    <row r="2277" spans="19:24" x14ac:dyDescent="0.25">
      <c r="S2277" s="44">
        <f t="shared" si="212"/>
        <v>45327</v>
      </c>
      <c r="T2277" s="12">
        <f t="shared" si="213"/>
        <v>4.10537620061561</v>
      </c>
      <c r="U2277" s="12">
        <f t="shared" si="209"/>
        <v>4.0035990604742446</v>
      </c>
      <c r="V2277" s="30">
        <f t="shared" si="210"/>
        <v>0.44174575342465749</v>
      </c>
      <c r="W2277" s="46">
        <f t="shared" si="214"/>
        <v>-4.1053762006156097E-2</v>
      </c>
      <c r="X2277" s="33">
        <f t="shared" si="211"/>
        <v>2.6552755422613112E-2</v>
      </c>
    </row>
    <row r="2278" spans="19:24" x14ac:dyDescent="0.25">
      <c r="S2278" s="44">
        <f t="shared" si="212"/>
        <v>45328</v>
      </c>
      <c r="T2278" s="12">
        <f t="shared" si="213"/>
        <v>4.1026991183140691</v>
      </c>
      <c r="U2278" s="12">
        <f t="shared" si="209"/>
        <v>4.0009478837494541</v>
      </c>
      <c r="V2278" s="30">
        <f t="shared" si="210"/>
        <v>0.44171835616438354</v>
      </c>
      <c r="W2278" s="46">
        <f t="shared" si="214"/>
        <v>-4.1026991183140682E-2</v>
      </c>
      <c r="X2278" s="33">
        <f t="shared" si="211"/>
        <v>2.655271391034017E-2</v>
      </c>
    </row>
    <row r="2279" spans="19:24" x14ac:dyDescent="0.25">
      <c r="S2279" s="44">
        <f t="shared" si="212"/>
        <v>45329</v>
      </c>
      <c r="T2279" s="12">
        <f t="shared" si="213"/>
        <v>4.1000220360125281</v>
      </c>
      <c r="U2279" s="12">
        <f t="shared" si="209"/>
        <v>3.9982967070246658</v>
      </c>
      <c r="V2279" s="30">
        <f t="shared" si="210"/>
        <v>0.44169095890410959</v>
      </c>
      <c r="W2279" s="46">
        <f t="shared" si="214"/>
        <v>-4.1000220360125274E-2</v>
      </c>
      <c r="X2279" s="33">
        <f t="shared" si="211"/>
        <v>2.6552672398067224E-2</v>
      </c>
    </row>
    <row r="2280" spans="19:24" x14ac:dyDescent="0.25">
      <c r="S2280" s="44">
        <f t="shared" si="212"/>
        <v>45330</v>
      </c>
      <c r="T2280" s="12">
        <f t="shared" si="213"/>
        <v>4.0973449537109872</v>
      </c>
      <c r="U2280" s="12">
        <f t="shared" si="209"/>
        <v>3.9956455302998766</v>
      </c>
      <c r="V2280" s="30">
        <f t="shared" si="210"/>
        <v>0.44166356164383563</v>
      </c>
      <c r="W2280" s="46">
        <f t="shared" si="214"/>
        <v>-4.0973449537109866E-2</v>
      </c>
      <c r="X2280" s="33">
        <f t="shared" si="211"/>
        <v>2.6552630885794282E-2</v>
      </c>
    </row>
    <row r="2281" spans="19:24" x14ac:dyDescent="0.25">
      <c r="S2281" s="44">
        <f t="shared" si="212"/>
        <v>45331</v>
      </c>
      <c r="T2281" s="12">
        <f t="shared" si="213"/>
        <v>4.0946678714094435</v>
      </c>
      <c r="U2281" s="12">
        <f t="shared" si="209"/>
        <v>3.9929943535750869</v>
      </c>
      <c r="V2281" s="30">
        <f t="shared" si="210"/>
        <v>0.44163616438356168</v>
      </c>
      <c r="W2281" s="46">
        <f t="shared" si="214"/>
        <v>-4.094667871409443E-2</v>
      </c>
      <c r="X2281" s="33">
        <f t="shared" si="211"/>
        <v>2.6552589373521344E-2</v>
      </c>
    </row>
    <row r="2282" spans="19:24" x14ac:dyDescent="0.25">
      <c r="S2282" s="44">
        <f t="shared" si="212"/>
        <v>45332</v>
      </c>
      <c r="T2282" s="12">
        <f t="shared" si="213"/>
        <v>4.0919907891079035</v>
      </c>
      <c r="U2282" s="12">
        <f t="shared" si="209"/>
        <v>3.9903431768502982</v>
      </c>
      <c r="V2282" s="30">
        <f t="shared" si="210"/>
        <v>0.44160876712328767</v>
      </c>
      <c r="W2282" s="46">
        <f t="shared" si="214"/>
        <v>-4.0919907891079028E-2</v>
      </c>
      <c r="X2282" s="33">
        <f t="shared" si="211"/>
        <v>2.6552547861248398E-2</v>
      </c>
    </row>
    <row r="2283" spans="19:24" x14ac:dyDescent="0.25">
      <c r="S2283" s="44">
        <f t="shared" si="212"/>
        <v>45333</v>
      </c>
      <c r="T2283" s="12">
        <f t="shared" si="213"/>
        <v>4.0893137068063643</v>
      </c>
      <c r="U2283" s="12">
        <f t="shared" si="209"/>
        <v>3.9876920001255081</v>
      </c>
      <c r="V2283" s="30">
        <f t="shared" si="210"/>
        <v>0.44158136986301366</v>
      </c>
      <c r="W2283" s="46">
        <f t="shared" si="214"/>
        <v>-4.0893137068063634E-2</v>
      </c>
      <c r="X2283" s="33">
        <f t="shared" si="211"/>
        <v>2.6552506348975446E-2</v>
      </c>
    </row>
    <row r="2284" spans="19:24" x14ac:dyDescent="0.25">
      <c r="S2284" s="44">
        <f t="shared" si="212"/>
        <v>45334</v>
      </c>
      <c r="T2284" s="12">
        <f t="shared" si="213"/>
        <v>4.0866366245048216</v>
      </c>
      <c r="U2284" s="12">
        <f t="shared" si="209"/>
        <v>3.9850408234007189</v>
      </c>
      <c r="V2284" s="30">
        <f t="shared" si="210"/>
        <v>0.44155397260273965</v>
      </c>
      <c r="W2284" s="46">
        <f t="shared" si="214"/>
        <v>-4.0866366245048212E-2</v>
      </c>
      <c r="X2284" s="33">
        <f t="shared" si="211"/>
        <v>2.6552464836702504E-2</v>
      </c>
    </row>
    <row r="2285" spans="19:24" x14ac:dyDescent="0.25">
      <c r="S2285" s="44">
        <f t="shared" si="212"/>
        <v>45335</v>
      </c>
      <c r="T2285" s="12">
        <f t="shared" si="213"/>
        <v>4.0839595422032806</v>
      </c>
      <c r="U2285" s="12">
        <f t="shared" si="209"/>
        <v>3.9823896466759292</v>
      </c>
      <c r="V2285" s="30">
        <f t="shared" si="210"/>
        <v>0.44152657534246575</v>
      </c>
      <c r="W2285" s="46">
        <f t="shared" si="214"/>
        <v>-4.0839595422032797E-2</v>
      </c>
      <c r="X2285" s="33">
        <f t="shared" si="211"/>
        <v>2.6552423324429562E-2</v>
      </c>
    </row>
    <row r="2286" spans="19:24" x14ac:dyDescent="0.25">
      <c r="S2286" s="44">
        <f t="shared" si="212"/>
        <v>45336</v>
      </c>
      <c r="T2286" s="12">
        <f t="shared" si="213"/>
        <v>4.0812824599017397</v>
      </c>
      <c r="U2286" s="12">
        <f t="shared" si="209"/>
        <v>3.9797384699511396</v>
      </c>
      <c r="V2286" s="30">
        <f t="shared" si="210"/>
        <v>0.44149917808219186</v>
      </c>
      <c r="W2286" s="46">
        <f t="shared" si="214"/>
        <v>-4.0812824599017389E-2</v>
      </c>
      <c r="X2286" s="33">
        <f t="shared" si="211"/>
        <v>2.6552381812156623E-2</v>
      </c>
    </row>
    <row r="2287" spans="19:24" x14ac:dyDescent="0.25">
      <c r="S2287" s="44">
        <f t="shared" si="212"/>
        <v>45337</v>
      </c>
      <c r="T2287" s="12">
        <f t="shared" si="213"/>
        <v>4.0786053776001969</v>
      </c>
      <c r="U2287" s="12">
        <f t="shared" si="209"/>
        <v>3.9770872932263517</v>
      </c>
      <c r="V2287" s="30">
        <f t="shared" si="210"/>
        <v>0.44147178082191785</v>
      </c>
      <c r="W2287" s="46">
        <f t="shared" si="214"/>
        <v>-4.078605377600196E-2</v>
      </c>
      <c r="X2287" s="33">
        <f t="shared" si="211"/>
        <v>2.6552340299883678E-2</v>
      </c>
    </row>
    <row r="2288" spans="19:24" x14ac:dyDescent="0.25">
      <c r="S2288" s="44">
        <f t="shared" si="212"/>
        <v>45338</v>
      </c>
      <c r="T2288" s="12">
        <f t="shared" si="213"/>
        <v>4.0759282952986577</v>
      </c>
      <c r="U2288" s="12">
        <f t="shared" si="209"/>
        <v>3.974436116501562</v>
      </c>
      <c r="V2288" s="30">
        <f t="shared" si="210"/>
        <v>0.44144438356164384</v>
      </c>
      <c r="W2288" s="46">
        <f t="shared" si="214"/>
        <v>-4.0759282952986572E-2</v>
      </c>
      <c r="X2288" s="33">
        <f t="shared" si="211"/>
        <v>2.6552298787610729E-2</v>
      </c>
    </row>
    <row r="2289" spans="19:24" x14ac:dyDescent="0.25">
      <c r="S2289" s="44">
        <f t="shared" si="212"/>
        <v>45339</v>
      </c>
      <c r="T2289" s="12">
        <f t="shared" si="213"/>
        <v>4.0732512129971159</v>
      </c>
      <c r="U2289" s="12">
        <f t="shared" si="209"/>
        <v>3.9717849397767733</v>
      </c>
      <c r="V2289" s="30">
        <f t="shared" si="210"/>
        <v>0.44141698630136983</v>
      </c>
      <c r="W2289" s="46">
        <f t="shared" si="214"/>
        <v>-4.073251212997115E-2</v>
      </c>
      <c r="X2289" s="33">
        <f t="shared" si="211"/>
        <v>2.6552257275337787E-2</v>
      </c>
    </row>
    <row r="2290" spans="19:24" x14ac:dyDescent="0.25">
      <c r="S2290" s="44">
        <f t="shared" si="212"/>
        <v>45340</v>
      </c>
      <c r="T2290" s="12">
        <f t="shared" si="213"/>
        <v>4.0705741306955741</v>
      </c>
      <c r="U2290" s="12">
        <f t="shared" si="209"/>
        <v>3.9691337630519854</v>
      </c>
      <c r="V2290" s="30">
        <f t="shared" si="210"/>
        <v>0.44138958904109588</v>
      </c>
      <c r="W2290" s="46">
        <f t="shared" si="214"/>
        <v>-4.0705741306955735E-2</v>
      </c>
      <c r="X2290" s="33">
        <f t="shared" si="211"/>
        <v>2.6552215763064841E-2</v>
      </c>
    </row>
    <row r="2291" spans="19:24" x14ac:dyDescent="0.25">
      <c r="S2291" s="44">
        <f t="shared" si="212"/>
        <v>45341</v>
      </c>
      <c r="T2291" s="12">
        <f t="shared" si="213"/>
        <v>4.0678970483940349</v>
      </c>
      <c r="U2291" s="12">
        <f t="shared" si="209"/>
        <v>3.9664825863271926</v>
      </c>
      <c r="V2291" s="30">
        <f t="shared" si="210"/>
        <v>0.44136219178082192</v>
      </c>
      <c r="W2291" s="46">
        <f t="shared" si="214"/>
        <v>-4.0678970483940341E-2</v>
      </c>
      <c r="X2291" s="33">
        <f t="shared" si="211"/>
        <v>2.6552174250791899E-2</v>
      </c>
    </row>
    <row r="2292" spans="19:24" x14ac:dyDescent="0.25">
      <c r="S2292" s="44">
        <f t="shared" si="212"/>
        <v>45342</v>
      </c>
      <c r="T2292" s="12">
        <f t="shared" si="213"/>
        <v>4.0652199660924921</v>
      </c>
      <c r="U2292" s="12">
        <f t="shared" si="209"/>
        <v>3.9638314096024043</v>
      </c>
      <c r="V2292" s="30">
        <f t="shared" si="210"/>
        <v>0.44133479452054797</v>
      </c>
      <c r="W2292" s="46">
        <f t="shared" si="214"/>
        <v>-4.0652199660924912E-2</v>
      </c>
      <c r="X2292" s="33">
        <f t="shared" si="211"/>
        <v>2.6552132738518957E-2</v>
      </c>
    </row>
    <row r="2293" spans="19:24" x14ac:dyDescent="0.25">
      <c r="S2293" s="44">
        <f t="shared" si="212"/>
        <v>45343</v>
      </c>
      <c r="T2293" s="12">
        <f t="shared" si="213"/>
        <v>4.0625428837909512</v>
      </c>
      <c r="U2293" s="12">
        <f t="shared" si="209"/>
        <v>3.9611802328776151</v>
      </c>
      <c r="V2293" s="30">
        <f t="shared" si="210"/>
        <v>0.44130739726027401</v>
      </c>
      <c r="W2293" s="46">
        <f t="shared" si="214"/>
        <v>-4.0625428837909504E-2</v>
      </c>
      <c r="X2293" s="33">
        <f t="shared" si="211"/>
        <v>2.6552091226246015E-2</v>
      </c>
    </row>
    <row r="2294" spans="19:24" x14ac:dyDescent="0.25">
      <c r="S2294" s="44">
        <f t="shared" si="212"/>
        <v>45344</v>
      </c>
      <c r="T2294" s="12">
        <f t="shared" si="213"/>
        <v>4.0598658014894102</v>
      </c>
      <c r="U2294" s="12">
        <f t="shared" si="209"/>
        <v>3.9585290561528259</v>
      </c>
      <c r="V2294" s="30">
        <f t="shared" si="210"/>
        <v>0.44128000000000001</v>
      </c>
      <c r="W2294" s="46">
        <f t="shared" si="214"/>
        <v>-4.0598658014894096E-2</v>
      </c>
      <c r="X2294" s="33">
        <f t="shared" si="211"/>
        <v>2.6552049713973066E-2</v>
      </c>
    </row>
    <row r="2295" spans="19:24" x14ac:dyDescent="0.25">
      <c r="S2295" s="44">
        <f t="shared" si="212"/>
        <v>45345</v>
      </c>
      <c r="T2295" s="12">
        <f t="shared" si="213"/>
        <v>4.0571887191878693</v>
      </c>
      <c r="U2295" s="12">
        <f t="shared" si="209"/>
        <v>3.9558778794280367</v>
      </c>
      <c r="V2295" s="30">
        <f t="shared" si="210"/>
        <v>0.44125260273972605</v>
      </c>
      <c r="W2295" s="46">
        <f t="shared" si="214"/>
        <v>-4.0571887191878687E-2</v>
      </c>
      <c r="X2295" s="33">
        <f t="shared" si="211"/>
        <v>2.6552008201700124E-2</v>
      </c>
    </row>
    <row r="2296" spans="19:24" x14ac:dyDescent="0.25">
      <c r="S2296" s="44">
        <f t="shared" si="212"/>
        <v>45346</v>
      </c>
      <c r="T2296" s="12">
        <f t="shared" si="213"/>
        <v>4.0545116368863274</v>
      </c>
      <c r="U2296" s="12">
        <f t="shared" si="209"/>
        <v>3.9532267027032471</v>
      </c>
      <c r="V2296" s="30">
        <f t="shared" si="210"/>
        <v>0.4412252054794521</v>
      </c>
      <c r="W2296" s="46">
        <f t="shared" si="214"/>
        <v>-4.0545116368863265E-2</v>
      </c>
      <c r="X2296" s="33">
        <f t="shared" si="211"/>
        <v>2.6551966689427182E-2</v>
      </c>
    </row>
    <row r="2297" spans="19:24" x14ac:dyDescent="0.25">
      <c r="S2297" s="44">
        <f t="shared" si="212"/>
        <v>45347</v>
      </c>
      <c r="T2297" s="12">
        <f t="shared" si="213"/>
        <v>4.0518345545847865</v>
      </c>
      <c r="U2297" s="12">
        <f t="shared" si="209"/>
        <v>3.9505755259784592</v>
      </c>
      <c r="V2297" s="30">
        <f t="shared" si="210"/>
        <v>0.44119780821917809</v>
      </c>
      <c r="W2297" s="46">
        <f t="shared" si="214"/>
        <v>-4.0518345545847857E-2</v>
      </c>
      <c r="X2297" s="33">
        <f t="shared" si="211"/>
        <v>2.6551925177154236E-2</v>
      </c>
    </row>
    <row r="2298" spans="19:24" x14ac:dyDescent="0.25">
      <c r="S2298" s="44">
        <f t="shared" si="212"/>
        <v>45348</v>
      </c>
      <c r="T2298" s="12">
        <f t="shared" si="213"/>
        <v>4.0491574722832464</v>
      </c>
      <c r="U2298" s="12">
        <f t="shared" si="209"/>
        <v>3.9479243492536673</v>
      </c>
      <c r="V2298" s="30">
        <f t="shared" si="210"/>
        <v>0.44117041095890408</v>
      </c>
      <c r="W2298" s="46">
        <f t="shared" si="214"/>
        <v>-4.0491574722832456E-2</v>
      </c>
      <c r="X2298" s="33">
        <f t="shared" si="211"/>
        <v>2.6551883664881291E-2</v>
      </c>
    </row>
    <row r="2299" spans="19:24" x14ac:dyDescent="0.25">
      <c r="S2299" s="44">
        <f t="shared" si="212"/>
        <v>45349</v>
      </c>
      <c r="T2299" s="12">
        <f t="shared" si="213"/>
        <v>4.0464803899817046</v>
      </c>
      <c r="U2299" s="12">
        <f t="shared" si="209"/>
        <v>3.9452731725288799</v>
      </c>
      <c r="V2299" s="30">
        <f t="shared" si="210"/>
        <v>0.44114301369863013</v>
      </c>
      <c r="W2299" s="46">
        <f t="shared" si="214"/>
        <v>-4.0464803899817041E-2</v>
      </c>
      <c r="X2299" s="33">
        <f t="shared" si="211"/>
        <v>2.6551842152608349E-2</v>
      </c>
    </row>
    <row r="2300" spans="19:24" x14ac:dyDescent="0.25">
      <c r="S2300" s="44">
        <f t="shared" si="212"/>
        <v>45350</v>
      </c>
      <c r="T2300" s="12">
        <f t="shared" si="213"/>
        <v>4.0438033076801627</v>
      </c>
      <c r="U2300" s="12">
        <f t="shared" si="209"/>
        <v>3.9426219958040898</v>
      </c>
      <c r="V2300" s="30">
        <f t="shared" si="210"/>
        <v>0.44111561643835617</v>
      </c>
      <c r="W2300" s="46">
        <f t="shared" si="214"/>
        <v>-4.0438033076801619E-2</v>
      </c>
      <c r="X2300" s="33">
        <f t="shared" si="211"/>
        <v>2.6551800640335407E-2</v>
      </c>
    </row>
    <row r="2301" spans="19:24" x14ac:dyDescent="0.25">
      <c r="S2301" s="44">
        <f t="shared" si="212"/>
        <v>45351</v>
      </c>
      <c r="T2301" s="12">
        <f t="shared" si="213"/>
        <v>4.0411262253786191</v>
      </c>
      <c r="U2301" s="12">
        <f t="shared" si="209"/>
        <v>3.9399708190793019</v>
      </c>
      <c r="V2301" s="30">
        <f t="shared" si="210"/>
        <v>0.44108821917808216</v>
      </c>
      <c r="W2301" s="46">
        <f t="shared" si="214"/>
        <v>-4.0411262253786183E-2</v>
      </c>
      <c r="X2301" s="33">
        <f t="shared" si="211"/>
        <v>2.6551759128062465E-2</v>
      </c>
    </row>
    <row r="2302" spans="19:24" x14ac:dyDescent="0.25">
      <c r="S2302" s="44">
        <f t="shared" si="212"/>
        <v>45352</v>
      </c>
      <c r="T2302" s="12">
        <f t="shared" si="213"/>
        <v>4.0384491430770808</v>
      </c>
      <c r="U2302" s="12">
        <f t="shared" si="209"/>
        <v>3.9373196423545114</v>
      </c>
      <c r="V2302" s="30">
        <f t="shared" si="210"/>
        <v>0.44106082191780821</v>
      </c>
      <c r="W2302" s="46">
        <f t="shared" si="214"/>
        <v>-4.0384491430770803E-2</v>
      </c>
      <c r="X2302" s="33">
        <f t="shared" si="211"/>
        <v>2.6551717615789516E-2</v>
      </c>
    </row>
    <row r="2303" spans="19:24" x14ac:dyDescent="0.25">
      <c r="S2303" s="44">
        <f t="shared" si="212"/>
        <v>45353</v>
      </c>
      <c r="T2303" s="12">
        <f t="shared" si="213"/>
        <v>4.0357720607755381</v>
      </c>
      <c r="U2303" s="12">
        <f t="shared" si="209"/>
        <v>3.9346684656297217</v>
      </c>
      <c r="V2303" s="30">
        <f t="shared" si="210"/>
        <v>0.44103342465753426</v>
      </c>
      <c r="W2303" s="46">
        <f t="shared" si="214"/>
        <v>-4.0357720607755374E-2</v>
      </c>
      <c r="X2303" s="33">
        <f t="shared" si="211"/>
        <v>2.6551676103516574E-2</v>
      </c>
    </row>
    <row r="2304" spans="19:24" x14ac:dyDescent="0.25">
      <c r="S2304" s="44">
        <f t="shared" si="212"/>
        <v>45354</v>
      </c>
      <c r="T2304" s="12">
        <f t="shared" si="213"/>
        <v>4.0330949784739989</v>
      </c>
      <c r="U2304" s="12">
        <f t="shared" si="209"/>
        <v>3.9320172889049334</v>
      </c>
      <c r="V2304" s="30">
        <f t="shared" si="210"/>
        <v>0.4410060273972603</v>
      </c>
      <c r="W2304" s="46">
        <f t="shared" si="214"/>
        <v>-4.0330949784739986E-2</v>
      </c>
      <c r="X2304" s="33">
        <f t="shared" si="211"/>
        <v>2.6551634591243628E-2</v>
      </c>
    </row>
    <row r="2305" spans="19:24" x14ac:dyDescent="0.25">
      <c r="S2305" s="44">
        <f t="shared" si="212"/>
        <v>45355</v>
      </c>
      <c r="T2305" s="12">
        <f t="shared" si="213"/>
        <v>4.0304178961724562</v>
      </c>
      <c r="U2305" s="12">
        <f t="shared" si="209"/>
        <v>3.9293661121801429</v>
      </c>
      <c r="V2305" s="30">
        <f t="shared" si="210"/>
        <v>0.44097863013698635</v>
      </c>
      <c r="W2305" s="46">
        <f t="shared" si="214"/>
        <v>-4.0304178961724557E-2</v>
      </c>
      <c r="X2305" s="33">
        <f t="shared" si="211"/>
        <v>2.6551593078970689E-2</v>
      </c>
    </row>
    <row r="2306" spans="19:24" x14ac:dyDescent="0.25">
      <c r="S2306" s="44">
        <f t="shared" si="212"/>
        <v>45356</v>
      </c>
      <c r="T2306" s="12">
        <f t="shared" si="213"/>
        <v>4.0277408138709152</v>
      </c>
      <c r="U2306" s="12">
        <f t="shared" si="209"/>
        <v>3.9267149354553541</v>
      </c>
      <c r="V2306" s="30">
        <f t="shared" si="210"/>
        <v>0.44095123287671234</v>
      </c>
      <c r="W2306" s="46">
        <f t="shared" si="214"/>
        <v>-4.0277408138709149E-2</v>
      </c>
      <c r="X2306" s="33">
        <f t="shared" si="211"/>
        <v>2.6551551566697744E-2</v>
      </c>
    </row>
    <row r="2307" spans="19:24" x14ac:dyDescent="0.25">
      <c r="S2307" s="44">
        <f t="shared" si="212"/>
        <v>45357</v>
      </c>
      <c r="T2307" s="12">
        <f t="shared" si="213"/>
        <v>4.0250637315693734</v>
      </c>
      <c r="U2307" s="12">
        <f t="shared" si="209"/>
        <v>3.9240637587305658</v>
      </c>
      <c r="V2307" s="30">
        <f t="shared" si="210"/>
        <v>0.44092383561643833</v>
      </c>
      <c r="W2307" s="46">
        <f t="shared" si="214"/>
        <v>-4.0250637315693727E-2</v>
      </c>
      <c r="X2307" s="33">
        <f t="shared" si="211"/>
        <v>2.6551510054424795E-2</v>
      </c>
    </row>
    <row r="2308" spans="19:24" x14ac:dyDescent="0.25">
      <c r="S2308" s="44">
        <f t="shared" si="212"/>
        <v>45358</v>
      </c>
      <c r="T2308" s="12">
        <f t="shared" si="213"/>
        <v>4.0223866492678333</v>
      </c>
      <c r="U2308" s="12">
        <f t="shared" si="209"/>
        <v>3.9214125820057766</v>
      </c>
      <c r="V2308" s="30">
        <f t="shared" si="210"/>
        <v>0.44089643835616432</v>
      </c>
      <c r="W2308" s="46">
        <f t="shared" si="214"/>
        <v>-4.0223866492678326E-2</v>
      </c>
      <c r="X2308" s="33">
        <f t="shared" si="211"/>
        <v>2.6551468542151849E-2</v>
      </c>
    </row>
    <row r="2309" spans="19:24" x14ac:dyDescent="0.25">
      <c r="S2309" s="44">
        <f t="shared" si="212"/>
        <v>45359</v>
      </c>
      <c r="T2309" s="12">
        <f t="shared" si="213"/>
        <v>4.0197095669662923</v>
      </c>
      <c r="U2309" s="12">
        <f t="shared" ref="U2309:U2372" si="215">DurMod($S2309,$B$2,$F$7:$G$37,U$3)</f>
        <v>3.9187614052809865</v>
      </c>
      <c r="V2309" s="30">
        <f t="shared" ref="V2309:V2372" si="216">+$U$3*($S$5512-S2309)/365+$T$3*(S2309-$S$4)/365</f>
        <v>0.44086904109589042</v>
      </c>
      <c r="W2309" s="46">
        <f t="shared" si="214"/>
        <v>-4.0197095669662918E-2</v>
      </c>
      <c r="X2309" s="33">
        <f t="shared" ref="X2309:X2372" si="217">+(V2309+W2309)*365/($S$5512-$S$4)</f>
        <v>2.6551427029878911E-2</v>
      </c>
    </row>
    <row r="2310" spans="19:24" x14ac:dyDescent="0.25">
      <c r="S2310" s="44">
        <f t="shared" si="212"/>
        <v>45360</v>
      </c>
      <c r="T2310" s="12">
        <f t="shared" si="213"/>
        <v>4.0170324846647505</v>
      </c>
      <c r="U2310" s="12">
        <f t="shared" si="215"/>
        <v>3.9161102285561977</v>
      </c>
      <c r="V2310" s="30">
        <f t="shared" si="216"/>
        <v>0.44084164383561641</v>
      </c>
      <c r="W2310" s="46">
        <f t="shared" si="214"/>
        <v>-4.0170324846647495E-2</v>
      </c>
      <c r="X2310" s="33">
        <f t="shared" si="217"/>
        <v>2.6551385517605965E-2</v>
      </c>
    </row>
    <row r="2311" spans="19:24" x14ac:dyDescent="0.25">
      <c r="S2311" s="44">
        <f t="shared" si="212"/>
        <v>45361</v>
      </c>
      <c r="T2311" s="12">
        <f t="shared" si="213"/>
        <v>4.0143554023632095</v>
      </c>
      <c r="U2311" s="12">
        <f t="shared" si="215"/>
        <v>3.9134590518314072</v>
      </c>
      <c r="V2311" s="30">
        <f t="shared" si="216"/>
        <v>0.44081424657534246</v>
      </c>
      <c r="W2311" s="46">
        <f t="shared" si="214"/>
        <v>-4.0143554023632087E-2</v>
      </c>
      <c r="X2311" s="33">
        <f t="shared" si="217"/>
        <v>2.6551344005333023E-2</v>
      </c>
    </row>
    <row r="2312" spans="19:24" x14ac:dyDescent="0.25">
      <c r="S2312" s="44">
        <f t="shared" si="212"/>
        <v>45362</v>
      </c>
      <c r="T2312" s="12">
        <f t="shared" si="213"/>
        <v>4.0116783200616677</v>
      </c>
      <c r="U2312" s="12">
        <f t="shared" si="215"/>
        <v>3.9108078751066189</v>
      </c>
      <c r="V2312" s="30">
        <f t="shared" si="216"/>
        <v>0.44078684931506851</v>
      </c>
      <c r="W2312" s="46">
        <f t="shared" si="214"/>
        <v>-4.0116783200616672E-2</v>
      </c>
      <c r="X2312" s="33">
        <f t="shared" si="217"/>
        <v>2.6551302493060081E-2</v>
      </c>
    </row>
    <row r="2313" spans="19:24" x14ac:dyDescent="0.25">
      <c r="S2313" s="44">
        <f t="shared" si="212"/>
        <v>45363</v>
      </c>
      <c r="T2313" s="12">
        <f t="shared" si="213"/>
        <v>4.0090012377601258</v>
      </c>
      <c r="U2313" s="12">
        <f t="shared" si="215"/>
        <v>3.9081566983818301</v>
      </c>
      <c r="V2313" s="30">
        <f t="shared" si="216"/>
        <v>0.4407594520547945</v>
      </c>
      <c r="W2313" s="46">
        <f t="shared" si="214"/>
        <v>-4.009001237760125E-2</v>
      </c>
      <c r="X2313" s="33">
        <f t="shared" si="217"/>
        <v>2.6551260980787132E-2</v>
      </c>
    </row>
    <row r="2314" spans="19:24" x14ac:dyDescent="0.25">
      <c r="S2314" s="44">
        <f t="shared" si="212"/>
        <v>45364</v>
      </c>
      <c r="T2314" s="12">
        <f t="shared" si="213"/>
        <v>4.0063241554585858</v>
      </c>
      <c r="U2314" s="12">
        <f t="shared" si="215"/>
        <v>3.9055055216570409</v>
      </c>
      <c r="V2314" s="30">
        <f t="shared" si="216"/>
        <v>0.44073205479452054</v>
      </c>
      <c r="W2314" s="46">
        <f t="shared" si="214"/>
        <v>-4.0063241554585849E-2</v>
      </c>
      <c r="X2314" s="33">
        <f t="shared" si="217"/>
        <v>2.655121946851419E-2</v>
      </c>
    </row>
    <row r="2315" spans="19:24" x14ac:dyDescent="0.25">
      <c r="S2315" s="44">
        <f t="shared" si="212"/>
        <v>45365</v>
      </c>
      <c r="T2315" s="12">
        <f t="shared" si="213"/>
        <v>4.0036470731570448</v>
      </c>
      <c r="U2315" s="12">
        <f t="shared" si="215"/>
        <v>3.9028543449322504</v>
      </c>
      <c r="V2315" s="30">
        <f t="shared" si="216"/>
        <v>0.44070465753424659</v>
      </c>
      <c r="W2315" s="46">
        <f t="shared" si="214"/>
        <v>-4.0036470731570441E-2</v>
      </c>
      <c r="X2315" s="33">
        <f t="shared" si="217"/>
        <v>2.6551177956241245E-2</v>
      </c>
    </row>
    <row r="2316" spans="19:24" x14ac:dyDescent="0.25">
      <c r="S2316" s="44">
        <f t="shared" si="212"/>
        <v>45366</v>
      </c>
      <c r="T2316" s="12">
        <f t="shared" si="213"/>
        <v>4.0009699908555039</v>
      </c>
      <c r="U2316" s="12">
        <f t="shared" si="215"/>
        <v>3.9002031682074612</v>
      </c>
      <c r="V2316" s="30">
        <f t="shared" si="216"/>
        <v>0.44067726027397258</v>
      </c>
      <c r="W2316" s="46">
        <f t="shared" si="214"/>
        <v>-4.0009699908555033E-2</v>
      </c>
      <c r="X2316" s="33">
        <f t="shared" si="217"/>
        <v>2.6551136443968303E-2</v>
      </c>
    </row>
    <row r="2317" spans="19:24" x14ac:dyDescent="0.25">
      <c r="S2317" s="44">
        <f t="shared" si="212"/>
        <v>45367</v>
      </c>
      <c r="T2317" s="12">
        <f t="shared" si="213"/>
        <v>3.9982929085539611</v>
      </c>
      <c r="U2317" s="12">
        <f t="shared" si="215"/>
        <v>3.8975519914826715</v>
      </c>
      <c r="V2317" s="30">
        <f t="shared" si="216"/>
        <v>0.44064986301369857</v>
      </c>
      <c r="W2317" s="46">
        <f t="shared" si="214"/>
        <v>-3.9982929085539604E-2</v>
      </c>
      <c r="X2317" s="33">
        <f t="shared" si="217"/>
        <v>2.6551094931695361E-2</v>
      </c>
    </row>
    <row r="2318" spans="19:24" x14ac:dyDescent="0.25">
      <c r="S2318" s="44">
        <f t="shared" si="212"/>
        <v>45368</v>
      </c>
      <c r="T2318" s="12">
        <f t="shared" si="213"/>
        <v>3.9956158262524211</v>
      </c>
      <c r="U2318" s="12">
        <f t="shared" si="215"/>
        <v>3.8949008147578823</v>
      </c>
      <c r="V2318" s="30">
        <f t="shared" si="216"/>
        <v>0.44062246575342467</v>
      </c>
      <c r="W2318" s="46">
        <f t="shared" si="214"/>
        <v>-3.9956158262524202E-2</v>
      </c>
      <c r="X2318" s="33">
        <f t="shared" si="217"/>
        <v>2.6551053419422418E-2</v>
      </c>
    </row>
    <row r="2319" spans="19:24" x14ac:dyDescent="0.25">
      <c r="S2319" s="44">
        <f t="shared" si="212"/>
        <v>45369</v>
      </c>
      <c r="T2319" s="12">
        <f t="shared" si="213"/>
        <v>3.9929387439508788</v>
      </c>
      <c r="U2319" s="12">
        <f t="shared" si="215"/>
        <v>3.8922496380330944</v>
      </c>
      <c r="V2319" s="30">
        <f t="shared" si="216"/>
        <v>0.44059506849315067</v>
      </c>
      <c r="W2319" s="46">
        <f t="shared" si="214"/>
        <v>-3.992938743950878E-2</v>
      </c>
      <c r="X2319" s="33">
        <f t="shared" si="217"/>
        <v>2.6551011907149473E-2</v>
      </c>
    </row>
    <row r="2320" spans="19:24" x14ac:dyDescent="0.25">
      <c r="S2320" s="44">
        <f t="shared" si="212"/>
        <v>45370</v>
      </c>
      <c r="T2320" s="12">
        <f t="shared" si="213"/>
        <v>3.9902616616493383</v>
      </c>
      <c r="U2320" s="12">
        <f t="shared" si="215"/>
        <v>3.8895984613083043</v>
      </c>
      <c r="V2320" s="30">
        <f t="shared" si="216"/>
        <v>0.44056767123287666</v>
      </c>
      <c r="W2320" s="46">
        <f t="shared" si="214"/>
        <v>-3.9902616616493379E-2</v>
      </c>
      <c r="X2320" s="33">
        <f t="shared" si="217"/>
        <v>2.6550970394876524E-2</v>
      </c>
    </row>
    <row r="2321" spans="19:24" x14ac:dyDescent="0.25">
      <c r="S2321" s="44">
        <f t="shared" si="212"/>
        <v>45371</v>
      </c>
      <c r="T2321" s="12">
        <f t="shared" si="213"/>
        <v>3.9875845793477973</v>
      </c>
      <c r="U2321" s="12">
        <f t="shared" si="215"/>
        <v>3.8869472845835125</v>
      </c>
      <c r="V2321" s="30">
        <f t="shared" si="216"/>
        <v>0.4405402739726027</v>
      </c>
      <c r="W2321" s="46">
        <f t="shared" si="214"/>
        <v>-3.9875845793477964E-2</v>
      </c>
      <c r="X2321" s="33">
        <f t="shared" si="217"/>
        <v>2.6550928882603582E-2</v>
      </c>
    </row>
    <row r="2322" spans="19:24" x14ac:dyDescent="0.25">
      <c r="S2322" s="44">
        <f t="shared" si="212"/>
        <v>45372</v>
      </c>
      <c r="T2322" s="12">
        <f t="shared" si="213"/>
        <v>3.9849074970462559</v>
      </c>
      <c r="U2322" s="12">
        <f t="shared" si="215"/>
        <v>3.8842961078587264</v>
      </c>
      <c r="V2322" s="30">
        <f t="shared" si="216"/>
        <v>0.44051287671232875</v>
      </c>
      <c r="W2322" s="46">
        <f t="shared" si="214"/>
        <v>-3.9849074970462556E-2</v>
      </c>
      <c r="X2322" s="33">
        <f t="shared" si="217"/>
        <v>2.655088737033064E-2</v>
      </c>
    </row>
    <row r="2323" spans="19:24" x14ac:dyDescent="0.25">
      <c r="S2323" s="44">
        <f t="shared" si="212"/>
        <v>45373</v>
      </c>
      <c r="T2323" s="12">
        <f t="shared" si="213"/>
        <v>3.9822304147447154</v>
      </c>
      <c r="U2323" s="12">
        <f t="shared" si="215"/>
        <v>3.8816449311339358</v>
      </c>
      <c r="V2323" s="30">
        <f t="shared" si="216"/>
        <v>0.4404854794520548</v>
      </c>
      <c r="W2323" s="46">
        <f t="shared" si="214"/>
        <v>-3.9822304147447148E-2</v>
      </c>
      <c r="X2323" s="33">
        <f t="shared" si="217"/>
        <v>2.6550845858057698E-2</v>
      </c>
    </row>
    <row r="2324" spans="19:24" x14ac:dyDescent="0.25">
      <c r="S2324" s="44">
        <f t="shared" si="212"/>
        <v>45374</v>
      </c>
      <c r="T2324" s="12">
        <f t="shared" si="213"/>
        <v>3.9795533324431731</v>
      </c>
      <c r="U2324" s="12">
        <f t="shared" si="215"/>
        <v>3.8789937544091457</v>
      </c>
      <c r="V2324" s="30">
        <f t="shared" si="216"/>
        <v>0.44045808219178084</v>
      </c>
      <c r="W2324" s="46">
        <f t="shared" si="214"/>
        <v>-3.9795533324431726E-2</v>
      </c>
      <c r="X2324" s="33">
        <f t="shared" si="217"/>
        <v>2.6550804345784752E-2</v>
      </c>
    </row>
    <row r="2325" spans="19:24" x14ac:dyDescent="0.25">
      <c r="S2325" s="44">
        <f t="shared" si="212"/>
        <v>45375</v>
      </c>
      <c r="T2325" s="12">
        <f t="shared" si="213"/>
        <v>3.9768762501416335</v>
      </c>
      <c r="U2325" s="12">
        <f t="shared" si="215"/>
        <v>3.876342577684357</v>
      </c>
      <c r="V2325" s="30">
        <f t="shared" si="216"/>
        <v>0.44043068493150683</v>
      </c>
      <c r="W2325" s="46">
        <f t="shared" si="214"/>
        <v>-3.9768762501416331E-2</v>
      </c>
      <c r="X2325" s="33">
        <f t="shared" si="217"/>
        <v>2.655076283351181E-2</v>
      </c>
    </row>
    <row r="2326" spans="19:24" x14ac:dyDescent="0.25">
      <c r="S2326" s="44">
        <f t="shared" si="212"/>
        <v>45376</v>
      </c>
      <c r="T2326" s="12">
        <f t="shared" si="213"/>
        <v>3.9741991678400908</v>
      </c>
      <c r="U2326" s="12">
        <f t="shared" si="215"/>
        <v>3.8736914009595682</v>
      </c>
      <c r="V2326" s="30">
        <f t="shared" si="216"/>
        <v>0.44040328767123282</v>
      </c>
      <c r="W2326" s="46">
        <f t="shared" si="214"/>
        <v>-3.9741991678400902E-2</v>
      </c>
      <c r="X2326" s="33">
        <f t="shared" si="217"/>
        <v>2.6550721321238861E-2</v>
      </c>
    </row>
    <row r="2327" spans="19:24" x14ac:dyDescent="0.25">
      <c r="S2327" s="44">
        <f t="shared" si="212"/>
        <v>45377</v>
      </c>
      <c r="T2327" s="12">
        <f t="shared" si="213"/>
        <v>3.9715220855385507</v>
      </c>
      <c r="U2327" s="12">
        <f t="shared" si="215"/>
        <v>3.8710402242347799</v>
      </c>
      <c r="V2327" s="30">
        <f t="shared" si="216"/>
        <v>0.44037589041095893</v>
      </c>
      <c r="W2327" s="46">
        <f t="shared" si="214"/>
        <v>-3.9715220855385501E-2</v>
      </c>
      <c r="X2327" s="33">
        <f t="shared" si="217"/>
        <v>2.6550679808965926E-2</v>
      </c>
    </row>
    <row r="2328" spans="19:24" x14ac:dyDescent="0.25">
      <c r="S2328" s="44">
        <f t="shared" si="212"/>
        <v>45378</v>
      </c>
      <c r="T2328" s="12">
        <f t="shared" si="213"/>
        <v>3.9688450032370106</v>
      </c>
      <c r="U2328" s="12">
        <f t="shared" si="215"/>
        <v>3.8683890475099898</v>
      </c>
      <c r="V2328" s="30">
        <f t="shared" si="216"/>
        <v>0.44034849315068492</v>
      </c>
      <c r="W2328" s="46">
        <f t="shared" si="214"/>
        <v>-3.96884500323701E-2</v>
      </c>
      <c r="X2328" s="33">
        <f t="shared" si="217"/>
        <v>2.6550638296692977E-2</v>
      </c>
    </row>
    <row r="2329" spans="19:24" x14ac:dyDescent="0.25">
      <c r="S2329" s="44">
        <f t="shared" si="212"/>
        <v>45379</v>
      </c>
      <c r="T2329" s="12">
        <f t="shared" si="213"/>
        <v>3.9661679209354674</v>
      </c>
      <c r="U2329" s="12">
        <f t="shared" si="215"/>
        <v>3.8657378707852006</v>
      </c>
      <c r="V2329" s="30">
        <f t="shared" si="216"/>
        <v>0.44032109589041102</v>
      </c>
      <c r="W2329" s="46">
        <f t="shared" si="214"/>
        <v>-3.9661679209354671E-2</v>
      </c>
      <c r="X2329" s="33">
        <f t="shared" si="217"/>
        <v>2.6550596784420042E-2</v>
      </c>
    </row>
    <row r="2330" spans="19:24" x14ac:dyDescent="0.25">
      <c r="S2330" s="44">
        <f t="shared" si="212"/>
        <v>45380</v>
      </c>
      <c r="T2330" s="12">
        <f t="shared" si="213"/>
        <v>3.9634908386339269</v>
      </c>
      <c r="U2330" s="12">
        <f t="shared" si="215"/>
        <v>3.8630866940604109</v>
      </c>
      <c r="V2330" s="30">
        <f t="shared" si="216"/>
        <v>0.44029369863013701</v>
      </c>
      <c r="W2330" s="46">
        <f t="shared" si="214"/>
        <v>-3.9634908386339263E-2</v>
      </c>
      <c r="X2330" s="33">
        <f t="shared" si="217"/>
        <v>2.655055527214709E-2</v>
      </c>
    </row>
    <row r="2331" spans="19:24" x14ac:dyDescent="0.25">
      <c r="S2331" s="44">
        <f t="shared" si="212"/>
        <v>45381</v>
      </c>
      <c r="T2331" s="12">
        <f t="shared" si="213"/>
        <v>3.9608137563323855</v>
      </c>
      <c r="U2331" s="12">
        <f t="shared" si="215"/>
        <v>3.8604355173356208</v>
      </c>
      <c r="V2331" s="30">
        <f t="shared" si="216"/>
        <v>0.440266301369863</v>
      </c>
      <c r="W2331" s="46">
        <f t="shared" si="214"/>
        <v>-3.9608137563323847E-2</v>
      </c>
      <c r="X2331" s="33">
        <f t="shared" si="217"/>
        <v>2.6550513759874148E-2</v>
      </c>
    </row>
    <row r="2332" spans="19:24" x14ac:dyDescent="0.25">
      <c r="S2332" s="44">
        <f t="shared" si="212"/>
        <v>45382</v>
      </c>
      <c r="T2332" s="12">
        <f t="shared" si="213"/>
        <v>3.9581366740308446</v>
      </c>
      <c r="U2332" s="12">
        <f t="shared" si="215"/>
        <v>3.8577843406108321</v>
      </c>
      <c r="V2332" s="30">
        <f t="shared" si="216"/>
        <v>0.4402389041095891</v>
      </c>
      <c r="W2332" s="46">
        <f t="shared" si="214"/>
        <v>-3.9581366740308439E-2</v>
      </c>
      <c r="X2332" s="33">
        <f t="shared" si="217"/>
        <v>2.6550472247601205E-2</v>
      </c>
    </row>
    <row r="2333" spans="19:24" x14ac:dyDescent="0.25">
      <c r="S2333" s="44">
        <f t="shared" si="212"/>
        <v>45383</v>
      </c>
      <c r="T2333" s="12">
        <f t="shared" si="213"/>
        <v>3.9554595917293027</v>
      </c>
      <c r="U2333" s="12">
        <f t="shared" si="215"/>
        <v>3.8551331638860433</v>
      </c>
      <c r="V2333" s="30">
        <f t="shared" si="216"/>
        <v>0.44021150684931509</v>
      </c>
      <c r="W2333" s="46">
        <f t="shared" si="214"/>
        <v>-3.9554595917293024E-2</v>
      </c>
      <c r="X2333" s="33">
        <f t="shared" si="217"/>
        <v>2.6550430735328256E-2</v>
      </c>
    </row>
    <row r="2334" spans="19:24" x14ac:dyDescent="0.25">
      <c r="S2334" s="44">
        <f t="shared" si="212"/>
        <v>45384</v>
      </c>
      <c r="T2334" s="12">
        <f t="shared" si="213"/>
        <v>3.9527825094277622</v>
      </c>
      <c r="U2334" s="12">
        <f t="shared" si="215"/>
        <v>3.8524819871612541</v>
      </c>
      <c r="V2334" s="30">
        <f t="shared" si="216"/>
        <v>0.44018410958904108</v>
      </c>
      <c r="W2334" s="46">
        <f t="shared" si="214"/>
        <v>-3.9527825094277616E-2</v>
      </c>
      <c r="X2334" s="33">
        <f t="shared" si="217"/>
        <v>2.6550389223055314E-2</v>
      </c>
    </row>
    <row r="2335" spans="19:24" x14ac:dyDescent="0.25">
      <c r="S2335" s="44">
        <f t="shared" si="212"/>
        <v>45385</v>
      </c>
      <c r="T2335" s="12">
        <f t="shared" si="213"/>
        <v>3.9501054271262204</v>
      </c>
      <c r="U2335" s="12">
        <f t="shared" si="215"/>
        <v>3.8498308104364654</v>
      </c>
      <c r="V2335" s="30">
        <f t="shared" si="216"/>
        <v>0.44015671232876713</v>
      </c>
      <c r="W2335" s="46">
        <f t="shared" si="214"/>
        <v>-3.9501054271262201E-2</v>
      </c>
      <c r="X2335" s="33">
        <f t="shared" si="217"/>
        <v>2.6550347710782369E-2</v>
      </c>
    </row>
    <row r="2336" spans="19:24" x14ac:dyDescent="0.25">
      <c r="S2336" s="44">
        <f t="shared" si="212"/>
        <v>45386</v>
      </c>
      <c r="T2336" s="12">
        <f t="shared" si="213"/>
        <v>3.947428344824679</v>
      </c>
      <c r="U2336" s="12">
        <f t="shared" si="215"/>
        <v>3.847179633711677</v>
      </c>
      <c r="V2336" s="30">
        <f t="shared" si="216"/>
        <v>0.44012931506849318</v>
      </c>
      <c r="W2336" s="46">
        <f t="shared" si="214"/>
        <v>-3.9474283448246786E-2</v>
      </c>
      <c r="X2336" s="33">
        <f t="shared" si="217"/>
        <v>2.6550306198509434E-2</v>
      </c>
    </row>
    <row r="2337" spans="19:24" x14ac:dyDescent="0.25">
      <c r="S2337" s="44">
        <f t="shared" si="212"/>
        <v>45387</v>
      </c>
      <c r="T2337" s="12">
        <f t="shared" si="213"/>
        <v>3.9447512625231376</v>
      </c>
      <c r="U2337" s="12">
        <f t="shared" si="215"/>
        <v>3.8445284569868865</v>
      </c>
      <c r="V2337" s="30">
        <f t="shared" si="216"/>
        <v>0.44010191780821917</v>
      </c>
      <c r="W2337" s="46">
        <f t="shared" si="214"/>
        <v>-3.9447512625231371E-2</v>
      </c>
      <c r="X2337" s="33">
        <f t="shared" si="217"/>
        <v>2.6550264686236481E-2</v>
      </c>
    </row>
    <row r="2338" spans="19:24" x14ac:dyDescent="0.25">
      <c r="S2338" s="44">
        <f t="shared" ref="S2338:S2401" si="218">+S2337+1</f>
        <v>45388</v>
      </c>
      <c r="T2338" s="12">
        <f t="shared" ref="T2338:T2401" si="219">DurMod(S2338,B$2,$F$7:$G$37,$T$3)</f>
        <v>3.9420741802215962</v>
      </c>
      <c r="U2338" s="12">
        <f t="shared" si="215"/>
        <v>3.8418772802620977</v>
      </c>
      <c r="V2338" s="30">
        <f t="shared" si="216"/>
        <v>0.44007452054794521</v>
      </c>
      <c r="W2338" s="46">
        <f t="shared" ref="W2338:W2401" si="220">+-T2338*($U$3-$T$3)</f>
        <v>-3.9420741802215956E-2</v>
      </c>
      <c r="X2338" s="33">
        <f t="shared" si="217"/>
        <v>2.6550223173963543E-2</v>
      </c>
    </row>
    <row r="2339" spans="19:24" x14ac:dyDescent="0.25">
      <c r="S2339" s="44">
        <f t="shared" si="218"/>
        <v>45389</v>
      </c>
      <c r="T2339" s="12">
        <f t="shared" si="219"/>
        <v>3.939397097920057</v>
      </c>
      <c r="U2339" s="12">
        <f t="shared" si="215"/>
        <v>3.839226103537309</v>
      </c>
      <c r="V2339" s="30">
        <f t="shared" si="216"/>
        <v>0.44004712328767126</v>
      </c>
      <c r="W2339" s="46">
        <f t="shared" si="220"/>
        <v>-3.9393970979200561E-2</v>
      </c>
      <c r="X2339" s="33">
        <f t="shared" si="217"/>
        <v>2.6550181661690597E-2</v>
      </c>
    </row>
    <row r="2340" spans="19:24" x14ac:dyDescent="0.25">
      <c r="S2340" s="44">
        <f t="shared" si="218"/>
        <v>45390</v>
      </c>
      <c r="T2340" s="12">
        <f t="shared" si="219"/>
        <v>3.9367200156185151</v>
      </c>
      <c r="U2340" s="12">
        <f t="shared" si="215"/>
        <v>3.8365749268125184</v>
      </c>
      <c r="V2340" s="30">
        <f t="shared" si="216"/>
        <v>0.44001972602739725</v>
      </c>
      <c r="W2340" s="46">
        <f t="shared" si="220"/>
        <v>-3.9367200156185146E-2</v>
      </c>
      <c r="X2340" s="33">
        <f t="shared" si="217"/>
        <v>2.6550140149417648E-2</v>
      </c>
    </row>
    <row r="2341" spans="19:24" x14ac:dyDescent="0.25">
      <c r="S2341" s="44">
        <f t="shared" si="218"/>
        <v>45391</v>
      </c>
      <c r="T2341" s="12">
        <f t="shared" si="219"/>
        <v>3.934042933316972</v>
      </c>
      <c r="U2341" s="12">
        <f t="shared" si="215"/>
        <v>3.8339237500877292</v>
      </c>
      <c r="V2341" s="30">
        <f t="shared" si="216"/>
        <v>0.43999232876712335</v>
      </c>
      <c r="W2341" s="46">
        <f t="shared" si="220"/>
        <v>-3.934042933316971E-2</v>
      </c>
      <c r="X2341" s="33">
        <f t="shared" si="217"/>
        <v>2.6550098637144713E-2</v>
      </c>
    </row>
    <row r="2342" spans="19:24" x14ac:dyDescent="0.25">
      <c r="S2342" s="44">
        <f t="shared" si="218"/>
        <v>45392</v>
      </c>
      <c r="T2342" s="12">
        <f t="shared" si="219"/>
        <v>3.9313658510154332</v>
      </c>
      <c r="U2342" s="12">
        <f t="shared" si="215"/>
        <v>3.8312725733629396</v>
      </c>
      <c r="V2342" s="30">
        <f t="shared" si="216"/>
        <v>0.43996493150684934</v>
      </c>
      <c r="W2342" s="46">
        <f t="shared" si="220"/>
        <v>-3.9313658510154323E-2</v>
      </c>
      <c r="X2342" s="33">
        <f t="shared" si="217"/>
        <v>2.6550057124871764E-2</v>
      </c>
    </row>
    <row r="2343" spans="19:24" x14ac:dyDescent="0.25">
      <c r="S2343" s="44">
        <f t="shared" si="218"/>
        <v>45393</v>
      </c>
      <c r="T2343" s="12">
        <f t="shared" si="219"/>
        <v>3.9286887687138909</v>
      </c>
      <c r="U2343" s="12">
        <f t="shared" si="215"/>
        <v>3.8286213966381513</v>
      </c>
      <c r="V2343" s="30">
        <f t="shared" si="216"/>
        <v>0.43993753424657533</v>
      </c>
      <c r="W2343" s="46">
        <f t="shared" si="220"/>
        <v>-3.9286887687138901E-2</v>
      </c>
      <c r="X2343" s="33">
        <f t="shared" si="217"/>
        <v>2.6550015612598819E-2</v>
      </c>
    </row>
    <row r="2344" spans="19:24" x14ac:dyDescent="0.25">
      <c r="S2344" s="44">
        <f t="shared" si="218"/>
        <v>45394</v>
      </c>
      <c r="T2344" s="12">
        <f t="shared" si="219"/>
        <v>3.92601168641235</v>
      </c>
      <c r="U2344" s="12">
        <f t="shared" si="215"/>
        <v>3.8259702199133616</v>
      </c>
      <c r="V2344" s="30">
        <f t="shared" si="216"/>
        <v>0.43991013698630133</v>
      </c>
      <c r="W2344" s="46">
        <f t="shared" si="220"/>
        <v>-3.9260116864123493E-2</v>
      </c>
      <c r="X2344" s="33">
        <f t="shared" si="217"/>
        <v>2.654997410032587E-2</v>
      </c>
    </row>
    <row r="2345" spans="19:24" x14ac:dyDescent="0.25">
      <c r="S2345" s="44">
        <f t="shared" si="218"/>
        <v>45395</v>
      </c>
      <c r="T2345" s="12">
        <f t="shared" si="219"/>
        <v>3.9233346041108086</v>
      </c>
      <c r="U2345" s="12">
        <f t="shared" si="215"/>
        <v>3.8233190431885729</v>
      </c>
      <c r="V2345" s="30">
        <f t="shared" si="216"/>
        <v>0.43988273972602737</v>
      </c>
      <c r="W2345" s="46">
        <f t="shared" si="220"/>
        <v>-3.9233346041108078E-2</v>
      </c>
      <c r="X2345" s="33">
        <f t="shared" si="217"/>
        <v>2.6549932588052935E-2</v>
      </c>
    </row>
    <row r="2346" spans="19:24" x14ac:dyDescent="0.25">
      <c r="S2346" s="44">
        <f t="shared" si="218"/>
        <v>45396</v>
      </c>
      <c r="T2346" s="12">
        <f t="shared" si="219"/>
        <v>3.9206575218092672</v>
      </c>
      <c r="U2346" s="12">
        <f t="shared" si="215"/>
        <v>3.8206678664637828</v>
      </c>
      <c r="V2346" s="30">
        <f t="shared" si="216"/>
        <v>0.43985534246575342</v>
      </c>
      <c r="W2346" s="46">
        <f t="shared" si="220"/>
        <v>-3.9206575218092662E-2</v>
      </c>
      <c r="X2346" s="33">
        <f t="shared" si="217"/>
        <v>2.6549891075779986E-2</v>
      </c>
    </row>
    <row r="2347" spans="19:24" x14ac:dyDescent="0.25">
      <c r="S2347" s="44">
        <f t="shared" si="218"/>
        <v>45397</v>
      </c>
      <c r="T2347" s="12">
        <f t="shared" si="219"/>
        <v>3.9179804395077267</v>
      </c>
      <c r="U2347" s="12">
        <f t="shared" si="215"/>
        <v>3.818016689738994</v>
      </c>
      <c r="V2347" s="30">
        <f t="shared" si="216"/>
        <v>0.43982794520547946</v>
      </c>
      <c r="W2347" s="46">
        <f t="shared" si="220"/>
        <v>-3.9179804395077261E-2</v>
      </c>
      <c r="X2347" s="33">
        <f t="shared" si="217"/>
        <v>2.6549849563507043E-2</v>
      </c>
    </row>
    <row r="2348" spans="19:24" x14ac:dyDescent="0.25">
      <c r="S2348" s="44">
        <f t="shared" si="218"/>
        <v>45398</v>
      </c>
      <c r="T2348" s="12">
        <f t="shared" si="219"/>
        <v>3.9153033572061853</v>
      </c>
      <c r="U2348" s="12">
        <f t="shared" si="215"/>
        <v>3.8153655130142039</v>
      </c>
      <c r="V2348" s="30">
        <f t="shared" si="216"/>
        <v>0.43980054794520551</v>
      </c>
      <c r="W2348" s="46">
        <f t="shared" si="220"/>
        <v>-3.9153033572061846E-2</v>
      </c>
      <c r="X2348" s="33">
        <f t="shared" si="217"/>
        <v>2.6549808051234101E-2</v>
      </c>
    </row>
    <row r="2349" spans="19:24" x14ac:dyDescent="0.25">
      <c r="S2349" s="44">
        <f t="shared" si="218"/>
        <v>45399</v>
      </c>
      <c r="T2349" s="12">
        <f t="shared" si="219"/>
        <v>3.9126262749046443</v>
      </c>
      <c r="U2349" s="12">
        <f t="shared" si="215"/>
        <v>3.8127143362894138</v>
      </c>
      <c r="V2349" s="30">
        <f t="shared" si="216"/>
        <v>0.4397731506849315</v>
      </c>
      <c r="W2349" s="46">
        <f t="shared" si="220"/>
        <v>-3.9126262749046438E-2</v>
      </c>
      <c r="X2349" s="33">
        <f t="shared" si="217"/>
        <v>2.6549766538961156E-2</v>
      </c>
    </row>
    <row r="2350" spans="19:24" x14ac:dyDescent="0.25">
      <c r="S2350" s="44">
        <f t="shared" si="218"/>
        <v>45400</v>
      </c>
      <c r="T2350" s="12">
        <f t="shared" si="219"/>
        <v>3.9099491926031025</v>
      </c>
      <c r="U2350" s="12">
        <f t="shared" si="215"/>
        <v>3.8100631595646255</v>
      </c>
      <c r="V2350" s="30">
        <f t="shared" si="216"/>
        <v>0.43974575342465749</v>
      </c>
      <c r="W2350" s="46">
        <f t="shared" si="220"/>
        <v>-3.9099491926031016E-2</v>
      </c>
      <c r="X2350" s="33">
        <f t="shared" si="217"/>
        <v>2.6549725026688207E-2</v>
      </c>
    </row>
    <row r="2351" spans="19:24" x14ac:dyDescent="0.25">
      <c r="S2351" s="44">
        <f t="shared" si="218"/>
        <v>45401</v>
      </c>
      <c r="T2351" s="12">
        <f t="shared" si="219"/>
        <v>3.907272110301562</v>
      </c>
      <c r="U2351" s="12">
        <f t="shared" si="215"/>
        <v>3.8074119828398363</v>
      </c>
      <c r="V2351" s="30">
        <f t="shared" si="216"/>
        <v>0.43971835616438359</v>
      </c>
      <c r="W2351" s="46">
        <f t="shared" si="220"/>
        <v>-3.9072721103015615E-2</v>
      </c>
      <c r="X2351" s="33">
        <f t="shared" si="217"/>
        <v>2.6549683514415272E-2</v>
      </c>
    </row>
    <row r="2352" spans="19:24" x14ac:dyDescent="0.25">
      <c r="S2352" s="44">
        <f t="shared" si="218"/>
        <v>45402</v>
      </c>
      <c r="T2352" s="12">
        <f t="shared" si="219"/>
        <v>3.904595028000021</v>
      </c>
      <c r="U2352" s="12">
        <f t="shared" si="215"/>
        <v>3.8047608061150466</v>
      </c>
      <c r="V2352" s="30">
        <f t="shared" si="216"/>
        <v>0.43969095890410959</v>
      </c>
      <c r="W2352" s="46">
        <f t="shared" si="220"/>
        <v>-3.9045950280000206E-2</v>
      </c>
      <c r="X2352" s="33">
        <f t="shared" si="217"/>
        <v>2.6549642002142323E-2</v>
      </c>
    </row>
    <row r="2353" spans="19:24" x14ac:dyDescent="0.25">
      <c r="S2353" s="44">
        <f t="shared" si="218"/>
        <v>45403</v>
      </c>
      <c r="T2353" s="12">
        <f t="shared" si="219"/>
        <v>3.9019179456984787</v>
      </c>
      <c r="U2353" s="12">
        <f t="shared" si="215"/>
        <v>3.8021096293902574</v>
      </c>
      <c r="V2353" s="30">
        <f t="shared" si="216"/>
        <v>0.43966356164383558</v>
      </c>
      <c r="W2353" s="46">
        <f t="shared" si="220"/>
        <v>-3.9019179456984784E-2</v>
      </c>
      <c r="X2353" s="33">
        <f t="shared" si="217"/>
        <v>2.6549600489869377E-2</v>
      </c>
    </row>
    <row r="2354" spans="19:24" x14ac:dyDescent="0.25">
      <c r="S2354" s="44">
        <f t="shared" si="218"/>
        <v>45404</v>
      </c>
      <c r="T2354" s="12">
        <f t="shared" si="219"/>
        <v>3.8992408633969378</v>
      </c>
      <c r="U2354" s="12">
        <f t="shared" si="215"/>
        <v>3.7994584526654678</v>
      </c>
      <c r="V2354" s="30">
        <f t="shared" si="216"/>
        <v>0.43963616438356162</v>
      </c>
      <c r="W2354" s="46">
        <f t="shared" si="220"/>
        <v>-3.8992408633969369E-2</v>
      </c>
      <c r="X2354" s="33">
        <f t="shared" si="217"/>
        <v>2.6549558977596435E-2</v>
      </c>
    </row>
    <row r="2355" spans="19:24" x14ac:dyDescent="0.25">
      <c r="S2355" s="44">
        <f t="shared" si="218"/>
        <v>45405</v>
      </c>
      <c r="T2355" s="12">
        <f t="shared" si="219"/>
        <v>3.8965637810953964</v>
      </c>
      <c r="U2355" s="12">
        <f t="shared" si="215"/>
        <v>3.7968072759406786</v>
      </c>
      <c r="V2355" s="30">
        <f t="shared" si="216"/>
        <v>0.43960876712328767</v>
      </c>
      <c r="W2355" s="46">
        <f t="shared" si="220"/>
        <v>-3.8965637810953961E-2</v>
      </c>
      <c r="X2355" s="33">
        <f t="shared" si="217"/>
        <v>2.6549517465323493E-2</v>
      </c>
    </row>
    <row r="2356" spans="19:24" x14ac:dyDescent="0.25">
      <c r="S2356" s="44">
        <f t="shared" si="218"/>
        <v>45406</v>
      </c>
      <c r="T2356" s="12">
        <f t="shared" si="219"/>
        <v>3.8938866987938554</v>
      </c>
      <c r="U2356" s="12">
        <f t="shared" si="215"/>
        <v>3.794156099215888</v>
      </c>
      <c r="V2356" s="30">
        <f t="shared" si="216"/>
        <v>0.43958136986301366</v>
      </c>
      <c r="W2356" s="46">
        <f t="shared" si="220"/>
        <v>-3.8938866987938546E-2</v>
      </c>
      <c r="X2356" s="33">
        <f t="shared" si="217"/>
        <v>2.6549475953050551E-2</v>
      </c>
    </row>
    <row r="2357" spans="19:24" x14ac:dyDescent="0.25">
      <c r="S2357" s="44">
        <f t="shared" si="218"/>
        <v>45407</v>
      </c>
      <c r="T2357" s="12">
        <f t="shared" si="219"/>
        <v>3.8912096164923144</v>
      </c>
      <c r="U2357" s="12">
        <f t="shared" si="215"/>
        <v>3.7915049224910993</v>
      </c>
      <c r="V2357" s="30">
        <f t="shared" si="216"/>
        <v>0.43955397260273971</v>
      </c>
      <c r="W2357" s="46">
        <f t="shared" si="220"/>
        <v>-3.8912096164923138E-2</v>
      </c>
      <c r="X2357" s="33">
        <f t="shared" si="217"/>
        <v>2.6549434440777606E-2</v>
      </c>
    </row>
    <row r="2358" spans="19:24" x14ac:dyDescent="0.25">
      <c r="S2358" s="44">
        <f t="shared" si="218"/>
        <v>45408</v>
      </c>
      <c r="T2358" s="12">
        <f t="shared" si="219"/>
        <v>3.8885325341907726</v>
      </c>
      <c r="U2358" s="12">
        <f t="shared" si="215"/>
        <v>3.7888537457663096</v>
      </c>
      <c r="V2358" s="30">
        <f t="shared" si="216"/>
        <v>0.43952657534246575</v>
      </c>
      <c r="W2358" s="46">
        <f t="shared" si="220"/>
        <v>-3.8885325341907723E-2</v>
      </c>
      <c r="X2358" s="33">
        <f t="shared" si="217"/>
        <v>2.6549392928504664E-2</v>
      </c>
    </row>
    <row r="2359" spans="19:24" x14ac:dyDescent="0.25">
      <c r="S2359" s="44">
        <f t="shared" si="218"/>
        <v>45409</v>
      </c>
      <c r="T2359" s="12">
        <f t="shared" si="219"/>
        <v>3.8858554518892316</v>
      </c>
      <c r="U2359" s="12">
        <f t="shared" si="215"/>
        <v>3.7862025690415222</v>
      </c>
      <c r="V2359" s="30">
        <f t="shared" si="216"/>
        <v>0.43949917808219174</v>
      </c>
      <c r="W2359" s="46">
        <f t="shared" si="220"/>
        <v>-3.8858554518892308E-2</v>
      </c>
      <c r="X2359" s="33">
        <f t="shared" si="217"/>
        <v>2.6549351416231715E-2</v>
      </c>
    </row>
    <row r="2360" spans="19:24" x14ac:dyDescent="0.25">
      <c r="S2360" s="44">
        <f t="shared" si="218"/>
        <v>45410</v>
      </c>
      <c r="T2360" s="12">
        <f t="shared" si="219"/>
        <v>3.8831783695876902</v>
      </c>
      <c r="U2360" s="12">
        <f t="shared" si="215"/>
        <v>3.7835513923167325</v>
      </c>
      <c r="V2360" s="30">
        <f t="shared" si="216"/>
        <v>0.43947178082191785</v>
      </c>
      <c r="W2360" s="46">
        <f t="shared" si="220"/>
        <v>-3.8831783695876899E-2</v>
      </c>
      <c r="X2360" s="33">
        <f t="shared" si="217"/>
        <v>2.6549309903958779E-2</v>
      </c>
    </row>
    <row r="2361" spans="19:24" x14ac:dyDescent="0.25">
      <c r="S2361" s="44">
        <f t="shared" si="218"/>
        <v>45411</v>
      </c>
      <c r="T2361" s="12">
        <f t="shared" si="219"/>
        <v>3.8805012872861493</v>
      </c>
      <c r="U2361" s="12">
        <f t="shared" si="215"/>
        <v>3.7809002155919433</v>
      </c>
      <c r="V2361" s="30">
        <f t="shared" si="216"/>
        <v>0.43944438356164384</v>
      </c>
      <c r="W2361" s="46">
        <f t="shared" si="220"/>
        <v>-3.8805012872861484E-2</v>
      </c>
      <c r="X2361" s="33">
        <f t="shared" si="217"/>
        <v>2.654926839168583E-2</v>
      </c>
    </row>
    <row r="2362" spans="19:24" x14ac:dyDescent="0.25">
      <c r="S2362" s="44">
        <f t="shared" si="218"/>
        <v>45412</v>
      </c>
      <c r="T2362" s="12">
        <f t="shared" si="219"/>
        <v>3.8778242049846083</v>
      </c>
      <c r="U2362" s="12">
        <f t="shared" si="215"/>
        <v>3.7782490388671541</v>
      </c>
      <c r="V2362" s="30">
        <f t="shared" si="216"/>
        <v>0.43941698630136983</v>
      </c>
      <c r="W2362" s="46">
        <f t="shared" si="220"/>
        <v>-3.8778242049846076E-2</v>
      </c>
      <c r="X2362" s="33">
        <f t="shared" si="217"/>
        <v>2.6549226879412885E-2</v>
      </c>
    </row>
    <row r="2363" spans="19:24" x14ac:dyDescent="0.25">
      <c r="S2363" s="44">
        <f t="shared" si="218"/>
        <v>45413</v>
      </c>
      <c r="T2363" s="12">
        <f t="shared" si="219"/>
        <v>3.8751471226830669</v>
      </c>
      <c r="U2363" s="12">
        <f t="shared" si="215"/>
        <v>3.7755978621423636</v>
      </c>
      <c r="V2363" s="30">
        <f t="shared" si="216"/>
        <v>0.43938958904109582</v>
      </c>
      <c r="W2363" s="46">
        <f t="shared" si="220"/>
        <v>-3.8751471226830661E-2</v>
      </c>
      <c r="X2363" s="33">
        <f t="shared" si="217"/>
        <v>2.6549185367139943E-2</v>
      </c>
    </row>
    <row r="2364" spans="19:24" x14ac:dyDescent="0.25">
      <c r="S2364" s="44">
        <f t="shared" si="218"/>
        <v>45414</v>
      </c>
      <c r="T2364" s="12">
        <f t="shared" si="219"/>
        <v>3.872470040381526</v>
      </c>
      <c r="U2364" s="12">
        <f t="shared" si="215"/>
        <v>3.7729466854175757</v>
      </c>
      <c r="V2364" s="30">
        <f t="shared" si="216"/>
        <v>0.43936219178082192</v>
      </c>
      <c r="W2364" s="46">
        <f t="shared" si="220"/>
        <v>-3.8724700403815253E-2</v>
      </c>
      <c r="X2364" s="33">
        <f t="shared" si="217"/>
        <v>2.6549143854867001E-2</v>
      </c>
    </row>
    <row r="2365" spans="19:24" x14ac:dyDescent="0.25">
      <c r="S2365" s="44">
        <f t="shared" si="218"/>
        <v>45415</v>
      </c>
      <c r="T2365" s="12">
        <f t="shared" si="219"/>
        <v>3.8697929580799855</v>
      </c>
      <c r="U2365" s="12">
        <f t="shared" si="215"/>
        <v>3.7702955086927847</v>
      </c>
      <c r="V2365" s="30">
        <f t="shared" si="216"/>
        <v>0.43933479452054791</v>
      </c>
      <c r="W2365" s="46">
        <f t="shared" si="220"/>
        <v>-3.8697929580799852E-2</v>
      </c>
      <c r="X2365" s="33">
        <f t="shared" si="217"/>
        <v>2.6549102342594052E-2</v>
      </c>
    </row>
    <row r="2366" spans="19:24" x14ac:dyDescent="0.25">
      <c r="S2366" s="44">
        <f t="shared" si="218"/>
        <v>45416</v>
      </c>
      <c r="T2366" s="12">
        <f t="shared" si="219"/>
        <v>3.8671158757784436</v>
      </c>
      <c r="U2366" s="12">
        <f t="shared" si="215"/>
        <v>3.7676443319679969</v>
      </c>
      <c r="V2366" s="30">
        <f t="shared" si="216"/>
        <v>0.43930739726027396</v>
      </c>
      <c r="W2366" s="46">
        <f t="shared" si="220"/>
        <v>-3.867115875778443E-2</v>
      </c>
      <c r="X2366" s="33">
        <f t="shared" si="217"/>
        <v>2.654906083032111E-2</v>
      </c>
    </row>
    <row r="2367" spans="19:24" x14ac:dyDescent="0.25">
      <c r="S2367" s="44">
        <f t="shared" si="218"/>
        <v>45417</v>
      </c>
      <c r="T2367" s="12">
        <f t="shared" si="219"/>
        <v>3.8644387934769036</v>
      </c>
      <c r="U2367" s="12">
        <f t="shared" si="215"/>
        <v>3.7649931552432072</v>
      </c>
      <c r="V2367" s="30">
        <f t="shared" si="216"/>
        <v>0.43928</v>
      </c>
      <c r="W2367" s="46">
        <f t="shared" si="220"/>
        <v>-3.8644387934769028E-2</v>
      </c>
      <c r="X2367" s="33">
        <f t="shared" si="217"/>
        <v>2.6549019318048168E-2</v>
      </c>
    </row>
    <row r="2368" spans="19:24" x14ac:dyDescent="0.25">
      <c r="S2368" s="44">
        <f t="shared" si="218"/>
        <v>45418</v>
      </c>
      <c r="T2368" s="12">
        <f t="shared" si="219"/>
        <v>3.8617617111753608</v>
      </c>
      <c r="U2368" s="12">
        <f t="shared" si="215"/>
        <v>3.7623419785184189</v>
      </c>
      <c r="V2368" s="30">
        <f t="shared" si="216"/>
        <v>0.43925260273972599</v>
      </c>
      <c r="W2368" s="46">
        <f t="shared" si="220"/>
        <v>-3.8617617111753599E-2</v>
      </c>
      <c r="X2368" s="33">
        <f t="shared" si="217"/>
        <v>2.6548977805775222E-2</v>
      </c>
    </row>
    <row r="2369" spans="19:24" x14ac:dyDescent="0.25">
      <c r="S2369" s="44">
        <f t="shared" si="218"/>
        <v>45419</v>
      </c>
      <c r="T2369" s="12">
        <f t="shared" si="219"/>
        <v>3.8590846288738199</v>
      </c>
      <c r="U2369" s="12">
        <f t="shared" si="215"/>
        <v>3.7596908017936279</v>
      </c>
      <c r="V2369" s="30">
        <f t="shared" si="216"/>
        <v>0.43922520547945204</v>
      </c>
      <c r="W2369" s="46">
        <f t="shared" si="220"/>
        <v>-3.8590846288738191E-2</v>
      </c>
      <c r="X2369" s="33">
        <f t="shared" si="217"/>
        <v>2.654893629350228E-2</v>
      </c>
    </row>
    <row r="2370" spans="19:24" x14ac:dyDescent="0.25">
      <c r="S2370" s="44">
        <f t="shared" si="218"/>
        <v>45420</v>
      </c>
      <c r="T2370" s="12">
        <f t="shared" si="219"/>
        <v>3.8564075465722789</v>
      </c>
      <c r="U2370" s="12">
        <f t="shared" si="215"/>
        <v>3.7570396250688405</v>
      </c>
      <c r="V2370" s="30">
        <f t="shared" si="216"/>
        <v>0.43919780821917809</v>
      </c>
      <c r="W2370" s="46">
        <f t="shared" si="220"/>
        <v>-3.8564075465722783E-2</v>
      </c>
      <c r="X2370" s="33">
        <f t="shared" si="217"/>
        <v>2.6548894781229338E-2</v>
      </c>
    </row>
    <row r="2371" spans="19:24" x14ac:dyDescent="0.25">
      <c r="S2371" s="44">
        <f t="shared" si="218"/>
        <v>45421</v>
      </c>
      <c r="T2371" s="12">
        <f t="shared" si="219"/>
        <v>3.8537304642707393</v>
      </c>
      <c r="U2371" s="12">
        <f t="shared" si="215"/>
        <v>3.7543884483440504</v>
      </c>
      <c r="V2371" s="30">
        <f t="shared" si="216"/>
        <v>0.43917041095890408</v>
      </c>
      <c r="W2371" s="46">
        <f t="shared" si="220"/>
        <v>-3.8537304642707389E-2</v>
      </c>
      <c r="X2371" s="33">
        <f t="shared" si="217"/>
        <v>2.6548853268956389E-2</v>
      </c>
    </row>
    <row r="2372" spans="19:24" x14ac:dyDescent="0.25">
      <c r="S2372" s="44">
        <f t="shared" si="218"/>
        <v>45422</v>
      </c>
      <c r="T2372" s="12">
        <f t="shared" si="219"/>
        <v>3.851053381969197</v>
      </c>
      <c r="U2372" s="12">
        <f t="shared" si="215"/>
        <v>3.7517372716192612</v>
      </c>
      <c r="V2372" s="30">
        <f t="shared" si="216"/>
        <v>0.43914301369863007</v>
      </c>
      <c r="W2372" s="46">
        <f t="shared" si="220"/>
        <v>-3.8510533819691967E-2</v>
      </c>
      <c r="X2372" s="33">
        <f t="shared" si="217"/>
        <v>2.6548811756683444E-2</v>
      </c>
    </row>
    <row r="2373" spans="19:24" x14ac:dyDescent="0.25">
      <c r="S2373" s="44">
        <f t="shared" si="218"/>
        <v>45423</v>
      </c>
      <c r="T2373" s="12">
        <f t="shared" si="219"/>
        <v>3.8483762996676552</v>
      </c>
      <c r="U2373" s="12">
        <f t="shared" ref="U2373:U2436" si="221">DurMod($S2373,$B$2,$F$7:$G$37,U$3)</f>
        <v>3.7490860948944711</v>
      </c>
      <c r="V2373" s="30">
        <f t="shared" ref="V2373:V2436" si="222">+$U$3*($S$5512-S2373)/365+$T$3*(S2373-$S$4)/365</f>
        <v>0.43911561643835617</v>
      </c>
      <c r="W2373" s="46">
        <f t="shared" si="220"/>
        <v>-3.8483762996676545E-2</v>
      </c>
      <c r="X2373" s="33">
        <f t="shared" ref="X2373:X2436" si="223">+(V2373+W2373)*365/($S$5512-$S$4)</f>
        <v>2.6548770244410505E-2</v>
      </c>
    </row>
    <row r="2374" spans="19:24" x14ac:dyDescent="0.25">
      <c r="S2374" s="44">
        <f t="shared" si="218"/>
        <v>45424</v>
      </c>
      <c r="T2374" s="12">
        <f t="shared" si="219"/>
        <v>3.8456992173661129</v>
      </c>
      <c r="U2374" s="12">
        <f t="shared" si="221"/>
        <v>3.7464349181696828</v>
      </c>
      <c r="V2374" s="30">
        <f t="shared" si="222"/>
        <v>0.43908821917808222</v>
      </c>
      <c r="W2374" s="46">
        <f t="shared" si="220"/>
        <v>-3.8456992173661123E-2</v>
      </c>
      <c r="X2374" s="33">
        <f t="shared" si="223"/>
        <v>2.6548728732137563E-2</v>
      </c>
    </row>
    <row r="2375" spans="19:24" x14ac:dyDescent="0.25">
      <c r="S2375" s="44">
        <f t="shared" si="218"/>
        <v>45425</v>
      </c>
      <c r="T2375" s="12">
        <f t="shared" si="219"/>
        <v>3.8430221350645719</v>
      </c>
      <c r="U2375" s="12">
        <f t="shared" si="221"/>
        <v>3.7437837414448927</v>
      </c>
      <c r="V2375" s="30">
        <f t="shared" si="222"/>
        <v>0.43906082191780826</v>
      </c>
      <c r="W2375" s="46">
        <f t="shared" si="220"/>
        <v>-3.8430221350645714E-2</v>
      </c>
      <c r="X2375" s="33">
        <f t="shared" si="223"/>
        <v>2.6548687219864624E-2</v>
      </c>
    </row>
    <row r="2376" spans="19:24" x14ac:dyDescent="0.25">
      <c r="S2376" s="44">
        <f t="shared" si="218"/>
        <v>45426</v>
      </c>
      <c r="T2376" s="12">
        <f t="shared" si="219"/>
        <v>3.8403450527630323</v>
      </c>
      <c r="U2376" s="12">
        <f t="shared" si="221"/>
        <v>3.741132564720103</v>
      </c>
      <c r="V2376" s="30">
        <f t="shared" si="222"/>
        <v>0.43903342465753425</v>
      </c>
      <c r="W2376" s="46">
        <f t="shared" si="220"/>
        <v>-3.840345052763032E-2</v>
      </c>
      <c r="X2376" s="33">
        <f t="shared" si="223"/>
        <v>2.6548645707591672E-2</v>
      </c>
    </row>
    <row r="2377" spans="19:24" x14ac:dyDescent="0.25">
      <c r="S2377" s="44">
        <f t="shared" si="218"/>
        <v>45427</v>
      </c>
      <c r="T2377" s="12">
        <f t="shared" si="219"/>
        <v>3.83766797046149</v>
      </c>
      <c r="U2377" s="12">
        <f t="shared" si="221"/>
        <v>3.7384813879953152</v>
      </c>
      <c r="V2377" s="30">
        <f t="shared" si="222"/>
        <v>0.43900602739726025</v>
      </c>
      <c r="W2377" s="46">
        <f t="shared" si="220"/>
        <v>-3.8376679704614891E-2</v>
      </c>
      <c r="X2377" s="33">
        <f t="shared" si="223"/>
        <v>2.654860419531873E-2</v>
      </c>
    </row>
    <row r="2378" spans="19:24" x14ac:dyDescent="0.25">
      <c r="S2378" s="44">
        <f t="shared" si="218"/>
        <v>45428</v>
      </c>
      <c r="T2378" s="12">
        <f t="shared" si="219"/>
        <v>3.8349908881599495</v>
      </c>
      <c r="U2378" s="12">
        <f t="shared" si="221"/>
        <v>3.7358302112705259</v>
      </c>
      <c r="V2378" s="30">
        <f t="shared" si="222"/>
        <v>0.43897863013698629</v>
      </c>
      <c r="W2378" s="46">
        <f t="shared" si="220"/>
        <v>-3.834990888159949E-2</v>
      </c>
      <c r="X2378" s="33">
        <f t="shared" si="223"/>
        <v>2.6548562683045788E-2</v>
      </c>
    </row>
    <row r="2379" spans="19:24" x14ac:dyDescent="0.25">
      <c r="S2379" s="44">
        <f t="shared" si="218"/>
        <v>45429</v>
      </c>
      <c r="T2379" s="12">
        <f t="shared" si="219"/>
        <v>3.832313805858409</v>
      </c>
      <c r="U2379" s="12">
        <f t="shared" si="221"/>
        <v>3.733179034545735</v>
      </c>
      <c r="V2379" s="30">
        <f t="shared" si="222"/>
        <v>0.43895123287671234</v>
      </c>
      <c r="W2379" s="46">
        <f t="shared" si="220"/>
        <v>-3.8323138058584082E-2</v>
      </c>
      <c r="X2379" s="33">
        <f t="shared" si="223"/>
        <v>2.6548521170772846E-2</v>
      </c>
    </row>
    <row r="2380" spans="19:24" x14ac:dyDescent="0.25">
      <c r="S2380" s="44">
        <f t="shared" si="218"/>
        <v>45430</v>
      </c>
      <c r="T2380" s="12">
        <f t="shared" si="219"/>
        <v>3.8296367235568662</v>
      </c>
      <c r="U2380" s="12">
        <f t="shared" si="221"/>
        <v>3.7305278578209471</v>
      </c>
      <c r="V2380" s="30">
        <f t="shared" si="222"/>
        <v>0.43892383561643833</v>
      </c>
      <c r="W2380" s="46">
        <f t="shared" si="220"/>
        <v>-3.829636723556866E-2</v>
      </c>
      <c r="X2380" s="33">
        <f t="shared" si="223"/>
        <v>2.6548479658499897E-2</v>
      </c>
    </row>
    <row r="2381" spans="19:24" x14ac:dyDescent="0.25">
      <c r="S2381" s="44">
        <f t="shared" si="218"/>
        <v>45431</v>
      </c>
      <c r="T2381" s="12">
        <f t="shared" si="219"/>
        <v>3.8269596412553257</v>
      </c>
      <c r="U2381" s="12">
        <f t="shared" si="221"/>
        <v>3.7278766810961574</v>
      </c>
      <c r="V2381" s="30">
        <f t="shared" si="222"/>
        <v>0.43889643835616438</v>
      </c>
      <c r="W2381" s="46">
        <f t="shared" si="220"/>
        <v>-3.8269596412553251E-2</v>
      </c>
      <c r="X2381" s="33">
        <f t="shared" si="223"/>
        <v>2.6548438146226955E-2</v>
      </c>
    </row>
    <row r="2382" spans="19:24" x14ac:dyDescent="0.25">
      <c r="S2382" s="44">
        <f t="shared" si="218"/>
        <v>45432</v>
      </c>
      <c r="T2382" s="12">
        <f t="shared" si="219"/>
        <v>3.8242825589537839</v>
      </c>
      <c r="U2382" s="12">
        <f t="shared" si="221"/>
        <v>3.7252255043713673</v>
      </c>
      <c r="V2382" s="30">
        <f t="shared" si="222"/>
        <v>0.43886904109589042</v>
      </c>
      <c r="W2382" s="46">
        <f t="shared" si="220"/>
        <v>-3.8242825589537836E-2</v>
      </c>
      <c r="X2382" s="33">
        <f t="shared" si="223"/>
        <v>2.6548396633954009E-2</v>
      </c>
    </row>
    <row r="2383" spans="19:24" x14ac:dyDescent="0.25">
      <c r="S2383" s="44">
        <f t="shared" si="218"/>
        <v>45433</v>
      </c>
      <c r="T2383" s="12">
        <f t="shared" si="219"/>
        <v>3.8216054766522438</v>
      </c>
      <c r="U2383" s="12">
        <f t="shared" si="221"/>
        <v>3.7225743276465795</v>
      </c>
      <c r="V2383" s="30">
        <f t="shared" si="222"/>
        <v>0.43884164383561647</v>
      </c>
      <c r="W2383" s="46">
        <f t="shared" si="220"/>
        <v>-3.8216054766522435E-2</v>
      </c>
      <c r="X2383" s="33">
        <f t="shared" si="223"/>
        <v>2.6548355121681067E-2</v>
      </c>
    </row>
    <row r="2384" spans="19:24" x14ac:dyDescent="0.25">
      <c r="S2384" s="44">
        <f t="shared" si="218"/>
        <v>45434</v>
      </c>
      <c r="T2384" s="12">
        <f t="shared" si="219"/>
        <v>3.8189283943507029</v>
      </c>
      <c r="U2384" s="12">
        <f t="shared" si="221"/>
        <v>3.719923150921788</v>
      </c>
      <c r="V2384" s="30">
        <f t="shared" si="222"/>
        <v>0.43881424657534251</v>
      </c>
      <c r="W2384" s="46">
        <f t="shared" si="220"/>
        <v>-3.818928394350702E-2</v>
      </c>
      <c r="X2384" s="33">
        <f t="shared" si="223"/>
        <v>2.6548313609408125E-2</v>
      </c>
    </row>
    <row r="2385" spans="19:24" x14ac:dyDescent="0.25">
      <c r="S2385" s="44">
        <f t="shared" si="218"/>
        <v>45435</v>
      </c>
      <c r="T2385" s="12">
        <f t="shared" si="219"/>
        <v>3.8162513120491619</v>
      </c>
      <c r="U2385" s="12">
        <f t="shared" si="221"/>
        <v>3.7172719741969984</v>
      </c>
      <c r="V2385" s="30">
        <f t="shared" si="222"/>
        <v>0.43878684931506851</v>
      </c>
      <c r="W2385" s="46">
        <f t="shared" si="220"/>
        <v>-3.8162513120491612E-2</v>
      </c>
      <c r="X2385" s="33">
        <f t="shared" si="223"/>
        <v>2.6548272097135176E-2</v>
      </c>
    </row>
    <row r="2386" spans="19:24" x14ac:dyDescent="0.25">
      <c r="S2386" s="44">
        <f t="shared" si="218"/>
        <v>45436</v>
      </c>
      <c r="T2386" s="12">
        <f t="shared" si="219"/>
        <v>3.8135742297476205</v>
      </c>
      <c r="U2386" s="12">
        <f t="shared" si="221"/>
        <v>3.7146207974722105</v>
      </c>
      <c r="V2386" s="30">
        <f t="shared" si="222"/>
        <v>0.4387594520547945</v>
      </c>
      <c r="W2386" s="46">
        <f t="shared" si="220"/>
        <v>-3.8135742297476197E-2</v>
      </c>
      <c r="X2386" s="33">
        <f t="shared" si="223"/>
        <v>2.6548230584862234E-2</v>
      </c>
    </row>
    <row r="2387" spans="19:24" x14ac:dyDescent="0.25">
      <c r="S2387" s="44">
        <f t="shared" si="218"/>
        <v>45437</v>
      </c>
      <c r="T2387" s="12">
        <f t="shared" si="219"/>
        <v>3.8108971474460795</v>
      </c>
      <c r="U2387" s="12">
        <f t="shared" si="221"/>
        <v>3.7119696207474209</v>
      </c>
      <c r="V2387" s="30">
        <f t="shared" si="222"/>
        <v>0.43873205479452049</v>
      </c>
      <c r="W2387" s="46">
        <f t="shared" si="220"/>
        <v>-3.8108971474460789E-2</v>
      </c>
      <c r="X2387" s="33">
        <f t="shared" si="223"/>
        <v>2.6548189072589289E-2</v>
      </c>
    </row>
    <row r="2388" spans="19:24" x14ac:dyDescent="0.25">
      <c r="S2388" s="44">
        <f t="shared" si="218"/>
        <v>45438</v>
      </c>
      <c r="T2388" s="12">
        <f t="shared" si="219"/>
        <v>3.8082200651445368</v>
      </c>
      <c r="U2388" s="12">
        <f t="shared" si="221"/>
        <v>3.7093184440226317</v>
      </c>
      <c r="V2388" s="30">
        <f t="shared" si="222"/>
        <v>0.43870465753424659</v>
      </c>
      <c r="W2388" s="46">
        <f t="shared" si="220"/>
        <v>-3.808220065144536E-2</v>
      </c>
      <c r="X2388" s="33">
        <f t="shared" si="223"/>
        <v>2.654814756031635E-2</v>
      </c>
    </row>
    <row r="2389" spans="19:24" x14ac:dyDescent="0.25">
      <c r="S2389" s="44">
        <f t="shared" si="218"/>
        <v>45439</v>
      </c>
      <c r="T2389" s="12">
        <f t="shared" si="219"/>
        <v>3.8055429828429959</v>
      </c>
      <c r="U2389" s="12">
        <f t="shared" si="221"/>
        <v>3.7066672672978438</v>
      </c>
      <c r="V2389" s="30">
        <f t="shared" si="222"/>
        <v>0.43867726027397258</v>
      </c>
      <c r="W2389" s="46">
        <f t="shared" si="220"/>
        <v>-3.8055429828429951E-2</v>
      </c>
      <c r="X2389" s="33">
        <f t="shared" si="223"/>
        <v>2.6548106048043398E-2</v>
      </c>
    </row>
    <row r="2390" spans="19:24" x14ac:dyDescent="0.25">
      <c r="S2390" s="44">
        <f t="shared" si="218"/>
        <v>45440</v>
      </c>
      <c r="T2390" s="12">
        <f t="shared" si="219"/>
        <v>3.8028659005414553</v>
      </c>
      <c r="U2390" s="12">
        <f t="shared" si="221"/>
        <v>3.7040160905730528</v>
      </c>
      <c r="V2390" s="30">
        <f t="shared" si="222"/>
        <v>0.43864986301369863</v>
      </c>
      <c r="W2390" s="46">
        <f t="shared" si="220"/>
        <v>-3.802865900541455E-2</v>
      </c>
      <c r="X2390" s="33">
        <f t="shared" si="223"/>
        <v>2.6548064535770455E-2</v>
      </c>
    </row>
    <row r="2391" spans="19:24" x14ac:dyDescent="0.25">
      <c r="S2391" s="44">
        <f t="shared" si="218"/>
        <v>45441</v>
      </c>
      <c r="T2391" s="12">
        <f t="shared" si="219"/>
        <v>3.8001888182399131</v>
      </c>
      <c r="U2391" s="12">
        <f t="shared" si="221"/>
        <v>3.701364913848264</v>
      </c>
      <c r="V2391" s="30">
        <f t="shared" si="222"/>
        <v>0.43862246575342467</v>
      </c>
      <c r="W2391" s="46">
        <f t="shared" si="220"/>
        <v>-3.8001888182399128E-2</v>
      </c>
      <c r="X2391" s="33">
        <f t="shared" si="223"/>
        <v>2.6548023023497513E-2</v>
      </c>
    </row>
    <row r="2392" spans="19:24" x14ac:dyDescent="0.25">
      <c r="S2392" s="44">
        <f t="shared" si="218"/>
        <v>45442</v>
      </c>
      <c r="T2392" s="12">
        <f t="shared" si="219"/>
        <v>3.7975117359383725</v>
      </c>
      <c r="U2392" s="12">
        <f t="shared" si="221"/>
        <v>3.698713737123474</v>
      </c>
      <c r="V2392" s="30">
        <f t="shared" si="222"/>
        <v>0.43859506849315072</v>
      </c>
      <c r="W2392" s="46">
        <f t="shared" si="220"/>
        <v>-3.797511735938372E-2</v>
      </c>
      <c r="X2392" s="33">
        <f t="shared" si="223"/>
        <v>2.6547981511224578E-2</v>
      </c>
    </row>
    <row r="2393" spans="19:24" x14ac:dyDescent="0.25">
      <c r="S2393" s="44">
        <f t="shared" si="218"/>
        <v>45443</v>
      </c>
      <c r="T2393" s="12">
        <f t="shared" si="219"/>
        <v>3.7948346536368316</v>
      </c>
      <c r="U2393" s="12">
        <f t="shared" si="221"/>
        <v>3.6960625603986865</v>
      </c>
      <c r="V2393" s="30">
        <f t="shared" si="222"/>
        <v>0.43856767123287671</v>
      </c>
      <c r="W2393" s="46">
        <f t="shared" si="220"/>
        <v>-3.7948346536368312E-2</v>
      </c>
      <c r="X2393" s="33">
        <f t="shared" si="223"/>
        <v>2.6547939998951626E-2</v>
      </c>
    </row>
    <row r="2394" spans="19:24" x14ac:dyDescent="0.25">
      <c r="S2394" s="44">
        <f t="shared" si="218"/>
        <v>45444</v>
      </c>
      <c r="T2394" s="12">
        <f t="shared" si="219"/>
        <v>3.7921575713352893</v>
      </c>
      <c r="U2394" s="12">
        <f t="shared" si="221"/>
        <v>3.6934113836738955</v>
      </c>
      <c r="V2394" s="30">
        <f t="shared" si="222"/>
        <v>0.43854027397260276</v>
      </c>
      <c r="W2394" s="46">
        <f t="shared" si="220"/>
        <v>-3.792157571335289E-2</v>
      </c>
      <c r="X2394" s="33">
        <f t="shared" si="223"/>
        <v>2.6547898486678687E-2</v>
      </c>
    </row>
    <row r="2395" spans="19:24" x14ac:dyDescent="0.25">
      <c r="S2395" s="44">
        <f t="shared" si="218"/>
        <v>45445</v>
      </c>
      <c r="T2395" s="12">
        <f t="shared" si="219"/>
        <v>3.7894804890337488</v>
      </c>
      <c r="U2395" s="12">
        <f t="shared" si="221"/>
        <v>3.6907602069491072</v>
      </c>
      <c r="V2395" s="30">
        <f t="shared" si="222"/>
        <v>0.43851287671232875</v>
      </c>
      <c r="W2395" s="46">
        <f t="shared" si="220"/>
        <v>-3.7894804890337482E-2</v>
      </c>
      <c r="X2395" s="33">
        <f t="shared" si="223"/>
        <v>2.6547856974405742E-2</v>
      </c>
    </row>
    <row r="2396" spans="19:24" x14ac:dyDescent="0.25">
      <c r="S2396" s="44">
        <f t="shared" si="218"/>
        <v>45446</v>
      </c>
      <c r="T2396" s="12">
        <f t="shared" si="219"/>
        <v>3.7868034067322069</v>
      </c>
      <c r="U2396" s="12">
        <f t="shared" si="221"/>
        <v>3.6881090302243185</v>
      </c>
      <c r="V2396" s="30">
        <f t="shared" si="222"/>
        <v>0.43848547945205474</v>
      </c>
      <c r="W2396" s="46">
        <f t="shared" si="220"/>
        <v>-3.7868034067322066E-2</v>
      </c>
      <c r="X2396" s="33">
        <f t="shared" si="223"/>
        <v>2.6547815462132789E-2</v>
      </c>
    </row>
    <row r="2397" spans="19:24" x14ac:dyDescent="0.25">
      <c r="S2397" s="44">
        <f t="shared" si="218"/>
        <v>45447</v>
      </c>
      <c r="T2397" s="12">
        <f t="shared" si="219"/>
        <v>3.7841263244306655</v>
      </c>
      <c r="U2397" s="12">
        <f t="shared" si="221"/>
        <v>3.6854578534995288</v>
      </c>
      <c r="V2397" s="30">
        <f t="shared" si="222"/>
        <v>0.43845808219178084</v>
      </c>
      <c r="W2397" s="46">
        <f t="shared" si="220"/>
        <v>-3.7841263244306651E-2</v>
      </c>
      <c r="X2397" s="33">
        <f t="shared" si="223"/>
        <v>2.6547773949859854E-2</v>
      </c>
    </row>
    <row r="2398" spans="19:24" x14ac:dyDescent="0.25">
      <c r="S2398" s="44">
        <f t="shared" si="218"/>
        <v>45448</v>
      </c>
      <c r="T2398" s="12">
        <f t="shared" si="219"/>
        <v>3.781449242129125</v>
      </c>
      <c r="U2398" s="12">
        <f t="shared" si="221"/>
        <v>3.6828066767747396</v>
      </c>
      <c r="V2398" s="30">
        <f t="shared" si="222"/>
        <v>0.43843068493150683</v>
      </c>
      <c r="W2398" s="46">
        <f t="shared" si="220"/>
        <v>-3.7814492421291243E-2</v>
      </c>
      <c r="X2398" s="33">
        <f t="shared" si="223"/>
        <v>2.6547732437586905E-2</v>
      </c>
    </row>
    <row r="2399" spans="19:24" x14ac:dyDescent="0.25">
      <c r="S2399" s="44">
        <f t="shared" si="218"/>
        <v>45449</v>
      </c>
      <c r="T2399" s="12">
        <f t="shared" si="219"/>
        <v>3.7787721598275845</v>
      </c>
      <c r="U2399" s="12">
        <f t="shared" si="221"/>
        <v>3.68015550004995</v>
      </c>
      <c r="V2399" s="30">
        <f t="shared" si="222"/>
        <v>0.43840328767123282</v>
      </c>
      <c r="W2399" s="46">
        <f t="shared" si="220"/>
        <v>-3.7787721598275842E-2</v>
      </c>
      <c r="X2399" s="33">
        <f t="shared" si="223"/>
        <v>2.6547690925313963E-2</v>
      </c>
    </row>
    <row r="2400" spans="19:24" x14ac:dyDescent="0.25">
      <c r="S2400" s="44">
        <f t="shared" si="218"/>
        <v>45450</v>
      </c>
      <c r="T2400" s="12">
        <f t="shared" si="219"/>
        <v>3.7760950775260409</v>
      </c>
      <c r="U2400" s="12">
        <f t="shared" si="221"/>
        <v>3.6775043233251612</v>
      </c>
      <c r="V2400" s="30">
        <f t="shared" si="222"/>
        <v>0.43837589041095887</v>
      </c>
      <c r="W2400" s="46">
        <f t="shared" si="220"/>
        <v>-3.7760950775260406E-2</v>
      </c>
      <c r="X2400" s="33">
        <f t="shared" si="223"/>
        <v>2.6547649413041018E-2</v>
      </c>
    </row>
    <row r="2401" spans="19:24" x14ac:dyDescent="0.25">
      <c r="S2401" s="44">
        <f t="shared" si="218"/>
        <v>45451</v>
      </c>
      <c r="T2401" s="12">
        <f t="shared" si="219"/>
        <v>3.7734179952245017</v>
      </c>
      <c r="U2401" s="12">
        <f t="shared" si="221"/>
        <v>3.6748531466003715</v>
      </c>
      <c r="V2401" s="30">
        <f t="shared" si="222"/>
        <v>0.43834849315068497</v>
      </c>
      <c r="W2401" s="46">
        <f t="shared" si="220"/>
        <v>-3.7734179952245012E-2</v>
      </c>
      <c r="X2401" s="33">
        <f t="shared" si="223"/>
        <v>2.6547607900768079E-2</v>
      </c>
    </row>
    <row r="2402" spans="19:24" x14ac:dyDescent="0.25">
      <c r="S2402" s="44">
        <f t="shared" ref="S2402:S2465" si="224">+S2401+1</f>
        <v>45452</v>
      </c>
      <c r="T2402" s="12">
        <f t="shared" ref="T2402:T2465" si="225">DurMod(S2402,B$2,$F$7:$G$37,$T$3)</f>
        <v>3.7707409129229617</v>
      </c>
      <c r="U2402" s="12">
        <f t="shared" si="221"/>
        <v>3.672201969875581</v>
      </c>
      <c r="V2402" s="30">
        <f t="shared" si="222"/>
        <v>0.43832109589041096</v>
      </c>
      <c r="W2402" s="46">
        <f t="shared" ref="W2402:W2465" si="226">+-T2402*($U$3-$T$3)</f>
        <v>-3.770740912922961E-2</v>
      </c>
      <c r="X2402" s="33">
        <f t="shared" si="223"/>
        <v>2.6547566388495134E-2</v>
      </c>
    </row>
    <row r="2403" spans="19:24" x14ac:dyDescent="0.25">
      <c r="S2403" s="44">
        <f t="shared" si="224"/>
        <v>45453</v>
      </c>
      <c r="T2403" s="12">
        <f t="shared" si="225"/>
        <v>3.7680638306214189</v>
      </c>
      <c r="U2403" s="12">
        <f t="shared" si="221"/>
        <v>3.6695507931507927</v>
      </c>
      <c r="V2403" s="30">
        <f t="shared" si="222"/>
        <v>0.43829369863013701</v>
      </c>
      <c r="W2403" s="46">
        <f t="shared" si="226"/>
        <v>-3.7680638306214181E-2</v>
      </c>
      <c r="X2403" s="33">
        <f t="shared" si="223"/>
        <v>2.6547524876222195E-2</v>
      </c>
    </row>
    <row r="2404" spans="19:24" x14ac:dyDescent="0.25">
      <c r="S2404" s="44">
        <f t="shared" si="224"/>
        <v>45454</v>
      </c>
      <c r="T2404" s="12">
        <f t="shared" si="225"/>
        <v>3.7653867483198784</v>
      </c>
      <c r="U2404" s="12">
        <f t="shared" si="221"/>
        <v>3.6668996164260039</v>
      </c>
      <c r="V2404" s="30">
        <f t="shared" si="222"/>
        <v>0.438266301369863</v>
      </c>
      <c r="W2404" s="46">
        <f t="shared" si="226"/>
        <v>-3.765386748319878E-2</v>
      </c>
      <c r="X2404" s="33">
        <f t="shared" si="223"/>
        <v>2.6547483363949242E-2</v>
      </c>
    </row>
    <row r="2405" spans="19:24" x14ac:dyDescent="0.25">
      <c r="S2405" s="44">
        <f t="shared" si="224"/>
        <v>45455</v>
      </c>
      <c r="T2405" s="12">
        <f t="shared" si="225"/>
        <v>3.7627096660183379</v>
      </c>
      <c r="U2405" s="12">
        <f t="shared" si="221"/>
        <v>3.6642484397012143</v>
      </c>
      <c r="V2405" s="30">
        <f t="shared" si="222"/>
        <v>0.43823890410958899</v>
      </c>
      <c r="W2405" s="46">
        <f t="shared" si="226"/>
        <v>-3.7627096660183372E-2</v>
      </c>
      <c r="X2405" s="33">
        <f t="shared" si="223"/>
        <v>2.6547441851676297E-2</v>
      </c>
    </row>
    <row r="2406" spans="19:24" x14ac:dyDescent="0.25">
      <c r="S2406" s="44">
        <f t="shared" si="224"/>
        <v>45456</v>
      </c>
      <c r="T2406" s="12">
        <f t="shared" si="225"/>
        <v>3.7600325837167965</v>
      </c>
      <c r="U2406" s="12">
        <f t="shared" si="221"/>
        <v>3.661597262976426</v>
      </c>
      <c r="V2406" s="30">
        <f t="shared" si="222"/>
        <v>0.43821150684931509</v>
      </c>
      <c r="W2406" s="46">
        <f t="shared" si="226"/>
        <v>-3.7600325837167957E-2</v>
      </c>
      <c r="X2406" s="33">
        <f t="shared" si="223"/>
        <v>2.6547400339403358E-2</v>
      </c>
    </row>
    <row r="2407" spans="19:24" x14ac:dyDescent="0.25">
      <c r="S2407" s="44">
        <f t="shared" si="224"/>
        <v>45457</v>
      </c>
      <c r="T2407" s="12">
        <f t="shared" si="225"/>
        <v>3.7573555014152555</v>
      </c>
      <c r="U2407" s="12">
        <f t="shared" si="221"/>
        <v>3.658946086251635</v>
      </c>
      <c r="V2407" s="30">
        <f t="shared" si="222"/>
        <v>0.43818410958904108</v>
      </c>
      <c r="W2407" s="46">
        <f t="shared" si="226"/>
        <v>-3.7573555014152549E-2</v>
      </c>
      <c r="X2407" s="33">
        <f t="shared" si="223"/>
        <v>2.6547358827130413E-2</v>
      </c>
    </row>
    <row r="2408" spans="19:24" x14ac:dyDescent="0.25">
      <c r="S2408" s="44">
        <f t="shared" si="224"/>
        <v>45458</v>
      </c>
      <c r="T2408" s="12">
        <f t="shared" si="225"/>
        <v>4.0402020296659122</v>
      </c>
      <c r="U2408" s="12">
        <f t="shared" si="221"/>
        <v>3.9456629936430812</v>
      </c>
      <c r="V2408" s="30">
        <f t="shared" si="222"/>
        <v>0.43815671232876707</v>
      </c>
      <c r="W2408" s="46">
        <f t="shared" si="226"/>
        <v>-4.0402020296659118E-2</v>
      </c>
      <c r="X2408" s="33">
        <f t="shared" si="223"/>
        <v>2.635810867678275E-2</v>
      </c>
    </row>
    <row r="2409" spans="19:24" x14ac:dyDescent="0.25">
      <c r="S2409" s="44">
        <f t="shared" si="224"/>
        <v>45459</v>
      </c>
      <c r="T2409" s="12">
        <f t="shared" si="225"/>
        <v>4.0375249473643722</v>
      </c>
      <c r="U2409" s="12">
        <f t="shared" si="221"/>
        <v>3.9430118169182915</v>
      </c>
      <c r="V2409" s="30">
        <f t="shared" si="222"/>
        <v>0.43812931506849312</v>
      </c>
      <c r="W2409" s="46">
        <f t="shared" si="226"/>
        <v>-4.0375249473643716E-2</v>
      </c>
      <c r="X2409" s="33">
        <f t="shared" si="223"/>
        <v>2.6358067164509807E-2</v>
      </c>
    </row>
    <row r="2410" spans="19:24" x14ac:dyDescent="0.25">
      <c r="S2410" s="44">
        <f t="shared" si="224"/>
        <v>45460</v>
      </c>
      <c r="T2410" s="12">
        <f t="shared" si="225"/>
        <v>4.0348478650628312</v>
      </c>
      <c r="U2410" s="12">
        <f t="shared" si="221"/>
        <v>3.9403606401935023</v>
      </c>
      <c r="V2410" s="30">
        <f t="shared" si="222"/>
        <v>0.43810191780821917</v>
      </c>
      <c r="W2410" s="46">
        <f t="shared" si="226"/>
        <v>-4.0348478650628308E-2</v>
      </c>
      <c r="X2410" s="33">
        <f t="shared" si="223"/>
        <v>2.6358025652236865E-2</v>
      </c>
    </row>
    <row r="2411" spans="19:24" x14ac:dyDescent="0.25">
      <c r="S2411" s="44">
        <f t="shared" si="224"/>
        <v>45461</v>
      </c>
      <c r="T2411" s="12">
        <f t="shared" si="225"/>
        <v>4.0321707827612885</v>
      </c>
      <c r="U2411" s="12">
        <f t="shared" si="221"/>
        <v>3.9377094634687135</v>
      </c>
      <c r="V2411" s="30">
        <f t="shared" si="222"/>
        <v>0.43807452054794516</v>
      </c>
      <c r="W2411" s="46">
        <f t="shared" si="226"/>
        <v>-4.0321707827612879E-2</v>
      </c>
      <c r="X2411" s="33">
        <f t="shared" si="223"/>
        <v>2.635798413996392E-2</v>
      </c>
    </row>
    <row r="2412" spans="19:24" x14ac:dyDescent="0.25">
      <c r="S2412" s="44">
        <f t="shared" si="224"/>
        <v>45462</v>
      </c>
      <c r="T2412" s="12">
        <f t="shared" si="225"/>
        <v>4.0294937004597475</v>
      </c>
      <c r="U2412" s="12">
        <f t="shared" si="221"/>
        <v>3.9350582867439248</v>
      </c>
      <c r="V2412" s="30">
        <f t="shared" si="222"/>
        <v>0.4380471232876712</v>
      </c>
      <c r="W2412" s="46">
        <f t="shared" si="226"/>
        <v>-4.0294937004597471E-2</v>
      </c>
      <c r="X2412" s="33">
        <f t="shared" si="223"/>
        <v>2.6357942627690978E-2</v>
      </c>
    </row>
    <row r="2413" spans="19:24" x14ac:dyDescent="0.25">
      <c r="S2413" s="44">
        <f t="shared" si="224"/>
        <v>45463</v>
      </c>
      <c r="T2413" s="12">
        <f t="shared" si="225"/>
        <v>4.0268166181582057</v>
      </c>
      <c r="U2413" s="12">
        <f t="shared" si="221"/>
        <v>3.9324071100191342</v>
      </c>
      <c r="V2413" s="30">
        <f t="shared" si="222"/>
        <v>0.43801972602739725</v>
      </c>
      <c r="W2413" s="46">
        <f t="shared" si="226"/>
        <v>-4.0268166181582049E-2</v>
      </c>
      <c r="X2413" s="33">
        <f t="shared" si="223"/>
        <v>2.6357901115418039E-2</v>
      </c>
    </row>
    <row r="2414" spans="19:24" x14ac:dyDescent="0.25">
      <c r="S2414" s="44">
        <f t="shared" si="224"/>
        <v>45464</v>
      </c>
      <c r="T2414" s="12">
        <f t="shared" si="225"/>
        <v>4.0241395358566647</v>
      </c>
      <c r="U2414" s="12">
        <f t="shared" si="221"/>
        <v>3.9297559332943455</v>
      </c>
      <c r="V2414" s="30">
        <f t="shared" si="222"/>
        <v>0.43799232876712324</v>
      </c>
      <c r="W2414" s="46">
        <f t="shared" si="226"/>
        <v>-4.0241395358566641E-2</v>
      </c>
      <c r="X2414" s="33">
        <f t="shared" si="223"/>
        <v>2.6357859603145094E-2</v>
      </c>
    </row>
    <row r="2415" spans="19:24" x14ac:dyDescent="0.25">
      <c r="S2415" s="44">
        <f t="shared" si="224"/>
        <v>45465</v>
      </c>
      <c r="T2415" s="12">
        <f t="shared" si="225"/>
        <v>4.0214624535551247</v>
      </c>
      <c r="U2415" s="12">
        <f t="shared" si="221"/>
        <v>3.9271047565695558</v>
      </c>
      <c r="V2415" s="30">
        <f t="shared" si="222"/>
        <v>0.43796493150684934</v>
      </c>
      <c r="W2415" s="46">
        <f t="shared" si="226"/>
        <v>-4.021462453555124E-2</v>
      </c>
      <c r="X2415" s="33">
        <f t="shared" si="223"/>
        <v>2.6357818090872152E-2</v>
      </c>
    </row>
    <row r="2416" spans="19:24" x14ac:dyDescent="0.25">
      <c r="S2416" s="44">
        <f t="shared" si="224"/>
        <v>45466</v>
      </c>
      <c r="T2416" s="12">
        <f t="shared" si="225"/>
        <v>4.0187853712535855</v>
      </c>
      <c r="U2416" s="12">
        <f t="shared" si="221"/>
        <v>3.9244535798447671</v>
      </c>
      <c r="V2416" s="30">
        <f t="shared" si="222"/>
        <v>0.43793753424657533</v>
      </c>
      <c r="W2416" s="46">
        <f t="shared" si="226"/>
        <v>-4.0187853712535845E-2</v>
      </c>
      <c r="X2416" s="33">
        <f t="shared" si="223"/>
        <v>2.6357776578599206E-2</v>
      </c>
    </row>
    <row r="2417" spans="19:24" x14ac:dyDescent="0.25">
      <c r="S2417" s="44">
        <f t="shared" si="224"/>
        <v>45467</v>
      </c>
      <c r="T2417" s="12">
        <f t="shared" si="225"/>
        <v>4.0161082889520427</v>
      </c>
      <c r="U2417" s="12">
        <f t="shared" si="221"/>
        <v>3.9218024031199774</v>
      </c>
      <c r="V2417" s="30">
        <f t="shared" si="222"/>
        <v>0.43791013698630132</v>
      </c>
      <c r="W2417" s="46">
        <f t="shared" si="226"/>
        <v>-4.0161082889520423E-2</v>
      </c>
      <c r="X2417" s="33">
        <f t="shared" si="223"/>
        <v>2.6357735066326257E-2</v>
      </c>
    </row>
    <row r="2418" spans="19:24" x14ac:dyDescent="0.25">
      <c r="S2418" s="44">
        <f t="shared" si="224"/>
        <v>45468</v>
      </c>
      <c r="T2418" s="12">
        <f t="shared" si="225"/>
        <v>4.0134312066505</v>
      </c>
      <c r="U2418" s="12">
        <f t="shared" si="221"/>
        <v>3.9191512263951873</v>
      </c>
      <c r="V2418" s="30">
        <f t="shared" si="222"/>
        <v>0.43788273972602743</v>
      </c>
      <c r="W2418" s="46">
        <f t="shared" si="226"/>
        <v>-4.0134312066504994E-2</v>
      </c>
      <c r="X2418" s="33">
        <f t="shared" si="223"/>
        <v>2.6357693554053322E-2</v>
      </c>
    </row>
    <row r="2419" spans="19:24" x14ac:dyDescent="0.25">
      <c r="S2419" s="44">
        <f t="shared" si="224"/>
        <v>45469</v>
      </c>
      <c r="T2419" s="12">
        <f t="shared" si="225"/>
        <v>4.0107541243489591</v>
      </c>
      <c r="U2419" s="12">
        <f t="shared" si="221"/>
        <v>3.9165000496703999</v>
      </c>
      <c r="V2419" s="30">
        <f t="shared" si="222"/>
        <v>0.43785534246575342</v>
      </c>
      <c r="W2419" s="46">
        <f t="shared" si="226"/>
        <v>-4.0107541243489586E-2</v>
      </c>
      <c r="X2419" s="33">
        <f t="shared" si="223"/>
        <v>2.6357652041780373E-2</v>
      </c>
    </row>
    <row r="2420" spans="19:24" x14ac:dyDescent="0.25">
      <c r="S2420" s="44">
        <f t="shared" si="224"/>
        <v>45470</v>
      </c>
      <c r="T2420" s="12">
        <f t="shared" si="225"/>
        <v>4.0080770420474172</v>
      </c>
      <c r="U2420" s="12">
        <f t="shared" si="221"/>
        <v>3.9138488729456085</v>
      </c>
      <c r="V2420" s="30">
        <f t="shared" si="222"/>
        <v>0.43782794520547946</v>
      </c>
      <c r="W2420" s="46">
        <f t="shared" si="226"/>
        <v>-4.0080770420474164E-2</v>
      </c>
      <c r="X2420" s="33">
        <f t="shared" si="223"/>
        <v>2.6357610529507431E-2</v>
      </c>
    </row>
    <row r="2421" spans="19:24" x14ac:dyDescent="0.25">
      <c r="S2421" s="44">
        <f t="shared" si="224"/>
        <v>45471</v>
      </c>
      <c r="T2421" s="12">
        <f t="shared" si="225"/>
        <v>4.0053999597458771</v>
      </c>
      <c r="U2421" s="12">
        <f t="shared" si="221"/>
        <v>3.9111976962208197</v>
      </c>
      <c r="V2421" s="30">
        <f t="shared" si="222"/>
        <v>0.43780054794520551</v>
      </c>
      <c r="W2421" s="46">
        <f t="shared" si="226"/>
        <v>-4.0053999597458763E-2</v>
      </c>
      <c r="X2421" s="33">
        <f t="shared" si="223"/>
        <v>2.6357569017234489E-2</v>
      </c>
    </row>
    <row r="2422" spans="19:24" x14ac:dyDescent="0.25">
      <c r="S2422" s="44">
        <f t="shared" si="224"/>
        <v>45472</v>
      </c>
      <c r="T2422" s="12">
        <f t="shared" si="225"/>
        <v>4.0027228774443353</v>
      </c>
      <c r="U2422" s="12">
        <f t="shared" si="221"/>
        <v>3.9085465194960314</v>
      </c>
      <c r="V2422" s="30">
        <f t="shared" si="222"/>
        <v>0.4377731506849315</v>
      </c>
      <c r="W2422" s="46">
        <f t="shared" si="226"/>
        <v>-4.0027228774443348E-2</v>
      </c>
      <c r="X2422" s="33">
        <f t="shared" si="223"/>
        <v>2.6357527504961543E-2</v>
      </c>
    </row>
    <row r="2423" spans="19:24" x14ac:dyDescent="0.25">
      <c r="S2423" s="44">
        <f t="shared" si="224"/>
        <v>45473</v>
      </c>
      <c r="T2423" s="12">
        <f t="shared" si="225"/>
        <v>4.0000457951427935</v>
      </c>
      <c r="U2423" s="12">
        <f t="shared" si="221"/>
        <v>3.9058953427712413</v>
      </c>
      <c r="V2423" s="30">
        <f t="shared" si="222"/>
        <v>0.43774575342465755</v>
      </c>
      <c r="W2423" s="46">
        <f t="shared" si="226"/>
        <v>-4.0000457951427926E-2</v>
      </c>
      <c r="X2423" s="33">
        <f t="shared" si="223"/>
        <v>2.6357485992688601E-2</v>
      </c>
    </row>
    <row r="2424" spans="19:24" x14ac:dyDescent="0.25">
      <c r="S2424" s="44">
        <f t="shared" si="224"/>
        <v>45474</v>
      </c>
      <c r="T2424" s="12">
        <f t="shared" si="225"/>
        <v>3.9973687128412538</v>
      </c>
      <c r="U2424" s="12">
        <f t="shared" si="221"/>
        <v>3.9032441660464525</v>
      </c>
      <c r="V2424" s="30">
        <f t="shared" si="222"/>
        <v>0.43771835616438354</v>
      </c>
      <c r="W2424" s="46">
        <f t="shared" si="226"/>
        <v>-3.9973687128412531E-2</v>
      </c>
      <c r="X2424" s="33">
        <f t="shared" si="223"/>
        <v>2.6357444480415652E-2</v>
      </c>
    </row>
    <row r="2425" spans="19:24" x14ac:dyDescent="0.25">
      <c r="S2425" s="44">
        <f t="shared" si="224"/>
        <v>45475</v>
      </c>
      <c r="T2425" s="12">
        <f t="shared" si="225"/>
        <v>3.9946916305397124</v>
      </c>
      <c r="U2425" s="12">
        <f t="shared" si="221"/>
        <v>3.9005929893216633</v>
      </c>
      <c r="V2425" s="30">
        <f t="shared" si="222"/>
        <v>0.43769095890410964</v>
      </c>
      <c r="W2425" s="46">
        <f t="shared" si="226"/>
        <v>-3.9946916305397116E-2</v>
      </c>
      <c r="X2425" s="33">
        <f t="shared" si="223"/>
        <v>2.6357402968142717E-2</v>
      </c>
    </row>
    <row r="2426" spans="19:24" x14ac:dyDescent="0.25">
      <c r="S2426" s="44">
        <f t="shared" si="224"/>
        <v>45476</v>
      </c>
      <c r="T2426" s="12">
        <f t="shared" si="225"/>
        <v>3.992014548238171</v>
      </c>
      <c r="U2426" s="12">
        <f t="shared" si="221"/>
        <v>3.8979418125968737</v>
      </c>
      <c r="V2426" s="30">
        <f t="shared" si="222"/>
        <v>0.43766356164383569</v>
      </c>
      <c r="W2426" s="46">
        <f t="shared" si="226"/>
        <v>-3.9920145482381701E-2</v>
      </c>
      <c r="X2426" s="33">
        <f t="shared" si="223"/>
        <v>2.6357361455869768E-2</v>
      </c>
    </row>
    <row r="2427" spans="19:24" x14ac:dyDescent="0.25">
      <c r="S2427" s="44">
        <f t="shared" si="224"/>
        <v>45477</v>
      </c>
      <c r="T2427" s="12">
        <f t="shared" si="225"/>
        <v>3.9893374659366305</v>
      </c>
      <c r="U2427" s="12">
        <f t="shared" si="221"/>
        <v>3.895290635872084</v>
      </c>
      <c r="V2427" s="30">
        <f t="shared" si="222"/>
        <v>0.43763616438356168</v>
      </c>
      <c r="W2427" s="46">
        <f t="shared" si="226"/>
        <v>-3.98933746593663E-2</v>
      </c>
      <c r="X2427" s="33">
        <f t="shared" si="223"/>
        <v>2.6357319943596823E-2</v>
      </c>
    </row>
    <row r="2428" spans="19:24" x14ac:dyDescent="0.25">
      <c r="S2428" s="44">
        <f t="shared" si="224"/>
        <v>45478</v>
      </c>
      <c r="T2428" s="12">
        <f t="shared" si="225"/>
        <v>3.9866603836350882</v>
      </c>
      <c r="U2428" s="12">
        <f t="shared" si="221"/>
        <v>3.8926394591472953</v>
      </c>
      <c r="V2428" s="30">
        <f t="shared" si="222"/>
        <v>0.43760876712328767</v>
      </c>
      <c r="W2428" s="46">
        <f t="shared" si="226"/>
        <v>-3.9866603836350878E-2</v>
      </c>
      <c r="X2428" s="33">
        <f t="shared" si="223"/>
        <v>2.6357278431323881E-2</v>
      </c>
    </row>
    <row r="2429" spans="19:24" x14ac:dyDescent="0.25">
      <c r="S2429" s="44">
        <f t="shared" si="224"/>
        <v>45479</v>
      </c>
      <c r="T2429" s="12">
        <f t="shared" si="225"/>
        <v>3.9839833013335473</v>
      </c>
      <c r="U2429" s="12">
        <f t="shared" si="221"/>
        <v>3.8899882824225047</v>
      </c>
      <c r="V2429" s="30">
        <f t="shared" si="222"/>
        <v>0.43758136986301366</v>
      </c>
      <c r="W2429" s="46">
        <f t="shared" si="226"/>
        <v>-3.983983301333547E-2</v>
      </c>
      <c r="X2429" s="33">
        <f t="shared" si="223"/>
        <v>2.6357236919050932E-2</v>
      </c>
    </row>
    <row r="2430" spans="19:24" x14ac:dyDescent="0.25">
      <c r="S2430" s="44">
        <f t="shared" si="224"/>
        <v>45480</v>
      </c>
      <c r="T2430" s="12">
        <f t="shared" si="225"/>
        <v>3.9813062190320063</v>
      </c>
      <c r="U2430" s="12">
        <f t="shared" si="221"/>
        <v>3.8873371056977177</v>
      </c>
      <c r="V2430" s="30">
        <f t="shared" si="222"/>
        <v>0.43755397260273976</v>
      </c>
      <c r="W2430" s="46">
        <f t="shared" si="226"/>
        <v>-3.9813062190320055E-2</v>
      </c>
      <c r="X2430" s="33">
        <f t="shared" si="223"/>
        <v>2.6357195406777997E-2</v>
      </c>
    </row>
    <row r="2431" spans="19:24" x14ac:dyDescent="0.25">
      <c r="S2431" s="44">
        <f t="shared" si="224"/>
        <v>45481</v>
      </c>
      <c r="T2431" s="12">
        <f t="shared" si="225"/>
        <v>3.9786291367304645</v>
      </c>
      <c r="U2431" s="12">
        <f t="shared" si="221"/>
        <v>3.8846859289729272</v>
      </c>
      <c r="V2431" s="30">
        <f t="shared" si="222"/>
        <v>0.43752657534246575</v>
      </c>
      <c r="W2431" s="46">
        <f t="shared" si="226"/>
        <v>-3.9786291367304639E-2</v>
      </c>
      <c r="X2431" s="33">
        <f t="shared" si="223"/>
        <v>2.6357153894505048E-2</v>
      </c>
    </row>
    <row r="2432" spans="19:24" x14ac:dyDescent="0.25">
      <c r="S2432" s="44">
        <f t="shared" si="224"/>
        <v>45482</v>
      </c>
      <c r="T2432" s="12">
        <f t="shared" si="225"/>
        <v>3.975952054428924</v>
      </c>
      <c r="U2432" s="12">
        <f t="shared" si="221"/>
        <v>3.8820347522481384</v>
      </c>
      <c r="V2432" s="30">
        <f t="shared" si="222"/>
        <v>0.4374991780821918</v>
      </c>
      <c r="W2432" s="46">
        <f t="shared" si="226"/>
        <v>-3.9759520544289231E-2</v>
      </c>
      <c r="X2432" s="33">
        <f t="shared" si="223"/>
        <v>2.6357112382232106E-2</v>
      </c>
    </row>
    <row r="2433" spans="19:24" x14ac:dyDescent="0.25">
      <c r="S2433" s="44">
        <f t="shared" si="224"/>
        <v>45483</v>
      </c>
      <c r="T2433" s="12">
        <f t="shared" si="225"/>
        <v>3.9732749721273835</v>
      </c>
      <c r="U2433" s="12">
        <f t="shared" si="221"/>
        <v>3.8793835755233488</v>
      </c>
      <c r="V2433" s="30">
        <f t="shared" si="222"/>
        <v>0.43747178082191779</v>
      </c>
      <c r="W2433" s="46">
        <f t="shared" si="226"/>
        <v>-3.973274972127383E-2</v>
      </c>
      <c r="X2433" s="33">
        <f t="shared" si="223"/>
        <v>2.635707086995916E-2</v>
      </c>
    </row>
    <row r="2434" spans="19:24" x14ac:dyDescent="0.25">
      <c r="S2434" s="44">
        <f t="shared" si="224"/>
        <v>45484</v>
      </c>
      <c r="T2434" s="12">
        <f t="shared" si="225"/>
        <v>3.9705978898258416</v>
      </c>
      <c r="U2434" s="12">
        <f t="shared" si="221"/>
        <v>3.8767323987985609</v>
      </c>
      <c r="V2434" s="30">
        <f t="shared" si="222"/>
        <v>0.43744438356164383</v>
      </c>
      <c r="W2434" s="46">
        <f t="shared" si="226"/>
        <v>-3.9705978898258408E-2</v>
      </c>
      <c r="X2434" s="33">
        <f t="shared" si="223"/>
        <v>2.6357029357686218E-2</v>
      </c>
    </row>
    <row r="2435" spans="19:24" x14ac:dyDescent="0.25">
      <c r="S2435" s="44">
        <f t="shared" si="224"/>
        <v>45485</v>
      </c>
      <c r="T2435" s="12">
        <f t="shared" si="225"/>
        <v>3.9679208075243002</v>
      </c>
      <c r="U2435" s="12">
        <f t="shared" si="221"/>
        <v>3.8740812220737695</v>
      </c>
      <c r="V2435" s="30">
        <f t="shared" si="222"/>
        <v>0.43741698630136988</v>
      </c>
      <c r="W2435" s="46">
        <f t="shared" si="226"/>
        <v>-3.9679208075242993E-2</v>
      </c>
      <c r="X2435" s="33">
        <f t="shared" si="223"/>
        <v>2.6356987845413276E-2</v>
      </c>
    </row>
    <row r="2436" spans="19:24" x14ac:dyDescent="0.25">
      <c r="S2436" s="44">
        <f t="shared" si="224"/>
        <v>45486</v>
      </c>
      <c r="T2436" s="12">
        <f t="shared" si="225"/>
        <v>3.9652437252227593</v>
      </c>
      <c r="U2436" s="12">
        <f t="shared" si="221"/>
        <v>3.8714300453489807</v>
      </c>
      <c r="V2436" s="30">
        <f t="shared" si="222"/>
        <v>0.43738958904109587</v>
      </c>
      <c r="W2436" s="46">
        <f t="shared" si="226"/>
        <v>-3.9652437252227585E-2</v>
      </c>
      <c r="X2436" s="33">
        <f t="shared" si="223"/>
        <v>2.6356946333140324E-2</v>
      </c>
    </row>
    <row r="2437" spans="19:24" x14ac:dyDescent="0.25">
      <c r="S2437" s="44">
        <f t="shared" si="224"/>
        <v>45487</v>
      </c>
      <c r="T2437" s="12">
        <f t="shared" si="225"/>
        <v>3.9625666429212192</v>
      </c>
      <c r="U2437" s="12">
        <f t="shared" ref="U2437:U2500" si="227">DurMod($S2437,$B$2,$F$7:$G$37,U$3)</f>
        <v>3.8687788686241906</v>
      </c>
      <c r="V2437" s="30">
        <f t="shared" ref="V2437:V2500" si="228">+$U$3*($S$5512-S2437)/365+$T$3*(S2437-$S$4)/365</f>
        <v>0.43736219178082192</v>
      </c>
      <c r="W2437" s="46">
        <f t="shared" si="226"/>
        <v>-3.9625666429212184E-2</v>
      </c>
      <c r="X2437" s="33">
        <f t="shared" ref="X2437:X2500" si="229">+(V2437+W2437)*365/($S$5512-$S$4)</f>
        <v>2.6356904820867388E-2</v>
      </c>
    </row>
    <row r="2438" spans="19:24" x14ac:dyDescent="0.25">
      <c r="S2438" s="44">
        <f t="shared" si="224"/>
        <v>45488</v>
      </c>
      <c r="T2438" s="12">
        <f t="shared" si="225"/>
        <v>3.9598895606196778</v>
      </c>
      <c r="U2438" s="12">
        <f t="shared" si="227"/>
        <v>3.8661276918994023</v>
      </c>
      <c r="V2438" s="30">
        <f t="shared" si="228"/>
        <v>0.43733479452054791</v>
      </c>
      <c r="W2438" s="46">
        <f t="shared" si="226"/>
        <v>-3.9598895606196768E-2</v>
      </c>
      <c r="X2438" s="33">
        <f t="shared" si="229"/>
        <v>2.6356863308594439E-2</v>
      </c>
    </row>
    <row r="2439" spans="19:24" x14ac:dyDescent="0.25">
      <c r="S2439" s="44">
        <f t="shared" si="224"/>
        <v>45489</v>
      </c>
      <c r="T2439" s="12">
        <f t="shared" si="225"/>
        <v>3.9572124783181355</v>
      </c>
      <c r="U2439" s="12">
        <f t="shared" si="227"/>
        <v>3.8634765151746127</v>
      </c>
      <c r="V2439" s="30">
        <f t="shared" si="228"/>
        <v>0.43730739726027401</v>
      </c>
      <c r="W2439" s="46">
        <f t="shared" si="226"/>
        <v>-3.9572124783181346E-2</v>
      </c>
      <c r="X2439" s="33">
        <f t="shared" si="229"/>
        <v>2.6356821796321504E-2</v>
      </c>
    </row>
    <row r="2440" spans="19:24" x14ac:dyDescent="0.25">
      <c r="S2440" s="44">
        <f t="shared" si="224"/>
        <v>45490</v>
      </c>
      <c r="T2440" s="12">
        <f t="shared" si="225"/>
        <v>3.9545353960165941</v>
      </c>
      <c r="U2440" s="12">
        <f t="shared" si="227"/>
        <v>3.8608253384498235</v>
      </c>
      <c r="V2440" s="30">
        <f t="shared" si="228"/>
        <v>0.43728</v>
      </c>
      <c r="W2440" s="46">
        <f t="shared" si="226"/>
        <v>-3.9545353960165938E-2</v>
      </c>
      <c r="X2440" s="33">
        <f t="shared" si="229"/>
        <v>2.6356780284048552E-2</v>
      </c>
    </row>
    <row r="2441" spans="19:24" x14ac:dyDescent="0.25">
      <c r="S2441" s="44">
        <f t="shared" si="224"/>
        <v>45491</v>
      </c>
      <c r="T2441" s="12">
        <f t="shared" si="225"/>
        <v>3.9518583137150531</v>
      </c>
      <c r="U2441" s="12">
        <f t="shared" si="227"/>
        <v>3.8581741617250334</v>
      </c>
      <c r="V2441" s="30">
        <f t="shared" si="228"/>
        <v>0.43725260273972599</v>
      </c>
      <c r="W2441" s="46">
        <f t="shared" si="226"/>
        <v>-3.9518583137150523E-2</v>
      </c>
      <c r="X2441" s="33">
        <f t="shared" si="229"/>
        <v>2.635673877177561E-2</v>
      </c>
    </row>
    <row r="2442" spans="19:24" x14ac:dyDescent="0.25">
      <c r="S2442" s="44">
        <f t="shared" si="224"/>
        <v>45492</v>
      </c>
      <c r="T2442" s="12">
        <f t="shared" si="225"/>
        <v>3.9491812314135117</v>
      </c>
      <c r="U2442" s="12">
        <f t="shared" si="227"/>
        <v>3.8555229850002455</v>
      </c>
      <c r="V2442" s="30">
        <f t="shared" si="228"/>
        <v>0.43722520547945204</v>
      </c>
      <c r="W2442" s="46">
        <f t="shared" si="226"/>
        <v>-3.9491812314135108E-2</v>
      </c>
      <c r="X2442" s="33">
        <f t="shared" si="229"/>
        <v>2.6356697259502668E-2</v>
      </c>
    </row>
    <row r="2443" spans="19:24" x14ac:dyDescent="0.25">
      <c r="S2443" s="44">
        <f t="shared" si="224"/>
        <v>45493</v>
      </c>
      <c r="T2443" s="12">
        <f t="shared" si="225"/>
        <v>3.9465041491119708</v>
      </c>
      <c r="U2443" s="12">
        <f t="shared" si="227"/>
        <v>3.8528718082754563</v>
      </c>
      <c r="V2443" s="30">
        <f t="shared" si="228"/>
        <v>0.43719780821917809</v>
      </c>
      <c r="W2443" s="46">
        <f t="shared" si="226"/>
        <v>-3.94650414911197E-2</v>
      </c>
      <c r="X2443" s="33">
        <f t="shared" si="229"/>
        <v>2.6356655747229726E-2</v>
      </c>
    </row>
    <row r="2444" spans="19:24" x14ac:dyDescent="0.25">
      <c r="S2444" s="44">
        <f t="shared" si="224"/>
        <v>45494</v>
      </c>
      <c r="T2444" s="12">
        <f t="shared" si="225"/>
        <v>3.9438270668104312</v>
      </c>
      <c r="U2444" s="12">
        <f t="shared" si="227"/>
        <v>3.8502206315506662</v>
      </c>
      <c r="V2444" s="30">
        <f t="shared" si="228"/>
        <v>0.43717041095890413</v>
      </c>
      <c r="W2444" s="46">
        <f t="shared" si="226"/>
        <v>-3.9438270668104305E-2</v>
      </c>
      <c r="X2444" s="33">
        <f t="shared" si="229"/>
        <v>2.6356614234956777E-2</v>
      </c>
    </row>
    <row r="2445" spans="19:24" x14ac:dyDescent="0.25">
      <c r="S2445" s="44">
        <f t="shared" si="224"/>
        <v>45495</v>
      </c>
      <c r="T2445" s="12">
        <f t="shared" si="225"/>
        <v>3.9411499845088884</v>
      </c>
      <c r="U2445" s="12">
        <f t="shared" si="227"/>
        <v>3.8475694548258761</v>
      </c>
      <c r="V2445" s="30">
        <f t="shared" si="228"/>
        <v>0.43714301369863012</v>
      </c>
      <c r="W2445" s="46">
        <f t="shared" si="226"/>
        <v>-3.9411499845088876E-2</v>
      </c>
      <c r="X2445" s="33">
        <f t="shared" si="229"/>
        <v>2.6356572722683831E-2</v>
      </c>
    </row>
    <row r="2446" spans="19:24" x14ac:dyDescent="0.25">
      <c r="S2446" s="44">
        <f t="shared" si="224"/>
        <v>45496</v>
      </c>
      <c r="T2446" s="12">
        <f t="shared" si="225"/>
        <v>3.9384729022073466</v>
      </c>
      <c r="U2446" s="12">
        <f t="shared" si="227"/>
        <v>3.8449182781010873</v>
      </c>
      <c r="V2446" s="30">
        <f t="shared" si="228"/>
        <v>0.43711561643835617</v>
      </c>
      <c r="W2446" s="46">
        <f t="shared" si="226"/>
        <v>-3.9384729022073461E-2</v>
      </c>
      <c r="X2446" s="33">
        <f t="shared" si="229"/>
        <v>2.6356531210410893E-2</v>
      </c>
    </row>
    <row r="2447" spans="19:24" x14ac:dyDescent="0.25">
      <c r="S2447" s="44">
        <f t="shared" si="224"/>
        <v>45497</v>
      </c>
      <c r="T2447" s="12">
        <f t="shared" si="225"/>
        <v>3.935795819905807</v>
      </c>
      <c r="U2447" s="12">
        <f t="shared" si="227"/>
        <v>3.8422671013762986</v>
      </c>
      <c r="V2447" s="30">
        <f t="shared" si="228"/>
        <v>0.43708821917808216</v>
      </c>
      <c r="W2447" s="46">
        <f t="shared" si="226"/>
        <v>-3.935795819905806E-2</v>
      </c>
      <c r="X2447" s="33">
        <f t="shared" si="229"/>
        <v>2.635648969813794E-2</v>
      </c>
    </row>
    <row r="2448" spans="19:24" x14ac:dyDescent="0.25">
      <c r="S2448" s="44">
        <f t="shared" si="224"/>
        <v>45498</v>
      </c>
      <c r="T2448" s="12">
        <f t="shared" si="225"/>
        <v>3.933118737604266</v>
      </c>
      <c r="U2448" s="12">
        <f t="shared" si="227"/>
        <v>3.8396159246515071</v>
      </c>
      <c r="V2448" s="30">
        <f t="shared" si="228"/>
        <v>0.43706082191780826</v>
      </c>
      <c r="W2448" s="46">
        <f t="shared" si="226"/>
        <v>-3.9331187376042652E-2</v>
      </c>
      <c r="X2448" s="33">
        <f t="shared" si="229"/>
        <v>2.6356448185865005E-2</v>
      </c>
    </row>
    <row r="2449" spans="19:24" x14ac:dyDescent="0.25">
      <c r="S2449" s="44">
        <f t="shared" si="224"/>
        <v>45499</v>
      </c>
      <c r="T2449" s="12">
        <f t="shared" si="225"/>
        <v>3.9304416553027237</v>
      </c>
      <c r="U2449" s="12">
        <f t="shared" si="227"/>
        <v>3.8369647479267197</v>
      </c>
      <c r="V2449" s="30">
        <f t="shared" si="228"/>
        <v>0.43703342465753425</v>
      </c>
      <c r="W2449" s="46">
        <f t="shared" si="226"/>
        <v>-3.930441655302723E-2</v>
      </c>
      <c r="X2449" s="33">
        <f t="shared" si="229"/>
        <v>2.6356406673592056E-2</v>
      </c>
    </row>
    <row r="2450" spans="19:24" x14ac:dyDescent="0.25">
      <c r="S2450" s="44">
        <f t="shared" si="224"/>
        <v>45500</v>
      </c>
      <c r="T2450" s="12">
        <f t="shared" si="225"/>
        <v>3.9277645730011823</v>
      </c>
      <c r="U2450" s="12">
        <f t="shared" si="227"/>
        <v>3.8343135712019309</v>
      </c>
      <c r="V2450" s="30">
        <f t="shared" si="228"/>
        <v>0.43700602739726024</v>
      </c>
      <c r="W2450" s="46">
        <f t="shared" si="226"/>
        <v>-3.9277645730011815E-2</v>
      </c>
      <c r="X2450" s="33">
        <f t="shared" si="229"/>
        <v>2.6356365161319114E-2</v>
      </c>
    </row>
    <row r="2451" spans="19:24" x14ac:dyDescent="0.25">
      <c r="S2451" s="44">
        <f t="shared" si="224"/>
        <v>45501</v>
      </c>
      <c r="T2451" s="12">
        <f t="shared" si="225"/>
        <v>3.9250874906996414</v>
      </c>
      <c r="U2451" s="12">
        <f t="shared" si="227"/>
        <v>3.8316623944771413</v>
      </c>
      <c r="V2451" s="30">
        <f t="shared" si="228"/>
        <v>0.43697863013698623</v>
      </c>
      <c r="W2451" s="46">
        <f t="shared" si="226"/>
        <v>-3.9250874906996407E-2</v>
      </c>
      <c r="X2451" s="33">
        <f t="shared" si="229"/>
        <v>2.6356323649046168E-2</v>
      </c>
    </row>
    <row r="2452" spans="19:24" x14ac:dyDescent="0.25">
      <c r="S2452" s="44">
        <f t="shared" si="224"/>
        <v>45502</v>
      </c>
      <c r="T2452" s="12">
        <f t="shared" si="225"/>
        <v>3.9224104083981</v>
      </c>
      <c r="U2452" s="12">
        <f t="shared" si="227"/>
        <v>3.829011217752353</v>
      </c>
      <c r="V2452" s="30">
        <f t="shared" si="228"/>
        <v>0.43695123287671234</v>
      </c>
      <c r="W2452" s="46">
        <f t="shared" si="226"/>
        <v>-3.9224104083980992E-2</v>
      </c>
      <c r="X2452" s="33">
        <f t="shared" si="229"/>
        <v>2.635628213677323E-2</v>
      </c>
    </row>
    <row r="2453" spans="19:24" x14ac:dyDescent="0.25">
      <c r="S2453" s="44">
        <f t="shared" si="224"/>
        <v>45503</v>
      </c>
      <c r="T2453" s="12">
        <f t="shared" si="225"/>
        <v>3.9197333260965581</v>
      </c>
      <c r="U2453" s="12">
        <f t="shared" si="227"/>
        <v>3.8263600410275616</v>
      </c>
      <c r="V2453" s="30">
        <f t="shared" si="228"/>
        <v>0.43692383561643833</v>
      </c>
      <c r="W2453" s="46">
        <f t="shared" si="226"/>
        <v>-3.9197333260965576E-2</v>
      </c>
      <c r="X2453" s="33">
        <f t="shared" si="229"/>
        <v>2.6356240624500284E-2</v>
      </c>
    </row>
    <row r="2454" spans="19:24" x14ac:dyDescent="0.25">
      <c r="S2454" s="44">
        <f t="shared" si="224"/>
        <v>45504</v>
      </c>
      <c r="T2454" s="12">
        <f t="shared" si="225"/>
        <v>3.9170562437950172</v>
      </c>
      <c r="U2454" s="12">
        <f t="shared" si="227"/>
        <v>3.8237088643027741</v>
      </c>
      <c r="V2454" s="30">
        <f t="shared" si="228"/>
        <v>0.43689643835616437</v>
      </c>
      <c r="W2454" s="46">
        <f t="shared" si="226"/>
        <v>-3.9170562437950168E-2</v>
      </c>
      <c r="X2454" s="33">
        <f t="shared" si="229"/>
        <v>2.6356199112227335E-2</v>
      </c>
    </row>
    <row r="2455" spans="19:24" x14ac:dyDescent="0.25">
      <c r="S2455" s="44">
        <f t="shared" si="224"/>
        <v>45505</v>
      </c>
      <c r="T2455" s="12">
        <f t="shared" si="225"/>
        <v>3.9143791614934758</v>
      </c>
      <c r="U2455" s="12">
        <f t="shared" si="227"/>
        <v>3.8210576875779836</v>
      </c>
      <c r="V2455" s="30">
        <f t="shared" si="228"/>
        <v>0.43686904109589042</v>
      </c>
      <c r="W2455" s="46">
        <f t="shared" si="226"/>
        <v>-3.9143791614934753E-2</v>
      </c>
      <c r="X2455" s="33">
        <f t="shared" si="229"/>
        <v>2.6356157599954397E-2</v>
      </c>
    </row>
    <row r="2456" spans="19:24" x14ac:dyDescent="0.25">
      <c r="S2456" s="44">
        <f t="shared" si="224"/>
        <v>45506</v>
      </c>
      <c r="T2456" s="12">
        <f t="shared" si="225"/>
        <v>3.9117020791919357</v>
      </c>
      <c r="U2456" s="12">
        <f t="shared" si="227"/>
        <v>3.8184065108531948</v>
      </c>
      <c r="V2456" s="30">
        <f t="shared" si="228"/>
        <v>0.43684164383561641</v>
      </c>
      <c r="W2456" s="46">
        <f t="shared" si="226"/>
        <v>-3.9117020791919352E-2</v>
      </c>
      <c r="X2456" s="33">
        <f t="shared" si="229"/>
        <v>2.6356116087681448E-2</v>
      </c>
    </row>
    <row r="2457" spans="19:24" x14ac:dyDescent="0.25">
      <c r="S2457" s="44">
        <f t="shared" si="224"/>
        <v>45507</v>
      </c>
      <c r="T2457" s="12">
        <f t="shared" si="225"/>
        <v>3.9090249968903947</v>
      </c>
      <c r="U2457" s="12">
        <f t="shared" si="227"/>
        <v>3.8157553341284052</v>
      </c>
      <c r="V2457" s="30">
        <f t="shared" si="228"/>
        <v>0.43681424657534246</v>
      </c>
      <c r="W2457" s="46">
        <f t="shared" si="226"/>
        <v>-3.9090249968903944E-2</v>
      </c>
      <c r="X2457" s="33">
        <f t="shared" si="229"/>
        <v>2.6356074575408513E-2</v>
      </c>
    </row>
    <row r="2458" spans="19:24" x14ac:dyDescent="0.25">
      <c r="S2458" s="44">
        <f t="shared" si="224"/>
        <v>45508</v>
      </c>
      <c r="T2458" s="12">
        <f t="shared" si="225"/>
        <v>3.9063479145888529</v>
      </c>
      <c r="U2458" s="12">
        <f t="shared" si="227"/>
        <v>3.813104157403616</v>
      </c>
      <c r="V2458" s="30">
        <f t="shared" si="228"/>
        <v>0.4367868493150685</v>
      </c>
      <c r="W2458" s="46">
        <f t="shared" si="226"/>
        <v>-3.9063479145888522E-2</v>
      </c>
      <c r="X2458" s="33">
        <f t="shared" si="229"/>
        <v>2.6356033063135564E-2</v>
      </c>
    </row>
    <row r="2459" spans="19:24" x14ac:dyDescent="0.25">
      <c r="S2459" s="44">
        <f t="shared" si="224"/>
        <v>45509</v>
      </c>
      <c r="T2459" s="12">
        <f t="shared" si="225"/>
        <v>3.9036708322873119</v>
      </c>
      <c r="U2459" s="12">
        <f t="shared" si="227"/>
        <v>3.8104529806788277</v>
      </c>
      <c r="V2459" s="30">
        <f t="shared" si="228"/>
        <v>0.43675945205479449</v>
      </c>
      <c r="W2459" s="46">
        <f t="shared" si="226"/>
        <v>-3.9036708322873113E-2</v>
      </c>
      <c r="X2459" s="33">
        <f t="shared" si="229"/>
        <v>2.6355991550862622E-2</v>
      </c>
    </row>
    <row r="2460" spans="19:24" x14ac:dyDescent="0.25">
      <c r="S2460" s="44">
        <f t="shared" si="224"/>
        <v>45510</v>
      </c>
      <c r="T2460" s="12">
        <f t="shared" si="225"/>
        <v>3.9009937499857696</v>
      </c>
      <c r="U2460" s="12">
        <f t="shared" si="227"/>
        <v>3.8078018039540371</v>
      </c>
      <c r="V2460" s="30">
        <f t="shared" si="228"/>
        <v>0.43673205479452049</v>
      </c>
      <c r="W2460" s="46">
        <f t="shared" si="226"/>
        <v>-3.9009937499857691E-2</v>
      </c>
      <c r="X2460" s="33">
        <f t="shared" si="229"/>
        <v>2.6355950038589676E-2</v>
      </c>
    </row>
    <row r="2461" spans="19:24" x14ac:dyDescent="0.25">
      <c r="S2461" s="44">
        <f t="shared" si="224"/>
        <v>45511</v>
      </c>
      <c r="T2461" s="12">
        <f t="shared" si="225"/>
        <v>3.8983166676842282</v>
      </c>
      <c r="U2461" s="12">
        <f t="shared" si="227"/>
        <v>3.8051506272292479</v>
      </c>
      <c r="V2461" s="30">
        <f t="shared" si="228"/>
        <v>0.43670465753424659</v>
      </c>
      <c r="W2461" s="46">
        <f t="shared" si="226"/>
        <v>-3.8983166676842276E-2</v>
      </c>
      <c r="X2461" s="33">
        <f t="shared" si="229"/>
        <v>2.6355908526316734E-2</v>
      </c>
    </row>
    <row r="2462" spans="19:24" x14ac:dyDescent="0.25">
      <c r="S2462" s="44">
        <f t="shared" si="224"/>
        <v>45512</v>
      </c>
      <c r="T2462" s="12">
        <f t="shared" si="225"/>
        <v>3.8956395853826873</v>
      </c>
      <c r="U2462" s="12">
        <f t="shared" si="227"/>
        <v>3.8024994505044591</v>
      </c>
      <c r="V2462" s="30">
        <f t="shared" si="228"/>
        <v>0.43667726027397258</v>
      </c>
      <c r="W2462" s="46">
        <f t="shared" si="226"/>
        <v>-3.8956395853826868E-2</v>
      </c>
      <c r="X2462" s="33">
        <f t="shared" si="229"/>
        <v>2.6355867014043785E-2</v>
      </c>
    </row>
    <row r="2463" spans="19:24" x14ac:dyDescent="0.25">
      <c r="S2463" s="44">
        <f t="shared" si="224"/>
        <v>45513</v>
      </c>
      <c r="T2463" s="12">
        <f t="shared" si="225"/>
        <v>3.8929625030811477</v>
      </c>
      <c r="U2463" s="12">
        <f t="shared" si="227"/>
        <v>3.7998482737796708</v>
      </c>
      <c r="V2463" s="30">
        <f t="shared" si="228"/>
        <v>0.43664986301369868</v>
      </c>
      <c r="W2463" s="46">
        <f t="shared" si="226"/>
        <v>-3.8929625030811474E-2</v>
      </c>
      <c r="X2463" s="33">
        <f t="shared" si="229"/>
        <v>2.635582550177085E-2</v>
      </c>
    </row>
    <row r="2464" spans="19:24" x14ac:dyDescent="0.25">
      <c r="S2464" s="44">
        <f t="shared" si="224"/>
        <v>45514</v>
      </c>
      <c r="T2464" s="12">
        <f t="shared" si="225"/>
        <v>3.8902854207796072</v>
      </c>
      <c r="U2464" s="12">
        <f t="shared" si="227"/>
        <v>3.7971970970548812</v>
      </c>
      <c r="V2464" s="30">
        <f t="shared" si="228"/>
        <v>0.43662246575342467</v>
      </c>
      <c r="W2464" s="46">
        <f t="shared" si="226"/>
        <v>-3.8902854207796066E-2</v>
      </c>
      <c r="X2464" s="33">
        <f t="shared" si="229"/>
        <v>2.6355783989497901E-2</v>
      </c>
    </row>
    <row r="2465" spans="19:24" x14ac:dyDescent="0.25">
      <c r="S2465" s="44">
        <f t="shared" si="224"/>
        <v>45515</v>
      </c>
      <c r="T2465" s="12">
        <f t="shared" si="225"/>
        <v>3.8876083384780649</v>
      </c>
      <c r="U2465" s="12">
        <f t="shared" si="227"/>
        <v>3.7945459203300911</v>
      </c>
      <c r="V2465" s="30">
        <f t="shared" si="228"/>
        <v>0.43659506849315066</v>
      </c>
      <c r="W2465" s="46">
        <f t="shared" si="226"/>
        <v>-3.8876083384780644E-2</v>
      </c>
      <c r="X2465" s="33">
        <f t="shared" si="229"/>
        <v>2.6355742477224955E-2</v>
      </c>
    </row>
    <row r="2466" spans="19:24" x14ac:dyDescent="0.25">
      <c r="S2466" s="44">
        <f t="shared" ref="S2466:S2529" si="230">+S2465+1</f>
        <v>45516</v>
      </c>
      <c r="T2466" s="12">
        <f t="shared" ref="T2466:T2529" si="231">DurMod(S2466,B$2,$F$7:$G$37,$T$3)</f>
        <v>3.884931256176523</v>
      </c>
      <c r="U2466" s="12">
        <f t="shared" si="227"/>
        <v>3.7918947436053028</v>
      </c>
      <c r="V2466" s="30">
        <f t="shared" si="228"/>
        <v>0.43656767123287671</v>
      </c>
      <c r="W2466" s="46">
        <f t="shared" ref="W2466:W2529" si="232">+-T2466*($U$3-$T$3)</f>
        <v>-3.8849312561765222E-2</v>
      </c>
      <c r="X2466" s="33">
        <f t="shared" si="229"/>
        <v>2.6355700964952013E-2</v>
      </c>
    </row>
    <row r="2467" spans="19:24" x14ac:dyDescent="0.25">
      <c r="S2467" s="44">
        <f t="shared" si="230"/>
        <v>45517</v>
      </c>
      <c r="T2467" s="12">
        <f t="shared" si="231"/>
        <v>3.8822541738749834</v>
      </c>
      <c r="U2467" s="12">
        <f t="shared" si="227"/>
        <v>3.7892435668805131</v>
      </c>
      <c r="V2467" s="30">
        <f t="shared" si="228"/>
        <v>0.43654027397260275</v>
      </c>
      <c r="W2467" s="46">
        <f t="shared" si="232"/>
        <v>-3.8822541738749827E-2</v>
      </c>
      <c r="X2467" s="33">
        <f t="shared" si="229"/>
        <v>2.6355659452679071E-2</v>
      </c>
    </row>
    <row r="2468" spans="19:24" x14ac:dyDescent="0.25">
      <c r="S2468" s="44">
        <f t="shared" si="230"/>
        <v>45518</v>
      </c>
      <c r="T2468" s="12">
        <f t="shared" si="231"/>
        <v>3.8795770915734398</v>
      </c>
      <c r="U2468" s="12">
        <f t="shared" si="227"/>
        <v>3.7865923901557235</v>
      </c>
      <c r="V2468" s="30">
        <f t="shared" si="228"/>
        <v>0.4365128767123288</v>
      </c>
      <c r="W2468" s="46">
        <f t="shared" si="232"/>
        <v>-3.8795770915734391E-2</v>
      </c>
      <c r="X2468" s="33">
        <f t="shared" si="229"/>
        <v>2.6355617940406129E-2</v>
      </c>
    </row>
    <row r="2469" spans="19:24" x14ac:dyDescent="0.25">
      <c r="S2469" s="44">
        <f t="shared" si="230"/>
        <v>45519</v>
      </c>
      <c r="T2469" s="12">
        <f t="shared" si="231"/>
        <v>3.8769000092719001</v>
      </c>
      <c r="U2469" s="12">
        <f t="shared" si="227"/>
        <v>3.7839412134309338</v>
      </c>
      <c r="V2469" s="30">
        <f t="shared" si="228"/>
        <v>0.43648547945205485</v>
      </c>
      <c r="W2469" s="46">
        <f t="shared" si="232"/>
        <v>-3.8769000092718997E-2</v>
      </c>
      <c r="X2469" s="33">
        <f t="shared" si="229"/>
        <v>2.6355576428133187E-2</v>
      </c>
    </row>
    <row r="2470" spans="19:24" x14ac:dyDescent="0.25">
      <c r="S2470" s="44">
        <f t="shared" si="230"/>
        <v>45520</v>
      </c>
      <c r="T2470" s="12">
        <f t="shared" si="231"/>
        <v>3.8742229269703583</v>
      </c>
      <c r="U2470" s="12">
        <f t="shared" si="227"/>
        <v>3.7812900367061446</v>
      </c>
      <c r="V2470" s="30">
        <f t="shared" si="228"/>
        <v>0.43645808219178084</v>
      </c>
      <c r="W2470" s="46">
        <f t="shared" si="232"/>
        <v>-3.8742229269703575E-2</v>
      </c>
      <c r="X2470" s="33">
        <f t="shared" si="229"/>
        <v>2.6355534915860238E-2</v>
      </c>
    </row>
    <row r="2471" spans="19:24" x14ac:dyDescent="0.25">
      <c r="S2471" s="44">
        <f t="shared" si="230"/>
        <v>45521</v>
      </c>
      <c r="T2471" s="12">
        <f t="shared" si="231"/>
        <v>3.8715458446688169</v>
      </c>
      <c r="U2471" s="12">
        <f t="shared" si="227"/>
        <v>3.7786388599813554</v>
      </c>
      <c r="V2471" s="30">
        <f t="shared" si="228"/>
        <v>0.43643068493150683</v>
      </c>
      <c r="W2471" s="46">
        <f t="shared" si="232"/>
        <v>-3.871545844668816E-2</v>
      </c>
      <c r="X2471" s="33">
        <f t="shared" si="229"/>
        <v>2.6355493403587293E-2</v>
      </c>
    </row>
    <row r="2472" spans="19:24" x14ac:dyDescent="0.25">
      <c r="S2472" s="44">
        <f t="shared" si="230"/>
        <v>45522</v>
      </c>
      <c r="T2472" s="12">
        <f t="shared" si="231"/>
        <v>3.8688687623672773</v>
      </c>
      <c r="U2472" s="12">
        <f t="shared" si="227"/>
        <v>3.7759876832565662</v>
      </c>
      <c r="V2472" s="30">
        <f t="shared" si="228"/>
        <v>0.43640328767123293</v>
      </c>
      <c r="W2472" s="46">
        <f t="shared" si="232"/>
        <v>-3.8688687623672766E-2</v>
      </c>
      <c r="X2472" s="33">
        <f t="shared" si="229"/>
        <v>2.6355451891314351E-2</v>
      </c>
    </row>
    <row r="2473" spans="19:24" x14ac:dyDescent="0.25">
      <c r="S2473" s="44">
        <f t="shared" si="230"/>
        <v>45523</v>
      </c>
      <c r="T2473" s="12">
        <f t="shared" si="231"/>
        <v>3.8661916800657354</v>
      </c>
      <c r="U2473" s="12">
        <f t="shared" si="227"/>
        <v>3.7733365065317765</v>
      </c>
      <c r="V2473" s="30">
        <f t="shared" si="228"/>
        <v>0.43637589041095892</v>
      </c>
      <c r="W2473" s="46">
        <f t="shared" si="232"/>
        <v>-3.866191680065735E-2</v>
      </c>
      <c r="X2473" s="33">
        <f t="shared" si="229"/>
        <v>2.6355410379041409E-2</v>
      </c>
    </row>
    <row r="2474" spans="19:24" x14ac:dyDescent="0.25">
      <c r="S2474" s="44">
        <f t="shared" si="230"/>
        <v>45524</v>
      </c>
      <c r="T2474" s="12">
        <f t="shared" si="231"/>
        <v>3.8635145977641936</v>
      </c>
      <c r="U2474" s="12">
        <f t="shared" si="227"/>
        <v>3.7706853298069869</v>
      </c>
      <c r="V2474" s="30">
        <f t="shared" si="228"/>
        <v>0.43634849315068491</v>
      </c>
      <c r="W2474" s="46">
        <f t="shared" si="232"/>
        <v>-3.8635145977641928E-2</v>
      </c>
      <c r="X2474" s="33">
        <f t="shared" si="229"/>
        <v>2.635536886676846E-2</v>
      </c>
    </row>
    <row r="2475" spans="19:24" x14ac:dyDescent="0.25">
      <c r="S2475" s="44">
        <f t="shared" si="230"/>
        <v>45525</v>
      </c>
      <c r="T2475" s="12">
        <f t="shared" si="231"/>
        <v>3.8608375154626531</v>
      </c>
      <c r="U2475" s="12">
        <f t="shared" si="227"/>
        <v>3.7680341530821968</v>
      </c>
      <c r="V2475" s="30">
        <f t="shared" si="228"/>
        <v>0.43632109589041096</v>
      </c>
      <c r="W2475" s="46">
        <f t="shared" si="232"/>
        <v>-3.8608375154626527E-2</v>
      </c>
      <c r="X2475" s="33">
        <f t="shared" si="229"/>
        <v>2.6355327354495521E-2</v>
      </c>
    </row>
    <row r="2476" spans="19:24" x14ac:dyDescent="0.25">
      <c r="S2476" s="44">
        <f t="shared" si="230"/>
        <v>45526</v>
      </c>
      <c r="T2476" s="12">
        <f t="shared" si="231"/>
        <v>3.8581604331611108</v>
      </c>
      <c r="U2476" s="12">
        <f t="shared" si="227"/>
        <v>3.7653829763574094</v>
      </c>
      <c r="V2476" s="30">
        <f t="shared" si="228"/>
        <v>0.43629369863013701</v>
      </c>
      <c r="W2476" s="46">
        <f t="shared" si="232"/>
        <v>-3.8581604331611105E-2</v>
      </c>
      <c r="X2476" s="33">
        <f t="shared" si="229"/>
        <v>2.6355285842222579E-2</v>
      </c>
    </row>
    <row r="2477" spans="19:24" x14ac:dyDescent="0.25">
      <c r="S2477" s="44">
        <f t="shared" si="230"/>
        <v>45527</v>
      </c>
      <c r="T2477" s="12">
        <f t="shared" si="231"/>
        <v>3.8554833508595703</v>
      </c>
      <c r="U2477" s="12">
        <f t="shared" si="227"/>
        <v>3.7627317996326184</v>
      </c>
      <c r="V2477" s="30">
        <f t="shared" si="228"/>
        <v>0.436266301369863</v>
      </c>
      <c r="W2477" s="46">
        <f t="shared" si="232"/>
        <v>-3.8554833508595697E-2</v>
      </c>
      <c r="X2477" s="33">
        <f t="shared" si="229"/>
        <v>2.635524432994963E-2</v>
      </c>
    </row>
    <row r="2478" spans="19:24" x14ac:dyDescent="0.25">
      <c r="S2478" s="44">
        <f t="shared" si="230"/>
        <v>45528</v>
      </c>
      <c r="T2478" s="12">
        <f t="shared" si="231"/>
        <v>3.8528062685580298</v>
      </c>
      <c r="U2478" s="12">
        <f t="shared" si="227"/>
        <v>3.7600806229078305</v>
      </c>
      <c r="V2478" s="30">
        <f t="shared" si="228"/>
        <v>0.43623890410958904</v>
      </c>
      <c r="W2478" s="46">
        <f t="shared" si="232"/>
        <v>-3.8528062685580289E-2</v>
      </c>
      <c r="X2478" s="33">
        <f t="shared" si="229"/>
        <v>2.6355202817676688E-2</v>
      </c>
    </row>
    <row r="2479" spans="19:24" x14ac:dyDescent="0.25">
      <c r="S2479" s="44">
        <f t="shared" si="230"/>
        <v>45529</v>
      </c>
      <c r="T2479" s="12">
        <f t="shared" si="231"/>
        <v>3.8501291862564897</v>
      </c>
      <c r="U2479" s="12">
        <f t="shared" si="227"/>
        <v>3.75742944618304</v>
      </c>
      <c r="V2479" s="30">
        <f t="shared" si="228"/>
        <v>0.43621150684931509</v>
      </c>
      <c r="W2479" s="46">
        <f t="shared" si="232"/>
        <v>-3.8501291862564894E-2</v>
      </c>
      <c r="X2479" s="33">
        <f t="shared" si="229"/>
        <v>2.6355161305403742E-2</v>
      </c>
    </row>
    <row r="2480" spans="19:24" x14ac:dyDescent="0.25">
      <c r="S2480" s="44">
        <f t="shared" si="230"/>
        <v>45530</v>
      </c>
      <c r="T2480" s="12">
        <f t="shared" si="231"/>
        <v>3.8474521039549461</v>
      </c>
      <c r="U2480" s="12">
        <f t="shared" si="227"/>
        <v>3.7547782694582517</v>
      </c>
      <c r="V2480" s="30">
        <f t="shared" si="228"/>
        <v>0.43618410958904108</v>
      </c>
      <c r="W2480" s="46">
        <f t="shared" si="232"/>
        <v>-3.8474521039549452E-2</v>
      </c>
      <c r="X2480" s="33">
        <f t="shared" si="229"/>
        <v>2.63551197931308E-2</v>
      </c>
    </row>
    <row r="2481" spans="19:24" x14ac:dyDescent="0.25">
      <c r="S2481" s="44">
        <f t="shared" si="230"/>
        <v>45531</v>
      </c>
      <c r="T2481" s="12">
        <f t="shared" si="231"/>
        <v>3.8447750216534051</v>
      </c>
      <c r="U2481" s="12">
        <f t="shared" si="227"/>
        <v>3.7521270927334625</v>
      </c>
      <c r="V2481" s="30">
        <f t="shared" si="228"/>
        <v>0.43615671232876718</v>
      </c>
      <c r="W2481" s="46">
        <f t="shared" si="232"/>
        <v>-3.8447750216534043E-2</v>
      </c>
      <c r="X2481" s="33">
        <f t="shared" si="229"/>
        <v>2.6355078280857862E-2</v>
      </c>
    </row>
    <row r="2482" spans="19:24" x14ac:dyDescent="0.25">
      <c r="S2482" s="44">
        <f t="shared" si="230"/>
        <v>45532</v>
      </c>
      <c r="T2482" s="12">
        <f t="shared" si="231"/>
        <v>3.8420979393518642</v>
      </c>
      <c r="U2482" s="12">
        <f t="shared" si="227"/>
        <v>3.7494759160086728</v>
      </c>
      <c r="V2482" s="30">
        <f t="shared" si="228"/>
        <v>0.43612931506849317</v>
      </c>
      <c r="W2482" s="46">
        <f t="shared" si="232"/>
        <v>-3.8420979393518635E-2</v>
      </c>
      <c r="X2482" s="33">
        <f t="shared" si="229"/>
        <v>2.6355036768584916E-2</v>
      </c>
    </row>
    <row r="2483" spans="19:24" x14ac:dyDescent="0.25">
      <c r="S2483" s="44">
        <f t="shared" si="230"/>
        <v>45533</v>
      </c>
      <c r="T2483" s="12">
        <f t="shared" si="231"/>
        <v>3.8394208570503232</v>
      </c>
      <c r="U2483" s="12">
        <f t="shared" si="227"/>
        <v>3.7468247392838836</v>
      </c>
      <c r="V2483" s="30">
        <f t="shared" si="228"/>
        <v>0.43610191780821916</v>
      </c>
      <c r="W2483" s="46">
        <f t="shared" si="232"/>
        <v>-3.8394208570503227E-2</v>
      </c>
      <c r="X2483" s="33">
        <f t="shared" si="229"/>
        <v>2.6354995256311967E-2</v>
      </c>
    </row>
    <row r="2484" spans="19:24" x14ac:dyDescent="0.25">
      <c r="S2484" s="44">
        <f t="shared" si="230"/>
        <v>45534</v>
      </c>
      <c r="T2484" s="12">
        <f t="shared" si="231"/>
        <v>3.8367437747487818</v>
      </c>
      <c r="U2484" s="12">
        <f t="shared" si="227"/>
        <v>3.7441735625590953</v>
      </c>
      <c r="V2484" s="30">
        <f t="shared" si="228"/>
        <v>0.43607452054794515</v>
      </c>
      <c r="W2484" s="46">
        <f t="shared" si="232"/>
        <v>-3.8367437747487812E-2</v>
      </c>
      <c r="X2484" s="33">
        <f t="shared" si="229"/>
        <v>2.6354953744039022E-2</v>
      </c>
    </row>
    <row r="2485" spans="19:24" x14ac:dyDescent="0.25">
      <c r="S2485" s="44">
        <f t="shared" si="230"/>
        <v>45535</v>
      </c>
      <c r="T2485" s="12">
        <f t="shared" si="231"/>
        <v>3.8340666924472409</v>
      </c>
      <c r="U2485" s="12">
        <f t="shared" si="227"/>
        <v>3.7415223858343052</v>
      </c>
      <c r="V2485" s="30">
        <f t="shared" si="228"/>
        <v>0.43604712328767126</v>
      </c>
      <c r="W2485" s="46">
        <f t="shared" si="232"/>
        <v>-3.8340666924472404E-2</v>
      </c>
      <c r="X2485" s="33">
        <f t="shared" si="229"/>
        <v>2.6354912231766083E-2</v>
      </c>
    </row>
    <row r="2486" spans="19:24" x14ac:dyDescent="0.25">
      <c r="S2486" s="44">
        <f t="shared" si="230"/>
        <v>45536</v>
      </c>
      <c r="T2486" s="12">
        <f t="shared" si="231"/>
        <v>3.8313896101456999</v>
      </c>
      <c r="U2486" s="12">
        <f t="shared" si="227"/>
        <v>3.7388712091095155</v>
      </c>
      <c r="V2486" s="30">
        <f t="shared" si="228"/>
        <v>0.43601972602739725</v>
      </c>
      <c r="W2486" s="46">
        <f t="shared" si="232"/>
        <v>-3.8313896101456996E-2</v>
      </c>
      <c r="X2486" s="33">
        <f t="shared" si="229"/>
        <v>2.6354870719493138E-2</v>
      </c>
    </row>
    <row r="2487" spans="19:24" x14ac:dyDescent="0.25">
      <c r="S2487" s="44">
        <f t="shared" si="230"/>
        <v>45537</v>
      </c>
      <c r="T2487" s="12">
        <f t="shared" si="231"/>
        <v>3.8287125278441585</v>
      </c>
      <c r="U2487" s="12">
        <f t="shared" si="227"/>
        <v>3.7362200323847268</v>
      </c>
      <c r="V2487" s="30">
        <f t="shared" si="228"/>
        <v>0.43599232876712329</v>
      </c>
      <c r="W2487" s="46">
        <f t="shared" si="232"/>
        <v>-3.8287125278441581E-2</v>
      </c>
      <c r="X2487" s="33">
        <f t="shared" si="229"/>
        <v>2.6354829207220196E-2</v>
      </c>
    </row>
    <row r="2488" spans="19:24" x14ac:dyDescent="0.25">
      <c r="S2488" s="44">
        <f t="shared" si="230"/>
        <v>45538</v>
      </c>
      <c r="T2488" s="12">
        <f t="shared" si="231"/>
        <v>3.826035445542618</v>
      </c>
      <c r="U2488" s="12">
        <f t="shared" si="227"/>
        <v>3.7335688556599376</v>
      </c>
      <c r="V2488" s="30">
        <f t="shared" si="228"/>
        <v>0.43596493150684928</v>
      </c>
      <c r="W2488" s="46">
        <f t="shared" si="232"/>
        <v>-3.8260354455426172E-2</v>
      </c>
      <c r="X2488" s="33">
        <f t="shared" si="229"/>
        <v>2.6354787694947247E-2</v>
      </c>
    </row>
    <row r="2489" spans="19:24" x14ac:dyDescent="0.25">
      <c r="S2489" s="44">
        <f t="shared" si="230"/>
        <v>45539</v>
      </c>
      <c r="T2489" s="12">
        <f t="shared" si="231"/>
        <v>3.8233583632410761</v>
      </c>
      <c r="U2489" s="12">
        <f t="shared" si="227"/>
        <v>3.7309176789351479</v>
      </c>
      <c r="V2489" s="30">
        <f t="shared" si="228"/>
        <v>0.43593753424657533</v>
      </c>
      <c r="W2489" s="46">
        <f t="shared" si="232"/>
        <v>-3.8233583632410757E-2</v>
      </c>
      <c r="X2489" s="33">
        <f t="shared" si="229"/>
        <v>2.6354746182674305E-2</v>
      </c>
    </row>
    <row r="2490" spans="19:24" x14ac:dyDescent="0.25">
      <c r="S2490" s="44">
        <f t="shared" si="230"/>
        <v>45540</v>
      </c>
      <c r="T2490" s="12">
        <f t="shared" si="231"/>
        <v>3.8206812809395325</v>
      </c>
      <c r="U2490" s="12">
        <f t="shared" si="227"/>
        <v>3.7282665022103587</v>
      </c>
      <c r="V2490" s="30">
        <f t="shared" si="228"/>
        <v>0.43591013698630138</v>
      </c>
      <c r="W2490" s="46">
        <f t="shared" si="232"/>
        <v>-3.8206812809395321E-2</v>
      </c>
      <c r="X2490" s="33">
        <f t="shared" si="229"/>
        <v>2.6354704670401363E-2</v>
      </c>
    </row>
    <row r="2491" spans="19:24" x14ac:dyDescent="0.25">
      <c r="S2491" s="44">
        <f t="shared" si="230"/>
        <v>45541</v>
      </c>
      <c r="T2491" s="12">
        <f t="shared" si="231"/>
        <v>3.8180041986379933</v>
      </c>
      <c r="U2491" s="12">
        <f t="shared" si="227"/>
        <v>3.7256153254855704</v>
      </c>
      <c r="V2491" s="30">
        <f t="shared" si="228"/>
        <v>0.43588273972602742</v>
      </c>
      <c r="W2491" s="46">
        <f t="shared" si="232"/>
        <v>-3.8180041986379927E-2</v>
      </c>
      <c r="X2491" s="33">
        <f t="shared" si="229"/>
        <v>2.635466315812842E-2</v>
      </c>
    </row>
    <row r="2492" spans="19:24" x14ac:dyDescent="0.25">
      <c r="S2492" s="44">
        <f t="shared" si="230"/>
        <v>45542</v>
      </c>
      <c r="T2492" s="12">
        <f t="shared" si="231"/>
        <v>3.8153271163364524</v>
      </c>
      <c r="U2492" s="12">
        <f t="shared" si="227"/>
        <v>3.7229641487607799</v>
      </c>
      <c r="V2492" s="30">
        <f t="shared" si="228"/>
        <v>0.43585534246575341</v>
      </c>
      <c r="W2492" s="46">
        <f t="shared" si="232"/>
        <v>-3.8153271163364519E-2</v>
      </c>
      <c r="X2492" s="33">
        <f t="shared" si="229"/>
        <v>2.6354621645855475E-2</v>
      </c>
    </row>
    <row r="2493" spans="19:24" x14ac:dyDescent="0.25">
      <c r="S2493" s="44">
        <f t="shared" si="230"/>
        <v>45543</v>
      </c>
      <c r="T2493" s="12">
        <f t="shared" si="231"/>
        <v>3.8126500340349119</v>
      </c>
      <c r="U2493" s="12">
        <f t="shared" si="227"/>
        <v>3.7203129720359907</v>
      </c>
      <c r="V2493" s="30">
        <f t="shared" si="228"/>
        <v>0.43582794520547941</v>
      </c>
      <c r="W2493" s="46">
        <f t="shared" si="232"/>
        <v>-3.8126500340349111E-2</v>
      </c>
      <c r="X2493" s="33">
        <f t="shared" si="229"/>
        <v>2.6354580133582526E-2</v>
      </c>
    </row>
    <row r="2494" spans="19:24" x14ac:dyDescent="0.25">
      <c r="S2494" s="44">
        <f t="shared" si="230"/>
        <v>45544</v>
      </c>
      <c r="T2494" s="12">
        <f t="shared" si="231"/>
        <v>3.8099729517333696</v>
      </c>
      <c r="U2494" s="12">
        <f t="shared" si="227"/>
        <v>3.7176617953112019</v>
      </c>
      <c r="V2494" s="30">
        <f t="shared" si="228"/>
        <v>0.43580054794520551</v>
      </c>
      <c r="W2494" s="46">
        <f t="shared" si="232"/>
        <v>-3.8099729517333689E-2</v>
      </c>
      <c r="X2494" s="33">
        <f t="shared" si="229"/>
        <v>2.6354538621309587E-2</v>
      </c>
    </row>
    <row r="2495" spans="19:24" x14ac:dyDescent="0.25">
      <c r="S2495" s="44">
        <f t="shared" si="230"/>
        <v>45545</v>
      </c>
      <c r="T2495" s="12">
        <f t="shared" si="231"/>
        <v>3.8072958694318277</v>
      </c>
      <c r="U2495" s="12">
        <f t="shared" si="227"/>
        <v>3.7150106185864122</v>
      </c>
      <c r="V2495" s="30">
        <f t="shared" si="228"/>
        <v>0.4357731506849315</v>
      </c>
      <c r="W2495" s="46">
        <f t="shared" si="232"/>
        <v>-3.8072958694318274E-2</v>
      </c>
      <c r="X2495" s="33">
        <f t="shared" si="229"/>
        <v>2.6354497109036645E-2</v>
      </c>
    </row>
    <row r="2496" spans="19:24" x14ac:dyDescent="0.25">
      <c r="S2496" s="44">
        <f t="shared" si="230"/>
        <v>45546</v>
      </c>
      <c r="T2496" s="12">
        <f t="shared" si="231"/>
        <v>3.8046187871302886</v>
      </c>
      <c r="U2496" s="12">
        <f t="shared" si="227"/>
        <v>3.7123594418616226</v>
      </c>
      <c r="V2496" s="30">
        <f t="shared" si="228"/>
        <v>0.43574575342465749</v>
      </c>
      <c r="W2496" s="46">
        <f t="shared" si="232"/>
        <v>-3.8046187871302879E-2</v>
      </c>
      <c r="X2496" s="33">
        <f t="shared" si="229"/>
        <v>2.6354455596763696E-2</v>
      </c>
    </row>
    <row r="2497" spans="19:24" x14ac:dyDescent="0.25">
      <c r="S2497" s="44">
        <f t="shared" si="230"/>
        <v>45547</v>
      </c>
      <c r="T2497" s="12">
        <f t="shared" si="231"/>
        <v>3.8019417048287463</v>
      </c>
      <c r="U2497" s="12">
        <f t="shared" si="227"/>
        <v>3.7097082651368343</v>
      </c>
      <c r="V2497" s="30">
        <f t="shared" si="228"/>
        <v>0.43571835616438354</v>
      </c>
      <c r="W2497" s="46">
        <f t="shared" si="232"/>
        <v>-3.8019417048287457E-2</v>
      </c>
      <c r="X2497" s="33">
        <f t="shared" si="229"/>
        <v>2.6354414084490754E-2</v>
      </c>
    </row>
    <row r="2498" spans="19:24" x14ac:dyDescent="0.25">
      <c r="S2498" s="44">
        <f t="shared" si="230"/>
        <v>45548</v>
      </c>
      <c r="T2498" s="12">
        <f t="shared" si="231"/>
        <v>3.7992646225272058</v>
      </c>
      <c r="U2498" s="12">
        <f t="shared" si="227"/>
        <v>3.7070570884120455</v>
      </c>
      <c r="V2498" s="30">
        <f t="shared" si="228"/>
        <v>0.43569095890410958</v>
      </c>
      <c r="W2498" s="46">
        <f t="shared" si="232"/>
        <v>-3.7992646225272049E-2</v>
      </c>
      <c r="X2498" s="33">
        <f t="shared" si="229"/>
        <v>2.6354372572217812E-2</v>
      </c>
    </row>
    <row r="2499" spans="19:24" x14ac:dyDescent="0.25">
      <c r="S2499" s="44">
        <f t="shared" si="230"/>
        <v>45549</v>
      </c>
      <c r="T2499" s="12">
        <f t="shared" si="231"/>
        <v>3.7965875402256644</v>
      </c>
      <c r="U2499" s="12">
        <f t="shared" si="227"/>
        <v>3.7044059116872559</v>
      </c>
      <c r="V2499" s="30">
        <f t="shared" si="228"/>
        <v>0.43566356164383563</v>
      </c>
      <c r="W2499" s="46">
        <f t="shared" si="232"/>
        <v>-3.7965875402256641E-2</v>
      </c>
      <c r="X2499" s="33">
        <f t="shared" si="229"/>
        <v>2.6354331059944867E-2</v>
      </c>
    </row>
    <row r="2500" spans="19:24" x14ac:dyDescent="0.25">
      <c r="S2500" s="44">
        <f t="shared" si="230"/>
        <v>45550</v>
      </c>
      <c r="T2500" s="12">
        <f t="shared" si="231"/>
        <v>3.793910457924123</v>
      </c>
      <c r="U2500" s="12">
        <f t="shared" si="227"/>
        <v>3.7017547349624658</v>
      </c>
      <c r="V2500" s="30">
        <f t="shared" si="228"/>
        <v>0.43563616438356167</v>
      </c>
      <c r="W2500" s="46">
        <f t="shared" si="232"/>
        <v>-3.7939104579241226E-2</v>
      </c>
      <c r="X2500" s="33">
        <f t="shared" si="229"/>
        <v>2.6354289547671928E-2</v>
      </c>
    </row>
    <row r="2501" spans="19:24" x14ac:dyDescent="0.25">
      <c r="S2501" s="44">
        <f t="shared" si="230"/>
        <v>45551</v>
      </c>
      <c r="T2501" s="12">
        <f t="shared" si="231"/>
        <v>3.7912333756225816</v>
      </c>
      <c r="U2501" s="12">
        <f t="shared" ref="U2501:U2564" si="233">DurMod($S2501,$B$2,$F$7:$G$37,U$3)</f>
        <v>3.6991035582376774</v>
      </c>
      <c r="V2501" s="30">
        <f t="shared" ref="V2501:V2564" si="234">+$U$3*($S$5512-S2501)/365+$T$3*(S2501-$S$4)/365</f>
        <v>0.43560876712328767</v>
      </c>
      <c r="W2501" s="46">
        <f t="shared" si="232"/>
        <v>-3.7912333756225811E-2</v>
      </c>
      <c r="X2501" s="33">
        <f t="shared" ref="X2501:X2564" si="235">+(V2501+W2501)*365/($S$5512-$S$4)</f>
        <v>2.6354248035398976E-2</v>
      </c>
    </row>
    <row r="2502" spans="19:24" x14ac:dyDescent="0.25">
      <c r="S2502" s="44">
        <f t="shared" si="230"/>
        <v>45552</v>
      </c>
      <c r="T2502" s="12">
        <f t="shared" si="231"/>
        <v>3.7885562933210402</v>
      </c>
      <c r="U2502" s="12">
        <f t="shared" si="233"/>
        <v>3.6964523815128874</v>
      </c>
      <c r="V2502" s="30">
        <f t="shared" si="234"/>
        <v>0.43558136986301366</v>
      </c>
      <c r="W2502" s="46">
        <f t="shared" si="232"/>
        <v>-3.7885562933210395E-2</v>
      </c>
      <c r="X2502" s="33">
        <f t="shared" si="235"/>
        <v>2.6354206523126034E-2</v>
      </c>
    </row>
    <row r="2503" spans="19:24" x14ac:dyDescent="0.25">
      <c r="S2503" s="44">
        <f t="shared" si="230"/>
        <v>45553</v>
      </c>
      <c r="T2503" s="12">
        <f t="shared" si="231"/>
        <v>3.7858792110194996</v>
      </c>
      <c r="U2503" s="12">
        <f t="shared" si="233"/>
        <v>3.6938012047880977</v>
      </c>
      <c r="V2503" s="30">
        <f t="shared" si="234"/>
        <v>0.43555397260273976</v>
      </c>
      <c r="W2503" s="46">
        <f t="shared" si="232"/>
        <v>-3.7858792110194987E-2</v>
      </c>
      <c r="X2503" s="33">
        <f t="shared" si="235"/>
        <v>2.6354165010853092E-2</v>
      </c>
    </row>
    <row r="2504" spans="19:24" x14ac:dyDescent="0.25">
      <c r="S2504" s="44">
        <f t="shared" si="230"/>
        <v>45554</v>
      </c>
      <c r="T2504" s="12">
        <f t="shared" si="231"/>
        <v>3.7832021287179582</v>
      </c>
      <c r="U2504" s="12">
        <f t="shared" si="233"/>
        <v>3.6911500280633085</v>
      </c>
      <c r="V2504" s="30">
        <f t="shared" si="234"/>
        <v>0.43552657534246575</v>
      </c>
      <c r="W2504" s="46">
        <f t="shared" si="232"/>
        <v>-3.7832021287179579E-2</v>
      </c>
      <c r="X2504" s="33">
        <f t="shared" si="235"/>
        <v>2.635412349858015E-2</v>
      </c>
    </row>
    <row r="2505" spans="19:24" x14ac:dyDescent="0.25">
      <c r="S2505" s="44">
        <f t="shared" si="230"/>
        <v>45555</v>
      </c>
      <c r="T2505" s="12">
        <f t="shared" si="231"/>
        <v>3.7805250464164173</v>
      </c>
      <c r="U2505" s="12">
        <f t="shared" si="233"/>
        <v>3.6884988513385197</v>
      </c>
      <c r="V2505" s="30">
        <f t="shared" si="234"/>
        <v>0.43549917808219174</v>
      </c>
      <c r="W2505" s="46">
        <f t="shared" si="232"/>
        <v>-3.7805250464164164E-2</v>
      </c>
      <c r="X2505" s="33">
        <f t="shared" si="235"/>
        <v>2.6354081986307204E-2</v>
      </c>
    </row>
    <row r="2506" spans="19:24" x14ac:dyDescent="0.25">
      <c r="S2506" s="44">
        <f t="shared" si="230"/>
        <v>45556</v>
      </c>
      <c r="T2506" s="12">
        <f t="shared" si="231"/>
        <v>3.7778479641148759</v>
      </c>
      <c r="U2506" s="12">
        <f t="shared" si="233"/>
        <v>3.685847674613731</v>
      </c>
      <c r="V2506" s="30">
        <f t="shared" si="234"/>
        <v>0.43547178082191779</v>
      </c>
      <c r="W2506" s="46">
        <f t="shared" si="232"/>
        <v>-3.7778479641148756E-2</v>
      </c>
      <c r="X2506" s="33">
        <f t="shared" si="235"/>
        <v>2.6354040474034255E-2</v>
      </c>
    </row>
    <row r="2507" spans="19:24" x14ac:dyDescent="0.25">
      <c r="S2507" s="44">
        <f t="shared" si="230"/>
        <v>45557</v>
      </c>
      <c r="T2507" s="12">
        <f t="shared" si="231"/>
        <v>3.7751708818133336</v>
      </c>
      <c r="U2507" s="12">
        <f t="shared" si="233"/>
        <v>3.6831964978889409</v>
      </c>
      <c r="V2507" s="30">
        <f t="shared" si="234"/>
        <v>0.43544438356164383</v>
      </c>
      <c r="W2507" s="46">
        <f t="shared" si="232"/>
        <v>-3.7751708818133327E-2</v>
      </c>
      <c r="X2507" s="33">
        <f t="shared" si="235"/>
        <v>2.6353998961761313E-2</v>
      </c>
    </row>
    <row r="2508" spans="19:24" x14ac:dyDescent="0.25">
      <c r="S2508" s="44">
        <f t="shared" si="230"/>
        <v>45558</v>
      </c>
      <c r="T2508" s="12">
        <f t="shared" si="231"/>
        <v>3.7724937995117926</v>
      </c>
      <c r="U2508" s="12">
        <f t="shared" si="233"/>
        <v>3.6805453211641512</v>
      </c>
      <c r="V2508" s="30">
        <f t="shared" si="234"/>
        <v>0.43541698630136982</v>
      </c>
      <c r="W2508" s="46">
        <f t="shared" si="232"/>
        <v>-3.7724937995117919E-2</v>
      </c>
      <c r="X2508" s="33">
        <f t="shared" si="235"/>
        <v>2.6353957449488371E-2</v>
      </c>
    </row>
    <row r="2509" spans="19:24" x14ac:dyDescent="0.25">
      <c r="S2509" s="44">
        <f t="shared" si="230"/>
        <v>45559</v>
      </c>
      <c r="T2509" s="12">
        <f t="shared" si="231"/>
        <v>3.7698167172102517</v>
      </c>
      <c r="U2509" s="12">
        <f t="shared" si="233"/>
        <v>3.6778941444393607</v>
      </c>
      <c r="V2509" s="30">
        <f t="shared" si="234"/>
        <v>0.43538958904109593</v>
      </c>
      <c r="W2509" s="46">
        <f t="shared" si="232"/>
        <v>-3.7698167172102511E-2</v>
      </c>
      <c r="X2509" s="33">
        <f t="shared" si="235"/>
        <v>2.6353915937215429E-2</v>
      </c>
    </row>
    <row r="2510" spans="19:24" x14ac:dyDescent="0.25">
      <c r="S2510" s="44">
        <f t="shared" si="230"/>
        <v>45560</v>
      </c>
      <c r="T2510" s="12">
        <f t="shared" si="231"/>
        <v>3.7671396349087112</v>
      </c>
      <c r="U2510" s="12">
        <f t="shared" si="233"/>
        <v>3.6752429677145724</v>
      </c>
      <c r="V2510" s="30">
        <f t="shared" si="234"/>
        <v>0.43536219178082192</v>
      </c>
      <c r="W2510" s="46">
        <f t="shared" si="232"/>
        <v>-3.7671396349087109E-2</v>
      </c>
      <c r="X2510" s="33">
        <f t="shared" si="235"/>
        <v>2.6353874424942483E-2</v>
      </c>
    </row>
    <row r="2511" spans="19:24" x14ac:dyDescent="0.25">
      <c r="S2511" s="44">
        <f t="shared" si="230"/>
        <v>45561</v>
      </c>
      <c r="T2511" s="12">
        <f t="shared" si="231"/>
        <v>3.7644625526071693</v>
      </c>
      <c r="U2511" s="12">
        <f t="shared" si="233"/>
        <v>3.6725917909897827</v>
      </c>
      <c r="V2511" s="30">
        <f t="shared" si="234"/>
        <v>0.43533479452054796</v>
      </c>
      <c r="W2511" s="46">
        <f t="shared" si="232"/>
        <v>-3.7644625526071687E-2</v>
      </c>
      <c r="X2511" s="33">
        <f t="shared" si="235"/>
        <v>2.6353832912669541E-2</v>
      </c>
    </row>
    <row r="2512" spans="19:24" x14ac:dyDescent="0.25">
      <c r="S2512" s="44">
        <f t="shared" si="230"/>
        <v>45562</v>
      </c>
      <c r="T2512" s="12">
        <f t="shared" si="231"/>
        <v>3.7617854703056288</v>
      </c>
      <c r="U2512" s="12">
        <f t="shared" si="233"/>
        <v>3.6699406142649935</v>
      </c>
      <c r="V2512" s="30">
        <f t="shared" si="234"/>
        <v>0.43530739726027401</v>
      </c>
      <c r="W2512" s="46">
        <f t="shared" si="232"/>
        <v>-3.7617854703056279E-2</v>
      </c>
      <c r="X2512" s="33">
        <f t="shared" si="235"/>
        <v>2.6353791400396599E-2</v>
      </c>
    </row>
    <row r="2513" spans="19:24" x14ac:dyDescent="0.25">
      <c r="S2513" s="44">
        <f t="shared" si="230"/>
        <v>45563</v>
      </c>
      <c r="T2513" s="12">
        <f t="shared" si="231"/>
        <v>3.759108388004087</v>
      </c>
      <c r="U2513" s="12">
        <f t="shared" si="233"/>
        <v>3.6672894375402043</v>
      </c>
      <c r="V2513" s="30">
        <f t="shared" si="234"/>
        <v>0.43528</v>
      </c>
      <c r="W2513" s="46">
        <f t="shared" si="232"/>
        <v>-3.7591083880040864E-2</v>
      </c>
      <c r="X2513" s="33">
        <f t="shared" si="235"/>
        <v>2.6353749888123657E-2</v>
      </c>
    </row>
    <row r="2514" spans="19:24" x14ac:dyDescent="0.25">
      <c r="S2514" s="44">
        <f t="shared" si="230"/>
        <v>45564</v>
      </c>
      <c r="T2514" s="12">
        <f t="shared" si="231"/>
        <v>3.7564313057025465</v>
      </c>
      <c r="U2514" s="12">
        <f t="shared" si="233"/>
        <v>3.664638260815416</v>
      </c>
      <c r="V2514" s="30">
        <f t="shared" si="234"/>
        <v>0.43525260273972605</v>
      </c>
      <c r="W2514" s="46">
        <f t="shared" si="232"/>
        <v>-3.7564313057025456E-2</v>
      </c>
      <c r="X2514" s="33">
        <f t="shared" si="235"/>
        <v>2.6353708375850712E-2</v>
      </c>
    </row>
    <row r="2515" spans="19:24" x14ac:dyDescent="0.25">
      <c r="S2515" s="44">
        <f t="shared" si="230"/>
        <v>45565</v>
      </c>
      <c r="T2515" s="12">
        <f t="shared" si="231"/>
        <v>3.753754223401006</v>
      </c>
      <c r="U2515" s="12">
        <f t="shared" si="233"/>
        <v>3.6619870840906272</v>
      </c>
      <c r="V2515" s="30">
        <f t="shared" si="234"/>
        <v>0.43522520547945209</v>
      </c>
      <c r="W2515" s="46">
        <f t="shared" si="232"/>
        <v>-3.7537542234010055E-2</v>
      </c>
      <c r="X2515" s="33">
        <f t="shared" si="235"/>
        <v>2.635366686357777E-2</v>
      </c>
    </row>
    <row r="2516" spans="19:24" x14ac:dyDescent="0.25">
      <c r="S2516" s="44">
        <f t="shared" si="230"/>
        <v>45566</v>
      </c>
      <c r="T2516" s="12">
        <f t="shared" si="231"/>
        <v>3.7510771410994632</v>
      </c>
      <c r="U2516" s="12">
        <f t="shared" si="233"/>
        <v>3.6593359073658371</v>
      </c>
      <c r="V2516" s="30">
        <f t="shared" si="234"/>
        <v>0.43519780821917808</v>
      </c>
      <c r="W2516" s="46">
        <f t="shared" si="232"/>
        <v>-3.7510771410994626E-2</v>
      </c>
      <c r="X2516" s="33">
        <f t="shared" si="235"/>
        <v>2.6353625351304821E-2</v>
      </c>
    </row>
    <row r="2517" spans="19:24" x14ac:dyDescent="0.25">
      <c r="S2517" s="44">
        <f t="shared" si="230"/>
        <v>45567</v>
      </c>
      <c r="T2517" s="12">
        <f t="shared" si="231"/>
        <v>3.7484000587979232</v>
      </c>
      <c r="U2517" s="12">
        <f t="shared" si="233"/>
        <v>3.656684730641047</v>
      </c>
      <c r="V2517" s="30">
        <f t="shared" si="234"/>
        <v>0.43517041095890407</v>
      </c>
      <c r="W2517" s="46">
        <f t="shared" si="232"/>
        <v>-3.7484000587979224E-2</v>
      </c>
      <c r="X2517" s="33">
        <f t="shared" si="235"/>
        <v>2.6353583839031875E-2</v>
      </c>
    </row>
    <row r="2518" spans="19:24" x14ac:dyDescent="0.25">
      <c r="S2518" s="44">
        <f t="shared" si="230"/>
        <v>45568</v>
      </c>
      <c r="T2518" s="12">
        <f t="shared" si="231"/>
        <v>3.7457229764963818</v>
      </c>
      <c r="U2518" s="12">
        <f t="shared" si="233"/>
        <v>3.6540335539162574</v>
      </c>
      <c r="V2518" s="30">
        <f t="shared" si="234"/>
        <v>0.43514301369863018</v>
      </c>
      <c r="W2518" s="46">
        <f t="shared" si="232"/>
        <v>-3.7457229764963809E-2</v>
      </c>
      <c r="X2518" s="33">
        <f t="shared" si="235"/>
        <v>2.6353542326758937E-2</v>
      </c>
    </row>
    <row r="2519" spans="19:24" x14ac:dyDescent="0.25">
      <c r="S2519" s="44">
        <f t="shared" si="230"/>
        <v>45569</v>
      </c>
      <c r="T2519" s="12">
        <f t="shared" si="231"/>
        <v>3.7430458941948395</v>
      </c>
      <c r="U2519" s="12">
        <f t="shared" si="233"/>
        <v>3.6513823771914695</v>
      </c>
      <c r="V2519" s="30">
        <f t="shared" si="234"/>
        <v>0.43511561643835617</v>
      </c>
      <c r="W2519" s="46">
        <f t="shared" si="232"/>
        <v>-3.7430458941948387E-2</v>
      </c>
      <c r="X2519" s="33">
        <f t="shared" si="235"/>
        <v>2.6353500814485991E-2</v>
      </c>
    </row>
    <row r="2520" spans="19:24" x14ac:dyDescent="0.25">
      <c r="S2520" s="44">
        <f t="shared" si="230"/>
        <v>45570</v>
      </c>
      <c r="T2520" s="12">
        <f t="shared" si="231"/>
        <v>3.740368811893299</v>
      </c>
      <c r="U2520" s="12">
        <f t="shared" si="233"/>
        <v>3.648731200466679</v>
      </c>
      <c r="V2520" s="30">
        <f t="shared" si="234"/>
        <v>0.43508821917808216</v>
      </c>
      <c r="W2520" s="46">
        <f t="shared" si="232"/>
        <v>-3.7403688118932986E-2</v>
      </c>
      <c r="X2520" s="33">
        <f t="shared" si="235"/>
        <v>2.6353459302213049E-2</v>
      </c>
    </row>
    <row r="2521" spans="19:24" x14ac:dyDescent="0.25">
      <c r="S2521" s="44">
        <f t="shared" si="230"/>
        <v>45571</v>
      </c>
      <c r="T2521" s="12">
        <f t="shared" si="231"/>
        <v>3.737691729591758</v>
      </c>
      <c r="U2521" s="12">
        <f t="shared" si="233"/>
        <v>3.6460800237418898</v>
      </c>
      <c r="V2521" s="30">
        <f t="shared" si="234"/>
        <v>0.4350608219178082</v>
      </c>
      <c r="W2521" s="46">
        <f t="shared" si="232"/>
        <v>-3.7376917295917571E-2</v>
      </c>
      <c r="X2521" s="33">
        <f t="shared" si="235"/>
        <v>2.63534177899401E-2</v>
      </c>
    </row>
    <row r="2522" spans="19:24" x14ac:dyDescent="0.25">
      <c r="S2522" s="44">
        <f t="shared" si="230"/>
        <v>45572</v>
      </c>
      <c r="T2522" s="12">
        <f t="shared" si="231"/>
        <v>3.735014647290217</v>
      </c>
      <c r="U2522" s="12">
        <f t="shared" si="233"/>
        <v>3.6434288470171015</v>
      </c>
      <c r="V2522" s="30">
        <f t="shared" si="234"/>
        <v>0.43503342465753425</v>
      </c>
      <c r="W2522" s="46">
        <f t="shared" si="232"/>
        <v>-3.7350146472902163E-2</v>
      </c>
      <c r="X2522" s="33">
        <f t="shared" si="235"/>
        <v>2.6353376277667158E-2</v>
      </c>
    </row>
    <row r="2523" spans="19:24" x14ac:dyDescent="0.25">
      <c r="S2523" s="44">
        <f t="shared" si="230"/>
        <v>45573</v>
      </c>
      <c r="T2523" s="12">
        <f t="shared" si="231"/>
        <v>3.7323375649886761</v>
      </c>
      <c r="U2523" s="12">
        <f t="shared" si="233"/>
        <v>3.6407776702923123</v>
      </c>
      <c r="V2523" s="30">
        <f t="shared" si="234"/>
        <v>0.4350060273972603</v>
      </c>
      <c r="W2523" s="46">
        <f t="shared" si="232"/>
        <v>-3.7323375649886754E-2</v>
      </c>
      <c r="X2523" s="33">
        <f t="shared" si="235"/>
        <v>2.6353334765394216E-2</v>
      </c>
    </row>
    <row r="2524" spans="19:24" x14ac:dyDescent="0.25">
      <c r="S2524" s="44">
        <f t="shared" si="230"/>
        <v>45574</v>
      </c>
      <c r="T2524" s="12">
        <f t="shared" si="231"/>
        <v>3.7296604826871342</v>
      </c>
      <c r="U2524" s="12">
        <f t="shared" si="233"/>
        <v>3.638126493567523</v>
      </c>
      <c r="V2524" s="30">
        <f t="shared" si="234"/>
        <v>0.43497863013698634</v>
      </c>
      <c r="W2524" s="46">
        <f t="shared" si="232"/>
        <v>-3.7296604826871339E-2</v>
      </c>
      <c r="X2524" s="33">
        <f t="shared" si="235"/>
        <v>2.6353293253121274E-2</v>
      </c>
    </row>
    <row r="2525" spans="19:24" x14ac:dyDescent="0.25">
      <c r="S2525" s="44">
        <f t="shared" si="230"/>
        <v>45575</v>
      </c>
      <c r="T2525" s="12">
        <f t="shared" si="231"/>
        <v>3.7269834003855933</v>
      </c>
      <c r="U2525" s="12">
        <f t="shared" si="233"/>
        <v>3.6354753168427338</v>
      </c>
      <c r="V2525" s="30">
        <f t="shared" si="234"/>
        <v>0.43495123287671233</v>
      </c>
      <c r="W2525" s="46">
        <f t="shared" si="232"/>
        <v>-3.7269834003855924E-2</v>
      </c>
      <c r="X2525" s="33">
        <f t="shared" si="235"/>
        <v>2.6353251740848328E-2</v>
      </c>
    </row>
    <row r="2526" spans="19:24" x14ac:dyDescent="0.25">
      <c r="S2526" s="44">
        <f t="shared" si="230"/>
        <v>45576</v>
      </c>
      <c r="T2526" s="12">
        <f t="shared" si="231"/>
        <v>3.7243063180840519</v>
      </c>
      <c r="U2526" s="12">
        <f t="shared" si="233"/>
        <v>3.6328241401179442</v>
      </c>
      <c r="V2526" s="30">
        <f t="shared" si="234"/>
        <v>0.43492383561643833</v>
      </c>
      <c r="W2526" s="46">
        <f t="shared" si="232"/>
        <v>-3.7243063180840516E-2</v>
      </c>
      <c r="X2526" s="33">
        <f t="shared" si="235"/>
        <v>2.6353210228575379E-2</v>
      </c>
    </row>
    <row r="2527" spans="19:24" x14ac:dyDescent="0.25">
      <c r="S2527" s="44">
        <f t="shared" si="230"/>
        <v>45577</v>
      </c>
      <c r="T2527" s="12">
        <f t="shared" si="231"/>
        <v>3.7216292357825096</v>
      </c>
      <c r="U2527" s="12">
        <f t="shared" si="233"/>
        <v>3.6301729633931554</v>
      </c>
      <c r="V2527" s="30">
        <f t="shared" si="234"/>
        <v>0.43489643835616443</v>
      </c>
      <c r="W2527" s="46">
        <f t="shared" si="232"/>
        <v>-3.7216292357825087E-2</v>
      </c>
      <c r="X2527" s="33">
        <f t="shared" si="235"/>
        <v>2.6353168716302444E-2</v>
      </c>
    </row>
    <row r="2528" spans="19:24" x14ac:dyDescent="0.25">
      <c r="S2528" s="44">
        <f t="shared" si="230"/>
        <v>45578</v>
      </c>
      <c r="T2528" s="12">
        <f t="shared" si="231"/>
        <v>3.7189521534809686</v>
      </c>
      <c r="U2528" s="12">
        <f t="shared" si="233"/>
        <v>3.627521786668364</v>
      </c>
      <c r="V2528" s="30">
        <f t="shared" si="234"/>
        <v>0.43486904109589042</v>
      </c>
      <c r="W2528" s="46">
        <f t="shared" si="232"/>
        <v>-3.7189521534809679E-2</v>
      </c>
      <c r="X2528" s="33">
        <f t="shared" si="235"/>
        <v>2.6353127204029495E-2</v>
      </c>
    </row>
    <row r="2529" spans="19:24" x14ac:dyDescent="0.25">
      <c r="S2529" s="44">
        <f t="shared" si="230"/>
        <v>45579</v>
      </c>
      <c r="T2529" s="12">
        <f t="shared" si="231"/>
        <v>3.7162750711794281</v>
      </c>
      <c r="U2529" s="12">
        <f t="shared" si="233"/>
        <v>3.6248706099435761</v>
      </c>
      <c r="V2529" s="30">
        <f t="shared" si="234"/>
        <v>0.43484164383561641</v>
      </c>
      <c r="W2529" s="46">
        <f t="shared" si="232"/>
        <v>-3.7162750711794278E-2</v>
      </c>
      <c r="X2529" s="33">
        <f t="shared" si="235"/>
        <v>2.635308569175655E-2</v>
      </c>
    </row>
    <row r="2530" spans="19:24" x14ac:dyDescent="0.25">
      <c r="S2530" s="44">
        <f t="shared" ref="S2530:S2593" si="236">+S2529+1</f>
        <v>45580</v>
      </c>
      <c r="T2530" s="12">
        <f t="shared" ref="T2530:T2593" si="237">DurMod(S2530,B$2,$F$7:$G$37,$T$3)</f>
        <v>3.7135979888778863</v>
      </c>
      <c r="U2530" s="12">
        <f t="shared" si="233"/>
        <v>3.6222194332187865</v>
      </c>
      <c r="V2530" s="30">
        <f t="shared" si="234"/>
        <v>0.43481424657534246</v>
      </c>
      <c r="W2530" s="46">
        <f t="shared" ref="W2530:W2593" si="238">+-T2530*($U$3-$T$3)</f>
        <v>-3.7135979888778856E-2</v>
      </c>
      <c r="X2530" s="33">
        <f t="shared" si="235"/>
        <v>2.6353044179483608E-2</v>
      </c>
    </row>
    <row r="2531" spans="19:24" x14ac:dyDescent="0.25">
      <c r="S2531" s="44">
        <f t="shared" si="236"/>
        <v>45581</v>
      </c>
      <c r="T2531" s="12">
        <f t="shared" si="237"/>
        <v>3.7109209065763458</v>
      </c>
      <c r="U2531" s="12">
        <f t="shared" si="233"/>
        <v>3.6195682564939982</v>
      </c>
      <c r="V2531" s="30">
        <f t="shared" si="234"/>
        <v>0.43478684931506845</v>
      </c>
      <c r="W2531" s="46">
        <f t="shared" si="238"/>
        <v>-3.7109209065763454E-2</v>
      </c>
      <c r="X2531" s="33">
        <f t="shared" si="235"/>
        <v>2.6353002667210659E-2</v>
      </c>
    </row>
    <row r="2532" spans="19:24" x14ac:dyDescent="0.25">
      <c r="S2532" s="44">
        <f t="shared" si="236"/>
        <v>45582</v>
      </c>
      <c r="T2532" s="12">
        <f t="shared" si="237"/>
        <v>3.7082438242748048</v>
      </c>
      <c r="U2532" s="12">
        <f t="shared" si="233"/>
        <v>3.6169170797692076</v>
      </c>
      <c r="V2532" s="30">
        <f t="shared" si="234"/>
        <v>0.43475945205479449</v>
      </c>
      <c r="W2532" s="46">
        <f t="shared" si="238"/>
        <v>-3.7082438242748039E-2</v>
      </c>
      <c r="X2532" s="33">
        <f t="shared" si="235"/>
        <v>2.6352961154937717E-2</v>
      </c>
    </row>
    <row r="2533" spans="19:24" x14ac:dyDescent="0.25">
      <c r="S2533" s="44">
        <f t="shared" si="236"/>
        <v>45583</v>
      </c>
      <c r="T2533" s="12">
        <f t="shared" si="237"/>
        <v>3.7055667419732639</v>
      </c>
      <c r="U2533" s="12">
        <f t="shared" si="233"/>
        <v>3.6142659030444193</v>
      </c>
      <c r="V2533" s="30">
        <f t="shared" si="234"/>
        <v>0.43473205479452054</v>
      </c>
      <c r="W2533" s="46">
        <f t="shared" si="238"/>
        <v>-3.7055667419732631E-2</v>
      </c>
      <c r="X2533" s="33">
        <f t="shared" si="235"/>
        <v>2.6352919642664778E-2</v>
      </c>
    </row>
    <row r="2534" spans="19:24" x14ac:dyDescent="0.25">
      <c r="S2534" s="44">
        <f t="shared" si="236"/>
        <v>45584</v>
      </c>
      <c r="T2534" s="12">
        <f t="shared" si="237"/>
        <v>3.7028896596717238</v>
      </c>
      <c r="U2534" s="12">
        <f t="shared" si="233"/>
        <v>3.6116147263196288</v>
      </c>
      <c r="V2534" s="30">
        <f t="shared" si="234"/>
        <v>0.43470465753424659</v>
      </c>
      <c r="W2534" s="46">
        <f t="shared" si="238"/>
        <v>-3.702889659671723E-2</v>
      </c>
      <c r="X2534" s="33">
        <f t="shared" si="235"/>
        <v>2.6352878130391836E-2</v>
      </c>
    </row>
    <row r="2535" spans="19:24" x14ac:dyDescent="0.25">
      <c r="S2535" s="44">
        <f t="shared" si="236"/>
        <v>45585</v>
      </c>
      <c r="T2535" s="12">
        <f t="shared" si="237"/>
        <v>3.7002125773701815</v>
      </c>
      <c r="U2535" s="12">
        <f t="shared" si="233"/>
        <v>3.6089635495948409</v>
      </c>
      <c r="V2535" s="30">
        <f t="shared" si="234"/>
        <v>0.43467726027397258</v>
      </c>
      <c r="W2535" s="46">
        <f t="shared" si="238"/>
        <v>-3.7002125773701808E-2</v>
      </c>
      <c r="X2535" s="33">
        <f t="shared" si="235"/>
        <v>2.6352836618118887E-2</v>
      </c>
    </row>
    <row r="2536" spans="19:24" x14ac:dyDescent="0.25">
      <c r="S2536" s="44">
        <f t="shared" si="236"/>
        <v>45586</v>
      </c>
      <c r="T2536" s="12">
        <f t="shared" si="237"/>
        <v>3.6975354950686392</v>
      </c>
      <c r="U2536" s="12">
        <f t="shared" si="233"/>
        <v>3.6063123728700508</v>
      </c>
      <c r="V2536" s="30">
        <f t="shared" si="234"/>
        <v>0.43464986301369868</v>
      </c>
      <c r="W2536" s="46">
        <f t="shared" si="238"/>
        <v>-3.6975354950686386E-2</v>
      </c>
      <c r="X2536" s="33">
        <f t="shared" si="235"/>
        <v>2.6352795105845952E-2</v>
      </c>
    </row>
    <row r="2537" spans="19:24" x14ac:dyDescent="0.25">
      <c r="S2537" s="44">
        <f t="shared" si="236"/>
        <v>45587</v>
      </c>
      <c r="T2537" s="12">
        <f t="shared" si="237"/>
        <v>3.6948584127670983</v>
      </c>
      <c r="U2537" s="12">
        <f t="shared" si="233"/>
        <v>3.603661196145262</v>
      </c>
      <c r="V2537" s="30">
        <f t="shared" si="234"/>
        <v>0.43462246575342467</v>
      </c>
      <c r="W2537" s="46">
        <f t="shared" si="238"/>
        <v>-3.6948584127670978E-2</v>
      </c>
      <c r="X2537" s="33">
        <f t="shared" si="235"/>
        <v>2.6352753593573003E-2</v>
      </c>
    </row>
    <row r="2538" spans="19:24" x14ac:dyDescent="0.25">
      <c r="S2538" s="44">
        <f t="shared" si="236"/>
        <v>45588</v>
      </c>
      <c r="T2538" s="12">
        <f t="shared" si="237"/>
        <v>3.6921813304655569</v>
      </c>
      <c r="U2538" s="12">
        <f t="shared" si="233"/>
        <v>3.6010100194204719</v>
      </c>
      <c r="V2538" s="30">
        <f t="shared" si="234"/>
        <v>0.43459506849315066</v>
      </c>
      <c r="W2538" s="46">
        <f t="shared" si="238"/>
        <v>-3.6921813304655562E-2</v>
      </c>
      <c r="X2538" s="33">
        <f t="shared" si="235"/>
        <v>2.6352712081300057E-2</v>
      </c>
    </row>
    <row r="2539" spans="19:24" x14ac:dyDescent="0.25">
      <c r="S2539" s="44">
        <f t="shared" si="236"/>
        <v>45589</v>
      </c>
      <c r="T2539" s="12">
        <f t="shared" si="237"/>
        <v>3.6895042481640163</v>
      </c>
      <c r="U2539" s="12">
        <f t="shared" si="233"/>
        <v>3.5983588426956832</v>
      </c>
      <c r="V2539" s="30">
        <f t="shared" si="234"/>
        <v>0.43456767123287665</v>
      </c>
      <c r="W2539" s="46">
        <f t="shared" si="238"/>
        <v>-3.6895042481640161E-2</v>
      </c>
      <c r="X2539" s="33">
        <f t="shared" si="235"/>
        <v>2.6352670569027108E-2</v>
      </c>
    </row>
    <row r="2540" spans="19:24" x14ac:dyDescent="0.25">
      <c r="S2540" s="44">
        <f t="shared" si="236"/>
        <v>45590</v>
      </c>
      <c r="T2540" s="12">
        <f t="shared" si="237"/>
        <v>3.6868271658624745</v>
      </c>
      <c r="U2540" s="12">
        <f t="shared" si="233"/>
        <v>3.5957076659708944</v>
      </c>
      <c r="V2540" s="30">
        <f t="shared" si="234"/>
        <v>0.4345402739726027</v>
      </c>
      <c r="W2540" s="46">
        <f t="shared" si="238"/>
        <v>-3.6868271658624739E-2</v>
      </c>
      <c r="X2540" s="33">
        <f t="shared" si="235"/>
        <v>2.6352629056754166E-2</v>
      </c>
    </row>
    <row r="2541" spans="19:24" x14ac:dyDescent="0.25">
      <c r="S2541" s="44">
        <f t="shared" si="236"/>
        <v>45591</v>
      </c>
      <c r="T2541" s="12">
        <f t="shared" si="237"/>
        <v>3.6841500835609331</v>
      </c>
      <c r="U2541" s="12">
        <f t="shared" si="233"/>
        <v>3.5930564892461043</v>
      </c>
      <c r="V2541" s="30">
        <f t="shared" si="234"/>
        <v>0.43451287671232874</v>
      </c>
      <c r="W2541" s="46">
        <f t="shared" si="238"/>
        <v>-3.6841500835609324E-2</v>
      </c>
      <c r="X2541" s="33">
        <f t="shared" si="235"/>
        <v>2.6352587544481224E-2</v>
      </c>
    </row>
    <row r="2542" spans="19:24" x14ac:dyDescent="0.25">
      <c r="S2542" s="44">
        <f t="shared" si="236"/>
        <v>45592</v>
      </c>
      <c r="T2542" s="12">
        <f t="shared" si="237"/>
        <v>3.6814730012593913</v>
      </c>
      <c r="U2542" s="12">
        <f t="shared" si="233"/>
        <v>3.5904053125213164</v>
      </c>
      <c r="V2542" s="30">
        <f t="shared" si="234"/>
        <v>0.43448547945205479</v>
      </c>
      <c r="W2542" s="46">
        <f t="shared" si="238"/>
        <v>-3.6814730012593909E-2</v>
      </c>
      <c r="X2542" s="33">
        <f t="shared" si="235"/>
        <v>2.6352546032208282E-2</v>
      </c>
    </row>
    <row r="2543" spans="19:24" x14ac:dyDescent="0.25">
      <c r="S2543" s="44">
        <f t="shared" si="236"/>
        <v>45593</v>
      </c>
      <c r="T2543" s="12">
        <f t="shared" si="237"/>
        <v>3.6787959189578512</v>
      </c>
      <c r="U2543" s="12">
        <f t="shared" si="233"/>
        <v>3.5877541357965246</v>
      </c>
      <c r="V2543" s="30">
        <f t="shared" si="234"/>
        <v>0.43445808219178084</v>
      </c>
      <c r="W2543" s="46">
        <f t="shared" si="238"/>
        <v>-3.6787959189578508E-2</v>
      </c>
      <c r="X2543" s="33">
        <f t="shared" si="235"/>
        <v>2.635250451993534E-2</v>
      </c>
    </row>
    <row r="2544" spans="19:24" x14ac:dyDescent="0.25">
      <c r="S2544" s="44">
        <f t="shared" si="236"/>
        <v>45594</v>
      </c>
      <c r="T2544" s="12">
        <f t="shared" si="237"/>
        <v>3.6761188366563107</v>
      </c>
      <c r="U2544" s="12">
        <f t="shared" si="233"/>
        <v>3.5851029590717363</v>
      </c>
      <c r="V2544" s="30">
        <f t="shared" si="234"/>
        <v>0.43443068493150683</v>
      </c>
      <c r="W2544" s="46">
        <f t="shared" si="238"/>
        <v>-3.67611883665631E-2</v>
      </c>
      <c r="X2544" s="33">
        <f t="shared" si="235"/>
        <v>2.6352463007662395E-2</v>
      </c>
    </row>
    <row r="2545" spans="19:24" x14ac:dyDescent="0.25">
      <c r="S2545" s="44">
        <f t="shared" si="236"/>
        <v>45595</v>
      </c>
      <c r="T2545" s="12">
        <f t="shared" si="237"/>
        <v>3.6734417543547688</v>
      </c>
      <c r="U2545" s="12">
        <f t="shared" si="233"/>
        <v>3.5824517823469488</v>
      </c>
      <c r="V2545" s="30">
        <f t="shared" si="234"/>
        <v>0.43440328767123287</v>
      </c>
      <c r="W2545" s="46">
        <f t="shared" si="238"/>
        <v>-3.6734417543547684E-2</v>
      </c>
      <c r="X2545" s="33">
        <f t="shared" si="235"/>
        <v>2.6352421495389453E-2</v>
      </c>
    </row>
    <row r="2546" spans="19:24" x14ac:dyDescent="0.25">
      <c r="S2546" s="44">
        <f t="shared" si="236"/>
        <v>45596</v>
      </c>
      <c r="T2546" s="12">
        <f t="shared" si="237"/>
        <v>3.6707646720532274</v>
      </c>
      <c r="U2546" s="12">
        <f t="shared" si="233"/>
        <v>3.5798006056221578</v>
      </c>
      <c r="V2546" s="30">
        <f t="shared" si="234"/>
        <v>0.43437589041095892</v>
      </c>
      <c r="W2546" s="46">
        <f t="shared" si="238"/>
        <v>-3.6707646720532269E-2</v>
      </c>
      <c r="X2546" s="33">
        <f t="shared" si="235"/>
        <v>2.6352379983116511E-2</v>
      </c>
    </row>
    <row r="2547" spans="19:24" x14ac:dyDescent="0.25">
      <c r="S2547" s="44">
        <f t="shared" si="236"/>
        <v>45597</v>
      </c>
      <c r="T2547" s="12">
        <f t="shared" si="237"/>
        <v>3.668087589751686</v>
      </c>
      <c r="U2547" s="12">
        <f t="shared" si="233"/>
        <v>3.5771494288973682</v>
      </c>
      <c r="V2547" s="30">
        <f t="shared" si="234"/>
        <v>0.43434849315068491</v>
      </c>
      <c r="W2547" s="46">
        <f t="shared" si="238"/>
        <v>-3.6680875897516854E-2</v>
      </c>
      <c r="X2547" s="33">
        <f t="shared" si="235"/>
        <v>2.6352338470843562E-2</v>
      </c>
    </row>
    <row r="2548" spans="19:24" x14ac:dyDescent="0.25">
      <c r="S2548" s="44">
        <f t="shared" si="236"/>
        <v>45598</v>
      </c>
      <c r="T2548" s="12">
        <f t="shared" si="237"/>
        <v>3.6654105074501464</v>
      </c>
      <c r="U2548" s="12">
        <f t="shared" si="233"/>
        <v>3.5744982521725785</v>
      </c>
      <c r="V2548" s="30">
        <f t="shared" si="234"/>
        <v>0.4343210958904109</v>
      </c>
      <c r="W2548" s="46">
        <f t="shared" si="238"/>
        <v>-3.665410507450146E-2</v>
      </c>
      <c r="X2548" s="33">
        <f t="shared" si="235"/>
        <v>2.6352296958570616E-2</v>
      </c>
    </row>
    <row r="2549" spans="19:24" x14ac:dyDescent="0.25">
      <c r="S2549" s="44">
        <f t="shared" si="236"/>
        <v>45599</v>
      </c>
      <c r="T2549" s="12">
        <f t="shared" si="237"/>
        <v>3.6627334251486046</v>
      </c>
      <c r="U2549" s="12">
        <f t="shared" si="233"/>
        <v>3.5718470754477893</v>
      </c>
      <c r="V2549" s="30">
        <f t="shared" si="234"/>
        <v>0.43429369863013695</v>
      </c>
      <c r="W2549" s="46">
        <f t="shared" si="238"/>
        <v>-3.6627334251486038E-2</v>
      </c>
      <c r="X2549" s="33">
        <f t="shared" si="235"/>
        <v>2.6352255446297674E-2</v>
      </c>
    </row>
    <row r="2550" spans="19:24" x14ac:dyDescent="0.25">
      <c r="S2550" s="44">
        <f t="shared" si="236"/>
        <v>45600</v>
      </c>
      <c r="T2550" s="12">
        <f t="shared" si="237"/>
        <v>3.6600563428470645</v>
      </c>
      <c r="U2550" s="12">
        <f t="shared" si="233"/>
        <v>3.5691958987230001</v>
      </c>
      <c r="V2550" s="30">
        <f t="shared" si="234"/>
        <v>0.43426630136986299</v>
      </c>
      <c r="W2550" s="46">
        <f t="shared" si="238"/>
        <v>-3.6600563428470637E-2</v>
      </c>
      <c r="X2550" s="33">
        <f t="shared" si="235"/>
        <v>2.6352213934024732E-2</v>
      </c>
    </row>
    <row r="2551" spans="19:24" x14ac:dyDescent="0.25">
      <c r="S2551" s="44">
        <f t="shared" si="236"/>
        <v>45601</v>
      </c>
      <c r="T2551" s="12">
        <f t="shared" si="237"/>
        <v>3.6573792605455226</v>
      </c>
      <c r="U2551" s="12">
        <f t="shared" si="233"/>
        <v>3.5665447219982114</v>
      </c>
      <c r="V2551" s="30">
        <f t="shared" si="234"/>
        <v>0.43423890410958899</v>
      </c>
      <c r="W2551" s="46">
        <f t="shared" si="238"/>
        <v>-3.6573792605455221E-2</v>
      </c>
      <c r="X2551" s="33">
        <f t="shared" si="235"/>
        <v>2.6352172421751783E-2</v>
      </c>
    </row>
    <row r="2552" spans="19:24" x14ac:dyDescent="0.25">
      <c r="S2552" s="44">
        <f t="shared" si="236"/>
        <v>45602</v>
      </c>
      <c r="T2552" s="12">
        <f t="shared" si="237"/>
        <v>3.6547021782439799</v>
      </c>
      <c r="U2552" s="12">
        <f t="shared" si="233"/>
        <v>3.5638935452734226</v>
      </c>
      <c r="V2552" s="30">
        <f t="shared" si="234"/>
        <v>0.43421150684931509</v>
      </c>
      <c r="W2552" s="46">
        <f t="shared" si="238"/>
        <v>-3.6547021782439792E-2</v>
      </c>
      <c r="X2552" s="33">
        <f t="shared" si="235"/>
        <v>2.6352130909478848E-2</v>
      </c>
    </row>
    <row r="2553" spans="19:24" x14ac:dyDescent="0.25">
      <c r="S2553" s="44">
        <f t="shared" si="236"/>
        <v>45603</v>
      </c>
      <c r="T2553" s="12">
        <f t="shared" si="237"/>
        <v>3.652025095942439</v>
      </c>
      <c r="U2553" s="12">
        <f t="shared" si="233"/>
        <v>3.561242368548633</v>
      </c>
      <c r="V2553" s="30">
        <f t="shared" si="234"/>
        <v>0.43418410958904108</v>
      </c>
      <c r="W2553" s="46">
        <f t="shared" si="238"/>
        <v>-3.6520250959424384E-2</v>
      </c>
      <c r="X2553" s="33">
        <f t="shared" si="235"/>
        <v>2.6352089397205895E-2</v>
      </c>
    </row>
    <row r="2554" spans="19:24" x14ac:dyDescent="0.25">
      <c r="S2554" s="44">
        <f t="shared" si="236"/>
        <v>45604</v>
      </c>
      <c r="T2554" s="12">
        <f t="shared" si="237"/>
        <v>3.6493480136408976</v>
      </c>
      <c r="U2554" s="12">
        <f t="shared" si="233"/>
        <v>3.5585911918238433</v>
      </c>
      <c r="V2554" s="30">
        <f t="shared" si="234"/>
        <v>0.43415671232876712</v>
      </c>
      <c r="W2554" s="46">
        <f t="shared" si="238"/>
        <v>-3.6493480136408969E-2</v>
      </c>
      <c r="X2554" s="33">
        <f t="shared" si="235"/>
        <v>2.635204788493296E-2</v>
      </c>
    </row>
    <row r="2555" spans="19:24" x14ac:dyDescent="0.25">
      <c r="S2555" s="44">
        <f t="shared" si="236"/>
        <v>45605</v>
      </c>
      <c r="T2555" s="12">
        <f t="shared" si="237"/>
        <v>3.6466709313393575</v>
      </c>
      <c r="U2555" s="12">
        <f t="shared" si="233"/>
        <v>3.5559400150990546</v>
      </c>
      <c r="V2555" s="30">
        <f t="shared" si="234"/>
        <v>0.43412931506849317</v>
      </c>
      <c r="W2555" s="46">
        <f t="shared" si="238"/>
        <v>-3.6466709313393568E-2</v>
      </c>
      <c r="X2555" s="33">
        <f t="shared" si="235"/>
        <v>2.6352006372660011E-2</v>
      </c>
    </row>
    <row r="2556" spans="19:24" x14ac:dyDescent="0.25">
      <c r="S2556" s="44">
        <f t="shared" si="236"/>
        <v>45606</v>
      </c>
      <c r="T2556" s="12">
        <f t="shared" si="237"/>
        <v>3.6439938490378165</v>
      </c>
      <c r="U2556" s="12">
        <f t="shared" si="233"/>
        <v>3.5532888383742653</v>
      </c>
      <c r="V2556" s="30">
        <f t="shared" si="234"/>
        <v>0.43410191780821916</v>
      </c>
      <c r="W2556" s="46">
        <f t="shared" si="238"/>
        <v>-3.643993849037816E-2</v>
      </c>
      <c r="X2556" s="33">
        <f t="shared" si="235"/>
        <v>2.6351964860387066E-2</v>
      </c>
    </row>
    <row r="2557" spans="19:24" x14ac:dyDescent="0.25">
      <c r="S2557" s="44">
        <f t="shared" si="236"/>
        <v>45607</v>
      </c>
      <c r="T2557" s="12">
        <f t="shared" si="237"/>
        <v>3.6413167667362747</v>
      </c>
      <c r="U2557" s="12">
        <f t="shared" si="233"/>
        <v>3.5506376616494761</v>
      </c>
      <c r="V2557" s="30">
        <f t="shared" si="234"/>
        <v>0.43407452054794521</v>
      </c>
      <c r="W2557" s="46">
        <f t="shared" si="238"/>
        <v>-3.6413167667362745E-2</v>
      </c>
      <c r="X2557" s="33">
        <f t="shared" si="235"/>
        <v>2.6351923348114124E-2</v>
      </c>
    </row>
    <row r="2558" spans="19:24" x14ac:dyDescent="0.25">
      <c r="S2558" s="44">
        <f t="shared" si="236"/>
        <v>45608</v>
      </c>
      <c r="T2558" s="12">
        <f t="shared" si="237"/>
        <v>3.6386396844347328</v>
      </c>
      <c r="U2558" s="12">
        <f t="shared" si="233"/>
        <v>3.5479864849246865</v>
      </c>
      <c r="V2558" s="30">
        <f t="shared" si="234"/>
        <v>0.43404712328767125</v>
      </c>
      <c r="W2558" s="46">
        <f t="shared" si="238"/>
        <v>-3.6386396844347323E-2</v>
      </c>
      <c r="X2558" s="33">
        <f t="shared" si="235"/>
        <v>2.6351881835841185E-2</v>
      </c>
    </row>
    <row r="2559" spans="19:24" x14ac:dyDescent="0.25">
      <c r="S2559" s="44">
        <f t="shared" si="236"/>
        <v>45609</v>
      </c>
      <c r="T2559" s="12">
        <f t="shared" si="237"/>
        <v>3.6359626021331923</v>
      </c>
      <c r="U2559" s="12">
        <f t="shared" si="233"/>
        <v>3.5453353081998977</v>
      </c>
      <c r="V2559" s="30">
        <f t="shared" si="234"/>
        <v>0.43401972602739725</v>
      </c>
      <c r="W2559" s="46">
        <f t="shared" si="238"/>
        <v>-3.6359626021331914E-2</v>
      </c>
      <c r="X2559" s="33">
        <f t="shared" si="235"/>
        <v>2.635184032356824E-2</v>
      </c>
    </row>
    <row r="2560" spans="19:24" x14ac:dyDescent="0.25">
      <c r="S2560" s="44">
        <f t="shared" si="236"/>
        <v>45610</v>
      </c>
      <c r="T2560" s="12">
        <f t="shared" si="237"/>
        <v>3.6332855198316518</v>
      </c>
      <c r="U2560" s="12">
        <f t="shared" si="233"/>
        <v>3.5426841314751076</v>
      </c>
      <c r="V2560" s="30">
        <f t="shared" si="234"/>
        <v>0.43399232876712335</v>
      </c>
      <c r="W2560" s="46">
        <f t="shared" si="238"/>
        <v>-3.6332855198316513E-2</v>
      </c>
      <c r="X2560" s="33">
        <f t="shared" si="235"/>
        <v>2.6351798811295297E-2</v>
      </c>
    </row>
    <row r="2561" spans="19:24" x14ac:dyDescent="0.25">
      <c r="S2561" s="44">
        <f t="shared" si="236"/>
        <v>45611</v>
      </c>
      <c r="T2561" s="12">
        <f t="shared" si="237"/>
        <v>3.6306084375301109</v>
      </c>
      <c r="U2561" s="12">
        <f t="shared" si="233"/>
        <v>3.5400329547503193</v>
      </c>
      <c r="V2561" s="30">
        <f t="shared" si="234"/>
        <v>0.43396493150684934</v>
      </c>
      <c r="W2561" s="46">
        <f t="shared" si="238"/>
        <v>-3.6306084375301105E-2</v>
      </c>
      <c r="X2561" s="33">
        <f t="shared" si="235"/>
        <v>2.6351757299022349E-2</v>
      </c>
    </row>
    <row r="2562" spans="19:24" x14ac:dyDescent="0.25">
      <c r="S2562" s="44">
        <f t="shared" si="236"/>
        <v>45612</v>
      </c>
      <c r="T2562" s="12">
        <f t="shared" si="237"/>
        <v>3.6279313552285686</v>
      </c>
      <c r="U2562" s="12">
        <f t="shared" si="233"/>
        <v>3.5373817780255292</v>
      </c>
      <c r="V2562" s="30">
        <f t="shared" si="234"/>
        <v>0.43393753424657533</v>
      </c>
      <c r="W2562" s="46">
        <f t="shared" si="238"/>
        <v>-3.6279313552285683E-2</v>
      </c>
      <c r="X2562" s="33">
        <f t="shared" si="235"/>
        <v>2.6351715786749403E-2</v>
      </c>
    </row>
    <row r="2563" spans="19:24" x14ac:dyDescent="0.25">
      <c r="S2563" s="44">
        <f t="shared" si="236"/>
        <v>45613</v>
      </c>
      <c r="T2563" s="12">
        <f t="shared" si="237"/>
        <v>3.6252542729270285</v>
      </c>
      <c r="U2563" s="12">
        <f t="shared" si="233"/>
        <v>3.5347306013007405</v>
      </c>
      <c r="V2563" s="30">
        <f t="shared" si="234"/>
        <v>0.43391013698630132</v>
      </c>
      <c r="W2563" s="46">
        <f t="shared" si="238"/>
        <v>-3.6252542729270282E-2</v>
      </c>
      <c r="X2563" s="33">
        <f t="shared" si="235"/>
        <v>2.6351674274476461E-2</v>
      </c>
    </row>
    <row r="2564" spans="19:24" x14ac:dyDescent="0.25">
      <c r="S2564" s="44">
        <f t="shared" si="236"/>
        <v>45614</v>
      </c>
      <c r="T2564" s="12">
        <f t="shared" si="237"/>
        <v>3.6225771906254858</v>
      </c>
      <c r="U2564" s="12">
        <f t="shared" si="233"/>
        <v>3.5320794245759499</v>
      </c>
      <c r="V2564" s="30">
        <f t="shared" si="234"/>
        <v>0.43388273972602742</v>
      </c>
      <c r="W2564" s="46">
        <f t="shared" si="238"/>
        <v>-3.6225771906254853E-2</v>
      </c>
      <c r="X2564" s="33">
        <f t="shared" si="235"/>
        <v>2.6351632762203519E-2</v>
      </c>
    </row>
    <row r="2565" spans="19:24" x14ac:dyDescent="0.25">
      <c r="S2565" s="44">
        <f t="shared" si="236"/>
        <v>45615</v>
      </c>
      <c r="T2565" s="12">
        <f t="shared" si="237"/>
        <v>3.6199001083239444</v>
      </c>
      <c r="U2565" s="12">
        <f t="shared" ref="U2565:U2628" si="239">DurMod($S2565,$B$2,$F$7:$G$37,U$3)</f>
        <v>3.5294282478511612</v>
      </c>
      <c r="V2565" s="30">
        <f t="shared" ref="V2565:V2628" si="240">+$U$3*($S$5512-S2565)/365+$T$3*(S2565-$S$4)/365</f>
        <v>0.43385534246575341</v>
      </c>
      <c r="W2565" s="46">
        <f t="shared" si="238"/>
        <v>-3.6199001083239438E-2</v>
      </c>
      <c r="X2565" s="33">
        <f t="shared" ref="X2565:X2628" si="241">+(V2565+W2565)*365/($S$5512-$S$4)</f>
        <v>2.6351591249930577E-2</v>
      </c>
    </row>
    <row r="2566" spans="19:24" x14ac:dyDescent="0.25">
      <c r="S2566" s="44">
        <f t="shared" si="236"/>
        <v>45616</v>
      </c>
      <c r="T2566" s="12">
        <f t="shared" si="237"/>
        <v>3.617223026022403</v>
      </c>
      <c r="U2566" s="12">
        <f t="shared" si="239"/>
        <v>3.526777071126372</v>
      </c>
      <c r="V2566" s="30">
        <f t="shared" si="240"/>
        <v>0.43382794520547946</v>
      </c>
      <c r="W2566" s="46">
        <f t="shared" si="238"/>
        <v>-3.6172230260224023E-2</v>
      </c>
      <c r="X2566" s="33">
        <f t="shared" si="241"/>
        <v>2.6351549737657628E-2</v>
      </c>
    </row>
    <row r="2567" spans="19:24" x14ac:dyDescent="0.25">
      <c r="S2567" s="44">
        <f t="shared" si="236"/>
        <v>45617</v>
      </c>
      <c r="T2567" s="12">
        <f t="shared" si="237"/>
        <v>3.6145459437208634</v>
      </c>
      <c r="U2567" s="12">
        <f t="shared" si="239"/>
        <v>3.5241258944015819</v>
      </c>
      <c r="V2567" s="30">
        <f t="shared" si="240"/>
        <v>0.43380054794520551</v>
      </c>
      <c r="W2567" s="46">
        <f t="shared" si="238"/>
        <v>-3.6145459437208628E-2</v>
      </c>
      <c r="X2567" s="33">
        <f t="shared" si="241"/>
        <v>2.6351508225384686E-2</v>
      </c>
    </row>
    <row r="2568" spans="19:24" x14ac:dyDescent="0.25">
      <c r="S2568" s="44">
        <f t="shared" si="236"/>
        <v>45618</v>
      </c>
      <c r="T2568" s="12">
        <f t="shared" si="237"/>
        <v>3.611868861419322</v>
      </c>
      <c r="U2568" s="12">
        <f t="shared" si="239"/>
        <v>3.5214747176767935</v>
      </c>
      <c r="V2568" s="30">
        <f t="shared" si="240"/>
        <v>0.4337731506849315</v>
      </c>
      <c r="W2568" s="46">
        <f t="shared" si="238"/>
        <v>-3.6118688614193213E-2</v>
      </c>
      <c r="X2568" s="33">
        <f t="shared" si="241"/>
        <v>2.635146671311174E-2</v>
      </c>
    </row>
    <row r="2569" spans="19:24" x14ac:dyDescent="0.25">
      <c r="S2569" s="44">
        <f t="shared" si="236"/>
        <v>45619</v>
      </c>
      <c r="T2569" s="12">
        <f t="shared" si="237"/>
        <v>3.6091917791177797</v>
      </c>
      <c r="U2569" s="12">
        <f t="shared" si="239"/>
        <v>3.5188235409520048</v>
      </c>
      <c r="V2569" s="30">
        <f t="shared" si="240"/>
        <v>0.43374575342465754</v>
      </c>
      <c r="W2569" s="46">
        <f t="shared" si="238"/>
        <v>-3.6091917791177791E-2</v>
      </c>
      <c r="X2569" s="33">
        <f t="shared" si="241"/>
        <v>2.6351425200838802E-2</v>
      </c>
    </row>
    <row r="2570" spans="19:24" x14ac:dyDescent="0.25">
      <c r="S2570" s="44">
        <f t="shared" si="236"/>
        <v>45620</v>
      </c>
      <c r="T2570" s="12">
        <f t="shared" si="237"/>
        <v>3.6065146968162396</v>
      </c>
      <c r="U2570" s="12">
        <f t="shared" si="239"/>
        <v>3.5161723642272147</v>
      </c>
      <c r="V2570" s="30">
        <f t="shared" si="240"/>
        <v>0.43371835616438359</v>
      </c>
      <c r="W2570" s="46">
        <f t="shared" si="238"/>
        <v>-3.606514696816239E-2</v>
      </c>
      <c r="X2570" s="33">
        <f t="shared" si="241"/>
        <v>2.6351383688565856E-2</v>
      </c>
    </row>
    <row r="2571" spans="19:24" x14ac:dyDescent="0.25">
      <c r="S2571" s="44">
        <f t="shared" si="236"/>
        <v>45621</v>
      </c>
      <c r="T2571" s="12">
        <f t="shared" si="237"/>
        <v>3.6038376145146982</v>
      </c>
      <c r="U2571" s="12">
        <f t="shared" si="239"/>
        <v>3.5135211875024264</v>
      </c>
      <c r="V2571" s="30">
        <f t="shared" si="240"/>
        <v>0.43369095890410958</v>
      </c>
      <c r="W2571" s="46">
        <f t="shared" si="238"/>
        <v>-3.6038376145146975E-2</v>
      </c>
      <c r="X2571" s="33">
        <f t="shared" si="241"/>
        <v>2.6351342176292907E-2</v>
      </c>
    </row>
    <row r="2572" spans="19:24" x14ac:dyDescent="0.25">
      <c r="S2572" s="44">
        <f t="shared" si="236"/>
        <v>45622</v>
      </c>
      <c r="T2572" s="12">
        <f t="shared" si="237"/>
        <v>3.6011605322131572</v>
      </c>
      <c r="U2572" s="12">
        <f t="shared" si="239"/>
        <v>3.5108700107776376</v>
      </c>
      <c r="V2572" s="30">
        <f t="shared" si="240"/>
        <v>0.43366356164383557</v>
      </c>
      <c r="W2572" s="46">
        <f t="shared" si="238"/>
        <v>-3.6011605322131567E-2</v>
      </c>
      <c r="X2572" s="33">
        <f t="shared" si="241"/>
        <v>2.6351300664019969E-2</v>
      </c>
    </row>
    <row r="2573" spans="19:24" x14ac:dyDescent="0.25">
      <c r="S2573" s="44">
        <f t="shared" si="236"/>
        <v>45623</v>
      </c>
      <c r="T2573" s="12">
        <f t="shared" si="237"/>
        <v>3.5984834499116158</v>
      </c>
      <c r="U2573" s="12">
        <f t="shared" si="239"/>
        <v>3.5082188340528471</v>
      </c>
      <c r="V2573" s="30">
        <f t="shared" si="240"/>
        <v>0.43363616438356162</v>
      </c>
      <c r="W2573" s="46">
        <f t="shared" si="238"/>
        <v>-3.5984834499116151E-2</v>
      </c>
      <c r="X2573" s="33">
        <f t="shared" si="241"/>
        <v>2.635125915174702E-2</v>
      </c>
    </row>
    <row r="2574" spans="19:24" x14ac:dyDescent="0.25">
      <c r="S2574" s="44">
        <f t="shared" si="236"/>
        <v>45624</v>
      </c>
      <c r="T2574" s="12">
        <f t="shared" si="237"/>
        <v>3.5958063676100749</v>
      </c>
      <c r="U2574" s="12">
        <f t="shared" si="239"/>
        <v>3.5055676573280579</v>
      </c>
      <c r="V2574" s="30">
        <f t="shared" si="240"/>
        <v>0.43360876712328766</v>
      </c>
      <c r="W2574" s="46">
        <f t="shared" si="238"/>
        <v>-3.5958063676100743E-2</v>
      </c>
      <c r="X2574" s="33">
        <f t="shared" si="241"/>
        <v>2.6351217639474078E-2</v>
      </c>
    </row>
    <row r="2575" spans="19:24" x14ac:dyDescent="0.25">
      <c r="S2575" s="44">
        <f t="shared" si="236"/>
        <v>45625</v>
      </c>
      <c r="T2575" s="12">
        <f t="shared" si="237"/>
        <v>3.593129285308533</v>
      </c>
      <c r="U2575" s="12">
        <f t="shared" si="239"/>
        <v>3.5029164806032687</v>
      </c>
      <c r="V2575" s="30">
        <f t="shared" si="240"/>
        <v>0.43358136986301365</v>
      </c>
      <c r="W2575" s="46">
        <f t="shared" si="238"/>
        <v>-3.5931292853085328E-2</v>
      </c>
      <c r="X2575" s="33">
        <f t="shared" si="241"/>
        <v>2.6351176127201132E-2</v>
      </c>
    </row>
    <row r="2576" spans="19:24" x14ac:dyDescent="0.25">
      <c r="S2576" s="44">
        <f t="shared" si="236"/>
        <v>45626</v>
      </c>
      <c r="T2576" s="12">
        <f t="shared" si="237"/>
        <v>3.5904522030069921</v>
      </c>
      <c r="U2576" s="12">
        <f t="shared" si="239"/>
        <v>3.500265303878479</v>
      </c>
      <c r="V2576" s="30">
        <f t="shared" si="240"/>
        <v>0.43355397260273976</v>
      </c>
      <c r="W2576" s="46">
        <f t="shared" si="238"/>
        <v>-3.5904522030069913E-2</v>
      </c>
      <c r="X2576" s="33">
        <f t="shared" si="241"/>
        <v>2.6351134614928193E-2</v>
      </c>
    </row>
    <row r="2577" spans="19:24" x14ac:dyDescent="0.25">
      <c r="S2577" s="44">
        <f t="shared" si="236"/>
        <v>45627</v>
      </c>
      <c r="T2577" s="12">
        <f t="shared" si="237"/>
        <v>3.5877751207054489</v>
      </c>
      <c r="U2577" s="12">
        <f t="shared" si="239"/>
        <v>3.4976141271536898</v>
      </c>
      <c r="V2577" s="30">
        <f t="shared" si="240"/>
        <v>0.43352657534246575</v>
      </c>
      <c r="W2577" s="46">
        <f t="shared" si="238"/>
        <v>-3.5877751207054484E-2</v>
      </c>
      <c r="X2577" s="33">
        <f t="shared" si="241"/>
        <v>2.6351093102655248E-2</v>
      </c>
    </row>
    <row r="2578" spans="19:24" x14ac:dyDescent="0.25">
      <c r="S2578" s="44">
        <f t="shared" si="236"/>
        <v>45628</v>
      </c>
      <c r="T2578" s="12">
        <f t="shared" si="237"/>
        <v>3.5850980384039097</v>
      </c>
      <c r="U2578" s="12">
        <f t="shared" si="239"/>
        <v>3.4949629504289002</v>
      </c>
      <c r="V2578" s="30">
        <f t="shared" si="240"/>
        <v>0.43349917808219179</v>
      </c>
      <c r="W2578" s="46">
        <f t="shared" si="238"/>
        <v>-3.585098038403909E-2</v>
      </c>
      <c r="X2578" s="33">
        <f t="shared" si="241"/>
        <v>2.6351051590382306E-2</v>
      </c>
    </row>
    <row r="2579" spans="19:24" x14ac:dyDescent="0.25">
      <c r="S2579" s="44">
        <f t="shared" si="236"/>
        <v>45629</v>
      </c>
      <c r="T2579" s="12">
        <f t="shared" si="237"/>
        <v>3.5824209561023688</v>
      </c>
      <c r="U2579" s="12">
        <f t="shared" si="239"/>
        <v>3.4923117737041114</v>
      </c>
      <c r="V2579" s="30">
        <f t="shared" si="240"/>
        <v>0.43347178082191784</v>
      </c>
      <c r="W2579" s="46">
        <f t="shared" si="238"/>
        <v>-3.5824209561023682E-2</v>
      </c>
      <c r="X2579" s="33">
        <f t="shared" si="241"/>
        <v>2.6351010078109364E-2</v>
      </c>
    </row>
    <row r="2580" spans="19:24" x14ac:dyDescent="0.25">
      <c r="S2580" s="44">
        <f t="shared" si="236"/>
        <v>45630</v>
      </c>
      <c r="T2580" s="12">
        <f t="shared" si="237"/>
        <v>3.5797438738008274</v>
      </c>
      <c r="U2580" s="12">
        <f t="shared" si="239"/>
        <v>3.4896605969793217</v>
      </c>
      <c r="V2580" s="30">
        <f t="shared" si="240"/>
        <v>0.43344438356164383</v>
      </c>
      <c r="W2580" s="46">
        <f t="shared" si="238"/>
        <v>-3.5797438738008266E-2</v>
      </c>
      <c r="X2580" s="33">
        <f t="shared" si="241"/>
        <v>2.6350968565836415E-2</v>
      </c>
    </row>
    <row r="2581" spans="19:24" x14ac:dyDescent="0.25">
      <c r="S2581" s="44">
        <f t="shared" si="236"/>
        <v>45631</v>
      </c>
      <c r="T2581" s="12">
        <f t="shared" si="237"/>
        <v>3.5770667914992855</v>
      </c>
      <c r="U2581" s="12">
        <f t="shared" si="239"/>
        <v>3.4870094202545325</v>
      </c>
      <c r="V2581" s="30">
        <f t="shared" si="240"/>
        <v>0.43341698630136982</v>
      </c>
      <c r="W2581" s="46">
        <f t="shared" si="238"/>
        <v>-3.5770667914992851E-2</v>
      </c>
      <c r="X2581" s="33">
        <f t="shared" si="241"/>
        <v>2.6350927053563473E-2</v>
      </c>
    </row>
    <row r="2582" spans="19:24" x14ac:dyDescent="0.25">
      <c r="S2582" s="44">
        <f t="shared" si="236"/>
        <v>45632</v>
      </c>
      <c r="T2582" s="12">
        <f t="shared" si="237"/>
        <v>3.5743897091977441</v>
      </c>
      <c r="U2582" s="12">
        <f t="shared" si="239"/>
        <v>3.4843582435297429</v>
      </c>
      <c r="V2582" s="30">
        <f t="shared" si="240"/>
        <v>0.43338958904109587</v>
      </c>
      <c r="W2582" s="46">
        <f t="shared" si="238"/>
        <v>-3.5743897091977436E-2</v>
      </c>
      <c r="X2582" s="33">
        <f t="shared" si="241"/>
        <v>2.6350885541290527E-2</v>
      </c>
    </row>
    <row r="2583" spans="19:24" x14ac:dyDescent="0.25">
      <c r="S2583" s="44">
        <f t="shared" si="236"/>
        <v>45633</v>
      </c>
      <c r="T2583" s="12">
        <f t="shared" si="237"/>
        <v>3.5717126268962036</v>
      </c>
      <c r="U2583" s="12">
        <f t="shared" si="239"/>
        <v>3.4817070668049546</v>
      </c>
      <c r="V2583" s="30">
        <f t="shared" si="240"/>
        <v>0.43336219178082191</v>
      </c>
      <c r="W2583" s="46">
        <f t="shared" si="238"/>
        <v>-3.5717126268962028E-2</v>
      </c>
      <c r="X2583" s="33">
        <f t="shared" si="241"/>
        <v>2.6350844029017585E-2</v>
      </c>
    </row>
    <row r="2584" spans="19:24" x14ac:dyDescent="0.25">
      <c r="S2584" s="44">
        <f t="shared" si="236"/>
        <v>45634</v>
      </c>
      <c r="T2584" s="12">
        <f t="shared" si="237"/>
        <v>3.5690355445946618</v>
      </c>
      <c r="U2584" s="12">
        <f t="shared" si="239"/>
        <v>3.479055890080164</v>
      </c>
      <c r="V2584" s="30">
        <f t="shared" si="240"/>
        <v>0.43333479452054791</v>
      </c>
      <c r="W2584" s="46">
        <f t="shared" si="238"/>
        <v>-3.5690355445946613E-2</v>
      </c>
      <c r="X2584" s="33">
        <f t="shared" si="241"/>
        <v>2.6350802516744636E-2</v>
      </c>
    </row>
    <row r="2585" spans="19:24" x14ac:dyDescent="0.25">
      <c r="S2585" s="44">
        <f t="shared" si="236"/>
        <v>45635</v>
      </c>
      <c r="T2585" s="12">
        <f t="shared" si="237"/>
        <v>3.5663584622931213</v>
      </c>
      <c r="U2585" s="12">
        <f t="shared" si="239"/>
        <v>3.4764047133553762</v>
      </c>
      <c r="V2585" s="30">
        <f t="shared" si="240"/>
        <v>0.43330739726027395</v>
      </c>
      <c r="W2585" s="46">
        <f t="shared" si="238"/>
        <v>-3.5663584622931205E-2</v>
      </c>
      <c r="X2585" s="33">
        <f t="shared" si="241"/>
        <v>2.6350761004471694E-2</v>
      </c>
    </row>
    <row r="2586" spans="19:24" x14ac:dyDescent="0.25">
      <c r="S2586" s="44">
        <f t="shared" si="236"/>
        <v>45636</v>
      </c>
      <c r="T2586" s="12">
        <f t="shared" si="237"/>
        <v>3.563681379991579</v>
      </c>
      <c r="U2586" s="12">
        <f t="shared" si="239"/>
        <v>3.4737535366305869</v>
      </c>
      <c r="V2586" s="30">
        <f t="shared" si="240"/>
        <v>0.43328</v>
      </c>
      <c r="W2586" s="46">
        <f t="shared" si="238"/>
        <v>-3.5636813799915783E-2</v>
      </c>
      <c r="X2586" s="33">
        <f t="shared" si="241"/>
        <v>2.6350719492198752E-2</v>
      </c>
    </row>
    <row r="2587" spans="19:24" x14ac:dyDescent="0.25">
      <c r="S2587" s="44">
        <f t="shared" si="236"/>
        <v>45637</v>
      </c>
      <c r="T2587" s="12">
        <f t="shared" si="237"/>
        <v>3.561004297690038</v>
      </c>
      <c r="U2587" s="12">
        <f t="shared" si="239"/>
        <v>3.4711023599057969</v>
      </c>
      <c r="V2587" s="30">
        <f t="shared" si="240"/>
        <v>0.43325260273972599</v>
      </c>
      <c r="W2587" s="46">
        <f t="shared" si="238"/>
        <v>-3.5610042976900375E-2</v>
      </c>
      <c r="X2587" s="33">
        <f t="shared" si="241"/>
        <v>2.6350677979925807E-2</v>
      </c>
    </row>
    <row r="2588" spans="19:24" x14ac:dyDescent="0.25">
      <c r="S2588" s="44">
        <f t="shared" si="236"/>
        <v>45638</v>
      </c>
      <c r="T2588" s="12">
        <f t="shared" si="237"/>
        <v>3.5583272153884984</v>
      </c>
      <c r="U2588" s="12">
        <f t="shared" si="239"/>
        <v>3.4684511831810072</v>
      </c>
      <c r="V2588" s="30">
        <f t="shared" si="240"/>
        <v>0.43322520547945209</v>
      </c>
      <c r="W2588" s="46">
        <f t="shared" si="238"/>
        <v>-3.558327215388498E-2</v>
      </c>
      <c r="X2588" s="33">
        <f t="shared" si="241"/>
        <v>2.6350636467652868E-2</v>
      </c>
    </row>
    <row r="2589" spans="19:24" x14ac:dyDescent="0.25">
      <c r="S2589" s="44">
        <f t="shared" si="236"/>
        <v>45639</v>
      </c>
      <c r="T2589" s="12">
        <f t="shared" si="237"/>
        <v>3.5556501330869574</v>
      </c>
      <c r="U2589" s="12">
        <f t="shared" si="239"/>
        <v>3.465800006456218</v>
      </c>
      <c r="V2589" s="30">
        <f t="shared" si="240"/>
        <v>0.43319780821917808</v>
      </c>
      <c r="W2589" s="46">
        <f t="shared" si="238"/>
        <v>-3.5556501330869572E-2</v>
      </c>
      <c r="X2589" s="33">
        <f t="shared" si="241"/>
        <v>2.6350594955379922E-2</v>
      </c>
    </row>
    <row r="2590" spans="19:24" x14ac:dyDescent="0.25">
      <c r="S2590" s="44">
        <f t="shared" si="236"/>
        <v>45640</v>
      </c>
      <c r="T2590" s="12">
        <f t="shared" si="237"/>
        <v>3.5529730507854151</v>
      </c>
      <c r="U2590" s="12">
        <f t="shared" si="239"/>
        <v>3.4631488297314288</v>
      </c>
      <c r="V2590" s="30">
        <f t="shared" si="240"/>
        <v>0.43317041095890407</v>
      </c>
      <c r="W2590" s="46">
        <f t="shared" si="238"/>
        <v>-3.5529730507854143E-2</v>
      </c>
      <c r="X2590" s="33">
        <f t="shared" si="241"/>
        <v>2.6350553443106974E-2</v>
      </c>
    </row>
    <row r="2591" spans="19:24" x14ac:dyDescent="0.25">
      <c r="S2591" s="44">
        <f t="shared" si="236"/>
        <v>45641</v>
      </c>
      <c r="T2591" s="12">
        <f t="shared" si="237"/>
        <v>3.8337467434008823</v>
      </c>
      <c r="U2591" s="12">
        <f t="shared" si="239"/>
        <v>3.7474522308717741</v>
      </c>
      <c r="V2591" s="30">
        <f t="shared" si="240"/>
        <v>0.43314301369863006</v>
      </c>
      <c r="W2591" s="46">
        <f t="shared" si="238"/>
        <v>-3.8337467434008815E-2</v>
      </c>
      <c r="X2591" s="33">
        <f t="shared" si="241"/>
        <v>2.6162676903882853E-2</v>
      </c>
    </row>
    <row r="2592" spans="19:24" x14ac:dyDescent="0.25">
      <c r="S2592" s="44">
        <f t="shared" si="236"/>
        <v>45642</v>
      </c>
      <c r="T2592" s="12">
        <f t="shared" si="237"/>
        <v>3.8310696610993404</v>
      </c>
      <c r="U2592" s="12">
        <f t="shared" si="239"/>
        <v>3.7448010541469854</v>
      </c>
      <c r="V2592" s="30">
        <f t="shared" si="240"/>
        <v>0.43311561643835617</v>
      </c>
      <c r="W2592" s="46">
        <f t="shared" si="238"/>
        <v>-3.83106966109934E-2</v>
      </c>
      <c r="X2592" s="33">
        <f t="shared" si="241"/>
        <v>2.6162635391609918E-2</v>
      </c>
    </row>
    <row r="2593" spans="19:24" x14ac:dyDescent="0.25">
      <c r="S2593" s="44">
        <f t="shared" si="236"/>
        <v>45643</v>
      </c>
      <c r="T2593" s="12">
        <f t="shared" si="237"/>
        <v>3.8283925787977999</v>
      </c>
      <c r="U2593" s="12">
        <f t="shared" si="239"/>
        <v>3.7421498774221962</v>
      </c>
      <c r="V2593" s="30">
        <f t="shared" si="240"/>
        <v>0.43308821917808216</v>
      </c>
      <c r="W2593" s="46">
        <f t="shared" si="238"/>
        <v>-3.8283925787977992E-2</v>
      </c>
      <c r="X2593" s="33">
        <f t="shared" si="241"/>
        <v>2.6162593879336966E-2</v>
      </c>
    </row>
    <row r="2594" spans="19:24" x14ac:dyDescent="0.25">
      <c r="S2594" s="44">
        <f t="shared" ref="S2594:S2657" si="242">+S2593+1</f>
        <v>45644</v>
      </c>
      <c r="T2594" s="12">
        <f t="shared" ref="T2594:T2657" si="243">DurMod(S2594,B$2,$F$7:$G$37,$T$3)</f>
        <v>3.8257154964962581</v>
      </c>
      <c r="U2594" s="12">
        <f t="shared" si="239"/>
        <v>3.7394987006974079</v>
      </c>
      <c r="V2594" s="30">
        <f t="shared" si="240"/>
        <v>0.4330608219178082</v>
      </c>
      <c r="W2594" s="46">
        <f t="shared" ref="W2594:W2657" si="244">+-T2594*($U$3-$T$3)</f>
        <v>-3.8257154964962577E-2</v>
      </c>
      <c r="X2594" s="33">
        <f t="shared" si="241"/>
        <v>2.6162552367064027E-2</v>
      </c>
    </row>
    <row r="2595" spans="19:24" x14ac:dyDescent="0.25">
      <c r="S2595" s="44">
        <f t="shared" si="242"/>
        <v>45645</v>
      </c>
      <c r="T2595" s="12">
        <f t="shared" si="243"/>
        <v>3.8230384141947176</v>
      </c>
      <c r="U2595" s="12">
        <f t="shared" si="239"/>
        <v>3.7368475239726169</v>
      </c>
      <c r="V2595" s="30">
        <f t="shared" si="240"/>
        <v>0.43303342465753425</v>
      </c>
      <c r="W2595" s="46">
        <f t="shared" si="244"/>
        <v>-3.8230384141947168E-2</v>
      </c>
      <c r="X2595" s="33">
        <f t="shared" si="241"/>
        <v>2.6162510854791082E-2</v>
      </c>
    </row>
    <row r="2596" spans="19:24" x14ac:dyDescent="0.25">
      <c r="S2596" s="44">
        <f t="shared" si="242"/>
        <v>45646</v>
      </c>
      <c r="T2596" s="12">
        <f t="shared" si="243"/>
        <v>3.8203613318931762</v>
      </c>
      <c r="U2596" s="12">
        <f t="shared" si="239"/>
        <v>3.7341963472478277</v>
      </c>
      <c r="V2596" s="30">
        <f t="shared" si="240"/>
        <v>0.43300602739726024</v>
      </c>
      <c r="W2596" s="46">
        <f t="shared" si="244"/>
        <v>-3.8203613318931753E-2</v>
      </c>
      <c r="X2596" s="33">
        <f t="shared" si="241"/>
        <v>2.616246934251814E-2</v>
      </c>
    </row>
    <row r="2597" spans="19:24" x14ac:dyDescent="0.25">
      <c r="S2597" s="44">
        <f t="shared" si="242"/>
        <v>45647</v>
      </c>
      <c r="T2597" s="12">
        <f t="shared" si="243"/>
        <v>3.8176842495916357</v>
      </c>
      <c r="U2597" s="12">
        <f t="shared" si="239"/>
        <v>3.7315451705230394</v>
      </c>
      <c r="V2597" s="30">
        <f t="shared" si="240"/>
        <v>0.43297863013698634</v>
      </c>
      <c r="W2597" s="46">
        <f t="shared" si="244"/>
        <v>-3.8176842495916352E-2</v>
      </c>
      <c r="X2597" s="33">
        <f t="shared" si="241"/>
        <v>2.6162427830245197E-2</v>
      </c>
    </row>
    <row r="2598" spans="19:24" x14ac:dyDescent="0.25">
      <c r="S2598" s="44">
        <f t="shared" si="242"/>
        <v>45648</v>
      </c>
      <c r="T2598" s="12">
        <f t="shared" si="243"/>
        <v>3.8150071672900925</v>
      </c>
      <c r="U2598" s="12">
        <f t="shared" si="239"/>
        <v>3.7288939937982506</v>
      </c>
      <c r="V2598" s="30">
        <f t="shared" si="240"/>
        <v>0.43295123287671233</v>
      </c>
      <c r="W2598" s="46">
        <f t="shared" si="244"/>
        <v>-3.8150071672900916E-2</v>
      </c>
      <c r="X2598" s="33">
        <f t="shared" si="241"/>
        <v>2.6162386317972255E-2</v>
      </c>
    </row>
    <row r="2599" spans="19:24" x14ac:dyDescent="0.25">
      <c r="S2599" s="44">
        <f t="shared" si="242"/>
        <v>45649</v>
      </c>
      <c r="T2599" s="12">
        <f t="shared" si="243"/>
        <v>3.8123300849885529</v>
      </c>
      <c r="U2599" s="12">
        <f t="shared" si="239"/>
        <v>3.7262428170734601</v>
      </c>
      <c r="V2599" s="30">
        <f t="shared" si="240"/>
        <v>0.43292383561643832</v>
      </c>
      <c r="W2599" s="46">
        <f t="shared" si="244"/>
        <v>-3.8123300849885522E-2</v>
      </c>
      <c r="X2599" s="33">
        <f t="shared" si="241"/>
        <v>2.6162344805699306E-2</v>
      </c>
    </row>
    <row r="2600" spans="19:24" x14ac:dyDescent="0.25">
      <c r="S2600" s="44">
        <f t="shared" si="242"/>
        <v>45650</v>
      </c>
      <c r="T2600" s="12">
        <f t="shared" si="243"/>
        <v>3.809653002687011</v>
      </c>
      <c r="U2600" s="12">
        <f t="shared" si="239"/>
        <v>3.7235916403486709</v>
      </c>
      <c r="V2600" s="30">
        <f t="shared" si="240"/>
        <v>0.43289643835616443</v>
      </c>
      <c r="W2600" s="46">
        <f t="shared" si="244"/>
        <v>-3.8096530026870107E-2</v>
      </c>
      <c r="X2600" s="33">
        <f t="shared" si="241"/>
        <v>2.6162303293426371E-2</v>
      </c>
    </row>
    <row r="2601" spans="19:24" x14ac:dyDescent="0.25">
      <c r="S2601" s="44">
        <f t="shared" si="242"/>
        <v>45651</v>
      </c>
      <c r="T2601" s="12">
        <f t="shared" si="243"/>
        <v>3.8069759203854692</v>
      </c>
      <c r="U2601" s="12">
        <f t="shared" si="239"/>
        <v>3.7209404636238816</v>
      </c>
      <c r="V2601" s="30">
        <f t="shared" si="240"/>
        <v>0.43286904109589042</v>
      </c>
      <c r="W2601" s="46">
        <f t="shared" si="244"/>
        <v>-3.8069759203854685E-2</v>
      </c>
      <c r="X2601" s="33">
        <f t="shared" si="241"/>
        <v>2.6162261781153419E-2</v>
      </c>
    </row>
    <row r="2602" spans="19:24" x14ac:dyDescent="0.25">
      <c r="S2602" s="44">
        <f t="shared" si="242"/>
        <v>45652</v>
      </c>
      <c r="T2602" s="12">
        <f t="shared" si="243"/>
        <v>3.8042988380839291</v>
      </c>
      <c r="U2602" s="12">
        <f t="shared" si="239"/>
        <v>3.7182892868990929</v>
      </c>
      <c r="V2602" s="30">
        <f t="shared" si="240"/>
        <v>0.43284164383561646</v>
      </c>
      <c r="W2602" s="46">
        <f t="shared" si="244"/>
        <v>-3.8042988380839284E-2</v>
      </c>
      <c r="X2602" s="33">
        <f t="shared" si="241"/>
        <v>2.6162220268880477E-2</v>
      </c>
    </row>
    <row r="2603" spans="19:24" x14ac:dyDescent="0.25">
      <c r="S2603" s="44">
        <f t="shared" si="242"/>
        <v>45653</v>
      </c>
      <c r="T2603" s="12">
        <f t="shared" si="243"/>
        <v>3.8016217557823877</v>
      </c>
      <c r="U2603" s="12">
        <f t="shared" si="239"/>
        <v>3.7156381101743028</v>
      </c>
      <c r="V2603" s="30">
        <f t="shared" si="240"/>
        <v>0.43281424657534251</v>
      </c>
      <c r="W2603" s="46">
        <f t="shared" si="244"/>
        <v>-3.8016217557823868E-2</v>
      </c>
      <c r="X2603" s="33">
        <f t="shared" si="241"/>
        <v>2.6162178756607535E-2</v>
      </c>
    </row>
    <row r="2604" spans="19:24" x14ac:dyDescent="0.25">
      <c r="S2604" s="44">
        <f t="shared" si="242"/>
        <v>45654</v>
      </c>
      <c r="T2604" s="12">
        <f t="shared" si="243"/>
        <v>3.7989446734808463</v>
      </c>
      <c r="U2604" s="12">
        <f t="shared" si="239"/>
        <v>3.712986933449514</v>
      </c>
      <c r="V2604" s="30">
        <f t="shared" si="240"/>
        <v>0.4327868493150685</v>
      </c>
      <c r="W2604" s="46">
        <f t="shared" si="244"/>
        <v>-3.798944673480846E-2</v>
      </c>
      <c r="X2604" s="33">
        <f t="shared" si="241"/>
        <v>2.6162137244334586E-2</v>
      </c>
    </row>
    <row r="2605" spans="19:24" x14ac:dyDescent="0.25">
      <c r="S2605" s="44">
        <f t="shared" si="242"/>
        <v>45655</v>
      </c>
      <c r="T2605" s="12">
        <f t="shared" si="243"/>
        <v>3.7962675911793058</v>
      </c>
      <c r="U2605" s="12">
        <f t="shared" si="239"/>
        <v>3.7103357567247244</v>
      </c>
      <c r="V2605" s="30">
        <f t="shared" si="240"/>
        <v>0.43275945205479449</v>
      </c>
      <c r="W2605" s="46">
        <f t="shared" si="244"/>
        <v>-3.7962675911793052E-2</v>
      </c>
      <c r="X2605" s="33">
        <f t="shared" si="241"/>
        <v>2.6162095732061644E-2</v>
      </c>
    </row>
    <row r="2606" spans="19:24" x14ac:dyDescent="0.25">
      <c r="S2606" s="44">
        <f t="shared" si="242"/>
        <v>45656</v>
      </c>
      <c r="T2606" s="12">
        <f t="shared" si="243"/>
        <v>3.7935905088777635</v>
      </c>
      <c r="U2606" s="12">
        <f t="shared" si="239"/>
        <v>3.7076845799999369</v>
      </c>
      <c r="V2606" s="30">
        <f t="shared" si="240"/>
        <v>0.43273205479452059</v>
      </c>
      <c r="W2606" s="46">
        <f t="shared" si="244"/>
        <v>-3.793590508877763E-2</v>
      </c>
      <c r="X2606" s="33">
        <f t="shared" si="241"/>
        <v>2.6162054219788702E-2</v>
      </c>
    </row>
    <row r="2607" spans="19:24" x14ac:dyDescent="0.25">
      <c r="S2607" s="44">
        <f t="shared" si="242"/>
        <v>45657</v>
      </c>
      <c r="T2607" s="12">
        <f t="shared" si="243"/>
        <v>3.7909134265762221</v>
      </c>
      <c r="U2607" s="12">
        <f t="shared" si="239"/>
        <v>3.7050334032751464</v>
      </c>
      <c r="V2607" s="30">
        <f t="shared" si="240"/>
        <v>0.43270465753424658</v>
      </c>
      <c r="W2607" s="46">
        <f t="shared" si="244"/>
        <v>-3.7909134265762215E-2</v>
      </c>
      <c r="X2607" s="33">
        <f t="shared" si="241"/>
        <v>2.6162012707515763E-2</v>
      </c>
    </row>
    <row r="2608" spans="19:24" x14ac:dyDescent="0.25">
      <c r="S2608" s="44">
        <f t="shared" si="242"/>
        <v>45658</v>
      </c>
      <c r="T2608" s="12">
        <f t="shared" si="243"/>
        <v>3.7882363442746811</v>
      </c>
      <c r="U2608" s="12">
        <f t="shared" si="239"/>
        <v>3.7023822265503572</v>
      </c>
      <c r="V2608" s="30">
        <f t="shared" si="240"/>
        <v>0.43267726027397257</v>
      </c>
      <c r="W2608" s="46">
        <f t="shared" si="244"/>
        <v>-3.7882363442746807E-2</v>
      </c>
      <c r="X2608" s="33">
        <f t="shared" si="241"/>
        <v>2.6161971195242811E-2</v>
      </c>
    </row>
    <row r="2609" spans="19:24" x14ac:dyDescent="0.25">
      <c r="S2609" s="44">
        <f t="shared" si="242"/>
        <v>45659</v>
      </c>
      <c r="T2609" s="12">
        <f t="shared" si="243"/>
        <v>3.7855592619731415</v>
      </c>
      <c r="U2609" s="12">
        <f t="shared" si="239"/>
        <v>3.6997310498255684</v>
      </c>
      <c r="V2609" s="30">
        <f t="shared" si="240"/>
        <v>0.43264986301369862</v>
      </c>
      <c r="W2609" s="46">
        <f t="shared" si="244"/>
        <v>-3.7855592619731412E-2</v>
      </c>
      <c r="X2609" s="33">
        <f t="shared" si="241"/>
        <v>2.6161929682969869E-2</v>
      </c>
    </row>
    <row r="2610" spans="19:24" x14ac:dyDescent="0.25">
      <c r="S2610" s="44">
        <f t="shared" si="242"/>
        <v>45660</v>
      </c>
      <c r="T2610" s="12">
        <f t="shared" si="243"/>
        <v>3.7828821796715988</v>
      </c>
      <c r="U2610" s="12">
        <f t="shared" si="239"/>
        <v>3.6970798731007788</v>
      </c>
      <c r="V2610" s="30">
        <f t="shared" si="240"/>
        <v>0.43262246575342467</v>
      </c>
      <c r="W2610" s="46">
        <f t="shared" si="244"/>
        <v>-3.7828821796715983E-2</v>
      </c>
      <c r="X2610" s="33">
        <f t="shared" si="241"/>
        <v>2.6161888170696927E-2</v>
      </c>
    </row>
    <row r="2611" spans="19:24" x14ac:dyDescent="0.25">
      <c r="S2611" s="44">
        <f t="shared" si="242"/>
        <v>45661</v>
      </c>
      <c r="T2611" s="12">
        <f t="shared" si="243"/>
        <v>3.7802050973700587</v>
      </c>
      <c r="U2611" s="12">
        <f t="shared" si="239"/>
        <v>3.6944286963759887</v>
      </c>
      <c r="V2611" s="30">
        <f t="shared" si="240"/>
        <v>0.43259506849315071</v>
      </c>
      <c r="W2611" s="46">
        <f t="shared" si="244"/>
        <v>-3.7802050973700582E-2</v>
      </c>
      <c r="X2611" s="33">
        <f t="shared" si="241"/>
        <v>2.6161846658423984E-2</v>
      </c>
    </row>
    <row r="2612" spans="19:24" x14ac:dyDescent="0.25">
      <c r="S2612" s="44">
        <f t="shared" si="242"/>
        <v>45662</v>
      </c>
      <c r="T2612" s="12">
        <f t="shared" si="243"/>
        <v>3.7775280150685173</v>
      </c>
      <c r="U2612" s="12">
        <f t="shared" si="239"/>
        <v>3.6917775196511999</v>
      </c>
      <c r="V2612" s="30">
        <f t="shared" si="240"/>
        <v>0.43256767123287676</v>
      </c>
      <c r="W2612" s="46">
        <f t="shared" si="244"/>
        <v>-3.7775280150685167E-2</v>
      </c>
      <c r="X2612" s="33">
        <f t="shared" si="241"/>
        <v>2.6161805146151042E-2</v>
      </c>
    </row>
    <row r="2613" spans="19:24" x14ac:dyDescent="0.25">
      <c r="S2613" s="44">
        <f t="shared" si="242"/>
        <v>45663</v>
      </c>
      <c r="T2613" s="12">
        <f t="shared" si="243"/>
        <v>3.7748509327669746</v>
      </c>
      <c r="U2613" s="12">
        <f t="shared" si="239"/>
        <v>3.6891263429264094</v>
      </c>
      <c r="V2613" s="30">
        <f t="shared" si="240"/>
        <v>0.43254027397260275</v>
      </c>
      <c r="W2613" s="46">
        <f t="shared" si="244"/>
        <v>-3.7748509327669738E-2</v>
      </c>
      <c r="X2613" s="33">
        <f t="shared" si="241"/>
        <v>2.61617636338781E-2</v>
      </c>
    </row>
    <row r="2614" spans="19:24" x14ac:dyDescent="0.25">
      <c r="S2614" s="44">
        <f t="shared" si="242"/>
        <v>45664</v>
      </c>
      <c r="T2614" s="12">
        <f t="shared" si="243"/>
        <v>3.772173850465435</v>
      </c>
      <c r="U2614" s="12">
        <f t="shared" si="239"/>
        <v>3.6864751662016202</v>
      </c>
      <c r="V2614" s="30">
        <f t="shared" si="240"/>
        <v>0.43251287671232874</v>
      </c>
      <c r="W2614" s="46">
        <f t="shared" si="244"/>
        <v>-3.7721738504654344E-2</v>
      </c>
      <c r="X2614" s="33">
        <f t="shared" si="241"/>
        <v>2.6161722121605148E-2</v>
      </c>
    </row>
    <row r="2615" spans="19:24" x14ac:dyDescent="0.25">
      <c r="S2615" s="44">
        <f t="shared" si="242"/>
        <v>45665</v>
      </c>
      <c r="T2615" s="12">
        <f t="shared" si="243"/>
        <v>3.7694967681638927</v>
      </c>
      <c r="U2615" s="12">
        <f t="shared" si="239"/>
        <v>3.6838239894768314</v>
      </c>
      <c r="V2615" s="30">
        <f t="shared" si="240"/>
        <v>0.43248547945205484</v>
      </c>
      <c r="W2615" s="46">
        <f t="shared" si="244"/>
        <v>-3.7694967681638922E-2</v>
      </c>
      <c r="X2615" s="33">
        <f t="shared" si="241"/>
        <v>2.6161680609332209E-2</v>
      </c>
    </row>
    <row r="2616" spans="19:24" x14ac:dyDescent="0.25">
      <c r="S2616" s="44">
        <f t="shared" si="242"/>
        <v>45666</v>
      </c>
      <c r="T2616" s="12">
        <f t="shared" si="243"/>
        <v>3.7668196858623517</v>
      </c>
      <c r="U2616" s="12">
        <f t="shared" si="239"/>
        <v>3.6811728127520418</v>
      </c>
      <c r="V2616" s="30">
        <f t="shared" si="240"/>
        <v>0.43245808219178083</v>
      </c>
      <c r="W2616" s="46">
        <f t="shared" si="244"/>
        <v>-3.7668196858623514E-2</v>
      </c>
      <c r="X2616" s="33">
        <f t="shared" si="241"/>
        <v>2.6161639097059264E-2</v>
      </c>
    </row>
    <row r="2617" spans="19:24" x14ac:dyDescent="0.25">
      <c r="S2617" s="44">
        <f t="shared" si="242"/>
        <v>45667</v>
      </c>
      <c r="T2617" s="12">
        <f t="shared" si="243"/>
        <v>3.7641426035608112</v>
      </c>
      <c r="U2617" s="12">
        <f t="shared" si="239"/>
        <v>3.678521636027253</v>
      </c>
      <c r="V2617" s="30">
        <f t="shared" si="240"/>
        <v>0.43243068493150683</v>
      </c>
      <c r="W2617" s="46">
        <f t="shared" si="244"/>
        <v>-3.7641426035608105E-2</v>
      </c>
      <c r="X2617" s="33">
        <f t="shared" si="241"/>
        <v>2.6161597584786315E-2</v>
      </c>
    </row>
    <row r="2618" spans="19:24" x14ac:dyDescent="0.25">
      <c r="S2618" s="44">
        <f t="shared" si="242"/>
        <v>45668</v>
      </c>
      <c r="T2618" s="12">
        <f t="shared" si="243"/>
        <v>3.7614655212592689</v>
      </c>
      <c r="U2618" s="12">
        <f t="shared" si="239"/>
        <v>3.6758704593024629</v>
      </c>
      <c r="V2618" s="30">
        <f t="shared" si="240"/>
        <v>0.43240328767123287</v>
      </c>
      <c r="W2618" s="46">
        <f t="shared" si="244"/>
        <v>-3.7614655212592683E-2</v>
      </c>
      <c r="X2618" s="33">
        <f t="shared" si="241"/>
        <v>2.6161556072513373E-2</v>
      </c>
    </row>
    <row r="2619" spans="19:24" x14ac:dyDescent="0.25">
      <c r="S2619" s="44">
        <f t="shared" si="242"/>
        <v>45669</v>
      </c>
      <c r="T2619" s="12">
        <f t="shared" si="243"/>
        <v>3.7587884389577289</v>
      </c>
      <c r="U2619" s="12">
        <f t="shared" si="239"/>
        <v>3.6732192825776742</v>
      </c>
      <c r="V2619" s="30">
        <f t="shared" si="240"/>
        <v>0.43237589041095892</v>
      </c>
      <c r="W2619" s="46">
        <f t="shared" si="244"/>
        <v>-3.7587884389577282E-2</v>
      </c>
      <c r="X2619" s="33">
        <f t="shared" si="241"/>
        <v>2.6161514560240431E-2</v>
      </c>
    </row>
    <row r="2620" spans="19:24" x14ac:dyDescent="0.25">
      <c r="S2620" s="44">
        <f t="shared" si="242"/>
        <v>45670</v>
      </c>
      <c r="T2620" s="12">
        <f t="shared" si="243"/>
        <v>3.7561113566561879</v>
      </c>
      <c r="U2620" s="12">
        <f t="shared" si="239"/>
        <v>3.6705681058528845</v>
      </c>
      <c r="V2620" s="30">
        <f t="shared" si="240"/>
        <v>0.43234849315068496</v>
      </c>
      <c r="W2620" s="46">
        <f t="shared" si="244"/>
        <v>-3.7561113566561874E-2</v>
      </c>
      <c r="X2620" s="33">
        <f t="shared" si="241"/>
        <v>2.6161473047967489E-2</v>
      </c>
    </row>
    <row r="2621" spans="19:24" x14ac:dyDescent="0.25">
      <c r="S2621" s="44">
        <f t="shared" si="242"/>
        <v>45671</v>
      </c>
      <c r="T2621" s="12">
        <f t="shared" si="243"/>
        <v>3.753434274354646</v>
      </c>
      <c r="U2621" s="12">
        <f t="shared" si="239"/>
        <v>3.6679169291280957</v>
      </c>
      <c r="V2621" s="30">
        <f t="shared" si="240"/>
        <v>0.43232109589041096</v>
      </c>
      <c r="W2621" s="46">
        <f t="shared" si="244"/>
        <v>-3.7534342743546452E-2</v>
      </c>
      <c r="X2621" s="33">
        <f t="shared" si="241"/>
        <v>2.6161431535694543E-2</v>
      </c>
    </row>
    <row r="2622" spans="19:24" x14ac:dyDescent="0.25">
      <c r="S2622" s="44">
        <f t="shared" si="242"/>
        <v>45672</v>
      </c>
      <c r="T2622" s="12">
        <f t="shared" si="243"/>
        <v>3.7507571920531042</v>
      </c>
      <c r="U2622" s="12">
        <f t="shared" si="239"/>
        <v>3.665265752403307</v>
      </c>
      <c r="V2622" s="30">
        <f t="shared" si="240"/>
        <v>0.432293698630137</v>
      </c>
      <c r="W2622" s="46">
        <f t="shared" si="244"/>
        <v>-3.7507571920531037E-2</v>
      </c>
      <c r="X2622" s="33">
        <f t="shared" si="241"/>
        <v>2.6161390023421601E-2</v>
      </c>
    </row>
    <row r="2623" spans="19:24" x14ac:dyDescent="0.25">
      <c r="S2623" s="44">
        <f t="shared" si="242"/>
        <v>45673</v>
      </c>
      <c r="T2623" s="12">
        <f t="shared" si="243"/>
        <v>3.7480801097515632</v>
      </c>
      <c r="U2623" s="12">
        <f t="shared" si="239"/>
        <v>3.6626145756785173</v>
      </c>
      <c r="V2623" s="30">
        <f t="shared" si="240"/>
        <v>0.43226630136986299</v>
      </c>
      <c r="W2623" s="46">
        <f t="shared" si="244"/>
        <v>-3.7480801097515629E-2</v>
      </c>
      <c r="X2623" s="33">
        <f t="shared" si="241"/>
        <v>2.6161348511148652E-2</v>
      </c>
    </row>
    <row r="2624" spans="19:24" x14ac:dyDescent="0.25">
      <c r="S2624" s="44">
        <f t="shared" si="242"/>
        <v>45674</v>
      </c>
      <c r="T2624" s="12">
        <f t="shared" si="243"/>
        <v>3.7454030274500223</v>
      </c>
      <c r="U2624" s="12">
        <f t="shared" si="239"/>
        <v>3.6599633989537272</v>
      </c>
      <c r="V2624" s="30">
        <f t="shared" si="240"/>
        <v>0.43223890410958909</v>
      </c>
      <c r="W2624" s="46">
        <f t="shared" si="244"/>
        <v>-3.745403027450022E-2</v>
      </c>
      <c r="X2624" s="33">
        <f t="shared" si="241"/>
        <v>2.6161306998875717E-2</v>
      </c>
    </row>
    <row r="2625" spans="19:24" x14ac:dyDescent="0.25">
      <c r="S2625" s="44">
        <f t="shared" si="242"/>
        <v>45675</v>
      </c>
      <c r="T2625" s="12">
        <f t="shared" si="243"/>
        <v>3.7427259451484809</v>
      </c>
      <c r="U2625" s="12">
        <f t="shared" si="239"/>
        <v>3.6573122222289389</v>
      </c>
      <c r="V2625" s="30">
        <f t="shared" si="240"/>
        <v>0.43221150684931509</v>
      </c>
      <c r="W2625" s="46">
        <f t="shared" si="244"/>
        <v>-3.7427259451484805E-2</v>
      </c>
      <c r="X2625" s="33">
        <f t="shared" si="241"/>
        <v>2.6161265486602768E-2</v>
      </c>
    </row>
    <row r="2626" spans="19:24" x14ac:dyDescent="0.25">
      <c r="S2626" s="44">
        <f t="shared" si="242"/>
        <v>45676</v>
      </c>
      <c r="T2626" s="12">
        <f t="shared" si="243"/>
        <v>3.7400488628469399</v>
      </c>
      <c r="U2626" s="12">
        <f t="shared" si="239"/>
        <v>3.6546610455041484</v>
      </c>
      <c r="V2626" s="30">
        <f t="shared" si="240"/>
        <v>0.43218410958904108</v>
      </c>
      <c r="W2626" s="46">
        <f t="shared" si="244"/>
        <v>-3.740048862846939E-2</v>
      </c>
      <c r="X2626" s="33">
        <f t="shared" si="241"/>
        <v>2.6161223974329822E-2</v>
      </c>
    </row>
    <row r="2627" spans="19:24" x14ac:dyDescent="0.25">
      <c r="S2627" s="44">
        <f t="shared" si="242"/>
        <v>45677</v>
      </c>
      <c r="T2627" s="12">
        <f t="shared" si="243"/>
        <v>3.7373717805453981</v>
      </c>
      <c r="U2627" s="12">
        <f t="shared" si="239"/>
        <v>3.6520098687793601</v>
      </c>
      <c r="V2627" s="30">
        <f t="shared" si="240"/>
        <v>0.43215671232876707</v>
      </c>
      <c r="W2627" s="46">
        <f t="shared" si="244"/>
        <v>-3.7373717805453975E-2</v>
      </c>
      <c r="X2627" s="33">
        <f t="shared" si="241"/>
        <v>2.616118246205688E-2</v>
      </c>
    </row>
    <row r="2628" spans="19:24" x14ac:dyDescent="0.25">
      <c r="S2628" s="44">
        <f t="shared" si="242"/>
        <v>45678</v>
      </c>
      <c r="T2628" s="12">
        <f t="shared" si="243"/>
        <v>3.7346946982438571</v>
      </c>
      <c r="U2628" s="12">
        <f t="shared" si="239"/>
        <v>3.6493586920545713</v>
      </c>
      <c r="V2628" s="30">
        <f t="shared" si="240"/>
        <v>0.43212931506849311</v>
      </c>
      <c r="W2628" s="46">
        <f t="shared" si="244"/>
        <v>-3.7346946982438567E-2</v>
      </c>
      <c r="X2628" s="33">
        <f t="shared" si="241"/>
        <v>2.6161140949783935E-2</v>
      </c>
    </row>
    <row r="2629" spans="19:24" x14ac:dyDescent="0.25">
      <c r="S2629" s="44">
        <f t="shared" si="242"/>
        <v>45679</v>
      </c>
      <c r="T2629" s="12">
        <f t="shared" si="243"/>
        <v>3.7320176159423162</v>
      </c>
      <c r="U2629" s="12">
        <f t="shared" ref="U2629:U2692" si="245">DurMod($S2629,$B$2,$F$7:$G$37,U$3)</f>
        <v>3.6467075153297817</v>
      </c>
      <c r="V2629" s="30">
        <f t="shared" ref="V2629:V2692" si="246">+$U$3*($S$5512-S2629)/365+$T$3*(S2629-$S$4)/365</f>
        <v>0.43210191780821916</v>
      </c>
      <c r="W2629" s="46">
        <f t="shared" si="244"/>
        <v>-3.7320176159423159E-2</v>
      </c>
      <c r="X2629" s="33">
        <f t="shared" ref="X2629:X2692" si="247">+(V2629+W2629)*365/($S$5512-$S$4)</f>
        <v>2.6161099437510993E-2</v>
      </c>
    </row>
    <row r="2630" spans="19:24" x14ac:dyDescent="0.25">
      <c r="S2630" s="44">
        <f t="shared" si="242"/>
        <v>45680</v>
      </c>
      <c r="T2630" s="12">
        <f t="shared" si="243"/>
        <v>3.7293405336407752</v>
      </c>
      <c r="U2630" s="12">
        <f t="shared" si="245"/>
        <v>3.644056338604992</v>
      </c>
      <c r="V2630" s="30">
        <f t="shared" si="246"/>
        <v>0.43207452054794521</v>
      </c>
      <c r="W2630" s="46">
        <f t="shared" si="244"/>
        <v>-3.7293405336407744E-2</v>
      </c>
      <c r="X2630" s="33">
        <f t="shared" si="247"/>
        <v>2.6161057925238051E-2</v>
      </c>
    </row>
    <row r="2631" spans="19:24" x14ac:dyDescent="0.25">
      <c r="S2631" s="44">
        <f t="shared" si="242"/>
        <v>45681</v>
      </c>
      <c r="T2631" s="12">
        <f t="shared" si="243"/>
        <v>3.7266634513392347</v>
      </c>
      <c r="U2631" s="12">
        <f t="shared" si="245"/>
        <v>3.6414051618802028</v>
      </c>
      <c r="V2631" s="30">
        <f t="shared" si="246"/>
        <v>0.43204712328767125</v>
      </c>
      <c r="W2631" s="46">
        <f t="shared" si="244"/>
        <v>-3.7266634513392342E-2</v>
      </c>
      <c r="X2631" s="33">
        <f t="shared" si="247"/>
        <v>2.6161016412965109E-2</v>
      </c>
    </row>
    <row r="2632" spans="19:24" x14ac:dyDescent="0.25">
      <c r="S2632" s="44">
        <f t="shared" si="242"/>
        <v>45682</v>
      </c>
      <c r="T2632" s="12">
        <f t="shared" si="243"/>
        <v>3.7239863690376924</v>
      </c>
      <c r="U2632" s="12">
        <f t="shared" si="245"/>
        <v>3.6387539851554132</v>
      </c>
      <c r="V2632" s="30">
        <f t="shared" si="246"/>
        <v>0.43201972602739724</v>
      </c>
      <c r="W2632" s="46">
        <f t="shared" si="244"/>
        <v>-3.723986369037692E-2</v>
      </c>
      <c r="X2632" s="33">
        <f t="shared" si="247"/>
        <v>2.616097490069216E-2</v>
      </c>
    </row>
    <row r="2633" spans="19:24" x14ac:dyDescent="0.25">
      <c r="S2633" s="44">
        <f t="shared" si="242"/>
        <v>45683</v>
      </c>
      <c r="T2633" s="12">
        <f t="shared" si="243"/>
        <v>3.7213092867361519</v>
      </c>
      <c r="U2633" s="12">
        <f t="shared" si="245"/>
        <v>3.6361028084306248</v>
      </c>
      <c r="V2633" s="30">
        <f t="shared" si="246"/>
        <v>0.43199232876712329</v>
      </c>
      <c r="W2633" s="46">
        <f t="shared" si="244"/>
        <v>-3.7213092867361512E-2</v>
      </c>
      <c r="X2633" s="33">
        <f t="shared" si="247"/>
        <v>2.6160933388419218E-2</v>
      </c>
    </row>
    <row r="2634" spans="19:24" x14ac:dyDescent="0.25">
      <c r="S2634" s="44">
        <f t="shared" si="242"/>
        <v>45684</v>
      </c>
      <c r="T2634" s="12">
        <f t="shared" si="243"/>
        <v>3.7186322044346114</v>
      </c>
      <c r="U2634" s="12">
        <f t="shared" si="245"/>
        <v>3.6334516317058343</v>
      </c>
      <c r="V2634" s="30">
        <f t="shared" si="246"/>
        <v>0.43196493150684934</v>
      </c>
      <c r="W2634" s="46">
        <f t="shared" si="244"/>
        <v>-3.7186322044346111E-2</v>
      </c>
      <c r="X2634" s="33">
        <f t="shared" si="247"/>
        <v>2.6160891876146272E-2</v>
      </c>
    </row>
    <row r="2635" spans="19:24" x14ac:dyDescent="0.25">
      <c r="S2635" s="44">
        <f t="shared" si="242"/>
        <v>45685</v>
      </c>
      <c r="T2635" s="12">
        <f t="shared" si="243"/>
        <v>3.71595512213307</v>
      </c>
      <c r="U2635" s="12">
        <f t="shared" si="245"/>
        <v>3.630800454981046</v>
      </c>
      <c r="V2635" s="30">
        <f t="shared" si="246"/>
        <v>0.43193753424657533</v>
      </c>
      <c r="W2635" s="46">
        <f t="shared" si="244"/>
        <v>-3.7159551221330696E-2</v>
      </c>
      <c r="X2635" s="33">
        <f t="shared" si="247"/>
        <v>2.616085036387333E-2</v>
      </c>
    </row>
    <row r="2636" spans="19:24" x14ac:dyDescent="0.25">
      <c r="S2636" s="44">
        <f t="shared" si="242"/>
        <v>45686</v>
      </c>
      <c r="T2636" s="12">
        <f t="shared" si="243"/>
        <v>3.7132780398315282</v>
      </c>
      <c r="U2636" s="12">
        <f t="shared" si="245"/>
        <v>3.6281492782562559</v>
      </c>
      <c r="V2636" s="30">
        <f t="shared" si="246"/>
        <v>0.43191013698630132</v>
      </c>
      <c r="W2636" s="46">
        <f t="shared" si="244"/>
        <v>-3.7132780398315274E-2</v>
      </c>
      <c r="X2636" s="33">
        <f t="shared" si="247"/>
        <v>2.6160808851600381E-2</v>
      </c>
    </row>
    <row r="2637" spans="19:24" x14ac:dyDescent="0.25">
      <c r="S2637" s="44">
        <f t="shared" si="242"/>
        <v>45687</v>
      </c>
      <c r="T2637" s="12">
        <f t="shared" si="243"/>
        <v>3.7106009575299863</v>
      </c>
      <c r="U2637" s="12">
        <f t="shared" si="245"/>
        <v>3.6254981015314671</v>
      </c>
      <c r="V2637" s="30">
        <f t="shared" si="246"/>
        <v>0.43188273972602736</v>
      </c>
      <c r="W2637" s="46">
        <f t="shared" si="244"/>
        <v>-3.7106009575299859E-2</v>
      </c>
      <c r="X2637" s="33">
        <f t="shared" si="247"/>
        <v>2.6160767339327439E-2</v>
      </c>
    </row>
    <row r="2638" spans="19:24" x14ac:dyDescent="0.25">
      <c r="S2638" s="44">
        <f t="shared" si="242"/>
        <v>45688</v>
      </c>
      <c r="T2638" s="12">
        <f t="shared" si="243"/>
        <v>3.7079238752284445</v>
      </c>
      <c r="U2638" s="12">
        <f t="shared" si="245"/>
        <v>3.6228469248066775</v>
      </c>
      <c r="V2638" s="30">
        <f t="shared" si="246"/>
        <v>0.43185534246575341</v>
      </c>
      <c r="W2638" s="46">
        <f t="shared" si="244"/>
        <v>-3.7079238752284437E-2</v>
      </c>
      <c r="X2638" s="33">
        <f t="shared" si="247"/>
        <v>2.6160725827054497E-2</v>
      </c>
    </row>
    <row r="2639" spans="19:24" x14ac:dyDescent="0.25">
      <c r="S2639" s="44">
        <f t="shared" si="242"/>
        <v>45689</v>
      </c>
      <c r="T2639" s="12">
        <f t="shared" si="243"/>
        <v>3.7052467929269044</v>
      </c>
      <c r="U2639" s="12">
        <f t="shared" si="245"/>
        <v>3.6201957480818878</v>
      </c>
      <c r="V2639" s="30">
        <f t="shared" si="246"/>
        <v>0.4318279452054794</v>
      </c>
      <c r="W2639" s="46">
        <f t="shared" si="244"/>
        <v>-3.7052467929269035E-2</v>
      </c>
      <c r="X2639" s="33">
        <f t="shared" si="247"/>
        <v>2.6160684314781552E-2</v>
      </c>
    </row>
    <row r="2640" spans="19:24" x14ac:dyDescent="0.25">
      <c r="S2640" s="44">
        <f t="shared" si="242"/>
        <v>45690</v>
      </c>
      <c r="T2640" s="12">
        <f t="shared" si="243"/>
        <v>3.7025697106253626</v>
      </c>
      <c r="U2640" s="12">
        <f t="shared" si="245"/>
        <v>3.6175445713570991</v>
      </c>
      <c r="V2640" s="30">
        <f t="shared" si="246"/>
        <v>0.43180054794520545</v>
      </c>
      <c r="W2640" s="46">
        <f t="shared" si="244"/>
        <v>-3.702569710625362E-2</v>
      </c>
      <c r="X2640" s="33">
        <f t="shared" si="247"/>
        <v>2.6160642802508609E-2</v>
      </c>
    </row>
    <row r="2641" spans="19:24" x14ac:dyDescent="0.25">
      <c r="S2641" s="44">
        <f t="shared" si="242"/>
        <v>45691</v>
      </c>
      <c r="T2641" s="12">
        <f t="shared" si="243"/>
        <v>3.699892628323822</v>
      </c>
      <c r="U2641" s="12">
        <f t="shared" si="245"/>
        <v>3.6148933946323094</v>
      </c>
      <c r="V2641" s="30">
        <f t="shared" si="246"/>
        <v>0.43177315068493149</v>
      </c>
      <c r="W2641" s="46">
        <f t="shared" si="244"/>
        <v>-3.6998926283238212E-2</v>
      </c>
      <c r="X2641" s="33">
        <f t="shared" si="247"/>
        <v>2.6160601290235667E-2</v>
      </c>
    </row>
    <row r="2642" spans="19:24" x14ac:dyDescent="0.25">
      <c r="S2642" s="44">
        <f t="shared" si="242"/>
        <v>45692</v>
      </c>
      <c r="T2642" s="12">
        <f t="shared" si="243"/>
        <v>3.6972155460222811</v>
      </c>
      <c r="U2642" s="12">
        <f t="shared" si="245"/>
        <v>3.6122422179075206</v>
      </c>
      <c r="V2642" s="30">
        <f t="shared" si="246"/>
        <v>0.43174575342465754</v>
      </c>
      <c r="W2642" s="46">
        <f t="shared" si="244"/>
        <v>-3.6972155460222804E-2</v>
      </c>
      <c r="X2642" s="33">
        <f t="shared" si="247"/>
        <v>2.6160559777962725E-2</v>
      </c>
    </row>
    <row r="2643" spans="19:24" x14ac:dyDescent="0.25">
      <c r="S2643" s="44">
        <f t="shared" si="242"/>
        <v>45693</v>
      </c>
      <c r="T2643" s="12">
        <f t="shared" si="243"/>
        <v>3.6945384637207388</v>
      </c>
      <c r="U2643" s="12">
        <f t="shared" si="245"/>
        <v>3.6095910411827301</v>
      </c>
      <c r="V2643" s="30">
        <f t="shared" si="246"/>
        <v>0.43171835616438359</v>
      </c>
      <c r="W2643" s="46">
        <f t="shared" si="244"/>
        <v>-3.6945384637207382E-2</v>
      </c>
      <c r="X2643" s="33">
        <f t="shared" si="247"/>
        <v>2.6160518265689783E-2</v>
      </c>
    </row>
    <row r="2644" spans="19:24" x14ac:dyDescent="0.25">
      <c r="S2644" s="44">
        <f t="shared" si="242"/>
        <v>45694</v>
      </c>
      <c r="T2644" s="12">
        <f t="shared" si="243"/>
        <v>3.6918613814191996</v>
      </c>
      <c r="U2644" s="12">
        <f t="shared" si="245"/>
        <v>3.6069398644579422</v>
      </c>
      <c r="V2644" s="30">
        <f t="shared" si="246"/>
        <v>0.43169095890410963</v>
      </c>
      <c r="W2644" s="46">
        <f t="shared" si="244"/>
        <v>-3.6918613814191988E-2</v>
      </c>
      <c r="X2644" s="33">
        <f t="shared" si="247"/>
        <v>2.6160476753416834E-2</v>
      </c>
    </row>
    <row r="2645" spans="19:24" x14ac:dyDescent="0.25">
      <c r="S2645" s="44">
        <f t="shared" si="242"/>
        <v>45695</v>
      </c>
      <c r="T2645" s="12">
        <f t="shared" si="243"/>
        <v>3.6891842991176578</v>
      </c>
      <c r="U2645" s="12">
        <f t="shared" si="245"/>
        <v>3.6042886877331513</v>
      </c>
      <c r="V2645" s="30">
        <f t="shared" si="246"/>
        <v>0.43166356164383562</v>
      </c>
      <c r="W2645" s="46">
        <f t="shared" si="244"/>
        <v>-3.6891842991176572E-2</v>
      </c>
      <c r="X2645" s="33">
        <f t="shared" si="247"/>
        <v>2.6160435241143889E-2</v>
      </c>
    </row>
    <row r="2646" spans="19:24" x14ac:dyDescent="0.25">
      <c r="S2646" s="44">
        <f t="shared" si="242"/>
        <v>45696</v>
      </c>
      <c r="T2646" s="12">
        <f t="shared" si="243"/>
        <v>3.6865072168161168</v>
      </c>
      <c r="U2646" s="12">
        <f t="shared" si="245"/>
        <v>3.6016375110083629</v>
      </c>
      <c r="V2646" s="30">
        <f t="shared" si="246"/>
        <v>0.43163616438356167</v>
      </c>
      <c r="W2646" s="46">
        <f t="shared" si="244"/>
        <v>-3.6865072168161164E-2</v>
      </c>
      <c r="X2646" s="33">
        <f t="shared" si="247"/>
        <v>2.6160393728870954E-2</v>
      </c>
    </row>
    <row r="2647" spans="19:24" x14ac:dyDescent="0.25">
      <c r="S2647" s="44">
        <f t="shared" si="242"/>
        <v>45697</v>
      </c>
      <c r="T2647" s="12">
        <f t="shared" si="243"/>
        <v>3.6838301345145745</v>
      </c>
      <c r="U2647" s="12">
        <f t="shared" si="245"/>
        <v>3.5989863342835737</v>
      </c>
      <c r="V2647" s="30">
        <f t="shared" si="246"/>
        <v>0.43160876712328766</v>
      </c>
      <c r="W2647" s="46">
        <f t="shared" si="244"/>
        <v>-3.6838301345145742E-2</v>
      </c>
      <c r="X2647" s="33">
        <f t="shared" si="247"/>
        <v>2.6160352216598001E-2</v>
      </c>
    </row>
    <row r="2648" spans="19:24" x14ac:dyDescent="0.25">
      <c r="S2648" s="44">
        <f t="shared" si="242"/>
        <v>45698</v>
      </c>
      <c r="T2648" s="12">
        <f t="shared" si="243"/>
        <v>3.6811530522130336</v>
      </c>
      <c r="U2648" s="12">
        <f t="shared" si="245"/>
        <v>3.5963351575587845</v>
      </c>
      <c r="V2648" s="30">
        <f t="shared" si="246"/>
        <v>0.43158136986301376</v>
      </c>
      <c r="W2648" s="46">
        <f t="shared" si="244"/>
        <v>-3.6811530522130327E-2</v>
      </c>
      <c r="X2648" s="33">
        <f t="shared" si="247"/>
        <v>2.6160310704325063E-2</v>
      </c>
    </row>
    <row r="2649" spans="19:24" x14ac:dyDescent="0.25">
      <c r="S2649" s="44">
        <f t="shared" si="242"/>
        <v>45699</v>
      </c>
      <c r="T2649" s="12">
        <f t="shared" si="243"/>
        <v>3.6784759699114922</v>
      </c>
      <c r="U2649" s="12">
        <f t="shared" si="245"/>
        <v>3.5936839808339953</v>
      </c>
      <c r="V2649" s="30">
        <f t="shared" si="246"/>
        <v>0.43155397260273975</v>
      </c>
      <c r="W2649" s="46">
        <f t="shared" si="244"/>
        <v>-3.6784759699114919E-2</v>
      </c>
      <c r="X2649" s="33">
        <f t="shared" si="247"/>
        <v>2.6160269192052117E-2</v>
      </c>
    </row>
    <row r="2650" spans="19:24" x14ac:dyDescent="0.25">
      <c r="S2650" s="44">
        <f t="shared" si="242"/>
        <v>45700</v>
      </c>
      <c r="T2650" s="12">
        <f t="shared" si="243"/>
        <v>3.6757988876099512</v>
      </c>
      <c r="U2650" s="12">
        <f t="shared" si="245"/>
        <v>3.5910328041092052</v>
      </c>
      <c r="V2650" s="30">
        <f t="shared" si="246"/>
        <v>0.43152657534246575</v>
      </c>
      <c r="W2650" s="46">
        <f t="shared" si="244"/>
        <v>-3.6757988876099504E-2</v>
      </c>
      <c r="X2650" s="33">
        <f t="shared" si="247"/>
        <v>2.6160227679779175E-2</v>
      </c>
    </row>
    <row r="2651" spans="19:24" x14ac:dyDescent="0.25">
      <c r="S2651" s="44">
        <f t="shared" si="242"/>
        <v>45701</v>
      </c>
      <c r="T2651" s="12">
        <f t="shared" si="243"/>
        <v>3.6731218053084085</v>
      </c>
      <c r="U2651" s="12">
        <f t="shared" si="245"/>
        <v>3.5883816273844165</v>
      </c>
      <c r="V2651" s="30">
        <f t="shared" si="246"/>
        <v>0.43149917808219179</v>
      </c>
      <c r="W2651" s="46">
        <f t="shared" si="244"/>
        <v>-3.6731218053084082E-2</v>
      </c>
      <c r="X2651" s="33">
        <f t="shared" si="247"/>
        <v>2.6160186167506226E-2</v>
      </c>
    </row>
    <row r="2652" spans="19:24" x14ac:dyDescent="0.25">
      <c r="S2652" s="44">
        <f t="shared" si="242"/>
        <v>45702</v>
      </c>
      <c r="T2652" s="12">
        <f t="shared" si="243"/>
        <v>3.6704447230068689</v>
      </c>
      <c r="U2652" s="12">
        <f t="shared" si="245"/>
        <v>3.5857304506596277</v>
      </c>
      <c r="V2652" s="30">
        <f t="shared" si="246"/>
        <v>0.43147178082191778</v>
      </c>
      <c r="W2652" s="46">
        <f t="shared" si="244"/>
        <v>-3.6704447230068681E-2</v>
      </c>
      <c r="X2652" s="33">
        <f t="shared" si="247"/>
        <v>2.6160144655233284E-2</v>
      </c>
    </row>
    <row r="2653" spans="19:24" x14ac:dyDescent="0.25">
      <c r="S2653" s="44">
        <f t="shared" si="242"/>
        <v>45703</v>
      </c>
      <c r="T2653" s="12">
        <f t="shared" si="243"/>
        <v>3.6677676407053275</v>
      </c>
      <c r="U2653" s="12">
        <f t="shared" si="245"/>
        <v>3.5830792739348376</v>
      </c>
      <c r="V2653" s="30">
        <f t="shared" si="246"/>
        <v>0.43144438356164383</v>
      </c>
      <c r="W2653" s="46">
        <f t="shared" si="244"/>
        <v>-3.6677676407053272E-2</v>
      </c>
      <c r="X2653" s="33">
        <f t="shared" si="247"/>
        <v>2.6160103142960342E-2</v>
      </c>
    </row>
    <row r="2654" spans="19:24" x14ac:dyDescent="0.25">
      <c r="S2654" s="44">
        <f t="shared" si="242"/>
        <v>45704</v>
      </c>
      <c r="T2654" s="12">
        <f t="shared" si="243"/>
        <v>3.6650905584037878</v>
      </c>
      <c r="U2654" s="12">
        <f t="shared" si="245"/>
        <v>3.5804280972100488</v>
      </c>
      <c r="V2654" s="30">
        <f t="shared" si="246"/>
        <v>0.43141698630136988</v>
      </c>
      <c r="W2654" s="46">
        <f t="shared" si="244"/>
        <v>-3.6650905584037871E-2</v>
      </c>
      <c r="X2654" s="33">
        <f t="shared" si="247"/>
        <v>2.6160061630687396E-2</v>
      </c>
    </row>
    <row r="2655" spans="19:24" x14ac:dyDescent="0.25">
      <c r="S2655" s="44">
        <f t="shared" si="242"/>
        <v>45705</v>
      </c>
      <c r="T2655" s="12">
        <f t="shared" si="243"/>
        <v>3.6624134761022451</v>
      </c>
      <c r="U2655" s="12">
        <f t="shared" si="245"/>
        <v>3.5777769204852587</v>
      </c>
      <c r="V2655" s="30">
        <f t="shared" si="246"/>
        <v>0.43138958904109592</v>
      </c>
      <c r="W2655" s="46">
        <f t="shared" si="244"/>
        <v>-3.6624134761022442E-2</v>
      </c>
      <c r="X2655" s="33">
        <f t="shared" si="247"/>
        <v>2.6160020118414454E-2</v>
      </c>
    </row>
    <row r="2656" spans="19:24" x14ac:dyDescent="0.25">
      <c r="S2656" s="44">
        <f t="shared" si="242"/>
        <v>45706</v>
      </c>
      <c r="T2656" s="12">
        <f t="shared" si="243"/>
        <v>3.6597363938007046</v>
      </c>
      <c r="U2656" s="12">
        <f t="shared" si="245"/>
        <v>3.57512574376047</v>
      </c>
      <c r="V2656" s="30">
        <f t="shared" si="246"/>
        <v>0.43136219178082191</v>
      </c>
      <c r="W2656" s="46">
        <f t="shared" si="244"/>
        <v>-3.6597363938007041E-2</v>
      </c>
      <c r="X2656" s="33">
        <f t="shared" si="247"/>
        <v>2.6159978606141505E-2</v>
      </c>
    </row>
    <row r="2657" spans="19:24" x14ac:dyDescent="0.25">
      <c r="S2657" s="44">
        <f t="shared" si="242"/>
        <v>45707</v>
      </c>
      <c r="T2657" s="12">
        <f t="shared" si="243"/>
        <v>3.6570593114991614</v>
      </c>
      <c r="U2657" s="12">
        <f t="shared" si="245"/>
        <v>3.5724745670356808</v>
      </c>
      <c r="V2657" s="30">
        <f t="shared" si="246"/>
        <v>0.43133479452054801</v>
      </c>
      <c r="W2657" s="46">
        <f t="shared" si="244"/>
        <v>-3.6570593114991612E-2</v>
      </c>
      <c r="X2657" s="33">
        <f t="shared" si="247"/>
        <v>2.615993709386857E-2</v>
      </c>
    </row>
    <row r="2658" spans="19:24" x14ac:dyDescent="0.25">
      <c r="S2658" s="44">
        <f t="shared" ref="S2658:S2721" si="248">+S2657+1</f>
        <v>45708</v>
      </c>
      <c r="T2658" s="12">
        <f t="shared" ref="T2658:T2721" si="249">DurMod(S2658,B$2,$F$7:$G$37,$T$3)</f>
        <v>3.6543822291976213</v>
      </c>
      <c r="U2658" s="12">
        <f t="shared" si="245"/>
        <v>3.5698233903108916</v>
      </c>
      <c r="V2658" s="30">
        <f t="shared" si="246"/>
        <v>0.43130739726027401</v>
      </c>
      <c r="W2658" s="46">
        <f t="shared" ref="W2658:W2721" si="250">+-T2658*($U$3-$T$3)</f>
        <v>-3.6543822291976211E-2</v>
      </c>
      <c r="X2658" s="33">
        <f t="shared" si="247"/>
        <v>2.6159895581595621E-2</v>
      </c>
    </row>
    <row r="2659" spans="19:24" x14ac:dyDescent="0.25">
      <c r="S2659" s="44">
        <f t="shared" si="248"/>
        <v>45709</v>
      </c>
      <c r="T2659" s="12">
        <f t="shared" si="249"/>
        <v>3.6517051468960804</v>
      </c>
      <c r="U2659" s="12">
        <f t="shared" si="245"/>
        <v>3.5671722135861028</v>
      </c>
      <c r="V2659" s="30">
        <f t="shared" si="246"/>
        <v>0.43128</v>
      </c>
      <c r="W2659" s="46">
        <f t="shared" si="250"/>
        <v>-3.6517051468960796E-2</v>
      </c>
      <c r="X2659" s="33">
        <f t="shared" si="247"/>
        <v>2.6159854069322679E-2</v>
      </c>
    </row>
    <row r="2660" spans="19:24" x14ac:dyDescent="0.25">
      <c r="S2660" s="44">
        <f t="shared" si="248"/>
        <v>45710</v>
      </c>
      <c r="T2660" s="12">
        <f t="shared" si="249"/>
        <v>3.6490280645945399</v>
      </c>
      <c r="U2660" s="12">
        <f t="shared" si="245"/>
        <v>3.5645210368613132</v>
      </c>
      <c r="V2660" s="30">
        <f t="shared" si="246"/>
        <v>0.43125260273972599</v>
      </c>
      <c r="W2660" s="46">
        <f t="shared" si="250"/>
        <v>-3.6490280645945394E-2</v>
      </c>
      <c r="X2660" s="33">
        <f t="shared" si="247"/>
        <v>2.6159812557049727E-2</v>
      </c>
    </row>
    <row r="2661" spans="19:24" x14ac:dyDescent="0.25">
      <c r="S2661" s="44">
        <f t="shared" si="248"/>
        <v>45711</v>
      </c>
      <c r="T2661" s="12">
        <f t="shared" si="249"/>
        <v>3.6463509822929985</v>
      </c>
      <c r="U2661" s="12">
        <f t="shared" si="245"/>
        <v>3.5618698601365244</v>
      </c>
      <c r="V2661" s="30">
        <f t="shared" si="246"/>
        <v>0.43122520547945203</v>
      </c>
      <c r="W2661" s="46">
        <f t="shared" si="250"/>
        <v>-3.6463509822929979E-2</v>
      </c>
      <c r="X2661" s="33">
        <f t="shared" si="247"/>
        <v>2.6159771044776792E-2</v>
      </c>
    </row>
    <row r="2662" spans="19:24" x14ac:dyDescent="0.25">
      <c r="S2662" s="44">
        <f t="shared" si="248"/>
        <v>45712</v>
      </c>
      <c r="T2662" s="12">
        <f t="shared" si="249"/>
        <v>3.6436738999914575</v>
      </c>
      <c r="U2662" s="12">
        <f t="shared" si="245"/>
        <v>3.5592186834117352</v>
      </c>
      <c r="V2662" s="30">
        <f t="shared" si="246"/>
        <v>0.43119780821917808</v>
      </c>
      <c r="W2662" s="46">
        <f t="shared" si="250"/>
        <v>-3.6436738999914571E-2</v>
      </c>
      <c r="X2662" s="33">
        <f t="shared" si="247"/>
        <v>2.6159729532503843E-2</v>
      </c>
    </row>
    <row r="2663" spans="19:24" x14ac:dyDescent="0.25">
      <c r="S2663" s="44">
        <f t="shared" si="248"/>
        <v>45713</v>
      </c>
      <c r="T2663" s="12">
        <f t="shared" si="249"/>
        <v>3.6409968176899157</v>
      </c>
      <c r="U2663" s="12">
        <f t="shared" si="245"/>
        <v>3.556567506686946</v>
      </c>
      <c r="V2663" s="30">
        <f t="shared" si="246"/>
        <v>0.43117041095890413</v>
      </c>
      <c r="W2663" s="46">
        <f t="shared" si="250"/>
        <v>-3.6409968176899149E-2</v>
      </c>
      <c r="X2663" s="33">
        <f t="shared" si="247"/>
        <v>2.6159688020230901E-2</v>
      </c>
    </row>
    <row r="2664" spans="19:24" x14ac:dyDescent="0.25">
      <c r="S2664" s="44">
        <f t="shared" si="248"/>
        <v>45714</v>
      </c>
      <c r="T2664" s="12">
        <f t="shared" si="249"/>
        <v>3.6383197353883747</v>
      </c>
      <c r="U2664" s="12">
        <f t="shared" si="245"/>
        <v>3.5539163299621559</v>
      </c>
      <c r="V2664" s="30">
        <f t="shared" si="246"/>
        <v>0.43114301369863012</v>
      </c>
      <c r="W2664" s="46">
        <f t="shared" si="250"/>
        <v>-3.6383197353883741E-2</v>
      </c>
      <c r="X2664" s="33">
        <f t="shared" si="247"/>
        <v>2.6159646507957955E-2</v>
      </c>
    </row>
    <row r="2665" spans="19:24" x14ac:dyDescent="0.25">
      <c r="S2665" s="44">
        <f t="shared" si="248"/>
        <v>45715</v>
      </c>
      <c r="T2665" s="12">
        <f t="shared" si="249"/>
        <v>3.6356426530868333</v>
      </c>
      <c r="U2665" s="12">
        <f t="shared" si="245"/>
        <v>3.5512651532373671</v>
      </c>
      <c r="V2665" s="30">
        <f t="shared" si="246"/>
        <v>0.43111561643835616</v>
      </c>
      <c r="W2665" s="46">
        <f t="shared" si="250"/>
        <v>-3.6356426530868326E-2</v>
      </c>
      <c r="X2665" s="33">
        <f t="shared" si="247"/>
        <v>2.6159604995685013E-2</v>
      </c>
    </row>
    <row r="2666" spans="19:24" x14ac:dyDescent="0.25">
      <c r="S2666" s="44">
        <f t="shared" si="248"/>
        <v>45716</v>
      </c>
      <c r="T2666" s="12">
        <f t="shared" si="249"/>
        <v>3.6329655707852915</v>
      </c>
      <c r="U2666" s="12">
        <f t="shared" si="245"/>
        <v>3.5486139765125775</v>
      </c>
      <c r="V2666" s="30">
        <f t="shared" si="246"/>
        <v>0.43108821917808221</v>
      </c>
      <c r="W2666" s="46">
        <f t="shared" si="250"/>
        <v>-3.6329655707852911E-2</v>
      </c>
      <c r="X2666" s="33">
        <f t="shared" si="247"/>
        <v>2.6159563483412071E-2</v>
      </c>
    </row>
    <row r="2667" spans="19:24" x14ac:dyDescent="0.25">
      <c r="S2667" s="44">
        <f t="shared" si="248"/>
        <v>45717</v>
      </c>
      <c r="T2667" s="12">
        <f t="shared" si="249"/>
        <v>3.630288488483751</v>
      </c>
      <c r="U2667" s="12">
        <f t="shared" si="245"/>
        <v>3.5459627997877869</v>
      </c>
      <c r="V2667" s="30">
        <f t="shared" si="246"/>
        <v>0.43106082191780826</v>
      </c>
      <c r="W2667" s="46">
        <f t="shared" si="250"/>
        <v>-3.6302884884837502E-2</v>
      </c>
      <c r="X2667" s="33">
        <f t="shared" si="247"/>
        <v>2.6159521971139129E-2</v>
      </c>
    </row>
    <row r="2668" spans="19:24" x14ac:dyDescent="0.25">
      <c r="S2668" s="44">
        <f t="shared" si="248"/>
        <v>45718</v>
      </c>
      <c r="T2668" s="12">
        <f t="shared" si="249"/>
        <v>3.6276114061822096</v>
      </c>
      <c r="U2668" s="12">
        <f t="shared" si="245"/>
        <v>3.5433116230629982</v>
      </c>
      <c r="V2668" s="30">
        <f t="shared" si="246"/>
        <v>0.43103342465753425</v>
      </c>
      <c r="W2668" s="46">
        <f t="shared" si="250"/>
        <v>-3.6276114061822087E-2</v>
      </c>
      <c r="X2668" s="33">
        <f t="shared" si="247"/>
        <v>2.6159480458866183E-2</v>
      </c>
    </row>
    <row r="2669" spans="19:24" x14ac:dyDescent="0.25">
      <c r="S2669" s="44">
        <f t="shared" si="248"/>
        <v>45719</v>
      </c>
      <c r="T2669" s="12">
        <f t="shared" si="249"/>
        <v>3.6249343238806682</v>
      </c>
      <c r="U2669" s="12">
        <f t="shared" si="245"/>
        <v>3.540660446338209</v>
      </c>
      <c r="V2669" s="30">
        <f t="shared" si="246"/>
        <v>0.43100602739726024</v>
      </c>
      <c r="W2669" s="46">
        <f t="shared" si="250"/>
        <v>-3.6249343238806679E-2</v>
      </c>
      <c r="X2669" s="33">
        <f t="shared" si="247"/>
        <v>2.6159438946593234E-2</v>
      </c>
    </row>
    <row r="2670" spans="19:24" x14ac:dyDescent="0.25">
      <c r="S2670" s="44">
        <f t="shared" si="248"/>
        <v>45720</v>
      </c>
      <c r="T2670" s="12">
        <f t="shared" si="249"/>
        <v>3.6222572415791268</v>
      </c>
      <c r="U2670" s="12">
        <f t="shared" si="245"/>
        <v>3.5380092696134198</v>
      </c>
      <c r="V2670" s="30">
        <f t="shared" si="246"/>
        <v>0.43097863013698623</v>
      </c>
      <c r="W2670" s="46">
        <f t="shared" si="250"/>
        <v>-3.6222572415791264E-2</v>
      </c>
      <c r="X2670" s="33">
        <f t="shared" si="247"/>
        <v>2.6159397434320292E-2</v>
      </c>
    </row>
    <row r="2671" spans="19:24" x14ac:dyDescent="0.25">
      <c r="S2671" s="44">
        <f t="shared" si="248"/>
        <v>45721</v>
      </c>
      <c r="T2671" s="12">
        <f t="shared" si="249"/>
        <v>3.6195801592775876</v>
      </c>
      <c r="U2671" s="12">
        <f t="shared" si="245"/>
        <v>3.535358092888631</v>
      </c>
      <c r="V2671" s="30">
        <f t="shared" si="246"/>
        <v>0.43095123287671233</v>
      </c>
      <c r="W2671" s="46">
        <f t="shared" si="250"/>
        <v>-3.619580159277587E-2</v>
      </c>
      <c r="X2671" s="33">
        <f t="shared" si="247"/>
        <v>2.615935592204735E-2</v>
      </c>
    </row>
    <row r="2672" spans="19:24" x14ac:dyDescent="0.25">
      <c r="S2672" s="44">
        <f t="shared" si="248"/>
        <v>45722</v>
      </c>
      <c r="T2672" s="12">
        <f t="shared" si="249"/>
        <v>3.616903076976044</v>
      </c>
      <c r="U2672" s="12">
        <f t="shared" si="245"/>
        <v>3.5327069161638409</v>
      </c>
      <c r="V2672" s="30">
        <f t="shared" si="246"/>
        <v>0.43092383561643832</v>
      </c>
      <c r="W2672" s="46">
        <f t="shared" si="250"/>
        <v>-3.6169030769760434E-2</v>
      </c>
      <c r="X2672" s="33">
        <f t="shared" si="247"/>
        <v>2.6159314409774408E-2</v>
      </c>
    </row>
    <row r="2673" spans="19:24" x14ac:dyDescent="0.25">
      <c r="S2673" s="44">
        <f t="shared" si="248"/>
        <v>45723</v>
      </c>
      <c r="T2673" s="12">
        <f t="shared" si="249"/>
        <v>3.6142259946745035</v>
      </c>
      <c r="U2673" s="12">
        <f t="shared" si="245"/>
        <v>3.5300557394390526</v>
      </c>
      <c r="V2673" s="30">
        <f t="shared" si="246"/>
        <v>0.43089643835616437</v>
      </c>
      <c r="W2673" s="46">
        <f t="shared" si="250"/>
        <v>-3.6142259946745026E-2</v>
      </c>
      <c r="X2673" s="33">
        <f t="shared" si="247"/>
        <v>2.6159272897501463E-2</v>
      </c>
    </row>
    <row r="2674" spans="19:24" x14ac:dyDescent="0.25">
      <c r="S2674" s="44">
        <f t="shared" si="248"/>
        <v>45724</v>
      </c>
      <c r="T2674" s="12">
        <f t="shared" si="249"/>
        <v>3.6115489123729612</v>
      </c>
      <c r="U2674" s="12">
        <f t="shared" si="245"/>
        <v>3.5274045627142629</v>
      </c>
      <c r="V2674" s="30">
        <f t="shared" si="246"/>
        <v>0.43086904109589041</v>
      </c>
      <c r="W2674" s="46">
        <f t="shared" si="250"/>
        <v>-3.6115489123729604E-2</v>
      </c>
      <c r="X2674" s="33">
        <f t="shared" si="247"/>
        <v>2.6159231385228524E-2</v>
      </c>
    </row>
    <row r="2675" spans="19:24" x14ac:dyDescent="0.25">
      <c r="S2675" s="44">
        <f t="shared" si="248"/>
        <v>45725</v>
      </c>
      <c r="T2675" s="12">
        <f t="shared" si="249"/>
        <v>3.6088718300714215</v>
      </c>
      <c r="U2675" s="12">
        <f t="shared" si="245"/>
        <v>3.5247533859894742</v>
      </c>
      <c r="V2675" s="30">
        <f t="shared" si="246"/>
        <v>0.43084164383561646</v>
      </c>
      <c r="W2675" s="46">
        <f t="shared" si="250"/>
        <v>-3.6088718300714209E-2</v>
      </c>
      <c r="X2675" s="33">
        <f t="shared" si="247"/>
        <v>2.6159189872955579E-2</v>
      </c>
    </row>
    <row r="2676" spans="19:24" x14ac:dyDescent="0.25">
      <c r="S2676" s="44">
        <f t="shared" si="248"/>
        <v>45726</v>
      </c>
      <c r="T2676" s="12">
        <f t="shared" si="249"/>
        <v>3.6061947477698806</v>
      </c>
      <c r="U2676" s="12">
        <f t="shared" si="245"/>
        <v>3.5221022092646845</v>
      </c>
      <c r="V2676" s="30">
        <f t="shared" si="246"/>
        <v>0.43081424657534245</v>
      </c>
      <c r="W2676" s="46">
        <f t="shared" si="250"/>
        <v>-3.6061947477698801E-2</v>
      </c>
      <c r="X2676" s="33">
        <f t="shared" si="247"/>
        <v>2.615914836068263E-2</v>
      </c>
    </row>
    <row r="2677" spans="19:24" x14ac:dyDescent="0.25">
      <c r="S2677" s="44">
        <f t="shared" si="248"/>
        <v>45727</v>
      </c>
      <c r="T2677" s="12">
        <f t="shared" si="249"/>
        <v>3.6035176654683392</v>
      </c>
      <c r="U2677" s="12">
        <f t="shared" si="245"/>
        <v>3.5194510325398944</v>
      </c>
      <c r="V2677" s="30">
        <f t="shared" si="246"/>
        <v>0.4307868493150685</v>
      </c>
      <c r="W2677" s="46">
        <f t="shared" si="250"/>
        <v>-3.6035176654683386E-2</v>
      </c>
      <c r="X2677" s="33">
        <f t="shared" si="247"/>
        <v>2.6159106848409688E-2</v>
      </c>
    </row>
    <row r="2678" spans="19:24" x14ac:dyDescent="0.25">
      <c r="S2678" s="44">
        <f t="shared" si="248"/>
        <v>45728</v>
      </c>
      <c r="T2678" s="12">
        <f t="shared" si="249"/>
        <v>3.6008405831667969</v>
      </c>
      <c r="U2678" s="12">
        <f t="shared" si="245"/>
        <v>3.5167998558151057</v>
      </c>
      <c r="V2678" s="30">
        <f t="shared" si="246"/>
        <v>0.43075945205479449</v>
      </c>
      <c r="W2678" s="46">
        <f t="shared" si="250"/>
        <v>-3.6008405831667964E-2</v>
      </c>
      <c r="X2678" s="33">
        <f t="shared" si="247"/>
        <v>2.6159065336136742E-2</v>
      </c>
    </row>
    <row r="2679" spans="19:24" x14ac:dyDescent="0.25">
      <c r="S2679" s="44">
        <f t="shared" si="248"/>
        <v>45729</v>
      </c>
      <c r="T2679" s="12">
        <f t="shared" si="249"/>
        <v>3.5981635008652568</v>
      </c>
      <c r="U2679" s="12">
        <f t="shared" si="245"/>
        <v>3.514148679090316</v>
      </c>
      <c r="V2679" s="30">
        <f t="shared" si="246"/>
        <v>0.43073205479452048</v>
      </c>
      <c r="W2679" s="46">
        <f t="shared" si="250"/>
        <v>-3.5981635008652563E-2</v>
      </c>
      <c r="X2679" s="33">
        <f t="shared" si="247"/>
        <v>2.6159023823863793E-2</v>
      </c>
    </row>
    <row r="2680" spans="19:24" x14ac:dyDescent="0.25">
      <c r="S2680" s="44">
        <f t="shared" si="248"/>
        <v>45730</v>
      </c>
      <c r="T2680" s="12">
        <f t="shared" si="249"/>
        <v>3.5954864185637141</v>
      </c>
      <c r="U2680" s="12">
        <f t="shared" si="245"/>
        <v>3.5114975023655259</v>
      </c>
      <c r="V2680" s="30">
        <f t="shared" si="246"/>
        <v>0.43070465753424658</v>
      </c>
      <c r="W2680" s="46">
        <f t="shared" si="250"/>
        <v>-3.5954864185637134E-2</v>
      </c>
      <c r="X2680" s="33">
        <f t="shared" si="247"/>
        <v>2.6158982311590858E-2</v>
      </c>
    </row>
    <row r="2681" spans="19:24" x14ac:dyDescent="0.25">
      <c r="S2681" s="44">
        <f t="shared" si="248"/>
        <v>45731</v>
      </c>
      <c r="T2681" s="12">
        <f t="shared" si="249"/>
        <v>3.5928093362621736</v>
      </c>
      <c r="U2681" s="12">
        <f t="shared" si="245"/>
        <v>3.5088463256407381</v>
      </c>
      <c r="V2681" s="30">
        <f t="shared" si="246"/>
        <v>0.43067726027397257</v>
      </c>
      <c r="W2681" s="46">
        <f t="shared" si="250"/>
        <v>-3.5928093362621732E-2</v>
      </c>
      <c r="X2681" s="33">
        <f t="shared" si="247"/>
        <v>2.6158940799317916E-2</v>
      </c>
    </row>
    <row r="2682" spans="19:24" x14ac:dyDescent="0.25">
      <c r="S2682" s="44">
        <f t="shared" si="248"/>
        <v>45732</v>
      </c>
      <c r="T2682" s="12">
        <f t="shared" si="249"/>
        <v>3.5901322539606326</v>
      </c>
      <c r="U2682" s="12">
        <f t="shared" si="245"/>
        <v>3.5061951489159493</v>
      </c>
      <c r="V2682" s="30">
        <f t="shared" si="246"/>
        <v>0.43064986301369856</v>
      </c>
      <c r="W2682" s="46">
        <f t="shared" si="250"/>
        <v>-3.5901322539606317E-2</v>
      </c>
      <c r="X2682" s="33">
        <f t="shared" si="247"/>
        <v>2.6158899287044964E-2</v>
      </c>
    </row>
    <row r="2683" spans="19:24" x14ac:dyDescent="0.25">
      <c r="S2683" s="44">
        <f t="shared" si="248"/>
        <v>45733</v>
      </c>
      <c r="T2683" s="12">
        <f t="shared" si="249"/>
        <v>3.5874551716590912</v>
      </c>
      <c r="U2683" s="12">
        <f t="shared" si="245"/>
        <v>3.5035439721911597</v>
      </c>
      <c r="V2683" s="30">
        <f t="shared" si="246"/>
        <v>0.43062246575342461</v>
      </c>
      <c r="W2683" s="46">
        <f t="shared" si="250"/>
        <v>-3.5874551716590909E-2</v>
      </c>
      <c r="X2683" s="33">
        <f t="shared" si="247"/>
        <v>2.6158857774772021E-2</v>
      </c>
    </row>
    <row r="2684" spans="19:24" x14ac:dyDescent="0.25">
      <c r="S2684" s="44">
        <f t="shared" si="248"/>
        <v>45734</v>
      </c>
      <c r="T2684" s="12">
        <f t="shared" si="249"/>
        <v>3.5847780893575507</v>
      </c>
      <c r="U2684" s="12">
        <f t="shared" si="245"/>
        <v>3.50089279546637</v>
      </c>
      <c r="V2684" s="30">
        <f t="shared" si="246"/>
        <v>0.43059506849315066</v>
      </c>
      <c r="W2684" s="46">
        <f t="shared" si="250"/>
        <v>-3.5847780893575501E-2</v>
      </c>
      <c r="X2684" s="33">
        <f t="shared" si="247"/>
        <v>2.6158816262499079E-2</v>
      </c>
    </row>
    <row r="2685" spans="19:24" x14ac:dyDescent="0.25">
      <c r="S2685" s="44">
        <f t="shared" si="248"/>
        <v>45735</v>
      </c>
      <c r="T2685" s="12">
        <f t="shared" si="249"/>
        <v>3.5821010070560089</v>
      </c>
      <c r="U2685" s="12">
        <f t="shared" si="245"/>
        <v>3.4982416187415808</v>
      </c>
      <c r="V2685" s="30">
        <f t="shared" si="246"/>
        <v>0.4305676712328767</v>
      </c>
      <c r="W2685" s="46">
        <f t="shared" si="250"/>
        <v>-3.5821010070560086E-2</v>
      </c>
      <c r="X2685" s="33">
        <f t="shared" si="247"/>
        <v>2.6158774750226137E-2</v>
      </c>
    </row>
    <row r="2686" spans="19:24" x14ac:dyDescent="0.25">
      <c r="S2686" s="44">
        <f t="shared" si="248"/>
        <v>45736</v>
      </c>
      <c r="T2686" s="12">
        <f t="shared" si="249"/>
        <v>3.5794239247544688</v>
      </c>
      <c r="U2686" s="12">
        <f t="shared" si="245"/>
        <v>3.4955904420167911</v>
      </c>
      <c r="V2686" s="30">
        <f t="shared" si="246"/>
        <v>0.43054027397260275</v>
      </c>
      <c r="W2686" s="46">
        <f t="shared" si="250"/>
        <v>-3.5794239247544685E-2</v>
      </c>
      <c r="X2686" s="33">
        <f t="shared" si="247"/>
        <v>2.6158733237953195E-2</v>
      </c>
    </row>
    <row r="2687" spans="19:24" x14ac:dyDescent="0.25">
      <c r="S2687" s="44">
        <f t="shared" si="248"/>
        <v>45737</v>
      </c>
      <c r="T2687" s="12">
        <f t="shared" si="249"/>
        <v>3.5767468424529265</v>
      </c>
      <c r="U2687" s="12">
        <f t="shared" si="245"/>
        <v>3.4929392652920019</v>
      </c>
      <c r="V2687" s="30">
        <f t="shared" si="246"/>
        <v>0.4305128767123288</v>
      </c>
      <c r="W2687" s="46">
        <f t="shared" si="250"/>
        <v>-3.5767468424529263E-2</v>
      </c>
      <c r="X2687" s="33">
        <f t="shared" si="247"/>
        <v>2.6158691725680253E-2</v>
      </c>
    </row>
    <row r="2688" spans="19:24" x14ac:dyDescent="0.25">
      <c r="S2688" s="44">
        <f t="shared" si="248"/>
        <v>45738</v>
      </c>
      <c r="T2688" s="12">
        <f t="shared" si="249"/>
        <v>3.5740697601513856</v>
      </c>
      <c r="U2688" s="12">
        <f t="shared" si="245"/>
        <v>3.4902880885672136</v>
      </c>
      <c r="V2688" s="30">
        <f t="shared" si="246"/>
        <v>0.43048547945205479</v>
      </c>
      <c r="W2688" s="46">
        <f t="shared" si="250"/>
        <v>-3.5740697601513848E-2</v>
      </c>
      <c r="X2688" s="33">
        <f t="shared" si="247"/>
        <v>2.6158650213407308E-2</v>
      </c>
    </row>
    <row r="2689" spans="19:24" x14ac:dyDescent="0.25">
      <c r="S2689" s="44">
        <f t="shared" si="248"/>
        <v>45739</v>
      </c>
      <c r="T2689" s="12">
        <f t="shared" si="249"/>
        <v>3.5713926778498455</v>
      </c>
      <c r="U2689" s="12">
        <f t="shared" si="245"/>
        <v>3.4876369118424231</v>
      </c>
      <c r="V2689" s="30">
        <f t="shared" si="246"/>
        <v>0.43045808219178083</v>
      </c>
      <c r="W2689" s="46">
        <f t="shared" si="250"/>
        <v>-3.5713926778498446E-2</v>
      </c>
      <c r="X2689" s="33">
        <f t="shared" si="247"/>
        <v>2.6158608701134366E-2</v>
      </c>
    </row>
    <row r="2690" spans="19:24" x14ac:dyDescent="0.25">
      <c r="S2690" s="44">
        <f t="shared" si="248"/>
        <v>45740</v>
      </c>
      <c r="T2690" s="12">
        <f t="shared" si="249"/>
        <v>3.5687155955483036</v>
      </c>
      <c r="U2690" s="12">
        <f t="shared" si="245"/>
        <v>3.4849857351176343</v>
      </c>
      <c r="V2690" s="30">
        <f t="shared" si="246"/>
        <v>0.43043068493150688</v>
      </c>
      <c r="W2690" s="46">
        <f t="shared" si="250"/>
        <v>-3.5687155955483031E-2</v>
      </c>
      <c r="X2690" s="33">
        <f t="shared" si="247"/>
        <v>2.6158567188861417E-2</v>
      </c>
    </row>
    <row r="2691" spans="19:24" x14ac:dyDescent="0.25">
      <c r="S2691" s="44">
        <f t="shared" si="248"/>
        <v>45741</v>
      </c>
      <c r="T2691" s="12">
        <f t="shared" si="249"/>
        <v>3.5660385132467622</v>
      </c>
      <c r="U2691" s="12">
        <f t="shared" si="245"/>
        <v>3.4823345583928447</v>
      </c>
      <c r="V2691" s="30">
        <f t="shared" si="246"/>
        <v>0.43040328767123293</v>
      </c>
      <c r="W2691" s="46">
        <f t="shared" si="250"/>
        <v>-3.5660385132467616E-2</v>
      </c>
      <c r="X2691" s="33">
        <f t="shared" si="247"/>
        <v>2.6158525676588482E-2</v>
      </c>
    </row>
    <row r="2692" spans="19:24" x14ac:dyDescent="0.25">
      <c r="S2692" s="44">
        <f t="shared" si="248"/>
        <v>45742</v>
      </c>
      <c r="T2692" s="12">
        <f t="shared" si="249"/>
        <v>3.5633614309452208</v>
      </c>
      <c r="U2692" s="12">
        <f t="shared" si="245"/>
        <v>3.4796833816680555</v>
      </c>
      <c r="V2692" s="30">
        <f t="shared" si="246"/>
        <v>0.43037589041095892</v>
      </c>
      <c r="W2692" s="46">
        <f t="shared" si="250"/>
        <v>-3.5633614309452201E-2</v>
      </c>
      <c r="X2692" s="33">
        <f t="shared" si="247"/>
        <v>2.6158484164315533E-2</v>
      </c>
    </row>
    <row r="2693" spans="19:24" x14ac:dyDescent="0.25">
      <c r="S2693" s="44">
        <f t="shared" si="248"/>
        <v>45743</v>
      </c>
      <c r="T2693" s="12">
        <f t="shared" si="249"/>
        <v>3.5606843486436803</v>
      </c>
      <c r="U2693" s="12">
        <f t="shared" ref="U2693:U2756" si="251">DurMod($S2693,$B$2,$F$7:$G$37,U$3)</f>
        <v>3.4770322049432676</v>
      </c>
      <c r="V2693" s="30">
        <f t="shared" ref="V2693:V2756" si="252">+$U$3*($S$5512-S2693)/365+$T$3*(S2693-$S$4)/365</f>
        <v>0.43034849315068491</v>
      </c>
      <c r="W2693" s="46">
        <f t="shared" si="250"/>
        <v>-3.56068434864368E-2</v>
      </c>
      <c r="X2693" s="33">
        <f t="shared" ref="X2693:X2756" si="253">+(V2693+W2693)*365/($S$5512-$S$4)</f>
        <v>2.6158442652042587E-2</v>
      </c>
    </row>
    <row r="2694" spans="19:24" x14ac:dyDescent="0.25">
      <c r="S2694" s="44">
        <f t="shared" si="248"/>
        <v>45744</v>
      </c>
      <c r="T2694" s="12">
        <f t="shared" si="249"/>
        <v>3.5580072663421389</v>
      </c>
      <c r="U2694" s="12">
        <f t="shared" si="251"/>
        <v>3.4743810282184779</v>
      </c>
      <c r="V2694" s="30">
        <f t="shared" si="252"/>
        <v>0.43032109589041095</v>
      </c>
      <c r="W2694" s="46">
        <f t="shared" si="250"/>
        <v>-3.5580072663421385E-2</v>
      </c>
      <c r="X2694" s="33">
        <f t="shared" si="253"/>
        <v>2.6158401139769645E-2</v>
      </c>
    </row>
    <row r="2695" spans="19:24" x14ac:dyDescent="0.25">
      <c r="S2695" s="44">
        <f t="shared" si="248"/>
        <v>45745</v>
      </c>
      <c r="T2695" s="12">
        <f t="shared" si="249"/>
        <v>3.5553301840405975</v>
      </c>
      <c r="U2695" s="12">
        <f t="shared" si="251"/>
        <v>3.471729851493687</v>
      </c>
      <c r="V2695" s="30">
        <f t="shared" si="252"/>
        <v>0.430293698630137</v>
      </c>
      <c r="W2695" s="46">
        <f t="shared" si="250"/>
        <v>-3.5553301840405969E-2</v>
      </c>
      <c r="X2695" s="33">
        <f t="shared" si="253"/>
        <v>2.6158359627496703E-2</v>
      </c>
    </row>
    <row r="2696" spans="19:24" x14ac:dyDescent="0.25">
      <c r="S2696" s="44">
        <f t="shared" si="248"/>
        <v>45746</v>
      </c>
      <c r="T2696" s="12">
        <f t="shared" si="249"/>
        <v>3.5526531017390557</v>
      </c>
      <c r="U2696" s="12">
        <f t="shared" si="251"/>
        <v>3.4690786747688995</v>
      </c>
      <c r="V2696" s="30">
        <f t="shared" si="252"/>
        <v>0.43026630136986299</v>
      </c>
      <c r="W2696" s="46">
        <f t="shared" si="250"/>
        <v>-3.5526531017390554E-2</v>
      </c>
      <c r="X2696" s="33">
        <f t="shared" si="253"/>
        <v>2.6158318115223754E-2</v>
      </c>
    </row>
    <row r="2697" spans="19:24" x14ac:dyDescent="0.25">
      <c r="S2697" s="44">
        <f t="shared" si="248"/>
        <v>45747</v>
      </c>
      <c r="T2697" s="12">
        <f t="shared" si="249"/>
        <v>3.5499760194375147</v>
      </c>
      <c r="U2697" s="12">
        <f t="shared" si="251"/>
        <v>3.4664274980441094</v>
      </c>
      <c r="V2697" s="30">
        <f t="shared" si="252"/>
        <v>0.43023890410958904</v>
      </c>
      <c r="W2697" s="46">
        <f t="shared" si="250"/>
        <v>-3.5499760194375139E-2</v>
      </c>
      <c r="X2697" s="33">
        <f t="shared" si="253"/>
        <v>2.6158276602950812E-2</v>
      </c>
    </row>
    <row r="2698" spans="19:24" x14ac:dyDescent="0.25">
      <c r="S2698" s="44">
        <f t="shared" si="248"/>
        <v>45748</v>
      </c>
      <c r="T2698" s="12">
        <f t="shared" si="249"/>
        <v>3.5472989371359747</v>
      </c>
      <c r="U2698" s="12">
        <f t="shared" si="251"/>
        <v>3.4637763213193193</v>
      </c>
      <c r="V2698" s="30">
        <f t="shared" si="252"/>
        <v>0.43021150684931508</v>
      </c>
      <c r="W2698" s="46">
        <f t="shared" si="250"/>
        <v>-3.5472989371359738E-2</v>
      </c>
      <c r="X2698" s="33">
        <f t="shared" si="253"/>
        <v>2.615823509067787E-2</v>
      </c>
    </row>
    <row r="2699" spans="19:24" x14ac:dyDescent="0.25">
      <c r="S2699" s="44">
        <f t="shared" si="248"/>
        <v>45749</v>
      </c>
      <c r="T2699" s="12">
        <f t="shared" si="249"/>
        <v>3.5446218548344324</v>
      </c>
      <c r="U2699" s="12">
        <f t="shared" si="251"/>
        <v>3.4611251445945319</v>
      </c>
      <c r="V2699" s="30">
        <f t="shared" si="252"/>
        <v>0.43018410958904113</v>
      </c>
      <c r="W2699" s="46">
        <f t="shared" si="250"/>
        <v>-3.5446218548344316E-2</v>
      </c>
      <c r="X2699" s="33">
        <f t="shared" si="253"/>
        <v>2.6158193578404924E-2</v>
      </c>
    </row>
    <row r="2700" spans="19:24" x14ac:dyDescent="0.25">
      <c r="S2700" s="44">
        <f t="shared" si="248"/>
        <v>45750</v>
      </c>
      <c r="T2700" s="12">
        <f t="shared" si="249"/>
        <v>3.5419447725328919</v>
      </c>
      <c r="U2700" s="12">
        <f t="shared" si="251"/>
        <v>3.4584739678697423</v>
      </c>
      <c r="V2700" s="30">
        <f t="shared" si="252"/>
        <v>0.43015671232876718</v>
      </c>
      <c r="W2700" s="46">
        <f t="shared" si="250"/>
        <v>-3.5419447725328915E-2</v>
      </c>
      <c r="X2700" s="33">
        <f t="shared" si="253"/>
        <v>2.6158152066131982E-2</v>
      </c>
    </row>
    <row r="2701" spans="19:24" x14ac:dyDescent="0.25">
      <c r="S2701" s="44">
        <f t="shared" si="248"/>
        <v>45751</v>
      </c>
      <c r="T2701" s="12">
        <f t="shared" si="249"/>
        <v>3.5392676902313509</v>
      </c>
      <c r="U2701" s="12">
        <f t="shared" si="251"/>
        <v>3.4558227911449522</v>
      </c>
      <c r="V2701" s="30">
        <f t="shared" si="252"/>
        <v>0.43012931506849317</v>
      </c>
      <c r="W2701" s="46">
        <f t="shared" si="250"/>
        <v>-3.5392676902313507E-2</v>
      </c>
      <c r="X2701" s="33">
        <f t="shared" si="253"/>
        <v>2.6158110553859033E-2</v>
      </c>
    </row>
    <row r="2702" spans="19:24" x14ac:dyDescent="0.25">
      <c r="S2702" s="44">
        <f t="shared" si="248"/>
        <v>45752</v>
      </c>
      <c r="T2702" s="12">
        <f t="shared" si="249"/>
        <v>3.5365906079298099</v>
      </c>
      <c r="U2702" s="12">
        <f t="shared" si="251"/>
        <v>3.4531716144201621</v>
      </c>
      <c r="V2702" s="30">
        <f t="shared" si="252"/>
        <v>0.43010191780821916</v>
      </c>
      <c r="W2702" s="46">
        <f t="shared" si="250"/>
        <v>-3.5365906079298091E-2</v>
      </c>
      <c r="X2702" s="33">
        <f t="shared" si="253"/>
        <v>2.6158069041586091E-2</v>
      </c>
    </row>
    <row r="2703" spans="19:24" x14ac:dyDescent="0.25">
      <c r="S2703" s="44">
        <f t="shared" si="248"/>
        <v>45753</v>
      </c>
      <c r="T2703" s="12">
        <f t="shared" si="249"/>
        <v>3.5339135256282668</v>
      </c>
      <c r="U2703" s="12">
        <f t="shared" si="251"/>
        <v>3.4505204376953733</v>
      </c>
      <c r="V2703" s="30">
        <f t="shared" si="252"/>
        <v>0.43007452054794515</v>
      </c>
      <c r="W2703" s="46">
        <f t="shared" si="250"/>
        <v>-3.5339135256282662E-2</v>
      </c>
      <c r="X2703" s="33">
        <f t="shared" si="253"/>
        <v>2.6158027529313146E-2</v>
      </c>
    </row>
    <row r="2704" spans="19:24" x14ac:dyDescent="0.25">
      <c r="S2704" s="44">
        <f t="shared" si="248"/>
        <v>45754</v>
      </c>
      <c r="T2704" s="12">
        <f t="shared" si="249"/>
        <v>3.5312364433267267</v>
      </c>
      <c r="U2704" s="12">
        <f t="shared" si="251"/>
        <v>3.4478692609705828</v>
      </c>
      <c r="V2704" s="30">
        <f t="shared" si="252"/>
        <v>0.43004712328767125</v>
      </c>
      <c r="W2704" s="46">
        <f t="shared" si="250"/>
        <v>-3.5312364433267261E-2</v>
      </c>
      <c r="X2704" s="33">
        <f t="shared" si="253"/>
        <v>2.6157986017040207E-2</v>
      </c>
    </row>
    <row r="2705" spans="19:24" x14ac:dyDescent="0.25">
      <c r="S2705" s="44">
        <f t="shared" si="248"/>
        <v>45755</v>
      </c>
      <c r="T2705" s="12">
        <f t="shared" si="249"/>
        <v>3.5285593610251857</v>
      </c>
      <c r="U2705" s="12">
        <f t="shared" si="251"/>
        <v>3.4452180842457945</v>
      </c>
      <c r="V2705" s="30">
        <f t="shared" si="252"/>
        <v>0.43001972602739724</v>
      </c>
      <c r="W2705" s="46">
        <f t="shared" si="250"/>
        <v>-3.5285593610251853E-2</v>
      </c>
      <c r="X2705" s="33">
        <f t="shared" si="253"/>
        <v>2.6157944504767262E-2</v>
      </c>
    </row>
    <row r="2706" spans="19:24" x14ac:dyDescent="0.25">
      <c r="S2706" s="44">
        <f t="shared" si="248"/>
        <v>45756</v>
      </c>
      <c r="T2706" s="12">
        <f t="shared" si="249"/>
        <v>3.5258822787236439</v>
      </c>
      <c r="U2706" s="12">
        <f t="shared" si="251"/>
        <v>3.4425669075210052</v>
      </c>
      <c r="V2706" s="30">
        <f t="shared" si="252"/>
        <v>0.42999232876712329</v>
      </c>
      <c r="W2706" s="46">
        <f t="shared" si="250"/>
        <v>-3.5258822787236431E-2</v>
      </c>
      <c r="X2706" s="33">
        <f t="shared" si="253"/>
        <v>2.615790299249432E-2</v>
      </c>
    </row>
    <row r="2707" spans="19:24" x14ac:dyDescent="0.25">
      <c r="S2707" s="44">
        <f t="shared" si="248"/>
        <v>45757</v>
      </c>
      <c r="T2707" s="12">
        <f t="shared" si="249"/>
        <v>3.5232051964221021</v>
      </c>
      <c r="U2707" s="12">
        <f t="shared" si="251"/>
        <v>3.4399157307962169</v>
      </c>
      <c r="V2707" s="30">
        <f t="shared" si="252"/>
        <v>0.42996493150684928</v>
      </c>
      <c r="W2707" s="46">
        <f t="shared" si="250"/>
        <v>-3.5232051964221016E-2</v>
      </c>
      <c r="X2707" s="33">
        <f t="shared" si="253"/>
        <v>2.6157861480221374E-2</v>
      </c>
    </row>
    <row r="2708" spans="19:24" x14ac:dyDescent="0.25">
      <c r="S2708" s="44">
        <f t="shared" si="248"/>
        <v>45758</v>
      </c>
      <c r="T2708" s="12">
        <f t="shared" si="249"/>
        <v>3.5205281141205615</v>
      </c>
      <c r="U2708" s="12">
        <f t="shared" si="251"/>
        <v>3.4372645540714273</v>
      </c>
      <c r="V2708" s="30">
        <f t="shared" si="252"/>
        <v>0.42993753424657533</v>
      </c>
      <c r="W2708" s="46">
        <f t="shared" si="250"/>
        <v>-3.5205281141205608E-2</v>
      </c>
      <c r="X2708" s="33">
        <f t="shared" si="253"/>
        <v>2.6157819967948432E-2</v>
      </c>
    </row>
    <row r="2709" spans="19:24" x14ac:dyDescent="0.25">
      <c r="S2709" s="44">
        <f t="shared" si="248"/>
        <v>45759</v>
      </c>
      <c r="T2709" s="12">
        <f t="shared" si="249"/>
        <v>3.5178510318190206</v>
      </c>
      <c r="U2709" s="12">
        <f t="shared" si="251"/>
        <v>3.4346133773466372</v>
      </c>
      <c r="V2709" s="30">
        <f t="shared" si="252"/>
        <v>0.42991013698630137</v>
      </c>
      <c r="W2709" s="46">
        <f t="shared" si="250"/>
        <v>-3.51785103181902E-2</v>
      </c>
      <c r="X2709" s="33">
        <f t="shared" si="253"/>
        <v>2.615777845567549E-2</v>
      </c>
    </row>
    <row r="2710" spans="19:24" x14ac:dyDescent="0.25">
      <c r="S2710" s="44">
        <f t="shared" si="248"/>
        <v>45760</v>
      </c>
      <c r="T2710" s="12">
        <f t="shared" si="249"/>
        <v>3.5151739495174796</v>
      </c>
      <c r="U2710" s="12">
        <f t="shared" si="251"/>
        <v>3.431962200621848</v>
      </c>
      <c r="V2710" s="30">
        <f t="shared" si="252"/>
        <v>0.42988273972602742</v>
      </c>
      <c r="W2710" s="46">
        <f t="shared" si="250"/>
        <v>-3.5151739495174791E-2</v>
      </c>
      <c r="X2710" s="33">
        <f t="shared" si="253"/>
        <v>2.6157736943402541E-2</v>
      </c>
    </row>
    <row r="2711" spans="19:24" x14ac:dyDescent="0.25">
      <c r="S2711" s="44">
        <f t="shared" si="248"/>
        <v>45761</v>
      </c>
      <c r="T2711" s="12">
        <f t="shared" si="249"/>
        <v>3.5124968672159391</v>
      </c>
      <c r="U2711" s="12">
        <f t="shared" si="251"/>
        <v>3.4293110238970592</v>
      </c>
      <c r="V2711" s="30">
        <f t="shared" si="252"/>
        <v>0.42985534246575341</v>
      </c>
      <c r="W2711" s="46">
        <f t="shared" si="250"/>
        <v>-3.5124968672159383E-2</v>
      </c>
      <c r="X2711" s="33">
        <f t="shared" si="253"/>
        <v>2.6157695431129599E-2</v>
      </c>
    </row>
    <row r="2712" spans="19:24" x14ac:dyDescent="0.25">
      <c r="S2712" s="44">
        <f t="shared" si="248"/>
        <v>45762</v>
      </c>
      <c r="T2712" s="12">
        <f t="shared" si="249"/>
        <v>3.5098197849143973</v>
      </c>
      <c r="U2712" s="12">
        <f t="shared" si="251"/>
        <v>3.42665984717227</v>
      </c>
      <c r="V2712" s="30">
        <f t="shared" si="252"/>
        <v>0.4298279452054794</v>
      </c>
      <c r="W2712" s="46">
        <f t="shared" si="250"/>
        <v>-3.5098197849143968E-2</v>
      </c>
      <c r="X2712" s="33">
        <f t="shared" si="253"/>
        <v>2.6157653918856653E-2</v>
      </c>
    </row>
    <row r="2713" spans="19:24" x14ac:dyDescent="0.25">
      <c r="S2713" s="44">
        <f t="shared" si="248"/>
        <v>45763</v>
      </c>
      <c r="T2713" s="12">
        <f t="shared" si="249"/>
        <v>3.5071427026128559</v>
      </c>
      <c r="U2713" s="12">
        <f t="shared" si="251"/>
        <v>3.4240086704474813</v>
      </c>
      <c r="V2713" s="30">
        <f t="shared" si="252"/>
        <v>0.4298005479452055</v>
      </c>
      <c r="W2713" s="46">
        <f t="shared" si="250"/>
        <v>-3.5071427026128553E-2</v>
      </c>
      <c r="X2713" s="33">
        <f t="shared" si="253"/>
        <v>2.6157612406583715E-2</v>
      </c>
    </row>
    <row r="2714" spans="19:24" x14ac:dyDescent="0.25">
      <c r="S2714" s="44">
        <f t="shared" si="248"/>
        <v>45764</v>
      </c>
      <c r="T2714" s="12">
        <f t="shared" si="249"/>
        <v>3.5044656203113163</v>
      </c>
      <c r="U2714" s="12">
        <f t="shared" si="251"/>
        <v>3.4213574937226916</v>
      </c>
      <c r="V2714" s="30">
        <f t="shared" si="252"/>
        <v>0.42977315068493149</v>
      </c>
      <c r="W2714" s="46">
        <f t="shared" si="250"/>
        <v>-3.5044656203113159E-2</v>
      </c>
      <c r="X2714" s="33">
        <f t="shared" si="253"/>
        <v>2.6157570894310762E-2</v>
      </c>
    </row>
    <row r="2715" spans="19:24" x14ac:dyDescent="0.25">
      <c r="S2715" s="44">
        <f t="shared" si="248"/>
        <v>45765</v>
      </c>
      <c r="T2715" s="12">
        <f t="shared" si="249"/>
        <v>3.501788538009774</v>
      </c>
      <c r="U2715" s="12">
        <f t="shared" si="251"/>
        <v>3.4187063169979024</v>
      </c>
      <c r="V2715" s="30">
        <f t="shared" si="252"/>
        <v>0.42974575342465748</v>
      </c>
      <c r="W2715" s="46">
        <f t="shared" si="250"/>
        <v>-3.5017885380097737E-2</v>
      </c>
      <c r="X2715" s="33">
        <f t="shared" si="253"/>
        <v>2.6157529382037817E-2</v>
      </c>
    </row>
    <row r="2716" spans="19:24" x14ac:dyDescent="0.25">
      <c r="S2716" s="44">
        <f t="shared" si="248"/>
        <v>45766</v>
      </c>
      <c r="T2716" s="12">
        <f t="shared" si="249"/>
        <v>3.4991114557082326</v>
      </c>
      <c r="U2716" s="12">
        <f t="shared" si="251"/>
        <v>3.4160551402731132</v>
      </c>
      <c r="V2716" s="30">
        <f t="shared" si="252"/>
        <v>0.42971835616438353</v>
      </c>
      <c r="W2716" s="46">
        <f t="shared" si="250"/>
        <v>-3.4991114557082321E-2</v>
      </c>
      <c r="X2716" s="33">
        <f t="shared" si="253"/>
        <v>2.6157487869764878E-2</v>
      </c>
    </row>
    <row r="2717" spans="19:24" x14ac:dyDescent="0.25">
      <c r="S2717" s="44">
        <f t="shared" si="248"/>
        <v>45767</v>
      </c>
      <c r="T2717" s="12">
        <f t="shared" si="249"/>
        <v>3.4964343734066907</v>
      </c>
      <c r="U2717" s="12">
        <f t="shared" si="251"/>
        <v>3.4134039635483231</v>
      </c>
      <c r="V2717" s="30">
        <f t="shared" si="252"/>
        <v>0.42969095890410958</v>
      </c>
      <c r="W2717" s="46">
        <f t="shared" si="250"/>
        <v>-3.4964343734066899E-2</v>
      </c>
      <c r="X2717" s="33">
        <f t="shared" si="253"/>
        <v>2.6157446357491936E-2</v>
      </c>
    </row>
    <row r="2718" spans="19:24" x14ac:dyDescent="0.25">
      <c r="S2718" s="44">
        <f t="shared" si="248"/>
        <v>45768</v>
      </c>
      <c r="T2718" s="12">
        <f t="shared" si="249"/>
        <v>3.4937572911051511</v>
      </c>
      <c r="U2718" s="12">
        <f t="shared" si="251"/>
        <v>3.4107527868235334</v>
      </c>
      <c r="V2718" s="30">
        <f t="shared" si="252"/>
        <v>0.42966356164383562</v>
      </c>
      <c r="W2718" s="46">
        <f t="shared" si="250"/>
        <v>-3.4937572911051505E-2</v>
      </c>
      <c r="X2718" s="33">
        <f t="shared" si="253"/>
        <v>2.6157404845218991E-2</v>
      </c>
    </row>
    <row r="2719" spans="19:24" x14ac:dyDescent="0.25">
      <c r="S2719" s="44">
        <f t="shared" si="248"/>
        <v>45769</v>
      </c>
      <c r="T2719" s="12">
        <f t="shared" si="249"/>
        <v>3.4910802088036084</v>
      </c>
      <c r="U2719" s="12">
        <f t="shared" si="251"/>
        <v>3.4081016100987451</v>
      </c>
      <c r="V2719" s="30">
        <f t="shared" si="252"/>
        <v>0.42963616438356161</v>
      </c>
      <c r="W2719" s="46">
        <f t="shared" si="250"/>
        <v>-3.4910802088036076E-2</v>
      </c>
      <c r="X2719" s="33">
        <f t="shared" si="253"/>
        <v>2.6157363332946042E-2</v>
      </c>
    </row>
    <row r="2720" spans="19:24" x14ac:dyDescent="0.25">
      <c r="S2720" s="44">
        <f t="shared" si="248"/>
        <v>45770</v>
      </c>
      <c r="T2720" s="12">
        <f t="shared" si="249"/>
        <v>3.4884031265020679</v>
      </c>
      <c r="U2720" s="12">
        <f t="shared" si="251"/>
        <v>3.4054504333739546</v>
      </c>
      <c r="V2720" s="30">
        <f t="shared" si="252"/>
        <v>0.42960876712328766</v>
      </c>
      <c r="W2720" s="46">
        <f t="shared" si="250"/>
        <v>-3.4884031265020675E-2</v>
      </c>
      <c r="X2720" s="33">
        <f t="shared" si="253"/>
        <v>2.6157321820673107E-2</v>
      </c>
    </row>
    <row r="2721" spans="19:24" x14ac:dyDescent="0.25">
      <c r="S2721" s="44">
        <f t="shared" si="248"/>
        <v>45771</v>
      </c>
      <c r="T2721" s="12">
        <f t="shared" si="249"/>
        <v>3.485726044200526</v>
      </c>
      <c r="U2721" s="12">
        <f t="shared" si="251"/>
        <v>3.4027992566491649</v>
      </c>
      <c r="V2721" s="30">
        <f t="shared" si="252"/>
        <v>0.42958136986301365</v>
      </c>
      <c r="W2721" s="46">
        <f t="shared" si="250"/>
        <v>-3.4857260442005253E-2</v>
      </c>
      <c r="X2721" s="33">
        <f t="shared" si="253"/>
        <v>2.6157280308400154E-2</v>
      </c>
    </row>
    <row r="2722" spans="19:24" x14ac:dyDescent="0.25">
      <c r="S2722" s="44">
        <f t="shared" ref="S2722:S2785" si="254">+S2721+1</f>
        <v>45772</v>
      </c>
      <c r="T2722" s="12">
        <f t="shared" ref="T2722:T2785" si="255">DurMod(S2722,B$2,$F$7:$G$37,$T$3)</f>
        <v>3.4830489618989851</v>
      </c>
      <c r="U2722" s="12">
        <f t="shared" si="251"/>
        <v>3.4001480799243771</v>
      </c>
      <c r="V2722" s="30">
        <f t="shared" si="252"/>
        <v>0.42955397260273975</v>
      </c>
      <c r="W2722" s="46">
        <f t="shared" ref="W2722:W2785" si="256">+-T2722*($U$3-$T$3)</f>
        <v>-3.4830489618989845E-2</v>
      </c>
      <c r="X2722" s="33">
        <f t="shared" si="253"/>
        <v>2.6157238796127216E-2</v>
      </c>
    </row>
    <row r="2723" spans="19:24" x14ac:dyDescent="0.25">
      <c r="S2723" s="44">
        <f t="shared" si="254"/>
        <v>45773</v>
      </c>
      <c r="T2723" s="12">
        <f t="shared" si="255"/>
        <v>3.4803718795974432</v>
      </c>
      <c r="U2723" s="12">
        <f t="shared" si="251"/>
        <v>3.397496903199587</v>
      </c>
      <c r="V2723" s="30">
        <f t="shared" si="252"/>
        <v>0.42952657534246574</v>
      </c>
      <c r="W2723" s="46">
        <f t="shared" si="256"/>
        <v>-3.480371879597443E-2</v>
      </c>
      <c r="X2723" s="33">
        <f t="shared" si="253"/>
        <v>2.615719728385427E-2</v>
      </c>
    </row>
    <row r="2724" spans="19:24" x14ac:dyDescent="0.25">
      <c r="S2724" s="44">
        <f t="shared" si="254"/>
        <v>45774</v>
      </c>
      <c r="T2724" s="12">
        <f t="shared" si="255"/>
        <v>3.4776947972959031</v>
      </c>
      <c r="U2724" s="12">
        <f t="shared" si="251"/>
        <v>3.3948457264747969</v>
      </c>
      <c r="V2724" s="30">
        <f t="shared" si="252"/>
        <v>0.42949917808219173</v>
      </c>
      <c r="W2724" s="46">
        <f t="shared" si="256"/>
        <v>-3.4776947972959028E-2</v>
      </c>
      <c r="X2724" s="33">
        <f t="shared" si="253"/>
        <v>2.6157155771581325E-2</v>
      </c>
    </row>
    <row r="2725" spans="19:24" x14ac:dyDescent="0.25">
      <c r="S2725" s="44">
        <f t="shared" si="254"/>
        <v>45775</v>
      </c>
      <c r="T2725" s="12">
        <f t="shared" si="255"/>
        <v>3.4750177149943617</v>
      </c>
      <c r="U2725" s="12">
        <f t="shared" si="251"/>
        <v>3.3921945497500086</v>
      </c>
      <c r="V2725" s="30">
        <f t="shared" si="252"/>
        <v>0.42947178082191773</v>
      </c>
      <c r="W2725" s="46">
        <f t="shared" si="256"/>
        <v>-3.4750177149943613E-2</v>
      </c>
      <c r="X2725" s="33">
        <f t="shared" si="253"/>
        <v>2.6157114259308382E-2</v>
      </c>
    </row>
    <row r="2726" spans="19:24" x14ac:dyDescent="0.25">
      <c r="S2726" s="44">
        <f t="shared" si="254"/>
        <v>45776</v>
      </c>
      <c r="T2726" s="12">
        <f t="shared" si="255"/>
        <v>3.4723406326928203</v>
      </c>
      <c r="U2726" s="12">
        <f t="shared" si="251"/>
        <v>3.3895433730252189</v>
      </c>
      <c r="V2726" s="30">
        <f t="shared" si="252"/>
        <v>0.42944438356164383</v>
      </c>
      <c r="W2726" s="46">
        <f t="shared" si="256"/>
        <v>-3.4723406326928198E-2</v>
      </c>
      <c r="X2726" s="33">
        <f t="shared" si="253"/>
        <v>2.615707274703544E-2</v>
      </c>
    </row>
    <row r="2727" spans="19:24" x14ac:dyDescent="0.25">
      <c r="S2727" s="44">
        <f t="shared" si="254"/>
        <v>45777</v>
      </c>
      <c r="T2727" s="12">
        <f t="shared" si="255"/>
        <v>3.4696635503912794</v>
      </c>
      <c r="U2727" s="12">
        <f t="shared" si="251"/>
        <v>3.3868921963004306</v>
      </c>
      <c r="V2727" s="30">
        <f t="shared" si="252"/>
        <v>0.42941698630136982</v>
      </c>
      <c r="W2727" s="46">
        <f t="shared" si="256"/>
        <v>-3.469663550391279E-2</v>
      </c>
      <c r="X2727" s="33">
        <f t="shared" si="253"/>
        <v>2.6157031234762498E-2</v>
      </c>
    </row>
    <row r="2728" spans="19:24" x14ac:dyDescent="0.25">
      <c r="S2728" s="44">
        <f t="shared" si="254"/>
        <v>45778</v>
      </c>
      <c r="T2728" s="12">
        <f t="shared" si="255"/>
        <v>3.466986468089738</v>
      </c>
      <c r="U2728" s="12">
        <f t="shared" si="251"/>
        <v>3.3842410195756414</v>
      </c>
      <c r="V2728" s="30">
        <f t="shared" si="252"/>
        <v>0.42938958904109586</v>
      </c>
      <c r="W2728" s="46">
        <f t="shared" si="256"/>
        <v>-3.4669864680897375E-2</v>
      </c>
      <c r="X2728" s="33">
        <f t="shared" si="253"/>
        <v>2.6156989722489549E-2</v>
      </c>
    </row>
    <row r="2729" spans="19:24" x14ac:dyDescent="0.25">
      <c r="S2729" s="44">
        <f t="shared" si="254"/>
        <v>45779</v>
      </c>
      <c r="T2729" s="12">
        <f t="shared" si="255"/>
        <v>3.4643093857881961</v>
      </c>
      <c r="U2729" s="12">
        <f t="shared" si="251"/>
        <v>3.3815898428508526</v>
      </c>
      <c r="V2729" s="30">
        <f t="shared" si="252"/>
        <v>0.42936219178082191</v>
      </c>
      <c r="W2729" s="46">
        <f t="shared" si="256"/>
        <v>-3.4643093857881953E-2</v>
      </c>
      <c r="X2729" s="33">
        <f t="shared" si="253"/>
        <v>2.6156948210216607E-2</v>
      </c>
    </row>
    <row r="2730" spans="19:24" x14ac:dyDescent="0.25">
      <c r="S2730" s="44">
        <f t="shared" si="254"/>
        <v>45780</v>
      </c>
      <c r="T2730" s="12">
        <f t="shared" si="255"/>
        <v>3.4616323034866552</v>
      </c>
      <c r="U2730" s="12">
        <f t="shared" si="251"/>
        <v>3.3789386661260612</v>
      </c>
      <c r="V2730" s="30">
        <f t="shared" si="252"/>
        <v>0.42933479452054796</v>
      </c>
      <c r="W2730" s="46">
        <f t="shared" si="256"/>
        <v>-3.4616323034866545E-2</v>
      </c>
      <c r="X2730" s="33">
        <f t="shared" si="253"/>
        <v>2.6156906697943665E-2</v>
      </c>
    </row>
    <row r="2731" spans="19:24" x14ac:dyDescent="0.25">
      <c r="S2731" s="44">
        <f t="shared" si="254"/>
        <v>45781</v>
      </c>
      <c r="T2731" s="12">
        <f t="shared" si="255"/>
        <v>3.4589552211851133</v>
      </c>
      <c r="U2731" s="12">
        <f t="shared" si="251"/>
        <v>3.3762874894012729</v>
      </c>
      <c r="V2731" s="30">
        <f t="shared" si="252"/>
        <v>0.429307397260274</v>
      </c>
      <c r="W2731" s="46">
        <f t="shared" si="256"/>
        <v>-3.4589552211851129E-2</v>
      </c>
      <c r="X2731" s="33">
        <f t="shared" si="253"/>
        <v>2.6156865185670723E-2</v>
      </c>
    </row>
    <row r="2732" spans="19:24" x14ac:dyDescent="0.25">
      <c r="S2732" s="44">
        <f t="shared" si="254"/>
        <v>45782</v>
      </c>
      <c r="T2732" s="12">
        <f t="shared" si="255"/>
        <v>3.4562781388835733</v>
      </c>
      <c r="U2732" s="12">
        <f t="shared" si="251"/>
        <v>3.3736363126764837</v>
      </c>
      <c r="V2732" s="30">
        <f t="shared" si="252"/>
        <v>0.42927999999999999</v>
      </c>
      <c r="W2732" s="46">
        <f t="shared" si="256"/>
        <v>-3.4562781388835728E-2</v>
      </c>
      <c r="X2732" s="33">
        <f t="shared" si="253"/>
        <v>2.6156823673397778E-2</v>
      </c>
    </row>
    <row r="2733" spans="19:24" x14ac:dyDescent="0.25">
      <c r="S2733" s="44">
        <f t="shared" si="254"/>
        <v>45783</v>
      </c>
      <c r="T2733" s="12">
        <f t="shared" si="255"/>
        <v>3.4536010565820332</v>
      </c>
      <c r="U2733" s="12">
        <f t="shared" si="251"/>
        <v>3.3709851359516954</v>
      </c>
      <c r="V2733" s="30">
        <f t="shared" si="252"/>
        <v>0.4292526027397261</v>
      </c>
      <c r="W2733" s="46">
        <f t="shared" si="256"/>
        <v>-3.4536010565820327E-2</v>
      </c>
      <c r="X2733" s="33">
        <f t="shared" si="253"/>
        <v>2.6156782161124836E-2</v>
      </c>
    </row>
    <row r="2734" spans="19:24" x14ac:dyDescent="0.25">
      <c r="S2734" s="44">
        <f t="shared" si="254"/>
        <v>45784</v>
      </c>
      <c r="T2734" s="12">
        <f t="shared" si="255"/>
        <v>3.45092397428049</v>
      </c>
      <c r="U2734" s="12">
        <f t="shared" si="251"/>
        <v>3.3683339592269053</v>
      </c>
      <c r="V2734" s="30">
        <f t="shared" si="252"/>
        <v>0.42922520547945209</v>
      </c>
      <c r="W2734" s="46">
        <f t="shared" si="256"/>
        <v>-3.4509239742804898E-2</v>
      </c>
      <c r="X2734" s="33">
        <f t="shared" si="253"/>
        <v>2.6156740648851894E-2</v>
      </c>
    </row>
    <row r="2735" spans="19:24" x14ac:dyDescent="0.25">
      <c r="S2735" s="44">
        <f t="shared" si="254"/>
        <v>45785</v>
      </c>
      <c r="T2735" s="12">
        <f t="shared" si="255"/>
        <v>3.4482468919789495</v>
      </c>
      <c r="U2735" s="12">
        <f t="shared" si="251"/>
        <v>3.3656827825021161</v>
      </c>
      <c r="V2735" s="30">
        <f t="shared" si="252"/>
        <v>0.42919780821917808</v>
      </c>
      <c r="W2735" s="46">
        <f t="shared" si="256"/>
        <v>-3.448246891978949E-2</v>
      </c>
      <c r="X2735" s="33">
        <f t="shared" si="253"/>
        <v>2.6156699136578945E-2</v>
      </c>
    </row>
    <row r="2736" spans="19:24" x14ac:dyDescent="0.25">
      <c r="S2736" s="44">
        <f t="shared" si="254"/>
        <v>45786</v>
      </c>
      <c r="T2736" s="12">
        <f t="shared" si="255"/>
        <v>3.4455698096774086</v>
      </c>
      <c r="U2736" s="12">
        <f t="shared" si="251"/>
        <v>3.3630316057773264</v>
      </c>
      <c r="V2736" s="30">
        <f t="shared" si="252"/>
        <v>0.42917041095890407</v>
      </c>
      <c r="W2736" s="46">
        <f t="shared" si="256"/>
        <v>-3.4455698096774082E-2</v>
      </c>
      <c r="X2736" s="33">
        <f t="shared" si="253"/>
        <v>2.6156657624305999E-2</v>
      </c>
    </row>
    <row r="2737" spans="19:24" x14ac:dyDescent="0.25">
      <c r="S2737" s="44">
        <f t="shared" si="254"/>
        <v>45787</v>
      </c>
      <c r="T2737" s="12">
        <f t="shared" si="255"/>
        <v>3.4428927273758672</v>
      </c>
      <c r="U2737" s="12">
        <f t="shared" si="251"/>
        <v>3.3603804290525381</v>
      </c>
      <c r="V2737" s="30">
        <f t="shared" si="252"/>
        <v>0.42914301369863017</v>
      </c>
      <c r="W2737" s="46">
        <f t="shared" si="256"/>
        <v>-3.4428927273758667E-2</v>
      </c>
      <c r="X2737" s="33">
        <f t="shared" si="253"/>
        <v>2.6156616112033061E-2</v>
      </c>
    </row>
    <row r="2738" spans="19:24" x14ac:dyDescent="0.25">
      <c r="S2738" s="44">
        <f t="shared" si="254"/>
        <v>45788</v>
      </c>
      <c r="T2738" s="12">
        <f t="shared" si="255"/>
        <v>3.4402156450743258</v>
      </c>
      <c r="U2738" s="12">
        <f t="shared" si="251"/>
        <v>3.3577292523277475</v>
      </c>
      <c r="V2738" s="30">
        <f t="shared" si="252"/>
        <v>0.42911561643835616</v>
      </c>
      <c r="W2738" s="46">
        <f t="shared" si="256"/>
        <v>-3.4402156450743251E-2</v>
      </c>
      <c r="X2738" s="33">
        <f t="shared" si="253"/>
        <v>2.6156574599760115E-2</v>
      </c>
    </row>
    <row r="2739" spans="19:24" x14ac:dyDescent="0.25">
      <c r="S2739" s="44">
        <f t="shared" si="254"/>
        <v>45789</v>
      </c>
      <c r="T2739" s="12">
        <f t="shared" si="255"/>
        <v>3.4375385627727861</v>
      </c>
      <c r="U2739" s="12">
        <f t="shared" si="251"/>
        <v>3.3550780756029592</v>
      </c>
      <c r="V2739" s="30">
        <f t="shared" si="252"/>
        <v>0.42908821917808221</v>
      </c>
      <c r="W2739" s="46">
        <f t="shared" si="256"/>
        <v>-3.4375385627727857E-2</v>
      </c>
      <c r="X2739" s="33">
        <f t="shared" si="253"/>
        <v>2.6156533087487173E-2</v>
      </c>
    </row>
    <row r="2740" spans="19:24" x14ac:dyDescent="0.25">
      <c r="S2740" s="44">
        <f t="shared" si="254"/>
        <v>45790</v>
      </c>
      <c r="T2740" s="12">
        <f t="shared" si="255"/>
        <v>3.4348614804712443</v>
      </c>
      <c r="U2740" s="12">
        <f t="shared" si="251"/>
        <v>3.3524268988781691</v>
      </c>
      <c r="V2740" s="30">
        <f t="shared" si="252"/>
        <v>0.42906082191780825</v>
      </c>
      <c r="W2740" s="46">
        <f t="shared" si="256"/>
        <v>-3.4348614804712435E-2</v>
      </c>
      <c r="X2740" s="33">
        <f t="shared" si="253"/>
        <v>2.6156491575214231E-2</v>
      </c>
    </row>
    <row r="2741" spans="19:24" x14ac:dyDescent="0.25">
      <c r="S2741" s="44">
        <f t="shared" si="254"/>
        <v>45791</v>
      </c>
      <c r="T2741" s="12">
        <f t="shared" si="255"/>
        <v>3.4321843981697033</v>
      </c>
      <c r="U2741" s="12">
        <f t="shared" si="251"/>
        <v>3.349775722153379</v>
      </c>
      <c r="V2741" s="30">
        <f t="shared" si="252"/>
        <v>0.42903342465753425</v>
      </c>
      <c r="W2741" s="46">
        <f t="shared" si="256"/>
        <v>-3.4321843981697027E-2</v>
      </c>
      <c r="X2741" s="33">
        <f t="shared" si="253"/>
        <v>2.6156450062941282E-2</v>
      </c>
    </row>
    <row r="2742" spans="19:24" x14ac:dyDescent="0.25">
      <c r="S2742" s="44">
        <f t="shared" si="254"/>
        <v>45792</v>
      </c>
      <c r="T2742" s="12">
        <f t="shared" si="255"/>
        <v>3.429507315868161</v>
      </c>
      <c r="U2742" s="12">
        <f t="shared" si="251"/>
        <v>3.3471245454285912</v>
      </c>
      <c r="V2742" s="30">
        <f t="shared" si="252"/>
        <v>0.42900602739726024</v>
      </c>
      <c r="W2742" s="46">
        <f t="shared" si="256"/>
        <v>-3.4295073158681605E-2</v>
      </c>
      <c r="X2742" s="33">
        <f t="shared" si="253"/>
        <v>2.6156408550668336E-2</v>
      </c>
    </row>
    <row r="2743" spans="19:24" x14ac:dyDescent="0.25">
      <c r="S2743" s="44">
        <f t="shared" si="254"/>
        <v>45793</v>
      </c>
      <c r="T2743" s="12">
        <f t="shared" si="255"/>
        <v>3.4268302335666196</v>
      </c>
      <c r="U2743" s="12">
        <f t="shared" si="251"/>
        <v>3.3444733687038006</v>
      </c>
      <c r="V2743" s="30">
        <f t="shared" si="252"/>
        <v>0.42897863013698634</v>
      </c>
      <c r="W2743" s="46">
        <f t="shared" si="256"/>
        <v>-3.426830233566619E-2</v>
      </c>
      <c r="X2743" s="33">
        <f t="shared" si="253"/>
        <v>2.6156367038395398E-2</v>
      </c>
    </row>
    <row r="2744" spans="19:24" x14ac:dyDescent="0.25">
      <c r="S2744" s="44">
        <f t="shared" si="254"/>
        <v>45794</v>
      </c>
      <c r="T2744" s="12">
        <f t="shared" si="255"/>
        <v>3.4241531512650787</v>
      </c>
      <c r="U2744" s="12">
        <f t="shared" si="251"/>
        <v>3.3418221919790114</v>
      </c>
      <c r="V2744" s="30">
        <f t="shared" si="252"/>
        <v>0.42895123287671233</v>
      </c>
      <c r="W2744" s="46">
        <f t="shared" si="256"/>
        <v>-3.4241531512650782E-2</v>
      </c>
      <c r="X2744" s="33">
        <f t="shared" si="253"/>
        <v>2.6156325526122452E-2</v>
      </c>
    </row>
    <row r="2745" spans="19:24" x14ac:dyDescent="0.25">
      <c r="S2745" s="44">
        <f t="shared" si="254"/>
        <v>45795</v>
      </c>
      <c r="T2745" s="12">
        <f t="shared" si="255"/>
        <v>3.4214760689635377</v>
      </c>
      <c r="U2745" s="12">
        <f t="shared" si="251"/>
        <v>3.3391710152542227</v>
      </c>
      <c r="V2745" s="30">
        <f t="shared" si="252"/>
        <v>0.42892383561643832</v>
      </c>
      <c r="W2745" s="46">
        <f t="shared" si="256"/>
        <v>-3.4214760689635373E-2</v>
      </c>
      <c r="X2745" s="33">
        <f t="shared" si="253"/>
        <v>2.6156284013849507E-2</v>
      </c>
    </row>
    <row r="2746" spans="19:24" x14ac:dyDescent="0.25">
      <c r="S2746" s="44">
        <f t="shared" si="254"/>
        <v>45796</v>
      </c>
      <c r="T2746" s="12">
        <f t="shared" si="255"/>
        <v>3.4187989866619963</v>
      </c>
      <c r="U2746" s="12">
        <f t="shared" si="251"/>
        <v>3.336519838529433</v>
      </c>
      <c r="V2746" s="30">
        <f t="shared" si="252"/>
        <v>0.42889643835616442</v>
      </c>
      <c r="W2746" s="46">
        <f t="shared" si="256"/>
        <v>-3.4187989866619958E-2</v>
      </c>
      <c r="X2746" s="33">
        <f t="shared" si="253"/>
        <v>2.6156242501576565E-2</v>
      </c>
    </row>
    <row r="2747" spans="19:24" x14ac:dyDescent="0.25">
      <c r="S2747" s="44">
        <f t="shared" si="254"/>
        <v>45797</v>
      </c>
      <c r="T2747" s="12">
        <f t="shared" si="255"/>
        <v>3.4161219043604545</v>
      </c>
      <c r="U2747" s="12">
        <f t="shared" si="251"/>
        <v>3.3338686618046443</v>
      </c>
      <c r="V2747" s="30">
        <f t="shared" si="252"/>
        <v>0.42886904109589041</v>
      </c>
      <c r="W2747" s="46">
        <f t="shared" si="256"/>
        <v>-3.4161219043604536E-2</v>
      </c>
      <c r="X2747" s="33">
        <f t="shared" si="253"/>
        <v>2.6156200989303623E-2</v>
      </c>
    </row>
    <row r="2748" spans="19:24" x14ac:dyDescent="0.25">
      <c r="S2748" s="44">
        <f t="shared" si="254"/>
        <v>45798</v>
      </c>
      <c r="T2748" s="12">
        <f t="shared" si="255"/>
        <v>3.4134448220589153</v>
      </c>
      <c r="U2748" s="12">
        <f t="shared" si="251"/>
        <v>3.3312174850798546</v>
      </c>
      <c r="V2748" s="30">
        <f t="shared" si="252"/>
        <v>0.42884164383561646</v>
      </c>
      <c r="W2748" s="46">
        <f t="shared" si="256"/>
        <v>-3.4134448220589149E-2</v>
      </c>
      <c r="X2748" s="33">
        <f t="shared" si="253"/>
        <v>2.6156159477030681E-2</v>
      </c>
    </row>
    <row r="2749" spans="19:24" x14ac:dyDescent="0.25">
      <c r="S2749" s="44">
        <f t="shared" si="254"/>
        <v>45799</v>
      </c>
      <c r="T2749" s="12">
        <f t="shared" si="255"/>
        <v>3.4107677397573735</v>
      </c>
      <c r="U2749" s="12">
        <f t="shared" si="251"/>
        <v>3.3285663083550667</v>
      </c>
      <c r="V2749" s="30">
        <f t="shared" si="252"/>
        <v>0.42881424657534245</v>
      </c>
      <c r="W2749" s="46">
        <f t="shared" si="256"/>
        <v>-3.4107677397573727E-2</v>
      </c>
      <c r="X2749" s="33">
        <f t="shared" si="253"/>
        <v>2.6156117964757728E-2</v>
      </c>
    </row>
    <row r="2750" spans="19:24" x14ac:dyDescent="0.25">
      <c r="S2750" s="44">
        <f t="shared" si="254"/>
        <v>45800</v>
      </c>
      <c r="T2750" s="12">
        <f t="shared" si="255"/>
        <v>3.4080906574558325</v>
      </c>
      <c r="U2750" s="12">
        <f t="shared" si="251"/>
        <v>3.3259151316302766</v>
      </c>
      <c r="V2750" s="30">
        <f t="shared" si="252"/>
        <v>0.4287868493150685</v>
      </c>
      <c r="W2750" s="46">
        <f t="shared" si="256"/>
        <v>-3.4080906574558319E-2</v>
      </c>
      <c r="X2750" s="33">
        <f t="shared" si="253"/>
        <v>2.615607645248479E-2</v>
      </c>
    </row>
    <row r="2751" spans="19:24" x14ac:dyDescent="0.25">
      <c r="S2751" s="44">
        <f t="shared" si="254"/>
        <v>45801</v>
      </c>
      <c r="T2751" s="12">
        <f t="shared" si="255"/>
        <v>3.4054135751542907</v>
      </c>
      <c r="U2751" s="12">
        <f t="shared" si="251"/>
        <v>3.323263954905487</v>
      </c>
      <c r="V2751" s="30">
        <f t="shared" si="252"/>
        <v>0.42875945205479454</v>
      </c>
      <c r="W2751" s="46">
        <f t="shared" si="256"/>
        <v>-3.4054135751542904E-2</v>
      </c>
      <c r="X2751" s="33">
        <f t="shared" si="253"/>
        <v>2.6156034940211844E-2</v>
      </c>
    </row>
    <row r="2752" spans="19:24" x14ac:dyDescent="0.25">
      <c r="S2752" s="44">
        <f t="shared" si="254"/>
        <v>45802</v>
      </c>
      <c r="T2752" s="12">
        <f t="shared" si="255"/>
        <v>3.4027364928527497</v>
      </c>
      <c r="U2752" s="12">
        <f t="shared" si="251"/>
        <v>3.3206127781806982</v>
      </c>
      <c r="V2752" s="30">
        <f t="shared" si="252"/>
        <v>0.42873205479452059</v>
      </c>
      <c r="W2752" s="46">
        <f t="shared" si="256"/>
        <v>-3.4027364928527488E-2</v>
      </c>
      <c r="X2752" s="33">
        <f t="shared" si="253"/>
        <v>2.6155993427938905E-2</v>
      </c>
    </row>
    <row r="2753" spans="19:24" x14ac:dyDescent="0.25">
      <c r="S2753" s="44">
        <f t="shared" si="254"/>
        <v>45803</v>
      </c>
      <c r="T2753" s="12">
        <f t="shared" si="255"/>
        <v>3.4000594105512079</v>
      </c>
      <c r="U2753" s="12">
        <f t="shared" si="251"/>
        <v>3.3179616014559081</v>
      </c>
      <c r="V2753" s="30">
        <f t="shared" si="252"/>
        <v>0.42870465753424658</v>
      </c>
      <c r="W2753" s="46">
        <f t="shared" si="256"/>
        <v>-3.4000594105512073E-2</v>
      </c>
      <c r="X2753" s="33">
        <f t="shared" si="253"/>
        <v>2.6155951915665953E-2</v>
      </c>
    </row>
    <row r="2754" spans="19:24" x14ac:dyDescent="0.25">
      <c r="S2754" s="44">
        <f t="shared" si="254"/>
        <v>45804</v>
      </c>
      <c r="T2754" s="12">
        <f t="shared" si="255"/>
        <v>3.3973823282496669</v>
      </c>
      <c r="U2754" s="12">
        <f t="shared" si="251"/>
        <v>3.3153104247311203</v>
      </c>
      <c r="V2754" s="30">
        <f t="shared" si="252"/>
        <v>0.42867726027397257</v>
      </c>
      <c r="W2754" s="46">
        <f t="shared" si="256"/>
        <v>-3.3973823282496665E-2</v>
      </c>
      <c r="X2754" s="33">
        <f t="shared" si="253"/>
        <v>2.6155910403393011E-2</v>
      </c>
    </row>
    <row r="2755" spans="19:24" x14ac:dyDescent="0.25">
      <c r="S2755" s="44">
        <f t="shared" si="254"/>
        <v>45805</v>
      </c>
      <c r="T2755" s="12">
        <f t="shared" si="255"/>
        <v>3.3947052459481246</v>
      </c>
      <c r="U2755" s="12">
        <f t="shared" si="251"/>
        <v>3.3126592480063293</v>
      </c>
      <c r="V2755" s="30">
        <f t="shared" si="252"/>
        <v>0.42864986301369867</v>
      </c>
      <c r="W2755" s="46">
        <f t="shared" si="256"/>
        <v>-3.3947052459481243E-2</v>
      </c>
      <c r="X2755" s="33">
        <f t="shared" si="253"/>
        <v>2.6155868891120069E-2</v>
      </c>
    </row>
    <row r="2756" spans="19:24" x14ac:dyDescent="0.25">
      <c r="S2756" s="44">
        <f t="shared" si="254"/>
        <v>45806</v>
      </c>
      <c r="T2756" s="12">
        <f t="shared" si="255"/>
        <v>3.3920281636465837</v>
      </c>
      <c r="U2756" s="12">
        <f t="shared" si="251"/>
        <v>3.3100080712815401</v>
      </c>
      <c r="V2756" s="30">
        <f t="shared" si="252"/>
        <v>0.42862246575342466</v>
      </c>
      <c r="W2756" s="46">
        <f t="shared" si="256"/>
        <v>-3.3920281636465828E-2</v>
      </c>
      <c r="X2756" s="33">
        <f t="shared" si="253"/>
        <v>2.6155827378847127E-2</v>
      </c>
    </row>
    <row r="2757" spans="19:24" x14ac:dyDescent="0.25">
      <c r="S2757" s="44">
        <f t="shared" si="254"/>
        <v>45807</v>
      </c>
      <c r="T2757" s="12">
        <f t="shared" si="255"/>
        <v>3.3893510813450436</v>
      </c>
      <c r="U2757" s="12">
        <f t="shared" ref="U2757:U2820" si="257">DurMod($S2757,$B$2,$F$7:$G$37,U$3)</f>
        <v>3.3073568945567513</v>
      </c>
      <c r="V2757" s="30">
        <f t="shared" ref="V2757:V2820" si="258">+$U$3*($S$5512-S2757)/365+$T$3*(S2757-$S$4)/365</f>
        <v>0.42859506849315065</v>
      </c>
      <c r="W2757" s="46">
        <f t="shared" si="256"/>
        <v>-3.3893510813450434E-2</v>
      </c>
      <c r="X2757" s="33">
        <f t="shared" ref="X2757:X2820" si="259">+(V2757+W2757)*365/($S$5512-$S$4)</f>
        <v>2.6155785866574181E-2</v>
      </c>
    </row>
    <row r="2758" spans="19:24" x14ac:dyDescent="0.25">
      <c r="S2758" s="44">
        <f t="shared" si="254"/>
        <v>45808</v>
      </c>
      <c r="T2758" s="12">
        <f t="shared" si="255"/>
        <v>3.3866739990435022</v>
      </c>
      <c r="U2758" s="12">
        <f t="shared" si="257"/>
        <v>3.3047057178319608</v>
      </c>
      <c r="V2758" s="30">
        <f t="shared" si="258"/>
        <v>0.4285676712328767</v>
      </c>
      <c r="W2758" s="46">
        <f t="shared" si="256"/>
        <v>-3.3866739990435019E-2</v>
      </c>
      <c r="X2758" s="33">
        <f t="shared" si="259"/>
        <v>2.6155744354301232E-2</v>
      </c>
    </row>
    <row r="2759" spans="19:24" x14ac:dyDescent="0.25">
      <c r="S2759" s="44">
        <f t="shared" si="254"/>
        <v>45809</v>
      </c>
      <c r="T2759" s="12">
        <f t="shared" si="255"/>
        <v>3.3839969167419608</v>
      </c>
      <c r="U2759" s="12">
        <f t="shared" si="257"/>
        <v>3.302054541107172</v>
      </c>
      <c r="V2759" s="30">
        <f t="shared" si="258"/>
        <v>0.42854027397260275</v>
      </c>
      <c r="W2759" s="46">
        <f t="shared" si="256"/>
        <v>-3.3839969167419603E-2</v>
      </c>
      <c r="X2759" s="33">
        <f t="shared" si="259"/>
        <v>2.6155702842028297E-2</v>
      </c>
    </row>
    <row r="2760" spans="19:24" x14ac:dyDescent="0.25">
      <c r="S2760" s="44">
        <f t="shared" si="254"/>
        <v>45810</v>
      </c>
      <c r="T2760" s="12">
        <f t="shared" si="255"/>
        <v>3.3813198344404198</v>
      </c>
      <c r="U2760" s="12">
        <f t="shared" si="257"/>
        <v>3.2994033643823837</v>
      </c>
      <c r="V2760" s="30">
        <f t="shared" si="258"/>
        <v>0.42851287671232879</v>
      </c>
      <c r="W2760" s="46">
        <f t="shared" si="256"/>
        <v>-3.3813198344404195E-2</v>
      </c>
      <c r="X2760" s="33">
        <f t="shared" si="259"/>
        <v>2.6155661329755348E-2</v>
      </c>
    </row>
    <row r="2761" spans="19:24" x14ac:dyDescent="0.25">
      <c r="S2761" s="44">
        <f t="shared" si="254"/>
        <v>45811</v>
      </c>
      <c r="T2761" s="12">
        <f t="shared" si="255"/>
        <v>3.3786427521388793</v>
      </c>
      <c r="U2761" s="12">
        <f t="shared" si="257"/>
        <v>3.2967521876575945</v>
      </c>
      <c r="V2761" s="30">
        <f t="shared" si="258"/>
        <v>0.42848547945205478</v>
      </c>
      <c r="W2761" s="46">
        <f t="shared" si="256"/>
        <v>-3.3786427521388787E-2</v>
      </c>
      <c r="X2761" s="33">
        <f t="shared" si="259"/>
        <v>2.6155619817482406E-2</v>
      </c>
    </row>
    <row r="2762" spans="19:24" x14ac:dyDescent="0.25">
      <c r="S2762" s="44">
        <f t="shared" si="254"/>
        <v>45812</v>
      </c>
      <c r="T2762" s="12">
        <f t="shared" si="255"/>
        <v>3.375965669837337</v>
      </c>
      <c r="U2762" s="12">
        <f t="shared" si="257"/>
        <v>3.2941010109328044</v>
      </c>
      <c r="V2762" s="30">
        <f t="shared" si="258"/>
        <v>0.42845808219178078</v>
      </c>
      <c r="W2762" s="46">
        <f t="shared" si="256"/>
        <v>-3.3759656698373365E-2</v>
      </c>
      <c r="X2762" s="33">
        <f t="shared" si="259"/>
        <v>2.6155578305209461E-2</v>
      </c>
    </row>
    <row r="2763" spans="19:24" x14ac:dyDescent="0.25">
      <c r="S2763" s="44">
        <f t="shared" si="254"/>
        <v>45813</v>
      </c>
      <c r="T2763" s="12">
        <f t="shared" si="255"/>
        <v>3.3732885875357961</v>
      </c>
      <c r="U2763" s="12">
        <f t="shared" si="257"/>
        <v>3.2914498342080152</v>
      </c>
      <c r="V2763" s="30">
        <f t="shared" si="258"/>
        <v>0.42843068493150682</v>
      </c>
      <c r="W2763" s="46">
        <f t="shared" si="256"/>
        <v>-3.3732885875357957E-2</v>
      </c>
      <c r="X2763" s="33">
        <f t="shared" si="259"/>
        <v>2.6155536792936519E-2</v>
      </c>
    </row>
    <row r="2764" spans="19:24" x14ac:dyDescent="0.25">
      <c r="S2764" s="44">
        <f t="shared" si="254"/>
        <v>45814</v>
      </c>
      <c r="T2764" s="12">
        <f t="shared" si="255"/>
        <v>3.3706115052342551</v>
      </c>
      <c r="U2764" s="12">
        <f t="shared" si="257"/>
        <v>3.2887986574832269</v>
      </c>
      <c r="V2764" s="30">
        <f t="shared" si="258"/>
        <v>0.42840328767123292</v>
      </c>
      <c r="W2764" s="46">
        <f t="shared" si="256"/>
        <v>-3.3706115052342549E-2</v>
      </c>
      <c r="X2764" s="33">
        <f t="shared" si="259"/>
        <v>2.6155495280663577E-2</v>
      </c>
    </row>
    <row r="2765" spans="19:24" x14ac:dyDescent="0.25">
      <c r="S2765" s="44">
        <f t="shared" si="254"/>
        <v>45815</v>
      </c>
      <c r="T2765" s="12">
        <f t="shared" si="255"/>
        <v>3.3679344229327142</v>
      </c>
      <c r="U2765" s="12">
        <f t="shared" si="257"/>
        <v>3.2861474807584368</v>
      </c>
      <c r="V2765" s="30">
        <f t="shared" si="258"/>
        <v>0.42837589041095891</v>
      </c>
      <c r="W2765" s="46">
        <f t="shared" si="256"/>
        <v>-3.3679344229327134E-2</v>
      </c>
      <c r="X2765" s="33">
        <f t="shared" si="259"/>
        <v>2.6155453768390634E-2</v>
      </c>
    </row>
    <row r="2766" spans="19:24" x14ac:dyDescent="0.25">
      <c r="S2766" s="44">
        <f t="shared" si="254"/>
        <v>45816</v>
      </c>
      <c r="T2766" s="12">
        <f t="shared" si="255"/>
        <v>3.3652573406311723</v>
      </c>
      <c r="U2766" s="12">
        <f t="shared" si="257"/>
        <v>3.283496304033648</v>
      </c>
      <c r="V2766" s="30">
        <f t="shared" si="258"/>
        <v>0.42834849315068491</v>
      </c>
      <c r="W2766" s="46">
        <f t="shared" si="256"/>
        <v>-3.3652573406311719E-2</v>
      </c>
      <c r="X2766" s="33">
        <f t="shared" si="259"/>
        <v>2.6155412256117689E-2</v>
      </c>
    </row>
    <row r="2767" spans="19:24" x14ac:dyDescent="0.25">
      <c r="S2767" s="44">
        <f t="shared" si="254"/>
        <v>45817</v>
      </c>
      <c r="T2767" s="12">
        <f t="shared" si="255"/>
        <v>3.3625802583296314</v>
      </c>
      <c r="U2767" s="12">
        <f t="shared" si="257"/>
        <v>3.2808451273088584</v>
      </c>
      <c r="V2767" s="30">
        <f t="shared" si="258"/>
        <v>0.4283210958904109</v>
      </c>
      <c r="W2767" s="46">
        <f t="shared" si="256"/>
        <v>-3.362580258329631E-2</v>
      </c>
      <c r="X2767" s="33">
        <f t="shared" si="259"/>
        <v>2.615537074384474E-2</v>
      </c>
    </row>
    <row r="2768" spans="19:24" x14ac:dyDescent="0.25">
      <c r="S2768" s="44">
        <f t="shared" si="254"/>
        <v>45818</v>
      </c>
      <c r="T2768" s="12">
        <f t="shared" si="255"/>
        <v>3.3599031760280891</v>
      </c>
      <c r="U2768" s="12">
        <f t="shared" si="257"/>
        <v>3.2781939505840687</v>
      </c>
      <c r="V2768" s="30">
        <f t="shared" si="258"/>
        <v>0.428293698630137</v>
      </c>
      <c r="W2768" s="46">
        <f t="shared" si="256"/>
        <v>-3.3599031760280888E-2</v>
      </c>
      <c r="X2768" s="33">
        <f t="shared" si="259"/>
        <v>2.6155329231571798E-2</v>
      </c>
    </row>
    <row r="2769" spans="19:24" x14ac:dyDescent="0.25">
      <c r="S2769" s="44">
        <f t="shared" si="254"/>
        <v>45819</v>
      </c>
      <c r="T2769" s="12">
        <f t="shared" si="255"/>
        <v>3.3572260937265477</v>
      </c>
      <c r="U2769" s="12">
        <f t="shared" si="257"/>
        <v>3.2755427738592799</v>
      </c>
      <c r="V2769" s="30">
        <f t="shared" si="258"/>
        <v>0.42826630136986299</v>
      </c>
      <c r="W2769" s="46">
        <f t="shared" si="256"/>
        <v>-3.3572260937265473E-2</v>
      </c>
      <c r="X2769" s="33">
        <f t="shared" si="259"/>
        <v>2.6155287719298856E-2</v>
      </c>
    </row>
    <row r="2770" spans="19:24" x14ac:dyDescent="0.25">
      <c r="S2770" s="44">
        <f t="shared" si="254"/>
        <v>45820</v>
      </c>
      <c r="T2770" s="12">
        <f t="shared" si="255"/>
        <v>3.3545490114250085</v>
      </c>
      <c r="U2770" s="12">
        <f t="shared" si="257"/>
        <v>3.2728915971344903</v>
      </c>
      <c r="V2770" s="30">
        <f t="shared" si="258"/>
        <v>0.42823890410958904</v>
      </c>
      <c r="W2770" s="46">
        <f t="shared" si="256"/>
        <v>-3.3545490114250079E-2</v>
      </c>
      <c r="X2770" s="33">
        <f t="shared" si="259"/>
        <v>2.6155246207025914E-2</v>
      </c>
    </row>
    <row r="2771" spans="19:24" x14ac:dyDescent="0.25">
      <c r="S2771" s="44">
        <f t="shared" si="254"/>
        <v>45821</v>
      </c>
      <c r="T2771" s="12">
        <f t="shared" si="255"/>
        <v>3.3518719291234662</v>
      </c>
      <c r="U2771" s="12">
        <f t="shared" si="257"/>
        <v>3.2702404204097002</v>
      </c>
      <c r="V2771" s="30">
        <f t="shared" si="258"/>
        <v>0.42821150684931503</v>
      </c>
      <c r="W2771" s="46">
        <f t="shared" si="256"/>
        <v>-3.3518719291234657E-2</v>
      </c>
      <c r="X2771" s="33">
        <f t="shared" si="259"/>
        <v>2.6155204694752961E-2</v>
      </c>
    </row>
    <row r="2772" spans="19:24" x14ac:dyDescent="0.25">
      <c r="S2772" s="44">
        <f t="shared" si="254"/>
        <v>45822</v>
      </c>
      <c r="T2772" s="12">
        <f t="shared" si="255"/>
        <v>3.3491948468219244</v>
      </c>
      <c r="U2772" s="12">
        <f t="shared" si="257"/>
        <v>3.2675892436849119</v>
      </c>
      <c r="V2772" s="30">
        <f t="shared" si="258"/>
        <v>0.42818410958904107</v>
      </c>
      <c r="W2772" s="46">
        <f t="shared" si="256"/>
        <v>-3.3491948468219242E-2</v>
      </c>
      <c r="X2772" s="33">
        <f t="shared" si="259"/>
        <v>2.6155163182480026E-2</v>
      </c>
    </row>
    <row r="2773" spans="19:24" x14ac:dyDescent="0.25">
      <c r="S2773" s="44">
        <f t="shared" si="254"/>
        <v>45823</v>
      </c>
      <c r="T2773" s="12">
        <f t="shared" si="255"/>
        <v>3.628085169829673</v>
      </c>
      <c r="U2773" s="12">
        <f t="shared" si="257"/>
        <v>3.5496788962740666</v>
      </c>
      <c r="V2773" s="30">
        <f t="shared" si="258"/>
        <v>0.42815671232876712</v>
      </c>
      <c r="W2773" s="46">
        <f t="shared" si="256"/>
        <v>-3.6280851698296722E-2</v>
      </c>
      <c r="X2773" s="33">
        <f t="shared" si="259"/>
        <v>2.5968534700457825E-2</v>
      </c>
    </row>
    <row r="2774" spans="19:24" x14ac:dyDescent="0.25">
      <c r="S2774" s="44">
        <f t="shared" si="254"/>
        <v>45824</v>
      </c>
      <c r="T2774" s="12">
        <f t="shared" si="255"/>
        <v>3.6254080875281325</v>
      </c>
      <c r="U2774" s="12">
        <f t="shared" si="257"/>
        <v>3.547027719549277</v>
      </c>
      <c r="V2774" s="30">
        <f t="shared" si="258"/>
        <v>0.42812931506849317</v>
      </c>
      <c r="W2774" s="46">
        <f t="shared" si="256"/>
        <v>-3.6254080875281321E-2</v>
      </c>
      <c r="X2774" s="33">
        <f t="shared" si="259"/>
        <v>2.596849318818488E-2</v>
      </c>
    </row>
    <row r="2775" spans="19:24" x14ac:dyDescent="0.25">
      <c r="S2775" s="44">
        <f t="shared" si="254"/>
        <v>45825</v>
      </c>
      <c r="T2775" s="12">
        <f t="shared" si="255"/>
        <v>3.6227310052265906</v>
      </c>
      <c r="U2775" s="12">
        <f t="shared" si="257"/>
        <v>3.5443765428244887</v>
      </c>
      <c r="V2775" s="30">
        <f t="shared" si="258"/>
        <v>0.42810191780821921</v>
      </c>
      <c r="W2775" s="46">
        <f t="shared" si="256"/>
        <v>-3.6227310052265899E-2</v>
      </c>
      <c r="X2775" s="33">
        <f t="shared" si="259"/>
        <v>2.5968451675911938E-2</v>
      </c>
    </row>
    <row r="2776" spans="19:24" x14ac:dyDescent="0.25">
      <c r="S2776" s="44">
        <f t="shared" si="254"/>
        <v>45826</v>
      </c>
      <c r="T2776" s="12">
        <f t="shared" si="255"/>
        <v>3.6200539229250497</v>
      </c>
      <c r="U2776" s="12">
        <f t="shared" si="257"/>
        <v>3.541725366099699</v>
      </c>
      <c r="V2776" s="30">
        <f t="shared" si="258"/>
        <v>0.42807452054794526</v>
      </c>
      <c r="W2776" s="46">
        <f t="shared" si="256"/>
        <v>-3.620053922925049E-2</v>
      </c>
      <c r="X2776" s="33">
        <f t="shared" si="259"/>
        <v>2.5968410163638996E-2</v>
      </c>
    </row>
    <row r="2777" spans="19:24" x14ac:dyDescent="0.25">
      <c r="S2777" s="44">
        <f t="shared" si="254"/>
        <v>45827</v>
      </c>
      <c r="T2777" s="12">
        <f t="shared" si="255"/>
        <v>3.6173768406235087</v>
      </c>
      <c r="U2777" s="12">
        <f t="shared" si="257"/>
        <v>3.5390741893749098</v>
      </c>
      <c r="V2777" s="30">
        <f t="shared" si="258"/>
        <v>0.42804712328767125</v>
      </c>
      <c r="W2777" s="46">
        <f t="shared" si="256"/>
        <v>-3.6173768406235082E-2</v>
      </c>
      <c r="X2777" s="33">
        <f t="shared" si="259"/>
        <v>2.5968368651366047E-2</v>
      </c>
    </row>
    <row r="2778" spans="19:24" x14ac:dyDescent="0.25">
      <c r="S2778" s="44">
        <f t="shared" si="254"/>
        <v>45828</v>
      </c>
      <c r="T2778" s="12">
        <f t="shared" si="255"/>
        <v>3.6146997583219678</v>
      </c>
      <c r="U2778" s="12">
        <f t="shared" si="257"/>
        <v>3.5364230126501206</v>
      </c>
      <c r="V2778" s="30">
        <f t="shared" si="258"/>
        <v>0.42801972602739724</v>
      </c>
      <c r="W2778" s="46">
        <f t="shared" si="256"/>
        <v>-3.6146997583219674E-2</v>
      </c>
      <c r="X2778" s="33">
        <f t="shared" si="259"/>
        <v>2.5968327139093104E-2</v>
      </c>
    </row>
    <row r="2779" spans="19:24" x14ac:dyDescent="0.25">
      <c r="S2779" s="44">
        <f t="shared" si="254"/>
        <v>45829</v>
      </c>
      <c r="T2779" s="12">
        <f t="shared" si="255"/>
        <v>3.6120226760204259</v>
      </c>
      <c r="U2779" s="12">
        <f t="shared" si="257"/>
        <v>3.533771835925331</v>
      </c>
      <c r="V2779" s="30">
        <f t="shared" si="258"/>
        <v>0.42799232876712334</v>
      </c>
      <c r="W2779" s="46">
        <f t="shared" si="256"/>
        <v>-3.6120226760204252E-2</v>
      </c>
      <c r="X2779" s="33">
        <f t="shared" si="259"/>
        <v>2.5968285626820162E-2</v>
      </c>
    </row>
    <row r="2780" spans="19:24" x14ac:dyDescent="0.25">
      <c r="S2780" s="44">
        <f t="shared" si="254"/>
        <v>45830</v>
      </c>
      <c r="T2780" s="12">
        <f t="shared" si="255"/>
        <v>3.6093455937188854</v>
      </c>
      <c r="U2780" s="12">
        <f t="shared" si="257"/>
        <v>3.5311206592005422</v>
      </c>
      <c r="V2780" s="30">
        <f t="shared" si="258"/>
        <v>0.42796493150684933</v>
      </c>
      <c r="W2780" s="46">
        <f t="shared" si="256"/>
        <v>-3.6093455937188851E-2</v>
      </c>
      <c r="X2780" s="33">
        <f t="shared" si="259"/>
        <v>2.596824411454722E-2</v>
      </c>
    </row>
    <row r="2781" spans="19:24" x14ac:dyDescent="0.25">
      <c r="S2781" s="44">
        <f t="shared" si="254"/>
        <v>45831</v>
      </c>
      <c r="T2781" s="12">
        <f t="shared" si="255"/>
        <v>3.6066685114173436</v>
      </c>
      <c r="U2781" s="12">
        <f t="shared" si="257"/>
        <v>3.5284694824757521</v>
      </c>
      <c r="V2781" s="30">
        <f t="shared" si="258"/>
        <v>0.42793753424657532</v>
      </c>
      <c r="W2781" s="46">
        <f t="shared" si="256"/>
        <v>-3.6066685114173429E-2</v>
      </c>
      <c r="X2781" s="33">
        <f t="shared" si="259"/>
        <v>2.5968202602274268E-2</v>
      </c>
    </row>
    <row r="2782" spans="19:24" x14ac:dyDescent="0.25">
      <c r="S2782" s="44">
        <f t="shared" si="254"/>
        <v>45832</v>
      </c>
      <c r="T2782" s="12">
        <f t="shared" si="255"/>
        <v>3.6039914291158022</v>
      </c>
      <c r="U2782" s="12">
        <f t="shared" si="257"/>
        <v>3.5258183057509638</v>
      </c>
      <c r="V2782" s="30">
        <f t="shared" si="258"/>
        <v>0.42791013698630143</v>
      </c>
      <c r="W2782" s="46">
        <f t="shared" si="256"/>
        <v>-3.6039914291158014E-2</v>
      </c>
      <c r="X2782" s="33">
        <f t="shared" si="259"/>
        <v>2.5968161090001333E-2</v>
      </c>
    </row>
    <row r="2783" spans="19:24" x14ac:dyDescent="0.25">
      <c r="S2783" s="44">
        <f t="shared" si="254"/>
        <v>45833</v>
      </c>
      <c r="T2783" s="12">
        <f t="shared" si="255"/>
        <v>3.6013143468142621</v>
      </c>
      <c r="U2783" s="12">
        <f t="shared" si="257"/>
        <v>3.5231671290261746</v>
      </c>
      <c r="V2783" s="30">
        <f t="shared" si="258"/>
        <v>0.42788273972602742</v>
      </c>
      <c r="W2783" s="46">
        <f t="shared" si="256"/>
        <v>-3.6013143468142612E-2</v>
      </c>
      <c r="X2783" s="33">
        <f t="shared" si="259"/>
        <v>2.5968119577728387E-2</v>
      </c>
    </row>
    <row r="2784" spans="19:24" x14ac:dyDescent="0.25">
      <c r="S2784" s="44">
        <f t="shared" si="254"/>
        <v>45834</v>
      </c>
      <c r="T2784" s="12">
        <f t="shared" si="255"/>
        <v>3.5986372645127211</v>
      </c>
      <c r="U2784" s="12">
        <f t="shared" si="257"/>
        <v>3.5205159523013849</v>
      </c>
      <c r="V2784" s="30">
        <f t="shared" si="258"/>
        <v>0.42785534246575346</v>
      </c>
      <c r="W2784" s="46">
        <f t="shared" si="256"/>
        <v>-3.5986372645127204E-2</v>
      </c>
      <c r="X2784" s="33">
        <f t="shared" si="259"/>
        <v>2.5968078065455445E-2</v>
      </c>
    </row>
    <row r="2785" spans="19:24" x14ac:dyDescent="0.25">
      <c r="S2785" s="44">
        <f t="shared" si="254"/>
        <v>45835</v>
      </c>
      <c r="T2785" s="12">
        <f t="shared" si="255"/>
        <v>3.5959601822111789</v>
      </c>
      <c r="U2785" s="12">
        <f t="shared" si="257"/>
        <v>3.5178647755765953</v>
      </c>
      <c r="V2785" s="30">
        <f t="shared" si="258"/>
        <v>0.42782794520547945</v>
      </c>
      <c r="W2785" s="46">
        <f t="shared" si="256"/>
        <v>-3.5959601822111782E-2</v>
      </c>
      <c r="X2785" s="33">
        <f t="shared" si="259"/>
        <v>2.5968036553182496E-2</v>
      </c>
    </row>
    <row r="2786" spans="19:24" x14ac:dyDescent="0.25">
      <c r="S2786" s="44">
        <f t="shared" ref="S2786:S2802" si="260">+S2785+1</f>
        <v>45836</v>
      </c>
      <c r="T2786" s="12">
        <f t="shared" ref="T2786:T2802" si="261">DurMod(S2786,B$2,$F$7:$G$37,$T$3)</f>
        <v>3.5932830999096379</v>
      </c>
      <c r="U2786" s="12">
        <f t="shared" si="257"/>
        <v>3.5152135988518065</v>
      </c>
      <c r="V2786" s="30">
        <f t="shared" si="258"/>
        <v>0.4278005479452055</v>
      </c>
      <c r="W2786" s="46">
        <f t="shared" ref="W2786:W2802" si="262">+-T2786*($U$3-$T$3)</f>
        <v>-3.5932830999096374E-2</v>
      </c>
      <c r="X2786" s="33">
        <f t="shared" si="259"/>
        <v>2.5967995040909554E-2</v>
      </c>
    </row>
    <row r="2787" spans="19:24" x14ac:dyDescent="0.25">
      <c r="S2787" s="44">
        <f t="shared" si="260"/>
        <v>45837</v>
      </c>
      <c r="T2787" s="12">
        <f t="shared" si="261"/>
        <v>3.5906060176080965</v>
      </c>
      <c r="U2787" s="12">
        <f t="shared" si="257"/>
        <v>3.5125624221270169</v>
      </c>
      <c r="V2787" s="30">
        <f t="shared" si="258"/>
        <v>0.42777315068493149</v>
      </c>
      <c r="W2787" s="46">
        <f t="shared" si="262"/>
        <v>-3.5906060176080959E-2</v>
      </c>
      <c r="X2787" s="33">
        <f t="shared" si="259"/>
        <v>2.5967953528636612E-2</v>
      </c>
    </row>
    <row r="2788" spans="19:24" x14ac:dyDescent="0.25">
      <c r="S2788" s="44">
        <f t="shared" si="260"/>
        <v>45838</v>
      </c>
      <c r="T2788" s="12">
        <f t="shared" si="261"/>
        <v>3.5879289353065551</v>
      </c>
      <c r="U2788" s="12">
        <f t="shared" si="257"/>
        <v>3.5099112454022268</v>
      </c>
      <c r="V2788" s="30">
        <f t="shared" si="258"/>
        <v>0.42774575342465754</v>
      </c>
      <c r="W2788" s="46">
        <f t="shared" si="262"/>
        <v>-3.5879289353065544E-2</v>
      </c>
      <c r="X2788" s="33">
        <f t="shared" si="259"/>
        <v>2.5967912016363667E-2</v>
      </c>
    </row>
    <row r="2789" spans="19:24" x14ac:dyDescent="0.25">
      <c r="S2789" s="44">
        <f t="shared" si="260"/>
        <v>45839</v>
      </c>
      <c r="T2789" s="12">
        <f t="shared" si="261"/>
        <v>3.5852518530050141</v>
      </c>
      <c r="U2789" s="12">
        <f t="shared" si="257"/>
        <v>3.507260068677438</v>
      </c>
      <c r="V2789" s="30">
        <f t="shared" si="258"/>
        <v>0.42771835616438358</v>
      </c>
      <c r="W2789" s="46">
        <f t="shared" si="262"/>
        <v>-3.5852518530050136E-2</v>
      </c>
      <c r="X2789" s="33">
        <f t="shared" si="259"/>
        <v>2.5967870504090725E-2</v>
      </c>
    </row>
    <row r="2790" spans="19:24" x14ac:dyDescent="0.25">
      <c r="S2790" s="44">
        <f t="shared" si="260"/>
        <v>45840</v>
      </c>
      <c r="T2790" s="12">
        <f t="shared" si="261"/>
        <v>3.5825747707034719</v>
      </c>
      <c r="U2790" s="12">
        <f t="shared" si="257"/>
        <v>3.5046088919526488</v>
      </c>
      <c r="V2790" s="30">
        <f t="shared" si="258"/>
        <v>0.42769095890410957</v>
      </c>
      <c r="W2790" s="46">
        <f t="shared" si="262"/>
        <v>-3.5825747707034714E-2</v>
      </c>
      <c r="X2790" s="33">
        <f t="shared" si="259"/>
        <v>2.5967828991817776E-2</v>
      </c>
    </row>
    <row r="2791" spans="19:24" x14ac:dyDescent="0.25">
      <c r="S2791" s="44">
        <f t="shared" si="260"/>
        <v>45841</v>
      </c>
      <c r="T2791" s="12">
        <f t="shared" si="261"/>
        <v>3.5798976884019313</v>
      </c>
      <c r="U2791" s="12">
        <f t="shared" si="257"/>
        <v>3.5019577152278605</v>
      </c>
      <c r="V2791" s="30">
        <f t="shared" si="258"/>
        <v>0.42766356164383562</v>
      </c>
      <c r="W2791" s="46">
        <f t="shared" si="262"/>
        <v>-3.5798976884019305E-2</v>
      </c>
      <c r="X2791" s="33">
        <f t="shared" si="259"/>
        <v>2.596778747954484E-2</v>
      </c>
    </row>
    <row r="2792" spans="19:24" x14ac:dyDescent="0.25">
      <c r="S2792" s="44">
        <f t="shared" si="260"/>
        <v>45842</v>
      </c>
      <c r="T2792" s="12">
        <f t="shared" si="261"/>
        <v>3.5772206061003913</v>
      </c>
      <c r="U2792" s="12">
        <f t="shared" si="257"/>
        <v>3.4993065385030704</v>
      </c>
      <c r="V2792" s="30">
        <f t="shared" si="258"/>
        <v>0.42763616438356167</v>
      </c>
      <c r="W2792" s="46">
        <f t="shared" si="262"/>
        <v>-3.5772206061003904E-2</v>
      </c>
      <c r="X2792" s="33">
        <f t="shared" si="259"/>
        <v>2.5967745967271891E-2</v>
      </c>
    </row>
    <row r="2793" spans="19:24" x14ac:dyDescent="0.25">
      <c r="S2793" s="44">
        <f t="shared" si="260"/>
        <v>45843</v>
      </c>
      <c r="T2793" s="12">
        <f t="shared" si="261"/>
        <v>3.574543523798849</v>
      </c>
      <c r="U2793" s="12">
        <f t="shared" si="257"/>
        <v>3.4966553617782812</v>
      </c>
      <c r="V2793" s="30">
        <f t="shared" si="258"/>
        <v>0.42760876712328766</v>
      </c>
      <c r="W2793" s="46">
        <f t="shared" si="262"/>
        <v>-3.5745435237988482E-2</v>
      </c>
      <c r="X2793" s="33">
        <f t="shared" si="259"/>
        <v>2.5967704454998949E-2</v>
      </c>
    </row>
    <row r="2794" spans="19:24" x14ac:dyDescent="0.25">
      <c r="S2794" s="44">
        <f t="shared" si="260"/>
        <v>45844</v>
      </c>
      <c r="T2794" s="12">
        <f t="shared" si="261"/>
        <v>3.5718664414973076</v>
      </c>
      <c r="U2794" s="12">
        <f t="shared" si="257"/>
        <v>3.494004185053492</v>
      </c>
      <c r="V2794" s="30">
        <f t="shared" si="258"/>
        <v>0.4275813698630137</v>
      </c>
      <c r="W2794" s="46">
        <f t="shared" si="262"/>
        <v>-3.5718664414973067E-2</v>
      </c>
      <c r="X2794" s="33">
        <f t="shared" si="259"/>
        <v>2.5967662942726004E-2</v>
      </c>
    </row>
    <row r="2795" spans="19:24" x14ac:dyDescent="0.25">
      <c r="S2795" s="44">
        <f t="shared" si="260"/>
        <v>45845</v>
      </c>
      <c r="T2795" s="12">
        <f t="shared" si="261"/>
        <v>3.5691893591957671</v>
      </c>
      <c r="U2795" s="12">
        <f t="shared" si="257"/>
        <v>3.4913530083287028</v>
      </c>
      <c r="V2795" s="30">
        <f t="shared" si="258"/>
        <v>0.42755397260273975</v>
      </c>
      <c r="W2795" s="46">
        <f t="shared" si="262"/>
        <v>-3.5691893591957666E-2</v>
      </c>
      <c r="X2795" s="33">
        <f t="shared" si="259"/>
        <v>2.5967621430453062E-2</v>
      </c>
    </row>
    <row r="2796" spans="19:24" x14ac:dyDescent="0.25">
      <c r="S2796" s="44">
        <f t="shared" si="260"/>
        <v>45846</v>
      </c>
      <c r="T2796" s="12">
        <f t="shared" si="261"/>
        <v>3.5665122768942261</v>
      </c>
      <c r="U2796" s="12">
        <f t="shared" si="257"/>
        <v>3.4887018316039136</v>
      </c>
      <c r="V2796" s="30">
        <f t="shared" si="258"/>
        <v>0.42752657534246574</v>
      </c>
      <c r="W2796" s="46">
        <f t="shared" si="262"/>
        <v>-3.5665122768942258E-2</v>
      </c>
      <c r="X2796" s="33">
        <f t="shared" si="259"/>
        <v>2.5967579918180113E-2</v>
      </c>
    </row>
    <row r="2797" spans="19:24" x14ac:dyDescent="0.25">
      <c r="S2797" s="44">
        <f t="shared" si="260"/>
        <v>45847</v>
      </c>
      <c r="T2797" s="12">
        <f t="shared" si="261"/>
        <v>3.5638351945926856</v>
      </c>
      <c r="U2797" s="12">
        <f t="shared" si="257"/>
        <v>3.4860506548791248</v>
      </c>
      <c r="V2797" s="30">
        <f t="shared" si="258"/>
        <v>0.42749917808219173</v>
      </c>
      <c r="W2797" s="46">
        <f t="shared" si="262"/>
        <v>-3.5638351945926849E-2</v>
      </c>
      <c r="X2797" s="33">
        <f t="shared" si="259"/>
        <v>2.5967538405907167E-2</v>
      </c>
    </row>
    <row r="2798" spans="19:24" x14ac:dyDescent="0.25">
      <c r="S2798" s="44">
        <f t="shared" si="260"/>
        <v>45848</v>
      </c>
      <c r="T2798" s="12">
        <f t="shared" si="261"/>
        <v>3.5611581122911433</v>
      </c>
      <c r="U2798" s="12">
        <f t="shared" si="257"/>
        <v>3.4833994781543343</v>
      </c>
      <c r="V2798" s="30">
        <f t="shared" si="258"/>
        <v>0.42747178082191783</v>
      </c>
      <c r="W2798" s="46">
        <f t="shared" si="262"/>
        <v>-3.5611581122911427E-2</v>
      </c>
      <c r="X2798" s="33">
        <f t="shared" si="259"/>
        <v>2.5967496893634229E-2</v>
      </c>
    </row>
    <row r="2799" spans="19:24" x14ac:dyDescent="0.25">
      <c r="S2799" s="44">
        <f t="shared" si="260"/>
        <v>45849</v>
      </c>
      <c r="T2799" s="12">
        <f t="shared" si="261"/>
        <v>3.5584810299896033</v>
      </c>
      <c r="U2799" s="12">
        <f t="shared" si="257"/>
        <v>3.4807483014295451</v>
      </c>
      <c r="V2799" s="30">
        <f t="shared" si="258"/>
        <v>0.42744438356164383</v>
      </c>
      <c r="W2799" s="46">
        <f t="shared" si="262"/>
        <v>-3.5584810299896026E-2</v>
      </c>
      <c r="X2799" s="33">
        <f t="shared" si="259"/>
        <v>2.5967455381361283E-2</v>
      </c>
    </row>
    <row r="2800" spans="19:24" x14ac:dyDescent="0.25">
      <c r="S2800" s="44">
        <f t="shared" si="260"/>
        <v>45850</v>
      </c>
      <c r="T2800" s="12">
        <f t="shared" si="261"/>
        <v>3.5558039476880605</v>
      </c>
      <c r="U2800" s="12">
        <f t="shared" si="257"/>
        <v>3.4780971247047558</v>
      </c>
      <c r="V2800" s="30">
        <f t="shared" si="258"/>
        <v>0.42741698630136987</v>
      </c>
      <c r="W2800" s="46">
        <f t="shared" si="262"/>
        <v>-3.5558039476880597E-2</v>
      </c>
      <c r="X2800" s="33">
        <f t="shared" si="259"/>
        <v>2.5967413869088341E-2</v>
      </c>
    </row>
    <row r="2801" spans="19:24" x14ac:dyDescent="0.25">
      <c r="S2801" s="44">
        <f t="shared" si="260"/>
        <v>45851</v>
      </c>
      <c r="T2801" s="12">
        <f t="shared" si="261"/>
        <v>3.5531268653865191</v>
      </c>
      <c r="U2801" s="12">
        <f t="shared" si="257"/>
        <v>3.4754459479799671</v>
      </c>
      <c r="V2801" s="30">
        <f t="shared" si="258"/>
        <v>0.42738958904109586</v>
      </c>
      <c r="W2801" s="46">
        <f t="shared" si="262"/>
        <v>-3.5531268653865189E-2</v>
      </c>
      <c r="X2801" s="33">
        <f t="shared" si="259"/>
        <v>2.5967372356815392E-2</v>
      </c>
    </row>
    <row r="2802" spans="19:24" x14ac:dyDescent="0.25">
      <c r="S2802" s="44">
        <f t="shared" si="260"/>
        <v>45852</v>
      </c>
      <c r="T2802" s="12">
        <f t="shared" si="261"/>
        <v>3.5504497830849786</v>
      </c>
      <c r="U2802" s="12">
        <f t="shared" si="257"/>
        <v>3.472794771255177</v>
      </c>
      <c r="V2802" s="30">
        <f t="shared" si="258"/>
        <v>0.42736219178082191</v>
      </c>
      <c r="W2802" s="46">
        <f t="shared" si="262"/>
        <v>-3.5504497830849781E-2</v>
      </c>
      <c r="X2802" s="33">
        <f t="shared" si="259"/>
        <v>2.596733084454245E-2</v>
      </c>
    </row>
    <row r="2803" spans="19:24" x14ac:dyDescent="0.25">
      <c r="S2803" s="44">
        <f t="shared" ref="S2803:S2866" si="263">+S2802+1</f>
        <v>45853</v>
      </c>
      <c r="T2803" s="12">
        <f t="shared" ref="T2803:T2866" si="264">DurMod(S2803,B$2,$F$7:$G$37,$T$3)</f>
        <v>3.5477727007834376</v>
      </c>
      <c r="U2803" s="12">
        <f t="shared" si="257"/>
        <v>3.4701435945303887</v>
      </c>
      <c r="V2803" s="30">
        <f t="shared" si="258"/>
        <v>0.4273347945205479</v>
      </c>
      <c r="W2803" s="46">
        <f t="shared" ref="W2803:W2866" si="265">+-T2803*($U$3-$T$3)</f>
        <v>-3.5477727007834373E-2</v>
      </c>
      <c r="X2803" s="33">
        <f t="shared" si="259"/>
        <v>2.5967289332269505E-2</v>
      </c>
    </row>
    <row r="2804" spans="19:24" x14ac:dyDescent="0.25">
      <c r="S2804" s="44">
        <f t="shared" si="263"/>
        <v>45854</v>
      </c>
      <c r="T2804" s="12">
        <f t="shared" si="264"/>
        <v>3.5450956184818971</v>
      </c>
      <c r="U2804" s="12">
        <f t="shared" si="257"/>
        <v>3.4674924178055999</v>
      </c>
      <c r="V2804" s="30">
        <f t="shared" si="258"/>
        <v>0.427307397260274</v>
      </c>
      <c r="W2804" s="46">
        <f t="shared" si="265"/>
        <v>-3.5450956184818964E-2</v>
      </c>
      <c r="X2804" s="33">
        <f t="shared" si="259"/>
        <v>2.596724781999657E-2</v>
      </c>
    </row>
    <row r="2805" spans="19:24" x14ac:dyDescent="0.25">
      <c r="S2805" s="44">
        <f t="shared" si="263"/>
        <v>45855</v>
      </c>
      <c r="T2805" s="12">
        <f t="shared" si="264"/>
        <v>3.5424185361803557</v>
      </c>
      <c r="U2805" s="12">
        <f t="shared" si="257"/>
        <v>3.4648412410808094</v>
      </c>
      <c r="V2805" s="30">
        <f t="shared" si="258"/>
        <v>0.42727999999999999</v>
      </c>
      <c r="W2805" s="46">
        <f t="shared" si="265"/>
        <v>-3.5424185361803549E-2</v>
      </c>
      <c r="X2805" s="33">
        <f t="shared" si="259"/>
        <v>2.5967206307723621E-2</v>
      </c>
    </row>
    <row r="2806" spans="19:24" x14ac:dyDescent="0.25">
      <c r="S2806" s="44">
        <f t="shared" si="263"/>
        <v>45856</v>
      </c>
      <c r="T2806" s="12">
        <f t="shared" si="264"/>
        <v>3.5397414538788148</v>
      </c>
      <c r="U2806" s="12">
        <f t="shared" si="257"/>
        <v>3.4621900643560206</v>
      </c>
      <c r="V2806" s="30">
        <f t="shared" si="258"/>
        <v>0.42725260273972598</v>
      </c>
      <c r="W2806" s="46">
        <f t="shared" si="265"/>
        <v>-3.5397414538788141E-2</v>
      </c>
      <c r="X2806" s="33">
        <f t="shared" si="259"/>
        <v>2.5967164795450675E-2</v>
      </c>
    </row>
    <row r="2807" spans="19:24" x14ac:dyDescent="0.25">
      <c r="S2807" s="44">
        <f t="shared" si="263"/>
        <v>45857</v>
      </c>
      <c r="T2807" s="12">
        <f t="shared" si="264"/>
        <v>3.5370643715772734</v>
      </c>
      <c r="U2807" s="12">
        <f t="shared" si="257"/>
        <v>3.4595388876312305</v>
      </c>
      <c r="V2807" s="30">
        <f t="shared" si="258"/>
        <v>0.42722520547945203</v>
      </c>
      <c r="W2807" s="46">
        <f t="shared" si="265"/>
        <v>-3.5370643715772726E-2</v>
      </c>
      <c r="X2807" s="33">
        <f t="shared" si="259"/>
        <v>2.5967123283177733E-2</v>
      </c>
    </row>
    <row r="2808" spans="19:24" x14ac:dyDescent="0.25">
      <c r="S2808" s="44">
        <f t="shared" si="263"/>
        <v>45858</v>
      </c>
      <c r="T2808" s="12">
        <f t="shared" si="264"/>
        <v>3.534387289275732</v>
      </c>
      <c r="U2808" s="12">
        <f t="shared" si="257"/>
        <v>3.4568877109064426</v>
      </c>
      <c r="V2808" s="30">
        <f t="shared" si="258"/>
        <v>0.42719780821917808</v>
      </c>
      <c r="W2808" s="46">
        <f t="shared" si="265"/>
        <v>-3.5343872892757318E-2</v>
      </c>
      <c r="X2808" s="33">
        <f t="shared" si="259"/>
        <v>2.5967081770904791E-2</v>
      </c>
    </row>
    <row r="2809" spans="19:24" x14ac:dyDescent="0.25">
      <c r="S2809" s="44">
        <f t="shared" si="263"/>
        <v>45859</v>
      </c>
      <c r="T2809" s="12">
        <f t="shared" si="264"/>
        <v>3.5317102069741906</v>
      </c>
      <c r="U2809" s="12">
        <f t="shared" si="257"/>
        <v>3.4542365341816521</v>
      </c>
      <c r="V2809" s="30">
        <f t="shared" si="258"/>
        <v>0.42717041095890407</v>
      </c>
      <c r="W2809" s="46">
        <f t="shared" si="265"/>
        <v>-3.5317102069741903E-2</v>
      </c>
      <c r="X2809" s="33">
        <f t="shared" si="259"/>
        <v>2.5967040258631842E-2</v>
      </c>
    </row>
    <row r="2810" spans="19:24" x14ac:dyDescent="0.25">
      <c r="S2810" s="44">
        <f t="shared" si="263"/>
        <v>45860</v>
      </c>
      <c r="T2810" s="12">
        <f t="shared" si="264"/>
        <v>3.5290331246726501</v>
      </c>
      <c r="U2810" s="12">
        <f t="shared" si="257"/>
        <v>3.4515853574568638</v>
      </c>
      <c r="V2810" s="30">
        <f t="shared" si="258"/>
        <v>0.42714301369863011</v>
      </c>
      <c r="W2810" s="46">
        <f t="shared" si="265"/>
        <v>-3.5290331246726495E-2</v>
      </c>
      <c r="X2810" s="33">
        <f t="shared" si="259"/>
        <v>2.59669987463589E-2</v>
      </c>
    </row>
    <row r="2811" spans="19:24" x14ac:dyDescent="0.25">
      <c r="S2811" s="44">
        <f t="shared" si="263"/>
        <v>45861</v>
      </c>
      <c r="T2811" s="12">
        <f t="shared" si="264"/>
        <v>3.5263560423711082</v>
      </c>
      <c r="U2811" s="12">
        <f t="shared" si="257"/>
        <v>3.4489341807320746</v>
      </c>
      <c r="V2811" s="30">
        <f t="shared" si="258"/>
        <v>0.42711561643835616</v>
      </c>
      <c r="W2811" s="46">
        <f t="shared" si="265"/>
        <v>-3.5263560423711079E-2</v>
      </c>
      <c r="X2811" s="33">
        <f t="shared" si="259"/>
        <v>2.5966957234085958E-2</v>
      </c>
    </row>
    <row r="2812" spans="19:24" x14ac:dyDescent="0.25">
      <c r="S2812" s="44">
        <f t="shared" si="263"/>
        <v>45862</v>
      </c>
      <c r="T2812" s="12">
        <f t="shared" si="264"/>
        <v>3.5236789600695664</v>
      </c>
      <c r="U2812" s="12">
        <f t="shared" si="257"/>
        <v>3.4462830040072845</v>
      </c>
      <c r="V2812" s="30">
        <f t="shared" si="258"/>
        <v>0.42708821917808215</v>
      </c>
      <c r="W2812" s="46">
        <f t="shared" si="265"/>
        <v>-3.5236789600695657E-2</v>
      </c>
      <c r="X2812" s="33">
        <f t="shared" si="259"/>
        <v>2.5966915721813012E-2</v>
      </c>
    </row>
    <row r="2813" spans="19:24" x14ac:dyDescent="0.25">
      <c r="S2813" s="44">
        <f t="shared" si="263"/>
        <v>45863</v>
      </c>
      <c r="T2813" s="12">
        <f t="shared" si="264"/>
        <v>3.5210018777680259</v>
      </c>
      <c r="U2813" s="12">
        <f t="shared" si="257"/>
        <v>3.4436318272824944</v>
      </c>
      <c r="V2813" s="30">
        <f t="shared" si="258"/>
        <v>0.4270608219178082</v>
      </c>
      <c r="W2813" s="46">
        <f t="shared" si="265"/>
        <v>-3.5210018777680256E-2</v>
      </c>
      <c r="X2813" s="33">
        <f t="shared" si="259"/>
        <v>2.596687420954007E-2</v>
      </c>
    </row>
    <row r="2814" spans="19:24" x14ac:dyDescent="0.25">
      <c r="S2814" s="44">
        <f t="shared" si="263"/>
        <v>45864</v>
      </c>
      <c r="T2814" s="12">
        <f t="shared" si="264"/>
        <v>3.5183247954664845</v>
      </c>
      <c r="U2814" s="12">
        <f t="shared" si="257"/>
        <v>3.4409806505577056</v>
      </c>
      <c r="V2814" s="30">
        <f t="shared" si="258"/>
        <v>0.42703342465753424</v>
      </c>
      <c r="W2814" s="46">
        <f t="shared" si="265"/>
        <v>-3.5183247954664841E-2</v>
      </c>
      <c r="X2814" s="33">
        <f t="shared" si="259"/>
        <v>2.5966832697267128E-2</v>
      </c>
    </row>
    <row r="2815" spans="19:24" x14ac:dyDescent="0.25">
      <c r="S2815" s="44">
        <f t="shared" si="263"/>
        <v>45865</v>
      </c>
      <c r="T2815" s="12">
        <f t="shared" si="264"/>
        <v>3.5156477131649431</v>
      </c>
      <c r="U2815" s="12">
        <f t="shared" si="257"/>
        <v>3.4383294738329169</v>
      </c>
      <c r="V2815" s="30">
        <f t="shared" si="258"/>
        <v>0.42700602739726023</v>
      </c>
      <c r="W2815" s="46">
        <f t="shared" si="265"/>
        <v>-3.5156477131649426E-2</v>
      </c>
      <c r="X2815" s="33">
        <f t="shared" si="259"/>
        <v>2.5966791184994179E-2</v>
      </c>
    </row>
    <row r="2816" spans="19:24" x14ac:dyDescent="0.25">
      <c r="S2816" s="44">
        <f t="shared" si="263"/>
        <v>45866</v>
      </c>
      <c r="T2816" s="12">
        <f t="shared" si="264"/>
        <v>3.5129706308634026</v>
      </c>
      <c r="U2816" s="12">
        <f t="shared" si="257"/>
        <v>3.4356782971081277</v>
      </c>
      <c r="V2816" s="30">
        <f t="shared" si="258"/>
        <v>0.42697863013698628</v>
      </c>
      <c r="W2816" s="46">
        <f t="shared" si="265"/>
        <v>-3.5129706308634018E-2</v>
      </c>
      <c r="X2816" s="33">
        <f t="shared" si="259"/>
        <v>2.5966749672721234E-2</v>
      </c>
    </row>
    <row r="2817" spans="19:24" x14ac:dyDescent="0.25">
      <c r="S2817" s="44">
        <f t="shared" si="263"/>
        <v>45867</v>
      </c>
      <c r="T2817" s="12">
        <f t="shared" si="264"/>
        <v>3.5102935485618612</v>
      </c>
      <c r="U2817" s="12">
        <f t="shared" si="257"/>
        <v>3.4330271203833385</v>
      </c>
      <c r="V2817" s="30">
        <f t="shared" si="258"/>
        <v>0.42695123287671233</v>
      </c>
      <c r="W2817" s="46">
        <f t="shared" si="265"/>
        <v>-3.510293548561861E-2</v>
      </c>
      <c r="X2817" s="33">
        <f t="shared" si="259"/>
        <v>2.5966708160448295E-2</v>
      </c>
    </row>
    <row r="2818" spans="19:24" x14ac:dyDescent="0.25">
      <c r="S2818" s="44">
        <f t="shared" si="263"/>
        <v>45868</v>
      </c>
      <c r="T2818" s="12">
        <f t="shared" si="264"/>
        <v>3.5076164662603202</v>
      </c>
      <c r="U2818" s="12">
        <f t="shared" si="257"/>
        <v>3.4303759436585488</v>
      </c>
      <c r="V2818" s="30">
        <f t="shared" si="258"/>
        <v>0.42692383561643832</v>
      </c>
      <c r="W2818" s="46">
        <f t="shared" si="265"/>
        <v>-3.5076164662603194E-2</v>
      </c>
      <c r="X2818" s="33">
        <f t="shared" si="259"/>
        <v>2.596666664817535E-2</v>
      </c>
    </row>
    <row r="2819" spans="19:24" x14ac:dyDescent="0.25">
      <c r="S2819" s="44">
        <f t="shared" si="263"/>
        <v>45869</v>
      </c>
      <c r="T2819" s="12">
        <f t="shared" si="264"/>
        <v>3.5049393839587779</v>
      </c>
      <c r="U2819" s="12">
        <f t="shared" si="257"/>
        <v>3.4277247669337592</v>
      </c>
      <c r="V2819" s="30">
        <f t="shared" si="258"/>
        <v>0.42689643835616442</v>
      </c>
      <c r="W2819" s="46">
        <f t="shared" si="265"/>
        <v>-3.5049393839587772E-2</v>
      </c>
      <c r="X2819" s="33">
        <f t="shared" si="259"/>
        <v>2.5966625135902411E-2</v>
      </c>
    </row>
    <row r="2820" spans="19:24" x14ac:dyDescent="0.25">
      <c r="S2820" s="44">
        <f t="shared" si="263"/>
        <v>45870</v>
      </c>
      <c r="T2820" s="12">
        <f t="shared" si="264"/>
        <v>3.502262301657237</v>
      </c>
      <c r="U2820" s="12">
        <f t="shared" si="257"/>
        <v>3.4250735902089704</v>
      </c>
      <c r="V2820" s="30">
        <f t="shared" si="258"/>
        <v>0.42686904109589041</v>
      </c>
      <c r="W2820" s="46">
        <f t="shared" si="265"/>
        <v>-3.5022623016572364E-2</v>
      </c>
      <c r="X2820" s="33">
        <f t="shared" si="259"/>
        <v>2.5966583623629459E-2</v>
      </c>
    </row>
    <row r="2821" spans="19:24" x14ac:dyDescent="0.25">
      <c r="S2821" s="44">
        <f t="shared" si="263"/>
        <v>45871</v>
      </c>
      <c r="T2821" s="12">
        <f t="shared" si="264"/>
        <v>3.4995852193556969</v>
      </c>
      <c r="U2821" s="12">
        <f t="shared" ref="U2821:U2884" si="266">DurMod($S2821,$B$2,$F$7:$G$37,U$3)</f>
        <v>3.4224224134841799</v>
      </c>
      <c r="V2821" s="30">
        <f t="shared" ref="V2821:V2884" si="267">+$U$3*($S$5512-S2821)/365+$T$3*(S2821-$S$4)/365</f>
        <v>0.4268416438356164</v>
      </c>
      <c r="W2821" s="46">
        <f t="shared" si="265"/>
        <v>-3.4995852193556963E-2</v>
      </c>
      <c r="X2821" s="33">
        <f t="shared" ref="X2821:X2884" si="268">+(V2821+W2821)*365/($S$5512-$S$4)</f>
        <v>2.5966542111356516E-2</v>
      </c>
    </row>
    <row r="2822" spans="19:24" x14ac:dyDescent="0.25">
      <c r="S2822" s="44">
        <f t="shared" si="263"/>
        <v>45872</v>
      </c>
      <c r="T2822" s="12">
        <f t="shared" si="264"/>
        <v>3.496908137054155</v>
      </c>
      <c r="U2822" s="12">
        <f t="shared" si="266"/>
        <v>3.419771236759392</v>
      </c>
      <c r="V2822" s="30">
        <f t="shared" si="267"/>
        <v>0.4268142465753425</v>
      </c>
      <c r="W2822" s="46">
        <f t="shared" si="265"/>
        <v>-3.4969081370541548E-2</v>
      </c>
      <c r="X2822" s="33">
        <f t="shared" si="268"/>
        <v>2.5966500599083578E-2</v>
      </c>
    </row>
    <row r="2823" spans="19:24" x14ac:dyDescent="0.25">
      <c r="S2823" s="44">
        <f t="shared" si="263"/>
        <v>45873</v>
      </c>
      <c r="T2823" s="12">
        <f t="shared" si="264"/>
        <v>3.4942310547526132</v>
      </c>
      <c r="U2823" s="12">
        <f t="shared" si="266"/>
        <v>3.417120060034601</v>
      </c>
      <c r="V2823" s="30">
        <f t="shared" si="267"/>
        <v>0.42678684931506849</v>
      </c>
      <c r="W2823" s="46">
        <f t="shared" si="265"/>
        <v>-3.4942310547526126E-2</v>
      </c>
      <c r="X2823" s="33">
        <f t="shared" si="268"/>
        <v>2.5966459086810636E-2</v>
      </c>
    </row>
    <row r="2824" spans="19:24" x14ac:dyDescent="0.25">
      <c r="S2824" s="44">
        <f t="shared" si="263"/>
        <v>45874</v>
      </c>
      <c r="T2824" s="12">
        <f t="shared" si="264"/>
        <v>3.4915539724510718</v>
      </c>
      <c r="U2824" s="12">
        <f t="shared" si="266"/>
        <v>3.4144688833098127</v>
      </c>
      <c r="V2824" s="30">
        <f t="shared" si="267"/>
        <v>0.42675945205479454</v>
      </c>
      <c r="W2824" s="46">
        <f t="shared" si="265"/>
        <v>-3.4915539724510711E-2</v>
      </c>
      <c r="X2824" s="33">
        <f t="shared" si="268"/>
        <v>2.5966417574537687E-2</v>
      </c>
    </row>
    <row r="2825" spans="19:24" x14ac:dyDescent="0.25">
      <c r="S2825" s="44">
        <f t="shared" si="263"/>
        <v>45875</v>
      </c>
      <c r="T2825" s="12">
        <f t="shared" si="264"/>
        <v>3.4888768901495308</v>
      </c>
      <c r="U2825" s="12">
        <f t="shared" si="266"/>
        <v>3.4118177065850239</v>
      </c>
      <c r="V2825" s="30">
        <f t="shared" si="267"/>
        <v>0.42673205479452059</v>
      </c>
      <c r="W2825" s="46">
        <f t="shared" si="265"/>
        <v>-3.4888768901495303E-2</v>
      </c>
      <c r="X2825" s="33">
        <f t="shared" si="268"/>
        <v>2.5966376062264752E-2</v>
      </c>
    </row>
    <row r="2826" spans="19:24" x14ac:dyDescent="0.25">
      <c r="S2826" s="44">
        <f t="shared" si="263"/>
        <v>45876</v>
      </c>
      <c r="T2826" s="12">
        <f t="shared" si="264"/>
        <v>3.4861998078479908</v>
      </c>
      <c r="U2826" s="12">
        <f t="shared" si="266"/>
        <v>3.4091665298602347</v>
      </c>
      <c r="V2826" s="30">
        <f t="shared" si="267"/>
        <v>0.42670465753424658</v>
      </c>
      <c r="W2826" s="46">
        <f t="shared" si="265"/>
        <v>-3.4861998078479901E-2</v>
      </c>
      <c r="X2826" s="33">
        <f t="shared" si="268"/>
        <v>2.5966334549991803E-2</v>
      </c>
    </row>
    <row r="2827" spans="19:24" x14ac:dyDescent="0.25">
      <c r="S2827" s="44">
        <f t="shared" si="263"/>
        <v>45877</v>
      </c>
      <c r="T2827" s="12">
        <f t="shared" si="264"/>
        <v>3.4835227255464494</v>
      </c>
      <c r="U2827" s="12">
        <f t="shared" si="266"/>
        <v>3.4065153531354442</v>
      </c>
      <c r="V2827" s="30">
        <f t="shared" si="267"/>
        <v>0.42667726027397257</v>
      </c>
      <c r="W2827" s="46">
        <f t="shared" si="265"/>
        <v>-3.4835227255464486E-2</v>
      </c>
      <c r="X2827" s="33">
        <f t="shared" si="268"/>
        <v>2.596629303771885E-2</v>
      </c>
    </row>
    <row r="2828" spans="19:24" x14ac:dyDescent="0.25">
      <c r="S2828" s="44">
        <f t="shared" si="263"/>
        <v>45878</v>
      </c>
      <c r="T2828" s="12">
        <f t="shared" si="264"/>
        <v>3.4808456432449075</v>
      </c>
      <c r="U2828" s="12">
        <f t="shared" si="266"/>
        <v>3.4038641764106559</v>
      </c>
      <c r="V2828" s="30">
        <f t="shared" si="267"/>
        <v>0.42664986301369867</v>
      </c>
      <c r="W2828" s="46">
        <f t="shared" si="265"/>
        <v>-3.4808456432449071E-2</v>
      </c>
      <c r="X2828" s="33">
        <f t="shared" si="268"/>
        <v>2.5966251525445915E-2</v>
      </c>
    </row>
    <row r="2829" spans="19:24" x14ac:dyDescent="0.25">
      <c r="S2829" s="44">
        <f t="shared" si="263"/>
        <v>45879</v>
      </c>
      <c r="T2829" s="12">
        <f t="shared" si="264"/>
        <v>3.4781685609433661</v>
      </c>
      <c r="U2829" s="12">
        <f t="shared" si="266"/>
        <v>3.4012129996858667</v>
      </c>
      <c r="V2829" s="30">
        <f t="shared" si="267"/>
        <v>0.42662246575342466</v>
      </c>
      <c r="W2829" s="46">
        <f t="shared" si="265"/>
        <v>-3.4781685609433656E-2</v>
      </c>
      <c r="X2829" s="33">
        <f t="shared" si="268"/>
        <v>2.5966210013172966E-2</v>
      </c>
    </row>
    <row r="2830" spans="19:24" x14ac:dyDescent="0.25">
      <c r="S2830" s="44">
        <f t="shared" si="263"/>
        <v>45880</v>
      </c>
      <c r="T2830" s="12">
        <f t="shared" si="264"/>
        <v>3.4754914786418252</v>
      </c>
      <c r="U2830" s="12">
        <f t="shared" si="266"/>
        <v>3.3985618229610766</v>
      </c>
      <c r="V2830" s="30">
        <f t="shared" si="267"/>
        <v>0.42659506849315065</v>
      </c>
      <c r="W2830" s="46">
        <f t="shared" si="265"/>
        <v>-3.4754914786418248E-2</v>
      </c>
      <c r="X2830" s="33">
        <f t="shared" si="268"/>
        <v>2.5966168500900024E-2</v>
      </c>
    </row>
    <row r="2831" spans="19:24" x14ac:dyDescent="0.25">
      <c r="S2831" s="44">
        <f t="shared" si="263"/>
        <v>45881</v>
      </c>
      <c r="T2831" s="12">
        <f t="shared" si="264"/>
        <v>3.4728143963402847</v>
      </c>
      <c r="U2831" s="12">
        <f t="shared" si="266"/>
        <v>3.3959106462362878</v>
      </c>
      <c r="V2831" s="30">
        <f t="shared" si="267"/>
        <v>0.42656767123287676</v>
      </c>
      <c r="W2831" s="46">
        <f t="shared" si="265"/>
        <v>-3.472814396340284E-2</v>
      </c>
      <c r="X2831" s="33">
        <f t="shared" si="268"/>
        <v>2.5966126988627082E-2</v>
      </c>
    </row>
    <row r="2832" spans="19:24" x14ac:dyDescent="0.25">
      <c r="S2832" s="44">
        <f t="shared" si="263"/>
        <v>45882</v>
      </c>
      <c r="T2832" s="12">
        <f t="shared" si="264"/>
        <v>3.4701373140387433</v>
      </c>
      <c r="U2832" s="12">
        <f t="shared" si="266"/>
        <v>3.3932594695114986</v>
      </c>
      <c r="V2832" s="30">
        <f t="shared" si="267"/>
        <v>0.42654027397260275</v>
      </c>
      <c r="W2832" s="46">
        <f t="shared" si="265"/>
        <v>-3.4701373140387425E-2</v>
      </c>
      <c r="X2832" s="33">
        <f t="shared" si="268"/>
        <v>2.596608547635414E-2</v>
      </c>
    </row>
    <row r="2833" spans="19:24" x14ac:dyDescent="0.25">
      <c r="S2833" s="44">
        <f t="shared" si="263"/>
        <v>45883</v>
      </c>
      <c r="T2833" s="12">
        <f t="shared" si="264"/>
        <v>3.4674602317372014</v>
      </c>
      <c r="U2833" s="12">
        <f t="shared" si="266"/>
        <v>3.3906082927867094</v>
      </c>
      <c r="V2833" s="30">
        <f t="shared" si="267"/>
        <v>0.42651287671232874</v>
      </c>
      <c r="W2833" s="46">
        <f t="shared" si="265"/>
        <v>-3.4674602317372009E-2</v>
      </c>
      <c r="X2833" s="33">
        <f t="shared" si="268"/>
        <v>2.5966043964081195E-2</v>
      </c>
    </row>
    <row r="2834" spans="19:24" x14ac:dyDescent="0.25">
      <c r="S2834" s="44">
        <f t="shared" si="263"/>
        <v>45884</v>
      </c>
      <c r="T2834" s="12">
        <f t="shared" si="264"/>
        <v>3.4647831494356609</v>
      </c>
      <c r="U2834" s="12">
        <f t="shared" si="266"/>
        <v>3.3879571160619202</v>
      </c>
      <c r="V2834" s="30">
        <f t="shared" si="267"/>
        <v>0.42648547945205484</v>
      </c>
      <c r="W2834" s="46">
        <f t="shared" si="265"/>
        <v>-3.4647831494356601E-2</v>
      </c>
      <c r="X2834" s="33">
        <f t="shared" si="268"/>
        <v>2.5966002451808256E-2</v>
      </c>
    </row>
    <row r="2835" spans="19:24" x14ac:dyDescent="0.25">
      <c r="S2835" s="44">
        <f t="shared" si="263"/>
        <v>45885</v>
      </c>
      <c r="T2835" s="12">
        <f t="shared" si="264"/>
        <v>3.4621060671341199</v>
      </c>
      <c r="U2835" s="12">
        <f t="shared" si="266"/>
        <v>3.385305939337131</v>
      </c>
      <c r="V2835" s="30">
        <f t="shared" si="267"/>
        <v>0.42645808219178083</v>
      </c>
      <c r="W2835" s="46">
        <f t="shared" si="265"/>
        <v>-3.4621060671341193E-2</v>
      </c>
      <c r="X2835" s="33">
        <f t="shared" si="268"/>
        <v>2.5965960939535303E-2</v>
      </c>
    </row>
    <row r="2836" spans="19:24" x14ac:dyDescent="0.25">
      <c r="S2836" s="44">
        <f t="shared" si="263"/>
        <v>45886</v>
      </c>
      <c r="T2836" s="12">
        <f t="shared" si="264"/>
        <v>3.4594289848325777</v>
      </c>
      <c r="U2836" s="12">
        <f t="shared" si="266"/>
        <v>3.38265476261234</v>
      </c>
      <c r="V2836" s="30">
        <f t="shared" si="267"/>
        <v>0.42643068493150682</v>
      </c>
      <c r="W2836" s="46">
        <f t="shared" si="265"/>
        <v>-3.4594289848325771E-2</v>
      </c>
      <c r="X2836" s="33">
        <f t="shared" si="268"/>
        <v>2.5965919427262358E-2</v>
      </c>
    </row>
    <row r="2837" spans="19:24" x14ac:dyDescent="0.25">
      <c r="S2837" s="44">
        <f t="shared" si="263"/>
        <v>45887</v>
      </c>
      <c r="T2837" s="12">
        <f t="shared" si="264"/>
        <v>3.4567519025310367</v>
      </c>
      <c r="U2837" s="12">
        <f t="shared" si="266"/>
        <v>3.3800035858875521</v>
      </c>
      <c r="V2837" s="30">
        <f t="shared" si="267"/>
        <v>0.42640328767123292</v>
      </c>
      <c r="W2837" s="46">
        <f t="shared" si="265"/>
        <v>-3.4567519025310363E-2</v>
      </c>
      <c r="X2837" s="33">
        <f t="shared" si="268"/>
        <v>2.5965877914989419E-2</v>
      </c>
    </row>
    <row r="2838" spans="19:24" x14ac:dyDescent="0.25">
      <c r="S2838" s="44">
        <f t="shared" si="263"/>
        <v>45888</v>
      </c>
      <c r="T2838" s="12">
        <f t="shared" si="264"/>
        <v>3.4540748202294957</v>
      </c>
      <c r="U2838" s="12">
        <f t="shared" si="266"/>
        <v>3.3773524091627629</v>
      </c>
      <c r="V2838" s="30">
        <f t="shared" si="267"/>
        <v>0.42637589041095891</v>
      </c>
      <c r="W2838" s="46">
        <f t="shared" si="265"/>
        <v>-3.4540748202294955E-2</v>
      </c>
      <c r="X2838" s="33">
        <f t="shared" si="268"/>
        <v>2.5965836402716474E-2</v>
      </c>
    </row>
    <row r="2839" spans="19:24" x14ac:dyDescent="0.25">
      <c r="S2839" s="44">
        <f t="shared" si="263"/>
        <v>45889</v>
      </c>
      <c r="T2839" s="12">
        <f t="shared" si="264"/>
        <v>3.4513977379279543</v>
      </c>
      <c r="U2839" s="12">
        <f t="shared" si="266"/>
        <v>3.3747012324379733</v>
      </c>
      <c r="V2839" s="30">
        <f t="shared" si="267"/>
        <v>0.4263484931506849</v>
      </c>
      <c r="W2839" s="46">
        <f t="shared" si="265"/>
        <v>-3.451397737927954E-2</v>
      </c>
      <c r="X2839" s="33">
        <f t="shared" si="268"/>
        <v>2.5965794890443532E-2</v>
      </c>
    </row>
    <row r="2840" spans="19:24" x14ac:dyDescent="0.25">
      <c r="S2840" s="44">
        <f t="shared" si="263"/>
        <v>45890</v>
      </c>
      <c r="T2840" s="12">
        <f t="shared" si="264"/>
        <v>3.4487206556264134</v>
      </c>
      <c r="U2840" s="12">
        <f t="shared" si="266"/>
        <v>3.3720500557131845</v>
      </c>
      <c r="V2840" s="30">
        <f t="shared" si="267"/>
        <v>0.42632109589041101</v>
      </c>
      <c r="W2840" s="46">
        <f t="shared" si="265"/>
        <v>-3.4487206556264131E-2</v>
      </c>
      <c r="X2840" s="33">
        <f t="shared" si="268"/>
        <v>2.596575337817059E-2</v>
      </c>
    </row>
    <row r="2841" spans="19:24" x14ac:dyDescent="0.25">
      <c r="S2841" s="44">
        <f t="shared" si="263"/>
        <v>45891</v>
      </c>
      <c r="T2841" s="12">
        <f t="shared" si="264"/>
        <v>3.4460435733248729</v>
      </c>
      <c r="U2841" s="12">
        <f t="shared" si="266"/>
        <v>3.3693988789883953</v>
      </c>
      <c r="V2841" s="30">
        <f t="shared" si="267"/>
        <v>0.426293698630137</v>
      </c>
      <c r="W2841" s="46">
        <f t="shared" si="265"/>
        <v>-3.4460435733248723E-2</v>
      </c>
      <c r="X2841" s="33">
        <f t="shared" si="268"/>
        <v>2.5965711865897641E-2</v>
      </c>
    </row>
    <row r="2842" spans="19:24" x14ac:dyDescent="0.25">
      <c r="S2842" s="44">
        <f t="shared" si="263"/>
        <v>45892</v>
      </c>
      <c r="T2842" s="12">
        <f t="shared" si="264"/>
        <v>3.443366491023331</v>
      </c>
      <c r="U2842" s="12">
        <f t="shared" si="266"/>
        <v>3.3667477022636052</v>
      </c>
      <c r="V2842" s="30">
        <f t="shared" si="267"/>
        <v>0.42626630136986299</v>
      </c>
      <c r="W2842" s="46">
        <f t="shared" si="265"/>
        <v>-3.4433664910233308E-2</v>
      </c>
      <c r="X2842" s="33">
        <f t="shared" si="268"/>
        <v>2.5965670353624695E-2</v>
      </c>
    </row>
    <row r="2843" spans="19:24" x14ac:dyDescent="0.25">
      <c r="S2843" s="44">
        <f t="shared" si="263"/>
        <v>45893</v>
      </c>
      <c r="T2843" s="12">
        <f t="shared" si="264"/>
        <v>3.4406894087217905</v>
      </c>
      <c r="U2843" s="12">
        <f t="shared" si="266"/>
        <v>3.364096525538816</v>
      </c>
      <c r="V2843" s="30">
        <f t="shared" si="267"/>
        <v>0.42623890410958903</v>
      </c>
      <c r="W2843" s="46">
        <f t="shared" si="265"/>
        <v>-3.44068940872179E-2</v>
      </c>
      <c r="X2843" s="33">
        <f t="shared" si="268"/>
        <v>2.5965628841351753E-2</v>
      </c>
    </row>
    <row r="2844" spans="19:24" x14ac:dyDescent="0.25">
      <c r="S2844" s="44">
        <f t="shared" si="263"/>
        <v>45894</v>
      </c>
      <c r="T2844" s="12">
        <f t="shared" si="264"/>
        <v>3.4380123264202491</v>
      </c>
      <c r="U2844" s="12">
        <f t="shared" si="266"/>
        <v>3.3614453488140281</v>
      </c>
      <c r="V2844" s="30">
        <f t="shared" si="267"/>
        <v>0.42621150684931508</v>
      </c>
      <c r="W2844" s="46">
        <f t="shared" si="265"/>
        <v>-3.4380123264202485E-2</v>
      </c>
      <c r="X2844" s="33">
        <f t="shared" si="268"/>
        <v>2.5965587329078811E-2</v>
      </c>
    </row>
    <row r="2845" spans="19:24" x14ac:dyDescent="0.25">
      <c r="S2845" s="44">
        <f t="shared" si="263"/>
        <v>45895</v>
      </c>
      <c r="T2845" s="12">
        <f t="shared" si="264"/>
        <v>3.4353352441187068</v>
      </c>
      <c r="U2845" s="12">
        <f t="shared" si="266"/>
        <v>3.3587941720892376</v>
      </c>
      <c r="V2845" s="30">
        <f t="shared" si="267"/>
        <v>0.42618410958904107</v>
      </c>
      <c r="W2845" s="46">
        <f t="shared" si="265"/>
        <v>-3.4353352441187063E-2</v>
      </c>
      <c r="X2845" s="33">
        <f t="shared" si="268"/>
        <v>2.5965545816805866E-2</v>
      </c>
    </row>
    <row r="2846" spans="19:24" x14ac:dyDescent="0.25">
      <c r="S2846" s="44">
        <f t="shared" si="263"/>
        <v>45896</v>
      </c>
      <c r="T2846" s="12">
        <f t="shared" si="264"/>
        <v>3.4326581618171663</v>
      </c>
      <c r="U2846" s="12">
        <f t="shared" si="266"/>
        <v>3.356142995364447</v>
      </c>
      <c r="V2846" s="30">
        <f t="shared" si="267"/>
        <v>0.42615671232876717</v>
      </c>
      <c r="W2846" s="46">
        <f t="shared" si="265"/>
        <v>-3.4326581618171655E-2</v>
      </c>
      <c r="X2846" s="33">
        <f t="shared" si="268"/>
        <v>2.5965504304532927E-2</v>
      </c>
    </row>
    <row r="2847" spans="19:24" x14ac:dyDescent="0.25">
      <c r="S2847" s="44">
        <f t="shared" si="263"/>
        <v>45897</v>
      </c>
      <c r="T2847" s="12">
        <f t="shared" si="264"/>
        <v>3.4299810795156254</v>
      </c>
      <c r="U2847" s="12">
        <f t="shared" si="266"/>
        <v>3.3534918186396601</v>
      </c>
      <c r="V2847" s="30">
        <f t="shared" si="267"/>
        <v>0.42612931506849316</v>
      </c>
      <c r="W2847" s="46">
        <f t="shared" si="265"/>
        <v>-3.4299810795156246E-2</v>
      </c>
      <c r="X2847" s="33">
        <f t="shared" si="268"/>
        <v>2.5965462792259981E-2</v>
      </c>
    </row>
    <row r="2848" spans="19:24" x14ac:dyDescent="0.25">
      <c r="S2848" s="44">
        <f t="shared" si="263"/>
        <v>45898</v>
      </c>
      <c r="T2848" s="12">
        <f t="shared" si="264"/>
        <v>3.4273039972140835</v>
      </c>
      <c r="U2848" s="12">
        <f t="shared" si="266"/>
        <v>3.35084064191487</v>
      </c>
      <c r="V2848" s="30">
        <f t="shared" si="267"/>
        <v>0.42610191780821915</v>
      </c>
      <c r="W2848" s="46">
        <f t="shared" si="265"/>
        <v>-3.4273039972140831E-2</v>
      </c>
      <c r="X2848" s="33">
        <f t="shared" si="268"/>
        <v>2.5965421279987039E-2</v>
      </c>
    </row>
    <row r="2849" spans="19:24" x14ac:dyDescent="0.25">
      <c r="S2849" s="44">
        <f t="shared" si="263"/>
        <v>45899</v>
      </c>
      <c r="T2849" s="12">
        <f t="shared" si="264"/>
        <v>3.4246269149125435</v>
      </c>
      <c r="U2849" s="12">
        <f t="shared" si="266"/>
        <v>3.3481894651900808</v>
      </c>
      <c r="V2849" s="30">
        <f t="shared" si="267"/>
        <v>0.4260745205479452</v>
      </c>
      <c r="W2849" s="46">
        <f t="shared" si="265"/>
        <v>-3.424626914912543E-2</v>
      </c>
      <c r="X2849" s="33">
        <f t="shared" si="268"/>
        <v>2.596537976771409E-2</v>
      </c>
    </row>
    <row r="2850" spans="19:24" x14ac:dyDescent="0.25">
      <c r="S2850" s="44">
        <f t="shared" si="263"/>
        <v>45900</v>
      </c>
      <c r="T2850" s="12">
        <f t="shared" si="264"/>
        <v>3.4219498326110021</v>
      </c>
      <c r="U2850" s="12">
        <f t="shared" si="266"/>
        <v>3.345538288465292</v>
      </c>
      <c r="V2850" s="30">
        <f t="shared" si="267"/>
        <v>0.42604712328767125</v>
      </c>
      <c r="W2850" s="46">
        <f t="shared" si="265"/>
        <v>-3.4219498326110015E-2</v>
      </c>
      <c r="X2850" s="33">
        <f t="shared" si="268"/>
        <v>2.5965338255441148E-2</v>
      </c>
    </row>
    <row r="2851" spans="19:24" x14ac:dyDescent="0.25">
      <c r="S2851" s="44">
        <f t="shared" si="263"/>
        <v>45901</v>
      </c>
      <c r="T2851" s="12">
        <f t="shared" si="264"/>
        <v>3.4192727503094602</v>
      </c>
      <c r="U2851" s="12">
        <f t="shared" si="266"/>
        <v>3.3428871117405019</v>
      </c>
      <c r="V2851" s="30">
        <f t="shared" si="267"/>
        <v>0.42601972602739724</v>
      </c>
      <c r="W2851" s="46">
        <f t="shared" si="265"/>
        <v>-3.41927275030946E-2</v>
      </c>
      <c r="X2851" s="33">
        <f t="shared" si="268"/>
        <v>2.5965296743168203E-2</v>
      </c>
    </row>
    <row r="2852" spans="19:24" x14ac:dyDescent="0.25">
      <c r="S2852" s="44">
        <f t="shared" si="263"/>
        <v>45902</v>
      </c>
      <c r="T2852" s="12">
        <f t="shared" si="264"/>
        <v>3.4165956680079188</v>
      </c>
      <c r="U2852" s="12">
        <f t="shared" si="266"/>
        <v>3.3402359350157136</v>
      </c>
      <c r="V2852" s="30">
        <f t="shared" si="267"/>
        <v>0.42599232876712328</v>
      </c>
      <c r="W2852" s="46">
        <f t="shared" si="265"/>
        <v>-3.4165956680079185E-2</v>
      </c>
      <c r="X2852" s="33">
        <f t="shared" si="268"/>
        <v>2.5965255230895261E-2</v>
      </c>
    </row>
    <row r="2853" spans="19:24" x14ac:dyDescent="0.25">
      <c r="S2853" s="44">
        <f t="shared" si="263"/>
        <v>45903</v>
      </c>
      <c r="T2853" s="12">
        <f t="shared" si="264"/>
        <v>3.4139185857063787</v>
      </c>
      <c r="U2853" s="12">
        <f t="shared" si="266"/>
        <v>3.337584758290923</v>
      </c>
      <c r="V2853" s="30">
        <f t="shared" si="267"/>
        <v>0.42596493150684933</v>
      </c>
      <c r="W2853" s="46">
        <f t="shared" si="265"/>
        <v>-3.4139185857063784E-2</v>
      </c>
      <c r="X2853" s="33">
        <f t="shared" si="268"/>
        <v>2.5965213718622319E-2</v>
      </c>
    </row>
    <row r="2854" spans="19:24" x14ac:dyDescent="0.25">
      <c r="S2854" s="44">
        <f t="shared" si="263"/>
        <v>45904</v>
      </c>
      <c r="T2854" s="12">
        <f t="shared" si="264"/>
        <v>3.411241503404836</v>
      </c>
      <c r="U2854" s="12">
        <f t="shared" si="266"/>
        <v>3.3349335815661334</v>
      </c>
      <c r="V2854" s="30">
        <f t="shared" si="267"/>
        <v>0.42593753424657532</v>
      </c>
      <c r="W2854" s="46">
        <f t="shared" si="265"/>
        <v>-3.4112415034048355E-2</v>
      </c>
      <c r="X2854" s="33">
        <f t="shared" si="268"/>
        <v>2.596517220634937E-2</v>
      </c>
    </row>
    <row r="2855" spans="19:24" x14ac:dyDescent="0.25">
      <c r="S2855" s="44">
        <f t="shared" si="263"/>
        <v>45905</v>
      </c>
      <c r="T2855" s="12">
        <f t="shared" si="264"/>
        <v>3.4085644211032959</v>
      </c>
      <c r="U2855" s="12">
        <f t="shared" si="266"/>
        <v>3.3322824048413455</v>
      </c>
      <c r="V2855" s="30">
        <f t="shared" si="267"/>
        <v>0.42591013698630142</v>
      </c>
      <c r="W2855" s="46">
        <f t="shared" si="265"/>
        <v>-3.4085644211032953E-2</v>
      </c>
      <c r="X2855" s="33">
        <f t="shared" si="268"/>
        <v>2.5965130694076435E-2</v>
      </c>
    </row>
    <row r="2856" spans="19:24" x14ac:dyDescent="0.25">
      <c r="S2856" s="44">
        <f t="shared" si="263"/>
        <v>45906</v>
      </c>
      <c r="T2856" s="12">
        <f t="shared" si="264"/>
        <v>3.4058873388017554</v>
      </c>
      <c r="U2856" s="12">
        <f t="shared" si="266"/>
        <v>3.3296312281165559</v>
      </c>
      <c r="V2856" s="30">
        <f t="shared" si="267"/>
        <v>0.42588273972602742</v>
      </c>
      <c r="W2856" s="46">
        <f t="shared" si="265"/>
        <v>-3.4058873388017552E-2</v>
      </c>
      <c r="X2856" s="33">
        <f t="shared" si="268"/>
        <v>2.5965089181803486E-2</v>
      </c>
    </row>
    <row r="2857" spans="19:24" x14ac:dyDescent="0.25">
      <c r="S2857" s="44">
        <f t="shared" si="263"/>
        <v>45907</v>
      </c>
      <c r="T2857" s="12">
        <f t="shared" si="264"/>
        <v>3.4032102565002127</v>
      </c>
      <c r="U2857" s="12">
        <f t="shared" si="266"/>
        <v>3.3269800513917653</v>
      </c>
      <c r="V2857" s="30">
        <f t="shared" si="267"/>
        <v>0.42585534246575341</v>
      </c>
      <c r="W2857" s="46">
        <f t="shared" si="265"/>
        <v>-3.4032102565002123E-2</v>
      </c>
      <c r="X2857" s="33">
        <f t="shared" si="268"/>
        <v>2.596504766953054E-2</v>
      </c>
    </row>
    <row r="2858" spans="19:24" x14ac:dyDescent="0.25">
      <c r="S2858" s="44">
        <f t="shared" si="263"/>
        <v>45908</v>
      </c>
      <c r="T2858" s="12">
        <f t="shared" si="264"/>
        <v>3.4005331741986726</v>
      </c>
      <c r="U2858" s="12">
        <f t="shared" si="266"/>
        <v>3.324328874666977</v>
      </c>
      <c r="V2858" s="30">
        <f t="shared" si="267"/>
        <v>0.42582794520547945</v>
      </c>
      <c r="W2858" s="46">
        <f t="shared" si="265"/>
        <v>-3.4005331741986722E-2</v>
      </c>
      <c r="X2858" s="33">
        <f t="shared" si="268"/>
        <v>2.5965006157257598E-2</v>
      </c>
    </row>
    <row r="2859" spans="19:24" x14ac:dyDescent="0.25">
      <c r="S2859" s="44">
        <f t="shared" si="263"/>
        <v>45909</v>
      </c>
      <c r="T2859" s="12">
        <f t="shared" si="264"/>
        <v>3.3978560918971303</v>
      </c>
      <c r="U2859" s="12">
        <f t="shared" si="266"/>
        <v>3.3216776979421865</v>
      </c>
      <c r="V2859" s="30">
        <f t="shared" si="267"/>
        <v>0.42580054794520544</v>
      </c>
      <c r="W2859" s="46">
        <f t="shared" si="265"/>
        <v>-3.39785609189713E-2</v>
      </c>
      <c r="X2859" s="33">
        <f t="shared" si="268"/>
        <v>2.5964964644984649E-2</v>
      </c>
    </row>
    <row r="2860" spans="19:24" x14ac:dyDescent="0.25">
      <c r="S2860" s="44">
        <f t="shared" si="263"/>
        <v>45910</v>
      </c>
      <c r="T2860" s="12">
        <f t="shared" si="264"/>
        <v>3.3951790095955889</v>
      </c>
      <c r="U2860" s="12">
        <f t="shared" si="266"/>
        <v>3.3190265212173986</v>
      </c>
      <c r="V2860" s="30">
        <f t="shared" si="267"/>
        <v>0.42577315068493149</v>
      </c>
      <c r="W2860" s="46">
        <f t="shared" si="265"/>
        <v>-3.3951790095955885E-2</v>
      </c>
      <c r="X2860" s="33">
        <f t="shared" si="268"/>
        <v>2.5964923132711707E-2</v>
      </c>
    </row>
    <row r="2861" spans="19:24" x14ac:dyDescent="0.25">
      <c r="S2861" s="44">
        <f t="shared" si="263"/>
        <v>45911</v>
      </c>
      <c r="T2861" s="12">
        <f t="shared" si="264"/>
        <v>3.3925019272940489</v>
      </c>
      <c r="U2861" s="12">
        <f t="shared" si="266"/>
        <v>3.3163753444926094</v>
      </c>
      <c r="V2861" s="30">
        <f t="shared" si="267"/>
        <v>0.42574575342465754</v>
      </c>
      <c r="W2861" s="46">
        <f t="shared" si="265"/>
        <v>-3.3925019272940483E-2</v>
      </c>
      <c r="X2861" s="33">
        <f t="shared" si="268"/>
        <v>2.5964881620438768E-2</v>
      </c>
    </row>
    <row r="2862" spans="19:24" x14ac:dyDescent="0.25">
      <c r="S2862" s="44">
        <f t="shared" si="263"/>
        <v>45912</v>
      </c>
      <c r="T2862" s="12">
        <f t="shared" si="264"/>
        <v>3.3898248449925075</v>
      </c>
      <c r="U2862" s="12">
        <f t="shared" si="266"/>
        <v>3.3137241677678189</v>
      </c>
      <c r="V2862" s="30">
        <f t="shared" si="267"/>
        <v>0.42571835616438358</v>
      </c>
      <c r="W2862" s="46">
        <f t="shared" si="265"/>
        <v>-3.3898248449925068E-2</v>
      </c>
      <c r="X2862" s="33">
        <f t="shared" si="268"/>
        <v>2.5964840108165826E-2</v>
      </c>
    </row>
    <row r="2863" spans="19:24" x14ac:dyDescent="0.25">
      <c r="S2863" s="44">
        <f t="shared" si="263"/>
        <v>45913</v>
      </c>
      <c r="T2863" s="12">
        <f t="shared" si="264"/>
        <v>3.3871477626909652</v>
      </c>
      <c r="U2863" s="12">
        <f t="shared" si="266"/>
        <v>3.3110729910430301</v>
      </c>
      <c r="V2863" s="30">
        <f t="shared" si="267"/>
        <v>0.42569095890410957</v>
      </c>
      <c r="W2863" s="46">
        <f t="shared" si="265"/>
        <v>-3.3871477626909646E-2</v>
      </c>
      <c r="X2863" s="33">
        <f t="shared" si="268"/>
        <v>2.5964798595892877E-2</v>
      </c>
    </row>
    <row r="2864" spans="19:24" x14ac:dyDescent="0.25">
      <c r="S2864" s="44">
        <f t="shared" si="263"/>
        <v>45914</v>
      </c>
      <c r="T2864" s="12">
        <f t="shared" si="264"/>
        <v>3.3844706803894251</v>
      </c>
      <c r="U2864" s="12">
        <f t="shared" si="266"/>
        <v>3.3084218143182409</v>
      </c>
      <c r="V2864" s="30">
        <f t="shared" si="267"/>
        <v>0.42566356164383568</v>
      </c>
      <c r="W2864" s="46">
        <f t="shared" si="265"/>
        <v>-3.3844706803894245E-2</v>
      </c>
      <c r="X2864" s="33">
        <f t="shared" si="268"/>
        <v>2.5964757083619942E-2</v>
      </c>
    </row>
    <row r="2865" spans="19:24" x14ac:dyDescent="0.25">
      <c r="S2865" s="44">
        <f t="shared" si="263"/>
        <v>45915</v>
      </c>
      <c r="T2865" s="12">
        <f t="shared" si="264"/>
        <v>3.3817935980878842</v>
      </c>
      <c r="U2865" s="12">
        <f t="shared" si="266"/>
        <v>3.3057706375934517</v>
      </c>
      <c r="V2865" s="30">
        <f t="shared" si="267"/>
        <v>0.42563616438356167</v>
      </c>
      <c r="W2865" s="46">
        <f t="shared" si="265"/>
        <v>-3.3817935980878837E-2</v>
      </c>
      <c r="X2865" s="33">
        <f t="shared" si="268"/>
        <v>2.5964715571346993E-2</v>
      </c>
    </row>
    <row r="2866" spans="19:24" x14ac:dyDescent="0.25">
      <c r="S2866" s="44">
        <f t="shared" si="263"/>
        <v>45916</v>
      </c>
      <c r="T2866" s="12">
        <f t="shared" si="264"/>
        <v>3.3791165157863419</v>
      </c>
      <c r="U2866" s="12">
        <f t="shared" si="266"/>
        <v>3.3031194608686625</v>
      </c>
      <c r="V2866" s="30">
        <f t="shared" si="267"/>
        <v>0.42560876712328766</v>
      </c>
      <c r="W2866" s="46">
        <f t="shared" si="265"/>
        <v>-3.3791165157863415E-2</v>
      </c>
      <c r="X2866" s="33">
        <f t="shared" si="268"/>
        <v>2.5964674059074048E-2</v>
      </c>
    </row>
    <row r="2867" spans="19:24" x14ac:dyDescent="0.25">
      <c r="S2867" s="44">
        <f t="shared" ref="S2867:S2930" si="269">+S2866+1</f>
        <v>45917</v>
      </c>
      <c r="T2867" s="12">
        <f t="shared" ref="T2867:T2930" si="270">DurMod(S2867,B$2,$F$7:$G$37,$T$3)</f>
        <v>3.3764394334848009</v>
      </c>
      <c r="U2867" s="12">
        <f t="shared" si="266"/>
        <v>3.3004682841438733</v>
      </c>
      <c r="V2867" s="30">
        <f t="shared" si="267"/>
        <v>0.42558136986301376</v>
      </c>
      <c r="W2867" s="46">
        <f t="shared" ref="W2867:W2930" si="271">+-T2867*($U$3-$T$3)</f>
        <v>-3.3764394334848007E-2</v>
      </c>
      <c r="X2867" s="33">
        <f t="shared" si="268"/>
        <v>2.5964632546801106E-2</v>
      </c>
    </row>
    <row r="2868" spans="19:24" x14ac:dyDescent="0.25">
      <c r="S2868" s="44">
        <f t="shared" si="269"/>
        <v>45918</v>
      </c>
      <c r="T2868" s="12">
        <f t="shared" si="270"/>
        <v>3.3737623511832595</v>
      </c>
      <c r="U2868" s="12">
        <f t="shared" si="266"/>
        <v>3.2978171074190836</v>
      </c>
      <c r="V2868" s="30">
        <f t="shared" si="267"/>
        <v>0.42555397260273975</v>
      </c>
      <c r="W2868" s="46">
        <f t="shared" si="271"/>
        <v>-3.3737623511832592E-2</v>
      </c>
      <c r="X2868" s="33">
        <f t="shared" si="268"/>
        <v>2.5964591034528164E-2</v>
      </c>
    </row>
    <row r="2869" spans="19:24" x14ac:dyDescent="0.25">
      <c r="S2869" s="44">
        <f t="shared" si="269"/>
        <v>45919</v>
      </c>
      <c r="T2869" s="12">
        <f t="shared" si="270"/>
        <v>3.3710852688817181</v>
      </c>
      <c r="U2869" s="12">
        <f t="shared" si="266"/>
        <v>3.2951659306942949</v>
      </c>
      <c r="V2869" s="30">
        <f t="shared" si="267"/>
        <v>0.42552657534246574</v>
      </c>
      <c r="W2869" s="46">
        <f t="shared" si="271"/>
        <v>-3.3710852688817176E-2</v>
      </c>
      <c r="X2869" s="33">
        <f t="shared" si="268"/>
        <v>2.5964549522255215E-2</v>
      </c>
    </row>
    <row r="2870" spans="19:24" x14ac:dyDescent="0.25">
      <c r="S2870" s="44">
        <f t="shared" si="269"/>
        <v>45920</v>
      </c>
      <c r="T2870" s="12">
        <f t="shared" si="270"/>
        <v>3.3684081865801767</v>
      </c>
      <c r="U2870" s="12">
        <f t="shared" si="266"/>
        <v>3.2925147539695052</v>
      </c>
      <c r="V2870" s="30">
        <f t="shared" si="267"/>
        <v>0.42549917808219184</v>
      </c>
      <c r="W2870" s="46">
        <f t="shared" si="271"/>
        <v>-3.3684081865801761E-2</v>
      </c>
      <c r="X2870" s="33">
        <f t="shared" si="268"/>
        <v>2.596450800998228E-2</v>
      </c>
    </row>
    <row r="2871" spans="19:24" x14ac:dyDescent="0.25">
      <c r="S2871" s="44">
        <f t="shared" si="269"/>
        <v>45921</v>
      </c>
      <c r="T2871" s="12">
        <f t="shared" si="270"/>
        <v>3.3657311042786362</v>
      </c>
      <c r="U2871" s="12">
        <f t="shared" si="266"/>
        <v>3.2898635772447165</v>
      </c>
      <c r="V2871" s="30">
        <f t="shared" si="267"/>
        <v>0.42547178082191783</v>
      </c>
      <c r="W2871" s="46">
        <f t="shared" si="271"/>
        <v>-3.365731104278636E-2</v>
      </c>
      <c r="X2871" s="33">
        <f t="shared" si="268"/>
        <v>2.5964466497709331E-2</v>
      </c>
    </row>
    <row r="2872" spans="19:24" x14ac:dyDescent="0.25">
      <c r="S2872" s="44">
        <f t="shared" si="269"/>
        <v>45922</v>
      </c>
      <c r="T2872" s="12">
        <f t="shared" si="270"/>
        <v>3.3630540219770952</v>
      </c>
      <c r="U2872" s="12">
        <f t="shared" si="266"/>
        <v>3.2872124005199268</v>
      </c>
      <c r="V2872" s="30">
        <f t="shared" si="267"/>
        <v>0.42544438356164382</v>
      </c>
      <c r="W2872" s="46">
        <f t="shared" si="271"/>
        <v>-3.3630540219770945E-2</v>
      </c>
      <c r="X2872" s="33">
        <f t="shared" si="268"/>
        <v>2.5964424985436385E-2</v>
      </c>
    </row>
    <row r="2873" spans="19:24" x14ac:dyDescent="0.25">
      <c r="S2873" s="44">
        <f t="shared" si="269"/>
        <v>45923</v>
      </c>
      <c r="T2873" s="12">
        <f t="shared" si="270"/>
        <v>3.3603769396755534</v>
      </c>
      <c r="U2873" s="12">
        <f t="shared" si="266"/>
        <v>3.2845612237951367</v>
      </c>
      <c r="V2873" s="30">
        <f t="shared" si="267"/>
        <v>0.42541698630136993</v>
      </c>
      <c r="W2873" s="46">
        <f t="shared" si="271"/>
        <v>-3.360376939675553E-2</v>
      </c>
      <c r="X2873" s="33">
        <f t="shared" si="268"/>
        <v>2.5964383473163447E-2</v>
      </c>
    </row>
    <row r="2874" spans="19:24" x14ac:dyDescent="0.25">
      <c r="S2874" s="44">
        <f t="shared" si="269"/>
        <v>45924</v>
      </c>
      <c r="T2874" s="12">
        <f t="shared" si="270"/>
        <v>3.3576998573740133</v>
      </c>
      <c r="U2874" s="12">
        <f t="shared" si="266"/>
        <v>3.2819100470703479</v>
      </c>
      <c r="V2874" s="30">
        <f t="shared" si="267"/>
        <v>0.42538958904109592</v>
      </c>
      <c r="W2874" s="46">
        <f t="shared" si="271"/>
        <v>-3.3576998573740129E-2</v>
      </c>
      <c r="X2874" s="33">
        <f t="shared" si="268"/>
        <v>2.5964341960890494E-2</v>
      </c>
    </row>
    <row r="2875" spans="19:24" x14ac:dyDescent="0.25">
      <c r="S2875" s="44">
        <f t="shared" si="269"/>
        <v>45925</v>
      </c>
      <c r="T2875" s="12">
        <f t="shared" si="270"/>
        <v>3.3550227750724706</v>
      </c>
      <c r="U2875" s="12">
        <f t="shared" si="266"/>
        <v>3.2792588703455587</v>
      </c>
      <c r="V2875" s="30">
        <f t="shared" si="267"/>
        <v>0.42536219178082191</v>
      </c>
      <c r="W2875" s="46">
        <f t="shared" si="271"/>
        <v>-3.35502277507247E-2</v>
      </c>
      <c r="X2875" s="33">
        <f t="shared" si="268"/>
        <v>2.5964300448617552E-2</v>
      </c>
    </row>
    <row r="2876" spans="19:24" x14ac:dyDescent="0.25">
      <c r="S2876" s="44">
        <f t="shared" si="269"/>
        <v>45926</v>
      </c>
      <c r="T2876" s="12">
        <f t="shared" si="270"/>
        <v>3.352345692770931</v>
      </c>
      <c r="U2876" s="12">
        <f t="shared" si="266"/>
        <v>3.27660769362077</v>
      </c>
      <c r="V2876" s="30">
        <f t="shared" si="267"/>
        <v>0.42533479452054795</v>
      </c>
      <c r="W2876" s="46">
        <f t="shared" si="271"/>
        <v>-3.3523456927709305E-2</v>
      </c>
      <c r="X2876" s="33">
        <f t="shared" si="268"/>
        <v>2.596425893634461E-2</v>
      </c>
    </row>
    <row r="2877" spans="19:24" x14ac:dyDescent="0.25">
      <c r="S2877" s="44">
        <f t="shared" si="269"/>
        <v>45927</v>
      </c>
      <c r="T2877" s="12">
        <f t="shared" si="270"/>
        <v>3.3496686104693891</v>
      </c>
      <c r="U2877" s="12">
        <f t="shared" si="266"/>
        <v>3.2739565168959803</v>
      </c>
      <c r="V2877" s="30">
        <f t="shared" si="267"/>
        <v>0.425307397260274</v>
      </c>
      <c r="W2877" s="46">
        <f t="shared" si="271"/>
        <v>-3.3496686104693883E-2</v>
      </c>
      <c r="X2877" s="33">
        <f t="shared" si="268"/>
        <v>2.5964217424071668E-2</v>
      </c>
    </row>
    <row r="2878" spans="19:24" x14ac:dyDescent="0.25">
      <c r="S2878" s="44">
        <f t="shared" si="269"/>
        <v>45928</v>
      </c>
      <c r="T2878" s="12">
        <f t="shared" si="270"/>
        <v>3.3469915281678477</v>
      </c>
      <c r="U2878" s="12">
        <f t="shared" si="266"/>
        <v>3.2713053401711916</v>
      </c>
      <c r="V2878" s="30">
        <f t="shared" si="267"/>
        <v>0.42527999999999999</v>
      </c>
      <c r="W2878" s="46">
        <f t="shared" si="271"/>
        <v>-3.3469915281678475E-2</v>
      </c>
      <c r="X2878" s="33">
        <f t="shared" si="268"/>
        <v>2.5964175911798722E-2</v>
      </c>
    </row>
    <row r="2879" spans="19:24" x14ac:dyDescent="0.25">
      <c r="S2879" s="44">
        <f t="shared" si="269"/>
        <v>45929</v>
      </c>
      <c r="T2879" s="12">
        <f t="shared" si="270"/>
        <v>3.3443144458663063</v>
      </c>
      <c r="U2879" s="12">
        <f t="shared" si="266"/>
        <v>3.2686541634464019</v>
      </c>
      <c r="V2879" s="30">
        <f t="shared" si="267"/>
        <v>0.42525260273972609</v>
      </c>
      <c r="W2879" s="46">
        <f t="shared" si="271"/>
        <v>-3.344314445866306E-2</v>
      </c>
      <c r="X2879" s="33">
        <f t="shared" si="268"/>
        <v>2.5964134399525784E-2</v>
      </c>
    </row>
    <row r="2880" spans="19:24" x14ac:dyDescent="0.25">
      <c r="S2880" s="44">
        <f t="shared" si="269"/>
        <v>45930</v>
      </c>
      <c r="T2880" s="12">
        <f t="shared" si="270"/>
        <v>3.3416373635647658</v>
      </c>
      <c r="U2880" s="12">
        <f t="shared" si="266"/>
        <v>3.2660029867216127</v>
      </c>
      <c r="V2880" s="30">
        <f t="shared" si="267"/>
        <v>0.42522520547945208</v>
      </c>
      <c r="W2880" s="46">
        <f t="shared" si="271"/>
        <v>-3.3416373635647652E-2</v>
      </c>
      <c r="X2880" s="33">
        <f t="shared" si="268"/>
        <v>2.5964092887252838E-2</v>
      </c>
    </row>
    <row r="2881" spans="19:24" x14ac:dyDescent="0.25">
      <c r="S2881" s="44">
        <f t="shared" si="269"/>
        <v>45931</v>
      </c>
      <c r="T2881" s="12">
        <f t="shared" si="270"/>
        <v>3.338960281263224</v>
      </c>
      <c r="U2881" s="12">
        <f t="shared" si="266"/>
        <v>3.2633518099968226</v>
      </c>
      <c r="V2881" s="30">
        <f t="shared" si="267"/>
        <v>0.42519780821917808</v>
      </c>
      <c r="W2881" s="46">
        <f t="shared" si="271"/>
        <v>-3.3389602812632237E-2</v>
      </c>
      <c r="X2881" s="33">
        <f t="shared" si="268"/>
        <v>2.5964051374979886E-2</v>
      </c>
    </row>
    <row r="2882" spans="19:24" x14ac:dyDescent="0.25">
      <c r="S2882" s="44">
        <f t="shared" si="269"/>
        <v>45932</v>
      </c>
      <c r="T2882" s="12">
        <f t="shared" si="270"/>
        <v>3.3362831989616826</v>
      </c>
      <c r="U2882" s="12">
        <f t="shared" si="266"/>
        <v>3.2607006332720334</v>
      </c>
      <c r="V2882" s="30">
        <f t="shared" si="267"/>
        <v>0.42517041095890412</v>
      </c>
      <c r="W2882" s="46">
        <f t="shared" si="271"/>
        <v>-3.3362831989616822E-2</v>
      </c>
      <c r="X2882" s="33">
        <f t="shared" si="268"/>
        <v>2.5964009862706951E-2</v>
      </c>
    </row>
    <row r="2883" spans="19:24" x14ac:dyDescent="0.25">
      <c r="S2883" s="44">
        <f t="shared" si="269"/>
        <v>45933</v>
      </c>
      <c r="T2883" s="12">
        <f t="shared" si="270"/>
        <v>3.3336061166601425</v>
      </c>
      <c r="U2883" s="12">
        <f t="shared" si="266"/>
        <v>3.2580494565472438</v>
      </c>
      <c r="V2883" s="30">
        <f t="shared" si="267"/>
        <v>0.42514301369863011</v>
      </c>
      <c r="W2883" s="46">
        <f t="shared" si="271"/>
        <v>-3.333606116660142E-2</v>
      </c>
      <c r="X2883" s="33">
        <f t="shared" si="268"/>
        <v>2.5963968350434002E-2</v>
      </c>
    </row>
    <row r="2884" spans="19:24" x14ac:dyDescent="0.25">
      <c r="S2884" s="44">
        <f t="shared" si="269"/>
        <v>45934</v>
      </c>
      <c r="T2884" s="12">
        <f t="shared" si="270"/>
        <v>3.3309290343586011</v>
      </c>
      <c r="U2884" s="12">
        <f t="shared" si="266"/>
        <v>3.255398279822455</v>
      </c>
      <c r="V2884" s="30">
        <f t="shared" si="267"/>
        <v>0.42511561643835616</v>
      </c>
      <c r="W2884" s="46">
        <f t="shared" si="271"/>
        <v>-3.3309290343586005E-2</v>
      </c>
      <c r="X2884" s="33">
        <f t="shared" si="268"/>
        <v>2.596392683816106E-2</v>
      </c>
    </row>
    <row r="2885" spans="19:24" x14ac:dyDescent="0.25">
      <c r="S2885" s="44">
        <f t="shared" si="269"/>
        <v>45935</v>
      </c>
      <c r="T2885" s="12">
        <f t="shared" si="270"/>
        <v>3.3282519520570601</v>
      </c>
      <c r="U2885" s="12">
        <f t="shared" ref="U2885:U2948" si="272">DurMod($S2885,$B$2,$F$7:$G$37,U$3)</f>
        <v>3.2527471030976658</v>
      </c>
      <c r="V2885" s="30">
        <f t="shared" ref="V2885:V2948" si="273">+$U$3*($S$5512-S2885)/365+$T$3*(S2885-$S$4)/365</f>
        <v>0.42508821917808221</v>
      </c>
      <c r="W2885" s="46">
        <f t="shared" si="271"/>
        <v>-3.3282519520570597E-2</v>
      </c>
      <c r="X2885" s="33">
        <f t="shared" ref="X2885:X2948" si="274">+(V2885+W2885)*365/($S$5512-$S$4)</f>
        <v>2.5963885325888114E-2</v>
      </c>
    </row>
    <row r="2886" spans="19:24" x14ac:dyDescent="0.25">
      <c r="S2886" s="44">
        <f t="shared" si="269"/>
        <v>45936</v>
      </c>
      <c r="T2886" s="12">
        <f t="shared" si="270"/>
        <v>3.3255748697555192</v>
      </c>
      <c r="U2886" s="12">
        <f t="shared" si="272"/>
        <v>3.2500959263728753</v>
      </c>
      <c r="V2886" s="30">
        <f t="shared" si="273"/>
        <v>0.42506082191780825</v>
      </c>
      <c r="W2886" s="46">
        <f t="shared" si="271"/>
        <v>-3.3255748697555189E-2</v>
      </c>
      <c r="X2886" s="33">
        <f t="shared" si="274"/>
        <v>2.5963843813615172E-2</v>
      </c>
    </row>
    <row r="2887" spans="19:24" x14ac:dyDescent="0.25">
      <c r="S2887" s="44">
        <f t="shared" si="269"/>
        <v>45937</v>
      </c>
      <c r="T2887" s="12">
        <f t="shared" si="270"/>
        <v>3.3228977874539773</v>
      </c>
      <c r="U2887" s="12">
        <f t="shared" si="272"/>
        <v>3.2474447496480874</v>
      </c>
      <c r="V2887" s="30">
        <f t="shared" si="273"/>
        <v>0.42503342465753424</v>
      </c>
      <c r="W2887" s="46">
        <f t="shared" si="271"/>
        <v>-3.3228977874539767E-2</v>
      </c>
      <c r="X2887" s="33">
        <f t="shared" si="274"/>
        <v>2.596380230134223E-2</v>
      </c>
    </row>
    <row r="2888" spans="19:24" x14ac:dyDescent="0.25">
      <c r="S2888" s="44">
        <f t="shared" si="269"/>
        <v>45938</v>
      </c>
      <c r="T2888" s="12">
        <f t="shared" si="270"/>
        <v>3.3202207051524359</v>
      </c>
      <c r="U2888" s="12">
        <f t="shared" si="272"/>
        <v>3.2447935729232986</v>
      </c>
      <c r="V2888" s="30">
        <f t="shared" si="273"/>
        <v>0.42500602739726029</v>
      </c>
      <c r="W2888" s="46">
        <f t="shared" si="271"/>
        <v>-3.3202207051524352E-2</v>
      </c>
      <c r="X2888" s="33">
        <f t="shared" si="274"/>
        <v>2.5963760789069281E-2</v>
      </c>
    </row>
    <row r="2889" spans="19:24" x14ac:dyDescent="0.25">
      <c r="S2889" s="44">
        <f t="shared" si="269"/>
        <v>45939</v>
      </c>
      <c r="T2889" s="12">
        <f t="shared" si="270"/>
        <v>3.317543622850895</v>
      </c>
      <c r="U2889" s="12">
        <f t="shared" si="272"/>
        <v>3.242142396198509</v>
      </c>
      <c r="V2889" s="30">
        <f t="shared" si="273"/>
        <v>0.42497863013698628</v>
      </c>
      <c r="W2889" s="46">
        <f t="shared" si="271"/>
        <v>-3.3175436228508944E-2</v>
      </c>
      <c r="X2889" s="33">
        <f t="shared" si="274"/>
        <v>2.5963719276796339E-2</v>
      </c>
    </row>
    <row r="2890" spans="19:24" x14ac:dyDescent="0.25">
      <c r="S2890" s="44">
        <f t="shared" si="269"/>
        <v>45940</v>
      </c>
      <c r="T2890" s="12">
        <f t="shared" si="270"/>
        <v>3.3148665405493536</v>
      </c>
      <c r="U2890" s="12">
        <f t="shared" si="272"/>
        <v>3.2394912194737198</v>
      </c>
      <c r="V2890" s="30">
        <f t="shared" si="273"/>
        <v>0.42495123287671233</v>
      </c>
      <c r="W2890" s="46">
        <f t="shared" si="271"/>
        <v>-3.3148665405493528E-2</v>
      </c>
      <c r="X2890" s="33">
        <f t="shared" si="274"/>
        <v>2.5963677764523393E-2</v>
      </c>
    </row>
    <row r="2891" spans="19:24" x14ac:dyDescent="0.25">
      <c r="S2891" s="44">
        <f t="shared" si="269"/>
        <v>45941</v>
      </c>
      <c r="T2891" s="12">
        <f t="shared" si="270"/>
        <v>3.3121894582478113</v>
      </c>
      <c r="U2891" s="12">
        <f t="shared" si="272"/>
        <v>3.2368400427489306</v>
      </c>
      <c r="V2891" s="30">
        <f t="shared" si="273"/>
        <v>0.42492383561643837</v>
      </c>
      <c r="W2891" s="46">
        <f t="shared" si="271"/>
        <v>-3.3121894582478106E-2</v>
      </c>
      <c r="X2891" s="33">
        <f t="shared" si="274"/>
        <v>2.5963636252250455E-2</v>
      </c>
    </row>
    <row r="2892" spans="19:24" x14ac:dyDescent="0.25">
      <c r="S2892" s="44">
        <f t="shared" si="269"/>
        <v>45942</v>
      </c>
      <c r="T2892" s="12">
        <f t="shared" si="270"/>
        <v>3.3095123759462712</v>
      </c>
      <c r="U2892" s="12">
        <f t="shared" si="272"/>
        <v>3.2341888660241405</v>
      </c>
      <c r="V2892" s="30">
        <f t="shared" si="273"/>
        <v>0.42489643835616436</v>
      </c>
      <c r="W2892" s="46">
        <f t="shared" si="271"/>
        <v>-3.3095123759462705E-2</v>
      </c>
      <c r="X2892" s="33">
        <f t="shared" si="274"/>
        <v>2.5963594739977502E-2</v>
      </c>
    </row>
    <row r="2893" spans="19:24" x14ac:dyDescent="0.25">
      <c r="S2893" s="44">
        <f t="shared" si="269"/>
        <v>45943</v>
      </c>
      <c r="T2893" s="12">
        <f t="shared" si="270"/>
        <v>3.3068352936447303</v>
      </c>
      <c r="U2893" s="12">
        <f t="shared" si="272"/>
        <v>3.2315376892993517</v>
      </c>
      <c r="V2893" s="30">
        <f t="shared" si="273"/>
        <v>0.42486904109589041</v>
      </c>
      <c r="W2893" s="46">
        <f t="shared" si="271"/>
        <v>-3.3068352936447297E-2</v>
      </c>
      <c r="X2893" s="33">
        <f t="shared" si="274"/>
        <v>2.5963553227704567E-2</v>
      </c>
    </row>
    <row r="2894" spans="19:24" x14ac:dyDescent="0.25">
      <c r="S2894" s="44">
        <f t="shared" si="269"/>
        <v>45944</v>
      </c>
      <c r="T2894" s="12">
        <f t="shared" si="270"/>
        <v>3.304158211343188</v>
      </c>
      <c r="U2894" s="12">
        <f t="shared" si="272"/>
        <v>3.2288865125745625</v>
      </c>
      <c r="V2894" s="30">
        <f t="shared" si="273"/>
        <v>0.4248416438356164</v>
      </c>
      <c r="W2894" s="46">
        <f t="shared" si="271"/>
        <v>-3.3041582113431875E-2</v>
      </c>
      <c r="X2894" s="33">
        <f t="shared" si="274"/>
        <v>2.5963511715431618E-2</v>
      </c>
    </row>
    <row r="2895" spans="19:24" x14ac:dyDescent="0.25">
      <c r="S2895" s="44">
        <f t="shared" si="269"/>
        <v>45945</v>
      </c>
      <c r="T2895" s="12">
        <f t="shared" si="270"/>
        <v>3.301481129041647</v>
      </c>
      <c r="U2895" s="12">
        <f t="shared" si="272"/>
        <v>3.2262353358497728</v>
      </c>
      <c r="V2895" s="30">
        <f t="shared" si="273"/>
        <v>0.42481424657534245</v>
      </c>
      <c r="W2895" s="46">
        <f t="shared" si="271"/>
        <v>-3.3014811290416467E-2</v>
      </c>
      <c r="X2895" s="33">
        <f t="shared" si="274"/>
        <v>2.5963470203158676E-2</v>
      </c>
    </row>
    <row r="2896" spans="19:24" x14ac:dyDescent="0.25">
      <c r="S2896" s="44">
        <f t="shared" si="269"/>
        <v>45946</v>
      </c>
      <c r="T2896" s="12">
        <f t="shared" si="270"/>
        <v>3.2988040467401065</v>
      </c>
      <c r="U2896" s="12">
        <f t="shared" si="272"/>
        <v>3.2235841591249832</v>
      </c>
      <c r="V2896" s="30">
        <f t="shared" si="273"/>
        <v>0.42478684931506849</v>
      </c>
      <c r="W2896" s="46">
        <f t="shared" si="271"/>
        <v>-3.2988040467401059E-2</v>
      </c>
      <c r="X2896" s="33">
        <f t="shared" si="274"/>
        <v>2.5963428690885731E-2</v>
      </c>
    </row>
    <row r="2897" spans="19:24" x14ac:dyDescent="0.25">
      <c r="S2897" s="44">
        <f t="shared" si="269"/>
        <v>45947</v>
      </c>
      <c r="T2897" s="12">
        <f t="shared" si="270"/>
        <v>3.2961269644385651</v>
      </c>
      <c r="U2897" s="12">
        <f t="shared" si="272"/>
        <v>3.2209329824001944</v>
      </c>
      <c r="V2897" s="30">
        <f t="shared" si="273"/>
        <v>0.42475945205479454</v>
      </c>
      <c r="W2897" s="46">
        <f t="shared" si="271"/>
        <v>-3.2961269644385643E-2</v>
      </c>
      <c r="X2897" s="33">
        <f t="shared" si="274"/>
        <v>2.5963387178612789E-2</v>
      </c>
    </row>
    <row r="2898" spans="19:24" x14ac:dyDescent="0.25">
      <c r="S2898" s="44">
        <f t="shared" si="269"/>
        <v>45948</v>
      </c>
      <c r="T2898" s="12">
        <f t="shared" si="270"/>
        <v>3.2934498821370242</v>
      </c>
      <c r="U2898" s="12">
        <f t="shared" si="272"/>
        <v>3.2182818056754052</v>
      </c>
      <c r="V2898" s="30">
        <f t="shared" si="273"/>
        <v>0.42473205479452053</v>
      </c>
      <c r="W2898" s="46">
        <f t="shared" si="271"/>
        <v>-3.2934498821370235E-2</v>
      </c>
      <c r="X2898" s="33">
        <f t="shared" si="274"/>
        <v>2.596334566633984E-2</v>
      </c>
    </row>
    <row r="2899" spans="19:24" x14ac:dyDescent="0.25">
      <c r="S2899" s="44">
        <f t="shared" si="269"/>
        <v>45949</v>
      </c>
      <c r="T2899" s="12">
        <f t="shared" si="270"/>
        <v>3.2907727998354823</v>
      </c>
      <c r="U2899" s="12">
        <f t="shared" si="272"/>
        <v>3.215630628950616</v>
      </c>
      <c r="V2899" s="30">
        <f t="shared" si="273"/>
        <v>0.42470465753424652</v>
      </c>
      <c r="W2899" s="46">
        <f t="shared" si="271"/>
        <v>-3.290772799835482E-2</v>
      </c>
      <c r="X2899" s="33">
        <f t="shared" si="274"/>
        <v>2.5963304154066894E-2</v>
      </c>
    </row>
    <row r="2900" spans="19:24" x14ac:dyDescent="0.25">
      <c r="S2900" s="44">
        <f t="shared" si="269"/>
        <v>45950</v>
      </c>
      <c r="T2900" s="12">
        <f t="shared" si="270"/>
        <v>3.2880957175339414</v>
      </c>
      <c r="U2900" s="12">
        <f t="shared" si="272"/>
        <v>3.2129794522258268</v>
      </c>
      <c r="V2900" s="30">
        <f t="shared" si="273"/>
        <v>0.42467726027397257</v>
      </c>
      <c r="W2900" s="46">
        <f t="shared" si="271"/>
        <v>-3.2880957175339412E-2</v>
      </c>
      <c r="X2900" s="33">
        <f t="shared" si="274"/>
        <v>2.5963262641793959E-2</v>
      </c>
    </row>
    <row r="2901" spans="19:24" x14ac:dyDescent="0.25">
      <c r="S2901" s="44">
        <f t="shared" si="269"/>
        <v>45951</v>
      </c>
      <c r="T2901" s="12">
        <f t="shared" si="270"/>
        <v>3.2854186352324009</v>
      </c>
      <c r="U2901" s="12">
        <f t="shared" si="272"/>
        <v>3.2103282755010367</v>
      </c>
      <c r="V2901" s="30">
        <f t="shared" si="273"/>
        <v>0.42464986301369856</v>
      </c>
      <c r="W2901" s="46">
        <f t="shared" si="271"/>
        <v>-3.2854186352324004E-2</v>
      </c>
      <c r="X2901" s="33">
        <f t="shared" si="274"/>
        <v>2.5963221129521007E-2</v>
      </c>
    </row>
    <row r="2902" spans="19:24" x14ac:dyDescent="0.25">
      <c r="S2902" s="44">
        <f t="shared" si="269"/>
        <v>45952</v>
      </c>
      <c r="T2902" s="12">
        <f t="shared" si="270"/>
        <v>3.2827415529308599</v>
      </c>
      <c r="U2902" s="12">
        <f t="shared" si="272"/>
        <v>3.2076770987762484</v>
      </c>
      <c r="V2902" s="30">
        <f t="shared" si="273"/>
        <v>0.42462246575342466</v>
      </c>
      <c r="W2902" s="46">
        <f t="shared" si="271"/>
        <v>-3.2827415529308596E-2</v>
      </c>
      <c r="X2902" s="33">
        <f t="shared" si="274"/>
        <v>2.5963179617248068E-2</v>
      </c>
    </row>
    <row r="2903" spans="19:24" x14ac:dyDescent="0.25">
      <c r="S2903" s="44">
        <f t="shared" si="269"/>
        <v>45953</v>
      </c>
      <c r="T2903" s="12">
        <f t="shared" si="270"/>
        <v>3.2800644706293181</v>
      </c>
      <c r="U2903" s="12">
        <f t="shared" si="272"/>
        <v>3.2050259220514588</v>
      </c>
      <c r="V2903" s="30">
        <f t="shared" si="273"/>
        <v>0.42459506849315065</v>
      </c>
      <c r="W2903" s="46">
        <f t="shared" si="271"/>
        <v>-3.2800644706293174E-2</v>
      </c>
      <c r="X2903" s="33">
        <f t="shared" si="274"/>
        <v>2.5963138104975123E-2</v>
      </c>
    </row>
    <row r="2904" spans="19:24" x14ac:dyDescent="0.25">
      <c r="S2904" s="44">
        <f t="shared" si="269"/>
        <v>45954</v>
      </c>
      <c r="T2904" s="12">
        <f t="shared" si="270"/>
        <v>3.2773873883277775</v>
      </c>
      <c r="U2904" s="12">
        <f t="shared" si="272"/>
        <v>3.2023747453266687</v>
      </c>
      <c r="V2904" s="30">
        <f t="shared" si="273"/>
        <v>0.4245676712328767</v>
      </c>
      <c r="W2904" s="46">
        <f t="shared" si="271"/>
        <v>-3.2773873883277772E-2</v>
      </c>
      <c r="X2904" s="33">
        <f t="shared" si="274"/>
        <v>2.596309659270218E-2</v>
      </c>
    </row>
    <row r="2905" spans="19:24" x14ac:dyDescent="0.25">
      <c r="S2905" s="44">
        <f t="shared" si="269"/>
        <v>45955</v>
      </c>
      <c r="T2905" s="12">
        <f t="shared" si="270"/>
        <v>3.2747103060262353</v>
      </c>
      <c r="U2905" s="12">
        <f t="shared" si="272"/>
        <v>3.1997235686018799</v>
      </c>
      <c r="V2905" s="30">
        <f t="shared" si="273"/>
        <v>0.42454027397260274</v>
      </c>
      <c r="W2905" s="46">
        <f t="shared" si="271"/>
        <v>-3.274710306026235E-2</v>
      </c>
      <c r="X2905" s="33">
        <f t="shared" si="274"/>
        <v>2.5963055080429238E-2</v>
      </c>
    </row>
    <row r="2906" spans="19:24" x14ac:dyDescent="0.25">
      <c r="S2906" s="44">
        <f t="shared" si="269"/>
        <v>45956</v>
      </c>
      <c r="T2906" s="12">
        <f t="shared" si="270"/>
        <v>3.2720332237246939</v>
      </c>
      <c r="U2906" s="12">
        <f t="shared" si="272"/>
        <v>3.1970723918770911</v>
      </c>
      <c r="V2906" s="30">
        <f t="shared" si="273"/>
        <v>0.42451287671232873</v>
      </c>
      <c r="W2906" s="46">
        <f t="shared" si="271"/>
        <v>-3.2720332237246935E-2</v>
      </c>
      <c r="X2906" s="33">
        <f t="shared" si="274"/>
        <v>2.5963013568156296E-2</v>
      </c>
    </row>
    <row r="2907" spans="19:24" x14ac:dyDescent="0.25">
      <c r="S2907" s="44">
        <f t="shared" si="269"/>
        <v>45957</v>
      </c>
      <c r="T2907" s="12">
        <f t="shared" si="270"/>
        <v>3.2693561414231533</v>
      </c>
      <c r="U2907" s="12">
        <f t="shared" si="272"/>
        <v>3.1944212151523006</v>
      </c>
      <c r="V2907" s="30">
        <f t="shared" si="273"/>
        <v>0.42448547945205473</v>
      </c>
      <c r="W2907" s="46">
        <f t="shared" si="271"/>
        <v>-3.2693561414231527E-2</v>
      </c>
      <c r="X2907" s="33">
        <f t="shared" si="274"/>
        <v>2.5962972055883347E-2</v>
      </c>
    </row>
    <row r="2908" spans="19:24" x14ac:dyDescent="0.25">
      <c r="S2908" s="44">
        <f t="shared" si="269"/>
        <v>45958</v>
      </c>
      <c r="T2908" s="12">
        <f t="shared" si="270"/>
        <v>3.2666790591216115</v>
      </c>
      <c r="U2908" s="12">
        <f t="shared" si="272"/>
        <v>3.1917700384275127</v>
      </c>
      <c r="V2908" s="30">
        <f t="shared" si="273"/>
        <v>0.42445808219178083</v>
      </c>
      <c r="W2908" s="46">
        <f t="shared" si="271"/>
        <v>-3.2666790591216112E-2</v>
      </c>
      <c r="X2908" s="33">
        <f t="shared" si="274"/>
        <v>2.5962930543610405E-2</v>
      </c>
    </row>
    <row r="2909" spans="19:24" x14ac:dyDescent="0.25">
      <c r="S2909" s="44">
        <f t="shared" si="269"/>
        <v>45959</v>
      </c>
      <c r="T2909" s="12">
        <f t="shared" si="270"/>
        <v>3.264001976820071</v>
      </c>
      <c r="U2909" s="12">
        <f t="shared" si="272"/>
        <v>3.1891188617027231</v>
      </c>
      <c r="V2909" s="30">
        <f t="shared" si="273"/>
        <v>0.42443068493150687</v>
      </c>
      <c r="W2909" s="46">
        <f t="shared" si="271"/>
        <v>-3.2640019768200704E-2</v>
      </c>
      <c r="X2909" s="33">
        <f t="shared" si="274"/>
        <v>2.5962889031337463E-2</v>
      </c>
    </row>
    <row r="2910" spans="19:24" x14ac:dyDescent="0.25">
      <c r="S2910" s="44">
        <f t="shared" si="269"/>
        <v>45960</v>
      </c>
      <c r="T2910" s="12">
        <f t="shared" si="270"/>
        <v>3.2613248945185296</v>
      </c>
      <c r="U2910" s="12">
        <f t="shared" si="272"/>
        <v>3.1864676849779334</v>
      </c>
      <c r="V2910" s="30">
        <f t="shared" si="273"/>
        <v>0.42440328767123292</v>
      </c>
      <c r="W2910" s="46">
        <f t="shared" si="271"/>
        <v>-3.2613248945185289E-2</v>
      </c>
      <c r="X2910" s="33">
        <f t="shared" si="274"/>
        <v>2.5962847519064521E-2</v>
      </c>
    </row>
    <row r="2911" spans="19:24" x14ac:dyDescent="0.25">
      <c r="S2911" s="44">
        <f t="shared" si="269"/>
        <v>45961</v>
      </c>
      <c r="T2911" s="12">
        <f t="shared" si="270"/>
        <v>3.2586478122169891</v>
      </c>
      <c r="U2911" s="12">
        <f t="shared" si="272"/>
        <v>3.1838165082531442</v>
      </c>
      <c r="V2911" s="30">
        <f t="shared" si="273"/>
        <v>0.42437589041095891</v>
      </c>
      <c r="W2911" s="46">
        <f t="shared" si="271"/>
        <v>-3.2586478122169887E-2</v>
      </c>
      <c r="X2911" s="33">
        <f t="shared" si="274"/>
        <v>2.5962806006791576E-2</v>
      </c>
    </row>
    <row r="2912" spans="19:24" x14ac:dyDescent="0.25">
      <c r="S2912" s="44">
        <f t="shared" si="269"/>
        <v>45962</v>
      </c>
      <c r="T2912" s="12">
        <f t="shared" si="270"/>
        <v>3.2559707299154468</v>
      </c>
      <c r="U2912" s="12">
        <f t="shared" si="272"/>
        <v>3.1811653315283555</v>
      </c>
      <c r="V2912" s="30">
        <f t="shared" si="273"/>
        <v>0.42434849315068496</v>
      </c>
      <c r="W2912" s="46">
        <f t="shared" si="271"/>
        <v>-3.2559707299154465E-2</v>
      </c>
      <c r="X2912" s="33">
        <f t="shared" si="274"/>
        <v>2.5962764494518634E-2</v>
      </c>
    </row>
    <row r="2913" spans="19:24" x14ac:dyDescent="0.25">
      <c r="S2913" s="44">
        <f t="shared" si="269"/>
        <v>45963</v>
      </c>
      <c r="T2913" s="12">
        <f t="shared" si="270"/>
        <v>3.2532936476139067</v>
      </c>
      <c r="U2913" s="12">
        <f t="shared" si="272"/>
        <v>3.1785141548035658</v>
      </c>
      <c r="V2913" s="30">
        <f t="shared" si="273"/>
        <v>0.42432109589041095</v>
      </c>
      <c r="W2913" s="46">
        <f t="shared" si="271"/>
        <v>-3.2532936476139064E-2</v>
      </c>
      <c r="X2913" s="33">
        <f t="shared" si="274"/>
        <v>2.5962722982245685E-2</v>
      </c>
    </row>
    <row r="2914" spans="19:24" x14ac:dyDescent="0.25">
      <c r="S2914" s="44">
        <f t="shared" si="269"/>
        <v>45964</v>
      </c>
      <c r="T2914" s="12">
        <f t="shared" si="270"/>
        <v>3.2506165653123649</v>
      </c>
      <c r="U2914" s="12">
        <f t="shared" si="272"/>
        <v>3.1758629780787766</v>
      </c>
      <c r="V2914" s="30">
        <f t="shared" si="273"/>
        <v>0.424293698630137</v>
      </c>
      <c r="W2914" s="46">
        <f t="shared" si="271"/>
        <v>-3.2506165653123642E-2</v>
      </c>
      <c r="X2914" s="33">
        <f t="shared" si="274"/>
        <v>2.5962681469972743E-2</v>
      </c>
    </row>
    <row r="2915" spans="19:24" x14ac:dyDescent="0.25">
      <c r="S2915" s="44">
        <f t="shared" si="269"/>
        <v>45965</v>
      </c>
      <c r="T2915" s="12">
        <f t="shared" si="270"/>
        <v>3.2479394830108235</v>
      </c>
      <c r="U2915" s="12">
        <f t="shared" si="272"/>
        <v>3.1732118013539874</v>
      </c>
      <c r="V2915" s="30">
        <f t="shared" si="273"/>
        <v>0.42426630136986304</v>
      </c>
      <c r="W2915" s="46">
        <f t="shared" si="271"/>
        <v>-3.2479394830108227E-2</v>
      </c>
      <c r="X2915" s="33">
        <f t="shared" si="274"/>
        <v>2.5962639957699801E-2</v>
      </c>
    </row>
    <row r="2916" spans="19:24" x14ac:dyDescent="0.25">
      <c r="S2916" s="44">
        <f t="shared" si="269"/>
        <v>45966</v>
      </c>
      <c r="T2916" s="12">
        <f t="shared" si="270"/>
        <v>3.2452624007092825</v>
      </c>
      <c r="U2916" s="12">
        <f t="shared" si="272"/>
        <v>3.1705606246291977</v>
      </c>
      <c r="V2916" s="30">
        <f t="shared" si="273"/>
        <v>0.42423890410958903</v>
      </c>
      <c r="W2916" s="46">
        <f t="shared" si="271"/>
        <v>-3.2452624007092819E-2</v>
      </c>
      <c r="X2916" s="33">
        <f t="shared" si="274"/>
        <v>2.5962598445426855E-2</v>
      </c>
    </row>
    <row r="2917" spans="19:24" x14ac:dyDescent="0.25">
      <c r="S2917" s="44">
        <f t="shared" si="269"/>
        <v>45967</v>
      </c>
      <c r="T2917" s="12">
        <f t="shared" si="270"/>
        <v>3.2425853184077416</v>
      </c>
      <c r="U2917" s="12">
        <f t="shared" si="272"/>
        <v>3.1679094479044085</v>
      </c>
      <c r="V2917" s="30">
        <f t="shared" si="273"/>
        <v>0.42421150684931508</v>
      </c>
      <c r="W2917" s="46">
        <f t="shared" si="271"/>
        <v>-3.2425853184077411E-2</v>
      </c>
      <c r="X2917" s="33">
        <f t="shared" si="274"/>
        <v>2.5962556933153913E-2</v>
      </c>
    </row>
    <row r="2918" spans="19:24" x14ac:dyDescent="0.25">
      <c r="S2918" s="44">
        <f t="shared" si="269"/>
        <v>45968</v>
      </c>
      <c r="T2918" s="12">
        <f t="shared" si="270"/>
        <v>3.2399082361061997</v>
      </c>
      <c r="U2918" s="12">
        <f t="shared" si="272"/>
        <v>3.1652582711796184</v>
      </c>
      <c r="V2918" s="30">
        <f t="shared" si="273"/>
        <v>0.42418410958904107</v>
      </c>
      <c r="W2918" s="46">
        <f t="shared" si="271"/>
        <v>-3.2399082361061995E-2</v>
      </c>
      <c r="X2918" s="33">
        <f t="shared" si="274"/>
        <v>2.5962515420880964E-2</v>
      </c>
    </row>
    <row r="2919" spans="19:24" x14ac:dyDescent="0.25">
      <c r="S2919" s="44">
        <f t="shared" si="269"/>
        <v>45969</v>
      </c>
      <c r="T2919" s="12">
        <f t="shared" si="270"/>
        <v>3.2372311538046583</v>
      </c>
      <c r="U2919" s="12">
        <f t="shared" si="272"/>
        <v>3.1626070944548297</v>
      </c>
      <c r="V2919" s="30">
        <f t="shared" si="273"/>
        <v>0.42415671232876712</v>
      </c>
      <c r="W2919" s="46">
        <f t="shared" si="271"/>
        <v>-3.237231153804658E-2</v>
      </c>
      <c r="X2919" s="33">
        <f t="shared" si="274"/>
        <v>2.5962473908608022E-2</v>
      </c>
    </row>
    <row r="2920" spans="19:24" x14ac:dyDescent="0.25">
      <c r="S2920" s="44">
        <f t="shared" si="269"/>
        <v>45970</v>
      </c>
      <c r="T2920" s="12">
        <f t="shared" si="270"/>
        <v>3.2345540715031174</v>
      </c>
      <c r="U2920" s="12">
        <f t="shared" si="272"/>
        <v>3.15995591773004</v>
      </c>
      <c r="V2920" s="30">
        <f t="shared" si="273"/>
        <v>0.42412931506849316</v>
      </c>
      <c r="W2920" s="46">
        <f t="shared" si="271"/>
        <v>-3.2345540715031165E-2</v>
      </c>
      <c r="X2920" s="33">
        <f t="shared" si="274"/>
        <v>2.5962432396335083E-2</v>
      </c>
    </row>
    <row r="2921" spans="19:24" x14ac:dyDescent="0.25">
      <c r="S2921" s="44">
        <f t="shared" si="269"/>
        <v>45971</v>
      </c>
      <c r="T2921" s="12">
        <f t="shared" si="270"/>
        <v>3.2318769892015764</v>
      </c>
      <c r="U2921" s="12">
        <f t="shared" si="272"/>
        <v>3.1573047410052508</v>
      </c>
      <c r="V2921" s="30">
        <f t="shared" si="273"/>
        <v>0.42410191780821921</v>
      </c>
      <c r="W2921" s="46">
        <f t="shared" si="271"/>
        <v>-3.2318769892015757E-2</v>
      </c>
      <c r="X2921" s="33">
        <f t="shared" si="274"/>
        <v>2.5962390884062141E-2</v>
      </c>
    </row>
    <row r="2922" spans="19:24" x14ac:dyDescent="0.25">
      <c r="S2922" s="44">
        <f t="shared" si="269"/>
        <v>45972</v>
      </c>
      <c r="T2922" s="12">
        <f t="shared" si="270"/>
        <v>3.2291999069000346</v>
      </c>
      <c r="U2922" s="12">
        <f t="shared" si="272"/>
        <v>3.1546535642804621</v>
      </c>
      <c r="V2922" s="30">
        <f t="shared" si="273"/>
        <v>0.4240745205479452</v>
      </c>
      <c r="W2922" s="46">
        <f t="shared" si="271"/>
        <v>-3.2291999069000342E-2</v>
      </c>
      <c r="X2922" s="33">
        <f t="shared" si="274"/>
        <v>2.5962349371789192E-2</v>
      </c>
    </row>
    <row r="2923" spans="19:24" x14ac:dyDescent="0.25">
      <c r="S2923" s="44">
        <f t="shared" si="269"/>
        <v>45973</v>
      </c>
      <c r="T2923" s="12">
        <f t="shared" si="270"/>
        <v>3.226522824598494</v>
      </c>
      <c r="U2923" s="12">
        <f t="shared" si="272"/>
        <v>3.1520023875556724</v>
      </c>
      <c r="V2923" s="30">
        <f t="shared" si="273"/>
        <v>0.42404712328767125</v>
      </c>
      <c r="W2923" s="46">
        <f t="shared" si="271"/>
        <v>-3.2265228245984934E-2</v>
      </c>
      <c r="X2923" s="33">
        <f t="shared" si="274"/>
        <v>2.596230785951625E-2</v>
      </c>
    </row>
    <row r="2924" spans="19:24" x14ac:dyDescent="0.25">
      <c r="S2924" s="44">
        <f t="shared" si="269"/>
        <v>45974</v>
      </c>
      <c r="T2924" s="12">
        <f t="shared" si="270"/>
        <v>3.2238457422969526</v>
      </c>
      <c r="U2924" s="12">
        <f t="shared" si="272"/>
        <v>3.1493512108308828</v>
      </c>
      <c r="V2924" s="30">
        <f t="shared" si="273"/>
        <v>0.42401972602739724</v>
      </c>
      <c r="W2924" s="46">
        <f t="shared" si="271"/>
        <v>-3.2238457422969519E-2</v>
      </c>
      <c r="X2924" s="33">
        <f t="shared" si="274"/>
        <v>2.5962266347243305E-2</v>
      </c>
    </row>
    <row r="2925" spans="19:24" x14ac:dyDescent="0.25">
      <c r="S2925" s="44">
        <f t="shared" si="269"/>
        <v>45975</v>
      </c>
      <c r="T2925" s="12">
        <f t="shared" si="270"/>
        <v>3.2211686599954117</v>
      </c>
      <c r="U2925" s="12">
        <f t="shared" si="272"/>
        <v>3.1467000341060936</v>
      </c>
      <c r="V2925" s="30">
        <f t="shared" si="273"/>
        <v>0.42399232876712323</v>
      </c>
      <c r="W2925" s="46">
        <f t="shared" si="271"/>
        <v>-3.221168659995411E-2</v>
      </c>
      <c r="X2925" s="33">
        <f t="shared" si="274"/>
        <v>2.5962224834970356E-2</v>
      </c>
    </row>
    <row r="2926" spans="19:24" x14ac:dyDescent="0.25">
      <c r="S2926" s="44">
        <f t="shared" si="269"/>
        <v>45976</v>
      </c>
      <c r="T2926" s="12">
        <f t="shared" si="270"/>
        <v>3.2184915776938707</v>
      </c>
      <c r="U2926" s="12">
        <f t="shared" si="272"/>
        <v>3.1440488573813044</v>
      </c>
      <c r="V2926" s="30">
        <f t="shared" si="273"/>
        <v>0.42396493150684933</v>
      </c>
      <c r="W2926" s="46">
        <f t="shared" si="271"/>
        <v>-3.2184915776938702E-2</v>
      </c>
      <c r="X2926" s="33">
        <f t="shared" si="274"/>
        <v>2.5962183322697421E-2</v>
      </c>
    </row>
    <row r="2927" spans="19:24" x14ac:dyDescent="0.25">
      <c r="S2927" s="44">
        <f t="shared" si="269"/>
        <v>45977</v>
      </c>
      <c r="T2927" s="12">
        <f t="shared" si="270"/>
        <v>3.2158144953923289</v>
      </c>
      <c r="U2927" s="12">
        <f t="shared" si="272"/>
        <v>3.1413976806565147</v>
      </c>
      <c r="V2927" s="30">
        <f t="shared" si="273"/>
        <v>0.42393753424657532</v>
      </c>
      <c r="W2927" s="46">
        <f t="shared" si="271"/>
        <v>-3.2158144953923287E-2</v>
      </c>
      <c r="X2927" s="33">
        <f t="shared" si="274"/>
        <v>2.5962141810424472E-2</v>
      </c>
    </row>
    <row r="2928" spans="19:24" x14ac:dyDescent="0.25">
      <c r="S2928" s="44">
        <f t="shared" si="269"/>
        <v>45978</v>
      </c>
      <c r="T2928" s="12">
        <f t="shared" si="270"/>
        <v>3.2131374130907884</v>
      </c>
      <c r="U2928" s="12">
        <f t="shared" si="272"/>
        <v>3.1387465039317277</v>
      </c>
      <c r="V2928" s="30">
        <f t="shared" si="273"/>
        <v>0.42391013698630137</v>
      </c>
      <c r="W2928" s="46">
        <f t="shared" si="271"/>
        <v>-3.2131374130907879E-2</v>
      </c>
      <c r="X2928" s="33">
        <f t="shared" si="274"/>
        <v>2.596210029815153E-2</v>
      </c>
    </row>
    <row r="2929" spans="19:24" x14ac:dyDescent="0.25">
      <c r="S2929" s="44">
        <f t="shared" si="269"/>
        <v>45979</v>
      </c>
      <c r="T2929" s="12">
        <f t="shared" si="270"/>
        <v>3.2104603307892474</v>
      </c>
      <c r="U2929" s="12">
        <f t="shared" si="272"/>
        <v>3.1360953272069367</v>
      </c>
      <c r="V2929" s="30">
        <f t="shared" si="273"/>
        <v>0.42388273972602741</v>
      </c>
      <c r="W2929" s="46">
        <f t="shared" si="271"/>
        <v>-3.2104603307892471E-2</v>
      </c>
      <c r="X2929" s="33">
        <f t="shared" si="274"/>
        <v>2.5962058785878588E-2</v>
      </c>
    </row>
    <row r="2930" spans="19:24" x14ac:dyDescent="0.25">
      <c r="S2930" s="44">
        <f t="shared" si="269"/>
        <v>45980</v>
      </c>
      <c r="T2930" s="12">
        <f t="shared" si="270"/>
        <v>3.2077832484877056</v>
      </c>
      <c r="U2930" s="12">
        <f t="shared" si="272"/>
        <v>3.1334441504821475</v>
      </c>
      <c r="V2930" s="30">
        <f t="shared" si="273"/>
        <v>0.4238553424657534</v>
      </c>
      <c r="W2930" s="46">
        <f t="shared" si="271"/>
        <v>-3.2077832484877049E-2</v>
      </c>
      <c r="X2930" s="33">
        <f t="shared" si="274"/>
        <v>2.5962017273605642E-2</v>
      </c>
    </row>
    <row r="2931" spans="19:24" x14ac:dyDescent="0.25">
      <c r="S2931" s="44">
        <f t="shared" ref="S2931:S2994" si="275">+S2930+1</f>
        <v>45981</v>
      </c>
      <c r="T2931" s="12">
        <f t="shared" ref="T2931:T2994" si="276">DurMod(S2931,B$2,$F$7:$G$37,$T$3)</f>
        <v>3.2051061661861646</v>
      </c>
      <c r="U2931" s="12">
        <f t="shared" si="272"/>
        <v>3.1307929737573579</v>
      </c>
      <c r="V2931" s="30">
        <f t="shared" si="273"/>
        <v>0.42382794520547939</v>
      </c>
      <c r="W2931" s="46">
        <f t="shared" ref="W2931:W2994" si="277">+-T2931*($U$3-$T$3)</f>
        <v>-3.2051061661861641E-2</v>
      </c>
      <c r="X2931" s="33">
        <f t="shared" si="274"/>
        <v>2.5961975761332693E-2</v>
      </c>
    </row>
    <row r="2932" spans="19:24" x14ac:dyDescent="0.25">
      <c r="S2932" s="44">
        <f t="shared" si="275"/>
        <v>45982</v>
      </c>
      <c r="T2932" s="12">
        <f t="shared" si="276"/>
        <v>3.2024290838846232</v>
      </c>
      <c r="U2932" s="12">
        <f t="shared" si="272"/>
        <v>3.1281417970325687</v>
      </c>
      <c r="V2932" s="30">
        <f t="shared" si="273"/>
        <v>0.4238005479452055</v>
      </c>
      <c r="W2932" s="46">
        <f t="shared" si="277"/>
        <v>-3.2024290838846226E-2</v>
      </c>
      <c r="X2932" s="33">
        <f t="shared" si="274"/>
        <v>2.5961934249059758E-2</v>
      </c>
    </row>
    <row r="2933" spans="19:24" x14ac:dyDescent="0.25">
      <c r="S2933" s="44">
        <f t="shared" si="275"/>
        <v>45983</v>
      </c>
      <c r="T2933" s="12">
        <f t="shared" si="276"/>
        <v>3.1997520015830823</v>
      </c>
      <c r="U2933" s="12">
        <f t="shared" si="272"/>
        <v>3.1254906203077804</v>
      </c>
      <c r="V2933" s="30">
        <f t="shared" si="273"/>
        <v>0.42377315068493149</v>
      </c>
      <c r="W2933" s="46">
        <f t="shared" si="277"/>
        <v>-3.1997520015830817E-2</v>
      </c>
      <c r="X2933" s="33">
        <f t="shared" si="274"/>
        <v>2.5961892736786809E-2</v>
      </c>
    </row>
    <row r="2934" spans="19:24" x14ac:dyDescent="0.25">
      <c r="S2934" s="44">
        <f t="shared" si="275"/>
        <v>45984</v>
      </c>
      <c r="T2934" s="12">
        <f t="shared" si="276"/>
        <v>3.1970749192815409</v>
      </c>
      <c r="U2934" s="12">
        <f t="shared" si="272"/>
        <v>3.1228394435829894</v>
      </c>
      <c r="V2934" s="30">
        <f t="shared" si="273"/>
        <v>0.42374575342465748</v>
      </c>
      <c r="W2934" s="46">
        <f t="shared" si="277"/>
        <v>-3.1970749192815402E-2</v>
      </c>
      <c r="X2934" s="33">
        <f t="shared" si="274"/>
        <v>2.5961851224513863E-2</v>
      </c>
    </row>
    <row r="2935" spans="19:24" x14ac:dyDescent="0.25">
      <c r="S2935" s="44">
        <f t="shared" si="275"/>
        <v>45985</v>
      </c>
      <c r="T2935" s="12">
        <f t="shared" si="276"/>
        <v>3.1943978369799999</v>
      </c>
      <c r="U2935" s="12">
        <f t="shared" si="272"/>
        <v>3.1201882668582002</v>
      </c>
      <c r="V2935" s="30">
        <f t="shared" si="273"/>
        <v>0.42371835616438358</v>
      </c>
      <c r="W2935" s="46">
        <f t="shared" si="277"/>
        <v>-3.1943978369799994E-2</v>
      </c>
      <c r="X2935" s="33">
        <f t="shared" si="274"/>
        <v>2.5961809712240921E-2</v>
      </c>
    </row>
    <row r="2936" spans="19:24" x14ac:dyDescent="0.25">
      <c r="S2936" s="44">
        <f t="shared" si="275"/>
        <v>45986</v>
      </c>
      <c r="T2936" s="12">
        <f t="shared" si="276"/>
        <v>3.1917207546784581</v>
      </c>
      <c r="U2936" s="12">
        <f t="shared" si="272"/>
        <v>3.1175370901334127</v>
      </c>
      <c r="V2936" s="30">
        <f t="shared" si="273"/>
        <v>0.42369095890410957</v>
      </c>
      <c r="W2936" s="46">
        <f t="shared" si="277"/>
        <v>-3.1917207546784579E-2</v>
      </c>
      <c r="X2936" s="33">
        <f t="shared" si="274"/>
        <v>2.5961768199967979E-2</v>
      </c>
    </row>
    <row r="2937" spans="19:24" x14ac:dyDescent="0.25">
      <c r="S2937" s="44">
        <f t="shared" si="275"/>
        <v>45987</v>
      </c>
      <c r="T2937" s="12">
        <f t="shared" si="276"/>
        <v>3.1890436723769175</v>
      </c>
      <c r="U2937" s="12">
        <f t="shared" si="272"/>
        <v>3.1148859134086222</v>
      </c>
      <c r="V2937" s="30">
        <f t="shared" si="273"/>
        <v>0.42366356164383556</v>
      </c>
      <c r="W2937" s="46">
        <f t="shared" si="277"/>
        <v>-3.1890436723769171E-2</v>
      </c>
      <c r="X2937" s="33">
        <f t="shared" si="274"/>
        <v>2.596172668769503E-2</v>
      </c>
    </row>
    <row r="2938" spans="19:24" x14ac:dyDescent="0.25">
      <c r="S2938" s="44">
        <f t="shared" si="275"/>
        <v>45988</v>
      </c>
      <c r="T2938" s="12">
        <f t="shared" si="276"/>
        <v>3.1863665900753766</v>
      </c>
      <c r="U2938" s="12">
        <f t="shared" si="272"/>
        <v>3.112234736683833</v>
      </c>
      <c r="V2938" s="30">
        <f t="shared" si="273"/>
        <v>0.42363616438356166</v>
      </c>
      <c r="W2938" s="46">
        <f t="shared" si="277"/>
        <v>-3.1863665900753763E-2</v>
      </c>
      <c r="X2938" s="33">
        <f t="shared" si="274"/>
        <v>2.5961685175422095E-2</v>
      </c>
    </row>
    <row r="2939" spans="19:24" x14ac:dyDescent="0.25">
      <c r="S2939" s="44">
        <f t="shared" si="275"/>
        <v>45989</v>
      </c>
      <c r="T2939" s="12">
        <f t="shared" si="276"/>
        <v>3.1836895077738347</v>
      </c>
      <c r="U2939" s="12">
        <f t="shared" si="272"/>
        <v>3.1095835599590438</v>
      </c>
      <c r="V2939" s="30">
        <f t="shared" si="273"/>
        <v>0.42360876712328766</v>
      </c>
      <c r="W2939" s="46">
        <f t="shared" si="277"/>
        <v>-3.1836895077738341E-2</v>
      </c>
      <c r="X2939" s="33">
        <f t="shared" si="274"/>
        <v>2.596164366314915E-2</v>
      </c>
    </row>
    <row r="2940" spans="19:24" x14ac:dyDescent="0.25">
      <c r="S2940" s="44">
        <f t="shared" si="275"/>
        <v>45990</v>
      </c>
      <c r="T2940" s="12">
        <f t="shared" si="276"/>
        <v>3.1810124254722942</v>
      </c>
      <c r="U2940" s="12">
        <f t="shared" si="272"/>
        <v>3.1069323832342541</v>
      </c>
      <c r="V2940" s="30">
        <f t="shared" si="273"/>
        <v>0.42358136986301365</v>
      </c>
      <c r="W2940" s="46">
        <f t="shared" si="277"/>
        <v>-3.1810124254722939E-2</v>
      </c>
      <c r="X2940" s="33">
        <f t="shared" si="274"/>
        <v>2.5961602150876201E-2</v>
      </c>
    </row>
    <row r="2941" spans="19:24" x14ac:dyDescent="0.25">
      <c r="S2941" s="44">
        <f t="shared" si="275"/>
        <v>45991</v>
      </c>
      <c r="T2941" s="12">
        <f t="shared" si="276"/>
        <v>3.1783353431707528</v>
      </c>
      <c r="U2941" s="12">
        <f t="shared" si="272"/>
        <v>3.1042812065094658</v>
      </c>
      <c r="V2941" s="30">
        <f t="shared" si="273"/>
        <v>0.42355397260273975</v>
      </c>
      <c r="W2941" s="46">
        <f t="shared" si="277"/>
        <v>-3.1783353431707524E-2</v>
      </c>
      <c r="X2941" s="33">
        <f t="shared" si="274"/>
        <v>2.5961560638603266E-2</v>
      </c>
    </row>
    <row r="2942" spans="19:24" x14ac:dyDescent="0.25">
      <c r="S2942" s="44">
        <f t="shared" si="275"/>
        <v>45992</v>
      </c>
      <c r="T2942" s="12">
        <f t="shared" si="276"/>
        <v>3.1756582608692105</v>
      </c>
      <c r="U2942" s="12">
        <f t="shared" si="272"/>
        <v>3.1016300297846762</v>
      </c>
      <c r="V2942" s="30">
        <f t="shared" si="273"/>
        <v>0.42352657534246574</v>
      </c>
      <c r="W2942" s="46">
        <f t="shared" si="277"/>
        <v>-3.1756582608692102E-2</v>
      </c>
      <c r="X2942" s="33">
        <f t="shared" si="274"/>
        <v>2.5961519126330317E-2</v>
      </c>
    </row>
    <row r="2943" spans="19:24" x14ac:dyDescent="0.25">
      <c r="S2943" s="44">
        <f t="shared" si="275"/>
        <v>45993</v>
      </c>
      <c r="T2943" s="12">
        <f t="shared" si="276"/>
        <v>3.1729811785676696</v>
      </c>
      <c r="U2943" s="12">
        <f t="shared" si="272"/>
        <v>3.0989788530598861</v>
      </c>
      <c r="V2943" s="30">
        <f t="shared" si="273"/>
        <v>0.42349917808219173</v>
      </c>
      <c r="W2943" s="46">
        <f t="shared" si="277"/>
        <v>-3.1729811785676694E-2</v>
      </c>
      <c r="X2943" s="33">
        <f t="shared" si="274"/>
        <v>2.5961477614057371E-2</v>
      </c>
    </row>
    <row r="2944" spans="19:24" x14ac:dyDescent="0.25">
      <c r="S2944" s="44">
        <f t="shared" si="275"/>
        <v>45994</v>
      </c>
      <c r="T2944" s="12">
        <f t="shared" si="276"/>
        <v>3.1703040962661286</v>
      </c>
      <c r="U2944" s="12">
        <f t="shared" si="272"/>
        <v>3.0963276763350969</v>
      </c>
      <c r="V2944" s="30">
        <f t="shared" si="273"/>
        <v>0.42347178082191783</v>
      </c>
      <c r="W2944" s="46">
        <f t="shared" si="277"/>
        <v>-3.1703040962661279E-2</v>
      </c>
      <c r="X2944" s="33">
        <f t="shared" si="274"/>
        <v>2.5961436101784429E-2</v>
      </c>
    </row>
    <row r="2945" spans="19:24" x14ac:dyDescent="0.25">
      <c r="S2945" s="44">
        <f t="shared" si="275"/>
        <v>45995</v>
      </c>
      <c r="T2945" s="12">
        <f t="shared" si="276"/>
        <v>3.1676270139645881</v>
      </c>
      <c r="U2945" s="12">
        <f t="shared" si="272"/>
        <v>3.0936764996103077</v>
      </c>
      <c r="V2945" s="30">
        <f t="shared" si="273"/>
        <v>0.42344438356164382</v>
      </c>
      <c r="W2945" s="46">
        <f t="shared" si="277"/>
        <v>-3.1676270139645878E-2</v>
      </c>
      <c r="X2945" s="33">
        <f t="shared" si="274"/>
        <v>2.5961394589511487E-2</v>
      </c>
    </row>
    <row r="2946" spans="19:24" x14ac:dyDescent="0.25">
      <c r="S2946" s="44">
        <f t="shared" si="275"/>
        <v>45996</v>
      </c>
      <c r="T2946" s="12">
        <f t="shared" si="276"/>
        <v>3.1649499316630467</v>
      </c>
      <c r="U2946" s="12">
        <f t="shared" si="272"/>
        <v>3.091025322885518</v>
      </c>
      <c r="V2946" s="30">
        <f t="shared" si="273"/>
        <v>0.42341698630136981</v>
      </c>
      <c r="W2946" s="46">
        <f t="shared" si="277"/>
        <v>-3.1649499316630463E-2</v>
      </c>
      <c r="X2946" s="33">
        <f t="shared" si="274"/>
        <v>2.5961353077238538E-2</v>
      </c>
    </row>
    <row r="2947" spans="19:24" x14ac:dyDescent="0.25">
      <c r="S2947" s="44">
        <f t="shared" si="275"/>
        <v>45997</v>
      </c>
      <c r="T2947" s="12">
        <f t="shared" si="276"/>
        <v>3.1622728493615058</v>
      </c>
      <c r="U2947" s="12">
        <f t="shared" si="272"/>
        <v>3.0883741461607292</v>
      </c>
      <c r="V2947" s="30">
        <f t="shared" si="273"/>
        <v>0.42338958904109592</v>
      </c>
      <c r="W2947" s="46">
        <f t="shared" si="277"/>
        <v>-3.1622728493615054E-2</v>
      </c>
      <c r="X2947" s="33">
        <f t="shared" si="274"/>
        <v>2.5961311564965603E-2</v>
      </c>
    </row>
    <row r="2948" spans="19:24" x14ac:dyDescent="0.25">
      <c r="S2948" s="44">
        <f t="shared" si="275"/>
        <v>45998</v>
      </c>
      <c r="T2948" s="12">
        <f t="shared" si="276"/>
        <v>3.1595957670599635</v>
      </c>
      <c r="U2948" s="12">
        <f t="shared" si="272"/>
        <v>3.0857229694359396</v>
      </c>
      <c r="V2948" s="30">
        <f t="shared" si="273"/>
        <v>0.42336219178082191</v>
      </c>
      <c r="W2948" s="46">
        <f t="shared" si="277"/>
        <v>-3.1595957670599632E-2</v>
      </c>
      <c r="X2948" s="33">
        <f t="shared" si="274"/>
        <v>2.596127005269265E-2</v>
      </c>
    </row>
    <row r="2949" spans="19:24" x14ac:dyDescent="0.25">
      <c r="S2949" s="44">
        <f t="shared" si="275"/>
        <v>45999</v>
      </c>
      <c r="T2949" s="12">
        <f t="shared" si="276"/>
        <v>3.1569186847584234</v>
      </c>
      <c r="U2949" s="12">
        <f t="shared" ref="U2949:U3012" si="278">DurMod($S2949,$B$2,$F$7:$G$37,U$3)</f>
        <v>3.0830717927111513</v>
      </c>
      <c r="V2949" s="30">
        <f t="shared" ref="V2949:V3012" si="279">+$U$3*($S$5512-S2949)/365+$T$3*(S2949-$S$4)/365</f>
        <v>0.4233347945205479</v>
      </c>
      <c r="W2949" s="46">
        <f t="shared" si="277"/>
        <v>-3.1569186847584231E-2</v>
      </c>
      <c r="X2949" s="33">
        <f t="shared" ref="X2949:X3012" si="280">+(V2949+W2949)*365/($S$5512-$S$4)</f>
        <v>2.5961228540419701E-2</v>
      </c>
    </row>
    <row r="2950" spans="19:24" x14ac:dyDescent="0.25">
      <c r="S2950" s="44">
        <f t="shared" si="275"/>
        <v>46000</v>
      </c>
      <c r="T2950" s="12">
        <f t="shared" si="276"/>
        <v>3.1542416024568811</v>
      </c>
      <c r="U2950" s="12">
        <f t="shared" si="278"/>
        <v>3.0804206159863607</v>
      </c>
      <c r="V2950" s="30">
        <f t="shared" si="279"/>
        <v>0.423307397260274</v>
      </c>
      <c r="W2950" s="46">
        <f t="shared" si="277"/>
        <v>-3.1542416024568809E-2</v>
      </c>
      <c r="X2950" s="33">
        <f t="shared" si="280"/>
        <v>2.5961187028146766E-2</v>
      </c>
    </row>
    <row r="2951" spans="19:24" x14ac:dyDescent="0.25">
      <c r="S2951" s="44">
        <f t="shared" si="275"/>
        <v>46001</v>
      </c>
      <c r="T2951" s="12">
        <f t="shared" si="276"/>
        <v>3.1515645201553406</v>
      </c>
      <c r="U2951" s="12">
        <f t="shared" si="278"/>
        <v>3.0777694392615715</v>
      </c>
      <c r="V2951" s="30">
        <f t="shared" si="279"/>
        <v>0.42327999999999999</v>
      </c>
      <c r="W2951" s="46">
        <f t="shared" si="277"/>
        <v>-3.1515645201553401E-2</v>
      </c>
      <c r="X2951" s="33">
        <f t="shared" si="280"/>
        <v>2.5961145515873817E-2</v>
      </c>
    </row>
    <row r="2952" spans="19:24" x14ac:dyDescent="0.25">
      <c r="S2952" s="44">
        <f t="shared" si="275"/>
        <v>46002</v>
      </c>
      <c r="T2952" s="12">
        <f t="shared" si="276"/>
        <v>3.1488874378537992</v>
      </c>
      <c r="U2952" s="12">
        <f t="shared" si="278"/>
        <v>3.0751182625367823</v>
      </c>
      <c r="V2952" s="30">
        <f t="shared" si="279"/>
        <v>0.42325260273972598</v>
      </c>
      <c r="W2952" s="46">
        <f t="shared" si="277"/>
        <v>-3.1488874378537986E-2</v>
      </c>
      <c r="X2952" s="33">
        <f t="shared" si="280"/>
        <v>2.5961104003600875E-2</v>
      </c>
    </row>
    <row r="2953" spans="19:24" x14ac:dyDescent="0.25">
      <c r="S2953" s="44">
        <f t="shared" si="275"/>
        <v>46003</v>
      </c>
      <c r="T2953" s="12">
        <f t="shared" si="276"/>
        <v>3.1462103555522578</v>
      </c>
      <c r="U2953" s="12">
        <f t="shared" si="278"/>
        <v>3.0724670858119936</v>
      </c>
      <c r="V2953" s="30">
        <f t="shared" si="279"/>
        <v>0.42322520547945208</v>
      </c>
      <c r="W2953" s="46">
        <f t="shared" si="277"/>
        <v>-3.1462103555522571E-2</v>
      </c>
      <c r="X2953" s="33">
        <f t="shared" si="280"/>
        <v>2.5961062491327933E-2</v>
      </c>
    </row>
    <row r="2954" spans="19:24" x14ac:dyDescent="0.25">
      <c r="S2954" s="44">
        <f t="shared" si="275"/>
        <v>46004</v>
      </c>
      <c r="T2954" s="12">
        <f t="shared" si="276"/>
        <v>3.1435332732507177</v>
      </c>
      <c r="U2954" s="12">
        <f t="shared" si="278"/>
        <v>3.0698159090872044</v>
      </c>
      <c r="V2954" s="30">
        <f t="shared" si="279"/>
        <v>0.42319780821917807</v>
      </c>
      <c r="W2954" s="46">
        <f t="shared" si="277"/>
        <v>-3.1435332732507169E-2</v>
      </c>
      <c r="X2954" s="33">
        <f t="shared" si="280"/>
        <v>2.5961020979054991E-2</v>
      </c>
    </row>
    <row r="2955" spans="19:24" x14ac:dyDescent="0.25">
      <c r="S2955" s="44">
        <f t="shared" si="275"/>
        <v>46005</v>
      </c>
      <c r="T2955" s="12">
        <f t="shared" si="276"/>
        <v>3.1408561909491759</v>
      </c>
      <c r="U2955" s="12">
        <f t="shared" si="278"/>
        <v>3.0671647323624152</v>
      </c>
      <c r="V2955" s="30">
        <f t="shared" si="279"/>
        <v>0.42317041095890412</v>
      </c>
      <c r="W2955" s="46">
        <f t="shared" si="277"/>
        <v>-3.1408561909491754E-2</v>
      </c>
      <c r="X2955" s="33">
        <f t="shared" si="280"/>
        <v>2.5960979466782046E-2</v>
      </c>
    </row>
    <row r="2956" spans="19:24" x14ac:dyDescent="0.25">
      <c r="S2956" s="44">
        <f t="shared" si="275"/>
        <v>46006</v>
      </c>
      <c r="T2956" s="12">
        <f t="shared" si="276"/>
        <v>3.4175937753144656</v>
      </c>
      <c r="U2956" s="12">
        <f t="shared" si="278"/>
        <v>3.3467550997348323</v>
      </c>
      <c r="V2956" s="30">
        <f t="shared" si="279"/>
        <v>0.42314301369863017</v>
      </c>
      <c r="W2956" s="46">
        <f t="shared" si="277"/>
        <v>-3.4175937753144654E-2</v>
      </c>
      <c r="X2956" s="33">
        <f t="shared" si="280"/>
        <v>2.5775777545407084E-2</v>
      </c>
    </row>
    <row r="2957" spans="19:24" x14ac:dyDescent="0.25">
      <c r="S2957" s="44">
        <f t="shared" si="275"/>
        <v>46007</v>
      </c>
      <c r="T2957" s="12">
        <f t="shared" si="276"/>
        <v>3.4149166930129247</v>
      </c>
      <c r="U2957" s="12">
        <f t="shared" si="278"/>
        <v>3.3441039230100427</v>
      </c>
      <c r="V2957" s="30">
        <f t="shared" si="279"/>
        <v>0.42311561643835616</v>
      </c>
      <c r="W2957" s="46">
        <f t="shared" si="277"/>
        <v>-3.4149166930129239E-2</v>
      </c>
      <c r="X2957" s="33">
        <f t="shared" si="280"/>
        <v>2.5775736033134135E-2</v>
      </c>
    </row>
    <row r="2958" spans="19:24" x14ac:dyDescent="0.25">
      <c r="S2958" s="44">
        <f t="shared" si="275"/>
        <v>46008</v>
      </c>
      <c r="T2958" s="12">
        <f t="shared" si="276"/>
        <v>3.4122396107113828</v>
      </c>
      <c r="U2958" s="12">
        <f t="shared" si="278"/>
        <v>3.3414527462852543</v>
      </c>
      <c r="V2958" s="30">
        <f t="shared" si="279"/>
        <v>0.42308821917808215</v>
      </c>
      <c r="W2958" s="46">
        <f t="shared" si="277"/>
        <v>-3.4122396107113824E-2</v>
      </c>
      <c r="X2958" s="33">
        <f t="shared" si="280"/>
        <v>2.5775694520861193E-2</v>
      </c>
    </row>
    <row r="2959" spans="19:24" x14ac:dyDescent="0.25">
      <c r="S2959" s="44">
        <f t="shared" si="275"/>
        <v>46009</v>
      </c>
      <c r="T2959" s="12">
        <f t="shared" si="276"/>
        <v>3.4095625284098428</v>
      </c>
      <c r="U2959" s="12">
        <f t="shared" si="278"/>
        <v>3.3388015695604643</v>
      </c>
      <c r="V2959" s="30">
        <f t="shared" si="279"/>
        <v>0.42306082191780825</v>
      </c>
      <c r="W2959" s="46">
        <f t="shared" si="277"/>
        <v>-3.4095625284098423E-2</v>
      </c>
      <c r="X2959" s="33">
        <f t="shared" si="280"/>
        <v>2.5775653008588251E-2</v>
      </c>
    </row>
    <row r="2960" spans="19:24" x14ac:dyDescent="0.25">
      <c r="S2960" s="44">
        <f t="shared" si="275"/>
        <v>46010</v>
      </c>
      <c r="T2960" s="12">
        <f t="shared" si="276"/>
        <v>3.4068854461083018</v>
      </c>
      <c r="U2960" s="12">
        <f t="shared" si="278"/>
        <v>3.3361503928356764</v>
      </c>
      <c r="V2960" s="30">
        <f t="shared" si="279"/>
        <v>0.42303342465753424</v>
      </c>
      <c r="W2960" s="46">
        <f t="shared" si="277"/>
        <v>-3.4068854461083015E-2</v>
      </c>
      <c r="X2960" s="33">
        <f t="shared" si="280"/>
        <v>2.5775611496315305E-2</v>
      </c>
    </row>
    <row r="2961" spans="19:24" x14ac:dyDescent="0.25">
      <c r="S2961" s="44">
        <f t="shared" si="275"/>
        <v>46011</v>
      </c>
      <c r="T2961" s="12">
        <f t="shared" si="276"/>
        <v>3.4042083638067604</v>
      </c>
      <c r="U2961" s="12">
        <f t="shared" si="278"/>
        <v>3.3334992161108854</v>
      </c>
      <c r="V2961" s="30">
        <f t="shared" si="279"/>
        <v>0.42300602739726029</v>
      </c>
      <c r="W2961" s="46">
        <f t="shared" si="277"/>
        <v>-3.40420836380676E-2</v>
      </c>
      <c r="X2961" s="33">
        <f t="shared" si="280"/>
        <v>2.5775569984042363E-2</v>
      </c>
    </row>
    <row r="2962" spans="19:24" x14ac:dyDescent="0.25">
      <c r="S2962" s="44">
        <f t="shared" si="275"/>
        <v>46012</v>
      </c>
      <c r="T2962" s="12">
        <f t="shared" si="276"/>
        <v>3.4015312815052199</v>
      </c>
      <c r="U2962" s="12">
        <f t="shared" si="278"/>
        <v>3.3308480393860966</v>
      </c>
      <c r="V2962" s="30">
        <f t="shared" si="279"/>
        <v>0.42297863013698633</v>
      </c>
      <c r="W2962" s="46">
        <f t="shared" si="277"/>
        <v>-3.4015312815052191E-2</v>
      </c>
      <c r="X2962" s="33">
        <f t="shared" si="280"/>
        <v>2.5775528471769421E-2</v>
      </c>
    </row>
    <row r="2963" spans="19:24" x14ac:dyDescent="0.25">
      <c r="S2963" s="44">
        <f t="shared" si="275"/>
        <v>46013</v>
      </c>
      <c r="T2963" s="12">
        <f t="shared" si="276"/>
        <v>3.398854199203678</v>
      </c>
      <c r="U2963" s="12">
        <f t="shared" si="278"/>
        <v>3.3281968626613079</v>
      </c>
      <c r="V2963" s="30">
        <f t="shared" si="279"/>
        <v>0.42295123287671232</v>
      </c>
      <c r="W2963" s="46">
        <f t="shared" si="277"/>
        <v>-3.3988541992036776E-2</v>
      </c>
      <c r="X2963" s="33">
        <f t="shared" si="280"/>
        <v>2.5775486959496472E-2</v>
      </c>
    </row>
    <row r="2964" spans="19:24" x14ac:dyDescent="0.25">
      <c r="S2964" s="44">
        <f t="shared" si="275"/>
        <v>46014</v>
      </c>
      <c r="T2964" s="12">
        <f t="shared" si="276"/>
        <v>3.3961771169021371</v>
      </c>
      <c r="U2964" s="12">
        <f t="shared" si="278"/>
        <v>3.3255456859365178</v>
      </c>
      <c r="V2964" s="30">
        <f t="shared" si="279"/>
        <v>0.42292383561643832</v>
      </c>
      <c r="W2964" s="46">
        <f t="shared" si="277"/>
        <v>-3.3961771169021368E-2</v>
      </c>
      <c r="X2964" s="33">
        <f t="shared" si="280"/>
        <v>2.5775445447223527E-2</v>
      </c>
    </row>
    <row r="2965" spans="19:24" x14ac:dyDescent="0.25">
      <c r="S2965" s="44">
        <f t="shared" si="275"/>
        <v>46015</v>
      </c>
      <c r="T2965" s="12">
        <f t="shared" si="276"/>
        <v>3.3935000346005952</v>
      </c>
      <c r="U2965" s="12">
        <f t="shared" si="278"/>
        <v>3.3228945092117286</v>
      </c>
      <c r="V2965" s="30">
        <f t="shared" si="279"/>
        <v>0.42289643835616442</v>
      </c>
      <c r="W2965" s="46">
        <f t="shared" si="277"/>
        <v>-3.3935000346005946E-2</v>
      </c>
      <c r="X2965" s="33">
        <f t="shared" si="280"/>
        <v>2.5775403934950588E-2</v>
      </c>
    </row>
    <row r="2966" spans="19:24" x14ac:dyDescent="0.25">
      <c r="S2966" s="44">
        <f t="shared" si="275"/>
        <v>46016</v>
      </c>
      <c r="T2966" s="12">
        <f t="shared" si="276"/>
        <v>3.3908229522990534</v>
      </c>
      <c r="U2966" s="12">
        <f t="shared" si="278"/>
        <v>3.3202433324869389</v>
      </c>
      <c r="V2966" s="30">
        <f t="shared" si="279"/>
        <v>0.42286904109589041</v>
      </c>
      <c r="W2966" s="46">
        <f t="shared" si="277"/>
        <v>-3.3908229522990531E-2</v>
      </c>
      <c r="X2966" s="33">
        <f t="shared" si="280"/>
        <v>2.5775362422677642E-2</v>
      </c>
    </row>
    <row r="2967" spans="19:24" x14ac:dyDescent="0.25">
      <c r="S2967" s="44">
        <f t="shared" si="275"/>
        <v>46017</v>
      </c>
      <c r="T2967" s="12">
        <f t="shared" si="276"/>
        <v>3.3881458699975138</v>
      </c>
      <c r="U2967" s="12">
        <f t="shared" si="278"/>
        <v>3.3175921557621511</v>
      </c>
      <c r="V2967" s="30">
        <f t="shared" si="279"/>
        <v>0.4228416438356164</v>
      </c>
      <c r="W2967" s="46">
        <f t="shared" si="277"/>
        <v>-3.388145869997513E-2</v>
      </c>
      <c r="X2967" s="33">
        <f t="shared" si="280"/>
        <v>2.5775320910404693E-2</v>
      </c>
    </row>
    <row r="2968" spans="19:24" x14ac:dyDescent="0.25">
      <c r="S2968" s="44">
        <f t="shared" si="275"/>
        <v>46018</v>
      </c>
      <c r="T2968" s="12">
        <f t="shared" si="276"/>
        <v>3.3854687876959715</v>
      </c>
      <c r="U2968" s="12">
        <f t="shared" si="278"/>
        <v>3.3149409790373614</v>
      </c>
      <c r="V2968" s="30">
        <f t="shared" si="279"/>
        <v>0.4228142465753425</v>
      </c>
      <c r="W2968" s="46">
        <f t="shared" si="277"/>
        <v>-3.3854687876959708E-2</v>
      </c>
      <c r="X2968" s="33">
        <f t="shared" si="280"/>
        <v>2.5775279398131758E-2</v>
      </c>
    </row>
    <row r="2969" spans="19:24" x14ac:dyDescent="0.25">
      <c r="S2969" s="44">
        <f t="shared" si="275"/>
        <v>46019</v>
      </c>
      <c r="T2969" s="12">
        <f t="shared" si="276"/>
        <v>3.382791705394431</v>
      </c>
      <c r="U2969" s="12">
        <f t="shared" si="278"/>
        <v>3.3122898023125713</v>
      </c>
      <c r="V2969" s="30">
        <f t="shared" si="279"/>
        <v>0.42278684931506849</v>
      </c>
      <c r="W2969" s="46">
        <f t="shared" si="277"/>
        <v>-3.3827917053944306E-2</v>
      </c>
      <c r="X2969" s="33">
        <f t="shared" si="280"/>
        <v>2.5775237885858809E-2</v>
      </c>
    </row>
    <row r="2970" spans="19:24" x14ac:dyDescent="0.25">
      <c r="S2970" s="44">
        <f t="shared" si="275"/>
        <v>46020</v>
      </c>
      <c r="T2970" s="12">
        <f t="shared" si="276"/>
        <v>3.3801146230928891</v>
      </c>
      <c r="U2970" s="12">
        <f t="shared" si="278"/>
        <v>3.309638625587783</v>
      </c>
      <c r="V2970" s="30">
        <f t="shared" si="279"/>
        <v>0.42275945205479448</v>
      </c>
      <c r="W2970" s="46">
        <f t="shared" si="277"/>
        <v>-3.3801146230928884E-2</v>
      </c>
      <c r="X2970" s="33">
        <f t="shared" si="280"/>
        <v>2.5775196373585864E-2</v>
      </c>
    </row>
    <row r="2971" spans="19:24" x14ac:dyDescent="0.25">
      <c r="S2971" s="44">
        <f t="shared" si="275"/>
        <v>46021</v>
      </c>
      <c r="T2971" s="12">
        <f t="shared" si="276"/>
        <v>3.3774375407913486</v>
      </c>
      <c r="U2971" s="12">
        <f t="shared" si="278"/>
        <v>3.3069874488629929</v>
      </c>
      <c r="V2971" s="30">
        <f t="shared" si="279"/>
        <v>0.42273205479452058</v>
      </c>
      <c r="W2971" s="46">
        <f t="shared" si="277"/>
        <v>-3.3774375407913483E-2</v>
      </c>
      <c r="X2971" s="33">
        <f t="shared" si="280"/>
        <v>2.5775154861312922E-2</v>
      </c>
    </row>
    <row r="2972" spans="19:24" x14ac:dyDescent="0.25">
      <c r="S2972" s="44">
        <f t="shared" si="275"/>
        <v>46022</v>
      </c>
      <c r="T2972" s="12">
        <f t="shared" si="276"/>
        <v>3.3747604584898068</v>
      </c>
      <c r="U2972" s="12">
        <f t="shared" si="278"/>
        <v>3.3043362721382037</v>
      </c>
      <c r="V2972" s="30">
        <f t="shared" si="279"/>
        <v>0.42270465753424658</v>
      </c>
      <c r="W2972" s="46">
        <f t="shared" si="277"/>
        <v>-3.3747604584898061E-2</v>
      </c>
      <c r="X2972" s="33">
        <f t="shared" si="280"/>
        <v>2.577511334903998E-2</v>
      </c>
    </row>
    <row r="2973" spans="19:24" x14ac:dyDescent="0.25">
      <c r="S2973" s="44">
        <f t="shared" si="275"/>
        <v>46023</v>
      </c>
      <c r="T2973" s="12">
        <f t="shared" si="276"/>
        <v>3.3720833761882663</v>
      </c>
      <c r="U2973" s="12">
        <f t="shared" si="278"/>
        <v>3.3016850954134145</v>
      </c>
      <c r="V2973" s="30">
        <f t="shared" si="279"/>
        <v>0.42267726027397257</v>
      </c>
      <c r="W2973" s="46">
        <f t="shared" si="277"/>
        <v>-3.372083376188266E-2</v>
      </c>
      <c r="X2973" s="33">
        <f t="shared" si="280"/>
        <v>2.5775071836767031E-2</v>
      </c>
    </row>
    <row r="2974" spans="19:24" x14ac:dyDescent="0.25">
      <c r="S2974" s="44">
        <f t="shared" si="275"/>
        <v>46024</v>
      </c>
      <c r="T2974" s="12">
        <f t="shared" si="276"/>
        <v>3.3694062938867253</v>
      </c>
      <c r="U2974" s="12">
        <f t="shared" si="278"/>
        <v>3.2990339186886248</v>
      </c>
      <c r="V2974" s="30">
        <f t="shared" si="279"/>
        <v>0.42264986301369867</v>
      </c>
      <c r="W2974" s="46">
        <f t="shared" si="277"/>
        <v>-3.3694062938867245E-2</v>
      </c>
      <c r="X2974" s="33">
        <f t="shared" si="280"/>
        <v>2.5775030324494096E-2</v>
      </c>
    </row>
    <row r="2975" spans="19:24" x14ac:dyDescent="0.25">
      <c r="S2975" s="44">
        <f t="shared" si="275"/>
        <v>46025</v>
      </c>
      <c r="T2975" s="12">
        <f t="shared" si="276"/>
        <v>3.3667292115851843</v>
      </c>
      <c r="U2975" s="12">
        <f t="shared" si="278"/>
        <v>3.2963827419638365</v>
      </c>
      <c r="V2975" s="30">
        <f t="shared" si="279"/>
        <v>0.42262246575342466</v>
      </c>
      <c r="W2975" s="46">
        <f t="shared" si="277"/>
        <v>-3.3667292115851837E-2</v>
      </c>
      <c r="X2975" s="33">
        <f t="shared" si="280"/>
        <v>2.577498881222115E-2</v>
      </c>
    </row>
    <row r="2976" spans="19:24" x14ac:dyDescent="0.25">
      <c r="S2976" s="44">
        <f t="shared" si="275"/>
        <v>46026</v>
      </c>
      <c r="T2976" s="12">
        <f t="shared" si="276"/>
        <v>3.3640521292836421</v>
      </c>
      <c r="U2976" s="12">
        <f t="shared" si="278"/>
        <v>3.2937315652390473</v>
      </c>
      <c r="V2976" s="30">
        <f t="shared" si="279"/>
        <v>0.42259506849315065</v>
      </c>
      <c r="W2976" s="46">
        <f t="shared" si="277"/>
        <v>-3.3640521292836414E-2</v>
      </c>
      <c r="X2976" s="33">
        <f t="shared" si="280"/>
        <v>2.5774947299948201E-2</v>
      </c>
    </row>
    <row r="2977" spans="19:24" x14ac:dyDescent="0.25">
      <c r="S2977" s="44">
        <f t="shared" si="275"/>
        <v>46027</v>
      </c>
      <c r="T2977" s="12">
        <f t="shared" si="276"/>
        <v>3.3613750469821007</v>
      </c>
      <c r="U2977" s="12">
        <f t="shared" si="278"/>
        <v>3.2910803885142572</v>
      </c>
      <c r="V2977" s="30">
        <f t="shared" si="279"/>
        <v>0.42256767123287675</v>
      </c>
      <c r="W2977" s="46">
        <f t="shared" si="277"/>
        <v>-3.3613750469820999E-2</v>
      </c>
      <c r="X2977" s="33">
        <f t="shared" si="280"/>
        <v>2.5774905787675266E-2</v>
      </c>
    </row>
    <row r="2978" spans="19:24" x14ac:dyDescent="0.25">
      <c r="S2978" s="44">
        <f t="shared" si="275"/>
        <v>46028</v>
      </c>
      <c r="T2978" s="12">
        <f t="shared" si="276"/>
        <v>3.3586979646805593</v>
      </c>
      <c r="U2978" s="12">
        <f t="shared" si="278"/>
        <v>3.2884292117894693</v>
      </c>
      <c r="V2978" s="30">
        <f t="shared" si="279"/>
        <v>0.42254027397260274</v>
      </c>
      <c r="W2978" s="46">
        <f t="shared" si="277"/>
        <v>-3.3586979646805584E-2</v>
      </c>
      <c r="X2978" s="33">
        <f t="shared" si="280"/>
        <v>2.5774864275402317E-2</v>
      </c>
    </row>
    <row r="2979" spans="19:24" x14ac:dyDescent="0.25">
      <c r="S2979" s="44">
        <f t="shared" si="275"/>
        <v>46029</v>
      </c>
      <c r="T2979" s="12">
        <f t="shared" si="276"/>
        <v>3.3560208823790179</v>
      </c>
      <c r="U2979" s="12">
        <f t="shared" si="278"/>
        <v>3.2857780350646788</v>
      </c>
      <c r="V2979" s="30">
        <f t="shared" si="279"/>
        <v>0.42251287671232873</v>
      </c>
      <c r="W2979" s="46">
        <f t="shared" si="277"/>
        <v>-3.3560208823790176E-2</v>
      </c>
      <c r="X2979" s="33">
        <f t="shared" si="280"/>
        <v>2.5774822763129372E-2</v>
      </c>
    </row>
    <row r="2980" spans="19:24" x14ac:dyDescent="0.25">
      <c r="S2980" s="44">
        <f t="shared" si="275"/>
        <v>46030</v>
      </c>
      <c r="T2980" s="12">
        <f t="shared" si="276"/>
        <v>3.3533438000774778</v>
      </c>
      <c r="U2980" s="12">
        <f t="shared" si="278"/>
        <v>3.2831268583398892</v>
      </c>
      <c r="V2980" s="30">
        <f t="shared" si="279"/>
        <v>0.42248547945205478</v>
      </c>
      <c r="W2980" s="46">
        <f t="shared" si="277"/>
        <v>-3.3533438000774775E-2</v>
      </c>
      <c r="X2980" s="33">
        <f t="shared" si="280"/>
        <v>2.5774781250856429E-2</v>
      </c>
    </row>
    <row r="2981" spans="19:24" x14ac:dyDescent="0.25">
      <c r="S2981" s="44">
        <f t="shared" si="275"/>
        <v>46031</v>
      </c>
      <c r="T2981" s="12">
        <f t="shared" si="276"/>
        <v>3.3506667177759364</v>
      </c>
      <c r="U2981" s="12">
        <f t="shared" si="278"/>
        <v>3.2804756816151004</v>
      </c>
      <c r="V2981" s="30">
        <f t="shared" si="279"/>
        <v>0.42245808219178083</v>
      </c>
      <c r="W2981" s="46">
        <f t="shared" si="277"/>
        <v>-3.350666717775936E-2</v>
      </c>
      <c r="X2981" s="33">
        <f t="shared" si="280"/>
        <v>2.5774739738583487E-2</v>
      </c>
    </row>
    <row r="2982" spans="19:24" x14ac:dyDescent="0.25">
      <c r="S2982" s="44">
        <f t="shared" si="275"/>
        <v>46032</v>
      </c>
      <c r="T2982" s="12">
        <f t="shared" si="276"/>
        <v>3.3479896354743959</v>
      </c>
      <c r="U2982" s="12">
        <f t="shared" si="278"/>
        <v>3.2778245048903107</v>
      </c>
      <c r="V2982" s="30">
        <f t="shared" si="279"/>
        <v>0.42243068493150682</v>
      </c>
      <c r="W2982" s="46">
        <f t="shared" si="277"/>
        <v>-3.3479896354743952E-2</v>
      </c>
      <c r="X2982" s="33">
        <f t="shared" si="280"/>
        <v>2.5774698226310538E-2</v>
      </c>
    </row>
    <row r="2983" spans="19:24" x14ac:dyDescent="0.25">
      <c r="S2983" s="44">
        <f t="shared" si="275"/>
        <v>46033</v>
      </c>
      <c r="T2983" s="12">
        <f t="shared" si="276"/>
        <v>3.345312553172854</v>
      </c>
      <c r="U2983" s="12">
        <f t="shared" si="278"/>
        <v>3.2751733281655215</v>
      </c>
      <c r="V2983" s="30">
        <f t="shared" si="279"/>
        <v>0.42240328767123292</v>
      </c>
      <c r="W2983" s="46">
        <f t="shared" si="277"/>
        <v>-3.3453125531728536E-2</v>
      </c>
      <c r="X2983" s="33">
        <f t="shared" si="280"/>
        <v>2.5774656714037603E-2</v>
      </c>
    </row>
    <row r="2984" spans="19:24" x14ac:dyDescent="0.25">
      <c r="S2984" s="44">
        <f t="shared" si="275"/>
        <v>46034</v>
      </c>
      <c r="T2984" s="12">
        <f t="shared" si="276"/>
        <v>3.3426354708713126</v>
      </c>
      <c r="U2984" s="12">
        <f t="shared" si="278"/>
        <v>3.2725221514407323</v>
      </c>
      <c r="V2984" s="30">
        <f t="shared" si="279"/>
        <v>0.42237589041095891</v>
      </c>
      <c r="W2984" s="46">
        <f t="shared" si="277"/>
        <v>-3.3426354708713121E-2</v>
      </c>
      <c r="X2984" s="33">
        <f t="shared" si="280"/>
        <v>2.5774615201764654E-2</v>
      </c>
    </row>
    <row r="2985" spans="19:24" x14ac:dyDescent="0.25">
      <c r="S2985" s="44">
        <f t="shared" si="275"/>
        <v>46035</v>
      </c>
      <c r="T2985" s="12">
        <f t="shared" si="276"/>
        <v>3.3399583885697708</v>
      </c>
      <c r="U2985" s="12">
        <f t="shared" si="278"/>
        <v>3.2698709747159427</v>
      </c>
      <c r="V2985" s="30">
        <f t="shared" si="279"/>
        <v>0.4223484931506849</v>
      </c>
      <c r="W2985" s="46">
        <f t="shared" si="277"/>
        <v>-3.3399583885697706E-2</v>
      </c>
      <c r="X2985" s="33">
        <f t="shared" si="280"/>
        <v>2.5774573689491709E-2</v>
      </c>
    </row>
    <row r="2986" spans="19:24" x14ac:dyDescent="0.25">
      <c r="S2986" s="44">
        <f t="shared" si="275"/>
        <v>46036</v>
      </c>
      <c r="T2986" s="12">
        <f t="shared" si="276"/>
        <v>3.3372813062682307</v>
      </c>
      <c r="U2986" s="12">
        <f t="shared" si="278"/>
        <v>3.2672197979911544</v>
      </c>
      <c r="V2986" s="30">
        <f t="shared" si="279"/>
        <v>0.42232109589041095</v>
      </c>
      <c r="W2986" s="46">
        <f t="shared" si="277"/>
        <v>-3.3372813062682305E-2</v>
      </c>
      <c r="X2986" s="33">
        <f t="shared" si="280"/>
        <v>2.5774532177218767E-2</v>
      </c>
    </row>
    <row r="2987" spans="19:24" x14ac:dyDescent="0.25">
      <c r="S2987" s="44">
        <f t="shared" si="275"/>
        <v>46037</v>
      </c>
      <c r="T2987" s="12">
        <f t="shared" si="276"/>
        <v>3.3346042239666889</v>
      </c>
      <c r="U2987" s="12">
        <f t="shared" si="278"/>
        <v>3.2645686212663652</v>
      </c>
      <c r="V2987" s="30">
        <f t="shared" si="279"/>
        <v>0.42229369863013699</v>
      </c>
      <c r="W2987" s="46">
        <f t="shared" si="277"/>
        <v>-3.3346042239666883E-2</v>
      </c>
      <c r="X2987" s="33">
        <f t="shared" si="280"/>
        <v>2.5774490664945825E-2</v>
      </c>
    </row>
    <row r="2988" spans="19:24" x14ac:dyDescent="0.25">
      <c r="S2988" s="44">
        <f t="shared" si="275"/>
        <v>46038</v>
      </c>
      <c r="T2988" s="12">
        <f t="shared" si="276"/>
        <v>3.3319271416651484</v>
      </c>
      <c r="U2988" s="12">
        <f t="shared" si="278"/>
        <v>3.2619174445415755</v>
      </c>
      <c r="V2988" s="30">
        <f t="shared" si="279"/>
        <v>0.42226630136986298</v>
      </c>
      <c r="W2988" s="46">
        <f t="shared" si="277"/>
        <v>-3.3319271416651482E-2</v>
      </c>
      <c r="X2988" s="33">
        <f t="shared" si="280"/>
        <v>2.5774449152672876E-2</v>
      </c>
    </row>
    <row r="2989" spans="19:24" x14ac:dyDescent="0.25">
      <c r="S2989" s="44">
        <f t="shared" si="275"/>
        <v>46039</v>
      </c>
      <c r="T2989" s="12">
        <f t="shared" si="276"/>
        <v>3.3292500593636065</v>
      </c>
      <c r="U2989" s="12">
        <f t="shared" si="278"/>
        <v>3.2592662678167859</v>
      </c>
      <c r="V2989" s="30">
        <f t="shared" si="279"/>
        <v>0.42223890410958903</v>
      </c>
      <c r="W2989" s="46">
        <f t="shared" si="277"/>
        <v>-3.329250059363606E-2</v>
      </c>
      <c r="X2989" s="33">
        <f t="shared" si="280"/>
        <v>2.5774407640399934E-2</v>
      </c>
    </row>
    <row r="2990" spans="19:24" x14ac:dyDescent="0.25">
      <c r="S2990" s="44">
        <f t="shared" si="275"/>
        <v>46040</v>
      </c>
      <c r="T2990" s="12">
        <f t="shared" si="276"/>
        <v>3.3265729770620656</v>
      </c>
      <c r="U2990" s="12">
        <f t="shared" si="278"/>
        <v>3.2566150910919971</v>
      </c>
      <c r="V2990" s="30">
        <f t="shared" si="279"/>
        <v>0.42221150684931508</v>
      </c>
      <c r="W2990" s="46">
        <f t="shared" si="277"/>
        <v>-3.3265729770620651E-2</v>
      </c>
      <c r="X2990" s="33">
        <f t="shared" si="280"/>
        <v>2.5774366128126992E-2</v>
      </c>
    </row>
    <row r="2991" spans="19:24" x14ac:dyDescent="0.25">
      <c r="S2991" s="44">
        <f t="shared" si="275"/>
        <v>46041</v>
      </c>
      <c r="T2991" s="12">
        <f t="shared" si="276"/>
        <v>3.3238958947605237</v>
      </c>
      <c r="U2991" s="12">
        <f t="shared" si="278"/>
        <v>3.2539639143672074</v>
      </c>
      <c r="V2991" s="30">
        <f t="shared" si="279"/>
        <v>0.42218410958904107</v>
      </c>
      <c r="W2991" s="46">
        <f t="shared" si="277"/>
        <v>-3.3238958947605229E-2</v>
      </c>
      <c r="X2991" s="33">
        <f t="shared" si="280"/>
        <v>2.5774324615854046E-2</v>
      </c>
    </row>
    <row r="2992" spans="19:24" x14ac:dyDescent="0.25">
      <c r="S2992" s="44">
        <f t="shared" si="275"/>
        <v>46042</v>
      </c>
      <c r="T2992" s="12">
        <f t="shared" si="276"/>
        <v>3.3212188124589832</v>
      </c>
      <c r="U2992" s="12">
        <f t="shared" si="278"/>
        <v>3.2513127376424182</v>
      </c>
      <c r="V2992" s="30">
        <f t="shared" si="279"/>
        <v>0.42215671232876711</v>
      </c>
      <c r="W2992" s="46">
        <f t="shared" si="277"/>
        <v>-3.3212188124589828E-2</v>
      </c>
      <c r="X2992" s="33">
        <f t="shared" si="280"/>
        <v>2.5774283103581104E-2</v>
      </c>
    </row>
    <row r="2993" spans="19:24" x14ac:dyDescent="0.25">
      <c r="S2993" s="44">
        <f t="shared" si="275"/>
        <v>46043</v>
      </c>
      <c r="T2993" s="12">
        <f t="shared" si="276"/>
        <v>3.3185417301574422</v>
      </c>
      <c r="U2993" s="12">
        <f t="shared" si="278"/>
        <v>3.2486615609176286</v>
      </c>
      <c r="V2993" s="30">
        <f t="shared" si="279"/>
        <v>0.42212931506849316</v>
      </c>
      <c r="W2993" s="46">
        <f t="shared" si="277"/>
        <v>-3.318541730157442E-2</v>
      </c>
      <c r="X2993" s="33">
        <f t="shared" si="280"/>
        <v>2.5774241591308159E-2</v>
      </c>
    </row>
    <row r="2994" spans="19:24" x14ac:dyDescent="0.25">
      <c r="S2994" s="44">
        <f t="shared" si="275"/>
        <v>46044</v>
      </c>
      <c r="T2994" s="12">
        <f t="shared" si="276"/>
        <v>3.3158646478559008</v>
      </c>
      <c r="U2994" s="12">
        <f t="shared" si="278"/>
        <v>3.2460103841928394</v>
      </c>
      <c r="V2994" s="30">
        <f t="shared" si="279"/>
        <v>0.42210191780821915</v>
      </c>
      <c r="W2994" s="46">
        <f t="shared" si="277"/>
        <v>-3.3158646478559005E-2</v>
      </c>
      <c r="X2994" s="33">
        <f t="shared" si="280"/>
        <v>2.5774200079035216E-2</v>
      </c>
    </row>
    <row r="2995" spans="19:24" x14ac:dyDescent="0.25">
      <c r="S2995" s="44">
        <f t="shared" ref="S2995:S3058" si="281">+S2994+1</f>
        <v>46045</v>
      </c>
      <c r="T2995" s="12">
        <f t="shared" ref="T2995:T3058" si="282">DurMod(S2995,B$2,$F$7:$G$37,$T$3)</f>
        <v>3.3131875655543594</v>
      </c>
      <c r="U2995" s="12">
        <f t="shared" si="278"/>
        <v>3.2433592074680497</v>
      </c>
      <c r="V2995" s="30">
        <f t="shared" si="279"/>
        <v>0.4220745205479452</v>
      </c>
      <c r="W2995" s="46">
        <f t="shared" ref="W2995:W3058" si="283">+-T2995*($U$3-$T$3)</f>
        <v>-3.313187565554359E-2</v>
      </c>
      <c r="X2995" s="33">
        <f t="shared" si="280"/>
        <v>2.5774158566762267E-2</v>
      </c>
    </row>
    <row r="2996" spans="19:24" x14ac:dyDescent="0.25">
      <c r="S2996" s="44">
        <f t="shared" si="281"/>
        <v>46046</v>
      </c>
      <c r="T2996" s="12">
        <f t="shared" si="282"/>
        <v>3.3105104832528189</v>
      </c>
      <c r="U2996" s="12">
        <f t="shared" si="278"/>
        <v>3.2407080307432596</v>
      </c>
      <c r="V2996" s="30">
        <f t="shared" si="279"/>
        <v>0.42204712328767119</v>
      </c>
      <c r="W2996" s="46">
        <f t="shared" si="283"/>
        <v>-3.3105104832528182E-2</v>
      </c>
      <c r="X2996" s="33">
        <f t="shared" si="280"/>
        <v>2.5774117054489322E-2</v>
      </c>
    </row>
    <row r="2997" spans="19:24" x14ac:dyDescent="0.25">
      <c r="S2997" s="44">
        <f t="shared" si="281"/>
        <v>46047</v>
      </c>
      <c r="T2997" s="12">
        <f t="shared" si="282"/>
        <v>3.3078334009512766</v>
      </c>
      <c r="U2997" s="12">
        <f t="shared" si="278"/>
        <v>3.2380568540184709</v>
      </c>
      <c r="V2997" s="30">
        <f t="shared" si="279"/>
        <v>0.42201972602739729</v>
      </c>
      <c r="W2997" s="46">
        <f t="shared" si="283"/>
        <v>-3.307833400951276E-2</v>
      </c>
      <c r="X2997" s="33">
        <f t="shared" si="280"/>
        <v>2.5774075542216383E-2</v>
      </c>
    </row>
    <row r="2998" spans="19:24" x14ac:dyDescent="0.25">
      <c r="S2998" s="44">
        <f t="shared" si="281"/>
        <v>46048</v>
      </c>
      <c r="T2998" s="12">
        <f t="shared" si="282"/>
        <v>3.3051563186497348</v>
      </c>
      <c r="U2998" s="12">
        <f t="shared" si="278"/>
        <v>3.2354056772936812</v>
      </c>
      <c r="V2998" s="30">
        <f t="shared" si="279"/>
        <v>0.42199232876712334</v>
      </c>
      <c r="W2998" s="46">
        <f t="shared" si="283"/>
        <v>-3.3051563186497344E-2</v>
      </c>
      <c r="X2998" s="33">
        <f t="shared" si="280"/>
        <v>2.5774034029943448E-2</v>
      </c>
    </row>
    <row r="2999" spans="19:24" x14ac:dyDescent="0.25">
      <c r="S2999" s="44">
        <f t="shared" si="281"/>
        <v>46049</v>
      </c>
      <c r="T2999" s="12">
        <f t="shared" si="282"/>
        <v>3.3024792363481952</v>
      </c>
      <c r="U2999" s="12">
        <f t="shared" si="278"/>
        <v>3.2327545005688925</v>
      </c>
      <c r="V2999" s="30">
        <f t="shared" si="279"/>
        <v>0.42196493150684933</v>
      </c>
      <c r="W2999" s="46">
        <f t="shared" si="283"/>
        <v>-3.302479236348195E-2</v>
      </c>
      <c r="X2999" s="33">
        <f t="shared" si="280"/>
        <v>2.5773992517670496E-2</v>
      </c>
    </row>
    <row r="3000" spans="19:24" x14ac:dyDescent="0.25">
      <c r="S3000" s="44">
        <f t="shared" si="281"/>
        <v>46050</v>
      </c>
      <c r="T3000" s="12">
        <f t="shared" si="282"/>
        <v>3.2998021540466533</v>
      </c>
      <c r="U3000" s="12">
        <f t="shared" si="278"/>
        <v>3.2301033238441037</v>
      </c>
      <c r="V3000" s="30">
        <f t="shared" si="279"/>
        <v>0.42193753424657537</v>
      </c>
      <c r="W3000" s="46">
        <f t="shared" si="283"/>
        <v>-3.2998021540466528E-2</v>
      </c>
      <c r="X3000" s="33">
        <f t="shared" si="280"/>
        <v>2.5773951005397554E-2</v>
      </c>
    </row>
    <row r="3001" spans="19:24" x14ac:dyDescent="0.25">
      <c r="S3001" s="44">
        <f t="shared" si="281"/>
        <v>46051</v>
      </c>
      <c r="T3001" s="12">
        <f t="shared" si="282"/>
        <v>3.2971250717451128</v>
      </c>
      <c r="U3001" s="12">
        <f t="shared" si="278"/>
        <v>3.2274521471193145</v>
      </c>
      <c r="V3001" s="30">
        <f t="shared" si="279"/>
        <v>0.42191013698630142</v>
      </c>
      <c r="W3001" s="46">
        <f t="shared" si="283"/>
        <v>-3.297125071745112E-2</v>
      </c>
      <c r="X3001" s="33">
        <f t="shared" si="280"/>
        <v>2.5773909493124612E-2</v>
      </c>
    </row>
    <row r="3002" spans="19:24" x14ac:dyDescent="0.25">
      <c r="S3002" s="44">
        <f t="shared" si="281"/>
        <v>46052</v>
      </c>
      <c r="T3002" s="12">
        <f t="shared" si="282"/>
        <v>3.2944479894435714</v>
      </c>
      <c r="U3002" s="12">
        <f t="shared" si="278"/>
        <v>3.2248009703945244</v>
      </c>
      <c r="V3002" s="30">
        <f t="shared" si="279"/>
        <v>0.42188273972602741</v>
      </c>
      <c r="W3002" s="46">
        <f t="shared" si="283"/>
        <v>-3.2944479894435712E-2</v>
      </c>
      <c r="X3002" s="33">
        <f t="shared" si="280"/>
        <v>2.5773867980851663E-2</v>
      </c>
    </row>
    <row r="3003" spans="19:24" x14ac:dyDescent="0.25">
      <c r="S3003" s="44">
        <f t="shared" si="281"/>
        <v>46053</v>
      </c>
      <c r="T3003" s="12">
        <f t="shared" si="282"/>
        <v>3.29177090714203</v>
      </c>
      <c r="U3003" s="12">
        <f t="shared" si="278"/>
        <v>3.2221497936697356</v>
      </c>
      <c r="V3003" s="30">
        <f t="shared" si="279"/>
        <v>0.42185534246575346</v>
      </c>
      <c r="W3003" s="46">
        <f t="shared" si="283"/>
        <v>-3.2917709071420297E-2</v>
      </c>
      <c r="X3003" s="33">
        <f t="shared" si="280"/>
        <v>2.5773826468578721E-2</v>
      </c>
    </row>
    <row r="3004" spans="19:24" x14ac:dyDescent="0.25">
      <c r="S3004" s="44">
        <f t="shared" si="281"/>
        <v>46054</v>
      </c>
      <c r="T3004" s="12">
        <f t="shared" si="282"/>
        <v>3.2890938248404891</v>
      </c>
      <c r="U3004" s="12">
        <f t="shared" si="278"/>
        <v>3.2194986169449464</v>
      </c>
      <c r="V3004" s="30">
        <f t="shared" si="279"/>
        <v>0.42182794520547945</v>
      </c>
      <c r="W3004" s="46">
        <f t="shared" si="283"/>
        <v>-3.2890938248404888E-2</v>
      </c>
      <c r="X3004" s="33">
        <f t="shared" si="280"/>
        <v>2.5773784956305775E-2</v>
      </c>
    </row>
    <row r="3005" spans="19:24" x14ac:dyDescent="0.25">
      <c r="S3005" s="44">
        <f t="shared" si="281"/>
        <v>46055</v>
      </c>
      <c r="T3005" s="12">
        <f t="shared" si="282"/>
        <v>3.2864167425389477</v>
      </c>
      <c r="U3005" s="12">
        <f t="shared" si="278"/>
        <v>3.2168474402201572</v>
      </c>
      <c r="V3005" s="30">
        <f t="shared" si="279"/>
        <v>0.4218005479452055</v>
      </c>
      <c r="W3005" s="46">
        <f t="shared" si="283"/>
        <v>-3.2864167425389473E-2</v>
      </c>
      <c r="X3005" s="33">
        <f t="shared" si="280"/>
        <v>2.5773743444032837E-2</v>
      </c>
    </row>
    <row r="3006" spans="19:24" x14ac:dyDescent="0.25">
      <c r="S3006" s="44">
        <f t="shared" si="281"/>
        <v>46056</v>
      </c>
      <c r="T3006" s="12">
        <f t="shared" si="282"/>
        <v>3.2837396602374067</v>
      </c>
      <c r="U3006" s="12">
        <f t="shared" si="278"/>
        <v>3.214196263495368</v>
      </c>
      <c r="V3006" s="30">
        <f t="shared" si="279"/>
        <v>0.42177315068493149</v>
      </c>
      <c r="W3006" s="46">
        <f t="shared" si="283"/>
        <v>-3.2837396602374065E-2</v>
      </c>
      <c r="X3006" s="33">
        <f t="shared" si="280"/>
        <v>2.5773701931759884E-2</v>
      </c>
    </row>
    <row r="3007" spans="19:24" x14ac:dyDescent="0.25">
      <c r="S3007" s="44">
        <f t="shared" si="281"/>
        <v>46057</v>
      </c>
      <c r="T3007" s="12">
        <f t="shared" si="282"/>
        <v>3.2810625779358649</v>
      </c>
      <c r="U3007" s="12">
        <f t="shared" si="278"/>
        <v>3.2115450867705779</v>
      </c>
      <c r="V3007" s="30">
        <f t="shared" si="279"/>
        <v>0.42174575342465759</v>
      </c>
      <c r="W3007" s="46">
        <f t="shared" si="283"/>
        <v>-3.2810625779358643E-2</v>
      </c>
      <c r="X3007" s="33">
        <f t="shared" si="280"/>
        <v>2.5773660419486949E-2</v>
      </c>
    </row>
    <row r="3008" spans="19:24" x14ac:dyDescent="0.25">
      <c r="S3008" s="44">
        <f t="shared" si="281"/>
        <v>46058</v>
      </c>
      <c r="T3008" s="12">
        <f t="shared" si="282"/>
        <v>3.2783854956343239</v>
      </c>
      <c r="U3008" s="12">
        <f t="shared" si="278"/>
        <v>3.2088939100457892</v>
      </c>
      <c r="V3008" s="30">
        <f t="shared" si="279"/>
        <v>0.42171835616438358</v>
      </c>
      <c r="W3008" s="46">
        <f t="shared" si="283"/>
        <v>-3.2783854956343235E-2</v>
      </c>
      <c r="X3008" s="33">
        <f t="shared" si="280"/>
        <v>2.5773618907214E-2</v>
      </c>
    </row>
    <row r="3009" spans="19:24" x14ac:dyDescent="0.25">
      <c r="S3009" s="44">
        <f t="shared" si="281"/>
        <v>46059</v>
      </c>
      <c r="T3009" s="12">
        <f t="shared" si="282"/>
        <v>3.275708413332783</v>
      </c>
      <c r="U3009" s="12">
        <f t="shared" si="278"/>
        <v>3.2062427333210004</v>
      </c>
      <c r="V3009" s="30">
        <f t="shared" si="279"/>
        <v>0.42169095890410963</v>
      </c>
      <c r="W3009" s="46">
        <f t="shared" si="283"/>
        <v>-3.2757084133327827E-2</v>
      </c>
      <c r="X3009" s="33">
        <f t="shared" si="280"/>
        <v>2.5773577394941058E-2</v>
      </c>
    </row>
    <row r="3010" spans="19:24" x14ac:dyDescent="0.25">
      <c r="S3010" s="44">
        <f t="shared" si="281"/>
        <v>46060</v>
      </c>
      <c r="T3010" s="12">
        <f t="shared" si="282"/>
        <v>3.2730313310312411</v>
      </c>
      <c r="U3010" s="12">
        <f t="shared" si="278"/>
        <v>3.2035915565962112</v>
      </c>
      <c r="V3010" s="30">
        <f t="shared" si="279"/>
        <v>0.42166356164383562</v>
      </c>
      <c r="W3010" s="46">
        <f t="shared" si="283"/>
        <v>-3.2730313310312405E-2</v>
      </c>
      <c r="X3010" s="33">
        <f t="shared" si="280"/>
        <v>2.5773535882668112E-2</v>
      </c>
    </row>
    <row r="3011" spans="19:24" x14ac:dyDescent="0.25">
      <c r="S3011" s="44">
        <f t="shared" si="281"/>
        <v>46061</v>
      </c>
      <c r="T3011" s="12">
        <f t="shared" si="282"/>
        <v>3.2703542487297006</v>
      </c>
      <c r="U3011" s="12">
        <f t="shared" si="278"/>
        <v>3.2009403798714215</v>
      </c>
      <c r="V3011" s="30">
        <f t="shared" si="279"/>
        <v>0.42163616438356166</v>
      </c>
      <c r="W3011" s="46">
        <f t="shared" si="283"/>
        <v>-3.2703542487297003E-2</v>
      </c>
      <c r="X3011" s="33">
        <f t="shared" si="280"/>
        <v>2.577349437039517E-2</v>
      </c>
    </row>
    <row r="3012" spans="19:24" x14ac:dyDescent="0.25">
      <c r="S3012" s="44">
        <f t="shared" si="281"/>
        <v>46062</v>
      </c>
      <c r="T3012" s="12">
        <f t="shared" si="282"/>
        <v>3.2676771664281596</v>
      </c>
      <c r="U3012" s="12">
        <f t="shared" si="278"/>
        <v>3.1982892031466323</v>
      </c>
      <c r="V3012" s="30">
        <f t="shared" si="279"/>
        <v>0.42160876712328765</v>
      </c>
      <c r="W3012" s="46">
        <f t="shared" si="283"/>
        <v>-3.2676771664281588E-2</v>
      </c>
      <c r="X3012" s="33">
        <f t="shared" si="280"/>
        <v>2.5773452858122228E-2</v>
      </c>
    </row>
    <row r="3013" spans="19:24" x14ac:dyDescent="0.25">
      <c r="S3013" s="44">
        <f t="shared" si="281"/>
        <v>46063</v>
      </c>
      <c r="T3013" s="12">
        <f t="shared" si="282"/>
        <v>3.2650000841266182</v>
      </c>
      <c r="U3013" s="12">
        <f t="shared" ref="U3013:U3076" si="284">DurMod($S3013,$B$2,$F$7:$G$37,U$3)</f>
        <v>3.1956380264218422</v>
      </c>
      <c r="V3013" s="30">
        <f t="shared" ref="V3013:V3076" si="285">+$U$3*($S$5512-S3013)/365+$T$3*(S3013-$S$4)/365</f>
        <v>0.4215813698630137</v>
      </c>
      <c r="W3013" s="46">
        <f t="shared" si="283"/>
        <v>-3.265000084126618E-2</v>
      </c>
      <c r="X3013" s="33">
        <f t="shared" ref="X3013:X3076" si="286">+(V3013+W3013)*365/($S$5512-$S$4)</f>
        <v>2.5773411345849283E-2</v>
      </c>
    </row>
    <row r="3014" spans="19:24" x14ac:dyDescent="0.25">
      <c r="S3014" s="44">
        <f t="shared" si="281"/>
        <v>46064</v>
      </c>
      <c r="T3014" s="12">
        <f t="shared" si="282"/>
        <v>3.2623230018250768</v>
      </c>
      <c r="U3014" s="12">
        <f t="shared" si="284"/>
        <v>3.1929868496970535</v>
      </c>
      <c r="V3014" s="30">
        <f t="shared" si="285"/>
        <v>0.42155397260273975</v>
      </c>
      <c r="W3014" s="46">
        <f t="shared" si="283"/>
        <v>-3.2623230018250765E-2</v>
      </c>
      <c r="X3014" s="33">
        <f t="shared" si="286"/>
        <v>2.5773369833576341E-2</v>
      </c>
    </row>
    <row r="3015" spans="19:24" x14ac:dyDescent="0.25">
      <c r="S3015" s="44">
        <f t="shared" si="281"/>
        <v>46065</v>
      </c>
      <c r="T3015" s="12">
        <f t="shared" si="282"/>
        <v>3.259645919523535</v>
      </c>
      <c r="U3015" s="12">
        <f t="shared" si="284"/>
        <v>3.1903356729722638</v>
      </c>
      <c r="V3015" s="30">
        <f t="shared" si="285"/>
        <v>0.42152657534246574</v>
      </c>
      <c r="W3015" s="46">
        <f t="shared" si="283"/>
        <v>-3.2596459195235343E-2</v>
      </c>
      <c r="X3015" s="33">
        <f t="shared" si="286"/>
        <v>2.5773328321303392E-2</v>
      </c>
    </row>
    <row r="3016" spans="19:24" x14ac:dyDescent="0.25">
      <c r="S3016" s="44">
        <f t="shared" si="281"/>
        <v>46066</v>
      </c>
      <c r="T3016" s="12">
        <f t="shared" si="282"/>
        <v>3.2569688372219936</v>
      </c>
      <c r="U3016" s="12">
        <f t="shared" si="284"/>
        <v>3.1876844962474746</v>
      </c>
      <c r="V3016" s="30">
        <f t="shared" si="285"/>
        <v>0.42149917808219178</v>
      </c>
      <c r="W3016" s="46">
        <f t="shared" si="283"/>
        <v>-3.2569688372219928E-2</v>
      </c>
      <c r="X3016" s="33">
        <f t="shared" si="286"/>
        <v>2.5773286809030457E-2</v>
      </c>
    </row>
    <row r="3017" spans="19:24" x14ac:dyDescent="0.25">
      <c r="S3017" s="44">
        <f t="shared" si="281"/>
        <v>46067</v>
      </c>
      <c r="T3017" s="12">
        <f t="shared" si="282"/>
        <v>3.2542917549204522</v>
      </c>
      <c r="U3017" s="12">
        <f t="shared" si="284"/>
        <v>3.1850333195226854</v>
      </c>
      <c r="V3017" s="30">
        <f t="shared" si="285"/>
        <v>0.42147178082191783</v>
      </c>
      <c r="W3017" s="46">
        <f t="shared" si="283"/>
        <v>-3.254291754920452E-2</v>
      </c>
      <c r="X3017" s="33">
        <f t="shared" si="286"/>
        <v>2.5773245296757508E-2</v>
      </c>
    </row>
    <row r="3018" spans="19:24" x14ac:dyDescent="0.25">
      <c r="S3018" s="44">
        <f t="shared" si="281"/>
        <v>46068</v>
      </c>
      <c r="T3018" s="12">
        <f t="shared" si="282"/>
        <v>3.2516146726189121</v>
      </c>
      <c r="U3018" s="12">
        <f t="shared" si="284"/>
        <v>3.1823821427978953</v>
      </c>
      <c r="V3018" s="30">
        <f t="shared" si="285"/>
        <v>0.42144438356164382</v>
      </c>
      <c r="W3018" s="46">
        <f t="shared" si="283"/>
        <v>-3.2516146726189118E-2</v>
      </c>
      <c r="X3018" s="33">
        <f t="shared" si="286"/>
        <v>2.5773203784484562E-2</v>
      </c>
    </row>
    <row r="3019" spans="19:24" x14ac:dyDescent="0.25">
      <c r="S3019" s="44">
        <f t="shared" si="281"/>
        <v>46069</v>
      </c>
      <c r="T3019" s="12">
        <f t="shared" si="282"/>
        <v>3.2489375903173712</v>
      </c>
      <c r="U3019" s="12">
        <f t="shared" si="284"/>
        <v>3.179730966073107</v>
      </c>
      <c r="V3019" s="30">
        <f t="shared" si="285"/>
        <v>0.42141698630136987</v>
      </c>
      <c r="W3019" s="46">
        <f t="shared" si="283"/>
        <v>-3.2489375903173703E-2</v>
      </c>
      <c r="X3019" s="33">
        <f t="shared" si="286"/>
        <v>2.577316227221162E-2</v>
      </c>
    </row>
    <row r="3020" spans="19:24" x14ac:dyDescent="0.25">
      <c r="S3020" s="44">
        <f t="shared" si="281"/>
        <v>46070</v>
      </c>
      <c r="T3020" s="12">
        <f t="shared" si="282"/>
        <v>3.2462605080158293</v>
      </c>
      <c r="U3020" s="12">
        <f t="shared" si="284"/>
        <v>3.1770797893483174</v>
      </c>
      <c r="V3020" s="30">
        <f t="shared" si="285"/>
        <v>0.42138958904109586</v>
      </c>
      <c r="W3020" s="46">
        <f t="shared" si="283"/>
        <v>-3.2462605080158288E-2</v>
      </c>
      <c r="X3020" s="33">
        <f t="shared" si="286"/>
        <v>2.5773120759938671E-2</v>
      </c>
    </row>
    <row r="3021" spans="19:24" x14ac:dyDescent="0.25">
      <c r="S3021" s="44">
        <f t="shared" si="281"/>
        <v>46071</v>
      </c>
      <c r="T3021" s="12">
        <f t="shared" si="282"/>
        <v>3.2435834257142879</v>
      </c>
      <c r="U3021" s="12">
        <f t="shared" si="284"/>
        <v>3.1744286126235277</v>
      </c>
      <c r="V3021" s="30">
        <f t="shared" si="285"/>
        <v>0.4213621917808219</v>
      </c>
      <c r="W3021" s="46">
        <f t="shared" si="283"/>
        <v>-3.2435834257142873E-2</v>
      </c>
      <c r="X3021" s="33">
        <f t="shared" si="286"/>
        <v>2.5773079247665729E-2</v>
      </c>
    </row>
    <row r="3022" spans="19:24" x14ac:dyDescent="0.25">
      <c r="S3022" s="44">
        <f t="shared" si="281"/>
        <v>46072</v>
      </c>
      <c r="T3022" s="12">
        <f t="shared" si="282"/>
        <v>3.240906343412747</v>
      </c>
      <c r="U3022" s="12">
        <f t="shared" si="284"/>
        <v>3.1717774358987394</v>
      </c>
      <c r="V3022" s="30">
        <f t="shared" si="285"/>
        <v>0.4213347945205479</v>
      </c>
      <c r="W3022" s="46">
        <f t="shared" si="283"/>
        <v>-3.2409063434127465E-2</v>
      </c>
      <c r="X3022" s="33">
        <f t="shared" si="286"/>
        <v>2.5773037735392784E-2</v>
      </c>
    </row>
    <row r="3023" spans="19:24" x14ac:dyDescent="0.25">
      <c r="S3023" s="44">
        <f t="shared" si="281"/>
        <v>46073</v>
      </c>
      <c r="T3023" s="12">
        <f t="shared" si="282"/>
        <v>3.2382292611112056</v>
      </c>
      <c r="U3023" s="12">
        <f t="shared" si="284"/>
        <v>3.1691262591739497</v>
      </c>
      <c r="V3023" s="30">
        <f t="shared" si="285"/>
        <v>0.421307397260274</v>
      </c>
      <c r="W3023" s="46">
        <f t="shared" si="283"/>
        <v>-3.238229261111205E-2</v>
      </c>
      <c r="X3023" s="33">
        <f t="shared" si="286"/>
        <v>2.5772996223119845E-2</v>
      </c>
    </row>
    <row r="3024" spans="19:24" x14ac:dyDescent="0.25">
      <c r="S3024" s="44">
        <f t="shared" si="281"/>
        <v>46074</v>
      </c>
      <c r="T3024" s="12">
        <f t="shared" si="282"/>
        <v>3.2355521788096651</v>
      </c>
      <c r="U3024" s="12">
        <f t="shared" si="284"/>
        <v>3.1664750824491601</v>
      </c>
      <c r="V3024" s="30">
        <f t="shared" si="285"/>
        <v>0.42127999999999999</v>
      </c>
      <c r="W3024" s="46">
        <f t="shared" si="283"/>
        <v>-3.2355521788096649E-2</v>
      </c>
      <c r="X3024" s="33">
        <f t="shared" si="286"/>
        <v>2.5772954710846899E-2</v>
      </c>
    </row>
    <row r="3025" spans="19:24" x14ac:dyDescent="0.25">
      <c r="S3025" s="44">
        <f t="shared" si="281"/>
        <v>46075</v>
      </c>
      <c r="T3025" s="12">
        <f t="shared" si="282"/>
        <v>3.2328750965081241</v>
      </c>
      <c r="U3025" s="12">
        <f t="shared" si="284"/>
        <v>3.1638239057243713</v>
      </c>
      <c r="V3025" s="30">
        <f t="shared" si="285"/>
        <v>0.42125260273972603</v>
      </c>
      <c r="W3025" s="46">
        <f t="shared" si="283"/>
        <v>-3.2328750965081234E-2</v>
      </c>
      <c r="X3025" s="33">
        <f t="shared" si="286"/>
        <v>2.5772913198573957E-2</v>
      </c>
    </row>
    <row r="3026" spans="19:24" x14ac:dyDescent="0.25">
      <c r="S3026" s="44">
        <f t="shared" si="281"/>
        <v>46076</v>
      </c>
      <c r="T3026" s="12">
        <f t="shared" si="282"/>
        <v>3.2301980142065831</v>
      </c>
      <c r="U3026" s="12">
        <f t="shared" si="284"/>
        <v>3.1611727289995821</v>
      </c>
      <c r="V3026" s="30">
        <f t="shared" si="285"/>
        <v>0.42122520547945203</v>
      </c>
      <c r="W3026" s="46">
        <f t="shared" si="283"/>
        <v>-3.2301980142065825E-2</v>
      </c>
      <c r="X3026" s="33">
        <f t="shared" si="286"/>
        <v>2.5772871686301008E-2</v>
      </c>
    </row>
    <row r="3027" spans="19:24" x14ac:dyDescent="0.25">
      <c r="S3027" s="44">
        <f t="shared" si="281"/>
        <v>46077</v>
      </c>
      <c r="T3027" s="12">
        <f t="shared" si="282"/>
        <v>3.2275209319050413</v>
      </c>
      <c r="U3027" s="12">
        <f t="shared" si="284"/>
        <v>3.1585215522747929</v>
      </c>
      <c r="V3027" s="30">
        <f t="shared" si="285"/>
        <v>0.42119780821917807</v>
      </c>
      <c r="W3027" s="46">
        <f t="shared" si="283"/>
        <v>-3.227520931905041E-2</v>
      </c>
      <c r="X3027" s="33">
        <f t="shared" si="286"/>
        <v>2.5772830174028066E-2</v>
      </c>
    </row>
    <row r="3028" spans="19:24" x14ac:dyDescent="0.25">
      <c r="S3028" s="44">
        <f t="shared" si="281"/>
        <v>46078</v>
      </c>
      <c r="T3028" s="12">
        <f t="shared" si="282"/>
        <v>3.2248438496035003</v>
      </c>
      <c r="U3028" s="12">
        <f t="shared" si="284"/>
        <v>3.1558703755500028</v>
      </c>
      <c r="V3028" s="30">
        <f t="shared" si="285"/>
        <v>0.42117041095890406</v>
      </c>
      <c r="W3028" s="46">
        <f t="shared" si="283"/>
        <v>-3.2248438496034995E-2</v>
      </c>
      <c r="X3028" s="33">
        <f t="shared" si="286"/>
        <v>2.5772788661755121E-2</v>
      </c>
    </row>
    <row r="3029" spans="19:24" x14ac:dyDescent="0.25">
      <c r="S3029" s="44">
        <f t="shared" si="281"/>
        <v>46079</v>
      </c>
      <c r="T3029" s="12">
        <f t="shared" si="282"/>
        <v>3.2221667673019594</v>
      </c>
      <c r="U3029" s="12">
        <f t="shared" si="284"/>
        <v>3.1532191988252141</v>
      </c>
      <c r="V3029" s="30">
        <f t="shared" si="285"/>
        <v>0.42114301369863011</v>
      </c>
      <c r="W3029" s="46">
        <f t="shared" si="283"/>
        <v>-3.2221667673019587E-2</v>
      </c>
      <c r="X3029" s="33">
        <f t="shared" si="286"/>
        <v>2.5772747149482179E-2</v>
      </c>
    </row>
    <row r="3030" spans="19:24" x14ac:dyDescent="0.25">
      <c r="S3030" s="44">
        <f t="shared" si="281"/>
        <v>46080</v>
      </c>
      <c r="T3030" s="12">
        <f t="shared" si="282"/>
        <v>3.2194896850004184</v>
      </c>
      <c r="U3030" s="12">
        <f t="shared" si="284"/>
        <v>3.1505680221004244</v>
      </c>
      <c r="V3030" s="30">
        <f t="shared" si="285"/>
        <v>0.42111561643835616</v>
      </c>
      <c r="W3030" s="46">
        <f t="shared" si="283"/>
        <v>-3.2194896850004179E-2</v>
      </c>
      <c r="X3030" s="33">
        <f t="shared" si="286"/>
        <v>2.5772705637209237E-2</v>
      </c>
    </row>
    <row r="3031" spans="19:24" x14ac:dyDescent="0.25">
      <c r="S3031" s="44">
        <f t="shared" si="281"/>
        <v>46081</v>
      </c>
      <c r="T3031" s="12">
        <f t="shared" si="282"/>
        <v>3.2168126026988761</v>
      </c>
      <c r="U3031" s="12">
        <f t="shared" si="284"/>
        <v>3.1479168453756357</v>
      </c>
      <c r="V3031" s="30">
        <f t="shared" si="285"/>
        <v>0.42108821917808215</v>
      </c>
      <c r="W3031" s="46">
        <f t="shared" si="283"/>
        <v>-3.2168126026988757E-2</v>
      </c>
      <c r="X3031" s="33">
        <f t="shared" si="286"/>
        <v>2.5772664124936288E-2</v>
      </c>
    </row>
    <row r="3032" spans="19:24" x14ac:dyDescent="0.25">
      <c r="S3032" s="44">
        <f t="shared" si="281"/>
        <v>46082</v>
      </c>
      <c r="T3032" s="12">
        <f t="shared" si="282"/>
        <v>3.2141355203973352</v>
      </c>
      <c r="U3032" s="12">
        <f t="shared" si="284"/>
        <v>3.1452656686508464</v>
      </c>
      <c r="V3032" s="30">
        <f t="shared" si="285"/>
        <v>0.42106082191780819</v>
      </c>
      <c r="W3032" s="46">
        <f t="shared" si="283"/>
        <v>-3.2141355203973349E-2</v>
      </c>
      <c r="X3032" s="33">
        <f t="shared" si="286"/>
        <v>2.5772622612663349E-2</v>
      </c>
    </row>
    <row r="3033" spans="19:24" x14ac:dyDescent="0.25">
      <c r="S3033" s="44">
        <f t="shared" si="281"/>
        <v>46083</v>
      </c>
      <c r="T3033" s="12">
        <f t="shared" si="282"/>
        <v>3.2114584380957942</v>
      </c>
      <c r="U3033" s="12">
        <f t="shared" si="284"/>
        <v>3.1426144919260572</v>
      </c>
      <c r="V3033" s="30">
        <f t="shared" si="285"/>
        <v>0.42103342465753424</v>
      </c>
      <c r="W3033" s="46">
        <f t="shared" si="283"/>
        <v>-3.211458438095794E-2</v>
      </c>
      <c r="X3033" s="33">
        <f t="shared" si="286"/>
        <v>2.5772581100390407E-2</v>
      </c>
    </row>
    <row r="3034" spans="19:24" x14ac:dyDescent="0.25">
      <c r="S3034" s="44">
        <f t="shared" si="281"/>
        <v>46084</v>
      </c>
      <c r="T3034" s="12">
        <f t="shared" si="282"/>
        <v>3.2087813557942528</v>
      </c>
      <c r="U3034" s="12">
        <f t="shared" si="284"/>
        <v>3.1399633152012676</v>
      </c>
      <c r="V3034" s="30">
        <f t="shared" si="285"/>
        <v>0.42100602739726023</v>
      </c>
      <c r="W3034" s="46">
        <f t="shared" si="283"/>
        <v>-3.2087813557942525E-2</v>
      </c>
      <c r="X3034" s="33">
        <f t="shared" si="286"/>
        <v>2.5772539588117458E-2</v>
      </c>
    </row>
    <row r="3035" spans="19:24" x14ac:dyDescent="0.25">
      <c r="S3035" s="44">
        <f t="shared" si="281"/>
        <v>46085</v>
      </c>
      <c r="T3035" s="12">
        <f t="shared" si="282"/>
        <v>3.2061042734927123</v>
      </c>
      <c r="U3035" s="12">
        <f t="shared" si="284"/>
        <v>3.1373121384764779</v>
      </c>
      <c r="V3035" s="30">
        <f t="shared" si="285"/>
        <v>0.42097863013698628</v>
      </c>
      <c r="W3035" s="46">
        <f t="shared" si="283"/>
        <v>-3.2061042734927117E-2</v>
      </c>
      <c r="X3035" s="33">
        <f t="shared" si="286"/>
        <v>2.5772498075844516E-2</v>
      </c>
    </row>
    <row r="3036" spans="19:24" x14ac:dyDescent="0.25">
      <c r="S3036" s="44">
        <f t="shared" si="281"/>
        <v>46086</v>
      </c>
      <c r="T3036" s="12">
        <f t="shared" si="282"/>
        <v>3.20342719119117</v>
      </c>
      <c r="U3036" s="12">
        <f t="shared" si="284"/>
        <v>3.1346609617516892</v>
      </c>
      <c r="V3036" s="30">
        <f t="shared" si="285"/>
        <v>0.42095123287671232</v>
      </c>
      <c r="W3036" s="46">
        <f t="shared" si="283"/>
        <v>-3.2034271911911695E-2</v>
      </c>
      <c r="X3036" s="33">
        <f t="shared" si="286"/>
        <v>2.5772456563571574E-2</v>
      </c>
    </row>
    <row r="3037" spans="19:24" x14ac:dyDescent="0.25">
      <c r="S3037" s="44">
        <f t="shared" si="281"/>
        <v>46087</v>
      </c>
      <c r="T3037" s="12">
        <f t="shared" si="282"/>
        <v>3.2007501088896295</v>
      </c>
      <c r="U3037" s="12">
        <f t="shared" si="284"/>
        <v>3.1320097850268995</v>
      </c>
      <c r="V3037" s="30">
        <f t="shared" si="285"/>
        <v>0.42092383561643831</v>
      </c>
      <c r="W3037" s="46">
        <f t="shared" si="283"/>
        <v>-3.2007501088896287E-2</v>
      </c>
      <c r="X3037" s="33">
        <f t="shared" si="286"/>
        <v>2.5772415051298628E-2</v>
      </c>
    </row>
    <row r="3038" spans="19:24" x14ac:dyDescent="0.25">
      <c r="S3038" s="44">
        <f t="shared" si="281"/>
        <v>46088</v>
      </c>
      <c r="T3038" s="12">
        <f t="shared" si="282"/>
        <v>3.1980730265880881</v>
      </c>
      <c r="U3038" s="12">
        <f t="shared" si="284"/>
        <v>3.1293586083021103</v>
      </c>
      <c r="V3038" s="30">
        <f t="shared" si="285"/>
        <v>0.4208964383561643</v>
      </c>
      <c r="W3038" s="46">
        <f t="shared" si="283"/>
        <v>-3.1980730265880879E-2</v>
      </c>
      <c r="X3038" s="33">
        <f t="shared" si="286"/>
        <v>2.5772373539025679E-2</v>
      </c>
    </row>
    <row r="3039" spans="19:24" x14ac:dyDescent="0.25">
      <c r="S3039" s="44">
        <f t="shared" si="281"/>
        <v>46089</v>
      </c>
      <c r="T3039" s="12">
        <f t="shared" si="282"/>
        <v>3.1953959442865467</v>
      </c>
      <c r="U3039" s="12">
        <f t="shared" si="284"/>
        <v>3.1267074315773202</v>
      </c>
      <c r="V3039" s="30">
        <f t="shared" si="285"/>
        <v>0.42086904109589041</v>
      </c>
      <c r="W3039" s="46">
        <f t="shared" si="283"/>
        <v>-3.1953959442865464E-2</v>
      </c>
      <c r="X3039" s="33">
        <f t="shared" si="286"/>
        <v>2.5772332026752744E-2</v>
      </c>
    </row>
    <row r="3040" spans="19:24" x14ac:dyDescent="0.25">
      <c r="S3040" s="44">
        <f t="shared" si="281"/>
        <v>46090</v>
      </c>
      <c r="T3040" s="12">
        <f t="shared" si="282"/>
        <v>3.1927188619850058</v>
      </c>
      <c r="U3040" s="12">
        <f t="shared" si="284"/>
        <v>3.1240562548525324</v>
      </c>
      <c r="V3040" s="30">
        <f t="shared" si="285"/>
        <v>0.4208416438356164</v>
      </c>
      <c r="W3040" s="46">
        <f t="shared" si="283"/>
        <v>-3.1927188619850055E-2</v>
      </c>
      <c r="X3040" s="33">
        <f t="shared" si="286"/>
        <v>2.5772290514479795E-2</v>
      </c>
    </row>
    <row r="3041" spans="19:24" x14ac:dyDescent="0.25">
      <c r="S3041" s="44">
        <f t="shared" si="281"/>
        <v>46091</v>
      </c>
      <c r="T3041" s="12">
        <f t="shared" si="282"/>
        <v>3.1900417796834648</v>
      </c>
      <c r="U3041" s="12">
        <f t="shared" si="284"/>
        <v>3.1214050781277414</v>
      </c>
      <c r="V3041" s="30">
        <f t="shared" si="285"/>
        <v>0.42081424657534244</v>
      </c>
      <c r="W3041" s="46">
        <f t="shared" si="283"/>
        <v>-3.190041779683464E-2</v>
      </c>
      <c r="X3041" s="33">
        <f t="shared" si="286"/>
        <v>2.577224900220685E-2</v>
      </c>
    </row>
    <row r="3042" spans="19:24" x14ac:dyDescent="0.25">
      <c r="S3042" s="44">
        <f t="shared" si="281"/>
        <v>46092</v>
      </c>
      <c r="T3042" s="12">
        <f t="shared" si="282"/>
        <v>3.1873646973819239</v>
      </c>
      <c r="U3042" s="12">
        <f t="shared" si="284"/>
        <v>3.1187539014029535</v>
      </c>
      <c r="V3042" s="30">
        <f t="shared" si="285"/>
        <v>0.42078684931506855</v>
      </c>
      <c r="W3042" s="46">
        <f t="shared" si="283"/>
        <v>-3.1873646973819232E-2</v>
      </c>
      <c r="X3042" s="33">
        <f t="shared" si="286"/>
        <v>2.5772207489933911E-2</v>
      </c>
    </row>
    <row r="3043" spans="19:24" x14ac:dyDescent="0.25">
      <c r="S3043" s="44">
        <f t="shared" si="281"/>
        <v>46093</v>
      </c>
      <c r="T3043" s="12">
        <f t="shared" si="282"/>
        <v>3.1846876150803825</v>
      </c>
      <c r="U3043" s="12">
        <f t="shared" si="284"/>
        <v>3.1161027246781638</v>
      </c>
      <c r="V3043" s="30">
        <f t="shared" si="285"/>
        <v>0.42075945205479454</v>
      </c>
      <c r="W3043" s="46">
        <f t="shared" si="283"/>
        <v>-3.1846876150803817E-2</v>
      </c>
      <c r="X3043" s="33">
        <f t="shared" si="286"/>
        <v>2.5772165977660966E-2</v>
      </c>
    </row>
    <row r="3044" spans="19:24" x14ac:dyDescent="0.25">
      <c r="S3044" s="44">
        <f t="shared" si="281"/>
        <v>46094</v>
      </c>
      <c r="T3044" s="12">
        <f t="shared" si="282"/>
        <v>3.1820105327788402</v>
      </c>
      <c r="U3044" s="12">
        <f t="shared" si="284"/>
        <v>3.1134515479533742</v>
      </c>
      <c r="V3044" s="30">
        <f t="shared" si="285"/>
        <v>0.42073205479452053</v>
      </c>
      <c r="W3044" s="46">
        <f t="shared" si="283"/>
        <v>-3.1820105327788395E-2</v>
      </c>
      <c r="X3044" s="33">
        <f t="shared" si="286"/>
        <v>2.5772124465388024E-2</v>
      </c>
    </row>
    <row r="3045" spans="19:24" x14ac:dyDescent="0.25">
      <c r="S3045" s="44">
        <f t="shared" si="281"/>
        <v>46095</v>
      </c>
      <c r="T3045" s="12">
        <f t="shared" si="282"/>
        <v>3.1793334504773001</v>
      </c>
      <c r="U3045" s="12">
        <f t="shared" si="284"/>
        <v>3.1108003712285854</v>
      </c>
      <c r="V3045" s="30">
        <f t="shared" si="285"/>
        <v>0.42070465753424657</v>
      </c>
      <c r="W3045" s="46">
        <f t="shared" si="283"/>
        <v>-3.1793334504772994E-2</v>
      </c>
      <c r="X3045" s="33">
        <f t="shared" si="286"/>
        <v>2.5772082953115075E-2</v>
      </c>
    </row>
    <row r="3046" spans="19:24" x14ac:dyDescent="0.25">
      <c r="S3046" s="44">
        <f t="shared" si="281"/>
        <v>46096</v>
      </c>
      <c r="T3046" s="12">
        <f t="shared" si="282"/>
        <v>3.1766563681757578</v>
      </c>
      <c r="U3046" s="12">
        <f t="shared" si="284"/>
        <v>3.1081491945037958</v>
      </c>
      <c r="V3046" s="30">
        <f t="shared" si="285"/>
        <v>0.42067726027397256</v>
      </c>
      <c r="W3046" s="46">
        <f t="shared" si="283"/>
        <v>-3.1766563681757572E-2</v>
      </c>
      <c r="X3046" s="33">
        <f t="shared" si="286"/>
        <v>2.5772041440842133E-2</v>
      </c>
    </row>
    <row r="3047" spans="19:24" x14ac:dyDescent="0.25">
      <c r="S3047" s="44">
        <f t="shared" si="281"/>
        <v>46097</v>
      </c>
      <c r="T3047" s="12">
        <f t="shared" si="282"/>
        <v>3.1739792858742177</v>
      </c>
      <c r="U3047" s="12">
        <f t="shared" si="284"/>
        <v>3.105498017779007</v>
      </c>
      <c r="V3047" s="30">
        <f t="shared" si="285"/>
        <v>0.42064986301369867</v>
      </c>
      <c r="W3047" s="46">
        <f t="shared" si="283"/>
        <v>-3.173979285874217E-2</v>
      </c>
      <c r="X3047" s="33">
        <f t="shared" si="286"/>
        <v>2.5771999928569191E-2</v>
      </c>
    </row>
    <row r="3048" spans="19:24" x14ac:dyDescent="0.25">
      <c r="S3048" s="44">
        <f t="shared" si="281"/>
        <v>46098</v>
      </c>
      <c r="T3048" s="12">
        <f t="shared" si="282"/>
        <v>3.1713022035726759</v>
      </c>
      <c r="U3048" s="12">
        <f t="shared" si="284"/>
        <v>3.1028468410542174</v>
      </c>
      <c r="V3048" s="30">
        <f t="shared" si="285"/>
        <v>0.42062246575342466</v>
      </c>
      <c r="W3048" s="46">
        <f t="shared" si="283"/>
        <v>-3.1713022035726755E-2</v>
      </c>
      <c r="X3048" s="33">
        <f t="shared" si="286"/>
        <v>2.5771958416296249E-2</v>
      </c>
    </row>
    <row r="3049" spans="19:24" x14ac:dyDescent="0.25">
      <c r="S3049" s="44">
        <f t="shared" si="281"/>
        <v>46099</v>
      </c>
      <c r="T3049" s="12">
        <f t="shared" si="282"/>
        <v>3.1686251212711345</v>
      </c>
      <c r="U3049" s="12">
        <f t="shared" si="284"/>
        <v>3.1001956643294282</v>
      </c>
      <c r="V3049" s="30">
        <f t="shared" si="285"/>
        <v>0.4205950684931507</v>
      </c>
      <c r="W3049" s="46">
        <f t="shared" si="283"/>
        <v>-3.168625121271134E-2</v>
      </c>
      <c r="X3049" s="33">
        <f t="shared" si="286"/>
        <v>2.5771916904023303E-2</v>
      </c>
    </row>
    <row r="3050" spans="19:24" x14ac:dyDescent="0.25">
      <c r="S3050" s="44">
        <f t="shared" si="281"/>
        <v>46100</v>
      </c>
      <c r="T3050" s="12">
        <f t="shared" si="282"/>
        <v>3.165948038969594</v>
      </c>
      <c r="U3050" s="12">
        <f t="shared" si="284"/>
        <v>3.0975444876046399</v>
      </c>
      <c r="V3050" s="30">
        <f t="shared" si="285"/>
        <v>0.42056767123287669</v>
      </c>
      <c r="W3050" s="46">
        <f t="shared" si="283"/>
        <v>-3.1659480389695932E-2</v>
      </c>
      <c r="X3050" s="33">
        <f t="shared" si="286"/>
        <v>2.5771875391750354E-2</v>
      </c>
    </row>
    <row r="3051" spans="19:24" x14ac:dyDescent="0.25">
      <c r="S3051" s="44">
        <f t="shared" si="281"/>
        <v>46101</v>
      </c>
      <c r="T3051" s="12">
        <f t="shared" si="282"/>
        <v>3.1632709566680535</v>
      </c>
      <c r="U3051" s="12">
        <f t="shared" si="284"/>
        <v>3.0948933108798498</v>
      </c>
      <c r="V3051" s="30">
        <f t="shared" si="285"/>
        <v>0.42054027397260274</v>
      </c>
      <c r="W3051" s="46">
        <f t="shared" si="283"/>
        <v>-3.1632709566680531E-2</v>
      </c>
      <c r="X3051" s="33">
        <f t="shared" si="286"/>
        <v>2.5771833879477419E-2</v>
      </c>
    </row>
    <row r="3052" spans="19:24" x14ac:dyDescent="0.25">
      <c r="S3052" s="44">
        <f t="shared" si="281"/>
        <v>46102</v>
      </c>
      <c r="T3052" s="12">
        <f t="shared" si="282"/>
        <v>3.1605938743665116</v>
      </c>
      <c r="U3052" s="12">
        <f t="shared" si="284"/>
        <v>3.0922421341550606</v>
      </c>
      <c r="V3052" s="30">
        <f t="shared" si="285"/>
        <v>0.42051287671232873</v>
      </c>
      <c r="W3052" s="46">
        <f t="shared" si="283"/>
        <v>-3.1605938743665109E-2</v>
      </c>
      <c r="X3052" s="33">
        <f t="shared" si="286"/>
        <v>2.5771792367204466E-2</v>
      </c>
    </row>
    <row r="3053" spans="19:24" x14ac:dyDescent="0.25">
      <c r="S3053" s="44">
        <f t="shared" si="281"/>
        <v>46103</v>
      </c>
      <c r="T3053" s="12">
        <f t="shared" si="282"/>
        <v>3.1579167920649698</v>
      </c>
      <c r="U3053" s="12">
        <f t="shared" si="284"/>
        <v>3.0895909574302709</v>
      </c>
      <c r="V3053" s="30">
        <f t="shared" si="285"/>
        <v>0.42048547945205478</v>
      </c>
      <c r="W3053" s="46">
        <f t="shared" si="283"/>
        <v>-3.1579167920649694E-2</v>
      </c>
      <c r="X3053" s="33">
        <f t="shared" si="286"/>
        <v>2.5771750854931531E-2</v>
      </c>
    </row>
    <row r="3054" spans="19:24" x14ac:dyDescent="0.25">
      <c r="S3054" s="44">
        <f t="shared" si="281"/>
        <v>46104</v>
      </c>
      <c r="T3054" s="12">
        <f t="shared" si="282"/>
        <v>3.1552397097634297</v>
      </c>
      <c r="U3054" s="12">
        <f t="shared" si="284"/>
        <v>3.0869397807054813</v>
      </c>
      <c r="V3054" s="30">
        <f t="shared" si="285"/>
        <v>0.42045808219178082</v>
      </c>
      <c r="W3054" s="46">
        <f t="shared" si="283"/>
        <v>-3.1552397097634292E-2</v>
      </c>
      <c r="X3054" s="33">
        <f t="shared" si="286"/>
        <v>2.5771709342658582E-2</v>
      </c>
    </row>
    <row r="3055" spans="19:24" x14ac:dyDescent="0.25">
      <c r="S3055" s="44">
        <f t="shared" si="281"/>
        <v>46105</v>
      </c>
      <c r="T3055" s="12">
        <f t="shared" si="282"/>
        <v>3.1525626274618879</v>
      </c>
      <c r="U3055" s="12">
        <f t="shared" si="284"/>
        <v>3.0842886039806925</v>
      </c>
      <c r="V3055" s="30">
        <f t="shared" si="285"/>
        <v>0.42043068493150682</v>
      </c>
      <c r="W3055" s="46">
        <f t="shared" si="283"/>
        <v>-3.1525626274618877E-2</v>
      </c>
      <c r="X3055" s="33">
        <f t="shared" si="286"/>
        <v>2.577166783038564E-2</v>
      </c>
    </row>
    <row r="3056" spans="19:24" x14ac:dyDescent="0.25">
      <c r="S3056" s="44">
        <f t="shared" si="281"/>
        <v>46106</v>
      </c>
      <c r="T3056" s="12">
        <f t="shared" si="282"/>
        <v>3.1498855451603465</v>
      </c>
      <c r="U3056" s="12">
        <f t="shared" si="284"/>
        <v>3.081637427255902</v>
      </c>
      <c r="V3056" s="30">
        <f t="shared" si="285"/>
        <v>0.42040328767123286</v>
      </c>
      <c r="W3056" s="46">
        <f t="shared" si="283"/>
        <v>-3.1498855451603462E-2</v>
      </c>
      <c r="X3056" s="33">
        <f t="shared" si="286"/>
        <v>2.5771626318112695E-2</v>
      </c>
    </row>
    <row r="3057" spans="19:24" x14ac:dyDescent="0.25">
      <c r="S3057" s="44">
        <f t="shared" si="281"/>
        <v>46107</v>
      </c>
      <c r="T3057" s="12">
        <f t="shared" si="282"/>
        <v>3.1472084628588055</v>
      </c>
      <c r="U3057" s="12">
        <f t="shared" si="284"/>
        <v>3.0789862505311136</v>
      </c>
      <c r="V3057" s="30">
        <f t="shared" si="285"/>
        <v>0.42037589041095891</v>
      </c>
      <c r="W3057" s="46">
        <f t="shared" si="283"/>
        <v>-3.1472084628588047E-2</v>
      </c>
      <c r="X3057" s="33">
        <f t="shared" si="286"/>
        <v>2.5771584805839756E-2</v>
      </c>
    </row>
    <row r="3058" spans="19:24" x14ac:dyDescent="0.25">
      <c r="S3058" s="44">
        <f t="shared" si="281"/>
        <v>46108</v>
      </c>
      <c r="T3058" s="12">
        <f t="shared" si="282"/>
        <v>3.1445313805572641</v>
      </c>
      <c r="U3058" s="12">
        <f t="shared" si="284"/>
        <v>3.076335073806324</v>
      </c>
      <c r="V3058" s="30">
        <f t="shared" si="285"/>
        <v>0.4203484931506849</v>
      </c>
      <c r="W3058" s="46">
        <f t="shared" si="283"/>
        <v>-3.1445313805572639E-2</v>
      </c>
      <c r="X3058" s="33">
        <f t="shared" si="286"/>
        <v>2.5771543293566811E-2</v>
      </c>
    </row>
    <row r="3059" spans="19:24" x14ac:dyDescent="0.25">
      <c r="S3059" s="44">
        <f t="shared" ref="S3059:S3122" si="287">+S3058+1</f>
        <v>46109</v>
      </c>
      <c r="T3059" s="12">
        <f t="shared" ref="T3059:T3122" si="288">DurMod(S3059,B$2,$F$7:$G$37,$T$3)</f>
        <v>3.1418542982557232</v>
      </c>
      <c r="U3059" s="12">
        <f t="shared" si="284"/>
        <v>3.0736838970815352</v>
      </c>
      <c r="V3059" s="30">
        <f t="shared" si="285"/>
        <v>0.420321095890411</v>
      </c>
      <c r="W3059" s="46">
        <f t="shared" ref="W3059:W3122" si="289">+-T3059*($U$3-$T$3)</f>
        <v>-3.1418542982557224E-2</v>
      </c>
      <c r="X3059" s="33">
        <f t="shared" si="286"/>
        <v>2.5771501781293872E-2</v>
      </c>
    </row>
    <row r="3060" spans="19:24" x14ac:dyDescent="0.25">
      <c r="S3060" s="44">
        <f t="shared" si="287"/>
        <v>46110</v>
      </c>
      <c r="T3060" s="12">
        <f t="shared" si="288"/>
        <v>3.1391772159541813</v>
      </c>
      <c r="U3060" s="12">
        <f t="shared" si="284"/>
        <v>3.071032720356746</v>
      </c>
      <c r="V3060" s="30">
        <f t="shared" si="285"/>
        <v>0.42029369863013699</v>
      </c>
      <c r="W3060" s="46">
        <f t="shared" si="289"/>
        <v>-3.1391772159541809E-2</v>
      </c>
      <c r="X3060" s="33">
        <f t="shared" si="286"/>
        <v>2.577146026902092E-2</v>
      </c>
    </row>
    <row r="3061" spans="19:24" x14ac:dyDescent="0.25">
      <c r="S3061" s="44">
        <f t="shared" si="287"/>
        <v>46111</v>
      </c>
      <c r="T3061" s="12">
        <f t="shared" si="288"/>
        <v>3.1365001336526404</v>
      </c>
      <c r="U3061" s="12">
        <f t="shared" si="284"/>
        <v>3.0683815436319564</v>
      </c>
      <c r="V3061" s="30">
        <f t="shared" si="285"/>
        <v>0.42026630136986298</v>
      </c>
      <c r="W3061" s="46">
        <f t="shared" si="289"/>
        <v>-3.13650013365264E-2</v>
      </c>
      <c r="X3061" s="33">
        <f t="shared" si="286"/>
        <v>2.5771418756747974E-2</v>
      </c>
    </row>
    <row r="3062" spans="19:24" x14ac:dyDescent="0.25">
      <c r="S3062" s="44">
        <f t="shared" si="287"/>
        <v>46112</v>
      </c>
      <c r="T3062" s="12">
        <f t="shared" si="288"/>
        <v>3.1338230513510994</v>
      </c>
      <c r="U3062" s="12">
        <f t="shared" si="284"/>
        <v>3.0657303669071672</v>
      </c>
      <c r="V3062" s="30">
        <f t="shared" si="285"/>
        <v>0.42023890410958908</v>
      </c>
      <c r="W3062" s="46">
        <f t="shared" si="289"/>
        <v>-3.1338230513510992E-2</v>
      </c>
      <c r="X3062" s="33">
        <f t="shared" si="286"/>
        <v>2.5771377244475036E-2</v>
      </c>
    </row>
    <row r="3063" spans="19:24" x14ac:dyDescent="0.25">
      <c r="S3063" s="44">
        <f t="shared" si="287"/>
        <v>46113</v>
      </c>
      <c r="T3063" s="12">
        <f t="shared" si="288"/>
        <v>3.131145969049558</v>
      </c>
      <c r="U3063" s="12">
        <f t="shared" si="284"/>
        <v>3.0630791901823784</v>
      </c>
      <c r="V3063" s="30">
        <f t="shared" si="285"/>
        <v>0.42021150684931508</v>
      </c>
      <c r="W3063" s="46">
        <f t="shared" si="289"/>
        <v>-3.1311459690495577E-2</v>
      </c>
      <c r="X3063" s="33">
        <f t="shared" si="286"/>
        <v>2.577133573220209E-2</v>
      </c>
    </row>
    <row r="3064" spans="19:24" x14ac:dyDescent="0.25">
      <c r="S3064" s="44">
        <f t="shared" si="287"/>
        <v>46114</v>
      </c>
      <c r="T3064" s="12">
        <f t="shared" si="288"/>
        <v>3.128468886748017</v>
      </c>
      <c r="U3064" s="12">
        <f t="shared" si="284"/>
        <v>3.0604280134575883</v>
      </c>
      <c r="V3064" s="30">
        <f t="shared" si="285"/>
        <v>0.42018410958904107</v>
      </c>
      <c r="W3064" s="46">
        <f t="shared" si="289"/>
        <v>-3.1284688867480169E-2</v>
      </c>
      <c r="X3064" s="33">
        <f t="shared" si="286"/>
        <v>2.5771294219929148E-2</v>
      </c>
    </row>
    <row r="3065" spans="19:24" x14ac:dyDescent="0.25">
      <c r="S3065" s="44">
        <f t="shared" si="287"/>
        <v>46115</v>
      </c>
      <c r="T3065" s="12">
        <f t="shared" si="288"/>
        <v>3.1257918044464756</v>
      </c>
      <c r="U3065" s="12">
        <f t="shared" si="284"/>
        <v>3.0577768367327991</v>
      </c>
      <c r="V3065" s="30">
        <f t="shared" si="285"/>
        <v>0.42015671232876717</v>
      </c>
      <c r="W3065" s="46">
        <f t="shared" si="289"/>
        <v>-3.1257918044464754E-2</v>
      </c>
      <c r="X3065" s="33">
        <f t="shared" si="286"/>
        <v>2.5771252707656206E-2</v>
      </c>
    </row>
    <row r="3066" spans="19:24" x14ac:dyDescent="0.25">
      <c r="S3066" s="44">
        <f t="shared" si="287"/>
        <v>46116</v>
      </c>
      <c r="T3066" s="12">
        <f t="shared" si="288"/>
        <v>3.1231147221449338</v>
      </c>
      <c r="U3066" s="12">
        <f t="shared" si="284"/>
        <v>3.0551256600080094</v>
      </c>
      <c r="V3066" s="30">
        <f t="shared" si="285"/>
        <v>0.42012931506849316</v>
      </c>
      <c r="W3066" s="46">
        <f t="shared" si="289"/>
        <v>-3.1231147221449332E-2</v>
      </c>
      <c r="X3066" s="33">
        <f t="shared" si="286"/>
        <v>2.5771211195383264E-2</v>
      </c>
    </row>
    <row r="3067" spans="19:24" x14ac:dyDescent="0.25">
      <c r="S3067" s="44">
        <f t="shared" si="287"/>
        <v>46117</v>
      </c>
      <c r="T3067" s="12">
        <f t="shared" si="288"/>
        <v>3.1204376398433937</v>
      </c>
      <c r="U3067" s="12">
        <f t="shared" si="284"/>
        <v>3.0524744832832211</v>
      </c>
      <c r="V3067" s="30">
        <f t="shared" si="285"/>
        <v>0.42010191780821915</v>
      </c>
      <c r="W3067" s="46">
        <f t="shared" si="289"/>
        <v>-3.1204376398433934E-2</v>
      </c>
      <c r="X3067" s="33">
        <f t="shared" si="286"/>
        <v>2.5771169683110311E-2</v>
      </c>
    </row>
    <row r="3068" spans="19:24" x14ac:dyDescent="0.25">
      <c r="S3068" s="44">
        <f t="shared" si="287"/>
        <v>46118</v>
      </c>
      <c r="T3068" s="12">
        <f t="shared" si="288"/>
        <v>3.1177605575418514</v>
      </c>
      <c r="U3068" s="12">
        <f t="shared" si="284"/>
        <v>3.049823306558431</v>
      </c>
      <c r="V3068" s="30">
        <f t="shared" si="285"/>
        <v>0.42007452054794525</v>
      </c>
      <c r="W3068" s="46">
        <f t="shared" si="289"/>
        <v>-3.1177605575418509E-2</v>
      </c>
      <c r="X3068" s="33">
        <f t="shared" si="286"/>
        <v>2.5771128170837373E-2</v>
      </c>
    </row>
    <row r="3069" spans="19:24" x14ac:dyDescent="0.25">
      <c r="S3069" s="44">
        <f t="shared" si="287"/>
        <v>46119</v>
      </c>
      <c r="T3069" s="12">
        <f t="shared" si="288"/>
        <v>3.1150834752403105</v>
      </c>
      <c r="U3069" s="12">
        <f t="shared" si="284"/>
        <v>3.0471721298336418</v>
      </c>
      <c r="V3069" s="30">
        <f t="shared" si="285"/>
        <v>0.42004712328767124</v>
      </c>
      <c r="W3069" s="46">
        <f t="shared" si="289"/>
        <v>-3.11508347524031E-2</v>
      </c>
      <c r="X3069" s="33">
        <f t="shared" si="286"/>
        <v>2.5771086658564427E-2</v>
      </c>
    </row>
    <row r="3070" spans="19:24" x14ac:dyDescent="0.25">
      <c r="S3070" s="44">
        <f t="shared" si="287"/>
        <v>46120</v>
      </c>
      <c r="T3070" s="12">
        <f t="shared" si="288"/>
        <v>3.1124063929387691</v>
      </c>
      <c r="U3070" s="12">
        <f t="shared" si="284"/>
        <v>3.0445209531088531</v>
      </c>
      <c r="V3070" s="30">
        <f t="shared" si="285"/>
        <v>0.42001972602739723</v>
      </c>
      <c r="W3070" s="46">
        <f t="shared" si="289"/>
        <v>-3.1124063929387685E-2</v>
      </c>
      <c r="X3070" s="33">
        <f t="shared" si="286"/>
        <v>2.5771045146291478E-2</v>
      </c>
    </row>
    <row r="3071" spans="19:24" x14ac:dyDescent="0.25">
      <c r="S3071" s="44">
        <f t="shared" si="287"/>
        <v>46121</v>
      </c>
      <c r="T3071" s="12">
        <f t="shared" si="288"/>
        <v>3.1097293106372286</v>
      </c>
      <c r="U3071" s="12">
        <f t="shared" si="284"/>
        <v>3.0418697763840643</v>
      </c>
      <c r="V3071" s="30">
        <f t="shared" si="285"/>
        <v>0.41999232876712328</v>
      </c>
      <c r="W3071" s="46">
        <f t="shared" si="289"/>
        <v>-3.1097293106372281E-2</v>
      </c>
      <c r="X3071" s="33">
        <f t="shared" si="286"/>
        <v>2.577100363401854E-2</v>
      </c>
    </row>
    <row r="3072" spans="19:24" x14ac:dyDescent="0.25">
      <c r="S3072" s="44">
        <f t="shared" si="287"/>
        <v>46122</v>
      </c>
      <c r="T3072" s="12">
        <f t="shared" si="288"/>
        <v>3.1070522283356876</v>
      </c>
      <c r="U3072" s="12">
        <f t="shared" si="284"/>
        <v>3.0392185996592733</v>
      </c>
      <c r="V3072" s="30">
        <f t="shared" si="285"/>
        <v>0.41996493150684933</v>
      </c>
      <c r="W3072" s="46">
        <f t="shared" si="289"/>
        <v>-3.1070522283356872E-2</v>
      </c>
      <c r="X3072" s="33">
        <f t="shared" si="286"/>
        <v>2.5770962121745598E-2</v>
      </c>
    </row>
    <row r="3073" spans="19:24" x14ac:dyDescent="0.25">
      <c r="S3073" s="44">
        <f t="shared" si="287"/>
        <v>46123</v>
      </c>
      <c r="T3073" s="12">
        <f t="shared" si="288"/>
        <v>3.1043751460341458</v>
      </c>
      <c r="U3073" s="12">
        <f t="shared" si="284"/>
        <v>3.036567422934485</v>
      </c>
      <c r="V3073" s="30">
        <f t="shared" si="285"/>
        <v>0.41993753424657532</v>
      </c>
      <c r="W3073" s="46">
        <f t="shared" si="289"/>
        <v>-3.1043751460341454E-2</v>
      </c>
      <c r="X3073" s="33">
        <f t="shared" si="286"/>
        <v>2.5770920609472656E-2</v>
      </c>
    </row>
    <row r="3074" spans="19:24" x14ac:dyDescent="0.25">
      <c r="S3074" s="44">
        <f t="shared" si="287"/>
        <v>46124</v>
      </c>
      <c r="T3074" s="12">
        <f t="shared" si="288"/>
        <v>3.1016980637326048</v>
      </c>
      <c r="U3074" s="12">
        <f t="shared" si="284"/>
        <v>3.0339162462096949</v>
      </c>
      <c r="V3074" s="30">
        <f t="shared" si="285"/>
        <v>0.41991013698630142</v>
      </c>
      <c r="W3074" s="46">
        <f t="shared" si="289"/>
        <v>-3.1016980637326042E-2</v>
      </c>
      <c r="X3074" s="33">
        <f t="shared" si="286"/>
        <v>2.5770879097199714E-2</v>
      </c>
    </row>
    <row r="3075" spans="19:24" x14ac:dyDescent="0.25">
      <c r="S3075" s="44">
        <f t="shared" si="287"/>
        <v>46125</v>
      </c>
      <c r="T3075" s="12">
        <f t="shared" si="288"/>
        <v>3.0990209814310634</v>
      </c>
      <c r="U3075" s="12">
        <f t="shared" si="284"/>
        <v>3.0312650694849066</v>
      </c>
      <c r="V3075" s="30">
        <f t="shared" si="285"/>
        <v>0.41988273972602741</v>
      </c>
      <c r="W3075" s="46">
        <f t="shared" si="289"/>
        <v>-3.0990209814310631E-2</v>
      </c>
      <c r="X3075" s="33">
        <f t="shared" si="286"/>
        <v>2.5770837584926765E-2</v>
      </c>
    </row>
    <row r="3076" spans="19:24" x14ac:dyDescent="0.25">
      <c r="S3076" s="44">
        <f t="shared" si="287"/>
        <v>46126</v>
      </c>
      <c r="T3076" s="12">
        <f t="shared" si="288"/>
        <v>3.0963438991295229</v>
      </c>
      <c r="U3076" s="12">
        <f t="shared" si="284"/>
        <v>3.0286138927601174</v>
      </c>
      <c r="V3076" s="30">
        <f t="shared" si="285"/>
        <v>0.4198553424657534</v>
      </c>
      <c r="W3076" s="46">
        <f t="shared" si="289"/>
        <v>-3.0963438991295226E-2</v>
      </c>
      <c r="X3076" s="33">
        <f t="shared" si="286"/>
        <v>2.5770796072653819E-2</v>
      </c>
    </row>
    <row r="3077" spans="19:24" x14ac:dyDescent="0.25">
      <c r="S3077" s="44">
        <f t="shared" si="287"/>
        <v>46127</v>
      </c>
      <c r="T3077" s="12">
        <f t="shared" si="288"/>
        <v>3.0936668168279819</v>
      </c>
      <c r="U3077" s="12">
        <f t="shared" ref="U3077:U3140" si="290">DurMod($S3077,$B$2,$F$7:$G$37,U$3)</f>
        <v>3.0259627160353282</v>
      </c>
      <c r="V3077" s="30">
        <f t="shared" ref="V3077:V3140" si="291">+$U$3*($S$5512-S3077)/365+$T$3*(S3077-$S$4)/365</f>
        <v>0.41982794520547945</v>
      </c>
      <c r="W3077" s="46">
        <f t="shared" si="289"/>
        <v>-3.0936668168279814E-2</v>
      </c>
      <c r="X3077" s="33">
        <f t="shared" ref="X3077:X3140" si="292">+(V3077+W3077)*365/($S$5512-$S$4)</f>
        <v>2.5770754560380877E-2</v>
      </c>
    </row>
    <row r="3078" spans="19:24" x14ac:dyDescent="0.25">
      <c r="S3078" s="44">
        <f t="shared" si="287"/>
        <v>46128</v>
      </c>
      <c r="T3078" s="12">
        <f t="shared" si="288"/>
        <v>3.0909897345264401</v>
      </c>
      <c r="U3078" s="12">
        <f t="shared" si="290"/>
        <v>3.0233115393105376</v>
      </c>
      <c r="V3078" s="30">
        <f t="shared" si="291"/>
        <v>0.41980054794520549</v>
      </c>
      <c r="W3078" s="46">
        <f t="shared" si="289"/>
        <v>-3.0909897345264396E-2</v>
      </c>
      <c r="X3078" s="33">
        <f t="shared" si="292"/>
        <v>2.5770713048107935E-2</v>
      </c>
    </row>
    <row r="3079" spans="19:24" x14ac:dyDescent="0.25">
      <c r="S3079" s="44">
        <f t="shared" si="287"/>
        <v>46129</v>
      </c>
      <c r="T3079" s="12">
        <f t="shared" si="288"/>
        <v>3.0883126522248983</v>
      </c>
      <c r="U3079" s="12">
        <f t="shared" si="290"/>
        <v>3.0206603625857498</v>
      </c>
      <c r="V3079" s="30">
        <f t="shared" si="291"/>
        <v>0.41977315068493148</v>
      </c>
      <c r="W3079" s="46">
        <f t="shared" si="289"/>
        <v>-3.0883126522248977E-2</v>
      </c>
      <c r="X3079" s="33">
        <f t="shared" si="292"/>
        <v>2.5770671535834986E-2</v>
      </c>
    </row>
    <row r="3080" spans="19:24" x14ac:dyDescent="0.25">
      <c r="S3080" s="44">
        <f t="shared" si="287"/>
        <v>46130</v>
      </c>
      <c r="T3080" s="12">
        <f t="shared" si="288"/>
        <v>3.0856355699233577</v>
      </c>
      <c r="U3080" s="12">
        <f t="shared" si="290"/>
        <v>3.0180091858609592</v>
      </c>
      <c r="V3080" s="30">
        <f t="shared" si="291"/>
        <v>0.41974575342465753</v>
      </c>
      <c r="W3080" s="46">
        <f t="shared" si="289"/>
        <v>-3.0856355699233572E-2</v>
      </c>
      <c r="X3080" s="33">
        <f t="shared" si="292"/>
        <v>2.5770630023562044E-2</v>
      </c>
    </row>
    <row r="3081" spans="19:24" x14ac:dyDescent="0.25">
      <c r="S3081" s="44">
        <f t="shared" si="287"/>
        <v>46131</v>
      </c>
      <c r="T3081" s="12">
        <f t="shared" si="288"/>
        <v>3.0829584876218163</v>
      </c>
      <c r="U3081" s="12">
        <f t="shared" si="290"/>
        <v>3.0153580091361705</v>
      </c>
      <c r="V3081" s="30">
        <f t="shared" si="291"/>
        <v>0.41971835616438358</v>
      </c>
      <c r="W3081" s="46">
        <f t="shared" si="289"/>
        <v>-3.0829584876218157E-2</v>
      </c>
      <c r="X3081" s="33">
        <f t="shared" si="292"/>
        <v>2.5770588511289102E-2</v>
      </c>
    </row>
    <row r="3082" spans="19:24" x14ac:dyDescent="0.25">
      <c r="S3082" s="44">
        <f t="shared" si="287"/>
        <v>46132</v>
      </c>
      <c r="T3082" s="12">
        <f t="shared" si="288"/>
        <v>3.0802814053202754</v>
      </c>
      <c r="U3082" s="12">
        <f t="shared" si="290"/>
        <v>3.0127068324113813</v>
      </c>
      <c r="V3082" s="30">
        <f t="shared" si="291"/>
        <v>0.41969095890410957</v>
      </c>
      <c r="W3082" s="46">
        <f t="shared" si="289"/>
        <v>-3.0802814053202749E-2</v>
      </c>
      <c r="X3082" s="33">
        <f t="shared" si="292"/>
        <v>2.5770546999016156E-2</v>
      </c>
    </row>
    <row r="3083" spans="19:24" x14ac:dyDescent="0.25">
      <c r="S3083" s="44">
        <f t="shared" si="287"/>
        <v>46133</v>
      </c>
      <c r="T3083" s="12">
        <f t="shared" si="288"/>
        <v>3.0776043230187335</v>
      </c>
      <c r="U3083" s="12">
        <f t="shared" si="290"/>
        <v>3.0100556556865921</v>
      </c>
      <c r="V3083" s="30">
        <f t="shared" si="291"/>
        <v>0.41966356164383561</v>
      </c>
      <c r="W3083" s="46">
        <f t="shared" si="289"/>
        <v>-3.077604323018733E-2</v>
      </c>
      <c r="X3083" s="33">
        <f t="shared" si="292"/>
        <v>2.5770505486743214E-2</v>
      </c>
    </row>
    <row r="3084" spans="19:24" x14ac:dyDescent="0.25">
      <c r="S3084" s="44">
        <f t="shared" si="287"/>
        <v>46134</v>
      </c>
      <c r="T3084" s="12">
        <f t="shared" si="288"/>
        <v>3.074927240717193</v>
      </c>
      <c r="U3084" s="12">
        <f t="shared" si="290"/>
        <v>3.007404478961802</v>
      </c>
      <c r="V3084" s="30">
        <f t="shared" si="291"/>
        <v>0.41963616438356166</v>
      </c>
      <c r="W3084" s="46">
        <f t="shared" si="289"/>
        <v>-3.0749272407171926E-2</v>
      </c>
      <c r="X3084" s="33">
        <f t="shared" si="292"/>
        <v>2.5770463974470272E-2</v>
      </c>
    </row>
    <row r="3085" spans="19:24" x14ac:dyDescent="0.25">
      <c r="S3085" s="44">
        <f t="shared" si="287"/>
        <v>46135</v>
      </c>
      <c r="T3085" s="12">
        <f t="shared" si="288"/>
        <v>3.0722501584156525</v>
      </c>
      <c r="U3085" s="12">
        <f t="shared" si="290"/>
        <v>3.0047533022370136</v>
      </c>
      <c r="V3085" s="30">
        <f t="shared" si="291"/>
        <v>0.41960876712328765</v>
      </c>
      <c r="W3085" s="46">
        <f t="shared" si="289"/>
        <v>-3.0722501584156521E-2</v>
      </c>
      <c r="X3085" s="33">
        <f t="shared" si="292"/>
        <v>2.5770422462197323E-2</v>
      </c>
    </row>
    <row r="3086" spans="19:24" x14ac:dyDescent="0.25">
      <c r="S3086" s="44">
        <f t="shared" si="287"/>
        <v>46136</v>
      </c>
      <c r="T3086" s="12">
        <f t="shared" si="288"/>
        <v>3.0695730761141102</v>
      </c>
      <c r="U3086" s="12">
        <f t="shared" si="290"/>
        <v>3.002102125512224</v>
      </c>
      <c r="V3086" s="30">
        <f t="shared" si="291"/>
        <v>0.41958136986301375</v>
      </c>
      <c r="W3086" s="46">
        <f t="shared" si="289"/>
        <v>-3.0695730761141099E-2</v>
      </c>
      <c r="X3086" s="33">
        <f t="shared" si="292"/>
        <v>2.5770380949924388E-2</v>
      </c>
    </row>
    <row r="3087" spans="19:24" x14ac:dyDescent="0.25">
      <c r="S3087" s="44">
        <f t="shared" si="287"/>
        <v>46137</v>
      </c>
      <c r="T3087" s="12">
        <f t="shared" si="288"/>
        <v>3.0668959938125697</v>
      </c>
      <c r="U3087" s="12">
        <f t="shared" si="290"/>
        <v>2.9994509487874352</v>
      </c>
      <c r="V3087" s="30">
        <f t="shared" si="291"/>
        <v>0.41955397260273974</v>
      </c>
      <c r="W3087" s="46">
        <f t="shared" si="289"/>
        <v>-3.0668959938125691E-2</v>
      </c>
      <c r="X3087" s="33">
        <f t="shared" si="292"/>
        <v>2.5770339437651439E-2</v>
      </c>
    </row>
    <row r="3088" spans="19:24" x14ac:dyDescent="0.25">
      <c r="S3088" s="44">
        <f t="shared" si="287"/>
        <v>46138</v>
      </c>
      <c r="T3088" s="12">
        <f t="shared" si="288"/>
        <v>3.0642189115110274</v>
      </c>
      <c r="U3088" s="12">
        <f t="shared" si="290"/>
        <v>2.996799772062646</v>
      </c>
      <c r="V3088" s="30">
        <f t="shared" si="291"/>
        <v>0.41952657534246574</v>
      </c>
      <c r="W3088" s="46">
        <f t="shared" si="289"/>
        <v>-3.0642189115110269E-2</v>
      </c>
      <c r="X3088" s="33">
        <f t="shared" si="292"/>
        <v>2.5770297925378494E-2</v>
      </c>
    </row>
    <row r="3089" spans="19:24" x14ac:dyDescent="0.25">
      <c r="S3089" s="44">
        <f t="shared" si="287"/>
        <v>46139</v>
      </c>
      <c r="T3089" s="12">
        <f t="shared" si="288"/>
        <v>3.0615418292094869</v>
      </c>
      <c r="U3089" s="12">
        <f t="shared" si="290"/>
        <v>2.9941485953378564</v>
      </c>
      <c r="V3089" s="30">
        <f t="shared" si="291"/>
        <v>0.41949917808219184</v>
      </c>
      <c r="W3089" s="46">
        <f t="shared" si="289"/>
        <v>-3.0615418292094864E-2</v>
      </c>
      <c r="X3089" s="33">
        <f t="shared" si="292"/>
        <v>2.5770256413105555E-2</v>
      </c>
    </row>
    <row r="3090" spans="19:24" x14ac:dyDescent="0.25">
      <c r="S3090" s="44">
        <f t="shared" si="287"/>
        <v>46140</v>
      </c>
      <c r="T3090" s="12">
        <f t="shared" si="288"/>
        <v>3.0588647469079455</v>
      </c>
      <c r="U3090" s="12">
        <f t="shared" si="290"/>
        <v>2.9914974186130663</v>
      </c>
      <c r="V3090" s="30">
        <f t="shared" si="291"/>
        <v>0.41947178082191783</v>
      </c>
      <c r="W3090" s="46">
        <f t="shared" si="289"/>
        <v>-3.0588647469079449E-2</v>
      </c>
      <c r="X3090" s="33">
        <f t="shared" si="292"/>
        <v>2.577021490083261E-2</v>
      </c>
    </row>
    <row r="3091" spans="19:24" x14ac:dyDescent="0.25">
      <c r="S3091" s="44">
        <f t="shared" si="287"/>
        <v>46141</v>
      </c>
      <c r="T3091" s="12">
        <f t="shared" si="288"/>
        <v>3.0561876646064041</v>
      </c>
      <c r="U3091" s="12">
        <f t="shared" si="290"/>
        <v>2.9888462418882775</v>
      </c>
      <c r="V3091" s="30">
        <f t="shared" si="291"/>
        <v>0.41944438356164382</v>
      </c>
      <c r="W3091" s="46">
        <f t="shared" si="289"/>
        <v>-3.0561876646064037E-2</v>
      </c>
      <c r="X3091" s="33">
        <f t="shared" si="292"/>
        <v>2.5770173388559664E-2</v>
      </c>
    </row>
    <row r="3092" spans="19:24" x14ac:dyDescent="0.25">
      <c r="S3092" s="44">
        <f t="shared" si="287"/>
        <v>46142</v>
      </c>
      <c r="T3092" s="12">
        <f t="shared" si="288"/>
        <v>3.0535105823048623</v>
      </c>
      <c r="U3092" s="12">
        <f t="shared" si="290"/>
        <v>2.9861950651634888</v>
      </c>
      <c r="V3092" s="30">
        <f t="shared" si="291"/>
        <v>0.41941698630136992</v>
      </c>
      <c r="W3092" s="46">
        <f t="shared" si="289"/>
        <v>-3.0535105823048619E-2</v>
      </c>
      <c r="X3092" s="33">
        <f t="shared" si="292"/>
        <v>2.5770131876286722E-2</v>
      </c>
    </row>
    <row r="3093" spans="19:24" x14ac:dyDescent="0.25">
      <c r="S3093" s="44">
        <f t="shared" si="287"/>
        <v>46143</v>
      </c>
      <c r="T3093" s="12">
        <f t="shared" si="288"/>
        <v>3.0508335000033227</v>
      </c>
      <c r="U3093" s="12">
        <f t="shared" si="290"/>
        <v>2.9835438884386991</v>
      </c>
      <c r="V3093" s="30">
        <f t="shared" si="291"/>
        <v>0.41938958904109591</v>
      </c>
      <c r="W3093" s="46">
        <f t="shared" si="289"/>
        <v>-3.0508335000033221E-2</v>
      </c>
      <c r="X3093" s="33">
        <f t="shared" si="292"/>
        <v>2.5770090364013773E-2</v>
      </c>
    </row>
    <row r="3094" spans="19:24" x14ac:dyDescent="0.25">
      <c r="S3094" s="44">
        <f t="shared" si="287"/>
        <v>46144</v>
      </c>
      <c r="T3094" s="12">
        <f t="shared" si="288"/>
        <v>3.0481564177017808</v>
      </c>
      <c r="U3094" s="12">
        <f t="shared" si="290"/>
        <v>2.9808927117139099</v>
      </c>
      <c r="V3094" s="30">
        <f t="shared" si="291"/>
        <v>0.4193621917808219</v>
      </c>
      <c r="W3094" s="46">
        <f t="shared" si="289"/>
        <v>-3.0481564177017802E-2</v>
      </c>
      <c r="X3094" s="33">
        <f t="shared" si="292"/>
        <v>2.5770048851740831E-2</v>
      </c>
    </row>
    <row r="3095" spans="19:24" x14ac:dyDescent="0.25">
      <c r="S3095" s="44">
        <f t="shared" si="287"/>
        <v>46145</v>
      </c>
      <c r="T3095" s="12">
        <f t="shared" si="288"/>
        <v>3.0454793354002403</v>
      </c>
      <c r="U3095" s="12">
        <f t="shared" si="290"/>
        <v>2.9782415349891207</v>
      </c>
      <c r="V3095" s="30">
        <f t="shared" si="291"/>
        <v>0.419334794520548</v>
      </c>
      <c r="W3095" s="46">
        <f t="shared" si="289"/>
        <v>-3.0454793354002398E-2</v>
      </c>
      <c r="X3095" s="33">
        <f t="shared" si="292"/>
        <v>2.5770007339467889E-2</v>
      </c>
    </row>
    <row r="3096" spans="19:24" x14ac:dyDescent="0.25">
      <c r="S3096" s="44">
        <f t="shared" si="287"/>
        <v>46146</v>
      </c>
      <c r="T3096" s="12">
        <f t="shared" si="288"/>
        <v>3.0428022530986989</v>
      </c>
      <c r="U3096" s="12">
        <f t="shared" si="290"/>
        <v>2.975590358264331</v>
      </c>
      <c r="V3096" s="30">
        <f t="shared" si="291"/>
        <v>0.419307397260274</v>
      </c>
      <c r="W3096" s="46">
        <f t="shared" si="289"/>
        <v>-3.0428022530986986E-2</v>
      </c>
      <c r="X3096" s="33">
        <f t="shared" si="292"/>
        <v>2.5769965827194947E-2</v>
      </c>
    </row>
    <row r="3097" spans="19:24" x14ac:dyDescent="0.25">
      <c r="S3097" s="44">
        <f t="shared" si="287"/>
        <v>46147</v>
      </c>
      <c r="T3097" s="12">
        <f t="shared" si="288"/>
        <v>3.0401251707971575</v>
      </c>
      <c r="U3097" s="12">
        <f t="shared" si="290"/>
        <v>2.9729391815395418</v>
      </c>
      <c r="V3097" s="30">
        <f t="shared" si="291"/>
        <v>0.41927999999999999</v>
      </c>
      <c r="W3097" s="46">
        <f t="shared" si="289"/>
        <v>-3.0401251707971571E-2</v>
      </c>
      <c r="X3097" s="33">
        <f t="shared" si="292"/>
        <v>2.5769924314922001E-2</v>
      </c>
    </row>
    <row r="3098" spans="19:24" x14ac:dyDescent="0.25">
      <c r="S3098" s="44">
        <f t="shared" si="287"/>
        <v>46148</v>
      </c>
      <c r="T3098" s="12">
        <f t="shared" si="288"/>
        <v>3.0374480884956161</v>
      </c>
      <c r="U3098" s="12">
        <f t="shared" si="290"/>
        <v>2.9702880048147526</v>
      </c>
      <c r="V3098" s="30">
        <f t="shared" si="291"/>
        <v>0.41925260273972609</v>
      </c>
      <c r="W3098" s="46">
        <f t="shared" si="289"/>
        <v>-3.0374480884956156E-2</v>
      </c>
      <c r="X3098" s="33">
        <f t="shared" si="292"/>
        <v>2.5769882802649063E-2</v>
      </c>
    </row>
    <row r="3099" spans="19:24" x14ac:dyDescent="0.25">
      <c r="S3099" s="44">
        <f t="shared" si="287"/>
        <v>46149</v>
      </c>
      <c r="T3099" s="12">
        <f t="shared" si="288"/>
        <v>3.0347710061940751</v>
      </c>
      <c r="U3099" s="12">
        <f t="shared" si="290"/>
        <v>2.9676368280899625</v>
      </c>
      <c r="V3099" s="30">
        <f t="shared" si="291"/>
        <v>0.41922520547945208</v>
      </c>
      <c r="W3099" s="46">
        <f t="shared" si="289"/>
        <v>-3.0347710061940748E-2</v>
      </c>
      <c r="X3099" s="33">
        <f t="shared" si="292"/>
        <v>2.576984129037611E-2</v>
      </c>
    </row>
    <row r="3100" spans="19:24" x14ac:dyDescent="0.25">
      <c r="S3100" s="44">
        <f t="shared" si="287"/>
        <v>46150</v>
      </c>
      <c r="T3100" s="12">
        <f t="shared" si="288"/>
        <v>3.0320939238925342</v>
      </c>
      <c r="U3100" s="12">
        <f t="shared" si="290"/>
        <v>2.9649856513651738</v>
      </c>
      <c r="V3100" s="30">
        <f t="shared" si="291"/>
        <v>0.41919780821917807</v>
      </c>
      <c r="W3100" s="46">
        <f t="shared" si="289"/>
        <v>-3.0320939238925336E-2</v>
      </c>
      <c r="X3100" s="33">
        <f t="shared" si="292"/>
        <v>2.5769799778103168E-2</v>
      </c>
    </row>
    <row r="3101" spans="19:24" x14ac:dyDescent="0.25">
      <c r="S3101" s="44">
        <f t="shared" si="287"/>
        <v>46151</v>
      </c>
      <c r="T3101" s="12">
        <f t="shared" si="288"/>
        <v>3.0294168415909928</v>
      </c>
      <c r="U3101" s="12">
        <f t="shared" si="290"/>
        <v>2.9623344746403846</v>
      </c>
      <c r="V3101" s="30">
        <f t="shared" si="291"/>
        <v>0.41917041095890412</v>
      </c>
      <c r="W3101" s="46">
        <f t="shared" si="289"/>
        <v>-3.0294168415909924E-2</v>
      </c>
      <c r="X3101" s="33">
        <f t="shared" si="292"/>
        <v>2.5769758265830226E-2</v>
      </c>
    </row>
    <row r="3102" spans="19:24" x14ac:dyDescent="0.25">
      <c r="S3102" s="44">
        <f t="shared" si="287"/>
        <v>46152</v>
      </c>
      <c r="T3102" s="12">
        <f t="shared" si="288"/>
        <v>3.0267397592894518</v>
      </c>
      <c r="U3102" s="12">
        <f t="shared" si="290"/>
        <v>2.9596832979155949</v>
      </c>
      <c r="V3102" s="30">
        <f t="shared" si="291"/>
        <v>0.41914301369863016</v>
      </c>
      <c r="W3102" s="46">
        <f t="shared" si="289"/>
        <v>-3.0267397592894513E-2</v>
      </c>
      <c r="X3102" s="33">
        <f t="shared" si="292"/>
        <v>2.5769716753557281E-2</v>
      </c>
    </row>
    <row r="3103" spans="19:24" x14ac:dyDescent="0.25">
      <c r="S3103" s="44">
        <f t="shared" si="287"/>
        <v>46153</v>
      </c>
      <c r="T3103" s="12">
        <f t="shared" si="288"/>
        <v>3.02406267698791</v>
      </c>
      <c r="U3103" s="12">
        <f t="shared" si="290"/>
        <v>2.9570321211908053</v>
      </c>
      <c r="V3103" s="30">
        <f t="shared" si="291"/>
        <v>0.41911561643835615</v>
      </c>
      <c r="W3103" s="46">
        <f t="shared" si="289"/>
        <v>-3.0240626769879094E-2</v>
      </c>
      <c r="X3103" s="33">
        <f t="shared" si="292"/>
        <v>2.5769675241284339E-2</v>
      </c>
    </row>
    <row r="3104" spans="19:24" x14ac:dyDescent="0.25">
      <c r="S3104" s="44">
        <f t="shared" si="287"/>
        <v>46154</v>
      </c>
      <c r="T3104" s="12">
        <f t="shared" si="288"/>
        <v>3.021385594686369</v>
      </c>
      <c r="U3104" s="12">
        <f t="shared" si="290"/>
        <v>2.954380944466017</v>
      </c>
      <c r="V3104" s="30">
        <f t="shared" si="291"/>
        <v>0.4190882191780822</v>
      </c>
      <c r="W3104" s="46">
        <f t="shared" si="289"/>
        <v>-3.0213855946863686E-2</v>
      </c>
      <c r="X3104" s="33">
        <f t="shared" si="292"/>
        <v>2.576963372901139E-2</v>
      </c>
    </row>
    <row r="3105" spans="19:24" x14ac:dyDescent="0.25">
      <c r="S3105" s="44">
        <f t="shared" si="287"/>
        <v>46155</v>
      </c>
      <c r="T3105" s="12">
        <f t="shared" si="288"/>
        <v>3.0187085123848276</v>
      </c>
      <c r="U3105" s="12">
        <f t="shared" si="290"/>
        <v>2.9517297677412273</v>
      </c>
      <c r="V3105" s="30">
        <f t="shared" si="291"/>
        <v>0.41906082191780825</v>
      </c>
      <c r="W3105" s="46">
        <f t="shared" si="289"/>
        <v>-3.0187085123848271E-2</v>
      </c>
      <c r="X3105" s="33">
        <f t="shared" si="292"/>
        <v>2.5769592216738454E-2</v>
      </c>
    </row>
    <row r="3106" spans="19:24" x14ac:dyDescent="0.25">
      <c r="S3106" s="44">
        <f t="shared" si="287"/>
        <v>46156</v>
      </c>
      <c r="T3106" s="12">
        <f t="shared" si="288"/>
        <v>3.0160314300832867</v>
      </c>
      <c r="U3106" s="12">
        <f t="shared" si="290"/>
        <v>2.9490785910164377</v>
      </c>
      <c r="V3106" s="30">
        <f t="shared" si="291"/>
        <v>0.41903342465753424</v>
      </c>
      <c r="W3106" s="46">
        <f t="shared" si="289"/>
        <v>-3.0160314300832863E-2</v>
      </c>
      <c r="X3106" s="33">
        <f t="shared" si="292"/>
        <v>2.5769550704465502E-2</v>
      </c>
    </row>
    <row r="3107" spans="19:24" x14ac:dyDescent="0.25">
      <c r="S3107" s="44">
        <f t="shared" si="287"/>
        <v>46157</v>
      </c>
      <c r="T3107" s="12">
        <f t="shared" si="288"/>
        <v>3.0133543477817453</v>
      </c>
      <c r="U3107" s="12">
        <f t="shared" si="290"/>
        <v>2.9464274142916489</v>
      </c>
      <c r="V3107" s="30">
        <f t="shared" si="291"/>
        <v>0.41900602739726028</v>
      </c>
      <c r="W3107" s="46">
        <f t="shared" si="289"/>
        <v>-3.0133543477817448E-2</v>
      </c>
      <c r="X3107" s="33">
        <f t="shared" si="292"/>
        <v>2.5769509192192563E-2</v>
      </c>
    </row>
    <row r="3108" spans="19:24" x14ac:dyDescent="0.25">
      <c r="S3108" s="44">
        <f t="shared" si="287"/>
        <v>46158</v>
      </c>
      <c r="T3108" s="12">
        <f t="shared" si="288"/>
        <v>3.0106772654802039</v>
      </c>
      <c r="U3108" s="12">
        <f t="shared" si="290"/>
        <v>2.9437762375668597</v>
      </c>
      <c r="V3108" s="30">
        <f t="shared" si="291"/>
        <v>0.41897863013698633</v>
      </c>
      <c r="W3108" s="46">
        <f t="shared" si="289"/>
        <v>-3.0106772654802032E-2</v>
      </c>
      <c r="X3108" s="33">
        <f t="shared" si="292"/>
        <v>2.5769467679919618E-2</v>
      </c>
    </row>
    <row r="3109" spans="19:24" x14ac:dyDescent="0.25">
      <c r="S3109" s="44">
        <f t="shared" si="287"/>
        <v>46159</v>
      </c>
      <c r="T3109" s="12">
        <f t="shared" si="288"/>
        <v>3.0080001831786634</v>
      </c>
      <c r="U3109" s="12">
        <f t="shared" si="290"/>
        <v>2.94112506084207</v>
      </c>
      <c r="V3109" s="30">
        <f t="shared" si="291"/>
        <v>0.41895123287671232</v>
      </c>
      <c r="W3109" s="46">
        <f t="shared" si="289"/>
        <v>-3.0080001831786628E-2</v>
      </c>
      <c r="X3109" s="33">
        <f t="shared" si="292"/>
        <v>2.5769426167646676E-2</v>
      </c>
    </row>
    <row r="3110" spans="19:24" x14ac:dyDescent="0.25">
      <c r="S3110" s="44">
        <f t="shared" si="287"/>
        <v>46160</v>
      </c>
      <c r="T3110" s="12">
        <f t="shared" si="288"/>
        <v>3.005323100877122</v>
      </c>
      <c r="U3110" s="12">
        <f t="shared" si="290"/>
        <v>2.9384738841172813</v>
      </c>
      <c r="V3110" s="30">
        <f t="shared" si="291"/>
        <v>0.41892383561643837</v>
      </c>
      <c r="W3110" s="46">
        <f t="shared" si="289"/>
        <v>-3.0053231008771216E-2</v>
      </c>
      <c r="X3110" s="33">
        <f t="shared" si="292"/>
        <v>2.576938465537373E-2</v>
      </c>
    </row>
    <row r="3111" spans="19:24" x14ac:dyDescent="0.25">
      <c r="S3111" s="44">
        <f t="shared" si="287"/>
        <v>46161</v>
      </c>
      <c r="T3111" s="12">
        <f t="shared" si="288"/>
        <v>3.0026460185755801</v>
      </c>
      <c r="U3111" s="12">
        <f t="shared" si="290"/>
        <v>2.9358227073924912</v>
      </c>
      <c r="V3111" s="30">
        <f t="shared" si="291"/>
        <v>0.41889643835616441</v>
      </c>
      <c r="W3111" s="46">
        <f t="shared" si="289"/>
        <v>-3.0026460185755798E-2</v>
      </c>
      <c r="X3111" s="33">
        <f t="shared" si="292"/>
        <v>2.5769343143100792E-2</v>
      </c>
    </row>
    <row r="3112" spans="19:24" x14ac:dyDescent="0.25">
      <c r="S3112" s="44">
        <f t="shared" si="287"/>
        <v>46162</v>
      </c>
      <c r="T3112" s="12">
        <f t="shared" si="288"/>
        <v>2.9999689362740396</v>
      </c>
      <c r="U3112" s="12">
        <f t="shared" si="290"/>
        <v>2.933171530667702</v>
      </c>
      <c r="V3112" s="30">
        <f t="shared" si="291"/>
        <v>0.4188690410958904</v>
      </c>
      <c r="W3112" s="46">
        <f t="shared" si="289"/>
        <v>-2.9999689362740393E-2</v>
      </c>
      <c r="X3112" s="33">
        <f t="shared" si="292"/>
        <v>2.5769301630827846E-2</v>
      </c>
    </row>
    <row r="3113" spans="19:24" x14ac:dyDescent="0.25">
      <c r="S3113" s="44">
        <f t="shared" si="287"/>
        <v>46163</v>
      </c>
      <c r="T3113" s="12">
        <f t="shared" si="288"/>
        <v>2.9972918539724982</v>
      </c>
      <c r="U3113" s="12">
        <f t="shared" si="290"/>
        <v>2.9305203539429123</v>
      </c>
      <c r="V3113" s="30">
        <f t="shared" si="291"/>
        <v>0.4188416438356164</v>
      </c>
      <c r="W3113" s="46">
        <f t="shared" si="289"/>
        <v>-2.9972918539724978E-2</v>
      </c>
      <c r="X3113" s="33">
        <f t="shared" si="292"/>
        <v>2.5769260118554894E-2</v>
      </c>
    </row>
    <row r="3114" spans="19:24" x14ac:dyDescent="0.25">
      <c r="S3114" s="44">
        <f t="shared" si="287"/>
        <v>46164</v>
      </c>
      <c r="T3114" s="12">
        <f t="shared" si="288"/>
        <v>2.9946147716709572</v>
      </c>
      <c r="U3114" s="12">
        <f t="shared" si="290"/>
        <v>2.9278691772181236</v>
      </c>
      <c r="V3114" s="30">
        <f t="shared" si="291"/>
        <v>0.4188142465753425</v>
      </c>
      <c r="W3114" s="46">
        <f t="shared" si="289"/>
        <v>-2.994614771670957E-2</v>
      </c>
      <c r="X3114" s="33">
        <f t="shared" si="292"/>
        <v>2.5769218606281955E-2</v>
      </c>
    </row>
    <row r="3115" spans="19:24" x14ac:dyDescent="0.25">
      <c r="S3115" s="44">
        <f t="shared" si="287"/>
        <v>46165</v>
      </c>
      <c r="T3115" s="12">
        <f t="shared" si="288"/>
        <v>2.9919376893694158</v>
      </c>
      <c r="U3115" s="12">
        <f t="shared" si="290"/>
        <v>2.9252180004933339</v>
      </c>
      <c r="V3115" s="30">
        <f t="shared" si="291"/>
        <v>0.41878684931506849</v>
      </c>
      <c r="W3115" s="46">
        <f t="shared" si="289"/>
        <v>-2.9919376893694154E-2</v>
      </c>
      <c r="X3115" s="33">
        <f t="shared" si="292"/>
        <v>2.576917709400901E-2</v>
      </c>
    </row>
    <row r="3116" spans="19:24" x14ac:dyDescent="0.25">
      <c r="S3116" s="44">
        <f t="shared" si="287"/>
        <v>46166</v>
      </c>
      <c r="T3116" s="12">
        <f t="shared" si="288"/>
        <v>2.9892606070678749</v>
      </c>
      <c r="U3116" s="12">
        <f t="shared" si="290"/>
        <v>2.9225668237685456</v>
      </c>
      <c r="V3116" s="30">
        <f t="shared" si="291"/>
        <v>0.41875945205479453</v>
      </c>
      <c r="W3116" s="46">
        <f t="shared" si="289"/>
        <v>-2.9892606070678743E-2</v>
      </c>
      <c r="X3116" s="33">
        <f t="shared" si="292"/>
        <v>2.5769135581736071E-2</v>
      </c>
    </row>
    <row r="3117" spans="19:24" x14ac:dyDescent="0.25">
      <c r="S3117" s="44">
        <f t="shared" si="287"/>
        <v>46167</v>
      </c>
      <c r="T3117" s="12">
        <f t="shared" si="288"/>
        <v>2.9865835247663326</v>
      </c>
      <c r="U3117" s="12">
        <f t="shared" si="290"/>
        <v>2.9199156470437551</v>
      </c>
      <c r="V3117" s="30">
        <f t="shared" si="291"/>
        <v>0.41873205479452053</v>
      </c>
      <c r="W3117" s="46">
        <f t="shared" si="289"/>
        <v>-2.9865835247663321E-2</v>
      </c>
      <c r="X3117" s="33">
        <f t="shared" si="292"/>
        <v>2.5769094069463119E-2</v>
      </c>
    </row>
    <row r="3118" spans="19:24" x14ac:dyDescent="0.25">
      <c r="S3118" s="44">
        <f t="shared" si="287"/>
        <v>46168</v>
      </c>
      <c r="T3118" s="12">
        <f t="shared" si="288"/>
        <v>2.9839064424647921</v>
      </c>
      <c r="U3118" s="12">
        <f t="shared" si="290"/>
        <v>2.9172644703189663</v>
      </c>
      <c r="V3118" s="30">
        <f t="shared" si="291"/>
        <v>0.41870465753424657</v>
      </c>
      <c r="W3118" s="46">
        <f t="shared" si="289"/>
        <v>-2.9839064424647916E-2</v>
      </c>
      <c r="X3118" s="33">
        <f t="shared" si="292"/>
        <v>2.5769052557190184E-2</v>
      </c>
    </row>
    <row r="3119" spans="19:24" x14ac:dyDescent="0.25">
      <c r="S3119" s="44">
        <f t="shared" si="287"/>
        <v>46169</v>
      </c>
      <c r="T3119" s="12">
        <f t="shared" si="288"/>
        <v>2.9812293601632511</v>
      </c>
      <c r="U3119" s="12">
        <f t="shared" si="290"/>
        <v>2.9146132935941771</v>
      </c>
      <c r="V3119" s="30">
        <f t="shared" si="291"/>
        <v>0.41867726027397256</v>
      </c>
      <c r="W3119" s="46">
        <f t="shared" si="289"/>
        <v>-2.9812293601632508E-2</v>
      </c>
      <c r="X3119" s="33">
        <f t="shared" si="292"/>
        <v>2.5769011044917235E-2</v>
      </c>
    </row>
    <row r="3120" spans="19:24" x14ac:dyDescent="0.25">
      <c r="S3120" s="44">
        <f t="shared" si="287"/>
        <v>46170</v>
      </c>
      <c r="T3120" s="12">
        <f t="shared" si="288"/>
        <v>2.9785522778617097</v>
      </c>
      <c r="U3120" s="12">
        <f t="shared" si="290"/>
        <v>2.9119621168693883</v>
      </c>
      <c r="V3120" s="30">
        <f t="shared" si="291"/>
        <v>0.41864986301369866</v>
      </c>
      <c r="W3120" s="46">
        <f t="shared" si="289"/>
        <v>-2.9785522778617093E-2</v>
      </c>
      <c r="X3120" s="33">
        <f t="shared" si="292"/>
        <v>2.5768969532644299E-2</v>
      </c>
    </row>
    <row r="3121" spans="19:24" x14ac:dyDescent="0.25">
      <c r="S3121" s="44">
        <f t="shared" si="287"/>
        <v>46171</v>
      </c>
      <c r="T3121" s="12">
        <f t="shared" si="288"/>
        <v>2.9758751955601692</v>
      </c>
      <c r="U3121" s="12">
        <f t="shared" si="290"/>
        <v>2.9093109401445982</v>
      </c>
      <c r="V3121" s="30">
        <f t="shared" si="291"/>
        <v>0.41862246575342466</v>
      </c>
      <c r="W3121" s="46">
        <f t="shared" si="289"/>
        <v>-2.9758751955601688E-2</v>
      </c>
      <c r="X3121" s="33">
        <f t="shared" si="292"/>
        <v>2.5768928020371347E-2</v>
      </c>
    </row>
    <row r="3122" spans="19:24" x14ac:dyDescent="0.25">
      <c r="S3122" s="44">
        <f t="shared" si="287"/>
        <v>46172</v>
      </c>
      <c r="T3122" s="12">
        <f t="shared" si="288"/>
        <v>2.9731981132586278</v>
      </c>
      <c r="U3122" s="12">
        <f t="shared" si="290"/>
        <v>2.9066597634198104</v>
      </c>
      <c r="V3122" s="30">
        <f t="shared" si="291"/>
        <v>0.41859506849315065</v>
      </c>
      <c r="W3122" s="46">
        <f t="shared" si="289"/>
        <v>-2.9731981132586273E-2</v>
      </c>
      <c r="X3122" s="33">
        <f t="shared" si="292"/>
        <v>2.5768886508098398E-2</v>
      </c>
    </row>
    <row r="3123" spans="19:24" x14ac:dyDescent="0.25">
      <c r="S3123" s="44">
        <f t="shared" ref="S3123:S3186" si="293">+S3122+1</f>
        <v>46173</v>
      </c>
      <c r="T3123" s="12">
        <f t="shared" ref="T3123:T3186" si="294">DurMod(S3123,B$2,$F$7:$G$37,$T$3)</f>
        <v>2.970521030957086</v>
      </c>
      <c r="U3123" s="12">
        <f t="shared" si="290"/>
        <v>2.9040085866950203</v>
      </c>
      <c r="V3123" s="30">
        <f t="shared" si="291"/>
        <v>0.41856767123287669</v>
      </c>
      <c r="W3123" s="46">
        <f t="shared" ref="W3123:W3186" si="295">+-T3123*($U$3-$T$3)</f>
        <v>-2.9705210309570854E-2</v>
      </c>
      <c r="X3123" s="33">
        <f t="shared" si="292"/>
        <v>2.5768844995825463E-2</v>
      </c>
    </row>
    <row r="3124" spans="19:24" x14ac:dyDescent="0.25">
      <c r="S3124" s="44">
        <f t="shared" si="293"/>
        <v>46174</v>
      </c>
      <c r="T3124" s="12">
        <f t="shared" si="294"/>
        <v>2.9678439486555455</v>
      </c>
      <c r="U3124" s="12">
        <f t="shared" si="290"/>
        <v>2.9013574099702311</v>
      </c>
      <c r="V3124" s="30">
        <f t="shared" si="291"/>
        <v>0.41854027397260274</v>
      </c>
      <c r="W3124" s="46">
        <f t="shared" si="295"/>
        <v>-2.967843948655545E-2</v>
      </c>
      <c r="X3124" s="33">
        <f t="shared" si="292"/>
        <v>2.5768803483552514E-2</v>
      </c>
    </row>
    <row r="3125" spans="19:24" x14ac:dyDescent="0.25">
      <c r="S3125" s="44">
        <f t="shared" si="293"/>
        <v>46175</v>
      </c>
      <c r="T3125" s="12">
        <f t="shared" si="294"/>
        <v>2.9651668663540032</v>
      </c>
      <c r="U3125" s="12">
        <f t="shared" si="290"/>
        <v>2.8987062332454414</v>
      </c>
      <c r="V3125" s="30">
        <f t="shared" si="291"/>
        <v>0.41851287671232873</v>
      </c>
      <c r="W3125" s="46">
        <f t="shared" si="295"/>
        <v>-2.9651668663540028E-2</v>
      </c>
      <c r="X3125" s="33">
        <f t="shared" si="292"/>
        <v>2.5768761971279572E-2</v>
      </c>
    </row>
    <row r="3126" spans="19:24" x14ac:dyDescent="0.25">
      <c r="S3126" s="44">
        <f t="shared" si="293"/>
        <v>46176</v>
      </c>
      <c r="T3126" s="12">
        <f t="shared" si="294"/>
        <v>2.9624897840524631</v>
      </c>
      <c r="U3126" s="12">
        <f t="shared" si="290"/>
        <v>2.8960550565206518</v>
      </c>
      <c r="V3126" s="30">
        <f t="shared" si="291"/>
        <v>0.41848547945205478</v>
      </c>
      <c r="W3126" s="46">
        <f t="shared" si="295"/>
        <v>-2.9624897840524626E-2</v>
      </c>
      <c r="X3126" s="33">
        <f t="shared" si="292"/>
        <v>2.5768720459006626E-2</v>
      </c>
    </row>
    <row r="3127" spans="19:24" x14ac:dyDescent="0.25">
      <c r="S3127" s="44">
        <f t="shared" si="293"/>
        <v>46177</v>
      </c>
      <c r="T3127" s="12">
        <f t="shared" si="294"/>
        <v>2.9598127017509213</v>
      </c>
      <c r="U3127" s="12">
        <f t="shared" si="290"/>
        <v>2.8934038797958626</v>
      </c>
      <c r="V3127" s="30">
        <f t="shared" si="291"/>
        <v>0.41845808219178082</v>
      </c>
      <c r="W3127" s="46">
        <f t="shared" si="295"/>
        <v>-2.9598127017509208E-2</v>
      </c>
      <c r="X3127" s="33">
        <f t="shared" si="292"/>
        <v>2.5768678946733684E-2</v>
      </c>
    </row>
    <row r="3128" spans="19:24" x14ac:dyDescent="0.25">
      <c r="S3128" s="44">
        <f t="shared" si="293"/>
        <v>46178</v>
      </c>
      <c r="T3128" s="12">
        <f t="shared" si="294"/>
        <v>2.9571356194493807</v>
      </c>
      <c r="U3128" s="12">
        <f t="shared" si="290"/>
        <v>2.8907527030710725</v>
      </c>
      <c r="V3128" s="30">
        <f t="shared" si="291"/>
        <v>0.41843068493150681</v>
      </c>
      <c r="W3128" s="46">
        <f t="shared" si="295"/>
        <v>-2.9571356194493803E-2</v>
      </c>
      <c r="X3128" s="33">
        <f t="shared" si="292"/>
        <v>2.5768637434460735E-2</v>
      </c>
    </row>
    <row r="3129" spans="19:24" x14ac:dyDescent="0.25">
      <c r="S3129" s="44">
        <f t="shared" si="293"/>
        <v>46179</v>
      </c>
      <c r="T3129" s="12">
        <f t="shared" si="294"/>
        <v>2.9544585371478389</v>
      </c>
      <c r="U3129" s="12">
        <f t="shared" si="290"/>
        <v>2.888101526346285</v>
      </c>
      <c r="V3129" s="30">
        <f t="shared" si="291"/>
        <v>0.41840328767123286</v>
      </c>
      <c r="W3129" s="46">
        <f t="shared" si="295"/>
        <v>-2.9544585371478384E-2</v>
      </c>
      <c r="X3129" s="33">
        <f t="shared" si="292"/>
        <v>2.57685959221878E-2</v>
      </c>
    </row>
    <row r="3130" spans="19:24" x14ac:dyDescent="0.25">
      <c r="S3130" s="44">
        <f t="shared" si="293"/>
        <v>46180</v>
      </c>
      <c r="T3130" s="12">
        <f t="shared" si="294"/>
        <v>2.9517814548462975</v>
      </c>
      <c r="U3130" s="12">
        <f t="shared" si="290"/>
        <v>2.8854503496214945</v>
      </c>
      <c r="V3130" s="30">
        <f t="shared" si="291"/>
        <v>0.41837589041095891</v>
      </c>
      <c r="W3130" s="46">
        <f t="shared" si="295"/>
        <v>-2.9517814548462969E-2</v>
      </c>
      <c r="X3130" s="33">
        <f t="shared" si="292"/>
        <v>2.5768554409914855E-2</v>
      </c>
    </row>
    <row r="3131" spans="19:24" x14ac:dyDescent="0.25">
      <c r="S3131" s="44">
        <f t="shared" si="293"/>
        <v>46181</v>
      </c>
      <c r="T3131" s="12">
        <f t="shared" si="294"/>
        <v>2.9491043725447565</v>
      </c>
      <c r="U3131" s="12">
        <f t="shared" si="290"/>
        <v>2.8827991728967062</v>
      </c>
      <c r="V3131" s="30">
        <f t="shared" si="291"/>
        <v>0.41834849315068495</v>
      </c>
      <c r="W3131" s="46">
        <f t="shared" si="295"/>
        <v>-2.9491043725447561E-2</v>
      </c>
      <c r="X3131" s="33">
        <f t="shared" si="292"/>
        <v>2.5768512897641913E-2</v>
      </c>
    </row>
    <row r="3132" spans="19:24" x14ac:dyDescent="0.25">
      <c r="S3132" s="44">
        <f t="shared" si="293"/>
        <v>46182</v>
      </c>
      <c r="T3132" s="12">
        <f t="shared" si="294"/>
        <v>2.9464272902432147</v>
      </c>
      <c r="U3132" s="12">
        <f t="shared" si="290"/>
        <v>2.8801479961719161</v>
      </c>
      <c r="V3132" s="30">
        <f t="shared" si="291"/>
        <v>0.418321095890411</v>
      </c>
      <c r="W3132" s="46">
        <f t="shared" si="295"/>
        <v>-2.9464272902432143E-2</v>
      </c>
      <c r="X3132" s="33">
        <f t="shared" si="292"/>
        <v>2.576847138536897E-2</v>
      </c>
    </row>
    <row r="3133" spans="19:24" x14ac:dyDescent="0.25">
      <c r="S3133" s="44">
        <f t="shared" si="293"/>
        <v>46183</v>
      </c>
      <c r="T3133" s="12">
        <f t="shared" si="294"/>
        <v>2.9437502079416742</v>
      </c>
      <c r="U3133" s="12">
        <f t="shared" si="290"/>
        <v>2.8774968194471269</v>
      </c>
      <c r="V3133" s="30">
        <f t="shared" si="291"/>
        <v>0.41829369863013699</v>
      </c>
      <c r="W3133" s="46">
        <f t="shared" si="295"/>
        <v>-2.9437502079416738E-2</v>
      </c>
      <c r="X3133" s="33">
        <f t="shared" si="292"/>
        <v>2.5768429873096022E-2</v>
      </c>
    </row>
    <row r="3134" spans="19:24" x14ac:dyDescent="0.25">
      <c r="S3134" s="44">
        <f t="shared" si="293"/>
        <v>46184</v>
      </c>
      <c r="T3134" s="12">
        <f t="shared" si="294"/>
        <v>2.9410731256401337</v>
      </c>
      <c r="U3134" s="12">
        <f t="shared" si="290"/>
        <v>2.8748456427223381</v>
      </c>
      <c r="V3134" s="30">
        <f t="shared" si="291"/>
        <v>0.41826630136986304</v>
      </c>
      <c r="W3134" s="46">
        <f t="shared" si="295"/>
        <v>-2.9410731256401333E-2</v>
      </c>
      <c r="X3134" s="33">
        <f t="shared" si="292"/>
        <v>2.5768388360823079E-2</v>
      </c>
    </row>
    <row r="3135" spans="19:24" x14ac:dyDescent="0.25">
      <c r="S3135" s="44">
        <f t="shared" si="293"/>
        <v>46185</v>
      </c>
      <c r="T3135" s="12">
        <f t="shared" si="294"/>
        <v>2.9383960433385918</v>
      </c>
      <c r="U3135" s="12">
        <f t="shared" si="290"/>
        <v>2.8721944659975485</v>
      </c>
      <c r="V3135" s="30">
        <f t="shared" si="291"/>
        <v>0.41823890410958908</v>
      </c>
      <c r="W3135" s="46">
        <f t="shared" si="295"/>
        <v>-2.9383960433385915E-2</v>
      </c>
      <c r="X3135" s="33">
        <f t="shared" si="292"/>
        <v>2.5768346848550137E-2</v>
      </c>
    </row>
    <row r="3136" spans="19:24" x14ac:dyDescent="0.25">
      <c r="S3136" s="44">
        <f t="shared" si="293"/>
        <v>46186</v>
      </c>
      <c r="T3136" s="12">
        <f t="shared" si="294"/>
        <v>2.9357189610370513</v>
      </c>
      <c r="U3136" s="12">
        <f t="shared" si="290"/>
        <v>2.8695432892727584</v>
      </c>
      <c r="V3136" s="30">
        <f t="shared" si="291"/>
        <v>0.41821150684931507</v>
      </c>
      <c r="W3136" s="46">
        <f t="shared" si="295"/>
        <v>-2.935718961037051E-2</v>
      </c>
      <c r="X3136" s="33">
        <f t="shared" si="292"/>
        <v>2.5768305336277192E-2</v>
      </c>
    </row>
    <row r="3137" spans="19:24" x14ac:dyDescent="0.25">
      <c r="S3137" s="44">
        <f t="shared" si="293"/>
        <v>46187</v>
      </c>
      <c r="T3137" s="12">
        <f t="shared" si="294"/>
        <v>2.9330418787355095</v>
      </c>
      <c r="U3137" s="12">
        <f t="shared" si="290"/>
        <v>2.8668921125479701</v>
      </c>
      <c r="V3137" s="30">
        <f t="shared" si="291"/>
        <v>0.41818410958904112</v>
      </c>
      <c r="W3137" s="46">
        <f t="shared" si="295"/>
        <v>-2.9330418787355091E-2</v>
      </c>
      <c r="X3137" s="33">
        <f t="shared" si="292"/>
        <v>2.576826382400425E-2</v>
      </c>
    </row>
    <row r="3138" spans="19:24" x14ac:dyDescent="0.25">
      <c r="S3138" s="44">
        <f t="shared" si="293"/>
        <v>46188</v>
      </c>
      <c r="T3138" s="12">
        <f t="shared" si="294"/>
        <v>3.2078385370710496</v>
      </c>
      <c r="U3138" s="12">
        <f t="shared" si="290"/>
        <v>3.1442050966193063</v>
      </c>
      <c r="V3138" s="30">
        <f t="shared" si="291"/>
        <v>0.41815671232876717</v>
      </c>
      <c r="W3138" s="46">
        <f t="shared" si="295"/>
        <v>-3.2078385370710491E-2</v>
      </c>
      <c r="X3138" s="33">
        <f t="shared" si="292"/>
        <v>2.5584348100887919E-2</v>
      </c>
    </row>
    <row r="3139" spans="19:24" x14ac:dyDescent="0.25">
      <c r="S3139" s="44">
        <f t="shared" si="293"/>
        <v>46189</v>
      </c>
      <c r="T3139" s="12">
        <f t="shared" si="294"/>
        <v>3.2051614547695082</v>
      </c>
      <c r="U3139" s="12">
        <f t="shared" si="290"/>
        <v>3.141553919894517</v>
      </c>
      <c r="V3139" s="30">
        <f t="shared" si="291"/>
        <v>0.41812931506849316</v>
      </c>
      <c r="W3139" s="46">
        <f t="shared" si="295"/>
        <v>-3.2051614547695076E-2</v>
      </c>
      <c r="X3139" s="33">
        <f t="shared" si="292"/>
        <v>2.5584306588614981E-2</v>
      </c>
    </row>
    <row r="3140" spans="19:24" x14ac:dyDescent="0.25">
      <c r="S3140" s="44">
        <f t="shared" si="293"/>
        <v>46190</v>
      </c>
      <c r="T3140" s="12">
        <f t="shared" si="294"/>
        <v>3.2024843724679668</v>
      </c>
      <c r="U3140" s="12">
        <f t="shared" si="290"/>
        <v>3.1389027431697274</v>
      </c>
      <c r="V3140" s="30">
        <f t="shared" si="291"/>
        <v>0.4181019178082192</v>
      </c>
      <c r="W3140" s="46">
        <f t="shared" si="295"/>
        <v>-3.2024843724679661E-2</v>
      </c>
      <c r="X3140" s="33">
        <f t="shared" si="292"/>
        <v>2.5584265076342039E-2</v>
      </c>
    </row>
    <row r="3141" spans="19:24" x14ac:dyDescent="0.25">
      <c r="S3141" s="44">
        <f t="shared" si="293"/>
        <v>46191</v>
      </c>
      <c r="T3141" s="12">
        <f t="shared" si="294"/>
        <v>3.1998072901664258</v>
      </c>
      <c r="U3141" s="12">
        <f t="shared" ref="U3141:U3204" si="296">DurMod($S3141,$B$2,$F$7:$G$37,U$3)</f>
        <v>3.1362515664449386</v>
      </c>
      <c r="V3141" s="30">
        <f t="shared" ref="V3141:V3204" si="297">+$U$3*($S$5512-S3141)/365+$T$3*(S3141-$S$4)/365</f>
        <v>0.41807452054794519</v>
      </c>
      <c r="W3141" s="46">
        <f t="shared" si="295"/>
        <v>-3.1998072901664253E-2</v>
      </c>
      <c r="X3141" s="33">
        <f t="shared" ref="X3141:X3204" si="298">+(V3141+W3141)*365/($S$5512-$S$4)</f>
        <v>2.558422356406909E-2</v>
      </c>
    </row>
    <row r="3142" spans="19:24" x14ac:dyDescent="0.25">
      <c r="S3142" s="44">
        <f t="shared" si="293"/>
        <v>46192</v>
      </c>
      <c r="T3142" s="12">
        <f t="shared" si="294"/>
        <v>3.1971302078648849</v>
      </c>
      <c r="U3142" s="12">
        <f t="shared" si="296"/>
        <v>3.1336003897201485</v>
      </c>
      <c r="V3142" s="30">
        <f t="shared" si="297"/>
        <v>0.41804712328767124</v>
      </c>
      <c r="W3142" s="46">
        <f t="shared" si="295"/>
        <v>-3.1971302078648844E-2</v>
      </c>
      <c r="X3142" s="33">
        <f t="shared" si="298"/>
        <v>2.5584182051796148E-2</v>
      </c>
    </row>
    <row r="3143" spans="19:24" x14ac:dyDescent="0.25">
      <c r="S3143" s="44">
        <f t="shared" si="293"/>
        <v>46193</v>
      </c>
      <c r="T3143" s="12">
        <f t="shared" si="294"/>
        <v>3.1944531255633444</v>
      </c>
      <c r="U3143" s="12">
        <f t="shared" si="296"/>
        <v>3.1309492129953598</v>
      </c>
      <c r="V3143" s="30">
        <f t="shared" si="297"/>
        <v>0.41801972602739723</v>
      </c>
      <c r="W3143" s="46">
        <f t="shared" si="295"/>
        <v>-3.1944531255633436E-2</v>
      </c>
      <c r="X3143" s="33">
        <f t="shared" si="298"/>
        <v>2.5584140539523202E-2</v>
      </c>
    </row>
    <row r="3144" spans="19:24" x14ac:dyDescent="0.25">
      <c r="S3144" s="44">
        <f t="shared" si="293"/>
        <v>46194</v>
      </c>
      <c r="T3144" s="12">
        <f t="shared" si="294"/>
        <v>3.1917760432618025</v>
      </c>
      <c r="U3144" s="12">
        <f t="shared" si="296"/>
        <v>3.1282980362705706</v>
      </c>
      <c r="V3144" s="30">
        <f t="shared" si="297"/>
        <v>0.41799232876712333</v>
      </c>
      <c r="W3144" s="46">
        <f t="shared" si="295"/>
        <v>-3.1917760432618021E-2</v>
      </c>
      <c r="X3144" s="33">
        <f t="shared" si="298"/>
        <v>2.5584099027250264E-2</v>
      </c>
    </row>
    <row r="3145" spans="19:24" x14ac:dyDescent="0.25">
      <c r="S3145" s="44">
        <f t="shared" si="293"/>
        <v>46195</v>
      </c>
      <c r="T3145" s="12">
        <f t="shared" si="294"/>
        <v>3.1890989609602616</v>
      </c>
      <c r="U3145" s="12">
        <f t="shared" si="296"/>
        <v>3.1256468595457814</v>
      </c>
      <c r="V3145" s="30">
        <f t="shared" si="297"/>
        <v>0.41796493150684932</v>
      </c>
      <c r="W3145" s="46">
        <f t="shared" si="295"/>
        <v>-3.1890989609602613E-2</v>
      </c>
      <c r="X3145" s="33">
        <f t="shared" si="298"/>
        <v>2.5584057514977311E-2</v>
      </c>
    </row>
    <row r="3146" spans="19:24" x14ac:dyDescent="0.25">
      <c r="S3146" s="44">
        <f t="shared" si="293"/>
        <v>46196</v>
      </c>
      <c r="T3146" s="12">
        <f t="shared" si="294"/>
        <v>3.1864218786587202</v>
      </c>
      <c r="U3146" s="12">
        <f t="shared" si="296"/>
        <v>3.1229956828209926</v>
      </c>
      <c r="V3146" s="30">
        <f t="shared" si="297"/>
        <v>0.41793753424657537</v>
      </c>
      <c r="W3146" s="46">
        <f t="shared" si="295"/>
        <v>-3.1864218786587198E-2</v>
      </c>
      <c r="X3146" s="33">
        <f t="shared" si="298"/>
        <v>2.5584016002704376E-2</v>
      </c>
    </row>
    <row r="3147" spans="19:24" x14ac:dyDescent="0.25">
      <c r="S3147" s="44">
        <f t="shared" si="293"/>
        <v>46197</v>
      </c>
      <c r="T3147" s="12">
        <f t="shared" si="294"/>
        <v>3.1837447963571788</v>
      </c>
      <c r="U3147" s="12">
        <f t="shared" si="296"/>
        <v>3.1203445060962016</v>
      </c>
      <c r="V3147" s="30">
        <f t="shared" si="297"/>
        <v>0.41791013698630136</v>
      </c>
      <c r="W3147" s="46">
        <f t="shared" si="295"/>
        <v>-3.1837447963571783E-2</v>
      </c>
      <c r="X3147" s="33">
        <f t="shared" si="298"/>
        <v>2.5583974490431427E-2</v>
      </c>
    </row>
    <row r="3148" spans="19:24" x14ac:dyDescent="0.25">
      <c r="S3148" s="44">
        <f t="shared" si="293"/>
        <v>46198</v>
      </c>
      <c r="T3148" s="12">
        <f t="shared" si="294"/>
        <v>3.1810677140556374</v>
      </c>
      <c r="U3148" s="12">
        <f t="shared" si="296"/>
        <v>3.1176933293714129</v>
      </c>
      <c r="V3148" s="30">
        <f t="shared" si="297"/>
        <v>0.41788273972602741</v>
      </c>
      <c r="W3148" s="46">
        <f t="shared" si="295"/>
        <v>-3.1810677140556368E-2</v>
      </c>
      <c r="X3148" s="33">
        <f t="shared" si="298"/>
        <v>2.5583932978158485E-2</v>
      </c>
    </row>
    <row r="3149" spans="19:24" x14ac:dyDescent="0.25">
      <c r="S3149" s="44">
        <f t="shared" si="293"/>
        <v>46199</v>
      </c>
      <c r="T3149" s="12">
        <f t="shared" si="294"/>
        <v>3.1783906317540955</v>
      </c>
      <c r="U3149" s="12">
        <f t="shared" si="296"/>
        <v>3.1150421526466232</v>
      </c>
      <c r="V3149" s="30">
        <f t="shared" si="297"/>
        <v>0.4178553424657534</v>
      </c>
      <c r="W3149" s="46">
        <f t="shared" si="295"/>
        <v>-3.1783906317540953E-2</v>
      </c>
      <c r="X3149" s="33">
        <f t="shared" si="298"/>
        <v>2.5583891465885539E-2</v>
      </c>
    </row>
    <row r="3150" spans="19:24" x14ac:dyDescent="0.25">
      <c r="S3150" s="44">
        <f t="shared" si="293"/>
        <v>46200</v>
      </c>
      <c r="T3150" s="12">
        <f t="shared" si="294"/>
        <v>3.175713549452555</v>
      </c>
      <c r="U3150" s="12">
        <f t="shared" si="296"/>
        <v>3.1123909759218349</v>
      </c>
      <c r="V3150" s="30">
        <f t="shared" si="297"/>
        <v>0.41782794520547945</v>
      </c>
      <c r="W3150" s="46">
        <f t="shared" si="295"/>
        <v>-3.1757135494525544E-2</v>
      </c>
      <c r="X3150" s="33">
        <f t="shared" si="298"/>
        <v>2.5583849953612597E-2</v>
      </c>
    </row>
    <row r="3151" spans="19:24" x14ac:dyDescent="0.25">
      <c r="S3151" s="44">
        <f t="shared" si="293"/>
        <v>46201</v>
      </c>
      <c r="T3151" s="12">
        <f t="shared" si="294"/>
        <v>3.1730364671510145</v>
      </c>
      <c r="U3151" s="12">
        <f t="shared" si="296"/>
        <v>3.1097397991970452</v>
      </c>
      <c r="V3151" s="30">
        <f t="shared" si="297"/>
        <v>0.41780054794520549</v>
      </c>
      <c r="W3151" s="46">
        <f t="shared" si="295"/>
        <v>-3.1730364671510143E-2</v>
      </c>
      <c r="X3151" s="33">
        <f t="shared" si="298"/>
        <v>2.5583808441339655E-2</v>
      </c>
    </row>
    <row r="3152" spans="19:24" x14ac:dyDescent="0.25">
      <c r="S3152" s="44">
        <f t="shared" si="293"/>
        <v>46202</v>
      </c>
      <c r="T3152" s="12">
        <f t="shared" si="294"/>
        <v>3.1703593848494731</v>
      </c>
      <c r="U3152" s="12">
        <f t="shared" si="296"/>
        <v>3.1070886224722556</v>
      </c>
      <c r="V3152" s="30">
        <f t="shared" si="297"/>
        <v>0.41777315068493148</v>
      </c>
      <c r="W3152" s="46">
        <f t="shared" si="295"/>
        <v>-3.1703593848494728E-2</v>
      </c>
      <c r="X3152" s="33">
        <f t="shared" si="298"/>
        <v>2.5583766929066703E-2</v>
      </c>
    </row>
    <row r="3153" spans="19:24" x14ac:dyDescent="0.25">
      <c r="S3153" s="44">
        <f t="shared" si="293"/>
        <v>46203</v>
      </c>
      <c r="T3153" s="12">
        <f t="shared" si="294"/>
        <v>3.1676823025479317</v>
      </c>
      <c r="U3153" s="12">
        <f t="shared" si="296"/>
        <v>3.1044374457474673</v>
      </c>
      <c r="V3153" s="30">
        <f t="shared" si="297"/>
        <v>0.41774575342465753</v>
      </c>
      <c r="W3153" s="46">
        <f t="shared" si="295"/>
        <v>-3.1676823025479313E-2</v>
      </c>
      <c r="X3153" s="33">
        <f t="shared" si="298"/>
        <v>2.5583725416793764E-2</v>
      </c>
    </row>
    <row r="3154" spans="19:24" x14ac:dyDescent="0.25">
      <c r="S3154" s="44">
        <f t="shared" si="293"/>
        <v>46204</v>
      </c>
      <c r="T3154" s="12">
        <f t="shared" si="294"/>
        <v>3.1650052202463899</v>
      </c>
      <c r="U3154" s="12">
        <f t="shared" si="296"/>
        <v>3.1017862690226781</v>
      </c>
      <c r="V3154" s="30">
        <f t="shared" si="297"/>
        <v>0.41771835616438358</v>
      </c>
      <c r="W3154" s="46">
        <f t="shared" si="295"/>
        <v>-3.1650052202463891E-2</v>
      </c>
      <c r="X3154" s="33">
        <f t="shared" si="298"/>
        <v>2.5583683904520822E-2</v>
      </c>
    </row>
    <row r="3155" spans="19:24" x14ac:dyDescent="0.25">
      <c r="S3155" s="44">
        <f t="shared" si="293"/>
        <v>46205</v>
      </c>
      <c r="T3155" s="12">
        <f t="shared" si="294"/>
        <v>3.1623281379448489</v>
      </c>
      <c r="U3155" s="12">
        <f t="shared" si="296"/>
        <v>3.099135092297888</v>
      </c>
      <c r="V3155" s="30">
        <f t="shared" si="297"/>
        <v>0.41769095890410957</v>
      </c>
      <c r="W3155" s="46">
        <f t="shared" si="295"/>
        <v>-3.1623281379448483E-2</v>
      </c>
      <c r="X3155" s="33">
        <f t="shared" si="298"/>
        <v>2.5583642392247877E-2</v>
      </c>
    </row>
    <row r="3156" spans="19:24" x14ac:dyDescent="0.25">
      <c r="S3156" s="44">
        <f t="shared" si="293"/>
        <v>46206</v>
      </c>
      <c r="T3156" s="12">
        <f t="shared" si="294"/>
        <v>3.1596510556433084</v>
      </c>
      <c r="U3156" s="12">
        <f t="shared" si="296"/>
        <v>3.0964839155730983</v>
      </c>
      <c r="V3156" s="30">
        <f t="shared" si="297"/>
        <v>0.41766356164383561</v>
      </c>
      <c r="W3156" s="46">
        <f t="shared" si="295"/>
        <v>-3.1596510556433081E-2</v>
      </c>
      <c r="X3156" s="33">
        <f t="shared" si="298"/>
        <v>2.5583600879974928E-2</v>
      </c>
    </row>
    <row r="3157" spans="19:24" x14ac:dyDescent="0.25">
      <c r="S3157" s="44">
        <f t="shared" si="293"/>
        <v>46207</v>
      </c>
      <c r="T3157" s="12">
        <f t="shared" si="294"/>
        <v>3.1569739733417665</v>
      </c>
      <c r="U3157" s="12">
        <f t="shared" si="296"/>
        <v>3.09383273884831</v>
      </c>
      <c r="V3157" s="30">
        <f t="shared" si="297"/>
        <v>0.41763616438356166</v>
      </c>
      <c r="W3157" s="46">
        <f t="shared" si="295"/>
        <v>-3.1569739733417659E-2</v>
      </c>
      <c r="X3157" s="33">
        <f t="shared" si="298"/>
        <v>2.5583559367701993E-2</v>
      </c>
    </row>
    <row r="3158" spans="19:24" x14ac:dyDescent="0.25">
      <c r="S3158" s="44">
        <f t="shared" si="293"/>
        <v>46208</v>
      </c>
      <c r="T3158" s="12">
        <f t="shared" si="294"/>
        <v>3.1542968910402251</v>
      </c>
      <c r="U3158" s="12">
        <f t="shared" si="296"/>
        <v>3.0911815621235199</v>
      </c>
      <c r="V3158" s="30">
        <f t="shared" si="297"/>
        <v>0.41760876712328765</v>
      </c>
      <c r="W3158" s="46">
        <f t="shared" si="295"/>
        <v>-3.1542968910402244E-2</v>
      </c>
      <c r="X3158" s="33">
        <f t="shared" si="298"/>
        <v>2.5583517855429047E-2</v>
      </c>
    </row>
    <row r="3159" spans="19:24" x14ac:dyDescent="0.25">
      <c r="S3159" s="44">
        <f t="shared" si="293"/>
        <v>46209</v>
      </c>
      <c r="T3159" s="12">
        <f t="shared" si="294"/>
        <v>3.1516198087386842</v>
      </c>
      <c r="U3159" s="12">
        <f t="shared" si="296"/>
        <v>3.0885303853987311</v>
      </c>
      <c r="V3159" s="30">
        <f t="shared" si="297"/>
        <v>0.41758136986301364</v>
      </c>
      <c r="W3159" s="46">
        <f t="shared" si="295"/>
        <v>-3.1516198087386836E-2</v>
      </c>
      <c r="X3159" s="33">
        <f t="shared" si="298"/>
        <v>2.5583476343156098E-2</v>
      </c>
    </row>
    <row r="3160" spans="19:24" x14ac:dyDescent="0.25">
      <c r="S3160" s="44">
        <f t="shared" si="293"/>
        <v>46210</v>
      </c>
      <c r="T3160" s="12">
        <f t="shared" si="294"/>
        <v>3.1489427264371428</v>
      </c>
      <c r="U3160" s="12">
        <f t="shared" si="296"/>
        <v>3.0858792086739415</v>
      </c>
      <c r="V3160" s="30">
        <f t="shared" si="297"/>
        <v>0.41755397260273974</v>
      </c>
      <c r="W3160" s="46">
        <f t="shared" si="295"/>
        <v>-3.1489427264371421E-2</v>
      </c>
      <c r="X3160" s="33">
        <f t="shared" si="298"/>
        <v>2.5583434830883156E-2</v>
      </c>
    </row>
    <row r="3161" spans="19:24" x14ac:dyDescent="0.25">
      <c r="S3161" s="44">
        <f t="shared" si="293"/>
        <v>46211</v>
      </c>
      <c r="T3161" s="12">
        <f t="shared" si="294"/>
        <v>3.1462656441356018</v>
      </c>
      <c r="U3161" s="12">
        <f t="shared" si="296"/>
        <v>3.0832280319491523</v>
      </c>
      <c r="V3161" s="30">
        <f t="shared" si="297"/>
        <v>0.41752657534246573</v>
      </c>
      <c r="W3161" s="46">
        <f t="shared" si="295"/>
        <v>-3.1462656441356013E-2</v>
      </c>
      <c r="X3161" s="33">
        <f t="shared" si="298"/>
        <v>2.5583393318610211E-2</v>
      </c>
    </row>
    <row r="3162" spans="19:24" x14ac:dyDescent="0.25">
      <c r="S3162" s="44">
        <f t="shared" si="293"/>
        <v>46212</v>
      </c>
      <c r="T3162" s="12">
        <f t="shared" si="294"/>
        <v>3.1435885618340613</v>
      </c>
      <c r="U3162" s="12">
        <f t="shared" si="296"/>
        <v>3.0805768552243631</v>
      </c>
      <c r="V3162" s="30">
        <f t="shared" si="297"/>
        <v>0.41749917808219178</v>
      </c>
      <c r="W3162" s="46">
        <f t="shared" si="295"/>
        <v>-3.1435885618340612E-2</v>
      </c>
      <c r="X3162" s="33">
        <f t="shared" si="298"/>
        <v>2.5583351806337268E-2</v>
      </c>
    </row>
    <row r="3163" spans="19:24" x14ac:dyDescent="0.25">
      <c r="S3163" s="44">
        <f t="shared" si="293"/>
        <v>46213</v>
      </c>
      <c r="T3163" s="12">
        <f t="shared" si="294"/>
        <v>3.1409114795325199</v>
      </c>
      <c r="U3163" s="12">
        <f t="shared" si="296"/>
        <v>3.0779256784995739</v>
      </c>
      <c r="V3163" s="30">
        <f t="shared" si="297"/>
        <v>0.41747178082191783</v>
      </c>
      <c r="W3163" s="46">
        <f t="shared" si="295"/>
        <v>-3.1409114795325196E-2</v>
      </c>
      <c r="X3163" s="33">
        <f t="shared" si="298"/>
        <v>2.5583310294064326E-2</v>
      </c>
    </row>
    <row r="3164" spans="19:24" x14ac:dyDescent="0.25">
      <c r="S3164" s="44">
        <f t="shared" si="293"/>
        <v>46214</v>
      </c>
      <c r="T3164" s="12">
        <f t="shared" si="294"/>
        <v>3.1382343972309781</v>
      </c>
      <c r="U3164" s="12">
        <f t="shared" si="296"/>
        <v>3.0752745017747847</v>
      </c>
      <c r="V3164" s="30">
        <f t="shared" si="297"/>
        <v>0.41744438356164382</v>
      </c>
      <c r="W3164" s="46">
        <f t="shared" si="295"/>
        <v>-3.1382343972309774E-2</v>
      </c>
      <c r="X3164" s="33">
        <f t="shared" si="298"/>
        <v>2.5583268781791384E-2</v>
      </c>
    </row>
    <row r="3165" spans="19:24" x14ac:dyDescent="0.25">
      <c r="S3165" s="44">
        <f t="shared" si="293"/>
        <v>46215</v>
      </c>
      <c r="T3165" s="12">
        <f t="shared" si="294"/>
        <v>3.135557314929438</v>
      </c>
      <c r="U3165" s="12">
        <f t="shared" si="296"/>
        <v>3.0726233250499955</v>
      </c>
      <c r="V3165" s="30">
        <f t="shared" si="297"/>
        <v>0.41741698630136981</v>
      </c>
      <c r="W3165" s="46">
        <f t="shared" si="295"/>
        <v>-3.1355573149294373E-2</v>
      </c>
      <c r="X3165" s="33">
        <f t="shared" si="298"/>
        <v>2.5583227269518432E-2</v>
      </c>
    </row>
    <row r="3166" spans="19:24" x14ac:dyDescent="0.25">
      <c r="S3166" s="44">
        <f t="shared" si="293"/>
        <v>46216</v>
      </c>
      <c r="T3166" s="12">
        <f t="shared" si="294"/>
        <v>3.1328802326278962</v>
      </c>
      <c r="U3166" s="12">
        <f t="shared" si="296"/>
        <v>3.0699721483252054</v>
      </c>
      <c r="V3166" s="30">
        <f t="shared" si="297"/>
        <v>0.41738958904109591</v>
      </c>
      <c r="W3166" s="46">
        <f t="shared" si="295"/>
        <v>-3.1328802326278958E-2</v>
      </c>
      <c r="X3166" s="33">
        <f t="shared" si="298"/>
        <v>2.5583185757245493E-2</v>
      </c>
    </row>
    <row r="3167" spans="19:24" x14ac:dyDescent="0.25">
      <c r="S3167" s="44">
        <f t="shared" si="293"/>
        <v>46217</v>
      </c>
      <c r="T3167" s="12">
        <f t="shared" si="294"/>
        <v>3.1302031503263543</v>
      </c>
      <c r="U3167" s="12">
        <f t="shared" si="296"/>
        <v>3.0673209716004166</v>
      </c>
      <c r="V3167" s="30">
        <f t="shared" si="297"/>
        <v>0.4173621917808219</v>
      </c>
      <c r="W3167" s="46">
        <f t="shared" si="295"/>
        <v>-3.1302031503263536E-2</v>
      </c>
      <c r="X3167" s="33">
        <f t="shared" si="298"/>
        <v>2.5583144244972548E-2</v>
      </c>
    </row>
    <row r="3168" spans="19:24" x14ac:dyDescent="0.25">
      <c r="S3168" s="44">
        <f t="shared" si="293"/>
        <v>46218</v>
      </c>
      <c r="T3168" s="12">
        <f t="shared" si="294"/>
        <v>3.1275260680248143</v>
      </c>
      <c r="U3168" s="12">
        <f t="shared" si="296"/>
        <v>3.064669794875627</v>
      </c>
      <c r="V3168" s="30">
        <f t="shared" si="297"/>
        <v>0.41733479452054789</v>
      </c>
      <c r="W3168" s="46">
        <f t="shared" si="295"/>
        <v>-3.1275260680248135E-2</v>
      </c>
      <c r="X3168" s="33">
        <f t="shared" si="298"/>
        <v>2.5583102732699606E-2</v>
      </c>
    </row>
    <row r="3169" spans="19:24" x14ac:dyDescent="0.25">
      <c r="S3169" s="44">
        <f t="shared" si="293"/>
        <v>46219</v>
      </c>
      <c r="T3169" s="12">
        <f t="shared" si="294"/>
        <v>3.124848985723272</v>
      </c>
      <c r="U3169" s="12">
        <f t="shared" si="296"/>
        <v>3.0620186181508386</v>
      </c>
      <c r="V3169" s="30">
        <f t="shared" si="297"/>
        <v>0.41730739726027399</v>
      </c>
      <c r="W3169" s="46">
        <f t="shared" si="295"/>
        <v>-3.1248489857232716E-2</v>
      </c>
      <c r="X3169" s="33">
        <f t="shared" si="298"/>
        <v>2.5583061220426664E-2</v>
      </c>
    </row>
    <row r="3170" spans="19:24" x14ac:dyDescent="0.25">
      <c r="S3170" s="44">
        <f t="shared" si="293"/>
        <v>46220</v>
      </c>
      <c r="T3170" s="12">
        <f t="shared" si="294"/>
        <v>3.1221719034217315</v>
      </c>
      <c r="U3170" s="12">
        <f t="shared" si="296"/>
        <v>3.0593674414260486</v>
      </c>
      <c r="V3170" s="30">
        <f t="shared" si="297"/>
        <v>0.41727999999999998</v>
      </c>
      <c r="W3170" s="46">
        <f t="shared" si="295"/>
        <v>-3.1221719034217311E-2</v>
      </c>
      <c r="X3170" s="33">
        <f t="shared" si="298"/>
        <v>2.5583019708153715E-2</v>
      </c>
    </row>
    <row r="3171" spans="19:24" x14ac:dyDescent="0.25">
      <c r="S3171" s="44">
        <f t="shared" si="293"/>
        <v>46221</v>
      </c>
      <c r="T3171" s="12">
        <f t="shared" si="294"/>
        <v>3.1194948211201901</v>
      </c>
      <c r="U3171" s="12">
        <f t="shared" si="296"/>
        <v>3.0567162647012593</v>
      </c>
      <c r="V3171" s="30">
        <f t="shared" si="297"/>
        <v>0.41725260273972598</v>
      </c>
      <c r="W3171" s="46">
        <f t="shared" si="295"/>
        <v>-3.1194948211201896E-2</v>
      </c>
      <c r="X3171" s="33">
        <f t="shared" si="298"/>
        <v>2.5582978195880773E-2</v>
      </c>
    </row>
    <row r="3172" spans="19:24" x14ac:dyDescent="0.25">
      <c r="S3172" s="44">
        <f t="shared" si="293"/>
        <v>46222</v>
      </c>
      <c r="T3172" s="12">
        <f t="shared" si="294"/>
        <v>3.1168177388186482</v>
      </c>
      <c r="U3172" s="12">
        <f t="shared" si="296"/>
        <v>3.0540650879764701</v>
      </c>
      <c r="V3172" s="30">
        <f t="shared" si="297"/>
        <v>0.41722520547945208</v>
      </c>
      <c r="W3172" s="46">
        <f t="shared" si="295"/>
        <v>-3.1168177388186478E-2</v>
      </c>
      <c r="X3172" s="33">
        <f t="shared" si="298"/>
        <v>2.5582936683607831E-2</v>
      </c>
    </row>
    <row r="3173" spans="19:24" x14ac:dyDescent="0.25">
      <c r="S3173" s="44">
        <f t="shared" si="293"/>
        <v>46223</v>
      </c>
      <c r="T3173" s="12">
        <f t="shared" si="294"/>
        <v>3.1141406565171081</v>
      </c>
      <c r="U3173" s="12">
        <f t="shared" si="296"/>
        <v>3.0514139112516809</v>
      </c>
      <c r="V3173" s="30">
        <f t="shared" si="297"/>
        <v>0.41719780821917807</v>
      </c>
      <c r="W3173" s="46">
        <f t="shared" si="295"/>
        <v>-3.1141406565171077E-2</v>
      </c>
      <c r="X3173" s="33">
        <f t="shared" si="298"/>
        <v>2.5582895171334885E-2</v>
      </c>
    </row>
    <row r="3174" spans="19:24" x14ac:dyDescent="0.25">
      <c r="S3174" s="44">
        <f t="shared" si="293"/>
        <v>46224</v>
      </c>
      <c r="T3174" s="12">
        <f t="shared" si="294"/>
        <v>3.1114635742155667</v>
      </c>
      <c r="U3174" s="12">
        <f t="shared" si="296"/>
        <v>3.0487627345268908</v>
      </c>
      <c r="V3174" s="30">
        <f t="shared" si="297"/>
        <v>0.41717041095890406</v>
      </c>
      <c r="W3174" s="46">
        <f t="shared" si="295"/>
        <v>-3.1114635742155661E-2</v>
      </c>
      <c r="X3174" s="33">
        <f t="shared" si="298"/>
        <v>2.5582853659061936E-2</v>
      </c>
    </row>
    <row r="3175" spans="19:24" x14ac:dyDescent="0.25">
      <c r="S3175" s="44">
        <f t="shared" si="293"/>
        <v>46225</v>
      </c>
      <c r="T3175" s="12">
        <f t="shared" si="294"/>
        <v>3.1087864919140258</v>
      </c>
      <c r="U3175" s="12">
        <f t="shared" si="296"/>
        <v>3.0461115578021016</v>
      </c>
      <c r="V3175" s="30">
        <f t="shared" si="297"/>
        <v>0.41714301369863016</v>
      </c>
      <c r="W3175" s="46">
        <f t="shared" si="295"/>
        <v>-3.1087864919140253E-2</v>
      </c>
      <c r="X3175" s="33">
        <f t="shared" si="298"/>
        <v>2.5582812146789001E-2</v>
      </c>
    </row>
    <row r="3176" spans="19:24" x14ac:dyDescent="0.25">
      <c r="S3176" s="44">
        <f t="shared" si="293"/>
        <v>46226</v>
      </c>
      <c r="T3176" s="12">
        <f t="shared" si="294"/>
        <v>3.1061094096124839</v>
      </c>
      <c r="U3176" s="12">
        <f t="shared" si="296"/>
        <v>3.0434603810773124</v>
      </c>
      <c r="V3176" s="30">
        <f t="shared" si="297"/>
        <v>0.41711561643835615</v>
      </c>
      <c r="W3176" s="46">
        <f t="shared" si="295"/>
        <v>-3.1061094096124835E-2</v>
      </c>
      <c r="X3176" s="33">
        <f t="shared" si="298"/>
        <v>2.5582770634516052E-2</v>
      </c>
    </row>
    <row r="3177" spans="19:24" x14ac:dyDescent="0.25">
      <c r="S3177" s="44">
        <f t="shared" si="293"/>
        <v>46227</v>
      </c>
      <c r="T3177" s="12">
        <f t="shared" si="294"/>
        <v>3.1034323273109421</v>
      </c>
      <c r="U3177" s="12">
        <f t="shared" si="296"/>
        <v>3.0408092043525241</v>
      </c>
      <c r="V3177" s="30">
        <f t="shared" si="297"/>
        <v>0.4170882191780822</v>
      </c>
      <c r="W3177" s="46">
        <f t="shared" si="295"/>
        <v>-3.1034323273109416E-2</v>
      </c>
      <c r="X3177" s="33">
        <f t="shared" si="298"/>
        <v>2.558272912224311E-2</v>
      </c>
    </row>
    <row r="3178" spans="19:24" x14ac:dyDescent="0.25">
      <c r="S3178" s="44">
        <f t="shared" si="293"/>
        <v>46228</v>
      </c>
      <c r="T3178" s="12">
        <f t="shared" si="294"/>
        <v>3.1007552450094011</v>
      </c>
      <c r="U3178" s="12">
        <f t="shared" si="296"/>
        <v>3.038158027627734</v>
      </c>
      <c r="V3178" s="30">
        <f t="shared" si="297"/>
        <v>0.41706082191780824</v>
      </c>
      <c r="W3178" s="46">
        <f t="shared" si="295"/>
        <v>-3.1007552450094008E-2</v>
      </c>
      <c r="X3178" s="33">
        <f t="shared" si="298"/>
        <v>2.5582687609970171E-2</v>
      </c>
    </row>
    <row r="3179" spans="19:24" x14ac:dyDescent="0.25">
      <c r="S3179" s="44">
        <f t="shared" si="293"/>
        <v>46229</v>
      </c>
      <c r="T3179" s="12">
        <f t="shared" si="294"/>
        <v>3.0980781627078606</v>
      </c>
      <c r="U3179" s="12">
        <f t="shared" si="296"/>
        <v>3.0355068509029448</v>
      </c>
      <c r="V3179" s="30">
        <f t="shared" si="297"/>
        <v>0.41703342465753424</v>
      </c>
      <c r="W3179" s="46">
        <f t="shared" si="295"/>
        <v>-3.0980781627078603E-2</v>
      </c>
      <c r="X3179" s="33">
        <f t="shared" si="298"/>
        <v>2.5582646097697222E-2</v>
      </c>
    </row>
    <row r="3180" spans="19:24" x14ac:dyDescent="0.25">
      <c r="S3180" s="44">
        <f t="shared" si="293"/>
        <v>46230</v>
      </c>
      <c r="T3180" s="12">
        <f t="shared" si="294"/>
        <v>3.0954010804063183</v>
      </c>
      <c r="U3180" s="12">
        <f t="shared" si="296"/>
        <v>3.032855674178156</v>
      </c>
      <c r="V3180" s="30">
        <f t="shared" si="297"/>
        <v>0.41700602739726028</v>
      </c>
      <c r="W3180" s="46">
        <f t="shared" si="295"/>
        <v>-3.0954010804063178E-2</v>
      </c>
      <c r="X3180" s="33">
        <f t="shared" si="298"/>
        <v>2.558260458542428E-2</v>
      </c>
    </row>
    <row r="3181" spans="19:24" x14ac:dyDescent="0.25">
      <c r="S3181" s="44">
        <f t="shared" si="293"/>
        <v>46231</v>
      </c>
      <c r="T3181" s="12">
        <f t="shared" si="294"/>
        <v>3.0927239981047778</v>
      </c>
      <c r="U3181" s="12">
        <f t="shared" si="296"/>
        <v>3.030204497453366</v>
      </c>
      <c r="V3181" s="30">
        <f t="shared" si="297"/>
        <v>0.41697863013698633</v>
      </c>
      <c r="W3181" s="46">
        <f t="shared" si="295"/>
        <v>-3.0927239981047773E-2</v>
      </c>
      <c r="X3181" s="33">
        <f t="shared" si="298"/>
        <v>2.5582563073151338E-2</v>
      </c>
    </row>
    <row r="3182" spans="19:24" x14ac:dyDescent="0.25">
      <c r="S3182" s="44">
        <f t="shared" si="293"/>
        <v>46232</v>
      </c>
      <c r="T3182" s="12">
        <f t="shared" si="294"/>
        <v>3.0900469158032373</v>
      </c>
      <c r="U3182" s="12">
        <f t="shared" si="296"/>
        <v>3.0275533207285767</v>
      </c>
      <c r="V3182" s="30">
        <f t="shared" si="297"/>
        <v>0.41695123287671232</v>
      </c>
      <c r="W3182" s="46">
        <f t="shared" si="295"/>
        <v>-3.0900469158032368E-2</v>
      </c>
      <c r="X3182" s="33">
        <f t="shared" si="298"/>
        <v>2.5582521560878393E-2</v>
      </c>
    </row>
    <row r="3183" spans="19:24" x14ac:dyDescent="0.25">
      <c r="S3183" s="44">
        <f t="shared" si="293"/>
        <v>46233</v>
      </c>
      <c r="T3183" s="12">
        <f t="shared" si="294"/>
        <v>3.0873698335016959</v>
      </c>
      <c r="U3183" s="12">
        <f t="shared" si="296"/>
        <v>3.0249021440037875</v>
      </c>
      <c r="V3183" s="30">
        <f t="shared" si="297"/>
        <v>0.41692383561643831</v>
      </c>
      <c r="W3183" s="46">
        <f t="shared" si="295"/>
        <v>-3.0873698335016953E-2</v>
      </c>
      <c r="X3183" s="33">
        <f t="shared" si="298"/>
        <v>2.5582480048605444E-2</v>
      </c>
    </row>
    <row r="3184" spans="19:24" x14ac:dyDescent="0.25">
      <c r="S3184" s="44">
        <f t="shared" si="293"/>
        <v>46234</v>
      </c>
      <c r="T3184" s="12">
        <f t="shared" si="294"/>
        <v>3.0846927512001541</v>
      </c>
      <c r="U3184" s="12">
        <f t="shared" si="296"/>
        <v>3.0222509672789979</v>
      </c>
      <c r="V3184" s="30">
        <f t="shared" si="297"/>
        <v>0.41689643835616441</v>
      </c>
      <c r="W3184" s="46">
        <f t="shared" si="295"/>
        <v>-3.0846927512001535E-2</v>
      </c>
      <c r="X3184" s="33">
        <f t="shared" si="298"/>
        <v>2.5582438536332509E-2</v>
      </c>
    </row>
    <row r="3185" spans="19:24" x14ac:dyDescent="0.25">
      <c r="S3185" s="44">
        <f t="shared" si="293"/>
        <v>46235</v>
      </c>
      <c r="T3185" s="12">
        <f t="shared" si="294"/>
        <v>3.0820156688986127</v>
      </c>
      <c r="U3185" s="12">
        <f t="shared" si="296"/>
        <v>3.0195997905542087</v>
      </c>
      <c r="V3185" s="30">
        <f t="shared" si="297"/>
        <v>0.4168690410958904</v>
      </c>
      <c r="W3185" s="46">
        <f t="shared" si="295"/>
        <v>-3.0820156688986123E-2</v>
      </c>
      <c r="X3185" s="33">
        <f t="shared" si="298"/>
        <v>2.558239702405956E-2</v>
      </c>
    </row>
    <row r="3186" spans="19:24" x14ac:dyDescent="0.25">
      <c r="S3186" s="44">
        <f t="shared" si="293"/>
        <v>46236</v>
      </c>
      <c r="T3186" s="12">
        <f t="shared" si="294"/>
        <v>3.0793385865970722</v>
      </c>
      <c r="U3186" s="12">
        <f t="shared" si="296"/>
        <v>3.016948613829419</v>
      </c>
      <c r="V3186" s="30">
        <f t="shared" si="297"/>
        <v>0.41684164383561645</v>
      </c>
      <c r="W3186" s="46">
        <f t="shared" si="295"/>
        <v>-3.0793385865970718E-2</v>
      </c>
      <c r="X3186" s="33">
        <f t="shared" si="298"/>
        <v>2.5582355511786618E-2</v>
      </c>
    </row>
    <row r="3187" spans="19:24" x14ac:dyDescent="0.25">
      <c r="S3187" s="44">
        <f t="shared" ref="S3187:S3250" si="299">+S3186+1</f>
        <v>46237</v>
      </c>
      <c r="T3187" s="12">
        <f t="shared" ref="T3187:T3250" si="300">DurMod(S3187,B$2,$F$7:$G$37,$T$3)</f>
        <v>3.0766615042955308</v>
      </c>
      <c r="U3187" s="12">
        <f t="shared" si="296"/>
        <v>3.0142974371046307</v>
      </c>
      <c r="V3187" s="30">
        <f t="shared" si="297"/>
        <v>0.4168142465753425</v>
      </c>
      <c r="W3187" s="46">
        <f t="shared" ref="W3187:W3250" si="301">+-T3187*($U$3-$T$3)</f>
        <v>-3.0766615042955303E-2</v>
      </c>
      <c r="X3187" s="33">
        <f t="shared" si="298"/>
        <v>2.5582313999513676E-2</v>
      </c>
    </row>
    <row r="3188" spans="19:24" x14ac:dyDescent="0.25">
      <c r="S3188" s="44">
        <f t="shared" si="299"/>
        <v>46238</v>
      </c>
      <c r="T3188" s="12">
        <f t="shared" si="300"/>
        <v>3.0739844219939894</v>
      </c>
      <c r="U3188" s="12">
        <f t="shared" si="296"/>
        <v>3.0116462603798411</v>
      </c>
      <c r="V3188" s="30">
        <f t="shared" si="297"/>
        <v>0.41678684931506849</v>
      </c>
      <c r="W3188" s="46">
        <f t="shared" si="301"/>
        <v>-3.0739844219939888E-2</v>
      </c>
      <c r="X3188" s="33">
        <f t="shared" si="298"/>
        <v>2.558227248724073E-2</v>
      </c>
    </row>
    <row r="3189" spans="19:24" x14ac:dyDescent="0.25">
      <c r="S3189" s="44">
        <f t="shared" si="299"/>
        <v>46239</v>
      </c>
      <c r="T3189" s="12">
        <f t="shared" si="300"/>
        <v>3.0713073396924484</v>
      </c>
      <c r="U3189" s="12">
        <f t="shared" si="296"/>
        <v>3.0089950836550519</v>
      </c>
      <c r="V3189" s="30">
        <f t="shared" si="297"/>
        <v>0.41675945205479448</v>
      </c>
      <c r="W3189" s="46">
        <f t="shared" si="301"/>
        <v>-3.071307339692448E-2</v>
      </c>
      <c r="X3189" s="33">
        <f t="shared" si="298"/>
        <v>2.5582230974967781E-2</v>
      </c>
    </row>
    <row r="3190" spans="19:24" x14ac:dyDescent="0.25">
      <c r="S3190" s="44">
        <f t="shared" si="299"/>
        <v>46240</v>
      </c>
      <c r="T3190" s="12">
        <f t="shared" si="300"/>
        <v>3.0686302573909074</v>
      </c>
      <c r="U3190" s="12">
        <f t="shared" si="296"/>
        <v>3.0063439069302622</v>
      </c>
      <c r="V3190" s="30">
        <f t="shared" si="297"/>
        <v>0.41673205479452058</v>
      </c>
      <c r="W3190" s="46">
        <f t="shared" si="301"/>
        <v>-3.0686302573909068E-2</v>
      </c>
      <c r="X3190" s="33">
        <f t="shared" si="298"/>
        <v>2.5582189462694846E-2</v>
      </c>
    </row>
    <row r="3191" spans="19:24" x14ac:dyDescent="0.25">
      <c r="S3191" s="44">
        <f t="shared" si="299"/>
        <v>46241</v>
      </c>
      <c r="T3191" s="12">
        <f t="shared" si="300"/>
        <v>3.0659531750893652</v>
      </c>
      <c r="U3191" s="12">
        <f t="shared" si="296"/>
        <v>3.003692730205473</v>
      </c>
      <c r="V3191" s="30">
        <f t="shared" si="297"/>
        <v>0.41670465753424657</v>
      </c>
      <c r="W3191" s="46">
        <f t="shared" si="301"/>
        <v>-3.0659531750893646E-2</v>
      </c>
      <c r="X3191" s="33">
        <f t="shared" si="298"/>
        <v>2.5582147950421897E-2</v>
      </c>
    </row>
    <row r="3192" spans="19:24" x14ac:dyDescent="0.25">
      <c r="S3192" s="44">
        <f t="shared" si="299"/>
        <v>46242</v>
      </c>
      <c r="T3192" s="12">
        <f t="shared" si="300"/>
        <v>3.0632760927878246</v>
      </c>
      <c r="U3192" s="12">
        <f t="shared" si="296"/>
        <v>3.0010415534806847</v>
      </c>
      <c r="V3192" s="30">
        <f t="shared" si="297"/>
        <v>0.41667726027397256</v>
      </c>
      <c r="W3192" s="46">
        <f t="shared" si="301"/>
        <v>-3.0632760927878241E-2</v>
      </c>
      <c r="X3192" s="33">
        <f t="shared" si="298"/>
        <v>2.5582106438148951E-2</v>
      </c>
    </row>
    <row r="3193" spans="19:24" x14ac:dyDescent="0.25">
      <c r="S3193" s="44">
        <f t="shared" si="299"/>
        <v>46243</v>
      </c>
      <c r="T3193" s="12">
        <f t="shared" si="300"/>
        <v>3.0605990104862841</v>
      </c>
      <c r="U3193" s="12">
        <f t="shared" si="296"/>
        <v>2.9983903767558941</v>
      </c>
      <c r="V3193" s="30">
        <f t="shared" si="297"/>
        <v>0.41664986301369866</v>
      </c>
      <c r="W3193" s="46">
        <f t="shared" si="301"/>
        <v>-3.0605990104862837E-2</v>
      </c>
      <c r="X3193" s="33">
        <f t="shared" si="298"/>
        <v>2.5582064925876013E-2</v>
      </c>
    </row>
    <row r="3194" spans="19:24" x14ac:dyDescent="0.25">
      <c r="S3194" s="44">
        <f t="shared" si="299"/>
        <v>46244</v>
      </c>
      <c r="T3194" s="12">
        <f t="shared" si="300"/>
        <v>3.0579219281847423</v>
      </c>
      <c r="U3194" s="12">
        <f t="shared" si="296"/>
        <v>2.9957392000311054</v>
      </c>
      <c r="V3194" s="30">
        <f t="shared" si="297"/>
        <v>0.41662246575342465</v>
      </c>
      <c r="W3194" s="46">
        <f t="shared" si="301"/>
        <v>-3.0579219281847418E-2</v>
      </c>
      <c r="X3194" s="33">
        <f t="shared" si="298"/>
        <v>2.5582023413603067E-2</v>
      </c>
    </row>
    <row r="3195" spans="19:24" x14ac:dyDescent="0.25">
      <c r="S3195" s="44">
        <f t="shared" si="299"/>
        <v>46245</v>
      </c>
      <c r="T3195" s="12">
        <f t="shared" si="300"/>
        <v>3.0552448458832018</v>
      </c>
      <c r="U3195" s="12">
        <f t="shared" si="296"/>
        <v>2.9930880233063166</v>
      </c>
      <c r="V3195" s="30">
        <f t="shared" si="297"/>
        <v>0.41659506849315064</v>
      </c>
      <c r="W3195" s="46">
        <f t="shared" si="301"/>
        <v>-3.0552448458832013E-2</v>
      </c>
      <c r="X3195" s="33">
        <f t="shared" si="298"/>
        <v>2.5581981901330118E-2</v>
      </c>
    </row>
    <row r="3196" spans="19:24" x14ac:dyDescent="0.25">
      <c r="S3196" s="44">
        <f t="shared" si="299"/>
        <v>46246</v>
      </c>
      <c r="T3196" s="12">
        <f t="shared" si="300"/>
        <v>3.0525677635816604</v>
      </c>
      <c r="U3196" s="12">
        <f t="shared" si="296"/>
        <v>2.990436846581527</v>
      </c>
      <c r="V3196" s="30">
        <f t="shared" si="297"/>
        <v>0.41656767123287675</v>
      </c>
      <c r="W3196" s="46">
        <f t="shared" si="301"/>
        <v>-3.0525677635816598E-2</v>
      </c>
      <c r="X3196" s="33">
        <f t="shared" si="298"/>
        <v>2.5581940389057183E-2</v>
      </c>
    </row>
    <row r="3197" spans="19:24" x14ac:dyDescent="0.25">
      <c r="S3197" s="44">
        <f t="shared" si="299"/>
        <v>46247</v>
      </c>
      <c r="T3197" s="12">
        <f t="shared" si="300"/>
        <v>3.049890681280119</v>
      </c>
      <c r="U3197" s="12">
        <f t="shared" si="296"/>
        <v>2.9877856698567378</v>
      </c>
      <c r="V3197" s="30">
        <f t="shared" si="297"/>
        <v>0.41654027397260274</v>
      </c>
      <c r="W3197" s="46">
        <f t="shared" si="301"/>
        <v>-3.0498906812801187E-2</v>
      </c>
      <c r="X3197" s="33">
        <f t="shared" si="298"/>
        <v>2.5581898876784238E-2</v>
      </c>
    </row>
    <row r="3198" spans="19:24" x14ac:dyDescent="0.25">
      <c r="S3198" s="44">
        <f t="shared" si="299"/>
        <v>46248</v>
      </c>
      <c r="T3198" s="12">
        <f t="shared" si="300"/>
        <v>3.047213598978578</v>
      </c>
      <c r="U3198" s="12">
        <f t="shared" si="296"/>
        <v>2.985134493131949</v>
      </c>
      <c r="V3198" s="30">
        <f t="shared" si="297"/>
        <v>0.41651287671232873</v>
      </c>
      <c r="W3198" s="46">
        <f t="shared" si="301"/>
        <v>-3.0472135989785775E-2</v>
      </c>
      <c r="X3198" s="33">
        <f t="shared" si="298"/>
        <v>2.5581857364511289E-2</v>
      </c>
    </row>
    <row r="3199" spans="19:24" x14ac:dyDescent="0.25">
      <c r="S3199" s="44">
        <f t="shared" si="299"/>
        <v>46249</v>
      </c>
      <c r="T3199" s="12">
        <f t="shared" si="300"/>
        <v>3.0445365166770357</v>
      </c>
      <c r="U3199" s="12">
        <f t="shared" si="296"/>
        <v>2.9824833164071589</v>
      </c>
      <c r="V3199" s="30">
        <f t="shared" si="297"/>
        <v>0.41648547945205483</v>
      </c>
      <c r="W3199" s="46">
        <f t="shared" si="301"/>
        <v>-3.0445365166770353E-2</v>
      </c>
      <c r="X3199" s="33">
        <f t="shared" si="298"/>
        <v>2.5581815852238347E-2</v>
      </c>
    </row>
    <row r="3200" spans="19:24" x14ac:dyDescent="0.25">
      <c r="S3200" s="44">
        <f t="shared" si="299"/>
        <v>46250</v>
      </c>
      <c r="T3200" s="12">
        <f t="shared" si="300"/>
        <v>3.0418594343754957</v>
      </c>
      <c r="U3200" s="12">
        <f t="shared" si="296"/>
        <v>2.9798321396823697</v>
      </c>
      <c r="V3200" s="30">
        <f t="shared" si="297"/>
        <v>0.41645808219178082</v>
      </c>
      <c r="W3200" s="46">
        <f t="shared" si="301"/>
        <v>-3.0418594343754952E-2</v>
      </c>
      <c r="X3200" s="33">
        <f t="shared" si="298"/>
        <v>2.5581774339965405E-2</v>
      </c>
    </row>
    <row r="3201" spans="19:24" x14ac:dyDescent="0.25">
      <c r="S3201" s="44">
        <f t="shared" si="299"/>
        <v>46251</v>
      </c>
      <c r="T3201" s="12">
        <f t="shared" si="300"/>
        <v>3.0391823520739538</v>
      </c>
      <c r="U3201" s="12">
        <f t="shared" si="296"/>
        <v>2.9771809629575801</v>
      </c>
      <c r="V3201" s="30">
        <f t="shared" si="297"/>
        <v>0.41643068493150681</v>
      </c>
      <c r="W3201" s="46">
        <f t="shared" si="301"/>
        <v>-3.0391823520739533E-2</v>
      </c>
      <c r="X3201" s="33">
        <f t="shared" si="298"/>
        <v>2.5581732827692459E-2</v>
      </c>
    </row>
    <row r="3202" spans="19:24" x14ac:dyDescent="0.25">
      <c r="S3202" s="44">
        <f t="shared" si="299"/>
        <v>46252</v>
      </c>
      <c r="T3202" s="12">
        <f t="shared" si="300"/>
        <v>3.0365052697724133</v>
      </c>
      <c r="U3202" s="12">
        <f t="shared" si="296"/>
        <v>2.9745297862327913</v>
      </c>
      <c r="V3202" s="30">
        <f t="shared" si="297"/>
        <v>0.41640328767123291</v>
      </c>
      <c r="W3202" s="46">
        <f t="shared" si="301"/>
        <v>-3.0365052697724128E-2</v>
      </c>
      <c r="X3202" s="33">
        <f t="shared" si="298"/>
        <v>2.5581691315419521E-2</v>
      </c>
    </row>
    <row r="3203" spans="19:24" x14ac:dyDescent="0.25">
      <c r="S3203" s="44">
        <f t="shared" si="299"/>
        <v>46253</v>
      </c>
      <c r="T3203" s="12">
        <f t="shared" si="300"/>
        <v>3.0338281874708719</v>
      </c>
      <c r="U3203" s="12">
        <f t="shared" si="296"/>
        <v>2.9718786095080016</v>
      </c>
      <c r="V3203" s="30">
        <f t="shared" si="297"/>
        <v>0.4163758904109589</v>
      </c>
      <c r="W3203" s="46">
        <f t="shared" si="301"/>
        <v>-3.0338281874708713E-2</v>
      </c>
      <c r="X3203" s="33">
        <f t="shared" si="298"/>
        <v>2.5581649803146575E-2</v>
      </c>
    </row>
    <row r="3204" spans="19:24" x14ac:dyDescent="0.25">
      <c r="S3204" s="44">
        <f t="shared" si="299"/>
        <v>46254</v>
      </c>
      <c r="T3204" s="12">
        <f t="shared" si="300"/>
        <v>3.0311511051693314</v>
      </c>
      <c r="U3204" s="12">
        <f t="shared" si="296"/>
        <v>2.9692274327832116</v>
      </c>
      <c r="V3204" s="30">
        <f t="shared" si="297"/>
        <v>0.4163484931506849</v>
      </c>
      <c r="W3204" s="46">
        <f t="shared" si="301"/>
        <v>-3.0311511051693309E-2</v>
      </c>
      <c r="X3204" s="33">
        <f t="shared" si="298"/>
        <v>2.5581608290873626E-2</v>
      </c>
    </row>
    <row r="3205" spans="19:24" x14ac:dyDescent="0.25">
      <c r="S3205" s="44">
        <f t="shared" si="299"/>
        <v>46255</v>
      </c>
      <c r="T3205" s="12">
        <f t="shared" si="300"/>
        <v>3.0284740228677891</v>
      </c>
      <c r="U3205" s="12">
        <f t="shared" ref="U3205:U3268" si="302">DurMod($S3205,$B$2,$F$7:$G$37,U$3)</f>
        <v>2.9665762560584237</v>
      </c>
      <c r="V3205" s="30">
        <f t="shared" ref="V3205:V3268" si="303">+$U$3*($S$5512-S3205)/365+$T$3*(S3205-$S$4)/365</f>
        <v>0.416321095890411</v>
      </c>
      <c r="W3205" s="46">
        <f t="shared" si="301"/>
        <v>-3.0284740228677887E-2</v>
      </c>
      <c r="X3205" s="33">
        <f t="shared" ref="X3205:X3268" si="304">+(V3205+W3205)*365/($S$5512-$S$4)</f>
        <v>2.5581566778600684E-2</v>
      </c>
    </row>
    <row r="3206" spans="19:24" x14ac:dyDescent="0.25">
      <c r="S3206" s="44">
        <f t="shared" si="299"/>
        <v>46256</v>
      </c>
      <c r="T3206" s="12">
        <f t="shared" si="300"/>
        <v>3.0257969405662477</v>
      </c>
      <c r="U3206" s="12">
        <f t="shared" si="302"/>
        <v>2.963925079333634</v>
      </c>
      <c r="V3206" s="30">
        <f t="shared" si="303"/>
        <v>0.41629369863013699</v>
      </c>
      <c r="W3206" s="46">
        <f t="shared" si="301"/>
        <v>-3.0257969405662472E-2</v>
      </c>
      <c r="X3206" s="33">
        <f t="shared" si="304"/>
        <v>2.5581525266327738E-2</v>
      </c>
    </row>
    <row r="3207" spans="19:24" x14ac:dyDescent="0.25">
      <c r="S3207" s="44">
        <f t="shared" si="299"/>
        <v>46257</v>
      </c>
      <c r="T3207" s="12">
        <f t="shared" si="300"/>
        <v>3.0231198582647063</v>
      </c>
      <c r="U3207" s="12">
        <f t="shared" si="302"/>
        <v>2.9612739026088448</v>
      </c>
      <c r="V3207" s="30">
        <f t="shared" si="303"/>
        <v>0.41626630136986298</v>
      </c>
      <c r="W3207" s="46">
        <f t="shared" si="301"/>
        <v>-3.023119858264706E-2</v>
      </c>
      <c r="X3207" s="33">
        <f t="shared" si="304"/>
        <v>2.5581483754054796E-2</v>
      </c>
    </row>
    <row r="3208" spans="19:24" x14ac:dyDescent="0.25">
      <c r="S3208" s="44">
        <f t="shared" si="299"/>
        <v>46258</v>
      </c>
      <c r="T3208" s="12">
        <f t="shared" si="300"/>
        <v>3.0204427759631662</v>
      </c>
      <c r="U3208" s="12">
        <f t="shared" si="302"/>
        <v>2.9586227258840556</v>
      </c>
      <c r="V3208" s="30">
        <f t="shared" si="303"/>
        <v>0.41623890410958903</v>
      </c>
      <c r="W3208" s="46">
        <f t="shared" si="301"/>
        <v>-3.0204427759631659E-2</v>
      </c>
      <c r="X3208" s="33">
        <f t="shared" si="304"/>
        <v>2.5581442241781847E-2</v>
      </c>
    </row>
    <row r="3209" spans="19:24" x14ac:dyDescent="0.25">
      <c r="S3209" s="44">
        <f t="shared" si="299"/>
        <v>46259</v>
      </c>
      <c r="T3209" s="12">
        <f t="shared" si="300"/>
        <v>3.0177656936616239</v>
      </c>
      <c r="U3209" s="12">
        <f t="shared" si="302"/>
        <v>2.955971549159266</v>
      </c>
      <c r="V3209" s="30">
        <f t="shared" si="303"/>
        <v>0.41621150684931507</v>
      </c>
      <c r="W3209" s="46">
        <f t="shared" si="301"/>
        <v>-3.0177656936616237E-2</v>
      </c>
      <c r="X3209" s="33">
        <f t="shared" si="304"/>
        <v>2.5581400729508912E-2</v>
      </c>
    </row>
    <row r="3210" spans="19:24" x14ac:dyDescent="0.25">
      <c r="S3210" s="44">
        <f t="shared" si="299"/>
        <v>46260</v>
      </c>
      <c r="T3210" s="12">
        <f t="shared" si="300"/>
        <v>3.0150886113600839</v>
      </c>
      <c r="U3210" s="12">
        <f t="shared" si="302"/>
        <v>2.9533203724344768</v>
      </c>
      <c r="V3210" s="30">
        <f t="shared" si="303"/>
        <v>0.41618410958904106</v>
      </c>
      <c r="W3210" s="46">
        <f t="shared" si="301"/>
        <v>-3.0150886113600835E-2</v>
      </c>
      <c r="X3210" s="33">
        <f t="shared" si="304"/>
        <v>2.5581359217235963E-2</v>
      </c>
    </row>
    <row r="3211" spans="19:24" x14ac:dyDescent="0.25">
      <c r="S3211" s="44">
        <f t="shared" si="299"/>
        <v>46261</v>
      </c>
      <c r="T3211" s="12">
        <f t="shared" si="300"/>
        <v>3.0124115290585429</v>
      </c>
      <c r="U3211" s="12">
        <f t="shared" si="302"/>
        <v>2.9506691957096876</v>
      </c>
      <c r="V3211" s="30">
        <f t="shared" si="303"/>
        <v>0.41615671232876716</v>
      </c>
      <c r="W3211" s="46">
        <f t="shared" si="301"/>
        <v>-3.0124115290585424E-2</v>
      </c>
      <c r="X3211" s="33">
        <f t="shared" si="304"/>
        <v>2.5581317704963021E-2</v>
      </c>
    </row>
    <row r="3212" spans="19:24" x14ac:dyDescent="0.25">
      <c r="S3212" s="44">
        <f t="shared" si="299"/>
        <v>46262</v>
      </c>
      <c r="T3212" s="12">
        <f t="shared" si="300"/>
        <v>3.0097344467570006</v>
      </c>
      <c r="U3212" s="12">
        <f t="shared" si="302"/>
        <v>2.9480180189848979</v>
      </c>
      <c r="V3212" s="30">
        <f t="shared" si="303"/>
        <v>0.41612931506849316</v>
      </c>
      <c r="W3212" s="46">
        <f t="shared" si="301"/>
        <v>-3.0097344467570002E-2</v>
      </c>
      <c r="X3212" s="33">
        <f t="shared" si="304"/>
        <v>2.5581276192690076E-2</v>
      </c>
    </row>
    <row r="3213" spans="19:24" x14ac:dyDescent="0.25">
      <c r="S3213" s="44">
        <f t="shared" si="299"/>
        <v>46263</v>
      </c>
      <c r="T3213" s="12">
        <f t="shared" si="300"/>
        <v>3.0070573644554592</v>
      </c>
      <c r="U3213" s="12">
        <f t="shared" si="302"/>
        <v>2.9453668422601083</v>
      </c>
      <c r="V3213" s="30">
        <f t="shared" si="303"/>
        <v>0.4161019178082192</v>
      </c>
      <c r="W3213" s="46">
        <f t="shared" si="301"/>
        <v>-3.0070573644554587E-2</v>
      </c>
      <c r="X3213" s="33">
        <f t="shared" si="304"/>
        <v>2.5581234680417137E-2</v>
      </c>
    </row>
    <row r="3214" spans="19:24" x14ac:dyDescent="0.25">
      <c r="S3214" s="44">
        <f t="shared" si="299"/>
        <v>46264</v>
      </c>
      <c r="T3214" s="12">
        <f t="shared" si="300"/>
        <v>3.0043802821539178</v>
      </c>
      <c r="U3214" s="12">
        <f t="shared" si="302"/>
        <v>2.942715665535319</v>
      </c>
      <c r="V3214" s="30">
        <f t="shared" si="303"/>
        <v>0.41607452054794519</v>
      </c>
      <c r="W3214" s="46">
        <f t="shared" si="301"/>
        <v>-3.0043802821539175E-2</v>
      </c>
      <c r="X3214" s="33">
        <f t="shared" si="304"/>
        <v>2.5581193168144192E-2</v>
      </c>
    </row>
    <row r="3215" spans="19:24" x14ac:dyDescent="0.25">
      <c r="S3215" s="44">
        <f t="shared" si="299"/>
        <v>46265</v>
      </c>
      <c r="T3215" s="12">
        <f t="shared" si="300"/>
        <v>3.0017031998523778</v>
      </c>
      <c r="U3215" s="12">
        <f t="shared" si="302"/>
        <v>2.9400644888105303</v>
      </c>
      <c r="V3215" s="30">
        <f t="shared" si="303"/>
        <v>0.41604712328767124</v>
      </c>
      <c r="W3215" s="46">
        <f t="shared" si="301"/>
        <v>-3.0017031998523774E-2</v>
      </c>
      <c r="X3215" s="33">
        <f t="shared" si="304"/>
        <v>2.5581151655871243E-2</v>
      </c>
    </row>
    <row r="3216" spans="19:24" x14ac:dyDescent="0.25">
      <c r="S3216" s="44">
        <f t="shared" si="299"/>
        <v>46266</v>
      </c>
      <c r="T3216" s="12">
        <f t="shared" si="300"/>
        <v>2.9990261175508355</v>
      </c>
      <c r="U3216" s="12">
        <f t="shared" si="302"/>
        <v>2.9374133120857411</v>
      </c>
      <c r="V3216" s="30">
        <f t="shared" si="303"/>
        <v>0.41601972602739723</v>
      </c>
      <c r="W3216" s="46">
        <f t="shared" si="301"/>
        <v>-2.9990261175508352E-2</v>
      </c>
      <c r="X3216" s="33">
        <f t="shared" si="304"/>
        <v>2.5581110143598301E-2</v>
      </c>
    </row>
    <row r="3217" spans="19:24" x14ac:dyDescent="0.25">
      <c r="S3217" s="44">
        <f t="shared" si="299"/>
        <v>46267</v>
      </c>
      <c r="T3217" s="12">
        <f t="shared" si="300"/>
        <v>2.9963490352492954</v>
      </c>
      <c r="U3217" s="12">
        <f t="shared" si="302"/>
        <v>2.9347621353609523</v>
      </c>
      <c r="V3217" s="30">
        <f t="shared" si="303"/>
        <v>0.41599232876712328</v>
      </c>
      <c r="W3217" s="46">
        <f t="shared" si="301"/>
        <v>-2.996349035249295E-2</v>
      </c>
      <c r="X3217" s="33">
        <f t="shared" si="304"/>
        <v>2.5581068631325355E-2</v>
      </c>
    </row>
    <row r="3218" spans="19:24" x14ac:dyDescent="0.25">
      <c r="S3218" s="44">
        <f t="shared" si="299"/>
        <v>46268</v>
      </c>
      <c r="T3218" s="12">
        <f t="shared" si="300"/>
        <v>2.9936719529477545</v>
      </c>
      <c r="U3218" s="12">
        <f t="shared" si="302"/>
        <v>2.9321109586361627</v>
      </c>
      <c r="V3218" s="30">
        <f t="shared" si="303"/>
        <v>0.41596493150684932</v>
      </c>
      <c r="W3218" s="46">
        <f t="shared" si="301"/>
        <v>-2.9936719529477539E-2</v>
      </c>
      <c r="X3218" s="33">
        <f t="shared" si="304"/>
        <v>2.558102711905242E-2</v>
      </c>
    </row>
    <row r="3219" spans="19:24" x14ac:dyDescent="0.25">
      <c r="S3219" s="44">
        <f t="shared" si="299"/>
        <v>46269</v>
      </c>
      <c r="T3219" s="12">
        <f t="shared" si="300"/>
        <v>2.9909948706462122</v>
      </c>
      <c r="U3219" s="12">
        <f t="shared" si="302"/>
        <v>2.9294597819113721</v>
      </c>
      <c r="V3219" s="30">
        <f t="shared" si="303"/>
        <v>0.41593753424657531</v>
      </c>
      <c r="W3219" s="46">
        <f t="shared" si="301"/>
        <v>-2.9909948706462117E-2</v>
      </c>
      <c r="X3219" s="33">
        <f t="shared" si="304"/>
        <v>2.5580985606779467E-2</v>
      </c>
    </row>
    <row r="3220" spans="19:24" x14ac:dyDescent="0.25">
      <c r="S3220" s="44">
        <f t="shared" si="299"/>
        <v>46270</v>
      </c>
      <c r="T3220" s="12">
        <f t="shared" si="300"/>
        <v>2.9883177883446703</v>
      </c>
      <c r="U3220" s="12">
        <f t="shared" si="302"/>
        <v>2.9268086051865838</v>
      </c>
      <c r="V3220" s="30">
        <f t="shared" si="303"/>
        <v>0.41591013698630142</v>
      </c>
      <c r="W3220" s="46">
        <f t="shared" si="301"/>
        <v>-2.9883177883446698E-2</v>
      </c>
      <c r="X3220" s="33">
        <f t="shared" si="304"/>
        <v>2.5580944094506529E-2</v>
      </c>
    </row>
    <row r="3221" spans="19:24" x14ac:dyDescent="0.25">
      <c r="S3221" s="44">
        <f t="shared" si="299"/>
        <v>46271</v>
      </c>
      <c r="T3221" s="12">
        <f t="shared" si="300"/>
        <v>2.9856407060431303</v>
      </c>
      <c r="U3221" s="12">
        <f t="shared" si="302"/>
        <v>2.9241574284617942</v>
      </c>
      <c r="V3221" s="30">
        <f t="shared" si="303"/>
        <v>0.41588273972602741</v>
      </c>
      <c r="W3221" s="46">
        <f t="shared" si="301"/>
        <v>-2.9856407060431297E-2</v>
      </c>
      <c r="X3221" s="33">
        <f t="shared" si="304"/>
        <v>2.5580902582233583E-2</v>
      </c>
    </row>
    <row r="3222" spans="19:24" x14ac:dyDescent="0.25">
      <c r="S3222" s="44">
        <f t="shared" si="299"/>
        <v>46272</v>
      </c>
      <c r="T3222" s="12">
        <f t="shared" si="300"/>
        <v>2.9829636237415889</v>
      </c>
      <c r="U3222" s="12">
        <f t="shared" si="302"/>
        <v>2.9215062517370054</v>
      </c>
      <c r="V3222" s="30">
        <f t="shared" si="303"/>
        <v>0.41585534246575345</v>
      </c>
      <c r="W3222" s="46">
        <f t="shared" si="301"/>
        <v>-2.9829636237415885E-2</v>
      </c>
      <c r="X3222" s="33">
        <f t="shared" si="304"/>
        <v>2.5580861069960641E-2</v>
      </c>
    </row>
    <row r="3223" spans="19:24" x14ac:dyDescent="0.25">
      <c r="S3223" s="44">
        <f t="shared" si="299"/>
        <v>46273</v>
      </c>
      <c r="T3223" s="12">
        <f t="shared" si="300"/>
        <v>2.9802865414400483</v>
      </c>
      <c r="U3223" s="12">
        <f t="shared" si="302"/>
        <v>2.9188550750122157</v>
      </c>
      <c r="V3223" s="30">
        <f t="shared" si="303"/>
        <v>0.4158279452054795</v>
      </c>
      <c r="W3223" s="46">
        <f t="shared" si="301"/>
        <v>-2.9802865414400481E-2</v>
      </c>
      <c r="X3223" s="33">
        <f t="shared" si="304"/>
        <v>2.5580819557687699E-2</v>
      </c>
    </row>
    <row r="3224" spans="19:24" x14ac:dyDescent="0.25">
      <c r="S3224" s="44">
        <f t="shared" si="299"/>
        <v>46274</v>
      </c>
      <c r="T3224" s="12">
        <f t="shared" si="300"/>
        <v>2.9776094591385061</v>
      </c>
      <c r="U3224" s="12">
        <f t="shared" si="302"/>
        <v>2.9162038982874261</v>
      </c>
      <c r="V3224" s="30">
        <f t="shared" si="303"/>
        <v>0.41580054794520549</v>
      </c>
      <c r="W3224" s="46">
        <f t="shared" si="301"/>
        <v>-2.9776094591385055E-2</v>
      </c>
      <c r="X3224" s="33">
        <f t="shared" si="304"/>
        <v>2.558077804541475E-2</v>
      </c>
    </row>
    <row r="3225" spans="19:24" x14ac:dyDescent="0.25">
      <c r="S3225" s="44">
        <f t="shared" si="299"/>
        <v>46275</v>
      </c>
      <c r="T3225" s="12">
        <f t="shared" si="300"/>
        <v>2.9749323768369655</v>
      </c>
      <c r="U3225" s="12">
        <f t="shared" si="302"/>
        <v>2.9135527215626369</v>
      </c>
      <c r="V3225" s="30">
        <f t="shared" si="303"/>
        <v>0.41577315068493154</v>
      </c>
      <c r="W3225" s="46">
        <f t="shared" si="301"/>
        <v>-2.974932376836965E-2</v>
      </c>
      <c r="X3225" s="33">
        <f t="shared" si="304"/>
        <v>2.5580736533141808E-2</v>
      </c>
    </row>
    <row r="3226" spans="19:24" x14ac:dyDescent="0.25">
      <c r="S3226" s="44">
        <f t="shared" si="299"/>
        <v>46276</v>
      </c>
      <c r="T3226" s="12">
        <f t="shared" si="300"/>
        <v>2.9722552945354237</v>
      </c>
      <c r="U3226" s="12">
        <f t="shared" si="302"/>
        <v>2.9109015448378477</v>
      </c>
      <c r="V3226" s="30">
        <f t="shared" si="303"/>
        <v>0.41574575342465758</v>
      </c>
      <c r="W3226" s="46">
        <f t="shared" si="301"/>
        <v>-2.9722552945354232E-2</v>
      </c>
      <c r="X3226" s="33">
        <f t="shared" si="304"/>
        <v>2.5580695020868866E-2</v>
      </c>
    </row>
    <row r="3227" spans="19:24" x14ac:dyDescent="0.25">
      <c r="S3227" s="44">
        <f t="shared" si="299"/>
        <v>46277</v>
      </c>
      <c r="T3227" s="12">
        <f t="shared" si="300"/>
        <v>2.9695782122338827</v>
      </c>
      <c r="U3227" s="12">
        <f t="shared" si="302"/>
        <v>2.9082503681130589</v>
      </c>
      <c r="V3227" s="30">
        <f t="shared" si="303"/>
        <v>0.41571835616438357</v>
      </c>
      <c r="W3227" s="46">
        <f t="shared" si="301"/>
        <v>-2.9695782122338824E-2</v>
      </c>
      <c r="X3227" s="33">
        <f t="shared" si="304"/>
        <v>2.5580653508595921E-2</v>
      </c>
    </row>
    <row r="3228" spans="19:24" x14ac:dyDescent="0.25">
      <c r="S3228" s="44">
        <f t="shared" si="299"/>
        <v>46278</v>
      </c>
      <c r="T3228" s="12">
        <f t="shared" si="300"/>
        <v>2.9669011299323418</v>
      </c>
      <c r="U3228" s="12">
        <f t="shared" si="302"/>
        <v>2.9055991913882693</v>
      </c>
      <c r="V3228" s="30">
        <f t="shared" si="303"/>
        <v>0.41569095890410962</v>
      </c>
      <c r="W3228" s="46">
        <f t="shared" si="301"/>
        <v>-2.9669011299323412E-2</v>
      </c>
      <c r="X3228" s="33">
        <f t="shared" si="304"/>
        <v>2.5580611996322979E-2</v>
      </c>
    </row>
    <row r="3229" spans="19:24" x14ac:dyDescent="0.25">
      <c r="S3229" s="44">
        <f t="shared" si="299"/>
        <v>46279</v>
      </c>
      <c r="T3229" s="12">
        <f t="shared" si="300"/>
        <v>2.9642240476308004</v>
      </c>
      <c r="U3229" s="12">
        <f t="shared" si="302"/>
        <v>2.9029480146634805</v>
      </c>
      <c r="V3229" s="30">
        <f t="shared" si="303"/>
        <v>0.41566356164383567</v>
      </c>
      <c r="W3229" s="46">
        <f t="shared" si="301"/>
        <v>-2.9642240476308E-2</v>
      </c>
      <c r="X3229" s="33">
        <f t="shared" si="304"/>
        <v>2.5580570484050037E-2</v>
      </c>
    </row>
    <row r="3230" spans="19:24" x14ac:dyDescent="0.25">
      <c r="S3230" s="44">
        <f t="shared" si="299"/>
        <v>46280</v>
      </c>
      <c r="T3230" s="12">
        <f t="shared" si="300"/>
        <v>2.9615469653292599</v>
      </c>
      <c r="U3230" s="12">
        <f t="shared" si="302"/>
        <v>2.9002968379386909</v>
      </c>
      <c r="V3230" s="30">
        <f t="shared" si="303"/>
        <v>0.41563616438356166</v>
      </c>
      <c r="W3230" s="46">
        <f t="shared" si="301"/>
        <v>-2.9615469653292596E-2</v>
      </c>
      <c r="X3230" s="33">
        <f t="shared" si="304"/>
        <v>2.5580528971777088E-2</v>
      </c>
    </row>
    <row r="3231" spans="19:24" x14ac:dyDescent="0.25">
      <c r="S3231" s="44">
        <f t="shared" si="299"/>
        <v>46281</v>
      </c>
      <c r="T3231" s="12">
        <f t="shared" si="300"/>
        <v>2.9588698830277176</v>
      </c>
      <c r="U3231" s="12">
        <f t="shared" si="302"/>
        <v>2.8976456612139017</v>
      </c>
      <c r="V3231" s="30">
        <f t="shared" si="303"/>
        <v>0.4156087671232877</v>
      </c>
      <c r="W3231" s="46">
        <f t="shared" si="301"/>
        <v>-2.958869883027717E-2</v>
      </c>
      <c r="X3231" s="33">
        <f t="shared" si="304"/>
        <v>2.5580487459504146E-2</v>
      </c>
    </row>
    <row r="3232" spans="19:24" x14ac:dyDescent="0.25">
      <c r="S3232" s="44">
        <f t="shared" si="299"/>
        <v>46282</v>
      </c>
      <c r="T3232" s="12">
        <f t="shared" si="300"/>
        <v>2.9561928007261771</v>
      </c>
      <c r="U3232" s="12">
        <f t="shared" si="302"/>
        <v>2.894994484489112</v>
      </c>
      <c r="V3232" s="30">
        <f t="shared" si="303"/>
        <v>0.41558136986301375</v>
      </c>
      <c r="W3232" s="46">
        <f t="shared" si="301"/>
        <v>-2.9561928007261765E-2</v>
      </c>
      <c r="X3232" s="33">
        <f t="shared" si="304"/>
        <v>2.5580445947231203E-2</v>
      </c>
    </row>
    <row r="3233" spans="19:24" x14ac:dyDescent="0.25">
      <c r="S3233" s="44">
        <f t="shared" si="299"/>
        <v>46283</v>
      </c>
      <c r="T3233" s="12">
        <f t="shared" si="300"/>
        <v>2.9535157184246357</v>
      </c>
      <c r="U3233" s="12">
        <f t="shared" si="302"/>
        <v>2.8923433077643228</v>
      </c>
      <c r="V3233" s="30">
        <f t="shared" si="303"/>
        <v>0.41555397260273974</v>
      </c>
      <c r="W3233" s="46">
        <f t="shared" si="301"/>
        <v>-2.9535157184246354E-2</v>
      </c>
      <c r="X3233" s="33">
        <f t="shared" si="304"/>
        <v>2.5580404434958258E-2</v>
      </c>
    </row>
    <row r="3234" spans="19:24" x14ac:dyDescent="0.25">
      <c r="S3234" s="44">
        <f t="shared" si="299"/>
        <v>46284</v>
      </c>
      <c r="T3234" s="12">
        <f t="shared" si="300"/>
        <v>2.9508386361230947</v>
      </c>
      <c r="U3234" s="12">
        <f t="shared" si="302"/>
        <v>2.8896921310395332</v>
      </c>
      <c r="V3234" s="30">
        <f t="shared" si="303"/>
        <v>0.41552657534246573</v>
      </c>
      <c r="W3234" s="46">
        <f t="shared" si="301"/>
        <v>-2.9508386361230942E-2</v>
      </c>
      <c r="X3234" s="33">
        <f t="shared" si="304"/>
        <v>2.5580362922685309E-2</v>
      </c>
    </row>
    <row r="3235" spans="19:24" x14ac:dyDescent="0.25">
      <c r="S3235" s="44">
        <f t="shared" si="299"/>
        <v>46285</v>
      </c>
      <c r="T3235" s="12">
        <f t="shared" si="300"/>
        <v>2.9481615538215529</v>
      </c>
      <c r="U3235" s="12">
        <f t="shared" si="302"/>
        <v>2.8870409543147439</v>
      </c>
      <c r="V3235" s="30">
        <f t="shared" si="303"/>
        <v>0.41549917808219183</v>
      </c>
      <c r="W3235" s="46">
        <f t="shared" si="301"/>
        <v>-2.9481615538215523E-2</v>
      </c>
      <c r="X3235" s="33">
        <f t="shared" si="304"/>
        <v>2.5580321410412374E-2</v>
      </c>
    </row>
    <row r="3236" spans="19:24" x14ac:dyDescent="0.25">
      <c r="S3236" s="44">
        <f t="shared" si="299"/>
        <v>46286</v>
      </c>
      <c r="T3236" s="12">
        <f t="shared" si="300"/>
        <v>2.9454844715200119</v>
      </c>
      <c r="U3236" s="12">
        <f t="shared" si="302"/>
        <v>2.8843897775899556</v>
      </c>
      <c r="V3236" s="30">
        <f t="shared" si="303"/>
        <v>0.41547178082191782</v>
      </c>
      <c r="W3236" s="46">
        <f t="shared" si="301"/>
        <v>-2.9454844715200115E-2</v>
      </c>
      <c r="X3236" s="33">
        <f t="shared" si="304"/>
        <v>2.5580279898139428E-2</v>
      </c>
    </row>
    <row r="3237" spans="19:24" x14ac:dyDescent="0.25">
      <c r="S3237" s="44">
        <f t="shared" si="299"/>
        <v>46287</v>
      </c>
      <c r="T3237" s="12">
        <f t="shared" si="300"/>
        <v>2.942807389218471</v>
      </c>
      <c r="U3237" s="12">
        <f t="shared" si="302"/>
        <v>2.8817386008651646</v>
      </c>
      <c r="V3237" s="30">
        <f t="shared" si="303"/>
        <v>0.41544438356164387</v>
      </c>
      <c r="W3237" s="46">
        <f t="shared" si="301"/>
        <v>-2.9428073892184704E-2</v>
      </c>
      <c r="X3237" s="33">
        <f t="shared" si="304"/>
        <v>2.5580238385866486E-2</v>
      </c>
    </row>
    <row r="3238" spans="19:24" x14ac:dyDescent="0.25">
      <c r="S3238" s="44">
        <f t="shared" si="299"/>
        <v>46288</v>
      </c>
      <c r="T3238" s="12">
        <f t="shared" si="300"/>
        <v>2.9401303069169304</v>
      </c>
      <c r="U3238" s="12">
        <f t="shared" si="302"/>
        <v>2.8790874241403763</v>
      </c>
      <c r="V3238" s="30">
        <f t="shared" si="303"/>
        <v>0.41541698630136986</v>
      </c>
      <c r="W3238" s="46">
        <f t="shared" si="301"/>
        <v>-2.9401303069169299E-2</v>
      </c>
      <c r="X3238" s="33">
        <f t="shared" si="304"/>
        <v>2.5580196873593537E-2</v>
      </c>
    </row>
    <row r="3239" spans="19:24" x14ac:dyDescent="0.25">
      <c r="S3239" s="44">
        <f t="shared" si="299"/>
        <v>46289</v>
      </c>
      <c r="T3239" s="12">
        <f t="shared" si="300"/>
        <v>2.9374532246153882</v>
      </c>
      <c r="U3239" s="12">
        <f t="shared" si="302"/>
        <v>2.8764362474155871</v>
      </c>
      <c r="V3239" s="30">
        <f t="shared" si="303"/>
        <v>0.41538958904109591</v>
      </c>
      <c r="W3239" s="46">
        <f t="shared" si="301"/>
        <v>-2.9374532246153877E-2</v>
      </c>
      <c r="X3239" s="33">
        <f t="shared" si="304"/>
        <v>2.5580155361320595E-2</v>
      </c>
    </row>
    <row r="3240" spans="19:24" x14ac:dyDescent="0.25">
      <c r="S3240" s="44">
        <f t="shared" si="299"/>
        <v>46290</v>
      </c>
      <c r="T3240" s="12">
        <f t="shared" si="300"/>
        <v>2.9347761423138481</v>
      </c>
      <c r="U3240" s="12">
        <f t="shared" si="302"/>
        <v>2.8737850706907975</v>
      </c>
      <c r="V3240" s="30">
        <f t="shared" si="303"/>
        <v>0.4153621917808219</v>
      </c>
      <c r="W3240" s="46">
        <f t="shared" si="301"/>
        <v>-2.9347761423138476E-2</v>
      </c>
      <c r="X3240" s="33">
        <f t="shared" si="304"/>
        <v>2.558011384904765E-2</v>
      </c>
    </row>
    <row r="3241" spans="19:24" x14ac:dyDescent="0.25">
      <c r="S3241" s="44">
        <f t="shared" si="299"/>
        <v>46291</v>
      </c>
      <c r="T3241" s="12">
        <f t="shared" si="300"/>
        <v>2.9320990600123058</v>
      </c>
      <c r="U3241" s="12">
        <f t="shared" si="302"/>
        <v>2.8711338939660092</v>
      </c>
      <c r="V3241" s="30">
        <f t="shared" si="303"/>
        <v>0.415334794520548</v>
      </c>
      <c r="W3241" s="46">
        <f t="shared" si="301"/>
        <v>-2.9320990600123054E-2</v>
      </c>
      <c r="X3241" s="33">
        <f t="shared" si="304"/>
        <v>2.5580072336774711E-2</v>
      </c>
    </row>
    <row r="3242" spans="19:24" x14ac:dyDescent="0.25">
      <c r="S3242" s="44">
        <f t="shared" si="299"/>
        <v>46292</v>
      </c>
      <c r="T3242" s="12">
        <f t="shared" si="300"/>
        <v>2.9294219777107648</v>
      </c>
      <c r="U3242" s="12">
        <f t="shared" si="302"/>
        <v>2.8684827172412195</v>
      </c>
      <c r="V3242" s="30">
        <f t="shared" si="303"/>
        <v>0.41530739726027399</v>
      </c>
      <c r="W3242" s="46">
        <f t="shared" si="301"/>
        <v>-2.9294219777107645E-2</v>
      </c>
      <c r="X3242" s="33">
        <f t="shared" si="304"/>
        <v>2.5580030824501766E-2</v>
      </c>
    </row>
    <row r="3243" spans="19:24" x14ac:dyDescent="0.25">
      <c r="S3243" s="44">
        <f t="shared" si="299"/>
        <v>46293</v>
      </c>
      <c r="T3243" s="12">
        <f t="shared" si="300"/>
        <v>2.9267448954092239</v>
      </c>
      <c r="U3243" s="12">
        <f t="shared" si="302"/>
        <v>2.8658315405164294</v>
      </c>
      <c r="V3243" s="30">
        <f t="shared" si="303"/>
        <v>0.41527999999999998</v>
      </c>
      <c r="W3243" s="46">
        <f t="shared" si="301"/>
        <v>-2.9267448954092234E-2</v>
      </c>
      <c r="X3243" s="33">
        <f t="shared" si="304"/>
        <v>2.5579989312228817E-2</v>
      </c>
    </row>
    <row r="3244" spans="19:24" x14ac:dyDescent="0.25">
      <c r="S3244" s="44">
        <f t="shared" si="299"/>
        <v>46294</v>
      </c>
      <c r="T3244" s="12">
        <f t="shared" si="300"/>
        <v>2.9240678131076825</v>
      </c>
      <c r="U3244" s="12">
        <f t="shared" si="302"/>
        <v>2.8631803637916402</v>
      </c>
      <c r="V3244" s="30">
        <f t="shared" si="303"/>
        <v>0.41525260273972603</v>
      </c>
      <c r="W3244" s="46">
        <f t="shared" si="301"/>
        <v>-2.9240678131076822E-2</v>
      </c>
      <c r="X3244" s="33">
        <f t="shared" si="304"/>
        <v>2.5579947799955875E-2</v>
      </c>
    </row>
    <row r="3245" spans="19:24" x14ac:dyDescent="0.25">
      <c r="S3245" s="44">
        <f t="shared" si="299"/>
        <v>46295</v>
      </c>
      <c r="T3245" s="12">
        <f t="shared" si="300"/>
        <v>2.9213907308061415</v>
      </c>
      <c r="U3245" s="12">
        <f t="shared" si="302"/>
        <v>2.8605291870668519</v>
      </c>
      <c r="V3245" s="30">
        <f t="shared" si="303"/>
        <v>0.41522520547945202</v>
      </c>
      <c r="W3245" s="46">
        <f t="shared" si="301"/>
        <v>-2.921390730806141E-2</v>
      </c>
      <c r="X3245" s="33">
        <f t="shared" si="304"/>
        <v>2.5579906287682929E-2</v>
      </c>
    </row>
    <row r="3246" spans="19:24" x14ac:dyDescent="0.25">
      <c r="S3246" s="44">
        <f t="shared" si="299"/>
        <v>46296</v>
      </c>
      <c r="T3246" s="12">
        <f t="shared" si="300"/>
        <v>2.9187136485046006</v>
      </c>
      <c r="U3246" s="12">
        <f t="shared" si="302"/>
        <v>2.8578780103420618</v>
      </c>
      <c r="V3246" s="30">
        <f t="shared" si="303"/>
        <v>0.41519780821917807</v>
      </c>
      <c r="W3246" s="46">
        <f t="shared" si="301"/>
        <v>-2.9187136485046002E-2</v>
      </c>
      <c r="X3246" s="33">
        <f t="shared" si="304"/>
        <v>2.5579864775409987E-2</v>
      </c>
    </row>
    <row r="3247" spans="19:24" x14ac:dyDescent="0.25">
      <c r="S3247" s="44">
        <f t="shared" si="299"/>
        <v>46297</v>
      </c>
      <c r="T3247" s="12">
        <f t="shared" si="300"/>
        <v>2.9160365662030587</v>
      </c>
      <c r="U3247" s="12">
        <f t="shared" si="302"/>
        <v>2.8552268336172726</v>
      </c>
      <c r="V3247" s="30">
        <f t="shared" si="303"/>
        <v>0.41517041095890411</v>
      </c>
      <c r="W3247" s="46">
        <f t="shared" si="301"/>
        <v>-2.9160365662030584E-2</v>
      </c>
      <c r="X3247" s="33">
        <f t="shared" si="304"/>
        <v>2.5579823263137045E-2</v>
      </c>
    </row>
    <row r="3248" spans="19:24" x14ac:dyDescent="0.25">
      <c r="S3248" s="44">
        <f t="shared" si="299"/>
        <v>46298</v>
      </c>
      <c r="T3248" s="12">
        <f t="shared" si="300"/>
        <v>2.9133594839015173</v>
      </c>
      <c r="U3248" s="12">
        <f t="shared" si="302"/>
        <v>2.8525756568924829</v>
      </c>
      <c r="V3248" s="30">
        <f t="shared" si="303"/>
        <v>0.41514301369863016</v>
      </c>
      <c r="W3248" s="46">
        <f t="shared" si="301"/>
        <v>-2.9133594839015169E-2</v>
      </c>
      <c r="X3248" s="33">
        <f t="shared" si="304"/>
        <v>2.5579781750864103E-2</v>
      </c>
    </row>
    <row r="3249" spans="19:24" x14ac:dyDescent="0.25">
      <c r="S3249" s="44">
        <f t="shared" si="299"/>
        <v>46299</v>
      </c>
      <c r="T3249" s="12">
        <f t="shared" si="300"/>
        <v>2.9106824015999764</v>
      </c>
      <c r="U3249" s="12">
        <f t="shared" si="302"/>
        <v>2.8499244801676942</v>
      </c>
      <c r="V3249" s="30">
        <f t="shared" si="303"/>
        <v>0.41511561643835615</v>
      </c>
      <c r="W3249" s="46">
        <f t="shared" si="301"/>
        <v>-2.910682401599976E-2</v>
      </c>
      <c r="X3249" s="33">
        <f t="shared" si="304"/>
        <v>2.5579740238591154E-2</v>
      </c>
    </row>
    <row r="3250" spans="19:24" x14ac:dyDescent="0.25">
      <c r="S3250" s="44">
        <f t="shared" si="299"/>
        <v>46300</v>
      </c>
      <c r="T3250" s="12">
        <f t="shared" si="300"/>
        <v>2.9080053192984354</v>
      </c>
      <c r="U3250" s="12">
        <f t="shared" si="302"/>
        <v>2.8472733034429041</v>
      </c>
      <c r="V3250" s="30">
        <f t="shared" si="303"/>
        <v>0.4150882191780822</v>
      </c>
      <c r="W3250" s="46">
        <f t="shared" si="301"/>
        <v>-2.9080053192984349E-2</v>
      </c>
      <c r="X3250" s="33">
        <f t="shared" si="304"/>
        <v>2.5579698726318212E-2</v>
      </c>
    </row>
    <row r="3251" spans="19:24" x14ac:dyDescent="0.25">
      <c r="S3251" s="44">
        <f t="shared" ref="S3251:S3314" si="305">+S3250+1</f>
        <v>46301</v>
      </c>
      <c r="T3251" s="12">
        <f t="shared" ref="T3251:T3314" si="306">DurMod(S3251,B$2,$F$7:$G$37,$T$3)</f>
        <v>2.905328236996894</v>
      </c>
      <c r="U3251" s="12">
        <f t="shared" si="302"/>
        <v>2.8446221267181158</v>
      </c>
      <c r="V3251" s="30">
        <f t="shared" si="303"/>
        <v>0.41506082191780819</v>
      </c>
      <c r="W3251" s="46">
        <f t="shared" ref="W3251:W3314" si="307">+-T3251*($U$3-$T$3)</f>
        <v>-2.9053282369968937E-2</v>
      </c>
      <c r="X3251" s="33">
        <f t="shared" si="304"/>
        <v>2.5579657214045266E-2</v>
      </c>
    </row>
    <row r="3252" spans="19:24" x14ac:dyDescent="0.25">
      <c r="S3252" s="44">
        <f t="shared" si="305"/>
        <v>46302</v>
      </c>
      <c r="T3252" s="12">
        <f t="shared" si="306"/>
        <v>2.902651154695354</v>
      </c>
      <c r="U3252" s="12">
        <f t="shared" si="302"/>
        <v>2.8419709499933257</v>
      </c>
      <c r="V3252" s="30">
        <f t="shared" si="303"/>
        <v>0.41503342465753423</v>
      </c>
      <c r="W3252" s="46">
        <f t="shared" si="307"/>
        <v>-2.9026511546953536E-2</v>
      </c>
      <c r="X3252" s="33">
        <f t="shared" si="304"/>
        <v>2.5579615701772324E-2</v>
      </c>
    </row>
    <row r="3253" spans="19:24" x14ac:dyDescent="0.25">
      <c r="S3253" s="44">
        <f t="shared" si="305"/>
        <v>46303</v>
      </c>
      <c r="T3253" s="12">
        <f t="shared" si="306"/>
        <v>2.8999740723938126</v>
      </c>
      <c r="U3253" s="12">
        <f t="shared" si="302"/>
        <v>2.839319773268536</v>
      </c>
      <c r="V3253" s="30">
        <f t="shared" si="303"/>
        <v>0.41500602739726028</v>
      </c>
      <c r="W3253" s="46">
        <f t="shared" si="307"/>
        <v>-2.8999740723938121E-2</v>
      </c>
      <c r="X3253" s="33">
        <f t="shared" si="304"/>
        <v>2.5579574189499382E-2</v>
      </c>
    </row>
    <row r="3254" spans="19:24" x14ac:dyDescent="0.25">
      <c r="S3254" s="44">
        <f t="shared" si="305"/>
        <v>46304</v>
      </c>
      <c r="T3254" s="12">
        <f t="shared" si="306"/>
        <v>2.8972969900922707</v>
      </c>
      <c r="U3254" s="12">
        <f t="shared" si="302"/>
        <v>2.8366685965437473</v>
      </c>
      <c r="V3254" s="30">
        <f t="shared" si="303"/>
        <v>0.41497863013698627</v>
      </c>
      <c r="W3254" s="46">
        <f t="shared" si="307"/>
        <v>-2.8972969900922702E-2</v>
      </c>
      <c r="X3254" s="33">
        <f t="shared" si="304"/>
        <v>2.5579532677226433E-2</v>
      </c>
    </row>
    <row r="3255" spans="19:24" x14ac:dyDescent="0.25">
      <c r="S3255" s="44">
        <f t="shared" si="305"/>
        <v>46305</v>
      </c>
      <c r="T3255" s="12">
        <f t="shared" si="306"/>
        <v>2.8946199077907293</v>
      </c>
      <c r="U3255" s="12">
        <f t="shared" si="302"/>
        <v>2.8340174198189589</v>
      </c>
      <c r="V3255" s="30">
        <f t="shared" si="303"/>
        <v>0.41495123287671232</v>
      </c>
      <c r="W3255" s="46">
        <f t="shared" si="307"/>
        <v>-2.8946199077907287E-2</v>
      </c>
      <c r="X3255" s="33">
        <f t="shared" si="304"/>
        <v>2.5579491164953491E-2</v>
      </c>
    </row>
    <row r="3256" spans="19:24" x14ac:dyDescent="0.25">
      <c r="S3256" s="44">
        <f t="shared" si="305"/>
        <v>46306</v>
      </c>
      <c r="T3256" s="12">
        <f t="shared" si="306"/>
        <v>2.8919428254891884</v>
      </c>
      <c r="U3256" s="12">
        <f t="shared" si="302"/>
        <v>2.8313662430941693</v>
      </c>
      <c r="V3256" s="30">
        <f t="shared" si="303"/>
        <v>0.41492383561643831</v>
      </c>
      <c r="W3256" s="46">
        <f t="shared" si="307"/>
        <v>-2.8919428254891879E-2</v>
      </c>
      <c r="X3256" s="33">
        <f t="shared" si="304"/>
        <v>2.5579449652680546E-2</v>
      </c>
    </row>
    <row r="3257" spans="19:24" x14ac:dyDescent="0.25">
      <c r="S3257" s="44">
        <f t="shared" si="305"/>
        <v>46307</v>
      </c>
      <c r="T3257" s="12">
        <f t="shared" si="306"/>
        <v>2.8892657431876474</v>
      </c>
      <c r="U3257" s="12">
        <f t="shared" si="302"/>
        <v>2.8287150663693801</v>
      </c>
      <c r="V3257" s="30">
        <f t="shared" si="303"/>
        <v>0.41489643835616435</v>
      </c>
      <c r="W3257" s="46">
        <f t="shared" si="307"/>
        <v>-2.8892657431876471E-2</v>
      </c>
      <c r="X3257" s="33">
        <f t="shared" si="304"/>
        <v>2.5579408140407604E-2</v>
      </c>
    </row>
    <row r="3258" spans="19:24" x14ac:dyDescent="0.25">
      <c r="S3258" s="44">
        <f t="shared" si="305"/>
        <v>46308</v>
      </c>
      <c r="T3258" s="12">
        <f t="shared" si="306"/>
        <v>2.8865886608861064</v>
      </c>
      <c r="U3258" s="12">
        <f t="shared" si="302"/>
        <v>2.82606388964459</v>
      </c>
      <c r="V3258" s="30">
        <f t="shared" si="303"/>
        <v>0.4148690410958904</v>
      </c>
      <c r="W3258" s="46">
        <f t="shared" si="307"/>
        <v>-2.8865886608861059E-2</v>
      </c>
      <c r="X3258" s="33">
        <f t="shared" si="304"/>
        <v>2.5579366628134658E-2</v>
      </c>
    </row>
    <row r="3259" spans="19:24" x14ac:dyDescent="0.25">
      <c r="S3259" s="44">
        <f t="shared" si="305"/>
        <v>46309</v>
      </c>
      <c r="T3259" s="12">
        <f t="shared" si="306"/>
        <v>2.8839115785845646</v>
      </c>
      <c r="U3259" s="12">
        <f t="shared" si="302"/>
        <v>2.8234127129198012</v>
      </c>
      <c r="V3259" s="30">
        <f t="shared" si="303"/>
        <v>0.41484164383561639</v>
      </c>
      <c r="W3259" s="46">
        <f t="shared" si="307"/>
        <v>-2.8839115785845641E-2</v>
      </c>
      <c r="X3259" s="33">
        <f t="shared" si="304"/>
        <v>2.5579325115861716E-2</v>
      </c>
    </row>
    <row r="3260" spans="19:24" x14ac:dyDescent="0.25">
      <c r="S3260" s="44">
        <f t="shared" si="305"/>
        <v>46310</v>
      </c>
      <c r="T3260" s="12">
        <f t="shared" si="306"/>
        <v>2.8812344962830236</v>
      </c>
      <c r="U3260" s="12">
        <f t="shared" si="302"/>
        <v>2.820761536195012</v>
      </c>
      <c r="V3260" s="30">
        <f t="shared" si="303"/>
        <v>0.41481424657534244</v>
      </c>
      <c r="W3260" s="46">
        <f t="shared" si="307"/>
        <v>-2.8812344962830232E-2</v>
      </c>
      <c r="X3260" s="33">
        <f t="shared" si="304"/>
        <v>2.5579283603588774E-2</v>
      </c>
    </row>
    <row r="3261" spans="19:24" x14ac:dyDescent="0.25">
      <c r="S3261" s="44">
        <f t="shared" si="305"/>
        <v>46311</v>
      </c>
      <c r="T3261" s="12">
        <f t="shared" si="306"/>
        <v>2.8785574139814822</v>
      </c>
      <c r="U3261" s="12">
        <f t="shared" si="302"/>
        <v>2.8181103594702224</v>
      </c>
      <c r="V3261" s="30">
        <f t="shared" si="303"/>
        <v>0.41478684931506848</v>
      </c>
      <c r="W3261" s="46">
        <f t="shared" si="307"/>
        <v>-2.8785574139814817E-2</v>
      </c>
      <c r="X3261" s="33">
        <f t="shared" si="304"/>
        <v>2.5579242091315832E-2</v>
      </c>
    </row>
    <row r="3262" spans="19:24" x14ac:dyDescent="0.25">
      <c r="S3262" s="44">
        <f t="shared" si="305"/>
        <v>46312</v>
      </c>
      <c r="T3262" s="12">
        <f t="shared" si="306"/>
        <v>2.8758803316799408</v>
      </c>
      <c r="U3262" s="12">
        <f t="shared" si="302"/>
        <v>2.8154591827454332</v>
      </c>
      <c r="V3262" s="30">
        <f t="shared" si="303"/>
        <v>0.41475945205479448</v>
      </c>
      <c r="W3262" s="46">
        <f t="shared" si="307"/>
        <v>-2.8758803316799406E-2</v>
      </c>
      <c r="X3262" s="33">
        <f t="shared" si="304"/>
        <v>2.5579200579042883E-2</v>
      </c>
    </row>
    <row r="3263" spans="19:24" x14ac:dyDescent="0.25">
      <c r="S3263" s="44">
        <f t="shared" si="305"/>
        <v>46313</v>
      </c>
      <c r="T3263" s="12">
        <f t="shared" si="306"/>
        <v>2.8732032493784003</v>
      </c>
      <c r="U3263" s="12">
        <f t="shared" si="302"/>
        <v>2.812808006020644</v>
      </c>
      <c r="V3263" s="30">
        <f t="shared" si="303"/>
        <v>0.41473205479452047</v>
      </c>
      <c r="W3263" s="46">
        <f t="shared" si="307"/>
        <v>-2.8732032493783997E-2</v>
      </c>
      <c r="X3263" s="33">
        <f t="shared" si="304"/>
        <v>2.5579159066769937E-2</v>
      </c>
    </row>
    <row r="3264" spans="19:24" x14ac:dyDescent="0.25">
      <c r="S3264" s="44">
        <f t="shared" si="305"/>
        <v>46314</v>
      </c>
      <c r="T3264" s="12">
        <f t="shared" si="306"/>
        <v>2.8705261670768589</v>
      </c>
      <c r="U3264" s="12">
        <f t="shared" si="302"/>
        <v>2.8101568292958543</v>
      </c>
      <c r="V3264" s="30">
        <f t="shared" si="303"/>
        <v>0.41470465753424657</v>
      </c>
      <c r="W3264" s="46">
        <f t="shared" si="307"/>
        <v>-2.8705261670768586E-2</v>
      </c>
      <c r="X3264" s="33">
        <f t="shared" si="304"/>
        <v>2.5579117554496999E-2</v>
      </c>
    </row>
    <row r="3265" spans="19:24" x14ac:dyDescent="0.25">
      <c r="S3265" s="44">
        <f t="shared" si="305"/>
        <v>46315</v>
      </c>
      <c r="T3265" s="12">
        <f t="shared" si="306"/>
        <v>2.8678490847753175</v>
      </c>
      <c r="U3265" s="12">
        <f t="shared" si="302"/>
        <v>2.8075056525710647</v>
      </c>
      <c r="V3265" s="30">
        <f t="shared" si="303"/>
        <v>0.41467726027397267</v>
      </c>
      <c r="W3265" s="46">
        <f t="shared" si="307"/>
        <v>-2.8678490847753171E-2</v>
      </c>
      <c r="X3265" s="33">
        <f t="shared" si="304"/>
        <v>2.5579076042224064E-2</v>
      </c>
    </row>
    <row r="3266" spans="19:24" x14ac:dyDescent="0.25">
      <c r="S3266" s="44">
        <f t="shared" si="305"/>
        <v>46316</v>
      </c>
      <c r="T3266" s="12">
        <f t="shared" si="306"/>
        <v>2.8651720024737766</v>
      </c>
      <c r="U3266" s="12">
        <f t="shared" si="302"/>
        <v>2.8048544758462768</v>
      </c>
      <c r="V3266" s="30">
        <f t="shared" si="303"/>
        <v>0.41464986301369866</v>
      </c>
      <c r="W3266" s="46">
        <f t="shared" si="307"/>
        <v>-2.8651720024737762E-2</v>
      </c>
      <c r="X3266" s="33">
        <f t="shared" si="304"/>
        <v>2.5579034529951111E-2</v>
      </c>
    </row>
    <row r="3267" spans="19:24" x14ac:dyDescent="0.25">
      <c r="S3267" s="44">
        <f t="shared" si="305"/>
        <v>46317</v>
      </c>
      <c r="T3267" s="12">
        <f t="shared" si="306"/>
        <v>2.8624949201722352</v>
      </c>
      <c r="U3267" s="12">
        <f t="shared" si="302"/>
        <v>2.8022032991214862</v>
      </c>
      <c r="V3267" s="30">
        <f t="shared" si="303"/>
        <v>0.41462246575342465</v>
      </c>
      <c r="W3267" s="46">
        <f t="shared" si="307"/>
        <v>-2.8624949201722347E-2</v>
      </c>
      <c r="X3267" s="33">
        <f t="shared" si="304"/>
        <v>2.5578993017678162E-2</v>
      </c>
    </row>
    <row r="3268" spans="19:24" x14ac:dyDescent="0.25">
      <c r="S3268" s="44">
        <f t="shared" si="305"/>
        <v>46318</v>
      </c>
      <c r="T3268" s="12">
        <f t="shared" si="306"/>
        <v>2.8598178378706942</v>
      </c>
      <c r="U3268" s="12">
        <f t="shared" si="302"/>
        <v>2.799552122396697</v>
      </c>
      <c r="V3268" s="30">
        <f t="shared" si="303"/>
        <v>0.4145950684931507</v>
      </c>
      <c r="W3268" s="46">
        <f t="shared" si="307"/>
        <v>-2.8598178378706939E-2</v>
      </c>
      <c r="X3268" s="33">
        <f t="shared" si="304"/>
        <v>2.5578951505405227E-2</v>
      </c>
    </row>
    <row r="3269" spans="19:24" x14ac:dyDescent="0.25">
      <c r="S3269" s="44">
        <f t="shared" si="305"/>
        <v>46319</v>
      </c>
      <c r="T3269" s="12">
        <f t="shared" si="306"/>
        <v>2.8571407555691524</v>
      </c>
      <c r="U3269" s="12">
        <f t="shared" ref="U3269:U3332" si="308">DurMod($S3269,$B$2,$F$7:$G$37,U$3)</f>
        <v>2.7969009456719083</v>
      </c>
      <c r="V3269" s="30">
        <f t="shared" ref="V3269:V3332" si="309">+$U$3*($S$5512-S3269)/365+$T$3*(S3269-$S$4)/365</f>
        <v>0.41456767123287669</v>
      </c>
      <c r="W3269" s="46">
        <f t="shared" si="307"/>
        <v>-2.8571407555691521E-2</v>
      </c>
      <c r="X3269" s="33">
        <f t="shared" ref="X3269:X3332" si="310">+(V3269+W3269)*365/($S$5512-$S$4)</f>
        <v>2.5578909993132275E-2</v>
      </c>
    </row>
    <row r="3270" spans="19:24" x14ac:dyDescent="0.25">
      <c r="S3270" s="44">
        <f t="shared" si="305"/>
        <v>46320</v>
      </c>
      <c r="T3270" s="12">
        <f t="shared" si="306"/>
        <v>2.854463673267611</v>
      </c>
      <c r="U3270" s="12">
        <f t="shared" si="308"/>
        <v>2.7942497689471182</v>
      </c>
      <c r="V3270" s="30">
        <f t="shared" si="309"/>
        <v>0.41454027397260274</v>
      </c>
      <c r="W3270" s="46">
        <f t="shared" si="307"/>
        <v>-2.8544636732676106E-2</v>
      </c>
      <c r="X3270" s="33">
        <f t="shared" si="310"/>
        <v>2.5578868480859336E-2</v>
      </c>
    </row>
    <row r="3271" spans="19:24" x14ac:dyDescent="0.25">
      <c r="S3271" s="44">
        <f t="shared" si="305"/>
        <v>46321</v>
      </c>
      <c r="T3271" s="12">
        <f t="shared" si="306"/>
        <v>2.8517865909660705</v>
      </c>
      <c r="U3271" s="12">
        <f t="shared" si="308"/>
        <v>2.7915985922223299</v>
      </c>
      <c r="V3271" s="30">
        <f t="shared" si="309"/>
        <v>0.41451287671232878</v>
      </c>
      <c r="W3271" s="46">
        <f t="shared" si="307"/>
        <v>-2.8517865909660701E-2</v>
      </c>
      <c r="X3271" s="33">
        <f t="shared" si="310"/>
        <v>2.5578826968586391E-2</v>
      </c>
    </row>
    <row r="3272" spans="19:24" x14ac:dyDescent="0.25">
      <c r="S3272" s="44">
        <f t="shared" si="305"/>
        <v>46322</v>
      </c>
      <c r="T3272" s="12">
        <f t="shared" si="306"/>
        <v>2.8491095086645295</v>
      </c>
      <c r="U3272" s="12">
        <f t="shared" si="308"/>
        <v>2.7889474154975398</v>
      </c>
      <c r="V3272" s="30">
        <f t="shared" si="309"/>
        <v>0.41448547945205483</v>
      </c>
      <c r="W3272" s="46">
        <f t="shared" si="307"/>
        <v>-2.8491095086645289E-2</v>
      </c>
      <c r="X3272" s="33">
        <f t="shared" si="310"/>
        <v>2.5578785456313452E-2</v>
      </c>
    </row>
    <row r="3273" spans="19:24" x14ac:dyDescent="0.25">
      <c r="S3273" s="44">
        <f t="shared" si="305"/>
        <v>46323</v>
      </c>
      <c r="T3273" s="12">
        <f t="shared" si="306"/>
        <v>2.8464324263629881</v>
      </c>
      <c r="U3273" s="12">
        <f t="shared" si="308"/>
        <v>2.7862962387727515</v>
      </c>
      <c r="V3273" s="30">
        <f t="shared" si="309"/>
        <v>0.41445808219178082</v>
      </c>
      <c r="W3273" s="46">
        <f t="shared" si="307"/>
        <v>-2.8464324263629878E-2</v>
      </c>
      <c r="X3273" s="33">
        <f t="shared" si="310"/>
        <v>2.55787439440405E-2</v>
      </c>
    </row>
    <row r="3274" spans="19:24" x14ac:dyDescent="0.25">
      <c r="S3274" s="44">
        <f t="shared" si="305"/>
        <v>46324</v>
      </c>
      <c r="T3274" s="12">
        <f t="shared" si="306"/>
        <v>2.8437553440614467</v>
      </c>
      <c r="U3274" s="12">
        <f t="shared" si="308"/>
        <v>2.7836450620479614</v>
      </c>
      <c r="V3274" s="30">
        <f t="shared" si="309"/>
        <v>0.41443068493150687</v>
      </c>
      <c r="W3274" s="46">
        <f t="shared" si="307"/>
        <v>-2.8437553440614462E-2</v>
      </c>
      <c r="X3274" s="33">
        <f t="shared" si="310"/>
        <v>2.5578702431767564E-2</v>
      </c>
    </row>
    <row r="3275" spans="19:24" x14ac:dyDescent="0.25">
      <c r="S3275" s="44">
        <f t="shared" si="305"/>
        <v>46325</v>
      </c>
      <c r="T3275" s="12">
        <f t="shared" si="306"/>
        <v>2.8410782617599057</v>
      </c>
      <c r="U3275" s="12">
        <f t="shared" si="308"/>
        <v>2.7809938853231722</v>
      </c>
      <c r="V3275" s="30">
        <f t="shared" si="309"/>
        <v>0.41440328767123286</v>
      </c>
      <c r="W3275" s="46">
        <f t="shared" si="307"/>
        <v>-2.8410782617599054E-2</v>
      </c>
      <c r="X3275" s="33">
        <f t="shared" si="310"/>
        <v>2.5578660919494619E-2</v>
      </c>
    </row>
    <row r="3276" spans="19:24" x14ac:dyDescent="0.25">
      <c r="S3276" s="44">
        <f t="shared" si="305"/>
        <v>46326</v>
      </c>
      <c r="T3276" s="12">
        <f t="shared" si="306"/>
        <v>2.8384011794583648</v>
      </c>
      <c r="U3276" s="12">
        <f t="shared" si="308"/>
        <v>2.7783427085983825</v>
      </c>
      <c r="V3276" s="30">
        <f t="shared" si="309"/>
        <v>0.4143758904109589</v>
      </c>
      <c r="W3276" s="46">
        <f t="shared" si="307"/>
        <v>-2.8384011794583643E-2</v>
      </c>
      <c r="X3276" s="33">
        <f t="shared" si="310"/>
        <v>2.557861940722167E-2</v>
      </c>
    </row>
    <row r="3277" spans="19:24" x14ac:dyDescent="0.25">
      <c r="S3277" s="44">
        <f t="shared" si="305"/>
        <v>46327</v>
      </c>
      <c r="T3277" s="12">
        <f t="shared" si="306"/>
        <v>2.8357240971568229</v>
      </c>
      <c r="U3277" s="12">
        <f t="shared" si="308"/>
        <v>2.7756915318735937</v>
      </c>
      <c r="V3277" s="30">
        <f t="shared" si="309"/>
        <v>0.41434849315068495</v>
      </c>
      <c r="W3277" s="46">
        <f t="shared" si="307"/>
        <v>-2.8357240971568224E-2</v>
      </c>
      <c r="X3277" s="33">
        <f t="shared" si="310"/>
        <v>2.5578577894948728E-2</v>
      </c>
    </row>
    <row r="3278" spans="19:24" x14ac:dyDescent="0.25">
      <c r="S3278" s="44">
        <f t="shared" si="305"/>
        <v>46328</v>
      </c>
      <c r="T3278" s="12">
        <f t="shared" si="306"/>
        <v>2.833047014855282</v>
      </c>
      <c r="U3278" s="12">
        <f t="shared" si="308"/>
        <v>2.7730403551488041</v>
      </c>
      <c r="V3278" s="30">
        <f t="shared" si="309"/>
        <v>0.41432109589041094</v>
      </c>
      <c r="W3278" s="46">
        <f t="shared" si="307"/>
        <v>-2.8330470148552816E-2</v>
      </c>
      <c r="X3278" s="33">
        <f t="shared" si="310"/>
        <v>2.5578536382675782E-2</v>
      </c>
    </row>
    <row r="3279" spans="19:24" x14ac:dyDescent="0.25">
      <c r="S3279" s="44">
        <f t="shared" si="305"/>
        <v>46329</v>
      </c>
      <c r="T3279" s="12">
        <f t="shared" si="306"/>
        <v>2.8303699325537406</v>
      </c>
      <c r="U3279" s="12">
        <f t="shared" si="308"/>
        <v>2.7703891784240149</v>
      </c>
      <c r="V3279" s="30">
        <f t="shared" si="309"/>
        <v>0.41429369863013699</v>
      </c>
      <c r="W3279" s="46">
        <f t="shared" si="307"/>
        <v>-2.8303699325537401E-2</v>
      </c>
      <c r="X3279" s="33">
        <f t="shared" si="310"/>
        <v>2.5578494870402844E-2</v>
      </c>
    </row>
    <row r="3280" spans="19:24" x14ac:dyDescent="0.25">
      <c r="S3280" s="44">
        <f t="shared" si="305"/>
        <v>46330</v>
      </c>
      <c r="T3280" s="12">
        <f t="shared" si="306"/>
        <v>2.8276928502521996</v>
      </c>
      <c r="U3280" s="12">
        <f t="shared" si="308"/>
        <v>2.7677380016992266</v>
      </c>
      <c r="V3280" s="30">
        <f t="shared" si="309"/>
        <v>0.41426630136986298</v>
      </c>
      <c r="W3280" s="46">
        <f t="shared" si="307"/>
        <v>-2.8276928502521993E-2</v>
      </c>
      <c r="X3280" s="33">
        <f t="shared" si="310"/>
        <v>2.5578453358129891E-2</v>
      </c>
    </row>
    <row r="3281" spans="19:24" x14ac:dyDescent="0.25">
      <c r="S3281" s="44">
        <f t="shared" si="305"/>
        <v>46331</v>
      </c>
      <c r="T3281" s="12">
        <f t="shared" si="306"/>
        <v>2.8250157679506582</v>
      </c>
      <c r="U3281" s="12">
        <f t="shared" si="308"/>
        <v>2.7650868249744369</v>
      </c>
      <c r="V3281" s="30">
        <f t="shared" si="309"/>
        <v>0.41423890410958902</v>
      </c>
      <c r="W3281" s="46">
        <f t="shared" si="307"/>
        <v>-2.8250157679506577E-2</v>
      </c>
      <c r="X3281" s="33">
        <f t="shared" si="310"/>
        <v>2.5578411845856956E-2</v>
      </c>
    </row>
    <row r="3282" spans="19:24" x14ac:dyDescent="0.25">
      <c r="S3282" s="44">
        <f t="shared" si="305"/>
        <v>46332</v>
      </c>
      <c r="T3282" s="12">
        <f t="shared" si="306"/>
        <v>2.8223386856491168</v>
      </c>
      <c r="U3282" s="12">
        <f t="shared" si="308"/>
        <v>2.7624356482496468</v>
      </c>
      <c r="V3282" s="30">
        <f t="shared" si="309"/>
        <v>0.41421150684931507</v>
      </c>
      <c r="W3282" s="46">
        <f t="shared" si="307"/>
        <v>-2.8223386856491162E-2</v>
      </c>
      <c r="X3282" s="33">
        <f t="shared" si="310"/>
        <v>2.5578370333584007E-2</v>
      </c>
    </row>
    <row r="3283" spans="19:24" x14ac:dyDescent="0.25">
      <c r="S3283" s="44">
        <f t="shared" si="305"/>
        <v>46333</v>
      </c>
      <c r="T3283" s="12">
        <f t="shared" si="306"/>
        <v>2.8196616033475759</v>
      </c>
      <c r="U3283" s="12">
        <f t="shared" si="308"/>
        <v>2.7597844715248585</v>
      </c>
      <c r="V3283" s="30">
        <f t="shared" si="309"/>
        <v>0.41418410958904112</v>
      </c>
      <c r="W3283" s="46">
        <f t="shared" si="307"/>
        <v>-2.8196616033475754E-2</v>
      </c>
      <c r="X3283" s="33">
        <f t="shared" si="310"/>
        <v>2.5578328821311072E-2</v>
      </c>
    </row>
    <row r="3284" spans="19:24" x14ac:dyDescent="0.25">
      <c r="S3284" s="44">
        <f t="shared" si="305"/>
        <v>46334</v>
      </c>
      <c r="T3284" s="12">
        <f t="shared" si="306"/>
        <v>2.8169845210460349</v>
      </c>
      <c r="U3284" s="12">
        <f t="shared" si="308"/>
        <v>2.7571332948000684</v>
      </c>
      <c r="V3284" s="30">
        <f t="shared" si="309"/>
        <v>0.41415671232876711</v>
      </c>
      <c r="W3284" s="46">
        <f t="shared" si="307"/>
        <v>-2.8169845210460346E-2</v>
      </c>
      <c r="X3284" s="33">
        <f t="shared" si="310"/>
        <v>2.557828730903812E-2</v>
      </c>
    </row>
    <row r="3285" spans="19:24" x14ac:dyDescent="0.25">
      <c r="S3285" s="44">
        <f t="shared" si="305"/>
        <v>46335</v>
      </c>
      <c r="T3285" s="12">
        <f t="shared" si="306"/>
        <v>2.8143074387444926</v>
      </c>
      <c r="U3285" s="12">
        <f t="shared" si="308"/>
        <v>2.7544821180752797</v>
      </c>
      <c r="V3285" s="30">
        <f t="shared" si="309"/>
        <v>0.41412931506849315</v>
      </c>
      <c r="W3285" s="46">
        <f t="shared" si="307"/>
        <v>-2.814307438744492E-2</v>
      </c>
      <c r="X3285" s="33">
        <f t="shared" si="310"/>
        <v>2.5578245796765181E-2</v>
      </c>
    </row>
    <row r="3286" spans="19:24" x14ac:dyDescent="0.25">
      <c r="S3286" s="44">
        <f t="shared" si="305"/>
        <v>46336</v>
      </c>
      <c r="T3286" s="12">
        <f t="shared" si="306"/>
        <v>2.8116303564429521</v>
      </c>
      <c r="U3286" s="12">
        <f t="shared" si="308"/>
        <v>2.75183094135049</v>
      </c>
      <c r="V3286" s="30">
        <f t="shared" si="309"/>
        <v>0.41410191780821914</v>
      </c>
      <c r="W3286" s="46">
        <f t="shared" si="307"/>
        <v>-2.8116303564429516E-2</v>
      </c>
      <c r="X3286" s="33">
        <f t="shared" si="310"/>
        <v>2.5578204284492236E-2</v>
      </c>
    </row>
    <row r="3287" spans="19:24" x14ac:dyDescent="0.25">
      <c r="S3287" s="44">
        <f t="shared" si="305"/>
        <v>46337</v>
      </c>
      <c r="T3287" s="12">
        <f t="shared" si="306"/>
        <v>2.8089532741414112</v>
      </c>
      <c r="U3287" s="12">
        <f t="shared" si="308"/>
        <v>2.7491797646257004</v>
      </c>
      <c r="V3287" s="30">
        <f t="shared" si="309"/>
        <v>0.41407452054794519</v>
      </c>
      <c r="W3287" s="46">
        <f t="shared" si="307"/>
        <v>-2.8089532741414108E-2</v>
      </c>
      <c r="X3287" s="33">
        <f t="shared" si="310"/>
        <v>2.5578162772219287E-2</v>
      </c>
    </row>
    <row r="3288" spans="19:24" x14ac:dyDescent="0.25">
      <c r="S3288" s="44">
        <f t="shared" si="305"/>
        <v>46338</v>
      </c>
      <c r="T3288" s="12">
        <f t="shared" si="306"/>
        <v>2.8062761918398698</v>
      </c>
      <c r="U3288" s="12">
        <f t="shared" si="308"/>
        <v>2.7465285879009111</v>
      </c>
      <c r="V3288" s="30">
        <f t="shared" si="309"/>
        <v>0.41404712328767124</v>
      </c>
      <c r="W3288" s="46">
        <f t="shared" si="307"/>
        <v>-2.8062761918398692E-2</v>
      </c>
      <c r="X3288" s="33">
        <f t="shared" si="310"/>
        <v>2.5578121259946345E-2</v>
      </c>
    </row>
    <row r="3289" spans="19:24" x14ac:dyDescent="0.25">
      <c r="S3289" s="44">
        <f t="shared" si="305"/>
        <v>46339</v>
      </c>
      <c r="T3289" s="12">
        <f t="shared" si="306"/>
        <v>2.8035991095383288</v>
      </c>
      <c r="U3289" s="12">
        <f t="shared" si="308"/>
        <v>2.7438774111761215</v>
      </c>
      <c r="V3289" s="30">
        <f t="shared" si="309"/>
        <v>0.41401972602739723</v>
      </c>
      <c r="W3289" s="46">
        <f t="shared" si="307"/>
        <v>-2.8035991095383284E-2</v>
      </c>
      <c r="X3289" s="33">
        <f t="shared" si="310"/>
        <v>2.5578079747673399E-2</v>
      </c>
    </row>
    <row r="3290" spans="19:24" x14ac:dyDescent="0.25">
      <c r="S3290" s="44">
        <f t="shared" si="305"/>
        <v>46340</v>
      </c>
      <c r="T3290" s="12">
        <f t="shared" si="306"/>
        <v>2.8009220272367883</v>
      </c>
      <c r="U3290" s="12">
        <f t="shared" si="308"/>
        <v>2.7412262344513327</v>
      </c>
      <c r="V3290" s="30">
        <f t="shared" si="309"/>
        <v>0.41399232876712333</v>
      </c>
      <c r="W3290" s="46">
        <f t="shared" si="307"/>
        <v>-2.800922027236788E-2</v>
      </c>
      <c r="X3290" s="33">
        <f t="shared" si="310"/>
        <v>2.557803823540046E-2</v>
      </c>
    </row>
    <row r="3291" spans="19:24" x14ac:dyDescent="0.25">
      <c r="S3291" s="44">
        <f t="shared" si="305"/>
        <v>46341</v>
      </c>
      <c r="T3291" s="12">
        <f t="shared" si="306"/>
        <v>2.7982449449352464</v>
      </c>
      <c r="U3291" s="12">
        <f t="shared" si="308"/>
        <v>2.7385750577265435</v>
      </c>
      <c r="V3291" s="30">
        <f t="shared" si="309"/>
        <v>0.41396493150684932</v>
      </c>
      <c r="W3291" s="46">
        <f t="shared" si="307"/>
        <v>-2.7982449449352461E-2</v>
      </c>
      <c r="X3291" s="33">
        <f t="shared" si="310"/>
        <v>2.5577996723127515E-2</v>
      </c>
    </row>
    <row r="3292" spans="19:24" x14ac:dyDescent="0.25">
      <c r="S3292" s="44">
        <f t="shared" si="305"/>
        <v>46342</v>
      </c>
      <c r="T3292" s="12">
        <f t="shared" si="306"/>
        <v>2.795567862633705</v>
      </c>
      <c r="U3292" s="12">
        <f t="shared" si="308"/>
        <v>2.7359238810017543</v>
      </c>
      <c r="V3292" s="30">
        <f t="shared" si="309"/>
        <v>0.41393753424657531</v>
      </c>
      <c r="W3292" s="46">
        <f t="shared" si="307"/>
        <v>-2.7955678626337046E-2</v>
      </c>
      <c r="X3292" s="33">
        <f t="shared" si="310"/>
        <v>2.5577955210854573E-2</v>
      </c>
    </row>
    <row r="3293" spans="19:24" x14ac:dyDescent="0.25">
      <c r="S3293" s="44">
        <f t="shared" si="305"/>
        <v>46343</v>
      </c>
      <c r="T3293" s="12">
        <f t="shared" si="306"/>
        <v>2.7928907803321645</v>
      </c>
      <c r="U3293" s="12">
        <f t="shared" si="308"/>
        <v>2.7332727042769651</v>
      </c>
      <c r="V3293" s="30">
        <f t="shared" si="309"/>
        <v>0.41391013698630141</v>
      </c>
      <c r="W3293" s="46">
        <f t="shared" si="307"/>
        <v>-2.7928907803321641E-2</v>
      </c>
      <c r="X3293" s="33">
        <f t="shared" si="310"/>
        <v>2.5577913698581631E-2</v>
      </c>
    </row>
    <row r="3294" spans="19:24" x14ac:dyDescent="0.25">
      <c r="S3294" s="44">
        <f t="shared" si="305"/>
        <v>46344</v>
      </c>
      <c r="T3294" s="12">
        <f t="shared" si="306"/>
        <v>2.7902136980306236</v>
      </c>
      <c r="U3294" s="12">
        <f t="shared" si="308"/>
        <v>2.7306215275521759</v>
      </c>
      <c r="V3294" s="30">
        <f t="shared" si="309"/>
        <v>0.4138827397260274</v>
      </c>
      <c r="W3294" s="46">
        <f t="shared" si="307"/>
        <v>-2.7902136980306233E-2</v>
      </c>
      <c r="X3294" s="33">
        <f t="shared" si="310"/>
        <v>2.5577872186308682E-2</v>
      </c>
    </row>
    <row r="3295" spans="19:24" x14ac:dyDescent="0.25">
      <c r="S3295" s="44">
        <f t="shared" si="305"/>
        <v>46345</v>
      </c>
      <c r="T3295" s="12">
        <f t="shared" si="306"/>
        <v>2.7875366157290817</v>
      </c>
      <c r="U3295" s="12">
        <f t="shared" si="308"/>
        <v>2.7279703508273858</v>
      </c>
      <c r="V3295" s="30">
        <f t="shared" si="309"/>
        <v>0.4138553424657534</v>
      </c>
      <c r="W3295" s="46">
        <f t="shared" si="307"/>
        <v>-2.7875366157290814E-2</v>
      </c>
      <c r="X3295" s="33">
        <f t="shared" si="310"/>
        <v>2.5577830674035736E-2</v>
      </c>
    </row>
    <row r="3296" spans="19:24" x14ac:dyDescent="0.25">
      <c r="S3296" s="44">
        <f t="shared" si="305"/>
        <v>46346</v>
      </c>
      <c r="T3296" s="12">
        <f t="shared" si="306"/>
        <v>2.7848595334275408</v>
      </c>
      <c r="U3296" s="12">
        <f t="shared" si="308"/>
        <v>2.7253191741025975</v>
      </c>
      <c r="V3296" s="30">
        <f t="shared" si="309"/>
        <v>0.41382794520547944</v>
      </c>
      <c r="W3296" s="46">
        <f t="shared" si="307"/>
        <v>-2.7848595334275403E-2</v>
      </c>
      <c r="X3296" s="33">
        <f t="shared" si="310"/>
        <v>2.5577789161762794E-2</v>
      </c>
    </row>
    <row r="3297" spans="19:24" x14ac:dyDescent="0.25">
      <c r="S3297" s="44">
        <f t="shared" si="305"/>
        <v>46347</v>
      </c>
      <c r="T3297" s="12">
        <f t="shared" si="306"/>
        <v>2.7821824511259998</v>
      </c>
      <c r="U3297" s="12">
        <f t="shared" si="308"/>
        <v>2.7226679973778074</v>
      </c>
      <c r="V3297" s="30">
        <f t="shared" si="309"/>
        <v>0.41380054794520549</v>
      </c>
      <c r="W3297" s="46">
        <f t="shared" si="307"/>
        <v>-2.7821824511259995E-2</v>
      </c>
      <c r="X3297" s="33">
        <f t="shared" si="310"/>
        <v>2.5577747649489852E-2</v>
      </c>
    </row>
    <row r="3298" spans="19:24" x14ac:dyDescent="0.25">
      <c r="S3298" s="44">
        <f t="shared" si="305"/>
        <v>46348</v>
      </c>
      <c r="T3298" s="12">
        <f t="shared" si="306"/>
        <v>2.779505368824458</v>
      </c>
      <c r="U3298" s="12">
        <f t="shared" si="308"/>
        <v>2.7200168206530182</v>
      </c>
      <c r="V3298" s="30">
        <f t="shared" si="309"/>
        <v>0.41377315068493148</v>
      </c>
      <c r="W3298" s="46">
        <f t="shared" si="307"/>
        <v>-2.7795053688244576E-2</v>
      </c>
      <c r="X3298" s="33">
        <f t="shared" si="310"/>
        <v>2.5577706137216907E-2</v>
      </c>
    </row>
    <row r="3299" spans="19:24" x14ac:dyDescent="0.25">
      <c r="S3299" s="44">
        <f t="shared" si="305"/>
        <v>46349</v>
      </c>
      <c r="T3299" s="12">
        <f t="shared" si="306"/>
        <v>2.7768282865229166</v>
      </c>
      <c r="U3299" s="12">
        <f t="shared" si="308"/>
        <v>2.717365643928229</v>
      </c>
      <c r="V3299" s="30">
        <f t="shared" si="309"/>
        <v>0.41374575342465758</v>
      </c>
      <c r="W3299" s="46">
        <f t="shared" si="307"/>
        <v>-2.7768282865229161E-2</v>
      </c>
      <c r="X3299" s="33">
        <f t="shared" si="310"/>
        <v>2.5577664624943968E-2</v>
      </c>
    </row>
    <row r="3300" spans="19:24" x14ac:dyDescent="0.25">
      <c r="S3300" s="44">
        <f t="shared" si="305"/>
        <v>46350</v>
      </c>
      <c r="T3300" s="12">
        <f t="shared" si="306"/>
        <v>2.7741512042213756</v>
      </c>
      <c r="U3300" s="12">
        <f t="shared" si="308"/>
        <v>2.7147144672034402</v>
      </c>
      <c r="V3300" s="30">
        <f t="shared" si="309"/>
        <v>0.41371835616438357</v>
      </c>
      <c r="W3300" s="46">
        <f t="shared" si="307"/>
        <v>-2.7741512042213753E-2</v>
      </c>
      <c r="X3300" s="33">
        <f t="shared" si="310"/>
        <v>2.5577623112671023E-2</v>
      </c>
    </row>
    <row r="3301" spans="19:24" x14ac:dyDescent="0.25">
      <c r="S3301" s="44">
        <f t="shared" si="305"/>
        <v>46351</v>
      </c>
      <c r="T3301" s="12">
        <f t="shared" si="306"/>
        <v>2.7714741219198351</v>
      </c>
      <c r="U3301" s="12">
        <f t="shared" si="308"/>
        <v>2.7120632904786497</v>
      </c>
      <c r="V3301" s="30">
        <f t="shared" si="309"/>
        <v>0.41369095890410956</v>
      </c>
      <c r="W3301" s="46">
        <f t="shared" si="307"/>
        <v>-2.7714741219198348E-2</v>
      </c>
      <c r="X3301" s="33">
        <f t="shared" si="310"/>
        <v>2.5577581600398074E-2</v>
      </c>
    </row>
    <row r="3302" spans="19:24" x14ac:dyDescent="0.25">
      <c r="S3302" s="44">
        <f t="shared" si="305"/>
        <v>46352</v>
      </c>
      <c r="T3302" s="12">
        <f t="shared" si="306"/>
        <v>2.7687970396182924</v>
      </c>
      <c r="U3302" s="12">
        <f t="shared" si="308"/>
        <v>2.7094121137538618</v>
      </c>
      <c r="V3302" s="30">
        <f t="shared" si="309"/>
        <v>0.41366356164383561</v>
      </c>
      <c r="W3302" s="46">
        <f t="shared" si="307"/>
        <v>-2.7687970396182919E-2</v>
      </c>
      <c r="X3302" s="33">
        <f t="shared" si="310"/>
        <v>2.5577540088125131E-2</v>
      </c>
    </row>
    <row r="3303" spans="19:24" x14ac:dyDescent="0.25">
      <c r="S3303" s="44">
        <f t="shared" si="305"/>
        <v>46353</v>
      </c>
      <c r="T3303" s="12">
        <f t="shared" si="306"/>
        <v>2.7661199573167523</v>
      </c>
      <c r="U3303" s="12">
        <f t="shared" si="308"/>
        <v>2.7067609370290717</v>
      </c>
      <c r="V3303" s="30">
        <f t="shared" si="309"/>
        <v>0.41363616438356166</v>
      </c>
      <c r="W3303" s="46">
        <f t="shared" si="307"/>
        <v>-2.7661199573167518E-2</v>
      </c>
      <c r="X3303" s="33">
        <f t="shared" si="310"/>
        <v>2.5577498575852189E-2</v>
      </c>
    </row>
    <row r="3304" spans="19:24" x14ac:dyDescent="0.25">
      <c r="S3304" s="44">
        <f t="shared" si="305"/>
        <v>46354</v>
      </c>
      <c r="T3304" s="12">
        <f t="shared" si="306"/>
        <v>2.7634428750152109</v>
      </c>
      <c r="U3304" s="12">
        <f t="shared" si="308"/>
        <v>2.7041097603042821</v>
      </c>
      <c r="V3304" s="30">
        <f t="shared" si="309"/>
        <v>0.41360876712328765</v>
      </c>
      <c r="W3304" s="46">
        <f t="shared" si="307"/>
        <v>-2.7634428750152106E-2</v>
      </c>
      <c r="X3304" s="33">
        <f t="shared" si="310"/>
        <v>2.5577457063579244E-2</v>
      </c>
    </row>
    <row r="3305" spans="19:24" x14ac:dyDescent="0.25">
      <c r="S3305" s="44">
        <f t="shared" si="305"/>
        <v>46355</v>
      </c>
      <c r="T3305" s="12">
        <f t="shared" si="306"/>
        <v>2.7607657927136691</v>
      </c>
      <c r="U3305" s="12">
        <f t="shared" si="308"/>
        <v>2.7014585835794938</v>
      </c>
      <c r="V3305" s="30">
        <f t="shared" si="309"/>
        <v>0.41358136986301369</v>
      </c>
      <c r="W3305" s="46">
        <f t="shared" si="307"/>
        <v>-2.7607657927136688E-2</v>
      </c>
      <c r="X3305" s="33">
        <f t="shared" si="310"/>
        <v>2.5577415551306302E-2</v>
      </c>
    </row>
    <row r="3306" spans="19:24" x14ac:dyDescent="0.25">
      <c r="S3306" s="44">
        <f t="shared" si="305"/>
        <v>46356</v>
      </c>
      <c r="T3306" s="12">
        <f t="shared" si="306"/>
        <v>2.758088710412129</v>
      </c>
      <c r="U3306" s="12">
        <f t="shared" si="308"/>
        <v>2.6988074068547041</v>
      </c>
      <c r="V3306" s="30">
        <f t="shared" si="309"/>
        <v>0.41355397260273974</v>
      </c>
      <c r="W3306" s="46">
        <f t="shared" si="307"/>
        <v>-2.7580887104121286E-2</v>
      </c>
      <c r="X3306" s="33">
        <f t="shared" si="310"/>
        <v>2.557737403903336E-2</v>
      </c>
    </row>
    <row r="3307" spans="19:24" x14ac:dyDescent="0.25">
      <c r="S3307" s="44">
        <f t="shared" si="305"/>
        <v>46357</v>
      </c>
      <c r="T3307" s="12">
        <f t="shared" si="306"/>
        <v>2.7554116281105876</v>
      </c>
      <c r="U3307" s="12">
        <f t="shared" si="308"/>
        <v>2.6961562301299145</v>
      </c>
      <c r="V3307" s="30">
        <f t="shared" si="309"/>
        <v>0.41352657534246573</v>
      </c>
      <c r="W3307" s="46">
        <f t="shared" si="307"/>
        <v>-2.7554116281105871E-2</v>
      </c>
      <c r="X3307" s="33">
        <f t="shared" si="310"/>
        <v>2.5577332526760411E-2</v>
      </c>
    </row>
    <row r="3308" spans="19:24" x14ac:dyDescent="0.25">
      <c r="S3308" s="44">
        <f t="shared" si="305"/>
        <v>46358</v>
      </c>
      <c r="T3308" s="12">
        <f t="shared" si="306"/>
        <v>2.7527345458090458</v>
      </c>
      <c r="U3308" s="12">
        <f t="shared" si="308"/>
        <v>2.6935050534051257</v>
      </c>
      <c r="V3308" s="30">
        <f t="shared" si="309"/>
        <v>0.41349917808219178</v>
      </c>
      <c r="W3308" s="46">
        <f t="shared" si="307"/>
        <v>-2.7527345458090453E-2</v>
      </c>
      <c r="X3308" s="33">
        <f t="shared" si="310"/>
        <v>2.5577291014487469E-2</v>
      </c>
    </row>
    <row r="3309" spans="19:24" x14ac:dyDescent="0.25">
      <c r="S3309" s="44">
        <f t="shared" si="305"/>
        <v>46359</v>
      </c>
      <c r="T3309" s="12">
        <f t="shared" si="306"/>
        <v>2.7500574635075052</v>
      </c>
      <c r="U3309" s="12">
        <f t="shared" si="308"/>
        <v>2.690853876680336</v>
      </c>
      <c r="V3309" s="30">
        <f t="shared" si="309"/>
        <v>0.41347178082191782</v>
      </c>
      <c r="W3309" s="46">
        <f t="shared" si="307"/>
        <v>-2.7500574635075048E-2</v>
      </c>
      <c r="X3309" s="33">
        <f t="shared" si="310"/>
        <v>2.5577249502214527E-2</v>
      </c>
    </row>
    <row r="3310" spans="19:24" x14ac:dyDescent="0.25">
      <c r="S3310" s="44">
        <f t="shared" si="305"/>
        <v>46360</v>
      </c>
      <c r="T3310" s="12">
        <f t="shared" si="306"/>
        <v>2.7473803812059638</v>
      </c>
      <c r="U3310" s="12">
        <f t="shared" si="308"/>
        <v>2.6882026999555464</v>
      </c>
      <c r="V3310" s="30">
        <f t="shared" si="309"/>
        <v>0.41344438356164381</v>
      </c>
      <c r="W3310" s="46">
        <f t="shared" si="307"/>
        <v>-2.7473803812059633E-2</v>
      </c>
      <c r="X3310" s="33">
        <f t="shared" si="310"/>
        <v>2.5577207989941581E-2</v>
      </c>
    </row>
    <row r="3311" spans="19:24" x14ac:dyDescent="0.25">
      <c r="S3311" s="44">
        <f t="shared" si="305"/>
        <v>46361</v>
      </c>
      <c r="T3311" s="12">
        <f t="shared" si="306"/>
        <v>2.7447032989044233</v>
      </c>
      <c r="U3311" s="12">
        <f t="shared" si="308"/>
        <v>2.6855515232307581</v>
      </c>
      <c r="V3311" s="30">
        <f t="shared" si="309"/>
        <v>0.41341698630136992</v>
      </c>
      <c r="W3311" s="46">
        <f t="shared" si="307"/>
        <v>-2.7447032989044228E-2</v>
      </c>
      <c r="X3311" s="33">
        <f t="shared" si="310"/>
        <v>2.5577166477668643E-2</v>
      </c>
    </row>
    <row r="3312" spans="19:24" x14ac:dyDescent="0.25">
      <c r="S3312" s="44">
        <f t="shared" si="305"/>
        <v>46362</v>
      </c>
      <c r="T3312" s="12">
        <f t="shared" si="306"/>
        <v>2.7420262166028815</v>
      </c>
      <c r="U3312" s="12">
        <f t="shared" si="308"/>
        <v>2.682900346505968</v>
      </c>
      <c r="V3312" s="30">
        <f t="shared" si="309"/>
        <v>0.41338958904109591</v>
      </c>
      <c r="W3312" s="46">
        <f t="shared" si="307"/>
        <v>-2.742026216602881E-2</v>
      </c>
      <c r="X3312" s="33">
        <f t="shared" si="310"/>
        <v>2.557712496539569E-2</v>
      </c>
    </row>
    <row r="3313" spans="19:24" x14ac:dyDescent="0.25">
      <c r="S3313" s="44">
        <f t="shared" si="305"/>
        <v>46363</v>
      </c>
      <c r="T3313" s="12">
        <f t="shared" si="306"/>
        <v>2.7393491343013401</v>
      </c>
      <c r="U3313" s="12">
        <f t="shared" si="308"/>
        <v>2.6802491697811792</v>
      </c>
      <c r="V3313" s="30">
        <f t="shared" si="309"/>
        <v>0.4133621917808219</v>
      </c>
      <c r="W3313" s="46">
        <f t="shared" si="307"/>
        <v>-2.7393491343013398E-2</v>
      </c>
      <c r="X3313" s="33">
        <f t="shared" si="310"/>
        <v>2.5577083453122748E-2</v>
      </c>
    </row>
    <row r="3314" spans="19:24" x14ac:dyDescent="0.25">
      <c r="S3314" s="44">
        <f t="shared" si="305"/>
        <v>46364</v>
      </c>
      <c r="T3314" s="12">
        <f t="shared" si="306"/>
        <v>2.7366720519997987</v>
      </c>
      <c r="U3314" s="12">
        <f t="shared" si="308"/>
        <v>2.6775979930563896</v>
      </c>
      <c r="V3314" s="30">
        <f t="shared" si="309"/>
        <v>0.413334794520548</v>
      </c>
      <c r="W3314" s="46">
        <f t="shared" si="307"/>
        <v>-2.7366720519997983E-2</v>
      </c>
      <c r="X3314" s="33">
        <f t="shared" si="310"/>
        <v>2.557704194084981E-2</v>
      </c>
    </row>
    <row r="3315" spans="19:24" x14ac:dyDescent="0.25">
      <c r="S3315" s="44">
        <f t="shared" ref="S3315:S3378" si="311">+S3314+1</f>
        <v>46365</v>
      </c>
      <c r="T3315" s="12">
        <f t="shared" ref="T3315:T3378" si="312">DurMod(S3315,B$2,$F$7:$G$37,$T$3)</f>
        <v>2.7339949696982577</v>
      </c>
      <c r="U3315" s="12">
        <f t="shared" si="308"/>
        <v>2.6749468163316008</v>
      </c>
      <c r="V3315" s="30">
        <f t="shared" si="309"/>
        <v>0.41330739726027399</v>
      </c>
      <c r="W3315" s="46">
        <f t="shared" ref="W3315:W3378" si="313">+-T3315*($U$3-$T$3)</f>
        <v>-2.7339949696982575E-2</v>
      </c>
      <c r="X3315" s="33">
        <f t="shared" si="310"/>
        <v>2.5577000428576867E-2</v>
      </c>
    </row>
    <row r="3316" spans="19:24" x14ac:dyDescent="0.25">
      <c r="S3316" s="44">
        <f t="shared" si="311"/>
        <v>46366</v>
      </c>
      <c r="T3316" s="12">
        <f t="shared" si="312"/>
        <v>2.7313178873967163</v>
      </c>
      <c r="U3316" s="12">
        <f t="shared" si="308"/>
        <v>2.6722956396068112</v>
      </c>
      <c r="V3316" s="30">
        <f t="shared" si="309"/>
        <v>0.41327999999999998</v>
      </c>
      <c r="W3316" s="46">
        <f t="shared" si="313"/>
        <v>-2.731317887396716E-2</v>
      </c>
      <c r="X3316" s="33">
        <f t="shared" si="310"/>
        <v>2.5576958916303918E-2</v>
      </c>
    </row>
    <row r="3317" spans="19:24" x14ac:dyDescent="0.25">
      <c r="S3317" s="44">
        <f t="shared" si="311"/>
        <v>46367</v>
      </c>
      <c r="T3317" s="12">
        <f t="shared" si="312"/>
        <v>2.7286408050951754</v>
      </c>
      <c r="U3317" s="12">
        <f t="shared" si="308"/>
        <v>2.669644462882022</v>
      </c>
      <c r="V3317" s="30">
        <f t="shared" si="309"/>
        <v>0.41325260273972608</v>
      </c>
      <c r="W3317" s="46">
        <f t="shared" si="313"/>
        <v>-2.7286408050951748E-2</v>
      </c>
      <c r="X3317" s="33">
        <f t="shared" si="310"/>
        <v>2.5576917404030983E-2</v>
      </c>
    </row>
    <row r="3318" spans="19:24" x14ac:dyDescent="0.25">
      <c r="S3318" s="44">
        <f t="shared" si="311"/>
        <v>46368</v>
      </c>
      <c r="T3318" s="12">
        <f t="shared" si="312"/>
        <v>2.725963722793634</v>
      </c>
      <c r="U3318" s="12">
        <f t="shared" si="308"/>
        <v>2.6669932861572323</v>
      </c>
      <c r="V3318" s="30">
        <f t="shared" si="309"/>
        <v>0.41322520547945207</v>
      </c>
      <c r="W3318" s="46">
        <f t="shared" si="313"/>
        <v>-2.7259637227936336E-2</v>
      </c>
      <c r="X3318" s="33">
        <f t="shared" si="310"/>
        <v>2.5576875891758034E-2</v>
      </c>
    </row>
    <row r="3319" spans="19:24" x14ac:dyDescent="0.25">
      <c r="S3319" s="44">
        <f t="shared" si="311"/>
        <v>46369</v>
      </c>
      <c r="T3319" s="12">
        <f t="shared" si="312"/>
        <v>2.7232866404920926</v>
      </c>
      <c r="U3319" s="12">
        <f t="shared" si="308"/>
        <v>2.664342109432444</v>
      </c>
      <c r="V3319" s="30">
        <f t="shared" si="309"/>
        <v>0.41319780821917806</v>
      </c>
      <c r="W3319" s="46">
        <f t="shared" si="313"/>
        <v>-2.7232866404920921E-2</v>
      </c>
      <c r="X3319" s="33">
        <f t="shared" si="310"/>
        <v>2.5576834379485089E-2</v>
      </c>
    </row>
    <row r="3320" spans="19:24" x14ac:dyDescent="0.25">
      <c r="S3320" s="44">
        <f t="shared" si="311"/>
        <v>46370</v>
      </c>
      <c r="T3320" s="12">
        <f t="shared" si="312"/>
        <v>2.7206095581905525</v>
      </c>
      <c r="U3320" s="12">
        <f t="shared" si="308"/>
        <v>2.6616909327076534</v>
      </c>
      <c r="V3320" s="30">
        <f t="shared" si="309"/>
        <v>0.41317041095890411</v>
      </c>
      <c r="W3320" s="46">
        <f t="shared" si="313"/>
        <v>-2.720609558190552E-2</v>
      </c>
      <c r="X3320" s="33">
        <f t="shared" si="310"/>
        <v>2.5576792867212147E-2</v>
      </c>
    </row>
    <row r="3321" spans="19:24" x14ac:dyDescent="0.25">
      <c r="S3321" s="44">
        <f t="shared" si="311"/>
        <v>46371</v>
      </c>
      <c r="T3321" s="12">
        <f t="shared" si="312"/>
        <v>2.9931704508583601</v>
      </c>
      <c r="U3321" s="12">
        <f t="shared" si="308"/>
        <v>2.9364164285376999</v>
      </c>
      <c r="V3321" s="30">
        <f t="shared" si="309"/>
        <v>0.41314301369863016</v>
      </c>
      <c r="W3321" s="46">
        <f t="shared" si="313"/>
        <v>-2.9931704508583595E-2</v>
      </c>
      <c r="X3321" s="33">
        <f t="shared" si="310"/>
        <v>2.5394358724467502E-2</v>
      </c>
    </row>
    <row r="3322" spans="19:24" x14ac:dyDescent="0.25">
      <c r="S3322" s="44">
        <f t="shared" si="311"/>
        <v>46372</v>
      </c>
      <c r="T3322" s="12">
        <f t="shared" si="312"/>
        <v>2.9904933685568196</v>
      </c>
      <c r="U3322" s="12">
        <f t="shared" si="308"/>
        <v>2.9337652518129103</v>
      </c>
      <c r="V3322" s="30">
        <f t="shared" si="309"/>
        <v>0.41311561643835615</v>
      </c>
      <c r="W3322" s="46">
        <f t="shared" si="313"/>
        <v>-2.9904933685568191E-2</v>
      </c>
      <c r="X3322" s="33">
        <f t="shared" si="310"/>
        <v>2.5394317212194553E-2</v>
      </c>
    </row>
    <row r="3323" spans="19:24" x14ac:dyDescent="0.25">
      <c r="S3323" s="44">
        <f t="shared" si="311"/>
        <v>46373</v>
      </c>
      <c r="T3323" s="12">
        <f t="shared" si="312"/>
        <v>2.9878162862552782</v>
      </c>
      <c r="U3323" s="12">
        <f t="shared" si="308"/>
        <v>2.9311140750881215</v>
      </c>
      <c r="V3323" s="30">
        <f t="shared" si="309"/>
        <v>0.41308821917808225</v>
      </c>
      <c r="W3323" s="46">
        <f t="shared" si="313"/>
        <v>-2.9878162862552776E-2</v>
      </c>
      <c r="X3323" s="33">
        <f t="shared" si="310"/>
        <v>2.5394275699921618E-2</v>
      </c>
    </row>
    <row r="3324" spans="19:24" x14ac:dyDescent="0.25">
      <c r="S3324" s="44">
        <f t="shared" si="311"/>
        <v>46374</v>
      </c>
      <c r="T3324" s="12">
        <f t="shared" si="312"/>
        <v>2.9851392039537377</v>
      </c>
      <c r="U3324" s="12">
        <f t="shared" si="308"/>
        <v>2.9284628983633314</v>
      </c>
      <c r="V3324" s="30">
        <f t="shared" si="309"/>
        <v>0.41306082191780824</v>
      </c>
      <c r="W3324" s="46">
        <f t="shared" si="313"/>
        <v>-2.9851392039537371E-2</v>
      </c>
      <c r="X3324" s="33">
        <f t="shared" si="310"/>
        <v>2.5394234187648669E-2</v>
      </c>
    </row>
    <row r="3325" spans="19:24" x14ac:dyDescent="0.25">
      <c r="S3325" s="44">
        <f t="shared" si="311"/>
        <v>46375</v>
      </c>
      <c r="T3325" s="12">
        <f t="shared" si="312"/>
        <v>2.9824621216521954</v>
      </c>
      <c r="U3325" s="12">
        <f t="shared" si="308"/>
        <v>2.9258117216385422</v>
      </c>
      <c r="V3325" s="30">
        <f t="shared" si="309"/>
        <v>0.41303342465753423</v>
      </c>
      <c r="W3325" s="46">
        <f t="shared" si="313"/>
        <v>-2.9824621216521949E-2</v>
      </c>
      <c r="X3325" s="33">
        <f t="shared" si="310"/>
        <v>2.5394192675375724E-2</v>
      </c>
    </row>
    <row r="3326" spans="19:24" x14ac:dyDescent="0.25">
      <c r="S3326" s="44">
        <f t="shared" si="311"/>
        <v>46376</v>
      </c>
      <c r="T3326" s="12">
        <f t="shared" si="312"/>
        <v>2.9797850393506553</v>
      </c>
      <c r="U3326" s="12">
        <f t="shared" si="308"/>
        <v>2.9231605449137525</v>
      </c>
      <c r="V3326" s="30">
        <f t="shared" si="309"/>
        <v>0.41300602739726028</v>
      </c>
      <c r="W3326" s="46">
        <f t="shared" si="313"/>
        <v>-2.9797850393506548E-2</v>
      </c>
      <c r="X3326" s="33">
        <f t="shared" si="310"/>
        <v>2.5394151163102782E-2</v>
      </c>
    </row>
    <row r="3327" spans="19:24" x14ac:dyDescent="0.25">
      <c r="S3327" s="44">
        <f t="shared" si="311"/>
        <v>46377</v>
      </c>
      <c r="T3327" s="12">
        <f t="shared" si="312"/>
        <v>2.977107957049113</v>
      </c>
      <c r="U3327" s="12">
        <f t="shared" si="308"/>
        <v>2.9205093681889642</v>
      </c>
      <c r="V3327" s="30">
        <f t="shared" si="309"/>
        <v>0.41297863013698632</v>
      </c>
      <c r="W3327" s="46">
        <f t="shared" si="313"/>
        <v>-2.9771079570491125E-2</v>
      </c>
      <c r="X3327" s="33">
        <f t="shared" si="310"/>
        <v>2.5394109650829839E-2</v>
      </c>
    </row>
    <row r="3328" spans="19:24" x14ac:dyDescent="0.25">
      <c r="S3328" s="44">
        <f t="shared" si="311"/>
        <v>46378</v>
      </c>
      <c r="T3328" s="12">
        <f t="shared" si="312"/>
        <v>2.9744308747475721</v>
      </c>
      <c r="U3328" s="12">
        <f t="shared" si="308"/>
        <v>2.9178581914641746</v>
      </c>
      <c r="V3328" s="30">
        <f t="shared" si="309"/>
        <v>0.41295123287671232</v>
      </c>
      <c r="W3328" s="46">
        <f t="shared" si="313"/>
        <v>-2.9744308747475717E-2</v>
      </c>
      <c r="X3328" s="33">
        <f t="shared" si="310"/>
        <v>2.539406813855689E-2</v>
      </c>
    </row>
    <row r="3329" spans="19:24" x14ac:dyDescent="0.25">
      <c r="S3329" s="44">
        <f t="shared" si="311"/>
        <v>46379</v>
      </c>
      <c r="T3329" s="12">
        <f t="shared" si="312"/>
        <v>2.9717537924460311</v>
      </c>
      <c r="U3329" s="12">
        <f t="shared" si="308"/>
        <v>2.9152070147393854</v>
      </c>
      <c r="V3329" s="30">
        <f t="shared" si="309"/>
        <v>0.41292383561643836</v>
      </c>
      <c r="W3329" s="46">
        <f t="shared" si="313"/>
        <v>-2.9717537924460306E-2</v>
      </c>
      <c r="X3329" s="33">
        <f t="shared" si="310"/>
        <v>2.5394026626283948E-2</v>
      </c>
    </row>
    <row r="3330" spans="19:24" x14ac:dyDescent="0.25">
      <c r="S3330" s="44">
        <f t="shared" si="311"/>
        <v>46380</v>
      </c>
      <c r="T3330" s="12">
        <f t="shared" si="312"/>
        <v>2.9690767101444897</v>
      </c>
      <c r="U3330" s="12">
        <f t="shared" si="308"/>
        <v>2.9125558380145962</v>
      </c>
      <c r="V3330" s="30">
        <f t="shared" si="309"/>
        <v>0.41289643835616441</v>
      </c>
      <c r="W3330" s="46">
        <f t="shared" si="313"/>
        <v>-2.9690767101444894E-2</v>
      </c>
      <c r="X3330" s="33">
        <f t="shared" si="310"/>
        <v>2.5393985114011006E-2</v>
      </c>
    </row>
    <row r="3331" spans="19:24" x14ac:dyDescent="0.25">
      <c r="S3331" s="44">
        <f t="shared" si="311"/>
        <v>46381</v>
      </c>
      <c r="T3331" s="12">
        <f t="shared" si="312"/>
        <v>2.9663996278429487</v>
      </c>
      <c r="U3331" s="12">
        <f t="shared" si="308"/>
        <v>2.9099046612898074</v>
      </c>
      <c r="V3331" s="30">
        <f t="shared" si="309"/>
        <v>0.4128690410958904</v>
      </c>
      <c r="W3331" s="46">
        <f t="shared" si="313"/>
        <v>-2.9663996278429482E-2</v>
      </c>
      <c r="X3331" s="33">
        <f t="shared" si="310"/>
        <v>2.5393943601738061E-2</v>
      </c>
    </row>
    <row r="3332" spans="19:24" x14ac:dyDescent="0.25">
      <c r="S3332" s="44">
        <f t="shared" si="311"/>
        <v>46382</v>
      </c>
      <c r="T3332" s="12">
        <f t="shared" si="312"/>
        <v>2.9637225455414082</v>
      </c>
      <c r="U3332" s="12">
        <f t="shared" si="308"/>
        <v>2.9072534845650173</v>
      </c>
      <c r="V3332" s="30">
        <f t="shared" si="309"/>
        <v>0.41284164383561645</v>
      </c>
      <c r="W3332" s="46">
        <f t="shared" si="313"/>
        <v>-2.9637225455414078E-2</v>
      </c>
      <c r="X3332" s="33">
        <f t="shared" si="310"/>
        <v>2.5393902089465119E-2</v>
      </c>
    </row>
    <row r="3333" spans="19:24" x14ac:dyDescent="0.25">
      <c r="S3333" s="44">
        <f t="shared" si="311"/>
        <v>46383</v>
      </c>
      <c r="T3333" s="12">
        <f t="shared" si="312"/>
        <v>2.9610454632398659</v>
      </c>
      <c r="U3333" s="12">
        <f t="shared" ref="U3333:U3396" si="314">DurMod($S3333,$B$2,$F$7:$G$37,U$3)</f>
        <v>2.9046023078402281</v>
      </c>
      <c r="V3333" s="30">
        <f t="shared" ref="V3333:V3396" si="315">+$U$3*($S$5512-S3333)/365+$T$3*(S3333-$S$4)/365</f>
        <v>0.41281424657534249</v>
      </c>
      <c r="W3333" s="46">
        <f t="shared" si="313"/>
        <v>-2.9610454632398656E-2</v>
      </c>
      <c r="X3333" s="33">
        <f t="shared" ref="X3333:X3396" si="316">+(V3333+W3333)*365/($S$5512-$S$4)</f>
        <v>2.5393860577192177E-2</v>
      </c>
    </row>
    <row r="3334" spans="19:24" x14ac:dyDescent="0.25">
      <c r="S3334" s="44">
        <f t="shared" si="311"/>
        <v>46384</v>
      </c>
      <c r="T3334" s="12">
        <f t="shared" si="312"/>
        <v>2.9583683809383245</v>
      </c>
      <c r="U3334" s="12">
        <f t="shared" si="314"/>
        <v>2.9019511311154389</v>
      </c>
      <c r="V3334" s="30">
        <f t="shared" si="315"/>
        <v>0.41278684931506848</v>
      </c>
      <c r="W3334" s="46">
        <f t="shared" si="313"/>
        <v>-2.958368380938324E-2</v>
      </c>
      <c r="X3334" s="33">
        <f t="shared" si="316"/>
        <v>2.5393819064919228E-2</v>
      </c>
    </row>
    <row r="3335" spans="19:24" x14ac:dyDescent="0.25">
      <c r="S3335" s="44">
        <f t="shared" si="311"/>
        <v>46385</v>
      </c>
      <c r="T3335" s="12">
        <f t="shared" si="312"/>
        <v>2.9556912986367831</v>
      </c>
      <c r="U3335" s="12">
        <f t="shared" si="314"/>
        <v>2.8992999543906492</v>
      </c>
      <c r="V3335" s="30">
        <f t="shared" si="315"/>
        <v>0.41275945205479453</v>
      </c>
      <c r="W3335" s="46">
        <f t="shared" si="313"/>
        <v>-2.9556912986367825E-2</v>
      </c>
      <c r="X3335" s="33">
        <f t="shared" si="316"/>
        <v>2.5393777552646286E-2</v>
      </c>
    </row>
    <row r="3336" spans="19:24" x14ac:dyDescent="0.25">
      <c r="S3336" s="44">
        <f t="shared" si="311"/>
        <v>46386</v>
      </c>
      <c r="T3336" s="12">
        <f t="shared" si="312"/>
        <v>2.9530142163352422</v>
      </c>
      <c r="U3336" s="12">
        <f t="shared" si="314"/>
        <v>2.89664877766586</v>
      </c>
      <c r="V3336" s="30">
        <f t="shared" si="315"/>
        <v>0.41273205479452052</v>
      </c>
      <c r="W3336" s="46">
        <f t="shared" si="313"/>
        <v>-2.9530142163352417E-2</v>
      </c>
      <c r="X3336" s="33">
        <f t="shared" si="316"/>
        <v>2.539373604037334E-2</v>
      </c>
    </row>
    <row r="3337" spans="19:24" x14ac:dyDescent="0.25">
      <c r="S3337" s="44">
        <f t="shared" si="311"/>
        <v>46387</v>
      </c>
      <c r="T3337" s="12">
        <f t="shared" si="312"/>
        <v>2.9503371340337008</v>
      </c>
      <c r="U3337" s="12">
        <f t="shared" si="314"/>
        <v>2.8939976009410713</v>
      </c>
      <c r="V3337" s="30">
        <f t="shared" si="315"/>
        <v>0.41270465753424657</v>
      </c>
      <c r="W3337" s="46">
        <f t="shared" si="313"/>
        <v>-2.9503371340337002E-2</v>
      </c>
      <c r="X3337" s="33">
        <f t="shared" si="316"/>
        <v>2.5393694528100398E-2</v>
      </c>
    </row>
    <row r="3338" spans="19:24" x14ac:dyDescent="0.25">
      <c r="S3338" s="44">
        <f t="shared" si="311"/>
        <v>46388</v>
      </c>
      <c r="T3338" s="12">
        <f t="shared" si="312"/>
        <v>2.9476600517321594</v>
      </c>
      <c r="U3338" s="12">
        <f t="shared" si="314"/>
        <v>2.8913464242162812</v>
      </c>
      <c r="V3338" s="30">
        <f t="shared" si="315"/>
        <v>0.41267726027397256</v>
      </c>
      <c r="W3338" s="46">
        <f t="shared" si="313"/>
        <v>-2.947660051732159E-2</v>
      </c>
      <c r="X3338" s="33">
        <f t="shared" si="316"/>
        <v>2.5393653015827453E-2</v>
      </c>
    </row>
    <row r="3339" spans="19:24" x14ac:dyDescent="0.25">
      <c r="S3339" s="44">
        <f t="shared" si="311"/>
        <v>46389</v>
      </c>
      <c r="T3339" s="12">
        <f t="shared" si="312"/>
        <v>2.9449829694306189</v>
      </c>
      <c r="U3339" s="12">
        <f t="shared" si="314"/>
        <v>2.8886952474914924</v>
      </c>
      <c r="V3339" s="30">
        <f t="shared" si="315"/>
        <v>0.41264986301369866</v>
      </c>
      <c r="W3339" s="46">
        <f t="shared" si="313"/>
        <v>-2.9449829694306186E-2</v>
      </c>
      <c r="X3339" s="33">
        <f t="shared" si="316"/>
        <v>2.5393611503554511E-2</v>
      </c>
    </row>
    <row r="3340" spans="19:24" x14ac:dyDescent="0.25">
      <c r="S3340" s="44">
        <f t="shared" si="311"/>
        <v>46390</v>
      </c>
      <c r="T3340" s="12">
        <f t="shared" si="312"/>
        <v>2.9423058871290775</v>
      </c>
      <c r="U3340" s="12">
        <f t="shared" si="314"/>
        <v>2.8860440707667023</v>
      </c>
      <c r="V3340" s="30">
        <f t="shared" si="315"/>
        <v>0.41262246575342465</v>
      </c>
      <c r="W3340" s="46">
        <f t="shared" si="313"/>
        <v>-2.9423058871290771E-2</v>
      </c>
      <c r="X3340" s="33">
        <f t="shared" si="316"/>
        <v>2.5393569991281568E-2</v>
      </c>
    </row>
    <row r="3341" spans="19:24" x14ac:dyDescent="0.25">
      <c r="S3341" s="44">
        <f t="shared" si="311"/>
        <v>46391</v>
      </c>
      <c r="T3341" s="12">
        <f t="shared" si="312"/>
        <v>2.9396288048275365</v>
      </c>
      <c r="U3341" s="12">
        <f t="shared" si="314"/>
        <v>2.8833928940419131</v>
      </c>
      <c r="V3341" s="30">
        <f t="shared" si="315"/>
        <v>0.4125950684931507</v>
      </c>
      <c r="W3341" s="46">
        <f t="shared" si="313"/>
        <v>-2.9396288048275362E-2</v>
      </c>
      <c r="X3341" s="33">
        <f t="shared" si="316"/>
        <v>2.539352847900862E-2</v>
      </c>
    </row>
    <row r="3342" spans="19:24" x14ac:dyDescent="0.25">
      <c r="S3342" s="44">
        <f t="shared" si="311"/>
        <v>46392</v>
      </c>
      <c r="T3342" s="12">
        <f t="shared" si="312"/>
        <v>2.9369517225259951</v>
      </c>
      <c r="U3342" s="12">
        <f t="shared" si="314"/>
        <v>2.8807417173171248</v>
      </c>
      <c r="V3342" s="30">
        <f t="shared" si="315"/>
        <v>0.41256767123287669</v>
      </c>
      <c r="W3342" s="46">
        <f t="shared" si="313"/>
        <v>-2.9369517225259947E-2</v>
      </c>
      <c r="X3342" s="33">
        <f t="shared" si="316"/>
        <v>2.5393486966735677E-2</v>
      </c>
    </row>
    <row r="3343" spans="19:24" x14ac:dyDescent="0.25">
      <c r="S3343" s="44">
        <f t="shared" si="311"/>
        <v>46393</v>
      </c>
      <c r="T3343" s="12">
        <f t="shared" si="312"/>
        <v>2.9342746402244542</v>
      </c>
      <c r="U3343" s="12">
        <f t="shared" si="314"/>
        <v>2.8780905405923352</v>
      </c>
      <c r="V3343" s="30">
        <f t="shared" si="315"/>
        <v>0.41254027397260273</v>
      </c>
      <c r="W3343" s="46">
        <f t="shared" si="313"/>
        <v>-2.9342746402244536E-2</v>
      </c>
      <c r="X3343" s="33">
        <f t="shared" si="316"/>
        <v>2.5393445454462735E-2</v>
      </c>
    </row>
    <row r="3344" spans="19:24" x14ac:dyDescent="0.25">
      <c r="S3344" s="44">
        <f t="shared" si="311"/>
        <v>46394</v>
      </c>
      <c r="T3344" s="12">
        <f t="shared" si="312"/>
        <v>2.9315975579229128</v>
      </c>
      <c r="U3344" s="12">
        <f t="shared" si="314"/>
        <v>2.8754393638675459</v>
      </c>
      <c r="V3344" s="30">
        <f t="shared" si="315"/>
        <v>0.41251287671232872</v>
      </c>
      <c r="W3344" s="46">
        <f t="shared" si="313"/>
        <v>-2.9315975579229124E-2</v>
      </c>
      <c r="X3344" s="33">
        <f t="shared" si="316"/>
        <v>2.539340394218979E-2</v>
      </c>
    </row>
    <row r="3345" spans="19:24" x14ac:dyDescent="0.25">
      <c r="S3345" s="44">
        <f t="shared" si="311"/>
        <v>46395</v>
      </c>
      <c r="T3345" s="12">
        <f t="shared" si="312"/>
        <v>2.9289204756213714</v>
      </c>
      <c r="U3345" s="12">
        <f t="shared" si="314"/>
        <v>2.8727881871427567</v>
      </c>
      <c r="V3345" s="30">
        <f t="shared" si="315"/>
        <v>0.41248547945205477</v>
      </c>
      <c r="W3345" s="46">
        <f t="shared" si="313"/>
        <v>-2.9289204756213709E-2</v>
      </c>
      <c r="X3345" s="33">
        <f t="shared" si="316"/>
        <v>2.5393362429916848E-2</v>
      </c>
    </row>
    <row r="3346" spans="19:24" x14ac:dyDescent="0.25">
      <c r="S3346" s="44">
        <f t="shared" si="311"/>
        <v>46396</v>
      </c>
      <c r="T3346" s="12">
        <f t="shared" si="312"/>
        <v>2.92624339331983</v>
      </c>
      <c r="U3346" s="12">
        <f t="shared" si="314"/>
        <v>2.8701370104179675</v>
      </c>
      <c r="V3346" s="30">
        <f t="shared" si="315"/>
        <v>0.41245808219178082</v>
      </c>
      <c r="W3346" s="46">
        <f t="shared" si="313"/>
        <v>-2.9262433933198294E-2</v>
      </c>
      <c r="X3346" s="33">
        <f t="shared" si="316"/>
        <v>2.5393320917643906E-2</v>
      </c>
    </row>
    <row r="3347" spans="19:24" x14ac:dyDescent="0.25">
      <c r="S3347" s="44">
        <f t="shared" si="311"/>
        <v>46397</v>
      </c>
      <c r="T3347" s="12">
        <f t="shared" si="312"/>
        <v>2.9235663110182895</v>
      </c>
      <c r="U3347" s="12">
        <f t="shared" si="314"/>
        <v>2.8674858336931774</v>
      </c>
      <c r="V3347" s="30">
        <f t="shared" si="315"/>
        <v>0.41243068493150681</v>
      </c>
      <c r="W3347" s="46">
        <f t="shared" si="313"/>
        <v>-2.9235663110182889E-2</v>
      </c>
      <c r="X3347" s="33">
        <f t="shared" si="316"/>
        <v>2.5393279405370957E-2</v>
      </c>
    </row>
    <row r="3348" spans="19:24" x14ac:dyDescent="0.25">
      <c r="S3348" s="44">
        <f t="shared" si="311"/>
        <v>46398</v>
      </c>
      <c r="T3348" s="12">
        <f t="shared" si="312"/>
        <v>2.9208892287167481</v>
      </c>
      <c r="U3348" s="12">
        <f t="shared" si="314"/>
        <v>2.8648346569683882</v>
      </c>
      <c r="V3348" s="30">
        <f t="shared" si="315"/>
        <v>0.41240328767123285</v>
      </c>
      <c r="W3348" s="46">
        <f t="shared" si="313"/>
        <v>-2.9208892287167477E-2</v>
      </c>
      <c r="X3348" s="33">
        <f t="shared" si="316"/>
        <v>2.5393237893098011E-2</v>
      </c>
    </row>
    <row r="3349" spans="19:24" x14ac:dyDescent="0.25">
      <c r="S3349" s="44">
        <f t="shared" si="311"/>
        <v>46399</v>
      </c>
      <c r="T3349" s="12">
        <f t="shared" si="312"/>
        <v>2.9182121464152071</v>
      </c>
      <c r="U3349" s="12">
        <f t="shared" si="314"/>
        <v>2.8621834802435999</v>
      </c>
      <c r="V3349" s="30">
        <f t="shared" si="315"/>
        <v>0.4123758904109589</v>
      </c>
      <c r="W3349" s="46">
        <f t="shared" si="313"/>
        <v>-2.9182121464152066E-2</v>
      </c>
      <c r="X3349" s="33">
        <f t="shared" si="316"/>
        <v>2.5393196380825073E-2</v>
      </c>
    </row>
    <row r="3350" spans="19:24" x14ac:dyDescent="0.25">
      <c r="S3350" s="44">
        <f t="shared" si="311"/>
        <v>46400</v>
      </c>
      <c r="T3350" s="12">
        <f t="shared" si="312"/>
        <v>2.9155350641136657</v>
      </c>
      <c r="U3350" s="12">
        <f t="shared" si="314"/>
        <v>2.8595323035188098</v>
      </c>
      <c r="V3350" s="30">
        <f t="shared" si="315"/>
        <v>0.41234849315068489</v>
      </c>
      <c r="W3350" s="46">
        <f t="shared" si="313"/>
        <v>-2.9155350641136654E-2</v>
      </c>
      <c r="X3350" s="33">
        <f t="shared" si="316"/>
        <v>2.5393154868552127E-2</v>
      </c>
    </row>
    <row r="3351" spans="19:24" x14ac:dyDescent="0.25">
      <c r="S3351" s="44">
        <f t="shared" si="311"/>
        <v>46401</v>
      </c>
      <c r="T3351" s="12">
        <f t="shared" si="312"/>
        <v>2.9128579818121243</v>
      </c>
      <c r="U3351" s="12">
        <f t="shared" si="314"/>
        <v>2.8568811267940206</v>
      </c>
      <c r="V3351" s="30">
        <f t="shared" si="315"/>
        <v>0.41232109589041094</v>
      </c>
      <c r="W3351" s="46">
        <f t="shared" si="313"/>
        <v>-2.9128579818121239E-2</v>
      </c>
      <c r="X3351" s="33">
        <f t="shared" si="316"/>
        <v>2.5393113356279185E-2</v>
      </c>
    </row>
    <row r="3352" spans="19:24" x14ac:dyDescent="0.25">
      <c r="S3352" s="44">
        <f t="shared" si="311"/>
        <v>46402</v>
      </c>
      <c r="T3352" s="12">
        <f t="shared" si="312"/>
        <v>2.9101808995105833</v>
      </c>
      <c r="U3352" s="12">
        <f t="shared" si="314"/>
        <v>2.8542299500692319</v>
      </c>
      <c r="V3352" s="30">
        <f t="shared" si="315"/>
        <v>0.41229369863013698</v>
      </c>
      <c r="W3352" s="46">
        <f t="shared" si="313"/>
        <v>-2.9101808995105827E-2</v>
      </c>
      <c r="X3352" s="33">
        <f t="shared" si="316"/>
        <v>2.5393071844006236E-2</v>
      </c>
    </row>
    <row r="3353" spans="19:24" x14ac:dyDescent="0.25">
      <c r="S3353" s="44">
        <f t="shared" si="311"/>
        <v>46403</v>
      </c>
      <c r="T3353" s="12">
        <f t="shared" si="312"/>
        <v>2.9075038172090415</v>
      </c>
      <c r="U3353" s="12">
        <f t="shared" si="314"/>
        <v>2.8515787733444422</v>
      </c>
      <c r="V3353" s="30">
        <f t="shared" si="315"/>
        <v>0.41226630136986303</v>
      </c>
      <c r="W3353" s="46">
        <f t="shared" si="313"/>
        <v>-2.9075038172090409E-2</v>
      </c>
      <c r="X3353" s="33">
        <f t="shared" si="316"/>
        <v>2.5393030331733301E-2</v>
      </c>
    </row>
    <row r="3354" spans="19:24" x14ac:dyDescent="0.25">
      <c r="S3354" s="44">
        <f t="shared" si="311"/>
        <v>46404</v>
      </c>
      <c r="T3354" s="12">
        <f t="shared" si="312"/>
        <v>2.904826734907501</v>
      </c>
      <c r="U3354" s="12">
        <f t="shared" si="314"/>
        <v>2.8489275966196526</v>
      </c>
      <c r="V3354" s="30">
        <f t="shared" si="315"/>
        <v>0.41223890410958908</v>
      </c>
      <c r="W3354" s="46">
        <f t="shared" si="313"/>
        <v>-2.9048267349075004E-2</v>
      </c>
      <c r="X3354" s="33">
        <f t="shared" si="316"/>
        <v>2.5392988819460352E-2</v>
      </c>
    </row>
    <row r="3355" spans="19:24" x14ac:dyDescent="0.25">
      <c r="S3355" s="44">
        <f t="shared" si="311"/>
        <v>46405</v>
      </c>
      <c r="T3355" s="12">
        <f t="shared" si="312"/>
        <v>2.9021496526059596</v>
      </c>
      <c r="U3355" s="12">
        <f t="shared" si="314"/>
        <v>2.8462764198948634</v>
      </c>
      <c r="V3355" s="30">
        <f t="shared" si="315"/>
        <v>0.41221150684931507</v>
      </c>
      <c r="W3355" s="46">
        <f t="shared" si="313"/>
        <v>-2.9021496526059593E-2</v>
      </c>
      <c r="X3355" s="33">
        <f t="shared" si="316"/>
        <v>2.539294730718741E-2</v>
      </c>
    </row>
    <row r="3356" spans="19:24" x14ac:dyDescent="0.25">
      <c r="S3356" s="44">
        <f t="shared" si="311"/>
        <v>46406</v>
      </c>
      <c r="T3356" s="12">
        <f t="shared" si="312"/>
        <v>2.8994725703044182</v>
      </c>
      <c r="U3356" s="12">
        <f t="shared" si="314"/>
        <v>2.8436252431700741</v>
      </c>
      <c r="V3356" s="30">
        <f t="shared" si="315"/>
        <v>0.41218410958904111</v>
      </c>
      <c r="W3356" s="46">
        <f t="shared" si="313"/>
        <v>-2.8994725703044177E-2</v>
      </c>
      <c r="X3356" s="33">
        <f t="shared" si="316"/>
        <v>2.5392905794914464E-2</v>
      </c>
    </row>
    <row r="3357" spans="19:24" x14ac:dyDescent="0.25">
      <c r="S3357" s="44">
        <f t="shared" si="311"/>
        <v>46407</v>
      </c>
      <c r="T3357" s="12">
        <f t="shared" si="312"/>
        <v>2.8967954880028777</v>
      </c>
      <c r="U3357" s="12">
        <f t="shared" si="314"/>
        <v>2.8409740664452849</v>
      </c>
      <c r="V3357" s="30">
        <f t="shared" si="315"/>
        <v>0.41215671232876716</v>
      </c>
      <c r="W3357" s="46">
        <f t="shared" si="313"/>
        <v>-2.8967954880028773E-2</v>
      </c>
      <c r="X3357" s="33">
        <f t="shared" si="316"/>
        <v>2.5392864282641522E-2</v>
      </c>
    </row>
    <row r="3358" spans="19:24" x14ac:dyDescent="0.25">
      <c r="S3358" s="44">
        <f t="shared" si="311"/>
        <v>46408</v>
      </c>
      <c r="T3358" s="12">
        <f t="shared" si="312"/>
        <v>2.8941184057013367</v>
      </c>
      <c r="U3358" s="12">
        <f t="shared" si="314"/>
        <v>2.8383228897204953</v>
      </c>
      <c r="V3358" s="30">
        <f t="shared" si="315"/>
        <v>0.41212931506849315</v>
      </c>
      <c r="W3358" s="46">
        <f t="shared" si="313"/>
        <v>-2.8941184057013361E-2</v>
      </c>
      <c r="X3358" s="33">
        <f t="shared" si="316"/>
        <v>2.539282277036858E-2</v>
      </c>
    </row>
    <row r="3359" spans="19:24" x14ac:dyDescent="0.25">
      <c r="S3359" s="44">
        <f t="shared" si="311"/>
        <v>46409</v>
      </c>
      <c r="T3359" s="12">
        <f t="shared" si="312"/>
        <v>2.8914413233997949</v>
      </c>
      <c r="U3359" s="12">
        <f t="shared" si="314"/>
        <v>2.8356717129957061</v>
      </c>
      <c r="V3359" s="30">
        <f t="shared" si="315"/>
        <v>0.4121019178082192</v>
      </c>
      <c r="W3359" s="46">
        <f t="shared" si="313"/>
        <v>-2.8914413233997946E-2</v>
      </c>
      <c r="X3359" s="33">
        <f t="shared" si="316"/>
        <v>2.5392781258095635E-2</v>
      </c>
    </row>
    <row r="3360" spans="19:24" x14ac:dyDescent="0.25">
      <c r="S3360" s="44">
        <f t="shared" si="311"/>
        <v>46410</v>
      </c>
      <c r="T3360" s="12">
        <f t="shared" si="312"/>
        <v>2.888764241098253</v>
      </c>
      <c r="U3360" s="12">
        <f t="shared" si="314"/>
        <v>2.8330205362709164</v>
      </c>
      <c r="V3360" s="30">
        <f t="shared" si="315"/>
        <v>0.41207452054794524</v>
      </c>
      <c r="W3360" s="46">
        <f t="shared" si="313"/>
        <v>-2.8887642410982527E-2</v>
      </c>
      <c r="X3360" s="33">
        <f t="shared" si="316"/>
        <v>2.5392739745822693E-2</v>
      </c>
    </row>
    <row r="3361" spans="19:24" x14ac:dyDescent="0.25">
      <c r="S3361" s="44">
        <f t="shared" si="311"/>
        <v>46411</v>
      </c>
      <c r="T3361" s="12">
        <f t="shared" si="312"/>
        <v>2.8860871587967121</v>
      </c>
      <c r="U3361" s="12">
        <f t="shared" si="314"/>
        <v>2.8303693595461277</v>
      </c>
      <c r="V3361" s="30">
        <f t="shared" si="315"/>
        <v>0.41204712328767124</v>
      </c>
      <c r="W3361" s="46">
        <f t="shared" si="313"/>
        <v>-2.8860871587967116E-2</v>
      </c>
      <c r="X3361" s="33">
        <f t="shared" si="316"/>
        <v>2.5392698233549744E-2</v>
      </c>
    </row>
    <row r="3362" spans="19:24" x14ac:dyDescent="0.25">
      <c r="S3362" s="44">
        <f t="shared" si="311"/>
        <v>46412</v>
      </c>
      <c r="T3362" s="12">
        <f t="shared" si="312"/>
        <v>2.8834100764951716</v>
      </c>
      <c r="U3362" s="12">
        <f t="shared" si="314"/>
        <v>2.8277181828213385</v>
      </c>
      <c r="V3362" s="30">
        <f t="shared" si="315"/>
        <v>0.41201972602739728</v>
      </c>
      <c r="W3362" s="46">
        <f t="shared" si="313"/>
        <v>-2.8834100764951711E-2</v>
      </c>
      <c r="X3362" s="33">
        <f t="shared" si="316"/>
        <v>2.5392656721276809E-2</v>
      </c>
    </row>
    <row r="3363" spans="19:24" x14ac:dyDescent="0.25">
      <c r="S3363" s="44">
        <f t="shared" si="311"/>
        <v>46413</v>
      </c>
      <c r="T3363" s="12">
        <f t="shared" si="312"/>
        <v>2.8807329941936306</v>
      </c>
      <c r="U3363" s="12">
        <f t="shared" si="314"/>
        <v>2.8250670060965488</v>
      </c>
      <c r="V3363" s="30">
        <f t="shared" si="315"/>
        <v>0.41199232876712333</v>
      </c>
      <c r="W3363" s="46">
        <f t="shared" si="313"/>
        <v>-2.8807329941936303E-2</v>
      </c>
      <c r="X3363" s="33">
        <f t="shared" si="316"/>
        <v>2.539261520900386E-2</v>
      </c>
    </row>
    <row r="3364" spans="19:24" x14ac:dyDescent="0.25">
      <c r="S3364" s="44">
        <f t="shared" si="311"/>
        <v>46414</v>
      </c>
      <c r="T3364" s="12">
        <f t="shared" si="312"/>
        <v>2.8780559118920879</v>
      </c>
      <c r="U3364" s="12">
        <f t="shared" si="314"/>
        <v>2.8224158293717592</v>
      </c>
      <c r="V3364" s="30">
        <f t="shared" si="315"/>
        <v>0.41196493150684932</v>
      </c>
      <c r="W3364" s="46">
        <f t="shared" si="313"/>
        <v>-2.8780559118920874E-2</v>
      </c>
      <c r="X3364" s="33">
        <f t="shared" si="316"/>
        <v>2.5392573696730918E-2</v>
      </c>
    </row>
    <row r="3365" spans="19:24" x14ac:dyDescent="0.25">
      <c r="S3365" s="44">
        <f t="shared" si="311"/>
        <v>46415</v>
      </c>
      <c r="T3365" s="12">
        <f t="shared" si="312"/>
        <v>2.8753788295905478</v>
      </c>
      <c r="U3365" s="12">
        <f t="shared" si="314"/>
        <v>2.8197646526469704</v>
      </c>
      <c r="V3365" s="30">
        <f t="shared" si="315"/>
        <v>0.41193753424657537</v>
      </c>
      <c r="W3365" s="46">
        <f t="shared" si="313"/>
        <v>-2.8753788295905473E-2</v>
      </c>
      <c r="X3365" s="33">
        <f t="shared" si="316"/>
        <v>2.5392532184457972E-2</v>
      </c>
    </row>
    <row r="3366" spans="19:24" x14ac:dyDescent="0.25">
      <c r="S3366" s="44">
        <f t="shared" si="311"/>
        <v>46416</v>
      </c>
      <c r="T3366" s="12">
        <f t="shared" si="312"/>
        <v>2.8727017472890064</v>
      </c>
      <c r="U3366" s="12">
        <f t="shared" si="314"/>
        <v>2.8171134759221812</v>
      </c>
      <c r="V3366" s="30">
        <f t="shared" si="315"/>
        <v>0.41191013698630136</v>
      </c>
      <c r="W3366" s="46">
        <f t="shared" si="313"/>
        <v>-2.8727017472890061E-2</v>
      </c>
      <c r="X3366" s="33">
        <f t="shared" si="316"/>
        <v>2.5392490672185023E-2</v>
      </c>
    </row>
    <row r="3367" spans="19:24" x14ac:dyDescent="0.25">
      <c r="S3367" s="44">
        <f t="shared" si="311"/>
        <v>46417</v>
      </c>
      <c r="T3367" s="12">
        <f t="shared" si="312"/>
        <v>2.870024664987465</v>
      </c>
      <c r="U3367" s="12">
        <f t="shared" si="314"/>
        <v>2.8144622991973915</v>
      </c>
      <c r="V3367" s="30">
        <f t="shared" si="315"/>
        <v>0.4118827397260274</v>
      </c>
      <c r="W3367" s="46">
        <f t="shared" si="313"/>
        <v>-2.8700246649874646E-2</v>
      </c>
      <c r="X3367" s="33">
        <f t="shared" si="316"/>
        <v>2.5392449159912081E-2</v>
      </c>
    </row>
    <row r="3368" spans="19:24" x14ac:dyDescent="0.25">
      <c r="S3368" s="44">
        <f t="shared" si="311"/>
        <v>46418</v>
      </c>
      <c r="T3368" s="12">
        <f t="shared" si="312"/>
        <v>2.867347582685924</v>
      </c>
      <c r="U3368" s="12">
        <f t="shared" si="314"/>
        <v>2.8118111224726023</v>
      </c>
      <c r="V3368" s="30">
        <f t="shared" si="315"/>
        <v>0.41185534246575345</v>
      </c>
      <c r="W3368" s="46">
        <f t="shared" si="313"/>
        <v>-2.8673475826859238E-2</v>
      </c>
      <c r="X3368" s="33">
        <f t="shared" si="316"/>
        <v>2.5392407647639139E-2</v>
      </c>
    </row>
    <row r="3369" spans="19:24" x14ac:dyDescent="0.25">
      <c r="S3369" s="44">
        <f t="shared" si="311"/>
        <v>46419</v>
      </c>
      <c r="T3369" s="12">
        <f t="shared" si="312"/>
        <v>2.8646705003843831</v>
      </c>
      <c r="U3369" s="12">
        <f t="shared" si="314"/>
        <v>2.8091599457478136</v>
      </c>
      <c r="V3369" s="30">
        <f t="shared" si="315"/>
        <v>0.4118279452054795</v>
      </c>
      <c r="W3369" s="46">
        <f t="shared" si="313"/>
        <v>-2.8646705003843826E-2</v>
      </c>
      <c r="X3369" s="33">
        <f t="shared" si="316"/>
        <v>2.5392366135366197E-2</v>
      </c>
    </row>
    <row r="3370" spans="19:24" x14ac:dyDescent="0.25">
      <c r="S3370" s="44">
        <f t="shared" si="311"/>
        <v>46420</v>
      </c>
      <c r="T3370" s="12">
        <f t="shared" si="312"/>
        <v>2.8619934180828417</v>
      </c>
      <c r="U3370" s="12">
        <f t="shared" si="314"/>
        <v>2.8065087690230244</v>
      </c>
      <c r="V3370" s="30">
        <f t="shared" si="315"/>
        <v>0.41180054794520549</v>
      </c>
      <c r="W3370" s="46">
        <f t="shared" si="313"/>
        <v>-2.8619934180828411E-2</v>
      </c>
      <c r="X3370" s="33">
        <f t="shared" si="316"/>
        <v>2.5392324623093251E-2</v>
      </c>
    </row>
    <row r="3371" spans="19:24" x14ac:dyDescent="0.25">
      <c r="S3371" s="44">
        <f t="shared" si="311"/>
        <v>46421</v>
      </c>
      <c r="T3371" s="12">
        <f t="shared" si="312"/>
        <v>2.8593163357813012</v>
      </c>
      <c r="U3371" s="12">
        <f t="shared" si="314"/>
        <v>2.8038575922982343</v>
      </c>
      <c r="V3371" s="30">
        <f t="shared" si="315"/>
        <v>0.41177315068493148</v>
      </c>
      <c r="W3371" s="46">
        <f t="shared" si="313"/>
        <v>-2.8593163357813006E-2</v>
      </c>
      <c r="X3371" s="33">
        <f t="shared" si="316"/>
        <v>2.5392283110820302E-2</v>
      </c>
    </row>
    <row r="3372" spans="19:24" x14ac:dyDescent="0.25">
      <c r="S3372" s="44">
        <f t="shared" si="311"/>
        <v>46422</v>
      </c>
      <c r="T3372" s="12">
        <f t="shared" si="312"/>
        <v>2.8566392534797598</v>
      </c>
      <c r="U3372" s="12">
        <f t="shared" si="314"/>
        <v>2.8012064155734446</v>
      </c>
      <c r="V3372" s="30">
        <f t="shared" si="315"/>
        <v>0.41174575342465752</v>
      </c>
      <c r="W3372" s="46">
        <f t="shared" si="313"/>
        <v>-2.8566392534797595E-2</v>
      </c>
      <c r="X3372" s="33">
        <f t="shared" si="316"/>
        <v>2.539224159854736E-2</v>
      </c>
    </row>
    <row r="3373" spans="19:24" x14ac:dyDescent="0.25">
      <c r="S3373" s="44">
        <f t="shared" si="311"/>
        <v>46423</v>
      </c>
      <c r="T3373" s="12">
        <f t="shared" si="312"/>
        <v>2.8539621711782179</v>
      </c>
      <c r="U3373" s="12">
        <f t="shared" si="314"/>
        <v>2.7985552388486563</v>
      </c>
      <c r="V3373" s="30">
        <f t="shared" si="315"/>
        <v>0.41171835616438357</v>
      </c>
      <c r="W3373" s="46">
        <f t="shared" si="313"/>
        <v>-2.8539621711782176E-2</v>
      </c>
      <c r="X3373" s="33">
        <f t="shared" si="316"/>
        <v>2.5392200086274425E-2</v>
      </c>
    </row>
    <row r="3374" spans="19:24" x14ac:dyDescent="0.25">
      <c r="S3374" s="44">
        <f t="shared" si="311"/>
        <v>46424</v>
      </c>
      <c r="T3374" s="12">
        <f t="shared" si="312"/>
        <v>2.8512850888766774</v>
      </c>
      <c r="U3374" s="12">
        <f t="shared" si="314"/>
        <v>2.7959040621238671</v>
      </c>
      <c r="V3374" s="30">
        <f t="shared" si="315"/>
        <v>0.41169095890410962</v>
      </c>
      <c r="W3374" s="46">
        <f t="shared" si="313"/>
        <v>-2.8512850888766771E-2</v>
      </c>
      <c r="X3374" s="33">
        <f t="shared" si="316"/>
        <v>2.5392158574001476E-2</v>
      </c>
    </row>
    <row r="3375" spans="19:24" x14ac:dyDescent="0.25">
      <c r="S3375" s="44">
        <f t="shared" si="311"/>
        <v>46425</v>
      </c>
      <c r="T3375" s="12">
        <f t="shared" si="312"/>
        <v>2.8486080065751351</v>
      </c>
      <c r="U3375" s="12">
        <f t="shared" si="314"/>
        <v>2.7932528853990775</v>
      </c>
      <c r="V3375" s="30">
        <f t="shared" si="315"/>
        <v>0.41166356164383561</v>
      </c>
      <c r="W3375" s="46">
        <f t="shared" si="313"/>
        <v>-2.8486080065751346E-2</v>
      </c>
      <c r="X3375" s="33">
        <f t="shared" si="316"/>
        <v>2.5392117061728534E-2</v>
      </c>
    </row>
    <row r="3376" spans="19:24" x14ac:dyDescent="0.25">
      <c r="S3376" s="44">
        <f t="shared" si="311"/>
        <v>46426</v>
      </c>
      <c r="T3376" s="12">
        <f t="shared" si="312"/>
        <v>2.8459309242735946</v>
      </c>
      <c r="U3376" s="12">
        <f t="shared" si="314"/>
        <v>2.7906017086742883</v>
      </c>
      <c r="V3376" s="30">
        <f t="shared" si="315"/>
        <v>0.41163616438356165</v>
      </c>
      <c r="W3376" s="46">
        <f t="shared" si="313"/>
        <v>-2.8459309242735941E-2</v>
      </c>
      <c r="X3376" s="33">
        <f t="shared" si="316"/>
        <v>2.5392075549455589E-2</v>
      </c>
    </row>
    <row r="3377" spans="19:24" x14ac:dyDescent="0.25">
      <c r="S3377" s="44">
        <f t="shared" si="311"/>
        <v>46427</v>
      </c>
      <c r="T3377" s="12">
        <f t="shared" si="312"/>
        <v>2.8432538419720528</v>
      </c>
      <c r="U3377" s="12">
        <f t="shared" si="314"/>
        <v>2.787950531949499</v>
      </c>
      <c r="V3377" s="30">
        <f t="shared" si="315"/>
        <v>0.41160876712328764</v>
      </c>
      <c r="W3377" s="46">
        <f t="shared" si="313"/>
        <v>-2.8432538419720522E-2</v>
      </c>
      <c r="X3377" s="33">
        <f t="shared" si="316"/>
        <v>2.5392034037182643E-2</v>
      </c>
    </row>
    <row r="3378" spans="19:24" x14ac:dyDescent="0.25">
      <c r="S3378" s="44">
        <f t="shared" si="311"/>
        <v>46428</v>
      </c>
      <c r="T3378" s="12">
        <f t="shared" si="312"/>
        <v>2.8405767596705123</v>
      </c>
      <c r="U3378" s="12">
        <f t="shared" si="314"/>
        <v>2.7852993552247098</v>
      </c>
      <c r="V3378" s="30">
        <f t="shared" si="315"/>
        <v>0.41158136986301369</v>
      </c>
      <c r="W3378" s="46">
        <f t="shared" si="313"/>
        <v>-2.8405767596705118E-2</v>
      </c>
      <c r="X3378" s="33">
        <f t="shared" si="316"/>
        <v>2.5391992524909701E-2</v>
      </c>
    </row>
    <row r="3379" spans="19:24" x14ac:dyDescent="0.25">
      <c r="S3379" s="44">
        <f t="shared" ref="S3379:S3442" si="317">+S3378+1</f>
        <v>46429</v>
      </c>
      <c r="T3379" s="12">
        <f t="shared" ref="T3379:T3442" si="318">DurMod(S3379,B$2,$F$7:$G$37,$T$3)</f>
        <v>2.8378996773689709</v>
      </c>
      <c r="U3379" s="12">
        <f t="shared" si="314"/>
        <v>2.7826481784999202</v>
      </c>
      <c r="V3379" s="30">
        <f t="shared" si="315"/>
        <v>0.41155397260273974</v>
      </c>
      <c r="W3379" s="46">
        <f t="shared" ref="W3379:W3442" si="319">+-T3379*($U$3-$T$3)</f>
        <v>-2.8378996773689703E-2</v>
      </c>
      <c r="X3379" s="33">
        <f t="shared" si="316"/>
        <v>2.5391951012636759E-2</v>
      </c>
    </row>
    <row r="3380" spans="19:24" x14ac:dyDescent="0.25">
      <c r="S3380" s="44">
        <f t="shared" si="317"/>
        <v>46430</v>
      </c>
      <c r="T3380" s="12">
        <f t="shared" si="318"/>
        <v>2.8352225950674299</v>
      </c>
      <c r="U3380" s="12">
        <f t="shared" si="314"/>
        <v>2.779997001775131</v>
      </c>
      <c r="V3380" s="30">
        <f t="shared" si="315"/>
        <v>0.41152657534246573</v>
      </c>
      <c r="W3380" s="46">
        <f t="shared" si="319"/>
        <v>-2.8352225950674294E-2</v>
      </c>
      <c r="X3380" s="33">
        <f t="shared" si="316"/>
        <v>2.539190950036381E-2</v>
      </c>
    </row>
    <row r="3381" spans="19:24" x14ac:dyDescent="0.25">
      <c r="S3381" s="44">
        <f t="shared" si="317"/>
        <v>46431</v>
      </c>
      <c r="T3381" s="12">
        <f t="shared" si="318"/>
        <v>2.8325455127658881</v>
      </c>
      <c r="U3381" s="12">
        <f t="shared" si="314"/>
        <v>2.7773458250503422</v>
      </c>
      <c r="V3381" s="30">
        <f t="shared" si="315"/>
        <v>0.41149917808219177</v>
      </c>
      <c r="W3381" s="46">
        <f t="shared" si="319"/>
        <v>-2.8325455127658876E-2</v>
      </c>
      <c r="X3381" s="33">
        <f t="shared" si="316"/>
        <v>2.5391867988090868E-2</v>
      </c>
    </row>
    <row r="3382" spans="19:24" x14ac:dyDescent="0.25">
      <c r="S3382" s="44">
        <f t="shared" si="317"/>
        <v>46432</v>
      </c>
      <c r="T3382" s="12">
        <f t="shared" si="318"/>
        <v>2.8298684304643476</v>
      </c>
      <c r="U3382" s="12">
        <f t="shared" si="314"/>
        <v>2.7746946483255526</v>
      </c>
      <c r="V3382" s="30">
        <f t="shared" si="315"/>
        <v>0.41147178082191782</v>
      </c>
      <c r="W3382" s="46">
        <f t="shared" si="319"/>
        <v>-2.8298684304643471E-2</v>
      </c>
      <c r="X3382" s="33">
        <f t="shared" si="316"/>
        <v>2.5391826475817926E-2</v>
      </c>
    </row>
    <row r="3383" spans="19:24" x14ac:dyDescent="0.25">
      <c r="S3383" s="44">
        <f t="shared" si="317"/>
        <v>46433</v>
      </c>
      <c r="T3383" s="12">
        <f t="shared" si="318"/>
        <v>2.8271913481628062</v>
      </c>
      <c r="U3383" s="12">
        <f t="shared" si="314"/>
        <v>2.7720434716007634</v>
      </c>
      <c r="V3383" s="30">
        <f t="shared" si="315"/>
        <v>0.41144438356164381</v>
      </c>
      <c r="W3383" s="46">
        <f t="shared" si="319"/>
        <v>-2.8271913481628056E-2</v>
      </c>
      <c r="X3383" s="33">
        <f t="shared" si="316"/>
        <v>2.539178496354498E-2</v>
      </c>
    </row>
    <row r="3384" spans="19:24" x14ac:dyDescent="0.25">
      <c r="S3384" s="44">
        <f t="shared" si="317"/>
        <v>46434</v>
      </c>
      <c r="T3384" s="12">
        <f t="shared" si="318"/>
        <v>2.8245142658612652</v>
      </c>
      <c r="U3384" s="12">
        <f t="shared" si="314"/>
        <v>2.7693922948759733</v>
      </c>
      <c r="V3384" s="30">
        <f t="shared" si="315"/>
        <v>0.4114169863013698</v>
      </c>
      <c r="W3384" s="46">
        <f t="shared" si="319"/>
        <v>-2.8245142658612648E-2</v>
      </c>
      <c r="X3384" s="33">
        <f t="shared" si="316"/>
        <v>2.5391743451272032E-2</v>
      </c>
    </row>
    <row r="3385" spans="19:24" x14ac:dyDescent="0.25">
      <c r="S3385" s="44">
        <f t="shared" si="317"/>
        <v>46435</v>
      </c>
      <c r="T3385" s="12">
        <f t="shared" si="318"/>
        <v>2.8218371835597238</v>
      </c>
      <c r="U3385" s="12">
        <f t="shared" si="314"/>
        <v>2.7667411181511841</v>
      </c>
      <c r="V3385" s="30">
        <f t="shared" si="315"/>
        <v>0.4113895890410959</v>
      </c>
      <c r="W3385" s="46">
        <f t="shared" si="319"/>
        <v>-2.8218371835597233E-2</v>
      </c>
      <c r="X3385" s="33">
        <f t="shared" si="316"/>
        <v>2.5391701938999096E-2</v>
      </c>
    </row>
    <row r="3386" spans="19:24" x14ac:dyDescent="0.25">
      <c r="S3386" s="44">
        <f t="shared" si="317"/>
        <v>46436</v>
      </c>
      <c r="T3386" s="12">
        <f t="shared" si="318"/>
        <v>2.8191601012581824</v>
      </c>
      <c r="U3386" s="12">
        <f t="shared" si="314"/>
        <v>2.7640899414263953</v>
      </c>
      <c r="V3386" s="30">
        <f t="shared" si="315"/>
        <v>0.4113621917808219</v>
      </c>
      <c r="W3386" s="46">
        <f t="shared" si="319"/>
        <v>-2.8191601012581821E-2</v>
      </c>
      <c r="X3386" s="33">
        <f t="shared" si="316"/>
        <v>2.5391660426726147E-2</v>
      </c>
    </row>
    <row r="3387" spans="19:24" x14ac:dyDescent="0.25">
      <c r="S3387" s="44">
        <f t="shared" si="317"/>
        <v>46437</v>
      </c>
      <c r="T3387" s="12">
        <f t="shared" si="318"/>
        <v>2.816483018956641</v>
      </c>
      <c r="U3387" s="12">
        <f t="shared" si="314"/>
        <v>2.7614387647016061</v>
      </c>
      <c r="V3387" s="30">
        <f t="shared" si="315"/>
        <v>0.41133479452054794</v>
      </c>
      <c r="W3387" s="46">
        <f t="shared" si="319"/>
        <v>-2.8164830189566406E-2</v>
      </c>
      <c r="X3387" s="33">
        <f t="shared" si="316"/>
        <v>2.5391618914453205E-2</v>
      </c>
    </row>
    <row r="3388" spans="19:24" x14ac:dyDescent="0.25">
      <c r="S3388" s="44">
        <f t="shared" si="317"/>
        <v>46438</v>
      </c>
      <c r="T3388" s="12">
        <f t="shared" si="318"/>
        <v>2.8138059366551005</v>
      </c>
      <c r="U3388" s="12">
        <f t="shared" si="314"/>
        <v>2.758787587976816</v>
      </c>
      <c r="V3388" s="30">
        <f t="shared" si="315"/>
        <v>0.41130739726027399</v>
      </c>
      <c r="W3388" s="46">
        <f t="shared" si="319"/>
        <v>-2.8138059366551001E-2</v>
      </c>
      <c r="X3388" s="33">
        <f t="shared" si="316"/>
        <v>2.5391577402180263E-2</v>
      </c>
    </row>
    <row r="3389" spans="19:24" x14ac:dyDescent="0.25">
      <c r="S3389" s="44">
        <f t="shared" si="317"/>
        <v>46439</v>
      </c>
      <c r="T3389" s="12">
        <f t="shared" si="318"/>
        <v>2.8111288543535595</v>
      </c>
      <c r="U3389" s="12">
        <f t="shared" si="314"/>
        <v>2.7561364112520268</v>
      </c>
      <c r="V3389" s="30">
        <f t="shared" si="315"/>
        <v>0.41127999999999998</v>
      </c>
      <c r="W3389" s="46">
        <f t="shared" si="319"/>
        <v>-2.811128854353559E-2</v>
      </c>
      <c r="X3389" s="33">
        <f t="shared" si="316"/>
        <v>2.5391535889907318E-2</v>
      </c>
    </row>
    <row r="3390" spans="19:24" x14ac:dyDescent="0.25">
      <c r="S3390" s="44">
        <f t="shared" si="317"/>
        <v>46440</v>
      </c>
      <c r="T3390" s="12">
        <f t="shared" si="318"/>
        <v>2.8084517720520177</v>
      </c>
      <c r="U3390" s="12">
        <f t="shared" si="314"/>
        <v>2.7534852345272371</v>
      </c>
      <c r="V3390" s="30">
        <f t="shared" si="315"/>
        <v>0.41125260273972597</v>
      </c>
      <c r="W3390" s="46">
        <f t="shared" si="319"/>
        <v>-2.8084517720520171E-2</v>
      </c>
      <c r="X3390" s="33">
        <f t="shared" si="316"/>
        <v>2.5391494377634369E-2</v>
      </c>
    </row>
    <row r="3391" spans="19:24" x14ac:dyDescent="0.25">
      <c r="S3391" s="44">
        <f t="shared" si="317"/>
        <v>46441</v>
      </c>
      <c r="T3391" s="12">
        <f t="shared" si="318"/>
        <v>2.8057746897504763</v>
      </c>
      <c r="U3391" s="12">
        <f t="shared" si="314"/>
        <v>2.7508340578024488</v>
      </c>
      <c r="V3391" s="30">
        <f t="shared" si="315"/>
        <v>0.41122520547945207</v>
      </c>
      <c r="W3391" s="46">
        <f t="shared" si="319"/>
        <v>-2.8057746897504759E-2</v>
      </c>
      <c r="X3391" s="33">
        <f t="shared" si="316"/>
        <v>2.5391452865361434E-2</v>
      </c>
    </row>
    <row r="3392" spans="19:24" x14ac:dyDescent="0.25">
      <c r="S3392" s="44">
        <f t="shared" si="317"/>
        <v>46442</v>
      </c>
      <c r="T3392" s="12">
        <f t="shared" si="318"/>
        <v>2.8030976074489358</v>
      </c>
      <c r="U3392" s="12">
        <f t="shared" si="314"/>
        <v>2.7481828810776605</v>
      </c>
      <c r="V3392" s="30">
        <f t="shared" si="315"/>
        <v>0.41119780821917806</v>
      </c>
      <c r="W3392" s="46">
        <f t="shared" si="319"/>
        <v>-2.8030976074489355E-2</v>
      </c>
      <c r="X3392" s="33">
        <f t="shared" si="316"/>
        <v>2.5391411353088485E-2</v>
      </c>
    </row>
    <row r="3393" spans="19:24" x14ac:dyDescent="0.25">
      <c r="S3393" s="44">
        <f t="shared" si="317"/>
        <v>46443</v>
      </c>
      <c r="T3393" s="12">
        <f t="shared" si="318"/>
        <v>2.8004205251473935</v>
      </c>
      <c r="U3393" s="12">
        <f t="shared" si="314"/>
        <v>2.7455317043528704</v>
      </c>
      <c r="V3393" s="30">
        <f t="shared" si="315"/>
        <v>0.41117041095890405</v>
      </c>
      <c r="W3393" s="46">
        <f t="shared" si="319"/>
        <v>-2.8004205251473929E-2</v>
      </c>
      <c r="X3393" s="33">
        <f t="shared" si="316"/>
        <v>2.5391369840815539E-2</v>
      </c>
    </row>
    <row r="3394" spans="19:24" x14ac:dyDescent="0.25">
      <c r="S3394" s="44">
        <f t="shared" si="317"/>
        <v>46444</v>
      </c>
      <c r="T3394" s="12">
        <f t="shared" si="318"/>
        <v>2.797743442845853</v>
      </c>
      <c r="U3394" s="12">
        <f t="shared" si="314"/>
        <v>2.7428805276280808</v>
      </c>
      <c r="V3394" s="30">
        <f t="shared" si="315"/>
        <v>0.41114301369863016</v>
      </c>
      <c r="W3394" s="46">
        <f t="shared" si="319"/>
        <v>-2.7977434428458525E-2</v>
      </c>
      <c r="X3394" s="33">
        <f t="shared" si="316"/>
        <v>2.5391328328542601E-2</v>
      </c>
    </row>
    <row r="3395" spans="19:24" x14ac:dyDescent="0.25">
      <c r="S3395" s="44">
        <f t="shared" si="317"/>
        <v>46445</v>
      </c>
      <c r="T3395" s="12">
        <f t="shared" si="318"/>
        <v>2.7950663605443116</v>
      </c>
      <c r="U3395" s="12">
        <f t="shared" si="314"/>
        <v>2.740229350903292</v>
      </c>
      <c r="V3395" s="30">
        <f t="shared" si="315"/>
        <v>0.41111561643835615</v>
      </c>
      <c r="W3395" s="46">
        <f t="shared" si="319"/>
        <v>-2.7950663605443113E-2</v>
      </c>
      <c r="X3395" s="33">
        <f t="shared" si="316"/>
        <v>2.5391286816269655E-2</v>
      </c>
    </row>
    <row r="3396" spans="19:24" x14ac:dyDescent="0.25">
      <c r="S3396" s="44">
        <f t="shared" si="317"/>
        <v>46446</v>
      </c>
      <c r="T3396" s="12">
        <f t="shared" si="318"/>
        <v>2.7923892782427706</v>
      </c>
      <c r="U3396" s="12">
        <f t="shared" si="314"/>
        <v>2.7375781741785028</v>
      </c>
      <c r="V3396" s="30">
        <f t="shared" si="315"/>
        <v>0.41108821917808214</v>
      </c>
      <c r="W3396" s="46">
        <f t="shared" si="319"/>
        <v>-2.7923892782427701E-2</v>
      </c>
      <c r="X3396" s="33">
        <f t="shared" si="316"/>
        <v>2.539124530399671E-2</v>
      </c>
    </row>
    <row r="3397" spans="19:24" x14ac:dyDescent="0.25">
      <c r="S3397" s="44">
        <f t="shared" si="317"/>
        <v>46447</v>
      </c>
      <c r="T3397" s="12">
        <f t="shared" si="318"/>
        <v>2.7897121959412288</v>
      </c>
      <c r="U3397" s="12">
        <f t="shared" ref="U3397:U3461" si="320">DurMod($S3397,$B$2,$F$7:$G$37,U$3)</f>
        <v>2.7349269974537127</v>
      </c>
      <c r="V3397" s="30">
        <f t="shared" ref="V3397:V3460" si="321">+$U$3*($S$5512-S3397)/365+$T$3*(S3397-$S$4)/365</f>
        <v>0.41106082191780824</v>
      </c>
      <c r="W3397" s="46">
        <f t="shared" si="319"/>
        <v>-2.7897121959412283E-2</v>
      </c>
      <c r="X3397" s="33">
        <f t="shared" ref="X3397:X3460" si="322">+(V3397+W3397)*365/($S$5512-$S$4)</f>
        <v>2.5391203791723771E-2</v>
      </c>
    </row>
    <row r="3398" spans="19:24" x14ac:dyDescent="0.25">
      <c r="S3398" s="44">
        <f t="shared" si="317"/>
        <v>46448</v>
      </c>
      <c r="T3398" s="12">
        <f t="shared" si="318"/>
        <v>2.7870351136396883</v>
      </c>
      <c r="U3398" s="12">
        <f t="shared" si="320"/>
        <v>2.7322758207289239</v>
      </c>
      <c r="V3398" s="30">
        <f t="shared" si="321"/>
        <v>0.41103342465753429</v>
      </c>
      <c r="W3398" s="46">
        <f t="shared" si="319"/>
        <v>-2.7870351136396878E-2</v>
      </c>
      <c r="X3398" s="33">
        <f t="shared" si="322"/>
        <v>2.5391162279450829E-2</v>
      </c>
    </row>
    <row r="3399" spans="19:24" x14ac:dyDescent="0.25">
      <c r="S3399" s="44">
        <f t="shared" si="317"/>
        <v>46449</v>
      </c>
      <c r="T3399" s="12">
        <f t="shared" si="318"/>
        <v>2.7843580313381473</v>
      </c>
      <c r="U3399" s="12">
        <f t="shared" si="320"/>
        <v>2.7296246440041343</v>
      </c>
      <c r="V3399" s="30">
        <f t="shared" si="321"/>
        <v>0.41100602739726028</v>
      </c>
      <c r="W3399" s="46">
        <f t="shared" si="319"/>
        <v>-2.784358031338147E-2</v>
      </c>
      <c r="X3399" s="33">
        <f t="shared" si="322"/>
        <v>2.5391120767177883E-2</v>
      </c>
    </row>
    <row r="3400" spans="19:24" x14ac:dyDescent="0.25">
      <c r="S3400" s="44">
        <f t="shared" si="317"/>
        <v>46450</v>
      </c>
      <c r="T3400" s="12">
        <f t="shared" si="318"/>
        <v>2.7816809490366063</v>
      </c>
      <c r="U3400" s="12">
        <f t="shared" si="320"/>
        <v>2.7269734672793451</v>
      </c>
      <c r="V3400" s="30">
        <f t="shared" si="321"/>
        <v>0.41097863013698632</v>
      </c>
      <c r="W3400" s="46">
        <f t="shared" si="319"/>
        <v>-2.7816809490366058E-2</v>
      </c>
      <c r="X3400" s="33">
        <f t="shared" si="322"/>
        <v>2.5391079254904934E-2</v>
      </c>
    </row>
    <row r="3401" spans="19:24" x14ac:dyDescent="0.25">
      <c r="S3401" s="44">
        <f t="shared" si="317"/>
        <v>46451</v>
      </c>
      <c r="T3401" s="12">
        <f t="shared" si="318"/>
        <v>2.7790038667350645</v>
      </c>
      <c r="U3401" s="12">
        <f t="shared" si="320"/>
        <v>2.7243222905545559</v>
      </c>
      <c r="V3401" s="30">
        <f t="shared" si="321"/>
        <v>0.41095123287671231</v>
      </c>
      <c r="W3401" s="46">
        <f t="shared" si="319"/>
        <v>-2.779003866735064E-2</v>
      </c>
      <c r="X3401" s="33">
        <f t="shared" si="322"/>
        <v>2.5391037742631992E-2</v>
      </c>
    </row>
    <row r="3402" spans="19:24" x14ac:dyDescent="0.25">
      <c r="S3402" s="44">
        <f t="shared" si="317"/>
        <v>46452</v>
      </c>
      <c r="T3402" s="12">
        <f t="shared" si="318"/>
        <v>2.7763267844335235</v>
      </c>
      <c r="U3402" s="12">
        <f t="shared" si="320"/>
        <v>2.7216711138297662</v>
      </c>
      <c r="V3402" s="30">
        <f t="shared" si="321"/>
        <v>0.41092383561643836</v>
      </c>
      <c r="W3402" s="46">
        <f t="shared" si="319"/>
        <v>-2.7763267844335231E-2</v>
      </c>
      <c r="X3402" s="33">
        <f t="shared" si="322"/>
        <v>2.5390996230359047E-2</v>
      </c>
    </row>
    <row r="3403" spans="19:24" x14ac:dyDescent="0.25">
      <c r="S3403" s="44">
        <f t="shared" si="317"/>
        <v>46453</v>
      </c>
      <c r="T3403" s="12">
        <f t="shared" si="318"/>
        <v>2.7736497021319821</v>
      </c>
      <c r="U3403" s="12">
        <f t="shared" si="320"/>
        <v>2.7190199371049766</v>
      </c>
      <c r="V3403" s="30">
        <f t="shared" si="321"/>
        <v>0.41089643835616441</v>
      </c>
      <c r="W3403" s="46">
        <f t="shared" si="319"/>
        <v>-2.7736497021319816E-2</v>
      </c>
      <c r="X3403" s="33">
        <f t="shared" si="322"/>
        <v>2.5390954718086108E-2</v>
      </c>
    </row>
    <row r="3404" spans="19:24" x14ac:dyDescent="0.25">
      <c r="S3404" s="44">
        <f t="shared" si="317"/>
        <v>46454</v>
      </c>
      <c r="T3404" s="12">
        <f t="shared" si="318"/>
        <v>2.7709726198304407</v>
      </c>
      <c r="U3404" s="12">
        <f t="shared" si="320"/>
        <v>2.7163687603801874</v>
      </c>
      <c r="V3404" s="30">
        <f t="shared" si="321"/>
        <v>0.4108690410958904</v>
      </c>
      <c r="W3404" s="46">
        <f t="shared" si="319"/>
        <v>-2.7709726198304405E-2</v>
      </c>
      <c r="X3404" s="33">
        <f t="shared" si="322"/>
        <v>2.5390913205813163E-2</v>
      </c>
    </row>
    <row r="3405" spans="19:24" x14ac:dyDescent="0.25">
      <c r="S3405" s="44">
        <f t="shared" si="317"/>
        <v>46455</v>
      </c>
      <c r="T3405" s="12">
        <f t="shared" si="318"/>
        <v>2.7682955375288993</v>
      </c>
      <c r="U3405" s="12">
        <f t="shared" si="320"/>
        <v>2.7137175836553982</v>
      </c>
      <c r="V3405" s="30">
        <f t="shared" si="321"/>
        <v>0.41084164383561644</v>
      </c>
      <c r="W3405" s="46">
        <f t="shared" si="319"/>
        <v>-2.768295537528899E-2</v>
      </c>
      <c r="X3405" s="33">
        <f t="shared" si="322"/>
        <v>2.5390871693540221E-2</v>
      </c>
    </row>
    <row r="3406" spans="19:24" x14ac:dyDescent="0.25">
      <c r="S3406" s="44">
        <f t="shared" si="317"/>
        <v>46456</v>
      </c>
      <c r="T3406" s="12">
        <f t="shared" si="318"/>
        <v>2.7656184552273584</v>
      </c>
      <c r="U3406" s="12">
        <f t="shared" si="320"/>
        <v>2.7110664069306094</v>
      </c>
      <c r="V3406" s="30">
        <f t="shared" si="321"/>
        <v>0.41081424657534249</v>
      </c>
      <c r="W3406" s="46">
        <f t="shared" si="319"/>
        <v>-2.7656184552273581E-2</v>
      </c>
      <c r="X3406" s="33">
        <f t="shared" si="322"/>
        <v>2.5390830181267272E-2</v>
      </c>
    </row>
    <row r="3407" spans="19:24" x14ac:dyDescent="0.25">
      <c r="S3407" s="44">
        <f t="shared" si="317"/>
        <v>46457</v>
      </c>
      <c r="T3407" s="12">
        <f t="shared" si="318"/>
        <v>2.7629413729258179</v>
      </c>
      <c r="U3407" s="12">
        <f t="shared" si="320"/>
        <v>2.7084152302058198</v>
      </c>
      <c r="V3407" s="30">
        <f t="shared" si="321"/>
        <v>0.41078684931506848</v>
      </c>
      <c r="W3407" s="46">
        <f t="shared" si="319"/>
        <v>-2.7629413729258173E-2</v>
      </c>
      <c r="X3407" s="33">
        <f t="shared" si="322"/>
        <v>2.5390788668994326E-2</v>
      </c>
    </row>
    <row r="3408" spans="19:24" x14ac:dyDescent="0.25">
      <c r="S3408" s="44">
        <f t="shared" si="317"/>
        <v>46458</v>
      </c>
      <c r="T3408" s="12">
        <f t="shared" si="318"/>
        <v>2.7602642906242765</v>
      </c>
      <c r="U3408" s="12">
        <f t="shared" si="320"/>
        <v>2.7057640534810314</v>
      </c>
      <c r="V3408" s="30">
        <f t="shared" si="321"/>
        <v>0.41075945205479447</v>
      </c>
      <c r="W3408" s="46">
        <f t="shared" si="319"/>
        <v>-2.7602642906242762E-2</v>
      </c>
      <c r="X3408" s="33">
        <f t="shared" si="322"/>
        <v>2.5390747156721384E-2</v>
      </c>
    </row>
    <row r="3409" spans="19:24" x14ac:dyDescent="0.25">
      <c r="S3409" s="44">
        <f t="shared" si="317"/>
        <v>46459</v>
      </c>
      <c r="T3409" s="12">
        <f t="shared" si="318"/>
        <v>2.7575872083227355</v>
      </c>
      <c r="U3409" s="12">
        <f t="shared" si="320"/>
        <v>2.7031128767562413</v>
      </c>
      <c r="V3409" s="30">
        <f t="shared" si="321"/>
        <v>0.41073205479452057</v>
      </c>
      <c r="W3409" s="46">
        <f t="shared" si="319"/>
        <v>-2.757587208322735E-2</v>
      </c>
      <c r="X3409" s="33">
        <f t="shared" si="322"/>
        <v>2.5390705644448442E-2</v>
      </c>
    </row>
    <row r="3410" spans="19:24" x14ac:dyDescent="0.25">
      <c r="S3410" s="44">
        <f t="shared" si="317"/>
        <v>46460</v>
      </c>
      <c r="T3410" s="12">
        <f t="shared" si="318"/>
        <v>2.7549101260211946</v>
      </c>
      <c r="U3410" s="12">
        <f t="shared" si="320"/>
        <v>2.7004617000314521</v>
      </c>
      <c r="V3410" s="30">
        <f t="shared" si="321"/>
        <v>0.41070465753424656</v>
      </c>
      <c r="W3410" s="46">
        <f t="shared" si="319"/>
        <v>-2.7549101260211942E-2</v>
      </c>
      <c r="X3410" s="33">
        <f t="shared" si="322"/>
        <v>2.53906641321755E-2</v>
      </c>
    </row>
    <row r="3411" spans="19:24" x14ac:dyDescent="0.25">
      <c r="S3411" s="44">
        <f t="shared" si="317"/>
        <v>46461</v>
      </c>
      <c r="T3411" s="12">
        <f t="shared" si="318"/>
        <v>2.7522330437196532</v>
      </c>
      <c r="U3411" s="12">
        <f t="shared" si="320"/>
        <v>2.6978105233066625</v>
      </c>
      <c r="V3411" s="30">
        <f t="shared" si="321"/>
        <v>0.41067726027397261</v>
      </c>
      <c r="W3411" s="46">
        <f t="shared" si="319"/>
        <v>-2.7522330437196527E-2</v>
      </c>
      <c r="X3411" s="33">
        <f t="shared" si="322"/>
        <v>2.5390622619902551E-2</v>
      </c>
    </row>
    <row r="3412" spans="19:24" x14ac:dyDescent="0.25">
      <c r="S3412" s="44">
        <f t="shared" si="317"/>
        <v>46462</v>
      </c>
      <c r="T3412" s="12">
        <f t="shared" si="318"/>
        <v>2.7495559614181113</v>
      </c>
      <c r="U3412" s="12">
        <f t="shared" si="320"/>
        <v>2.6951593465818742</v>
      </c>
      <c r="V3412" s="30">
        <f t="shared" si="321"/>
        <v>0.41064986301369866</v>
      </c>
      <c r="W3412" s="46">
        <f t="shared" si="319"/>
        <v>-2.7495559614181108E-2</v>
      </c>
      <c r="X3412" s="33">
        <f t="shared" si="322"/>
        <v>2.5390581107629616E-2</v>
      </c>
    </row>
    <row r="3413" spans="19:24" x14ac:dyDescent="0.25">
      <c r="S3413" s="44">
        <f t="shared" si="317"/>
        <v>46463</v>
      </c>
      <c r="T3413" s="12">
        <f t="shared" si="318"/>
        <v>2.7468788791165704</v>
      </c>
      <c r="U3413" s="12">
        <f t="shared" si="320"/>
        <v>2.6925081698570845</v>
      </c>
      <c r="V3413" s="30">
        <f t="shared" si="321"/>
        <v>0.41062246575342465</v>
      </c>
      <c r="W3413" s="46">
        <f t="shared" si="319"/>
        <v>-2.74687887911657E-2</v>
      </c>
      <c r="X3413" s="33">
        <f t="shared" si="322"/>
        <v>2.5390539595356663E-2</v>
      </c>
    </row>
    <row r="3414" spans="19:24" x14ac:dyDescent="0.25">
      <c r="S3414" s="44">
        <f t="shared" si="317"/>
        <v>46464</v>
      </c>
      <c r="T3414" s="12">
        <f t="shared" si="318"/>
        <v>2.744201796815029</v>
      </c>
      <c r="U3414" s="12">
        <f t="shared" si="320"/>
        <v>2.6898569931322953</v>
      </c>
      <c r="V3414" s="30">
        <f t="shared" si="321"/>
        <v>0.41059506849315064</v>
      </c>
      <c r="W3414" s="46">
        <f t="shared" si="319"/>
        <v>-2.7442017968150285E-2</v>
      </c>
      <c r="X3414" s="33">
        <f t="shared" si="322"/>
        <v>2.5390498083083721E-2</v>
      </c>
    </row>
    <row r="3415" spans="19:24" x14ac:dyDescent="0.25">
      <c r="S3415" s="44">
        <f t="shared" si="317"/>
        <v>46465</v>
      </c>
      <c r="T3415" s="12">
        <f t="shared" si="318"/>
        <v>2.741524714513488</v>
      </c>
      <c r="U3415" s="12">
        <f t="shared" si="320"/>
        <v>2.6872058164075052</v>
      </c>
      <c r="V3415" s="30">
        <f t="shared" si="321"/>
        <v>0.41056767123287674</v>
      </c>
      <c r="W3415" s="46">
        <f t="shared" si="319"/>
        <v>-2.7415247145134877E-2</v>
      </c>
      <c r="X3415" s="33">
        <f t="shared" si="322"/>
        <v>2.5390456570810779E-2</v>
      </c>
    </row>
    <row r="3416" spans="19:24" x14ac:dyDescent="0.25">
      <c r="S3416" s="44">
        <f t="shared" si="317"/>
        <v>46466</v>
      </c>
      <c r="T3416" s="12">
        <f t="shared" si="318"/>
        <v>2.7388476322119462</v>
      </c>
      <c r="U3416" s="12">
        <f t="shared" si="320"/>
        <v>2.6845546396827169</v>
      </c>
      <c r="V3416" s="30">
        <f t="shared" si="321"/>
        <v>0.41054027397260273</v>
      </c>
      <c r="W3416" s="46">
        <f t="shared" si="319"/>
        <v>-2.7388476322119458E-2</v>
      </c>
      <c r="X3416" s="33">
        <f t="shared" si="322"/>
        <v>2.5390415058537837E-2</v>
      </c>
    </row>
    <row r="3417" spans="19:24" x14ac:dyDescent="0.25">
      <c r="S3417" s="44">
        <f t="shared" si="317"/>
        <v>46467</v>
      </c>
      <c r="T3417" s="12">
        <f t="shared" si="318"/>
        <v>2.7361705499104052</v>
      </c>
      <c r="U3417" s="12">
        <f t="shared" si="320"/>
        <v>2.6819034629579273</v>
      </c>
      <c r="V3417" s="30">
        <f t="shared" si="321"/>
        <v>0.41051287671232872</v>
      </c>
      <c r="W3417" s="46">
        <f t="shared" si="319"/>
        <v>-2.7361705499104046E-2</v>
      </c>
      <c r="X3417" s="33">
        <f t="shared" si="322"/>
        <v>2.5390373546264892E-2</v>
      </c>
    </row>
    <row r="3418" spans="19:24" x14ac:dyDescent="0.25">
      <c r="S3418" s="44">
        <f t="shared" si="317"/>
        <v>46468</v>
      </c>
      <c r="T3418" s="12">
        <f t="shared" si="318"/>
        <v>2.7334934676088642</v>
      </c>
      <c r="U3418" s="12">
        <f t="shared" si="320"/>
        <v>2.679252286233138</v>
      </c>
      <c r="V3418" s="30">
        <f t="shared" si="321"/>
        <v>0.41048547945205482</v>
      </c>
      <c r="W3418" s="46">
        <f t="shared" si="319"/>
        <v>-2.7334934676088638E-2</v>
      </c>
      <c r="X3418" s="33">
        <f t="shared" si="322"/>
        <v>2.539033203399195E-2</v>
      </c>
    </row>
    <row r="3419" spans="19:24" x14ac:dyDescent="0.25">
      <c r="S3419" s="44">
        <f t="shared" si="317"/>
        <v>46469</v>
      </c>
      <c r="T3419" s="12">
        <f t="shared" si="318"/>
        <v>2.7308163853073237</v>
      </c>
      <c r="U3419" s="12">
        <f t="shared" si="320"/>
        <v>2.6766011095083484</v>
      </c>
      <c r="V3419" s="30">
        <f t="shared" si="321"/>
        <v>0.41045808219178082</v>
      </c>
      <c r="W3419" s="46">
        <f t="shared" si="319"/>
        <v>-2.7308163853073233E-2</v>
      </c>
      <c r="X3419" s="33">
        <f t="shared" si="322"/>
        <v>2.5390290521719008E-2</v>
      </c>
    </row>
    <row r="3420" spans="19:24" x14ac:dyDescent="0.25">
      <c r="S3420" s="44">
        <f t="shared" si="317"/>
        <v>46470</v>
      </c>
      <c r="T3420" s="12">
        <f t="shared" si="318"/>
        <v>2.7281393030057814</v>
      </c>
      <c r="U3420" s="12">
        <f t="shared" si="320"/>
        <v>2.6739499327835587</v>
      </c>
      <c r="V3420" s="30">
        <f t="shared" si="321"/>
        <v>0.41043068493150681</v>
      </c>
      <c r="W3420" s="46">
        <f t="shared" si="319"/>
        <v>-2.7281393030057811E-2</v>
      </c>
      <c r="X3420" s="33">
        <f t="shared" si="322"/>
        <v>2.5390249009446055E-2</v>
      </c>
    </row>
    <row r="3421" spans="19:24" x14ac:dyDescent="0.25">
      <c r="S3421" s="44">
        <f t="shared" si="317"/>
        <v>46471</v>
      </c>
      <c r="T3421" s="12">
        <f t="shared" si="318"/>
        <v>2.7254622207042409</v>
      </c>
      <c r="U3421" s="12">
        <f t="shared" si="320"/>
        <v>2.6712987560587691</v>
      </c>
      <c r="V3421" s="30">
        <f t="shared" si="321"/>
        <v>0.41040328767123291</v>
      </c>
      <c r="W3421" s="46">
        <f t="shared" si="319"/>
        <v>-2.7254622207042407E-2</v>
      </c>
      <c r="X3421" s="33">
        <f t="shared" si="322"/>
        <v>2.5390207497173117E-2</v>
      </c>
    </row>
    <row r="3422" spans="19:24" x14ac:dyDescent="0.25">
      <c r="S3422" s="44">
        <f t="shared" si="317"/>
        <v>46472</v>
      </c>
      <c r="T3422" s="12">
        <f t="shared" si="318"/>
        <v>2.7227851384026995</v>
      </c>
      <c r="U3422" s="12">
        <f t="shared" si="320"/>
        <v>2.6686475793339812</v>
      </c>
      <c r="V3422" s="30">
        <f t="shared" si="321"/>
        <v>0.4103758904109589</v>
      </c>
      <c r="W3422" s="46">
        <f t="shared" si="319"/>
        <v>-2.7227851384026992E-2</v>
      </c>
      <c r="X3422" s="33">
        <f t="shared" si="322"/>
        <v>2.5390165984900171E-2</v>
      </c>
    </row>
    <row r="3423" spans="19:24" x14ac:dyDescent="0.25">
      <c r="S3423" s="44">
        <f t="shared" si="317"/>
        <v>46473</v>
      </c>
      <c r="T3423" s="12">
        <f t="shared" si="318"/>
        <v>2.7201080561011577</v>
      </c>
      <c r="U3423" s="12">
        <f t="shared" si="320"/>
        <v>2.6659964026091911</v>
      </c>
      <c r="V3423" s="30">
        <f t="shared" si="321"/>
        <v>0.41034849315068489</v>
      </c>
      <c r="W3423" s="46">
        <f t="shared" si="319"/>
        <v>-2.7201080561011573E-2</v>
      </c>
      <c r="X3423" s="33">
        <f t="shared" si="322"/>
        <v>2.5390124472627229E-2</v>
      </c>
    </row>
    <row r="3424" spans="19:24" x14ac:dyDescent="0.25">
      <c r="S3424" s="44">
        <f t="shared" si="317"/>
        <v>46474</v>
      </c>
      <c r="T3424" s="12">
        <f t="shared" si="318"/>
        <v>2.7174309737996163</v>
      </c>
      <c r="U3424" s="12">
        <f t="shared" si="320"/>
        <v>2.6633452258844019</v>
      </c>
      <c r="V3424" s="30">
        <f t="shared" si="321"/>
        <v>0.41032109589041099</v>
      </c>
      <c r="W3424" s="46">
        <f t="shared" si="319"/>
        <v>-2.7174309737996158E-2</v>
      </c>
      <c r="X3424" s="33">
        <f t="shared" si="322"/>
        <v>2.5390082960354287E-2</v>
      </c>
    </row>
    <row r="3425" spans="19:24" x14ac:dyDescent="0.25">
      <c r="S3425" s="44">
        <f t="shared" si="317"/>
        <v>46475</v>
      </c>
      <c r="T3425" s="12">
        <f t="shared" si="318"/>
        <v>2.7147538914980753</v>
      </c>
      <c r="U3425" s="12">
        <f t="shared" si="320"/>
        <v>2.6606940491596132</v>
      </c>
      <c r="V3425" s="30">
        <f t="shared" si="321"/>
        <v>0.41029369863013698</v>
      </c>
      <c r="W3425" s="46">
        <f t="shared" si="319"/>
        <v>-2.714753891498075E-2</v>
      </c>
      <c r="X3425" s="33">
        <f t="shared" si="322"/>
        <v>2.5390041448081345E-2</v>
      </c>
    </row>
    <row r="3426" spans="19:24" x14ac:dyDescent="0.25">
      <c r="S3426" s="44">
        <f t="shared" si="317"/>
        <v>46476</v>
      </c>
      <c r="T3426" s="12">
        <f t="shared" si="318"/>
        <v>2.7120768091965348</v>
      </c>
      <c r="U3426" s="12">
        <f t="shared" si="320"/>
        <v>2.658042872434824</v>
      </c>
      <c r="V3426" s="30">
        <f t="shared" si="321"/>
        <v>0.41026630136986297</v>
      </c>
      <c r="W3426" s="46">
        <f t="shared" si="319"/>
        <v>-2.7120768091965345E-2</v>
      </c>
      <c r="X3426" s="33">
        <f t="shared" si="322"/>
        <v>2.5389999935808392E-2</v>
      </c>
    </row>
    <row r="3427" spans="19:24" x14ac:dyDescent="0.25">
      <c r="S3427" s="44">
        <f t="shared" si="317"/>
        <v>46477</v>
      </c>
      <c r="T3427" s="12">
        <f t="shared" si="318"/>
        <v>2.7093997268949939</v>
      </c>
      <c r="U3427" s="12">
        <f t="shared" si="320"/>
        <v>2.6553916957100339</v>
      </c>
      <c r="V3427" s="30">
        <f t="shared" si="321"/>
        <v>0.41023890410958908</v>
      </c>
      <c r="W3427" s="46">
        <f t="shared" si="319"/>
        <v>-2.7093997268949933E-2</v>
      </c>
      <c r="X3427" s="33">
        <f t="shared" si="322"/>
        <v>2.5389958423535454E-2</v>
      </c>
    </row>
    <row r="3428" spans="19:24" x14ac:dyDescent="0.25">
      <c r="S3428" s="44">
        <f t="shared" si="317"/>
        <v>46478</v>
      </c>
      <c r="T3428" s="12">
        <f t="shared" si="318"/>
        <v>2.7067226445934525</v>
      </c>
      <c r="U3428" s="12">
        <f t="shared" si="320"/>
        <v>2.6527405189852442</v>
      </c>
      <c r="V3428" s="30">
        <f t="shared" si="321"/>
        <v>0.41021150684931507</v>
      </c>
      <c r="W3428" s="46">
        <f t="shared" si="319"/>
        <v>-2.7067226445934522E-2</v>
      </c>
      <c r="X3428" s="33">
        <f t="shared" si="322"/>
        <v>2.5389916911262508E-2</v>
      </c>
    </row>
    <row r="3429" spans="19:24" x14ac:dyDescent="0.25">
      <c r="S3429" s="44">
        <f t="shared" si="317"/>
        <v>46479</v>
      </c>
      <c r="T3429" s="12">
        <f t="shared" si="318"/>
        <v>2.7040455622919111</v>
      </c>
      <c r="U3429" s="12">
        <f t="shared" si="320"/>
        <v>2.6500893422604554</v>
      </c>
      <c r="V3429" s="30">
        <f t="shared" si="321"/>
        <v>0.41018410958904106</v>
      </c>
      <c r="W3429" s="46">
        <f t="shared" si="319"/>
        <v>-2.7040455622919107E-2</v>
      </c>
      <c r="X3429" s="33">
        <f t="shared" si="322"/>
        <v>2.5389875398989559E-2</v>
      </c>
    </row>
    <row r="3430" spans="19:24" x14ac:dyDescent="0.25">
      <c r="S3430" s="44">
        <f t="shared" si="317"/>
        <v>46480</v>
      </c>
      <c r="T3430" s="12">
        <f t="shared" si="318"/>
        <v>2.7013684799903701</v>
      </c>
      <c r="U3430" s="12">
        <f t="shared" si="320"/>
        <v>2.6474381655356662</v>
      </c>
      <c r="V3430" s="30">
        <f t="shared" si="321"/>
        <v>0.41015671232876716</v>
      </c>
      <c r="W3430" s="46">
        <f t="shared" si="319"/>
        <v>-2.7013684799903698E-2</v>
      </c>
      <c r="X3430" s="33">
        <f t="shared" si="322"/>
        <v>2.5389833886716624E-2</v>
      </c>
    </row>
    <row r="3431" spans="19:24" x14ac:dyDescent="0.25">
      <c r="S3431" s="44">
        <f t="shared" si="317"/>
        <v>46481</v>
      </c>
      <c r="T3431" s="12">
        <f t="shared" si="318"/>
        <v>2.6986913976888287</v>
      </c>
      <c r="U3431" s="12">
        <f t="shared" si="320"/>
        <v>2.6447869888108775</v>
      </c>
      <c r="V3431" s="30">
        <f t="shared" si="321"/>
        <v>0.41012931506849315</v>
      </c>
      <c r="W3431" s="46">
        <f t="shared" si="319"/>
        <v>-2.6986913976888283E-2</v>
      </c>
      <c r="X3431" s="33">
        <f t="shared" si="322"/>
        <v>2.5389792374443675E-2</v>
      </c>
    </row>
    <row r="3432" spans="19:24" x14ac:dyDescent="0.25">
      <c r="S3432" s="44">
        <f t="shared" si="317"/>
        <v>46482</v>
      </c>
      <c r="T3432" s="12">
        <f t="shared" si="318"/>
        <v>2.6960143153872869</v>
      </c>
      <c r="U3432" s="12">
        <f t="shared" si="320"/>
        <v>2.6421358120860865</v>
      </c>
      <c r="V3432" s="30">
        <f t="shared" si="321"/>
        <v>0.41010191780821914</v>
      </c>
      <c r="W3432" s="46">
        <f t="shared" si="319"/>
        <v>-2.6960143153872865E-2</v>
      </c>
      <c r="X3432" s="33">
        <f t="shared" si="322"/>
        <v>2.5389750862170733E-2</v>
      </c>
    </row>
    <row r="3433" spans="19:24" x14ac:dyDescent="0.25">
      <c r="S3433" s="44">
        <f t="shared" si="317"/>
        <v>46483</v>
      </c>
      <c r="T3433" s="12">
        <f t="shared" si="318"/>
        <v>2.6933372330857468</v>
      </c>
      <c r="U3433" s="12">
        <f t="shared" si="320"/>
        <v>2.6394846353612977</v>
      </c>
      <c r="V3433" s="30">
        <f t="shared" si="321"/>
        <v>0.41007452054794519</v>
      </c>
      <c r="W3433" s="46">
        <f t="shared" si="319"/>
        <v>-2.6933372330857464E-2</v>
      </c>
      <c r="X3433" s="33">
        <f t="shared" si="322"/>
        <v>2.5389709349897788E-2</v>
      </c>
    </row>
    <row r="3434" spans="19:24" x14ac:dyDescent="0.25">
      <c r="S3434" s="44">
        <f t="shared" si="317"/>
        <v>46484</v>
      </c>
      <c r="T3434" s="12">
        <f t="shared" si="318"/>
        <v>2.690660150784205</v>
      </c>
      <c r="U3434" s="12">
        <f t="shared" si="320"/>
        <v>2.6368334586365094</v>
      </c>
      <c r="V3434" s="30">
        <f t="shared" si="321"/>
        <v>0.41004712328767123</v>
      </c>
      <c r="W3434" s="46">
        <f t="shared" si="319"/>
        <v>-2.6906601507842045E-2</v>
      </c>
      <c r="X3434" s="33">
        <f t="shared" si="322"/>
        <v>2.5389667837624846E-2</v>
      </c>
    </row>
    <row r="3435" spans="19:24" x14ac:dyDescent="0.25">
      <c r="S3435" s="44">
        <f t="shared" si="317"/>
        <v>46485</v>
      </c>
      <c r="T3435" s="12">
        <f t="shared" si="318"/>
        <v>2.687983068482664</v>
      </c>
      <c r="U3435" s="12">
        <f t="shared" si="320"/>
        <v>2.6341822819117198</v>
      </c>
      <c r="V3435" s="30">
        <f t="shared" si="321"/>
        <v>0.41001972602739722</v>
      </c>
      <c r="W3435" s="46">
        <f t="shared" si="319"/>
        <v>-2.6879830684826637E-2</v>
      </c>
      <c r="X3435" s="33">
        <f t="shared" si="322"/>
        <v>2.53896263253519E-2</v>
      </c>
    </row>
    <row r="3436" spans="19:24" x14ac:dyDescent="0.25">
      <c r="S3436" s="44">
        <f t="shared" si="317"/>
        <v>46486</v>
      </c>
      <c r="T3436" s="12">
        <f t="shared" si="318"/>
        <v>2.6853059861811226</v>
      </c>
      <c r="U3436" s="12">
        <f t="shared" si="320"/>
        <v>2.6315311051869301</v>
      </c>
      <c r="V3436" s="30">
        <f t="shared" si="321"/>
        <v>0.40999232876712333</v>
      </c>
      <c r="W3436" s="46">
        <f t="shared" si="319"/>
        <v>-2.6853059861811222E-2</v>
      </c>
      <c r="X3436" s="33">
        <f t="shared" si="322"/>
        <v>2.5389584813078962E-2</v>
      </c>
    </row>
    <row r="3437" spans="19:24" x14ac:dyDescent="0.25">
      <c r="S3437" s="44">
        <f t="shared" si="317"/>
        <v>46487</v>
      </c>
      <c r="T3437" s="12">
        <f t="shared" si="318"/>
        <v>2.6826289038795812</v>
      </c>
      <c r="U3437" s="12">
        <f t="shared" si="320"/>
        <v>2.6288799284621405</v>
      </c>
      <c r="V3437" s="30">
        <f t="shared" si="321"/>
        <v>0.40996493150684932</v>
      </c>
      <c r="W3437" s="46">
        <f t="shared" si="319"/>
        <v>-2.6826289038795807E-2</v>
      </c>
      <c r="X3437" s="33">
        <f t="shared" si="322"/>
        <v>2.5389543300806016E-2</v>
      </c>
    </row>
    <row r="3438" spans="19:24" x14ac:dyDescent="0.25">
      <c r="S3438" s="44">
        <f t="shared" si="317"/>
        <v>46488</v>
      </c>
      <c r="T3438" s="12">
        <f t="shared" si="318"/>
        <v>2.6799518215780402</v>
      </c>
      <c r="U3438" s="12">
        <f t="shared" si="320"/>
        <v>2.6262287517373522</v>
      </c>
      <c r="V3438" s="30">
        <f t="shared" si="321"/>
        <v>0.40993753424657531</v>
      </c>
      <c r="W3438" s="46">
        <f t="shared" si="319"/>
        <v>-2.6799518215780398E-2</v>
      </c>
      <c r="X3438" s="33">
        <f t="shared" si="322"/>
        <v>2.5389501788533067E-2</v>
      </c>
    </row>
    <row r="3439" spans="19:24" x14ac:dyDescent="0.25">
      <c r="S3439" s="44">
        <f t="shared" si="317"/>
        <v>46489</v>
      </c>
      <c r="T3439" s="12">
        <f t="shared" si="318"/>
        <v>2.6772747392764988</v>
      </c>
      <c r="U3439" s="12">
        <f t="shared" si="320"/>
        <v>2.6235775750125621</v>
      </c>
      <c r="V3439" s="30">
        <f t="shared" si="321"/>
        <v>0.40991013698630135</v>
      </c>
      <c r="W3439" s="46">
        <f t="shared" si="319"/>
        <v>-2.6772747392764983E-2</v>
      </c>
      <c r="X3439" s="33">
        <f t="shared" si="322"/>
        <v>2.5389460276260125E-2</v>
      </c>
    </row>
    <row r="3440" spans="19:24" x14ac:dyDescent="0.25">
      <c r="S3440" s="44">
        <f t="shared" si="317"/>
        <v>46490</v>
      </c>
      <c r="T3440" s="12">
        <f t="shared" si="318"/>
        <v>2.6745976569749583</v>
      </c>
      <c r="U3440" s="12">
        <f t="shared" si="320"/>
        <v>2.6209263982877737</v>
      </c>
      <c r="V3440" s="30">
        <f t="shared" si="321"/>
        <v>0.4098827397260274</v>
      </c>
      <c r="W3440" s="46">
        <f t="shared" si="319"/>
        <v>-2.6745976569749579E-2</v>
      </c>
      <c r="X3440" s="33">
        <f t="shared" si="322"/>
        <v>2.5389418763987183E-2</v>
      </c>
    </row>
    <row r="3441" spans="19:24" x14ac:dyDescent="0.25">
      <c r="S3441" s="44">
        <f t="shared" si="317"/>
        <v>46491</v>
      </c>
      <c r="T3441" s="12">
        <f t="shared" si="318"/>
        <v>2.6719205746734169</v>
      </c>
      <c r="U3441" s="12">
        <f t="shared" si="320"/>
        <v>2.6182752215629845</v>
      </c>
      <c r="V3441" s="30">
        <f t="shared" si="321"/>
        <v>0.40985534246575339</v>
      </c>
      <c r="W3441" s="46">
        <f t="shared" si="319"/>
        <v>-2.6719205746734167E-2</v>
      </c>
      <c r="X3441" s="33">
        <f t="shared" si="322"/>
        <v>2.5389377251714237E-2</v>
      </c>
    </row>
    <row r="3442" spans="19:24" x14ac:dyDescent="0.25">
      <c r="S3442" s="44">
        <f t="shared" si="317"/>
        <v>46492</v>
      </c>
      <c r="T3442" s="12">
        <f t="shared" si="318"/>
        <v>2.6692434923718751</v>
      </c>
      <c r="U3442" s="12">
        <f t="shared" si="320"/>
        <v>2.6156240448381949</v>
      </c>
      <c r="V3442" s="30">
        <f t="shared" si="321"/>
        <v>0.40982794520547949</v>
      </c>
      <c r="W3442" s="46">
        <f t="shared" si="319"/>
        <v>-2.6692434923718748E-2</v>
      </c>
      <c r="X3442" s="33">
        <f t="shared" si="322"/>
        <v>2.5389335739441299E-2</v>
      </c>
    </row>
    <row r="3443" spans="19:24" x14ac:dyDescent="0.25">
      <c r="S3443" s="44">
        <f t="shared" ref="S3443:S3506" si="323">+S3442+1</f>
        <v>46493</v>
      </c>
      <c r="T3443" s="12">
        <f t="shared" ref="T3443:T3460" si="324">DurMod(S3443,B$2,$F$7:$G$37,$T$3)</f>
        <v>2.6665664100703332</v>
      </c>
      <c r="U3443" s="12">
        <f t="shared" si="320"/>
        <v>2.6129728681134048</v>
      </c>
      <c r="V3443" s="30">
        <f t="shared" si="321"/>
        <v>0.40980054794520548</v>
      </c>
      <c r="W3443" s="46">
        <f t="shared" ref="W3443:W3460" si="325">+-T3443*($U$3-$T$3)</f>
        <v>-2.666566410070333E-2</v>
      </c>
      <c r="X3443" s="33">
        <f t="shared" si="322"/>
        <v>2.5389294227168353E-2</v>
      </c>
    </row>
    <row r="3444" spans="19:24" x14ac:dyDescent="0.25">
      <c r="S3444" s="44">
        <f t="shared" si="323"/>
        <v>46494</v>
      </c>
      <c r="T3444" s="12">
        <f t="shared" si="324"/>
        <v>2.6638893277687932</v>
      </c>
      <c r="U3444" s="12">
        <f t="shared" si="320"/>
        <v>2.6103216913886165</v>
      </c>
      <c r="V3444" s="30">
        <f t="shared" si="321"/>
        <v>0.40977315068493159</v>
      </c>
      <c r="W3444" s="46">
        <f t="shared" si="325"/>
        <v>-2.6638893277687929E-2</v>
      </c>
      <c r="X3444" s="33">
        <f t="shared" si="322"/>
        <v>2.5389252714895415E-2</v>
      </c>
    </row>
    <row r="3445" spans="19:24" x14ac:dyDescent="0.25">
      <c r="S3445" s="44">
        <f t="shared" si="323"/>
        <v>46495</v>
      </c>
      <c r="T3445" s="12">
        <f t="shared" si="324"/>
        <v>2.6612122454672522</v>
      </c>
      <c r="U3445" s="12">
        <f t="shared" si="320"/>
        <v>2.6076705146638264</v>
      </c>
      <c r="V3445" s="30">
        <f t="shared" si="321"/>
        <v>0.40974575342465758</v>
      </c>
      <c r="W3445" s="46">
        <f t="shared" si="325"/>
        <v>-2.6612122454672517E-2</v>
      </c>
      <c r="X3445" s="33">
        <f t="shared" si="322"/>
        <v>2.5389211202622462E-2</v>
      </c>
    </row>
    <row r="3446" spans="19:24" x14ac:dyDescent="0.25">
      <c r="S3446" s="44">
        <f t="shared" si="323"/>
        <v>46496</v>
      </c>
      <c r="T3446" s="12">
        <f t="shared" si="324"/>
        <v>2.6585351631657113</v>
      </c>
      <c r="U3446" s="12">
        <f t="shared" si="320"/>
        <v>2.6050193379390376</v>
      </c>
      <c r="V3446" s="30">
        <f t="shared" si="321"/>
        <v>0.40971835616438357</v>
      </c>
      <c r="W3446" s="46">
        <f t="shared" si="325"/>
        <v>-2.6585351631657109E-2</v>
      </c>
      <c r="X3446" s="33">
        <f t="shared" si="322"/>
        <v>2.538916969034952E-2</v>
      </c>
    </row>
    <row r="3447" spans="19:24" x14ac:dyDescent="0.25">
      <c r="S3447" s="44">
        <f t="shared" si="323"/>
        <v>46497</v>
      </c>
      <c r="T3447" s="12">
        <f t="shared" si="324"/>
        <v>2.6558580808641694</v>
      </c>
      <c r="U3447" s="12">
        <f t="shared" si="320"/>
        <v>2.602368161214248</v>
      </c>
      <c r="V3447" s="30">
        <f t="shared" si="321"/>
        <v>0.40969095890410961</v>
      </c>
      <c r="W3447" s="46">
        <f t="shared" si="325"/>
        <v>-2.655858080864169E-2</v>
      </c>
      <c r="X3447" s="33">
        <f t="shared" si="322"/>
        <v>2.5389128178076578E-2</v>
      </c>
    </row>
    <row r="3448" spans="19:24" x14ac:dyDescent="0.25">
      <c r="S3448" s="44">
        <f t="shared" si="323"/>
        <v>46498</v>
      </c>
      <c r="T3448" s="12">
        <f t="shared" si="324"/>
        <v>2.653180998562628</v>
      </c>
      <c r="U3448" s="12">
        <f t="shared" si="320"/>
        <v>2.5997169844894583</v>
      </c>
      <c r="V3448" s="30">
        <f t="shared" si="321"/>
        <v>0.40966356164383566</v>
      </c>
      <c r="W3448" s="46">
        <f t="shared" si="325"/>
        <v>-2.6531809985626275E-2</v>
      </c>
      <c r="X3448" s="33">
        <f t="shared" si="322"/>
        <v>2.5389086665803636E-2</v>
      </c>
    </row>
    <row r="3449" spans="19:24" x14ac:dyDescent="0.25">
      <c r="S3449" s="44">
        <f t="shared" si="323"/>
        <v>46499</v>
      </c>
      <c r="T3449" s="12">
        <f t="shared" si="324"/>
        <v>2.6505039162610879</v>
      </c>
      <c r="U3449" s="12">
        <f t="shared" si="320"/>
        <v>2.5970658077646691</v>
      </c>
      <c r="V3449" s="30">
        <f t="shared" si="321"/>
        <v>0.40963616438356165</v>
      </c>
      <c r="W3449" s="46">
        <f t="shared" si="325"/>
        <v>-2.6505039162610874E-2</v>
      </c>
      <c r="X3449" s="33">
        <f t="shared" si="322"/>
        <v>2.5389045153530691E-2</v>
      </c>
    </row>
    <row r="3450" spans="19:24" x14ac:dyDescent="0.25">
      <c r="S3450" s="44">
        <f t="shared" si="323"/>
        <v>46500</v>
      </c>
      <c r="T3450" s="12">
        <f t="shared" si="324"/>
        <v>2.6478268339595457</v>
      </c>
      <c r="U3450" s="12">
        <f t="shared" si="320"/>
        <v>2.5944146310398808</v>
      </c>
      <c r="V3450" s="30">
        <f t="shared" si="321"/>
        <v>0.4096087671232877</v>
      </c>
      <c r="W3450" s="46">
        <f t="shared" si="325"/>
        <v>-2.6478268339595452E-2</v>
      </c>
      <c r="X3450" s="33">
        <f t="shared" si="322"/>
        <v>2.5389003641257749E-2</v>
      </c>
    </row>
    <row r="3451" spans="19:24" x14ac:dyDescent="0.25">
      <c r="S3451" s="44">
        <f t="shared" si="323"/>
        <v>46501</v>
      </c>
      <c r="T3451" s="12">
        <f t="shared" si="324"/>
        <v>2.6451497516580047</v>
      </c>
      <c r="U3451" s="12">
        <f t="shared" si="320"/>
        <v>2.5917634543150907</v>
      </c>
      <c r="V3451" s="30">
        <f t="shared" si="321"/>
        <v>0.40958136986301374</v>
      </c>
      <c r="W3451" s="46">
        <f t="shared" si="325"/>
        <v>-2.6451497516580044E-2</v>
      </c>
      <c r="X3451" s="33">
        <f t="shared" si="322"/>
        <v>2.5388962128984807E-2</v>
      </c>
    </row>
    <row r="3452" spans="19:24" x14ac:dyDescent="0.25">
      <c r="S3452" s="44">
        <f t="shared" si="323"/>
        <v>46502</v>
      </c>
      <c r="T3452" s="12">
        <f t="shared" si="324"/>
        <v>2.6424726693564637</v>
      </c>
      <c r="U3452" s="12">
        <f t="shared" si="320"/>
        <v>2.5891122775903015</v>
      </c>
      <c r="V3452" s="30">
        <f t="shared" si="321"/>
        <v>0.40955397260273974</v>
      </c>
      <c r="W3452" s="46">
        <f t="shared" si="325"/>
        <v>-2.6424726693564632E-2</v>
      </c>
      <c r="X3452" s="33">
        <f t="shared" si="322"/>
        <v>2.5388920616711854E-2</v>
      </c>
    </row>
    <row r="3453" spans="19:24" x14ac:dyDescent="0.25">
      <c r="S3453" s="44">
        <f t="shared" si="323"/>
        <v>46503</v>
      </c>
      <c r="T3453" s="12">
        <f t="shared" si="324"/>
        <v>2.6397955870549219</v>
      </c>
      <c r="U3453" s="12">
        <f t="shared" si="320"/>
        <v>2.5864611008655123</v>
      </c>
      <c r="V3453" s="30">
        <f t="shared" si="321"/>
        <v>0.40952657534246578</v>
      </c>
      <c r="W3453" s="46">
        <f t="shared" si="325"/>
        <v>-2.6397955870549213E-2</v>
      </c>
      <c r="X3453" s="33">
        <f t="shared" si="322"/>
        <v>2.5388879104438915E-2</v>
      </c>
    </row>
    <row r="3454" spans="19:24" x14ac:dyDescent="0.25">
      <c r="S3454" s="44">
        <f t="shared" si="323"/>
        <v>46504</v>
      </c>
      <c r="T3454" s="12">
        <f t="shared" si="324"/>
        <v>2.6371185047533809</v>
      </c>
      <c r="U3454" s="12">
        <f t="shared" si="320"/>
        <v>2.5838099241407226</v>
      </c>
      <c r="V3454" s="30">
        <f t="shared" si="321"/>
        <v>0.40949917808219183</v>
      </c>
      <c r="W3454" s="46">
        <f t="shared" si="325"/>
        <v>-2.6371185047533805E-2</v>
      </c>
      <c r="X3454" s="33">
        <f t="shared" si="322"/>
        <v>2.538883759216597E-2</v>
      </c>
    </row>
    <row r="3455" spans="19:24" x14ac:dyDescent="0.25">
      <c r="S3455" s="44">
        <f t="shared" si="323"/>
        <v>46505</v>
      </c>
      <c r="T3455" s="12">
        <f t="shared" si="324"/>
        <v>2.6344414224518395</v>
      </c>
      <c r="U3455" s="12">
        <f t="shared" si="320"/>
        <v>2.5811587474159339</v>
      </c>
      <c r="V3455" s="30">
        <f t="shared" si="321"/>
        <v>0.40947178082191782</v>
      </c>
      <c r="W3455" s="46">
        <f t="shared" si="325"/>
        <v>-2.634441422451839E-2</v>
      </c>
      <c r="X3455" s="33">
        <f t="shared" si="322"/>
        <v>2.5388796079893028E-2</v>
      </c>
    </row>
    <row r="3456" spans="19:24" x14ac:dyDescent="0.25">
      <c r="S3456" s="44">
        <f t="shared" si="323"/>
        <v>46506</v>
      </c>
      <c r="T3456" s="12">
        <f t="shared" si="324"/>
        <v>2.631764340150299</v>
      </c>
      <c r="U3456" s="12">
        <f t="shared" si="320"/>
        <v>2.5785075706911447</v>
      </c>
      <c r="V3456" s="30">
        <f t="shared" si="321"/>
        <v>0.40944438356164387</v>
      </c>
      <c r="W3456" s="46">
        <f t="shared" si="325"/>
        <v>-2.6317643401502985E-2</v>
      </c>
      <c r="X3456" s="33">
        <f t="shared" si="322"/>
        <v>2.5388754567620082E-2</v>
      </c>
    </row>
    <row r="3457" spans="19:24" x14ac:dyDescent="0.25">
      <c r="S3457" s="44">
        <f t="shared" si="323"/>
        <v>46507</v>
      </c>
      <c r="T3457" s="12">
        <f t="shared" si="324"/>
        <v>2.6290872578487576</v>
      </c>
      <c r="U3457" s="12">
        <f t="shared" si="320"/>
        <v>2.5758563939663555</v>
      </c>
      <c r="V3457" s="30">
        <f t="shared" si="321"/>
        <v>0.40941698630136986</v>
      </c>
      <c r="W3457" s="46">
        <f t="shared" si="325"/>
        <v>-2.6290872578487574E-2</v>
      </c>
      <c r="X3457" s="33">
        <f t="shared" si="322"/>
        <v>2.538871305534714E-2</v>
      </c>
    </row>
    <row r="3458" spans="19:24" x14ac:dyDescent="0.25">
      <c r="S3458" s="44">
        <f t="shared" si="323"/>
        <v>46508</v>
      </c>
      <c r="T3458" s="12">
        <f t="shared" si="324"/>
        <v>2.6264101755472162</v>
      </c>
      <c r="U3458" s="12">
        <f t="shared" si="320"/>
        <v>2.5732052172415658</v>
      </c>
      <c r="V3458" s="30">
        <f t="shared" si="321"/>
        <v>0.4093895890410959</v>
      </c>
      <c r="W3458" s="46">
        <f t="shared" si="325"/>
        <v>-2.6264101755472159E-2</v>
      </c>
      <c r="X3458" s="33">
        <f t="shared" si="322"/>
        <v>2.5388671543074198E-2</v>
      </c>
    </row>
    <row r="3459" spans="19:24" x14ac:dyDescent="0.25">
      <c r="S3459" s="44">
        <f t="shared" si="323"/>
        <v>46509</v>
      </c>
      <c r="T3459" s="12">
        <f t="shared" si="324"/>
        <v>2.6237330932456757</v>
      </c>
      <c r="U3459" s="12">
        <f t="shared" si="320"/>
        <v>2.5705540405167766</v>
      </c>
      <c r="V3459" s="30">
        <f t="shared" si="321"/>
        <v>0.40936219178082189</v>
      </c>
      <c r="W3459" s="46">
        <f t="shared" si="325"/>
        <v>-2.6237330932456754E-2</v>
      </c>
      <c r="X3459" s="33">
        <f t="shared" si="322"/>
        <v>2.5388630030801249E-2</v>
      </c>
    </row>
    <row r="3460" spans="19:24" x14ac:dyDescent="0.25">
      <c r="S3460" s="44">
        <f t="shared" si="323"/>
        <v>46510</v>
      </c>
      <c r="T3460" s="12">
        <f t="shared" si="324"/>
        <v>2.6210560109441339</v>
      </c>
      <c r="U3460" s="12">
        <f t="shared" si="320"/>
        <v>2.567902863791987</v>
      </c>
      <c r="V3460" s="30">
        <f t="shared" si="321"/>
        <v>0.409334794520548</v>
      </c>
      <c r="W3460" s="46">
        <f t="shared" si="325"/>
        <v>-2.6210560109441335E-2</v>
      </c>
      <c r="X3460" s="33">
        <f t="shared" si="322"/>
        <v>2.5388588518528307E-2</v>
      </c>
    </row>
    <row r="3461" spans="19:24" x14ac:dyDescent="0.25">
      <c r="S3461" s="44">
        <f t="shared" si="323"/>
        <v>46511</v>
      </c>
      <c r="T3461" s="12">
        <f t="shared" ref="T3461:T3524" si="326">DurMod(S3461,B$2,$F$7:$G$37,$T$3)</f>
        <v>2.6183789286425925</v>
      </c>
      <c r="U3461" s="12">
        <f t="shared" si="320"/>
        <v>2.5652516870671973</v>
      </c>
      <c r="V3461" s="30">
        <f t="shared" ref="V3461:V3524" si="327">+$U$3*($S$5512-S3461)/365+$T$3*(S3461-$S$4)/365</f>
        <v>0.40930739726027399</v>
      </c>
      <c r="W3461" s="46">
        <f t="shared" ref="W3461:W3524" si="328">+-T3461*($U$3-$T$3)</f>
        <v>-2.618378928642592E-2</v>
      </c>
      <c r="X3461" s="33">
        <f t="shared" ref="X3461:X3524" si="329">+(V3461+W3461)*365/($S$5512-$S$4)</f>
        <v>2.5388547006255365E-2</v>
      </c>
    </row>
    <row r="3462" spans="19:24" x14ac:dyDescent="0.25">
      <c r="S3462" s="44">
        <f t="shared" si="323"/>
        <v>46512</v>
      </c>
      <c r="T3462" s="12">
        <f t="shared" si="326"/>
        <v>2.615701846341052</v>
      </c>
      <c r="U3462" s="12">
        <f t="shared" ref="U3462:U3525" si="330">DurMod($S3462,$B$2,$F$7:$G$37,U$3)</f>
        <v>2.5626005103424077</v>
      </c>
      <c r="V3462" s="30">
        <f t="shared" si="327"/>
        <v>0.40928000000000003</v>
      </c>
      <c r="W3462" s="46">
        <f t="shared" si="328"/>
        <v>-2.6157018463410515E-2</v>
      </c>
      <c r="X3462" s="33">
        <f t="shared" si="329"/>
        <v>2.5388505493982423E-2</v>
      </c>
    </row>
    <row r="3463" spans="19:24" x14ac:dyDescent="0.25">
      <c r="S3463" s="44">
        <f t="shared" si="323"/>
        <v>46513</v>
      </c>
      <c r="T3463" s="12">
        <f t="shared" si="326"/>
        <v>2.6130247640395106</v>
      </c>
      <c r="U3463" s="12">
        <f t="shared" si="330"/>
        <v>2.5599493336176193</v>
      </c>
      <c r="V3463" s="30">
        <f t="shared" si="327"/>
        <v>0.40925260273972602</v>
      </c>
      <c r="W3463" s="46">
        <f t="shared" si="328"/>
        <v>-2.61302476403951E-2</v>
      </c>
      <c r="X3463" s="33">
        <f t="shared" si="329"/>
        <v>2.5388463981709471E-2</v>
      </c>
    </row>
    <row r="3464" spans="19:24" x14ac:dyDescent="0.25">
      <c r="S3464" s="44">
        <f t="shared" si="323"/>
        <v>46514</v>
      </c>
      <c r="T3464" s="12">
        <f t="shared" si="326"/>
        <v>2.6103476817379696</v>
      </c>
      <c r="U3464" s="12">
        <f t="shared" si="330"/>
        <v>2.5572981568928292</v>
      </c>
      <c r="V3464" s="30">
        <f t="shared" si="327"/>
        <v>0.40922520547945207</v>
      </c>
      <c r="W3464" s="46">
        <f t="shared" si="328"/>
        <v>-2.6103476817379692E-2</v>
      </c>
      <c r="X3464" s="33">
        <f t="shared" si="329"/>
        <v>2.5388422469436536E-2</v>
      </c>
    </row>
    <row r="3465" spans="19:24" x14ac:dyDescent="0.25">
      <c r="S3465" s="44">
        <f t="shared" si="323"/>
        <v>46515</v>
      </c>
      <c r="T3465" s="12">
        <f t="shared" si="326"/>
        <v>2.6076705994364273</v>
      </c>
      <c r="U3465" s="12">
        <f t="shared" si="330"/>
        <v>2.5546469801680405</v>
      </c>
      <c r="V3465" s="30">
        <f t="shared" si="327"/>
        <v>0.40919780821917806</v>
      </c>
      <c r="W3465" s="46">
        <f t="shared" si="328"/>
        <v>-2.607670599436427E-2</v>
      </c>
      <c r="X3465" s="33">
        <f t="shared" si="329"/>
        <v>2.5388380957163587E-2</v>
      </c>
    </row>
    <row r="3466" spans="19:24" x14ac:dyDescent="0.25">
      <c r="S3466" s="44">
        <f t="shared" si="323"/>
        <v>46516</v>
      </c>
      <c r="T3466" s="12">
        <f t="shared" si="326"/>
        <v>2.6049935171348868</v>
      </c>
      <c r="U3466" s="12">
        <f t="shared" si="330"/>
        <v>2.5519958034432517</v>
      </c>
      <c r="V3466" s="30">
        <f t="shared" si="327"/>
        <v>0.40917041095890411</v>
      </c>
      <c r="W3466" s="46">
        <f t="shared" si="328"/>
        <v>-2.6049935171348865E-2</v>
      </c>
      <c r="X3466" s="33">
        <f t="shared" si="329"/>
        <v>2.5388339444890645E-2</v>
      </c>
    </row>
    <row r="3467" spans="19:24" x14ac:dyDescent="0.25">
      <c r="S3467" s="44">
        <f t="shared" si="323"/>
        <v>46517</v>
      </c>
      <c r="T3467" s="12">
        <f t="shared" si="326"/>
        <v>2.6023164348333458</v>
      </c>
      <c r="U3467" s="12">
        <f t="shared" si="330"/>
        <v>2.5493446267184625</v>
      </c>
      <c r="V3467" s="30">
        <f t="shared" si="327"/>
        <v>0.40914301369863015</v>
      </c>
      <c r="W3467" s="46">
        <f t="shared" si="328"/>
        <v>-2.6023164348333454E-2</v>
      </c>
      <c r="X3467" s="33">
        <f t="shared" si="329"/>
        <v>2.5388297932617699E-2</v>
      </c>
    </row>
    <row r="3468" spans="19:24" x14ac:dyDescent="0.25">
      <c r="S3468" s="44">
        <f t="shared" si="323"/>
        <v>46518</v>
      </c>
      <c r="T3468" s="12">
        <f t="shared" si="326"/>
        <v>2.599639352531804</v>
      </c>
      <c r="U3468" s="12">
        <f t="shared" si="330"/>
        <v>2.5466934499936729</v>
      </c>
      <c r="V3468" s="30">
        <f t="shared" si="327"/>
        <v>0.40911561643835614</v>
      </c>
      <c r="W3468" s="46">
        <f t="shared" si="328"/>
        <v>-2.5996393525318035E-2</v>
      </c>
      <c r="X3468" s="33">
        <f t="shared" si="329"/>
        <v>2.5388256420344757E-2</v>
      </c>
    </row>
    <row r="3469" spans="19:24" x14ac:dyDescent="0.25">
      <c r="S3469" s="44">
        <f t="shared" si="323"/>
        <v>46519</v>
      </c>
      <c r="T3469" s="12">
        <f t="shared" si="326"/>
        <v>2.596962270230263</v>
      </c>
      <c r="U3469" s="12">
        <f t="shared" si="330"/>
        <v>2.5440422732688828</v>
      </c>
      <c r="V3469" s="30">
        <f t="shared" si="327"/>
        <v>0.40908821917808219</v>
      </c>
      <c r="W3469" s="46">
        <f t="shared" si="328"/>
        <v>-2.5969622702302627E-2</v>
      </c>
      <c r="X3469" s="33">
        <f t="shared" si="329"/>
        <v>2.5388214908071808E-2</v>
      </c>
    </row>
    <row r="3470" spans="19:24" x14ac:dyDescent="0.25">
      <c r="S3470" s="44">
        <f t="shared" si="323"/>
        <v>46520</v>
      </c>
      <c r="T3470" s="12">
        <f t="shared" si="326"/>
        <v>2.5942851879287221</v>
      </c>
      <c r="U3470" s="12">
        <f t="shared" si="330"/>
        <v>2.541391096544094</v>
      </c>
      <c r="V3470" s="30">
        <f t="shared" si="327"/>
        <v>0.40906082191780824</v>
      </c>
      <c r="W3470" s="46">
        <f t="shared" si="328"/>
        <v>-2.5942851879287215E-2</v>
      </c>
      <c r="X3470" s="33">
        <f t="shared" si="329"/>
        <v>2.5388173395798866E-2</v>
      </c>
    </row>
    <row r="3471" spans="19:24" x14ac:dyDescent="0.25">
      <c r="S3471" s="44">
        <f t="shared" si="323"/>
        <v>46521</v>
      </c>
      <c r="T3471" s="12">
        <f t="shared" si="326"/>
        <v>2.5916081056271811</v>
      </c>
      <c r="U3471" s="12">
        <f t="shared" si="330"/>
        <v>2.5387399198193048</v>
      </c>
      <c r="V3471" s="30">
        <f t="shared" si="327"/>
        <v>0.40903342465753423</v>
      </c>
      <c r="W3471" s="46">
        <f t="shared" si="328"/>
        <v>-2.5916081056271807E-2</v>
      </c>
      <c r="X3471" s="33">
        <f t="shared" si="329"/>
        <v>2.5388131883525924E-2</v>
      </c>
    </row>
    <row r="3472" spans="19:24" x14ac:dyDescent="0.25">
      <c r="S3472" s="44">
        <f t="shared" si="323"/>
        <v>46522</v>
      </c>
      <c r="T3472" s="12">
        <f t="shared" si="326"/>
        <v>2.5889310233256402</v>
      </c>
      <c r="U3472" s="12">
        <f t="shared" si="330"/>
        <v>2.536088743094516</v>
      </c>
      <c r="V3472" s="30">
        <f t="shared" si="327"/>
        <v>0.40900602739726027</v>
      </c>
      <c r="W3472" s="46">
        <f t="shared" si="328"/>
        <v>-2.5889310233256399E-2</v>
      </c>
      <c r="X3472" s="33">
        <f t="shared" si="329"/>
        <v>2.5388090371252978E-2</v>
      </c>
    </row>
    <row r="3473" spans="19:24" x14ac:dyDescent="0.25">
      <c r="S3473" s="44">
        <f t="shared" si="323"/>
        <v>46523</v>
      </c>
      <c r="T3473" s="12">
        <f t="shared" si="326"/>
        <v>2.5862539410240983</v>
      </c>
      <c r="U3473" s="12">
        <f t="shared" si="330"/>
        <v>2.5334375663697264</v>
      </c>
      <c r="V3473" s="30">
        <f t="shared" si="327"/>
        <v>0.40897863013698627</v>
      </c>
      <c r="W3473" s="46">
        <f t="shared" si="328"/>
        <v>-2.586253941024098E-2</v>
      </c>
      <c r="X3473" s="33">
        <f t="shared" si="329"/>
        <v>2.5388048858980036E-2</v>
      </c>
    </row>
    <row r="3474" spans="19:24" x14ac:dyDescent="0.25">
      <c r="S3474" s="44">
        <f t="shared" si="323"/>
        <v>46524</v>
      </c>
      <c r="T3474" s="12">
        <f t="shared" si="326"/>
        <v>2.5835768587225574</v>
      </c>
      <c r="U3474" s="12">
        <f t="shared" si="330"/>
        <v>2.5307863896449372</v>
      </c>
      <c r="V3474" s="30">
        <f t="shared" si="327"/>
        <v>0.40895123287671231</v>
      </c>
      <c r="W3474" s="46">
        <f t="shared" si="328"/>
        <v>-2.5835768587225569E-2</v>
      </c>
      <c r="X3474" s="33">
        <f t="shared" si="329"/>
        <v>2.5388007346707091E-2</v>
      </c>
    </row>
    <row r="3475" spans="19:24" x14ac:dyDescent="0.25">
      <c r="S3475" s="44">
        <f t="shared" si="323"/>
        <v>46525</v>
      </c>
      <c r="T3475" s="12">
        <f t="shared" si="326"/>
        <v>2.580899776421016</v>
      </c>
      <c r="U3475" s="12">
        <f t="shared" si="330"/>
        <v>2.5281352129201471</v>
      </c>
      <c r="V3475" s="30">
        <f t="shared" si="327"/>
        <v>0.4089238356164383</v>
      </c>
      <c r="W3475" s="46">
        <f t="shared" si="328"/>
        <v>-2.5808997764210157E-2</v>
      </c>
      <c r="X3475" s="33">
        <f t="shared" si="329"/>
        <v>2.5387965834434149E-2</v>
      </c>
    </row>
    <row r="3476" spans="19:24" x14ac:dyDescent="0.25">
      <c r="S3476" s="44">
        <f t="shared" si="323"/>
        <v>46526</v>
      </c>
      <c r="T3476" s="12">
        <f t="shared" si="326"/>
        <v>2.578222694119475</v>
      </c>
      <c r="U3476" s="12">
        <f t="shared" si="330"/>
        <v>2.5254840361953583</v>
      </c>
      <c r="V3476" s="30">
        <f t="shared" si="327"/>
        <v>0.4088964383561644</v>
      </c>
      <c r="W3476" s="46">
        <f t="shared" si="328"/>
        <v>-2.5782226941194746E-2</v>
      </c>
      <c r="X3476" s="33">
        <f t="shared" si="329"/>
        <v>2.5387924322161207E-2</v>
      </c>
    </row>
    <row r="3477" spans="19:24" x14ac:dyDescent="0.25">
      <c r="S3477" s="44">
        <f t="shared" si="323"/>
        <v>46527</v>
      </c>
      <c r="T3477" s="12">
        <f t="shared" si="326"/>
        <v>2.5755456118179341</v>
      </c>
      <c r="U3477" s="12">
        <f t="shared" si="330"/>
        <v>2.5228328594705691</v>
      </c>
      <c r="V3477" s="30">
        <f t="shared" si="327"/>
        <v>0.4088690410958904</v>
      </c>
      <c r="W3477" s="46">
        <f t="shared" si="328"/>
        <v>-2.5755456118179337E-2</v>
      </c>
      <c r="X3477" s="33">
        <f t="shared" si="329"/>
        <v>2.5387882809888265E-2</v>
      </c>
    </row>
    <row r="3478" spans="19:24" x14ac:dyDescent="0.25">
      <c r="S3478" s="44">
        <f t="shared" si="323"/>
        <v>46528</v>
      </c>
      <c r="T3478" s="12">
        <f t="shared" si="326"/>
        <v>2.5728685295163922</v>
      </c>
      <c r="U3478" s="12">
        <f t="shared" si="330"/>
        <v>2.5201816827457799</v>
      </c>
      <c r="V3478" s="30">
        <f t="shared" si="327"/>
        <v>0.40884164383561644</v>
      </c>
      <c r="W3478" s="46">
        <f t="shared" si="328"/>
        <v>-2.5728685295163919E-2</v>
      </c>
      <c r="X3478" s="33">
        <f t="shared" si="329"/>
        <v>2.5387841297615316E-2</v>
      </c>
    </row>
    <row r="3479" spans="19:24" x14ac:dyDescent="0.25">
      <c r="S3479" s="44">
        <f t="shared" si="323"/>
        <v>46529</v>
      </c>
      <c r="T3479" s="12">
        <f t="shared" si="326"/>
        <v>2.5701914472148517</v>
      </c>
      <c r="U3479" s="12">
        <f t="shared" si="330"/>
        <v>2.5175305060209907</v>
      </c>
      <c r="V3479" s="30">
        <f t="shared" si="327"/>
        <v>0.40881424657534243</v>
      </c>
      <c r="W3479" s="46">
        <f t="shared" si="328"/>
        <v>-2.5701914472148514E-2</v>
      </c>
      <c r="X3479" s="33">
        <f t="shared" si="329"/>
        <v>2.538779978534237E-2</v>
      </c>
    </row>
    <row r="3480" spans="19:24" x14ac:dyDescent="0.25">
      <c r="S3480" s="44">
        <f t="shared" si="323"/>
        <v>46530</v>
      </c>
      <c r="T3480" s="12">
        <f t="shared" si="326"/>
        <v>2.5675143649133103</v>
      </c>
      <c r="U3480" s="12">
        <f t="shared" si="330"/>
        <v>2.5148793292962011</v>
      </c>
      <c r="V3480" s="30">
        <f t="shared" si="327"/>
        <v>0.40878684931506848</v>
      </c>
      <c r="W3480" s="46">
        <f t="shared" si="328"/>
        <v>-2.5675143649133099E-2</v>
      </c>
      <c r="X3480" s="33">
        <f t="shared" si="329"/>
        <v>2.5387758273069428E-2</v>
      </c>
    </row>
    <row r="3481" spans="19:24" x14ac:dyDescent="0.25">
      <c r="S3481" s="44">
        <f t="shared" si="323"/>
        <v>46531</v>
      </c>
      <c r="T3481" s="12">
        <f t="shared" si="326"/>
        <v>2.5648372826117689</v>
      </c>
      <c r="U3481" s="12">
        <f t="shared" si="330"/>
        <v>2.5122281525714119</v>
      </c>
      <c r="V3481" s="30">
        <f t="shared" si="327"/>
        <v>0.40875945205479447</v>
      </c>
      <c r="W3481" s="46">
        <f t="shared" si="328"/>
        <v>-2.5648372826117684E-2</v>
      </c>
      <c r="X3481" s="33">
        <f t="shared" si="329"/>
        <v>2.5387716760796479E-2</v>
      </c>
    </row>
    <row r="3482" spans="19:24" x14ac:dyDescent="0.25">
      <c r="S3482" s="44">
        <f t="shared" si="323"/>
        <v>46532</v>
      </c>
      <c r="T3482" s="12">
        <f t="shared" si="326"/>
        <v>2.562160200310228</v>
      </c>
      <c r="U3482" s="12">
        <f t="shared" si="330"/>
        <v>2.5095769758466222</v>
      </c>
      <c r="V3482" s="30">
        <f t="shared" si="327"/>
        <v>0.40873205479452052</v>
      </c>
      <c r="W3482" s="46">
        <f t="shared" si="328"/>
        <v>-2.5621602003102276E-2</v>
      </c>
      <c r="X3482" s="33">
        <f t="shared" si="329"/>
        <v>2.5387675248523544E-2</v>
      </c>
    </row>
    <row r="3483" spans="19:24" x14ac:dyDescent="0.25">
      <c r="S3483" s="44">
        <f t="shared" si="323"/>
        <v>46533</v>
      </c>
      <c r="T3483" s="12">
        <f t="shared" si="326"/>
        <v>2.559483118008687</v>
      </c>
      <c r="U3483" s="12">
        <f t="shared" si="330"/>
        <v>2.5069257991218334</v>
      </c>
      <c r="V3483" s="30">
        <f t="shared" si="327"/>
        <v>0.40870465753424656</v>
      </c>
      <c r="W3483" s="46">
        <f t="shared" si="328"/>
        <v>-2.5594831180086867E-2</v>
      </c>
      <c r="X3483" s="33">
        <f t="shared" si="329"/>
        <v>2.5387633736250595E-2</v>
      </c>
    </row>
    <row r="3484" spans="19:24" x14ac:dyDescent="0.25">
      <c r="S3484" s="44">
        <f t="shared" si="323"/>
        <v>46534</v>
      </c>
      <c r="T3484" s="12">
        <f t="shared" si="326"/>
        <v>2.5568060357071452</v>
      </c>
      <c r="U3484" s="12">
        <f t="shared" si="330"/>
        <v>2.5042746223970438</v>
      </c>
      <c r="V3484" s="30">
        <f t="shared" si="327"/>
        <v>0.40867726027397255</v>
      </c>
      <c r="W3484" s="46">
        <f t="shared" si="328"/>
        <v>-2.5568060357071449E-2</v>
      </c>
      <c r="X3484" s="33">
        <f t="shared" si="329"/>
        <v>2.5387592223977653E-2</v>
      </c>
    </row>
    <row r="3485" spans="19:24" x14ac:dyDescent="0.25">
      <c r="S3485" s="44">
        <f t="shared" si="323"/>
        <v>46535</v>
      </c>
      <c r="T3485" s="12">
        <f t="shared" si="326"/>
        <v>2.5541289534056033</v>
      </c>
      <c r="U3485" s="12">
        <f t="shared" si="330"/>
        <v>2.501623445672255</v>
      </c>
      <c r="V3485" s="30">
        <f t="shared" si="327"/>
        <v>0.4086498630136986</v>
      </c>
      <c r="W3485" s="46">
        <f t="shared" si="328"/>
        <v>-2.554128953405603E-2</v>
      </c>
      <c r="X3485" s="33">
        <f t="shared" si="329"/>
        <v>2.5387550711704707E-2</v>
      </c>
    </row>
    <row r="3486" spans="19:24" x14ac:dyDescent="0.25">
      <c r="S3486" s="44">
        <f t="shared" si="323"/>
        <v>46536</v>
      </c>
      <c r="T3486" s="12">
        <f t="shared" si="326"/>
        <v>2.5514518711040637</v>
      </c>
      <c r="U3486" s="12">
        <f t="shared" si="330"/>
        <v>2.4989722689474658</v>
      </c>
      <c r="V3486" s="30">
        <f t="shared" si="327"/>
        <v>0.40862246575342465</v>
      </c>
      <c r="W3486" s="46">
        <f t="shared" si="328"/>
        <v>-2.5514518711040633E-2</v>
      </c>
      <c r="X3486" s="33">
        <f t="shared" si="329"/>
        <v>2.5387509199431765E-2</v>
      </c>
    </row>
    <row r="3487" spans="19:24" x14ac:dyDescent="0.25">
      <c r="S3487" s="44">
        <f t="shared" si="323"/>
        <v>46537</v>
      </c>
      <c r="T3487" s="12">
        <f t="shared" si="326"/>
        <v>2.5487747888025218</v>
      </c>
      <c r="U3487" s="12">
        <f t="shared" si="330"/>
        <v>2.4963210922226762</v>
      </c>
      <c r="V3487" s="30">
        <f t="shared" si="327"/>
        <v>0.40859506849315069</v>
      </c>
      <c r="W3487" s="46">
        <f t="shared" si="328"/>
        <v>-2.5487747888025214E-2</v>
      </c>
      <c r="X3487" s="33">
        <f t="shared" si="329"/>
        <v>2.5387467687158823E-2</v>
      </c>
    </row>
    <row r="3488" spans="19:24" x14ac:dyDescent="0.25">
      <c r="S3488" s="44">
        <f t="shared" si="323"/>
        <v>46538</v>
      </c>
      <c r="T3488" s="12">
        <f t="shared" si="326"/>
        <v>2.5460977065009809</v>
      </c>
      <c r="U3488" s="12">
        <f t="shared" si="330"/>
        <v>2.4936699154978874</v>
      </c>
      <c r="V3488" s="30">
        <f t="shared" si="327"/>
        <v>0.40856767123287674</v>
      </c>
      <c r="W3488" s="46">
        <f t="shared" si="328"/>
        <v>-2.5460977065009806E-2</v>
      </c>
      <c r="X3488" s="33">
        <f t="shared" si="329"/>
        <v>2.5387426174885881E-2</v>
      </c>
    </row>
    <row r="3489" spans="19:24" x14ac:dyDescent="0.25">
      <c r="S3489" s="44">
        <f t="shared" si="323"/>
        <v>46539</v>
      </c>
      <c r="T3489" s="12">
        <f t="shared" si="326"/>
        <v>2.543420624199439</v>
      </c>
      <c r="U3489" s="12">
        <f t="shared" si="330"/>
        <v>2.4910187387730978</v>
      </c>
      <c r="V3489" s="30">
        <f t="shared" si="327"/>
        <v>0.40854027397260273</v>
      </c>
      <c r="W3489" s="46">
        <f t="shared" si="328"/>
        <v>-2.5434206241994387E-2</v>
      </c>
      <c r="X3489" s="33">
        <f t="shared" si="329"/>
        <v>2.5387384662612932E-2</v>
      </c>
    </row>
    <row r="3490" spans="19:24" x14ac:dyDescent="0.25">
      <c r="S3490" s="44">
        <f t="shared" si="323"/>
        <v>46540</v>
      </c>
      <c r="T3490" s="12">
        <f t="shared" si="326"/>
        <v>2.5407435418978981</v>
      </c>
      <c r="U3490" s="12">
        <f t="shared" si="330"/>
        <v>2.4883675620483081</v>
      </c>
      <c r="V3490" s="30">
        <f t="shared" si="327"/>
        <v>0.40851287671232878</v>
      </c>
      <c r="W3490" s="46">
        <f t="shared" si="328"/>
        <v>-2.5407435418978976E-2</v>
      </c>
      <c r="X3490" s="33">
        <f t="shared" si="329"/>
        <v>2.538734315033999E-2</v>
      </c>
    </row>
    <row r="3491" spans="19:24" x14ac:dyDescent="0.25">
      <c r="S3491" s="44">
        <f t="shared" si="323"/>
        <v>46541</v>
      </c>
      <c r="T3491" s="12">
        <f t="shared" si="326"/>
        <v>2.5380664595963571</v>
      </c>
      <c r="U3491" s="12">
        <f t="shared" si="330"/>
        <v>2.4857163853235189</v>
      </c>
      <c r="V3491" s="30">
        <f t="shared" si="327"/>
        <v>0.40848547945205482</v>
      </c>
      <c r="W3491" s="46">
        <f t="shared" si="328"/>
        <v>-2.5380664595963567E-2</v>
      </c>
      <c r="X3491" s="33">
        <f t="shared" si="329"/>
        <v>2.5387301638067048E-2</v>
      </c>
    </row>
    <row r="3492" spans="19:24" x14ac:dyDescent="0.25">
      <c r="S3492" s="44">
        <f t="shared" si="323"/>
        <v>46542</v>
      </c>
      <c r="T3492" s="12">
        <f t="shared" si="326"/>
        <v>2.5353893772948148</v>
      </c>
      <c r="U3492" s="12">
        <f t="shared" si="330"/>
        <v>2.4830652085987301</v>
      </c>
      <c r="V3492" s="30">
        <f t="shared" si="327"/>
        <v>0.40845808219178081</v>
      </c>
      <c r="W3492" s="46">
        <f t="shared" si="328"/>
        <v>-2.5353893772948145E-2</v>
      </c>
      <c r="X3492" s="33">
        <f t="shared" si="329"/>
        <v>2.5387260125794103E-2</v>
      </c>
    </row>
    <row r="3493" spans="19:24" x14ac:dyDescent="0.25">
      <c r="S3493" s="44">
        <f t="shared" si="323"/>
        <v>46543</v>
      </c>
      <c r="T3493" s="12">
        <f t="shared" si="326"/>
        <v>2.5327122949932743</v>
      </c>
      <c r="U3493" s="12">
        <f t="shared" si="330"/>
        <v>2.4804140318739401</v>
      </c>
      <c r="V3493" s="30">
        <f t="shared" si="327"/>
        <v>0.40843068493150686</v>
      </c>
      <c r="W3493" s="46">
        <f t="shared" si="328"/>
        <v>-2.5327122949932741E-2</v>
      </c>
      <c r="X3493" s="33">
        <f t="shared" si="329"/>
        <v>2.5387218613521161E-2</v>
      </c>
    </row>
    <row r="3494" spans="19:24" x14ac:dyDescent="0.25">
      <c r="S3494" s="44">
        <f t="shared" si="323"/>
        <v>46544</v>
      </c>
      <c r="T3494" s="12">
        <f t="shared" si="326"/>
        <v>2.5300352126917334</v>
      </c>
      <c r="U3494" s="12">
        <f t="shared" si="330"/>
        <v>2.4777628551491513</v>
      </c>
      <c r="V3494" s="30">
        <f t="shared" si="327"/>
        <v>0.40840328767123291</v>
      </c>
      <c r="W3494" s="46">
        <f t="shared" si="328"/>
        <v>-2.5300352126917329E-2</v>
      </c>
      <c r="X3494" s="33">
        <f t="shared" si="329"/>
        <v>2.5387177101248218E-2</v>
      </c>
    </row>
    <row r="3495" spans="19:24" x14ac:dyDescent="0.25">
      <c r="S3495" s="44">
        <f t="shared" si="323"/>
        <v>46545</v>
      </c>
      <c r="T3495" s="12">
        <f t="shared" si="326"/>
        <v>2.5273581303901924</v>
      </c>
      <c r="U3495" s="12">
        <f t="shared" si="330"/>
        <v>2.4751116784243616</v>
      </c>
      <c r="V3495" s="30">
        <f t="shared" si="327"/>
        <v>0.4083758904109589</v>
      </c>
      <c r="W3495" s="46">
        <f t="shared" si="328"/>
        <v>-2.5273581303901921E-2</v>
      </c>
      <c r="X3495" s="33">
        <f t="shared" si="329"/>
        <v>2.5387135588975273E-2</v>
      </c>
    </row>
    <row r="3496" spans="19:24" x14ac:dyDescent="0.25">
      <c r="S3496" s="44">
        <f t="shared" si="323"/>
        <v>46546</v>
      </c>
      <c r="T3496" s="12">
        <f t="shared" si="326"/>
        <v>2.524681048088651</v>
      </c>
      <c r="U3496" s="12">
        <f t="shared" si="330"/>
        <v>2.4724605016995724</v>
      </c>
      <c r="V3496" s="30">
        <f t="shared" si="327"/>
        <v>0.40834849315068494</v>
      </c>
      <c r="W3496" s="46">
        <f t="shared" si="328"/>
        <v>-2.5246810480886506E-2</v>
      </c>
      <c r="X3496" s="33">
        <f t="shared" si="329"/>
        <v>2.5387094076702331E-2</v>
      </c>
    </row>
    <row r="3497" spans="19:24" x14ac:dyDescent="0.25">
      <c r="S3497" s="44">
        <f t="shared" si="323"/>
        <v>46547</v>
      </c>
      <c r="T3497" s="12">
        <f t="shared" si="326"/>
        <v>2.5220039657871096</v>
      </c>
      <c r="U3497" s="12">
        <f t="shared" si="330"/>
        <v>2.4698093249747828</v>
      </c>
      <c r="V3497" s="30">
        <f t="shared" si="327"/>
        <v>0.40832109589041099</v>
      </c>
      <c r="W3497" s="46">
        <f t="shared" si="328"/>
        <v>-2.5220039657871091E-2</v>
      </c>
      <c r="X3497" s="33">
        <f t="shared" si="329"/>
        <v>2.5387052564429389E-2</v>
      </c>
    </row>
    <row r="3498" spans="19:24" x14ac:dyDescent="0.25">
      <c r="S3498" s="44">
        <f t="shared" si="323"/>
        <v>46548</v>
      </c>
      <c r="T3498" s="12">
        <f t="shared" si="326"/>
        <v>2.5193268834855691</v>
      </c>
      <c r="U3498" s="12">
        <f t="shared" si="330"/>
        <v>2.4671581482499945</v>
      </c>
      <c r="V3498" s="30">
        <f t="shared" si="327"/>
        <v>0.40829369863013698</v>
      </c>
      <c r="W3498" s="46">
        <f t="shared" si="328"/>
        <v>-2.5193268834855686E-2</v>
      </c>
      <c r="X3498" s="33">
        <f t="shared" si="329"/>
        <v>2.538701105215644E-2</v>
      </c>
    </row>
    <row r="3499" spans="19:24" x14ac:dyDescent="0.25">
      <c r="S3499" s="44">
        <f t="shared" si="323"/>
        <v>46549</v>
      </c>
      <c r="T3499" s="12">
        <f t="shared" si="326"/>
        <v>2.5166498011840277</v>
      </c>
      <c r="U3499" s="12">
        <f t="shared" si="330"/>
        <v>2.4645069715252048</v>
      </c>
      <c r="V3499" s="30">
        <f t="shared" si="327"/>
        <v>0.40826630136986297</v>
      </c>
      <c r="W3499" s="46">
        <f t="shared" si="328"/>
        <v>-2.5166498011840274E-2</v>
      </c>
      <c r="X3499" s="33">
        <f t="shared" si="329"/>
        <v>2.5386969539883494E-2</v>
      </c>
    </row>
    <row r="3500" spans="19:24" x14ac:dyDescent="0.25">
      <c r="S3500" s="44">
        <f t="shared" si="323"/>
        <v>46550</v>
      </c>
      <c r="T3500" s="12">
        <f t="shared" si="326"/>
        <v>2.5139727188824863</v>
      </c>
      <c r="U3500" s="12">
        <f t="shared" si="330"/>
        <v>2.4618557948004152</v>
      </c>
      <c r="V3500" s="30">
        <f t="shared" si="327"/>
        <v>0.40823890410958907</v>
      </c>
      <c r="W3500" s="46">
        <f t="shared" si="328"/>
        <v>-2.5139727188824859E-2</v>
      </c>
      <c r="X3500" s="33">
        <f t="shared" si="329"/>
        <v>2.5386928027610556E-2</v>
      </c>
    </row>
    <row r="3501" spans="19:24" x14ac:dyDescent="0.25">
      <c r="S3501" s="44">
        <f t="shared" si="323"/>
        <v>46551</v>
      </c>
      <c r="T3501" s="12">
        <f t="shared" si="326"/>
        <v>2.5112956365809449</v>
      </c>
      <c r="U3501" s="12">
        <f t="shared" si="330"/>
        <v>2.4592046180756255</v>
      </c>
      <c r="V3501" s="30">
        <f t="shared" si="327"/>
        <v>0.40821150684931506</v>
      </c>
      <c r="W3501" s="46">
        <f t="shared" si="328"/>
        <v>-2.5112956365809444E-2</v>
      </c>
      <c r="X3501" s="33">
        <f t="shared" si="329"/>
        <v>2.538688651533761E-2</v>
      </c>
    </row>
    <row r="3502" spans="19:24" x14ac:dyDescent="0.25">
      <c r="S3502" s="44">
        <f t="shared" si="323"/>
        <v>46552</v>
      </c>
      <c r="T3502" s="12">
        <f t="shared" si="326"/>
        <v>2.5086185542794039</v>
      </c>
      <c r="U3502" s="12">
        <f t="shared" si="330"/>
        <v>2.4565534413508368</v>
      </c>
      <c r="V3502" s="30">
        <f t="shared" si="327"/>
        <v>0.40818410958904111</v>
      </c>
      <c r="W3502" s="46">
        <f t="shared" si="328"/>
        <v>-2.5086185542794036E-2</v>
      </c>
      <c r="X3502" s="33">
        <f t="shared" si="329"/>
        <v>2.5386845003064668E-2</v>
      </c>
    </row>
    <row r="3503" spans="19:24" x14ac:dyDescent="0.25">
      <c r="S3503" s="44">
        <f t="shared" si="323"/>
        <v>46553</v>
      </c>
      <c r="T3503" s="12">
        <f t="shared" si="326"/>
        <v>2.7791870800099225</v>
      </c>
      <c r="U3503" s="12">
        <f t="shared" si="330"/>
        <v>2.7289447798398712</v>
      </c>
      <c r="V3503" s="30">
        <f t="shared" si="327"/>
        <v>0.4081567123287671</v>
      </c>
      <c r="W3503" s="46">
        <f t="shared" si="328"/>
        <v>-2.7791870800099223E-2</v>
      </c>
      <c r="X3503" s="33">
        <f t="shared" si="329"/>
        <v>2.5205731147052247E-2</v>
      </c>
    </row>
    <row r="3504" spans="19:24" x14ac:dyDescent="0.25">
      <c r="S3504" s="44">
        <f t="shared" si="323"/>
        <v>46554</v>
      </c>
      <c r="T3504" s="12">
        <f t="shared" si="326"/>
        <v>2.7765099977083816</v>
      </c>
      <c r="U3504" s="12">
        <f t="shared" si="330"/>
        <v>2.7262936031150811</v>
      </c>
      <c r="V3504" s="30">
        <f t="shared" si="327"/>
        <v>0.40812931506849315</v>
      </c>
      <c r="W3504" s="46">
        <f t="shared" si="328"/>
        <v>-2.7765099977083811E-2</v>
      </c>
      <c r="X3504" s="33">
        <f t="shared" si="329"/>
        <v>2.5205689634779305E-2</v>
      </c>
    </row>
    <row r="3505" spans="19:24" x14ac:dyDescent="0.25">
      <c r="S3505" s="44">
        <f t="shared" si="323"/>
        <v>46555</v>
      </c>
      <c r="T3505" s="12">
        <f t="shared" si="326"/>
        <v>2.7738329154068402</v>
      </c>
      <c r="U3505" s="12">
        <f t="shared" si="330"/>
        <v>2.7236424263902923</v>
      </c>
      <c r="V3505" s="30">
        <f t="shared" si="327"/>
        <v>0.40810191780821914</v>
      </c>
      <c r="W3505" s="46">
        <f t="shared" si="328"/>
        <v>-2.7738329154068396E-2</v>
      </c>
      <c r="X3505" s="33">
        <f t="shared" si="329"/>
        <v>2.5205648122506363E-2</v>
      </c>
    </row>
    <row r="3506" spans="19:24" x14ac:dyDescent="0.25">
      <c r="S3506" s="44">
        <f t="shared" si="323"/>
        <v>46556</v>
      </c>
      <c r="T3506" s="12">
        <f t="shared" si="326"/>
        <v>2.7711558331052988</v>
      </c>
      <c r="U3506" s="12">
        <f t="shared" si="330"/>
        <v>2.7209912496655031</v>
      </c>
      <c r="V3506" s="30">
        <f t="shared" si="327"/>
        <v>0.40807452054794524</v>
      </c>
      <c r="W3506" s="46">
        <f t="shared" si="328"/>
        <v>-2.7711558331052984E-2</v>
      </c>
      <c r="X3506" s="33">
        <f t="shared" si="329"/>
        <v>2.5205606610233421E-2</v>
      </c>
    </row>
    <row r="3507" spans="19:24" x14ac:dyDescent="0.25">
      <c r="S3507" s="44">
        <f t="shared" ref="S3507:S3570" si="331">+S3506+1</f>
        <v>46557</v>
      </c>
      <c r="T3507" s="12">
        <f t="shared" si="326"/>
        <v>2.7684787508037578</v>
      </c>
      <c r="U3507" s="12">
        <f t="shared" si="330"/>
        <v>2.7183400729407134</v>
      </c>
      <c r="V3507" s="30">
        <f t="shared" si="327"/>
        <v>0.40804712328767123</v>
      </c>
      <c r="W3507" s="46">
        <f t="shared" si="328"/>
        <v>-2.7684787508037573E-2</v>
      </c>
      <c r="X3507" s="33">
        <f t="shared" si="329"/>
        <v>2.5205565097960472E-2</v>
      </c>
    </row>
    <row r="3508" spans="19:24" x14ac:dyDescent="0.25">
      <c r="S3508" s="44">
        <f t="shared" si="331"/>
        <v>46558</v>
      </c>
      <c r="T3508" s="12">
        <f t="shared" si="326"/>
        <v>2.7658016685022173</v>
      </c>
      <c r="U3508" s="12">
        <f t="shared" si="330"/>
        <v>2.7156888962159242</v>
      </c>
      <c r="V3508" s="30">
        <f t="shared" si="327"/>
        <v>0.40801972602739722</v>
      </c>
      <c r="W3508" s="46">
        <f t="shared" si="328"/>
        <v>-2.7658016685022168E-2</v>
      </c>
      <c r="X3508" s="33">
        <f t="shared" si="329"/>
        <v>2.5205523585687527E-2</v>
      </c>
    </row>
    <row r="3509" spans="19:24" x14ac:dyDescent="0.25">
      <c r="S3509" s="44">
        <f t="shared" si="331"/>
        <v>46559</v>
      </c>
      <c r="T3509" s="12">
        <f t="shared" si="326"/>
        <v>2.7631245862006755</v>
      </c>
      <c r="U3509" s="12">
        <f t="shared" si="330"/>
        <v>2.7130377194911355</v>
      </c>
      <c r="V3509" s="30">
        <f t="shared" si="327"/>
        <v>0.40799232876712327</v>
      </c>
      <c r="W3509" s="46">
        <f t="shared" si="328"/>
        <v>-2.7631245862006749E-2</v>
      </c>
      <c r="X3509" s="33">
        <f t="shared" si="329"/>
        <v>2.5205482073414585E-2</v>
      </c>
    </row>
    <row r="3510" spans="19:24" x14ac:dyDescent="0.25">
      <c r="S3510" s="44">
        <f t="shared" si="331"/>
        <v>46560</v>
      </c>
      <c r="T3510" s="12">
        <f t="shared" si="326"/>
        <v>2.7604475038991336</v>
      </c>
      <c r="U3510" s="12">
        <f t="shared" si="330"/>
        <v>2.7103865427663458</v>
      </c>
      <c r="V3510" s="30">
        <f t="shared" si="327"/>
        <v>0.40796493150684932</v>
      </c>
      <c r="W3510" s="46">
        <f t="shared" si="328"/>
        <v>-2.7604475038991331E-2</v>
      </c>
      <c r="X3510" s="33">
        <f t="shared" si="329"/>
        <v>2.5205440561141643E-2</v>
      </c>
    </row>
    <row r="3511" spans="19:24" x14ac:dyDescent="0.25">
      <c r="S3511" s="44">
        <f t="shared" si="331"/>
        <v>46561</v>
      </c>
      <c r="T3511" s="12">
        <f t="shared" si="326"/>
        <v>2.7577704215975927</v>
      </c>
      <c r="U3511" s="12">
        <f t="shared" si="330"/>
        <v>2.7077353660415566</v>
      </c>
      <c r="V3511" s="30">
        <f t="shared" si="327"/>
        <v>0.40793753424657531</v>
      </c>
      <c r="W3511" s="46">
        <f t="shared" si="328"/>
        <v>-2.7577704215975923E-2</v>
      </c>
      <c r="X3511" s="33">
        <f t="shared" si="329"/>
        <v>2.5205399048868694E-2</v>
      </c>
    </row>
    <row r="3512" spans="19:24" x14ac:dyDescent="0.25">
      <c r="S3512" s="44">
        <f t="shared" si="331"/>
        <v>46562</v>
      </c>
      <c r="T3512" s="12">
        <f t="shared" si="326"/>
        <v>2.7550933392960517</v>
      </c>
      <c r="U3512" s="12">
        <f t="shared" si="330"/>
        <v>2.7050841893167674</v>
      </c>
      <c r="V3512" s="30">
        <f t="shared" si="327"/>
        <v>0.40791013698630135</v>
      </c>
      <c r="W3512" s="46">
        <f t="shared" si="328"/>
        <v>-2.7550933392960514E-2</v>
      </c>
      <c r="X3512" s="33">
        <f t="shared" si="329"/>
        <v>2.5205357536595752E-2</v>
      </c>
    </row>
    <row r="3513" spans="19:24" x14ac:dyDescent="0.25">
      <c r="S3513" s="44">
        <f t="shared" si="331"/>
        <v>46563</v>
      </c>
      <c r="T3513" s="12">
        <f t="shared" si="326"/>
        <v>2.7524162569945112</v>
      </c>
      <c r="U3513" s="12">
        <f t="shared" si="330"/>
        <v>2.7024330125919778</v>
      </c>
      <c r="V3513" s="30">
        <f t="shared" si="327"/>
        <v>0.4078827397260274</v>
      </c>
      <c r="W3513" s="46">
        <f t="shared" si="328"/>
        <v>-2.7524162569945106E-2</v>
      </c>
      <c r="X3513" s="33">
        <f t="shared" si="329"/>
        <v>2.520531602432281E-2</v>
      </c>
    </row>
    <row r="3514" spans="19:24" x14ac:dyDescent="0.25">
      <c r="S3514" s="44">
        <f t="shared" si="331"/>
        <v>46564</v>
      </c>
      <c r="T3514" s="12">
        <f t="shared" si="326"/>
        <v>2.7497391746929689</v>
      </c>
      <c r="U3514" s="12">
        <f t="shared" si="330"/>
        <v>2.699781835867189</v>
      </c>
      <c r="V3514" s="30">
        <f t="shared" si="327"/>
        <v>0.40785534246575339</v>
      </c>
      <c r="W3514" s="46">
        <f t="shared" si="328"/>
        <v>-2.7497391746929684E-2</v>
      </c>
      <c r="X3514" s="33">
        <f t="shared" si="329"/>
        <v>2.5205274512049864E-2</v>
      </c>
    </row>
    <row r="3515" spans="19:24" x14ac:dyDescent="0.25">
      <c r="S3515" s="44">
        <f t="shared" si="331"/>
        <v>46565</v>
      </c>
      <c r="T3515" s="12">
        <f t="shared" si="326"/>
        <v>2.747062092391428</v>
      </c>
      <c r="U3515" s="12">
        <f t="shared" si="330"/>
        <v>2.6971306591423994</v>
      </c>
      <c r="V3515" s="30">
        <f t="shared" si="327"/>
        <v>0.40782794520547944</v>
      </c>
      <c r="W3515" s="46">
        <f t="shared" si="328"/>
        <v>-2.7470620923914276E-2</v>
      </c>
      <c r="X3515" s="33">
        <f t="shared" si="329"/>
        <v>2.5205232999776922E-2</v>
      </c>
    </row>
    <row r="3516" spans="19:24" x14ac:dyDescent="0.25">
      <c r="S3516" s="44">
        <f t="shared" si="331"/>
        <v>46566</v>
      </c>
      <c r="T3516" s="12">
        <f t="shared" si="326"/>
        <v>2.7443850100898866</v>
      </c>
      <c r="U3516" s="12">
        <f t="shared" si="330"/>
        <v>2.6944794824176101</v>
      </c>
      <c r="V3516" s="30">
        <f t="shared" si="327"/>
        <v>0.40780054794520548</v>
      </c>
      <c r="W3516" s="46">
        <f t="shared" si="328"/>
        <v>-2.7443850100898861E-2</v>
      </c>
      <c r="X3516" s="33">
        <f t="shared" si="329"/>
        <v>2.520519148750398E-2</v>
      </c>
    </row>
    <row r="3517" spans="19:24" x14ac:dyDescent="0.25">
      <c r="S3517" s="44">
        <f t="shared" si="331"/>
        <v>46567</v>
      </c>
      <c r="T3517" s="12">
        <f t="shared" si="326"/>
        <v>2.7417079277883456</v>
      </c>
      <c r="U3517" s="12">
        <f t="shared" si="330"/>
        <v>2.6918283056928214</v>
      </c>
      <c r="V3517" s="30">
        <f t="shared" si="327"/>
        <v>0.40777315068493147</v>
      </c>
      <c r="W3517" s="46">
        <f t="shared" si="328"/>
        <v>-2.7417079277883453E-2</v>
      </c>
      <c r="X3517" s="33">
        <f t="shared" si="329"/>
        <v>2.5205149975231031E-2</v>
      </c>
    </row>
    <row r="3518" spans="19:24" x14ac:dyDescent="0.25">
      <c r="S3518" s="44">
        <f t="shared" si="331"/>
        <v>46568</v>
      </c>
      <c r="T3518" s="12">
        <f t="shared" si="326"/>
        <v>2.7390308454868042</v>
      </c>
      <c r="U3518" s="12">
        <f t="shared" si="330"/>
        <v>2.6891771289680308</v>
      </c>
      <c r="V3518" s="30">
        <f t="shared" si="327"/>
        <v>0.40774575342465752</v>
      </c>
      <c r="W3518" s="46">
        <f t="shared" si="328"/>
        <v>-2.7390308454868038E-2</v>
      </c>
      <c r="X3518" s="33">
        <f t="shared" si="329"/>
        <v>2.5205108462958089E-2</v>
      </c>
    </row>
    <row r="3519" spans="19:24" x14ac:dyDescent="0.25">
      <c r="S3519" s="44">
        <f t="shared" si="331"/>
        <v>46569</v>
      </c>
      <c r="T3519" s="12">
        <f t="shared" si="326"/>
        <v>2.7363537631852641</v>
      </c>
      <c r="U3519" s="12">
        <f t="shared" si="330"/>
        <v>2.6865259522432421</v>
      </c>
      <c r="V3519" s="30">
        <f t="shared" si="327"/>
        <v>0.40771835616438357</v>
      </c>
      <c r="W3519" s="46">
        <f t="shared" si="328"/>
        <v>-2.7363537631852636E-2</v>
      </c>
      <c r="X3519" s="33">
        <f t="shared" si="329"/>
        <v>2.520506695068515E-2</v>
      </c>
    </row>
    <row r="3520" spans="19:24" x14ac:dyDescent="0.25">
      <c r="S3520" s="44">
        <f t="shared" si="331"/>
        <v>46570</v>
      </c>
      <c r="T3520" s="12">
        <f t="shared" si="326"/>
        <v>2.7336766808837218</v>
      </c>
      <c r="U3520" s="12">
        <f t="shared" si="330"/>
        <v>2.6838747755184529</v>
      </c>
      <c r="V3520" s="30">
        <f t="shared" si="327"/>
        <v>0.40769095890410956</v>
      </c>
      <c r="W3520" s="46">
        <f t="shared" si="328"/>
        <v>-2.7336766808837214E-2</v>
      </c>
      <c r="X3520" s="33">
        <f t="shared" si="329"/>
        <v>2.5205025438412201E-2</v>
      </c>
    </row>
    <row r="3521" spans="19:24" x14ac:dyDescent="0.25">
      <c r="S3521" s="44">
        <f t="shared" si="331"/>
        <v>46571</v>
      </c>
      <c r="T3521" s="12">
        <f t="shared" si="326"/>
        <v>2.7309995985821813</v>
      </c>
      <c r="U3521" s="12">
        <f t="shared" si="330"/>
        <v>2.6812235987936628</v>
      </c>
      <c r="V3521" s="30">
        <f t="shared" si="327"/>
        <v>0.40766356164383566</v>
      </c>
      <c r="W3521" s="46">
        <f t="shared" si="328"/>
        <v>-2.730999598582181E-2</v>
      </c>
      <c r="X3521" s="33">
        <f t="shared" si="329"/>
        <v>2.5204983926139266E-2</v>
      </c>
    </row>
    <row r="3522" spans="19:24" x14ac:dyDescent="0.25">
      <c r="S3522" s="44">
        <f t="shared" si="331"/>
        <v>46572</v>
      </c>
      <c r="T3522" s="12">
        <f t="shared" si="326"/>
        <v>2.7283225162806399</v>
      </c>
      <c r="U3522" s="12">
        <f t="shared" si="330"/>
        <v>2.6785724220688736</v>
      </c>
      <c r="V3522" s="30">
        <f t="shared" si="327"/>
        <v>0.40763616438356165</v>
      </c>
      <c r="W3522" s="46">
        <f t="shared" si="328"/>
        <v>-2.7283225162806395E-2</v>
      </c>
      <c r="X3522" s="33">
        <f t="shared" si="329"/>
        <v>2.5204942413866317E-2</v>
      </c>
    </row>
    <row r="3523" spans="19:24" x14ac:dyDescent="0.25">
      <c r="S3523" s="44">
        <f t="shared" si="331"/>
        <v>46573</v>
      </c>
      <c r="T3523" s="12">
        <f t="shared" si="326"/>
        <v>2.725645433979099</v>
      </c>
      <c r="U3523" s="12">
        <f t="shared" si="330"/>
        <v>2.6759212453440853</v>
      </c>
      <c r="V3523" s="30">
        <f t="shared" si="327"/>
        <v>0.40760876712328764</v>
      </c>
      <c r="W3523" s="46">
        <f t="shared" si="328"/>
        <v>-2.7256454339790986E-2</v>
      </c>
      <c r="X3523" s="33">
        <f t="shared" si="329"/>
        <v>2.5204900901593372E-2</v>
      </c>
    </row>
    <row r="3524" spans="19:24" x14ac:dyDescent="0.25">
      <c r="S3524" s="44">
        <f t="shared" si="331"/>
        <v>46574</v>
      </c>
      <c r="T3524" s="12">
        <f t="shared" si="326"/>
        <v>2.7229683516775576</v>
      </c>
      <c r="U3524" s="12">
        <f t="shared" si="330"/>
        <v>2.6732700686192952</v>
      </c>
      <c r="V3524" s="30">
        <f t="shared" si="327"/>
        <v>0.40758136986301374</v>
      </c>
      <c r="W3524" s="46">
        <f t="shared" si="328"/>
        <v>-2.7229683516775571E-2</v>
      </c>
      <c r="X3524" s="33">
        <f t="shared" si="329"/>
        <v>2.520485938932043E-2</v>
      </c>
    </row>
    <row r="3525" spans="19:24" x14ac:dyDescent="0.25">
      <c r="S3525" s="44">
        <f t="shared" si="331"/>
        <v>46575</v>
      </c>
      <c r="T3525" s="12">
        <f t="shared" ref="T3525:T3588" si="332">DurMod(S3525,B$2,$F$7:$G$37,$T$3)</f>
        <v>2.7202912693760162</v>
      </c>
      <c r="U3525" s="12">
        <f t="shared" si="330"/>
        <v>2.6706188918945069</v>
      </c>
      <c r="V3525" s="30">
        <f t="shared" ref="V3525:V3588" si="333">+$U$3*($S$5512-S3525)/365+$T$3*(S3525-$S$4)/365</f>
        <v>0.40755397260273973</v>
      </c>
      <c r="W3525" s="46">
        <f t="shared" ref="W3525:W3588" si="334">+-T3525*($U$3-$T$3)</f>
        <v>-2.7202912693760156E-2</v>
      </c>
      <c r="X3525" s="33">
        <f t="shared" ref="X3525:X3588" si="335">+(V3525+W3525)*365/($S$5512-$S$4)</f>
        <v>2.5204817877047481E-2</v>
      </c>
    </row>
    <row r="3526" spans="19:24" x14ac:dyDescent="0.25">
      <c r="S3526" s="44">
        <f t="shared" si="331"/>
        <v>46576</v>
      </c>
      <c r="T3526" s="12">
        <f t="shared" si="332"/>
        <v>2.7176141870744752</v>
      </c>
      <c r="U3526" s="12">
        <f t="shared" ref="U3526:U3589" si="336">DurMod($S3526,$B$2,$F$7:$G$37,U$3)</f>
        <v>2.6679677151697172</v>
      </c>
      <c r="V3526" s="30">
        <f t="shared" si="333"/>
        <v>0.40752657534246572</v>
      </c>
      <c r="W3526" s="46">
        <f t="shared" si="334"/>
        <v>-2.7176141870744748E-2</v>
      </c>
      <c r="X3526" s="33">
        <f t="shared" si="335"/>
        <v>2.5204776364774539E-2</v>
      </c>
    </row>
    <row r="3527" spans="19:24" x14ac:dyDescent="0.25">
      <c r="S3527" s="44">
        <f t="shared" si="331"/>
        <v>46577</v>
      </c>
      <c r="T3527" s="12">
        <f t="shared" si="332"/>
        <v>2.7149371047729338</v>
      </c>
      <c r="U3527" s="12">
        <f t="shared" si="336"/>
        <v>2.6653165384449276</v>
      </c>
      <c r="V3527" s="30">
        <f t="shared" si="333"/>
        <v>0.40749917808219183</v>
      </c>
      <c r="W3527" s="46">
        <f t="shared" si="334"/>
        <v>-2.7149371047729333E-2</v>
      </c>
      <c r="X3527" s="33">
        <f t="shared" si="335"/>
        <v>2.5204734852501597E-2</v>
      </c>
    </row>
    <row r="3528" spans="19:24" x14ac:dyDescent="0.25">
      <c r="S3528" s="44">
        <f t="shared" si="331"/>
        <v>46578</v>
      </c>
      <c r="T3528" s="12">
        <f t="shared" si="332"/>
        <v>2.7122600224713933</v>
      </c>
      <c r="U3528" s="12">
        <f t="shared" si="336"/>
        <v>2.6626653617201383</v>
      </c>
      <c r="V3528" s="30">
        <f t="shared" si="333"/>
        <v>0.40747178082191782</v>
      </c>
      <c r="W3528" s="46">
        <f t="shared" si="334"/>
        <v>-2.7122600224713928E-2</v>
      </c>
      <c r="X3528" s="33">
        <f t="shared" si="335"/>
        <v>2.5204693340228655E-2</v>
      </c>
    </row>
    <row r="3529" spans="19:24" x14ac:dyDescent="0.25">
      <c r="S3529" s="44">
        <f t="shared" si="331"/>
        <v>46579</v>
      </c>
      <c r="T3529" s="12">
        <f t="shared" si="332"/>
        <v>2.7095829401698515</v>
      </c>
      <c r="U3529" s="12">
        <f t="shared" si="336"/>
        <v>2.6600141849953496</v>
      </c>
      <c r="V3529" s="30">
        <f t="shared" si="333"/>
        <v>0.40744438356164381</v>
      </c>
      <c r="W3529" s="46">
        <f t="shared" si="334"/>
        <v>-2.709582940169851E-2</v>
      </c>
      <c r="X3529" s="33">
        <f t="shared" si="335"/>
        <v>2.5204651827955709E-2</v>
      </c>
    </row>
    <row r="3530" spans="19:24" x14ac:dyDescent="0.25">
      <c r="S3530" s="44">
        <f t="shared" si="331"/>
        <v>46580</v>
      </c>
      <c r="T3530" s="12">
        <f t="shared" si="332"/>
        <v>2.7069058578683101</v>
      </c>
      <c r="U3530" s="12">
        <f t="shared" si="336"/>
        <v>2.6573630082705604</v>
      </c>
      <c r="V3530" s="30">
        <f t="shared" si="333"/>
        <v>0.40741698630136985</v>
      </c>
      <c r="W3530" s="46">
        <f t="shared" si="334"/>
        <v>-2.7069058578683098E-2</v>
      </c>
      <c r="X3530" s="33">
        <f t="shared" si="335"/>
        <v>2.5204610315682767E-2</v>
      </c>
    </row>
    <row r="3531" spans="19:24" x14ac:dyDescent="0.25">
      <c r="S3531" s="44">
        <f t="shared" si="331"/>
        <v>46581</v>
      </c>
      <c r="T3531" s="12">
        <f t="shared" si="332"/>
        <v>2.7042287755667691</v>
      </c>
      <c r="U3531" s="12">
        <f t="shared" si="336"/>
        <v>2.6547118315457694</v>
      </c>
      <c r="V3531" s="30">
        <f t="shared" si="333"/>
        <v>0.4073895890410959</v>
      </c>
      <c r="W3531" s="46">
        <f t="shared" si="334"/>
        <v>-2.7042287755667686E-2</v>
      </c>
      <c r="X3531" s="33">
        <f t="shared" si="335"/>
        <v>2.5204568803409818E-2</v>
      </c>
    </row>
    <row r="3532" spans="19:24" x14ac:dyDescent="0.25">
      <c r="S3532" s="44">
        <f t="shared" si="331"/>
        <v>46582</v>
      </c>
      <c r="T3532" s="12">
        <f t="shared" si="332"/>
        <v>2.7015516932652281</v>
      </c>
      <c r="U3532" s="12">
        <f t="shared" si="336"/>
        <v>2.6520606548209811</v>
      </c>
      <c r="V3532" s="30">
        <f t="shared" si="333"/>
        <v>0.40736219178082189</v>
      </c>
      <c r="W3532" s="46">
        <f t="shared" si="334"/>
        <v>-2.7015516932652278E-2</v>
      </c>
      <c r="X3532" s="33">
        <f t="shared" si="335"/>
        <v>2.5204527291136876E-2</v>
      </c>
    </row>
    <row r="3533" spans="19:24" x14ac:dyDescent="0.25">
      <c r="S3533" s="44">
        <f t="shared" si="331"/>
        <v>46583</v>
      </c>
      <c r="T3533" s="12">
        <f t="shared" si="332"/>
        <v>2.6988746109636863</v>
      </c>
      <c r="U3533" s="12">
        <f t="shared" si="336"/>
        <v>2.6494094780961919</v>
      </c>
      <c r="V3533" s="30">
        <f t="shared" si="333"/>
        <v>0.40733479452054799</v>
      </c>
      <c r="W3533" s="46">
        <f t="shared" si="334"/>
        <v>-2.698874610963686E-2</v>
      </c>
      <c r="X3533" s="33">
        <f t="shared" si="335"/>
        <v>2.5204485778863934E-2</v>
      </c>
    </row>
    <row r="3534" spans="19:24" x14ac:dyDescent="0.25">
      <c r="S3534" s="44">
        <f t="shared" si="331"/>
        <v>46584</v>
      </c>
      <c r="T3534" s="12">
        <f t="shared" si="332"/>
        <v>2.6961975286621449</v>
      </c>
      <c r="U3534" s="12">
        <f t="shared" si="336"/>
        <v>2.6467583013714027</v>
      </c>
      <c r="V3534" s="30">
        <f t="shared" si="333"/>
        <v>0.40730739726027398</v>
      </c>
      <c r="W3534" s="46">
        <f t="shared" si="334"/>
        <v>-2.6961975286621444E-2</v>
      </c>
      <c r="X3534" s="33">
        <f t="shared" si="335"/>
        <v>2.5204444266590992E-2</v>
      </c>
    </row>
    <row r="3535" spans="19:24" x14ac:dyDescent="0.25">
      <c r="S3535" s="44">
        <f t="shared" si="331"/>
        <v>46585</v>
      </c>
      <c r="T3535" s="12">
        <f t="shared" si="332"/>
        <v>2.6935204463606044</v>
      </c>
      <c r="U3535" s="12">
        <f t="shared" si="336"/>
        <v>2.6441071246466135</v>
      </c>
      <c r="V3535" s="30">
        <f t="shared" si="333"/>
        <v>0.40727999999999998</v>
      </c>
      <c r="W3535" s="46">
        <f t="shared" si="334"/>
        <v>-2.693520446360604E-2</v>
      </c>
      <c r="X3535" s="33">
        <f t="shared" si="335"/>
        <v>2.5204402754318046E-2</v>
      </c>
    </row>
    <row r="3536" spans="19:24" x14ac:dyDescent="0.25">
      <c r="S3536" s="44">
        <f t="shared" si="331"/>
        <v>46586</v>
      </c>
      <c r="T3536" s="12">
        <f t="shared" si="332"/>
        <v>2.690843364059063</v>
      </c>
      <c r="U3536" s="12">
        <f t="shared" si="336"/>
        <v>2.6414559479218243</v>
      </c>
      <c r="V3536" s="30">
        <f t="shared" si="333"/>
        <v>0.40725260273972608</v>
      </c>
      <c r="W3536" s="46">
        <f t="shared" si="334"/>
        <v>-2.6908433640590625E-2</v>
      </c>
      <c r="X3536" s="33">
        <f t="shared" si="335"/>
        <v>2.5204361242045104E-2</v>
      </c>
    </row>
    <row r="3537" spans="19:24" x14ac:dyDescent="0.25">
      <c r="S3537" s="44">
        <f t="shared" si="331"/>
        <v>46587</v>
      </c>
      <c r="T3537" s="12">
        <f t="shared" si="332"/>
        <v>2.6881662817575216</v>
      </c>
      <c r="U3537" s="12">
        <f t="shared" si="336"/>
        <v>2.6388047711970346</v>
      </c>
      <c r="V3537" s="30">
        <f t="shared" si="333"/>
        <v>0.40722520547945207</v>
      </c>
      <c r="W3537" s="46">
        <f t="shared" si="334"/>
        <v>-2.6881662817575213E-2</v>
      </c>
      <c r="X3537" s="33">
        <f t="shared" si="335"/>
        <v>2.5204319729772162E-2</v>
      </c>
    </row>
    <row r="3538" spans="19:24" x14ac:dyDescent="0.25">
      <c r="S3538" s="44">
        <f t="shared" si="331"/>
        <v>46588</v>
      </c>
      <c r="T3538" s="12">
        <f t="shared" si="332"/>
        <v>2.6854891994559802</v>
      </c>
      <c r="U3538" s="12">
        <f t="shared" si="336"/>
        <v>2.6361535944722454</v>
      </c>
      <c r="V3538" s="30">
        <f t="shared" si="333"/>
        <v>0.40719780821917806</v>
      </c>
      <c r="W3538" s="46">
        <f t="shared" si="334"/>
        <v>-2.6854891994559798E-2</v>
      </c>
      <c r="X3538" s="33">
        <f t="shared" si="335"/>
        <v>2.520427821749921E-2</v>
      </c>
    </row>
    <row r="3539" spans="19:24" x14ac:dyDescent="0.25">
      <c r="S3539" s="44">
        <f t="shared" si="331"/>
        <v>46589</v>
      </c>
      <c r="T3539" s="12">
        <f t="shared" si="332"/>
        <v>2.6828121171544397</v>
      </c>
      <c r="U3539" s="12">
        <f t="shared" si="336"/>
        <v>2.6335024177474562</v>
      </c>
      <c r="V3539" s="30">
        <f t="shared" si="333"/>
        <v>0.40717041095890416</v>
      </c>
      <c r="W3539" s="46">
        <f t="shared" si="334"/>
        <v>-2.6828121171544393E-2</v>
      </c>
      <c r="X3539" s="33">
        <f t="shared" si="335"/>
        <v>2.5204236705226275E-2</v>
      </c>
    </row>
    <row r="3540" spans="19:24" x14ac:dyDescent="0.25">
      <c r="S3540" s="44">
        <f t="shared" si="331"/>
        <v>46590</v>
      </c>
      <c r="T3540" s="12">
        <f t="shared" si="332"/>
        <v>2.6801350348528987</v>
      </c>
      <c r="U3540" s="12">
        <f t="shared" si="336"/>
        <v>2.630851241022667</v>
      </c>
      <c r="V3540" s="30">
        <f t="shared" si="333"/>
        <v>0.40714301369863015</v>
      </c>
      <c r="W3540" s="46">
        <f t="shared" si="334"/>
        <v>-2.6801350348528982E-2</v>
      </c>
      <c r="X3540" s="33">
        <f t="shared" si="335"/>
        <v>2.5204195192953326E-2</v>
      </c>
    </row>
    <row r="3541" spans="19:24" x14ac:dyDescent="0.25">
      <c r="S3541" s="44">
        <f t="shared" si="331"/>
        <v>46591</v>
      </c>
      <c r="T3541" s="12">
        <f t="shared" si="332"/>
        <v>2.6774579525513569</v>
      </c>
      <c r="U3541" s="12">
        <f t="shared" si="336"/>
        <v>2.6282000642978778</v>
      </c>
      <c r="V3541" s="30">
        <f t="shared" si="333"/>
        <v>0.40711561643835614</v>
      </c>
      <c r="W3541" s="46">
        <f t="shared" si="334"/>
        <v>-2.6774579525513566E-2</v>
      </c>
      <c r="X3541" s="33">
        <f t="shared" si="335"/>
        <v>2.5204153680680384E-2</v>
      </c>
    </row>
    <row r="3542" spans="19:24" x14ac:dyDescent="0.25">
      <c r="S3542" s="44">
        <f t="shared" si="331"/>
        <v>46592</v>
      </c>
      <c r="T3542" s="12">
        <f t="shared" si="332"/>
        <v>2.6747808702498159</v>
      </c>
      <c r="U3542" s="12">
        <f t="shared" si="336"/>
        <v>2.6255488875730886</v>
      </c>
      <c r="V3542" s="30">
        <f t="shared" si="333"/>
        <v>0.40708821917808224</v>
      </c>
      <c r="W3542" s="46">
        <f t="shared" si="334"/>
        <v>-2.6747808702498155E-2</v>
      </c>
      <c r="X3542" s="33">
        <f t="shared" si="335"/>
        <v>2.5204112168407442E-2</v>
      </c>
    </row>
    <row r="3543" spans="19:24" x14ac:dyDescent="0.25">
      <c r="S3543" s="44">
        <f t="shared" si="331"/>
        <v>46593</v>
      </c>
      <c r="T3543" s="12">
        <f t="shared" si="332"/>
        <v>2.672103787948275</v>
      </c>
      <c r="U3543" s="12">
        <f t="shared" si="336"/>
        <v>2.6228977108482994</v>
      </c>
      <c r="V3543" s="30">
        <f t="shared" si="333"/>
        <v>0.40706082191780824</v>
      </c>
      <c r="W3543" s="46">
        <f t="shared" si="334"/>
        <v>-2.6721037879482747E-2</v>
      </c>
      <c r="X3543" s="33">
        <f t="shared" si="335"/>
        <v>2.5204070656134496E-2</v>
      </c>
    </row>
    <row r="3544" spans="19:24" x14ac:dyDescent="0.25">
      <c r="S3544" s="44">
        <f t="shared" si="331"/>
        <v>46594</v>
      </c>
      <c r="T3544" s="12">
        <f t="shared" si="332"/>
        <v>2.6694267056467331</v>
      </c>
      <c r="U3544" s="12">
        <f t="shared" si="336"/>
        <v>2.6202465341235097</v>
      </c>
      <c r="V3544" s="30">
        <f t="shared" si="333"/>
        <v>0.40703342465753423</v>
      </c>
      <c r="W3544" s="46">
        <f t="shared" si="334"/>
        <v>-2.6694267056467328E-2</v>
      </c>
      <c r="X3544" s="33">
        <f t="shared" si="335"/>
        <v>2.5204029143861554E-2</v>
      </c>
    </row>
    <row r="3545" spans="19:24" x14ac:dyDescent="0.25">
      <c r="S3545" s="44">
        <f t="shared" si="331"/>
        <v>46595</v>
      </c>
      <c r="T3545" s="12">
        <f t="shared" si="332"/>
        <v>2.6667496233451913</v>
      </c>
      <c r="U3545" s="12">
        <f t="shared" si="336"/>
        <v>2.6175953573987201</v>
      </c>
      <c r="V3545" s="30">
        <f t="shared" si="333"/>
        <v>0.40700602739726033</v>
      </c>
      <c r="W3545" s="46">
        <f t="shared" si="334"/>
        <v>-2.6667496233451909E-2</v>
      </c>
      <c r="X3545" s="33">
        <f t="shared" si="335"/>
        <v>2.5203987631588615E-2</v>
      </c>
    </row>
    <row r="3546" spans="19:24" x14ac:dyDescent="0.25">
      <c r="S3546" s="44">
        <f t="shared" si="331"/>
        <v>46596</v>
      </c>
      <c r="T3546" s="12">
        <f t="shared" si="332"/>
        <v>2.6640725410436503</v>
      </c>
      <c r="U3546" s="12">
        <f t="shared" si="336"/>
        <v>2.6149441806739313</v>
      </c>
      <c r="V3546" s="30">
        <f t="shared" si="333"/>
        <v>0.40697863013698632</v>
      </c>
      <c r="W3546" s="46">
        <f t="shared" si="334"/>
        <v>-2.6640725410436498E-2</v>
      </c>
      <c r="X3546" s="33">
        <f t="shared" si="335"/>
        <v>2.5203946119315663E-2</v>
      </c>
    </row>
    <row r="3547" spans="19:24" x14ac:dyDescent="0.25">
      <c r="S3547" s="44">
        <f t="shared" si="331"/>
        <v>46597</v>
      </c>
      <c r="T3547" s="12">
        <f t="shared" si="332"/>
        <v>2.6613954587421098</v>
      </c>
      <c r="U3547" s="12">
        <f t="shared" si="336"/>
        <v>2.6122930039491408</v>
      </c>
      <c r="V3547" s="30">
        <f t="shared" si="333"/>
        <v>0.40695123287671231</v>
      </c>
      <c r="W3547" s="46">
        <f t="shared" si="334"/>
        <v>-2.6613954587421093E-2</v>
      </c>
      <c r="X3547" s="33">
        <f t="shared" si="335"/>
        <v>2.5203904607042717E-2</v>
      </c>
    </row>
    <row r="3548" spans="19:24" x14ac:dyDescent="0.25">
      <c r="S3548" s="44">
        <f t="shared" si="331"/>
        <v>46598</v>
      </c>
      <c r="T3548" s="12">
        <f t="shared" si="332"/>
        <v>2.6587183764405693</v>
      </c>
      <c r="U3548" s="12">
        <f t="shared" si="336"/>
        <v>2.6096418272243525</v>
      </c>
      <c r="V3548" s="30">
        <f t="shared" si="333"/>
        <v>0.40692383561643841</v>
      </c>
      <c r="W3548" s="46">
        <f t="shared" si="334"/>
        <v>-2.6587183764405688E-2</v>
      </c>
      <c r="X3548" s="33">
        <f t="shared" si="335"/>
        <v>2.5203863094769779E-2</v>
      </c>
    </row>
    <row r="3549" spans="19:24" x14ac:dyDescent="0.25">
      <c r="S3549" s="44">
        <f t="shared" si="331"/>
        <v>46599</v>
      </c>
      <c r="T3549" s="12">
        <f t="shared" si="332"/>
        <v>2.6560412941390275</v>
      </c>
      <c r="U3549" s="12">
        <f t="shared" si="336"/>
        <v>2.6069906504995637</v>
      </c>
      <c r="V3549" s="30">
        <f t="shared" si="333"/>
        <v>0.4068964383561644</v>
      </c>
      <c r="W3549" s="46">
        <f t="shared" si="334"/>
        <v>-2.656041294139027E-2</v>
      </c>
      <c r="X3549" s="33">
        <f t="shared" si="335"/>
        <v>2.5203821582496833E-2</v>
      </c>
    </row>
    <row r="3550" spans="19:24" x14ac:dyDescent="0.25">
      <c r="S3550" s="44">
        <f t="shared" si="331"/>
        <v>46600</v>
      </c>
      <c r="T3550" s="12">
        <f t="shared" si="332"/>
        <v>2.6533642118374861</v>
      </c>
      <c r="U3550" s="12">
        <f t="shared" si="336"/>
        <v>2.604339473774774</v>
      </c>
      <c r="V3550" s="30">
        <f t="shared" si="333"/>
        <v>0.40686904109589039</v>
      </c>
      <c r="W3550" s="46">
        <f t="shared" si="334"/>
        <v>-2.6533642118374858E-2</v>
      </c>
      <c r="X3550" s="33">
        <f t="shared" si="335"/>
        <v>2.5203780070223891E-2</v>
      </c>
    </row>
    <row r="3551" spans="19:24" x14ac:dyDescent="0.25">
      <c r="S3551" s="44">
        <f t="shared" si="331"/>
        <v>46601</v>
      </c>
      <c r="T3551" s="12">
        <f t="shared" si="332"/>
        <v>2.6506871295359451</v>
      </c>
      <c r="U3551" s="12">
        <f t="shared" si="336"/>
        <v>2.6016882970499844</v>
      </c>
      <c r="V3551" s="30">
        <f t="shared" si="333"/>
        <v>0.4068416438356165</v>
      </c>
      <c r="W3551" s="46">
        <f t="shared" si="334"/>
        <v>-2.6506871295359447E-2</v>
      </c>
      <c r="X3551" s="33">
        <f t="shared" si="335"/>
        <v>2.5203738557950949E-2</v>
      </c>
    </row>
    <row r="3552" spans="19:24" x14ac:dyDescent="0.25">
      <c r="S3552" s="44">
        <f t="shared" si="331"/>
        <v>46602</v>
      </c>
      <c r="T3552" s="12">
        <f t="shared" si="332"/>
        <v>2.6480100472344037</v>
      </c>
      <c r="U3552" s="12">
        <f t="shared" si="336"/>
        <v>2.5990371203251952</v>
      </c>
      <c r="V3552" s="30">
        <f t="shared" si="333"/>
        <v>0.40681424657534249</v>
      </c>
      <c r="W3552" s="46">
        <f t="shared" si="334"/>
        <v>-2.6480100472344031E-2</v>
      </c>
      <c r="X3552" s="33">
        <f t="shared" si="335"/>
        <v>2.5203697045678E-2</v>
      </c>
    </row>
    <row r="3553" spans="19:24" x14ac:dyDescent="0.25">
      <c r="S3553" s="44">
        <f t="shared" si="331"/>
        <v>46603</v>
      </c>
      <c r="T3553" s="12">
        <f t="shared" si="332"/>
        <v>2.6453329649328627</v>
      </c>
      <c r="U3553" s="12">
        <f t="shared" si="336"/>
        <v>2.596385943600406</v>
      </c>
      <c r="V3553" s="30">
        <f t="shared" si="333"/>
        <v>0.40678684931506848</v>
      </c>
      <c r="W3553" s="46">
        <f t="shared" si="334"/>
        <v>-2.6453329649328623E-2</v>
      </c>
      <c r="X3553" s="33">
        <f t="shared" si="335"/>
        <v>2.5203655533405055E-2</v>
      </c>
    </row>
    <row r="3554" spans="19:24" x14ac:dyDescent="0.25">
      <c r="S3554" s="44">
        <f t="shared" si="331"/>
        <v>46604</v>
      </c>
      <c r="T3554" s="12">
        <f t="shared" si="332"/>
        <v>2.6426558826313218</v>
      </c>
      <c r="U3554" s="12">
        <f t="shared" si="336"/>
        <v>2.5937347668756168</v>
      </c>
      <c r="V3554" s="30">
        <f t="shared" si="333"/>
        <v>0.40675945205479452</v>
      </c>
      <c r="W3554" s="46">
        <f t="shared" si="334"/>
        <v>-2.6426558826313215E-2</v>
      </c>
      <c r="X3554" s="33">
        <f t="shared" si="335"/>
        <v>2.5203614021132113E-2</v>
      </c>
    </row>
    <row r="3555" spans="19:24" x14ac:dyDescent="0.25">
      <c r="S3555" s="44">
        <f t="shared" si="331"/>
        <v>46605</v>
      </c>
      <c r="T3555" s="12">
        <f t="shared" si="332"/>
        <v>2.6399788003297799</v>
      </c>
      <c r="U3555" s="12">
        <f t="shared" si="336"/>
        <v>2.5910835901508267</v>
      </c>
      <c r="V3555" s="30">
        <f t="shared" si="333"/>
        <v>0.40673205479452057</v>
      </c>
      <c r="W3555" s="46">
        <f t="shared" si="334"/>
        <v>-2.6399788003297796E-2</v>
      </c>
      <c r="X3555" s="33">
        <f t="shared" si="335"/>
        <v>2.5203572508859171E-2</v>
      </c>
    </row>
    <row r="3556" spans="19:24" x14ac:dyDescent="0.25">
      <c r="S3556" s="44">
        <f t="shared" si="331"/>
        <v>46606</v>
      </c>
      <c r="T3556" s="12">
        <f t="shared" si="332"/>
        <v>2.6373017180282394</v>
      </c>
      <c r="U3556" s="12">
        <f t="shared" si="336"/>
        <v>2.5884324134260375</v>
      </c>
      <c r="V3556" s="30">
        <f t="shared" si="333"/>
        <v>0.40670465753424656</v>
      </c>
      <c r="W3556" s="46">
        <f t="shared" si="334"/>
        <v>-2.6373017180282392E-2</v>
      </c>
      <c r="X3556" s="33">
        <f t="shared" si="335"/>
        <v>2.5203530996586222E-2</v>
      </c>
    </row>
    <row r="3557" spans="19:24" x14ac:dyDescent="0.25">
      <c r="S3557" s="44">
        <f t="shared" si="331"/>
        <v>46607</v>
      </c>
      <c r="T3557" s="12">
        <f t="shared" si="332"/>
        <v>2.634624635726698</v>
      </c>
      <c r="U3557" s="12">
        <f t="shared" si="336"/>
        <v>2.5857812367012483</v>
      </c>
      <c r="V3557" s="30">
        <f t="shared" si="333"/>
        <v>0.40667726027397266</v>
      </c>
      <c r="W3557" s="46">
        <f t="shared" si="334"/>
        <v>-2.6346246357266977E-2</v>
      </c>
      <c r="X3557" s="33">
        <f t="shared" si="335"/>
        <v>2.5203489484313286E-2</v>
      </c>
    </row>
    <row r="3558" spans="19:24" x14ac:dyDescent="0.25">
      <c r="S3558" s="44">
        <f t="shared" si="331"/>
        <v>46608</v>
      </c>
      <c r="T3558" s="12">
        <f t="shared" si="332"/>
        <v>2.6319475534251562</v>
      </c>
      <c r="U3558" s="12">
        <f t="shared" si="336"/>
        <v>2.5831300599764595</v>
      </c>
      <c r="V3558" s="30">
        <f t="shared" si="333"/>
        <v>0.40664986301369865</v>
      </c>
      <c r="W3558" s="46">
        <f t="shared" si="334"/>
        <v>-2.6319475534251558E-2</v>
      </c>
      <c r="X3558" s="33">
        <f t="shared" si="335"/>
        <v>2.5203447972040341E-2</v>
      </c>
    </row>
    <row r="3559" spans="19:24" x14ac:dyDescent="0.25">
      <c r="S3559" s="44">
        <f t="shared" si="331"/>
        <v>46609</v>
      </c>
      <c r="T3559" s="12">
        <f t="shared" si="332"/>
        <v>2.6292704711236157</v>
      </c>
      <c r="U3559" s="12">
        <f t="shared" si="336"/>
        <v>2.5804788832516703</v>
      </c>
      <c r="V3559" s="30">
        <f t="shared" si="333"/>
        <v>0.40662246575342464</v>
      </c>
      <c r="W3559" s="46">
        <f t="shared" si="334"/>
        <v>-2.6292704711236153E-2</v>
      </c>
      <c r="X3559" s="33">
        <f t="shared" si="335"/>
        <v>2.5203406459767392E-2</v>
      </c>
    </row>
    <row r="3560" spans="19:24" x14ac:dyDescent="0.25">
      <c r="S3560" s="44">
        <f t="shared" si="331"/>
        <v>46610</v>
      </c>
      <c r="T3560" s="12">
        <f t="shared" si="332"/>
        <v>2.6265933888220743</v>
      </c>
      <c r="U3560" s="12">
        <f t="shared" si="336"/>
        <v>2.5778277065268815</v>
      </c>
      <c r="V3560" s="30">
        <f t="shared" si="333"/>
        <v>0.40659506849315069</v>
      </c>
      <c r="W3560" s="46">
        <f t="shared" si="334"/>
        <v>-2.6265933888220738E-2</v>
      </c>
      <c r="X3560" s="33">
        <f t="shared" si="335"/>
        <v>2.520336494749445E-2</v>
      </c>
    </row>
    <row r="3561" spans="19:24" x14ac:dyDescent="0.25">
      <c r="S3561" s="44">
        <f t="shared" si="331"/>
        <v>46611</v>
      </c>
      <c r="T3561" s="12">
        <f t="shared" si="332"/>
        <v>2.6239163065205333</v>
      </c>
      <c r="U3561" s="12">
        <f t="shared" si="336"/>
        <v>2.5751765298020919</v>
      </c>
      <c r="V3561" s="30">
        <f t="shared" si="333"/>
        <v>0.40656767123287674</v>
      </c>
      <c r="W3561" s="46">
        <f t="shared" si="334"/>
        <v>-2.623916306520533E-2</v>
      </c>
      <c r="X3561" s="33">
        <f t="shared" si="335"/>
        <v>2.5203323435221508E-2</v>
      </c>
    </row>
    <row r="3562" spans="19:24" x14ac:dyDescent="0.25">
      <c r="S3562" s="44">
        <f t="shared" si="331"/>
        <v>46612</v>
      </c>
      <c r="T3562" s="12">
        <f t="shared" si="332"/>
        <v>2.621239224218991</v>
      </c>
      <c r="U3562" s="12">
        <f t="shared" si="336"/>
        <v>2.5725253530773027</v>
      </c>
      <c r="V3562" s="30">
        <f t="shared" si="333"/>
        <v>0.40654027397260273</v>
      </c>
      <c r="W3562" s="46">
        <f t="shared" si="334"/>
        <v>-2.6212392242189905E-2</v>
      </c>
      <c r="X3562" s="33">
        <f t="shared" si="335"/>
        <v>2.5203281922948562E-2</v>
      </c>
    </row>
    <row r="3563" spans="19:24" x14ac:dyDescent="0.25">
      <c r="S3563" s="44">
        <f t="shared" si="331"/>
        <v>46613</v>
      </c>
      <c r="T3563" s="12">
        <f t="shared" si="332"/>
        <v>2.6185621419174505</v>
      </c>
      <c r="U3563" s="12">
        <f t="shared" si="336"/>
        <v>2.5698741763525126</v>
      </c>
      <c r="V3563" s="30">
        <f t="shared" si="333"/>
        <v>0.40651287671232877</v>
      </c>
      <c r="W3563" s="46">
        <f t="shared" si="334"/>
        <v>-2.61856214191745E-2</v>
      </c>
      <c r="X3563" s="33">
        <f t="shared" si="335"/>
        <v>2.520324041067562E-2</v>
      </c>
    </row>
    <row r="3564" spans="19:24" x14ac:dyDescent="0.25">
      <c r="S3564" s="44">
        <f t="shared" si="331"/>
        <v>46614</v>
      </c>
      <c r="T3564" s="12">
        <f t="shared" si="332"/>
        <v>2.6158850596159091</v>
      </c>
      <c r="U3564" s="12">
        <f t="shared" si="336"/>
        <v>2.5672229996277234</v>
      </c>
      <c r="V3564" s="30">
        <f t="shared" si="333"/>
        <v>0.40648547945205482</v>
      </c>
      <c r="W3564" s="46">
        <f t="shared" si="334"/>
        <v>-2.6158850596159088E-2</v>
      </c>
      <c r="X3564" s="33">
        <f t="shared" si="335"/>
        <v>2.5203198898402678E-2</v>
      </c>
    </row>
    <row r="3565" spans="19:24" x14ac:dyDescent="0.25">
      <c r="S3565" s="44">
        <f t="shared" si="331"/>
        <v>46615</v>
      </c>
      <c r="T3565" s="12">
        <f t="shared" si="332"/>
        <v>2.6132079773143682</v>
      </c>
      <c r="U3565" s="12">
        <f t="shared" si="336"/>
        <v>2.5645718229029351</v>
      </c>
      <c r="V3565" s="30">
        <f t="shared" si="333"/>
        <v>0.40645808219178081</v>
      </c>
      <c r="W3565" s="46">
        <f t="shared" si="334"/>
        <v>-2.6132079773143677E-2</v>
      </c>
      <c r="X3565" s="33">
        <f t="shared" si="335"/>
        <v>2.5203157386129729E-2</v>
      </c>
    </row>
    <row r="3566" spans="19:24" x14ac:dyDescent="0.25">
      <c r="S3566" s="44">
        <f t="shared" si="331"/>
        <v>46616</v>
      </c>
      <c r="T3566" s="12">
        <f t="shared" si="332"/>
        <v>2.6105308950128276</v>
      </c>
      <c r="U3566" s="12">
        <f t="shared" si="336"/>
        <v>2.561920646178145</v>
      </c>
      <c r="V3566" s="30">
        <f t="shared" si="333"/>
        <v>0.40643068493150686</v>
      </c>
      <c r="W3566" s="46">
        <f t="shared" si="334"/>
        <v>-2.6105308950128272E-2</v>
      </c>
      <c r="X3566" s="33">
        <f t="shared" si="335"/>
        <v>2.5203115873856787E-2</v>
      </c>
    </row>
    <row r="3567" spans="19:24" x14ac:dyDescent="0.25">
      <c r="S3567" s="44">
        <f t="shared" si="331"/>
        <v>46617</v>
      </c>
      <c r="T3567" s="12">
        <f t="shared" si="332"/>
        <v>2.6078538127112854</v>
      </c>
      <c r="U3567" s="12">
        <f t="shared" si="336"/>
        <v>2.5592694694533553</v>
      </c>
      <c r="V3567" s="30">
        <f t="shared" si="333"/>
        <v>0.4064032876712329</v>
      </c>
      <c r="W3567" s="46">
        <f t="shared" si="334"/>
        <v>-2.607853812711285E-2</v>
      </c>
      <c r="X3567" s="33">
        <f t="shared" si="335"/>
        <v>2.5203074361583845E-2</v>
      </c>
    </row>
    <row r="3568" spans="19:24" x14ac:dyDescent="0.25">
      <c r="S3568" s="44">
        <f t="shared" si="331"/>
        <v>46618</v>
      </c>
      <c r="T3568" s="12">
        <f t="shared" si="332"/>
        <v>2.6051767304097444</v>
      </c>
      <c r="U3568" s="12">
        <f t="shared" si="336"/>
        <v>2.5566182927285666</v>
      </c>
      <c r="V3568" s="30">
        <f t="shared" si="333"/>
        <v>0.4063758904109589</v>
      </c>
      <c r="W3568" s="46">
        <f t="shared" si="334"/>
        <v>-2.6051767304097442E-2</v>
      </c>
      <c r="X3568" s="33">
        <f t="shared" si="335"/>
        <v>2.52030328493109E-2</v>
      </c>
    </row>
    <row r="3569" spans="19:24" x14ac:dyDescent="0.25">
      <c r="S3569" s="44">
        <f t="shared" si="331"/>
        <v>46619</v>
      </c>
      <c r="T3569" s="12">
        <f t="shared" si="332"/>
        <v>2.602499648108203</v>
      </c>
      <c r="U3569" s="12">
        <f t="shared" si="336"/>
        <v>2.5539671160037773</v>
      </c>
      <c r="V3569" s="30">
        <f t="shared" si="333"/>
        <v>0.40634849315068494</v>
      </c>
      <c r="W3569" s="46">
        <f t="shared" si="334"/>
        <v>-2.6024996481082027E-2</v>
      </c>
      <c r="X3569" s="33">
        <f t="shared" si="335"/>
        <v>2.5202991337037958E-2</v>
      </c>
    </row>
    <row r="3570" spans="19:24" x14ac:dyDescent="0.25">
      <c r="S3570" s="44">
        <f t="shared" si="331"/>
        <v>46620</v>
      </c>
      <c r="T3570" s="12">
        <f t="shared" si="332"/>
        <v>2.5998225658066634</v>
      </c>
      <c r="U3570" s="12">
        <f t="shared" si="336"/>
        <v>2.5513159392789881</v>
      </c>
      <c r="V3570" s="30">
        <f t="shared" si="333"/>
        <v>0.40632109589041093</v>
      </c>
      <c r="W3570" s="46">
        <f t="shared" si="334"/>
        <v>-2.5998225658066629E-2</v>
      </c>
      <c r="X3570" s="33">
        <f t="shared" si="335"/>
        <v>2.5202949824765009E-2</v>
      </c>
    </row>
    <row r="3571" spans="19:24" x14ac:dyDescent="0.25">
      <c r="S3571" s="44">
        <f t="shared" ref="S3571:S3634" si="337">+S3570+1</f>
        <v>46621</v>
      </c>
      <c r="T3571" s="12">
        <f t="shared" si="332"/>
        <v>2.5971454835051211</v>
      </c>
      <c r="U3571" s="12">
        <f t="shared" si="336"/>
        <v>2.5486647625541985</v>
      </c>
      <c r="V3571" s="30">
        <f t="shared" si="333"/>
        <v>0.40629369863013698</v>
      </c>
      <c r="W3571" s="46">
        <f t="shared" si="334"/>
        <v>-2.5971454835051207E-2</v>
      </c>
      <c r="X3571" s="33">
        <f t="shared" si="335"/>
        <v>2.5202908312492067E-2</v>
      </c>
    </row>
    <row r="3572" spans="19:24" x14ac:dyDescent="0.25">
      <c r="S3572" s="44">
        <f t="shared" si="337"/>
        <v>46622</v>
      </c>
      <c r="T3572" s="12">
        <f t="shared" si="332"/>
        <v>2.5944684012035792</v>
      </c>
      <c r="U3572" s="12">
        <f t="shared" si="336"/>
        <v>2.5460135858294093</v>
      </c>
      <c r="V3572" s="30">
        <f t="shared" si="333"/>
        <v>0.40626630136986297</v>
      </c>
      <c r="W3572" s="46">
        <f t="shared" si="334"/>
        <v>-2.5944684012035788E-2</v>
      </c>
      <c r="X3572" s="33">
        <f t="shared" si="335"/>
        <v>2.5202866800219121E-2</v>
      </c>
    </row>
    <row r="3573" spans="19:24" x14ac:dyDescent="0.25">
      <c r="S3573" s="44">
        <f t="shared" si="337"/>
        <v>46623</v>
      </c>
      <c r="T3573" s="12">
        <f t="shared" si="332"/>
        <v>2.5917913189020392</v>
      </c>
      <c r="U3573" s="12">
        <f t="shared" si="336"/>
        <v>2.5433624091046201</v>
      </c>
      <c r="V3573" s="30">
        <f t="shared" si="333"/>
        <v>0.40623890410958907</v>
      </c>
      <c r="W3573" s="46">
        <f t="shared" si="334"/>
        <v>-2.5917913189020387E-2</v>
      </c>
      <c r="X3573" s="33">
        <f t="shared" si="335"/>
        <v>2.5202825287946182E-2</v>
      </c>
    </row>
    <row r="3574" spans="19:24" x14ac:dyDescent="0.25">
      <c r="S3574" s="44">
        <f t="shared" si="337"/>
        <v>46624</v>
      </c>
      <c r="T3574" s="12">
        <f t="shared" si="332"/>
        <v>2.5891142366004978</v>
      </c>
      <c r="U3574" s="12">
        <f t="shared" si="336"/>
        <v>2.5407112323798309</v>
      </c>
      <c r="V3574" s="30">
        <f t="shared" si="333"/>
        <v>0.40621150684931506</v>
      </c>
      <c r="W3574" s="46">
        <f t="shared" si="334"/>
        <v>-2.5891142366004975E-2</v>
      </c>
      <c r="X3574" s="33">
        <f t="shared" si="335"/>
        <v>2.5202783775673237E-2</v>
      </c>
    </row>
    <row r="3575" spans="19:24" x14ac:dyDescent="0.25">
      <c r="S3575" s="44">
        <f t="shared" si="337"/>
        <v>46625</v>
      </c>
      <c r="T3575" s="12">
        <f t="shared" si="332"/>
        <v>2.5864371542989559</v>
      </c>
      <c r="U3575" s="12">
        <f t="shared" si="336"/>
        <v>2.5380600556550417</v>
      </c>
      <c r="V3575" s="30">
        <f t="shared" si="333"/>
        <v>0.40618410958904111</v>
      </c>
      <c r="W3575" s="46">
        <f t="shared" si="334"/>
        <v>-2.5864371542989557E-2</v>
      </c>
      <c r="X3575" s="33">
        <f t="shared" si="335"/>
        <v>2.5202742263400295E-2</v>
      </c>
    </row>
    <row r="3576" spans="19:24" x14ac:dyDescent="0.25">
      <c r="S3576" s="44">
        <f t="shared" si="337"/>
        <v>46626</v>
      </c>
      <c r="T3576" s="12">
        <f t="shared" si="332"/>
        <v>2.583760071997415</v>
      </c>
      <c r="U3576" s="12">
        <f t="shared" si="336"/>
        <v>2.535408878930252</v>
      </c>
      <c r="V3576" s="30">
        <f t="shared" si="333"/>
        <v>0.40615671232876716</v>
      </c>
      <c r="W3576" s="46">
        <f t="shared" si="334"/>
        <v>-2.5837600719974145E-2</v>
      </c>
      <c r="X3576" s="33">
        <f t="shared" si="335"/>
        <v>2.5202700751127353E-2</v>
      </c>
    </row>
    <row r="3577" spans="19:24" x14ac:dyDescent="0.25">
      <c r="S3577" s="44">
        <f t="shared" si="337"/>
        <v>46627</v>
      </c>
      <c r="T3577" s="12">
        <f t="shared" si="332"/>
        <v>2.5810829896958749</v>
      </c>
      <c r="U3577" s="12">
        <f t="shared" si="336"/>
        <v>2.5327577022054619</v>
      </c>
      <c r="V3577" s="30">
        <f t="shared" si="333"/>
        <v>0.40612931506849315</v>
      </c>
      <c r="W3577" s="46">
        <f t="shared" si="334"/>
        <v>-2.5810829896958744E-2</v>
      </c>
      <c r="X3577" s="33">
        <f t="shared" si="335"/>
        <v>2.52026592388544E-2</v>
      </c>
    </row>
    <row r="3578" spans="19:24" x14ac:dyDescent="0.25">
      <c r="S3578" s="44">
        <f t="shared" si="337"/>
        <v>46628</v>
      </c>
      <c r="T3578" s="12">
        <f t="shared" si="332"/>
        <v>2.5784059073943322</v>
      </c>
      <c r="U3578" s="12">
        <f t="shared" si="336"/>
        <v>2.5301065254806736</v>
      </c>
      <c r="V3578" s="30">
        <f t="shared" si="333"/>
        <v>0.40610191780821919</v>
      </c>
      <c r="W3578" s="46">
        <f t="shared" si="334"/>
        <v>-2.5784059073943318E-2</v>
      </c>
      <c r="X3578" s="33">
        <f t="shared" si="335"/>
        <v>2.5202617726581465E-2</v>
      </c>
    </row>
    <row r="3579" spans="19:24" x14ac:dyDescent="0.25">
      <c r="S3579" s="44">
        <f t="shared" si="337"/>
        <v>46629</v>
      </c>
      <c r="T3579" s="12">
        <f t="shared" si="332"/>
        <v>2.5757288250927912</v>
      </c>
      <c r="U3579" s="12">
        <f t="shared" si="336"/>
        <v>2.5274553487558844</v>
      </c>
      <c r="V3579" s="30">
        <f t="shared" si="333"/>
        <v>0.40607452054794524</v>
      </c>
      <c r="W3579" s="46">
        <f t="shared" si="334"/>
        <v>-2.5757288250927907E-2</v>
      </c>
      <c r="X3579" s="33">
        <f t="shared" si="335"/>
        <v>2.5202576214308516E-2</v>
      </c>
    </row>
    <row r="3580" spans="19:24" x14ac:dyDescent="0.25">
      <c r="S3580" s="44">
        <f t="shared" si="337"/>
        <v>46630</v>
      </c>
      <c r="T3580" s="12">
        <f t="shared" si="332"/>
        <v>2.5730517427912503</v>
      </c>
      <c r="U3580" s="12">
        <f t="shared" si="336"/>
        <v>2.5248041720310948</v>
      </c>
      <c r="V3580" s="30">
        <f t="shared" si="333"/>
        <v>0.40604712328767123</v>
      </c>
      <c r="W3580" s="46">
        <f t="shared" si="334"/>
        <v>-2.5730517427912498E-2</v>
      </c>
      <c r="X3580" s="33">
        <f t="shared" si="335"/>
        <v>2.5202534702035574E-2</v>
      </c>
    </row>
    <row r="3581" spans="19:24" x14ac:dyDescent="0.25">
      <c r="S3581" s="44">
        <f t="shared" si="337"/>
        <v>46631</v>
      </c>
      <c r="T3581" s="12">
        <f t="shared" si="332"/>
        <v>2.5703746604897098</v>
      </c>
      <c r="U3581" s="12">
        <f t="shared" si="336"/>
        <v>2.5221529953063055</v>
      </c>
      <c r="V3581" s="30">
        <f t="shared" si="333"/>
        <v>0.40601972602739733</v>
      </c>
      <c r="W3581" s="46">
        <f t="shared" si="334"/>
        <v>-2.5703746604897094E-2</v>
      </c>
      <c r="X3581" s="33">
        <f t="shared" si="335"/>
        <v>2.5202493189762632E-2</v>
      </c>
    </row>
    <row r="3582" spans="19:24" x14ac:dyDescent="0.25">
      <c r="S3582" s="44">
        <f t="shared" si="337"/>
        <v>46632</v>
      </c>
      <c r="T3582" s="12">
        <f t="shared" si="332"/>
        <v>2.5676975781881679</v>
      </c>
      <c r="U3582" s="12">
        <f t="shared" si="336"/>
        <v>2.5195018185815163</v>
      </c>
      <c r="V3582" s="30">
        <f t="shared" si="333"/>
        <v>0.40599232876712332</v>
      </c>
      <c r="W3582" s="46">
        <f t="shared" si="334"/>
        <v>-2.5676975781881675E-2</v>
      </c>
      <c r="X3582" s="33">
        <f t="shared" si="335"/>
        <v>2.520245167748969E-2</v>
      </c>
    </row>
    <row r="3583" spans="19:24" x14ac:dyDescent="0.25">
      <c r="S3583" s="44">
        <f t="shared" si="337"/>
        <v>46633</v>
      </c>
      <c r="T3583" s="12">
        <f t="shared" si="332"/>
        <v>2.565020495886627</v>
      </c>
      <c r="U3583" s="12">
        <f t="shared" si="336"/>
        <v>2.5168506418567267</v>
      </c>
      <c r="V3583" s="30">
        <f t="shared" si="333"/>
        <v>0.40596493150684931</v>
      </c>
      <c r="W3583" s="46">
        <f t="shared" si="334"/>
        <v>-2.5650204958866267E-2</v>
      </c>
      <c r="X3583" s="33">
        <f t="shared" si="335"/>
        <v>2.5202410165216745E-2</v>
      </c>
    </row>
    <row r="3584" spans="19:24" x14ac:dyDescent="0.25">
      <c r="S3584" s="44">
        <f t="shared" si="337"/>
        <v>46634</v>
      </c>
      <c r="T3584" s="12">
        <f t="shared" si="332"/>
        <v>2.5623434135850855</v>
      </c>
      <c r="U3584" s="12">
        <f t="shared" si="336"/>
        <v>2.5141994651319379</v>
      </c>
      <c r="V3584" s="30">
        <f t="shared" si="333"/>
        <v>0.40593753424657536</v>
      </c>
      <c r="W3584" s="46">
        <f t="shared" si="334"/>
        <v>-2.5623434135850852E-2</v>
      </c>
      <c r="X3584" s="33">
        <f t="shared" si="335"/>
        <v>2.5202368652943802E-2</v>
      </c>
    </row>
    <row r="3585" spans="19:24" x14ac:dyDescent="0.25">
      <c r="S3585" s="44">
        <f t="shared" si="337"/>
        <v>46635</v>
      </c>
      <c r="T3585" s="12">
        <f t="shared" si="332"/>
        <v>2.5596663312835446</v>
      </c>
      <c r="U3585" s="12">
        <f t="shared" si="336"/>
        <v>2.5115482884071483</v>
      </c>
      <c r="V3585" s="30">
        <f t="shared" si="333"/>
        <v>0.40591013698630141</v>
      </c>
      <c r="W3585" s="46">
        <f t="shared" si="334"/>
        <v>-2.5596663312835444E-2</v>
      </c>
      <c r="X3585" s="33">
        <f t="shared" si="335"/>
        <v>2.5202327140670854E-2</v>
      </c>
    </row>
    <row r="3586" spans="19:24" x14ac:dyDescent="0.25">
      <c r="S3586" s="44">
        <f t="shared" si="337"/>
        <v>46636</v>
      </c>
      <c r="T3586" s="12">
        <f t="shared" si="332"/>
        <v>2.5569892489820032</v>
      </c>
      <c r="U3586" s="12">
        <f t="shared" si="336"/>
        <v>2.5088971116823595</v>
      </c>
      <c r="V3586" s="30">
        <f t="shared" si="333"/>
        <v>0.4058827397260274</v>
      </c>
      <c r="W3586" s="46">
        <f t="shared" si="334"/>
        <v>-2.5569892489820029E-2</v>
      </c>
      <c r="X3586" s="33">
        <f t="shared" si="335"/>
        <v>2.5202285628397911E-2</v>
      </c>
    </row>
    <row r="3587" spans="19:24" x14ac:dyDescent="0.25">
      <c r="S3587" s="44">
        <f t="shared" si="337"/>
        <v>46637</v>
      </c>
      <c r="T3587" s="12">
        <f t="shared" si="332"/>
        <v>2.5543121666804618</v>
      </c>
      <c r="U3587" s="12">
        <f t="shared" si="336"/>
        <v>2.5062459349575694</v>
      </c>
      <c r="V3587" s="30">
        <f t="shared" si="333"/>
        <v>0.40585534246575344</v>
      </c>
      <c r="W3587" s="46">
        <f t="shared" si="334"/>
        <v>-2.5543121666804613E-2</v>
      </c>
      <c r="X3587" s="33">
        <f t="shared" si="335"/>
        <v>2.5202244116124969E-2</v>
      </c>
    </row>
    <row r="3588" spans="19:24" x14ac:dyDescent="0.25">
      <c r="S3588" s="44">
        <f t="shared" si="337"/>
        <v>46638</v>
      </c>
      <c r="T3588" s="12">
        <f t="shared" si="332"/>
        <v>2.5516350843789208</v>
      </c>
      <c r="U3588" s="12">
        <f t="shared" si="336"/>
        <v>2.5035947582327807</v>
      </c>
      <c r="V3588" s="30">
        <f t="shared" si="333"/>
        <v>0.40582794520547949</v>
      </c>
      <c r="W3588" s="46">
        <f t="shared" si="334"/>
        <v>-2.5516350843789205E-2</v>
      </c>
      <c r="X3588" s="33">
        <f t="shared" si="335"/>
        <v>2.5202202603852024E-2</v>
      </c>
    </row>
    <row r="3589" spans="19:24" x14ac:dyDescent="0.25">
      <c r="S3589" s="44">
        <f t="shared" si="337"/>
        <v>46639</v>
      </c>
      <c r="T3589" s="12">
        <f t="shared" ref="T3589:T3652" si="338">DurMod(S3589,B$2,$F$7:$G$37,$T$3)</f>
        <v>2.5489580020773799</v>
      </c>
      <c r="U3589" s="12">
        <f t="shared" si="336"/>
        <v>2.500943581507991</v>
      </c>
      <c r="V3589" s="30">
        <f t="shared" ref="V3589:V3652" si="339">+$U$3*($S$5512-S3589)/365+$T$3*(S3589-$S$4)/365</f>
        <v>0.40580054794520548</v>
      </c>
      <c r="W3589" s="46">
        <f t="shared" ref="W3589:W3652" si="340">+-T3589*($U$3-$T$3)</f>
        <v>-2.5489580020773794E-2</v>
      </c>
      <c r="X3589" s="33">
        <f t="shared" ref="X3589:X3652" si="341">+(V3589+W3589)*365/($S$5512-$S$4)</f>
        <v>2.5202161091579082E-2</v>
      </c>
    </row>
    <row r="3590" spans="19:24" x14ac:dyDescent="0.25">
      <c r="S3590" s="44">
        <f t="shared" si="337"/>
        <v>46640</v>
      </c>
      <c r="T3590" s="12">
        <f t="shared" si="338"/>
        <v>2.5462809197758394</v>
      </c>
      <c r="U3590" s="12">
        <f t="shared" ref="U3590:U3653" si="342">DurMod($S3590,$B$2,$F$7:$G$37,U$3)</f>
        <v>2.4982924047832014</v>
      </c>
      <c r="V3590" s="30">
        <f t="shared" si="339"/>
        <v>0.40577315068493153</v>
      </c>
      <c r="W3590" s="46">
        <f t="shared" si="340"/>
        <v>-2.5462809197758389E-2</v>
      </c>
      <c r="X3590" s="33">
        <f t="shared" si="341"/>
        <v>2.5202119579306133E-2</v>
      </c>
    </row>
    <row r="3591" spans="19:24" x14ac:dyDescent="0.25">
      <c r="S3591" s="44">
        <f t="shared" si="337"/>
        <v>46641</v>
      </c>
      <c r="T3591" s="12">
        <f t="shared" si="338"/>
        <v>2.5436038374742966</v>
      </c>
      <c r="U3591" s="12">
        <f t="shared" si="342"/>
        <v>2.4956412280584122</v>
      </c>
      <c r="V3591" s="30">
        <f t="shared" si="339"/>
        <v>0.40574575342465757</v>
      </c>
      <c r="W3591" s="46">
        <f t="shared" si="340"/>
        <v>-2.5436038374742963E-2</v>
      </c>
      <c r="X3591" s="33">
        <f t="shared" si="341"/>
        <v>2.5202078067033198E-2</v>
      </c>
    </row>
    <row r="3592" spans="19:24" x14ac:dyDescent="0.25">
      <c r="S3592" s="44">
        <f t="shared" si="337"/>
        <v>46642</v>
      </c>
      <c r="T3592" s="12">
        <f t="shared" si="338"/>
        <v>2.5409267551727566</v>
      </c>
      <c r="U3592" s="12">
        <f t="shared" si="342"/>
        <v>2.4929900513336229</v>
      </c>
      <c r="V3592" s="30">
        <f t="shared" si="339"/>
        <v>0.40571835616438356</v>
      </c>
      <c r="W3592" s="46">
        <f t="shared" si="340"/>
        <v>-2.5409267551727562E-2</v>
      </c>
      <c r="X3592" s="33">
        <f t="shared" si="341"/>
        <v>2.5202036554760245E-2</v>
      </c>
    </row>
    <row r="3593" spans="19:24" x14ac:dyDescent="0.25">
      <c r="S3593" s="44">
        <f t="shared" si="337"/>
        <v>46643</v>
      </c>
      <c r="T3593" s="12">
        <f t="shared" si="338"/>
        <v>2.5382496728712147</v>
      </c>
      <c r="U3593" s="12">
        <f t="shared" si="342"/>
        <v>2.4903388746088342</v>
      </c>
      <c r="V3593" s="30">
        <f t="shared" si="339"/>
        <v>0.40569095890410961</v>
      </c>
      <c r="W3593" s="46">
        <f t="shared" si="340"/>
        <v>-2.5382496728712144E-2</v>
      </c>
      <c r="X3593" s="33">
        <f t="shared" si="341"/>
        <v>2.5201995042487307E-2</v>
      </c>
    </row>
    <row r="3594" spans="19:24" x14ac:dyDescent="0.25">
      <c r="S3594" s="44">
        <f t="shared" si="337"/>
        <v>46644</v>
      </c>
      <c r="T3594" s="12">
        <f t="shared" si="338"/>
        <v>2.5355725905696738</v>
      </c>
      <c r="U3594" s="12">
        <f t="shared" si="342"/>
        <v>2.4876876978840441</v>
      </c>
      <c r="V3594" s="30">
        <f t="shared" si="339"/>
        <v>0.4056635616438356</v>
      </c>
      <c r="W3594" s="46">
        <f t="shared" si="340"/>
        <v>-2.5355725905696735E-2</v>
      </c>
      <c r="X3594" s="33">
        <f t="shared" si="341"/>
        <v>2.5201953530214361E-2</v>
      </c>
    </row>
    <row r="3595" spans="19:24" x14ac:dyDescent="0.25">
      <c r="S3595" s="44">
        <f t="shared" si="337"/>
        <v>46645</v>
      </c>
      <c r="T3595" s="12">
        <f t="shared" si="338"/>
        <v>2.5328955082681324</v>
      </c>
      <c r="U3595" s="12">
        <f t="shared" si="342"/>
        <v>2.4850365211592553</v>
      </c>
      <c r="V3595" s="30">
        <f t="shared" si="339"/>
        <v>0.40563616438356165</v>
      </c>
      <c r="W3595" s="46">
        <f t="shared" si="340"/>
        <v>-2.532895508268132E-2</v>
      </c>
      <c r="X3595" s="33">
        <f t="shared" si="341"/>
        <v>2.5201912017941419E-2</v>
      </c>
    </row>
    <row r="3596" spans="19:24" x14ac:dyDescent="0.25">
      <c r="S3596" s="44">
        <f t="shared" si="337"/>
        <v>46646</v>
      </c>
      <c r="T3596" s="12">
        <f t="shared" si="338"/>
        <v>2.5302184259665914</v>
      </c>
      <c r="U3596" s="12">
        <f t="shared" si="342"/>
        <v>2.4823853444344661</v>
      </c>
      <c r="V3596" s="30">
        <f t="shared" si="339"/>
        <v>0.40560876712328764</v>
      </c>
      <c r="W3596" s="46">
        <f t="shared" si="340"/>
        <v>-2.5302184259665909E-2</v>
      </c>
      <c r="X3596" s="33">
        <f t="shared" si="341"/>
        <v>2.520187050566847E-2</v>
      </c>
    </row>
    <row r="3597" spans="19:24" x14ac:dyDescent="0.25">
      <c r="S3597" s="44">
        <f t="shared" si="337"/>
        <v>46647</v>
      </c>
      <c r="T3597" s="12">
        <f t="shared" si="338"/>
        <v>2.5275413436650505</v>
      </c>
      <c r="U3597" s="12">
        <f t="shared" si="342"/>
        <v>2.4797341677096769</v>
      </c>
      <c r="V3597" s="30">
        <f t="shared" si="339"/>
        <v>0.40558136986301374</v>
      </c>
      <c r="W3597" s="46">
        <f t="shared" si="340"/>
        <v>-2.5275413436650501E-2</v>
      </c>
      <c r="X3597" s="33">
        <f t="shared" si="341"/>
        <v>2.5201828993395532E-2</v>
      </c>
    </row>
    <row r="3598" spans="19:24" x14ac:dyDescent="0.25">
      <c r="S3598" s="44">
        <f t="shared" si="337"/>
        <v>46648</v>
      </c>
      <c r="T3598" s="12">
        <f t="shared" si="338"/>
        <v>2.5248642613635095</v>
      </c>
      <c r="U3598" s="12">
        <f t="shared" si="342"/>
        <v>2.4770829909848873</v>
      </c>
      <c r="V3598" s="30">
        <f t="shared" si="339"/>
        <v>0.40555397260273973</v>
      </c>
      <c r="W3598" s="46">
        <f t="shared" si="340"/>
        <v>-2.5248642613635092E-2</v>
      </c>
      <c r="X3598" s="33">
        <f t="shared" si="341"/>
        <v>2.5201787481122589E-2</v>
      </c>
    </row>
    <row r="3599" spans="19:24" x14ac:dyDescent="0.25">
      <c r="S3599" s="44">
        <f t="shared" si="337"/>
        <v>46649</v>
      </c>
      <c r="T3599" s="12">
        <f t="shared" si="338"/>
        <v>2.5221871790619672</v>
      </c>
      <c r="U3599" s="12">
        <f t="shared" si="342"/>
        <v>2.4744318142600981</v>
      </c>
      <c r="V3599" s="30">
        <f t="shared" si="339"/>
        <v>0.40552657534246578</v>
      </c>
      <c r="W3599" s="46">
        <f t="shared" si="340"/>
        <v>-2.5221871790619667E-2</v>
      </c>
      <c r="X3599" s="33">
        <f t="shared" si="341"/>
        <v>2.520174596884964E-2</v>
      </c>
    </row>
    <row r="3600" spans="19:24" x14ac:dyDescent="0.25">
      <c r="S3600" s="44">
        <f t="shared" si="337"/>
        <v>46650</v>
      </c>
      <c r="T3600" s="12">
        <f t="shared" si="338"/>
        <v>2.5195100967604263</v>
      </c>
      <c r="U3600" s="12">
        <f t="shared" si="342"/>
        <v>2.4717806375353093</v>
      </c>
      <c r="V3600" s="30">
        <f t="shared" si="339"/>
        <v>0.40549917808219177</v>
      </c>
      <c r="W3600" s="46">
        <f t="shared" si="340"/>
        <v>-2.5195100967604259E-2</v>
      </c>
      <c r="X3600" s="33">
        <f t="shared" si="341"/>
        <v>2.5201704456576698E-2</v>
      </c>
    </row>
    <row r="3601" spans="19:24" x14ac:dyDescent="0.25">
      <c r="S3601" s="44">
        <f t="shared" si="337"/>
        <v>46651</v>
      </c>
      <c r="T3601" s="12">
        <f t="shared" si="338"/>
        <v>2.5168330144588853</v>
      </c>
      <c r="U3601" s="12">
        <f t="shared" si="342"/>
        <v>2.4691294608105192</v>
      </c>
      <c r="V3601" s="30">
        <f t="shared" si="339"/>
        <v>0.40547178082191782</v>
      </c>
      <c r="W3601" s="46">
        <f t="shared" si="340"/>
        <v>-2.516833014458885E-2</v>
      </c>
      <c r="X3601" s="33">
        <f t="shared" si="341"/>
        <v>2.5201662944303753E-2</v>
      </c>
    </row>
    <row r="3602" spans="19:24" x14ac:dyDescent="0.25">
      <c r="S3602" s="44">
        <f t="shared" si="337"/>
        <v>46652</v>
      </c>
      <c r="T3602" s="12">
        <f t="shared" si="338"/>
        <v>2.5141559321573448</v>
      </c>
      <c r="U3602" s="12">
        <f t="shared" si="342"/>
        <v>2.46647828408573</v>
      </c>
      <c r="V3602" s="30">
        <f t="shared" si="339"/>
        <v>0.40544438356164381</v>
      </c>
      <c r="W3602" s="46">
        <f t="shared" si="340"/>
        <v>-2.5141559321573442E-2</v>
      </c>
      <c r="X3602" s="33">
        <f t="shared" si="341"/>
        <v>2.5201621432030804E-2</v>
      </c>
    </row>
    <row r="3603" spans="19:24" x14ac:dyDescent="0.25">
      <c r="S3603" s="44">
        <f t="shared" si="337"/>
        <v>46653</v>
      </c>
      <c r="T3603" s="12">
        <f t="shared" si="338"/>
        <v>2.5114788498558025</v>
      </c>
      <c r="U3603" s="12">
        <f t="shared" si="342"/>
        <v>2.4638271073609403</v>
      </c>
      <c r="V3603" s="30">
        <f t="shared" si="339"/>
        <v>0.40541698630136985</v>
      </c>
      <c r="W3603" s="46">
        <f t="shared" si="340"/>
        <v>-2.511478849855802E-2</v>
      </c>
      <c r="X3603" s="33">
        <f t="shared" si="341"/>
        <v>2.5201579919757862E-2</v>
      </c>
    </row>
    <row r="3604" spans="19:24" x14ac:dyDescent="0.25">
      <c r="S3604" s="44">
        <f t="shared" si="337"/>
        <v>46654</v>
      </c>
      <c r="T3604" s="12">
        <f t="shared" si="338"/>
        <v>2.5088017675542615</v>
      </c>
      <c r="U3604" s="12">
        <f t="shared" si="342"/>
        <v>2.461175930636152</v>
      </c>
      <c r="V3604" s="30">
        <f t="shared" si="339"/>
        <v>0.4053895890410959</v>
      </c>
      <c r="W3604" s="46">
        <f t="shared" si="340"/>
        <v>-2.5088017675542612E-2</v>
      </c>
      <c r="X3604" s="33">
        <f t="shared" si="341"/>
        <v>2.5201538407484927E-2</v>
      </c>
    </row>
    <row r="3605" spans="19:24" x14ac:dyDescent="0.25">
      <c r="S3605" s="44">
        <f t="shared" si="337"/>
        <v>46655</v>
      </c>
      <c r="T3605" s="12">
        <f t="shared" si="338"/>
        <v>2.5061246852527206</v>
      </c>
      <c r="U3605" s="12">
        <f t="shared" si="342"/>
        <v>2.4585247539113624</v>
      </c>
      <c r="V3605" s="30">
        <f t="shared" si="339"/>
        <v>0.40536219178082189</v>
      </c>
      <c r="W3605" s="46">
        <f t="shared" si="340"/>
        <v>-2.50612468525272E-2</v>
      </c>
      <c r="X3605" s="33">
        <f t="shared" si="341"/>
        <v>2.5201496895211974E-2</v>
      </c>
    </row>
    <row r="3606" spans="19:24" x14ac:dyDescent="0.25">
      <c r="S3606" s="44">
        <f t="shared" si="337"/>
        <v>46656</v>
      </c>
      <c r="T3606" s="12">
        <f t="shared" si="338"/>
        <v>2.5034476029511796</v>
      </c>
      <c r="U3606" s="12">
        <f t="shared" si="342"/>
        <v>2.4558735771865732</v>
      </c>
      <c r="V3606" s="30">
        <f t="shared" si="339"/>
        <v>0.40533479452054794</v>
      </c>
      <c r="W3606" s="46">
        <f t="shared" si="340"/>
        <v>-2.5034476029511792E-2</v>
      </c>
      <c r="X3606" s="33">
        <f t="shared" si="341"/>
        <v>2.5201455382939032E-2</v>
      </c>
    </row>
    <row r="3607" spans="19:24" x14ac:dyDescent="0.25">
      <c r="S3607" s="44">
        <f t="shared" si="337"/>
        <v>46657</v>
      </c>
      <c r="T3607" s="12">
        <f t="shared" si="338"/>
        <v>2.5007705206496382</v>
      </c>
      <c r="U3607" s="12">
        <f t="shared" si="342"/>
        <v>2.4532224004617835</v>
      </c>
      <c r="V3607" s="30">
        <f t="shared" si="339"/>
        <v>0.40530739726027398</v>
      </c>
      <c r="W3607" s="46">
        <f t="shared" si="340"/>
        <v>-2.5007705206496377E-2</v>
      </c>
      <c r="X3607" s="33">
        <f t="shared" si="341"/>
        <v>2.520141387066609E-2</v>
      </c>
    </row>
    <row r="3608" spans="19:24" x14ac:dyDescent="0.25">
      <c r="S3608" s="44">
        <f t="shared" si="337"/>
        <v>46658</v>
      </c>
      <c r="T3608" s="12">
        <f t="shared" si="338"/>
        <v>2.4980934383480968</v>
      </c>
      <c r="U3608" s="12">
        <f t="shared" si="342"/>
        <v>2.4505712237369952</v>
      </c>
      <c r="V3608" s="30">
        <f t="shared" si="339"/>
        <v>0.40527999999999997</v>
      </c>
      <c r="W3608" s="46">
        <f t="shared" si="340"/>
        <v>-2.4980934383480966E-2</v>
      </c>
      <c r="X3608" s="33">
        <f t="shared" si="341"/>
        <v>2.5201372358393141E-2</v>
      </c>
    </row>
    <row r="3609" spans="19:24" x14ac:dyDescent="0.25">
      <c r="S3609" s="44">
        <f t="shared" si="337"/>
        <v>46659</v>
      </c>
      <c r="T3609" s="12">
        <f t="shared" si="338"/>
        <v>2.4954163560465554</v>
      </c>
      <c r="U3609" s="12">
        <f t="shared" si="342"/>
        <v>2.4479200470122051</v>
      </c>
      <c r="V3609" s="30">
        <f t="shared" si="339"/>
        <v>0.40525260273972608</v>
      </c>
      <c r="W3609" s="46">
        <f t="shared" si="340"/>
        <v>-2.495416356046555E-2</v>
      </c>
      <c r="X3609" s="33">
        <f t="shared" si="341"/>
        <v>2.5201330846120206E-2</v>
      </c>
    </row>
    <row r="3610" spans="19:24" x14ac:dyDescent="0.25">
      <c r="S3610" s="44">
        <f t="shared" si="337"/>
        <v>46660</v>
      </c>
      <c r="T3610" s="12">
        <f t="shared" si="338"/>
        <v>2.4927392737450149</v>
      </c>
      <c r="U3610" s="12">
        <f t="shared" si="342"/>
        <v>2.4452688702874164</v>
      </c>
      <c r="V3610" s="30">
        <f t="shared" si="339"/>
        <v>0.40522520547945207</v>
      </c>
      <c r="W3610" s="46">
        <f t="shared" si="340"/>
        <v>-2.4927392737450146E-2</v>
      </c>
      <c r="X3610" s="33">
        <f t="shared" si="341"/>
        <v>2.5201289333847257E-2</v>
      </c>
    </row>
    <row r="3611" spans="19:24" x14ac:dyDescent="0.25">
      <c r="S3611" s="44">
        <f t="shared" si="337"/>
        <v>46661</v>
      </c>
      <c r="T3611" s="12">
        <f t="shared" si="338"/>
        <v>2.4900621914434731</v>
      </c>
      <c r="U3611" s="12">
        <f t="shared" si="342"/>
        <v>2.4426176935626267</v>
      </c>
      <c r="V3611" s="30">
        <f t="shared" si="339"/>
        <v>0.40519780821917811</v>
      </c>
      <c r="W3611" s="46">
        <f t="shared" si="340"/>
        <v>-2.4900621914434727E-2</v>
      </c>
      <c r="X3611" s="33">
        <f t="shared" si="341"/>
        <v>2.5201247821574315E-2</v>
      </c>
    </row>
    <row r="3612" spans="19:24" x14ac:dyDescent="0.25">
      <c r="S3612" s="44">
        <f t="shared" si="337"/>
        <v>46662</v>
      </c>
      <c r="T3612" s="12">
        <f t="shared" si="338"/>
        <v>2.4873851091419321</v>
      </c>
      <c r="U3612" s="12">
        <f t="shared" si="342"/>
        <v>2.4399665168378371</v>
      </c>
      <c r="V3612" s="30">
        <f t="shared" si="339"/>
        <v>0.4051704109589041</v>
      </c>
      <c r="W3612" s="46">
        <f t="shared" si="340"/>
        <v>-2.4873851091419319E-2</v>
      </c>
      <c r="X3612" s="33">
        <f t="shared" si="341"/>
        <v>2.520120630930137E-2</v>
      </c>
    </row>
    <row r="3613" spans="19:24" x14ac:dyDescent="0.25">
      <c r="S3613" s="44">
        <f t="shared" si="337"/>
        <v>46663</v>
      </c>
      <c r="T3613" s="12">
        <f t="shared" si="338"/>
        <v>2.4847080268403907</v>
      </c>
      <c r="U3613" s="12">
        <f t="shared" si="342"/>
        <v>2.4373153401130478</v>
      </c>
      <c r="V3613" s="30">
        <f t="shared" si="339"/>
        <v>0.40514301369863015</v>
      </c>
      <c r="W3613" s="46">
        <f t="shared" si="340"/>
        <v>-2.4847080268403904E-2</v>
      </c>
      <c r="X3613" s="33">
        <f t="shared" si="341"/>
        <v>2.5201164797028427E-2</v>
      </c>
    </row>
    <row r="3614" spans="19:24" x14ac:dyDescent="0.25">
      <c r="S3614" s="44">
        <f t="shared" si="337"/>
        <v>46664</v>
      </c>
      <c r="T3614" s="12">
        <f t="shared" si="338"/>
        <v>2.4820309445388502</v>
      </c>
      <c r="U3614" s="12">
        <f t="shared" si="342"/>
        <v>2.4346641633882591</v>
      </c>
      <c r="V3614" s="30">
        <f t="shared" si="339"/>
        <v>0.40511561643835614</v>
      </c>
      <c r="W3614" s="46">
        <f t="shared" si="340"/>
        <v>-2.4820309445388499E-2</v>
      </c>
      <c r="X3614" s="33">
        <f t="shared" si="341"/>
        <v>2.5201123284755478E-2</v>
      </c>
    </row>
    <row r="3615" spans="19:24" x14ac:dyDescent="0.25">
      <c r="S3615" s="44">
        <f t="shared" si="337"/>
        <v>46665</v>
      </c>
      <c r="T3615" s="12">
        <f t="shared" si="338"/>
        <v>2.4793538622373092</v>
      </c>
      <c r="U3615" s="12">
        <f t="shared" si="342"/>
        <v>2.4320129866634699</v>
      </c>
      <c r="V3615" s="30">
        <f t="shared" si="339"/>
        <v>0.40508821917808219</v>
      </c>
      <c r="W3615" s="46">
        <f t="shared" si="340"/>
        <v>-2.4793538622373087E-2</v>
      </c>
      <c r="X3615" s="33">
        <f t="shared" si="341"/>
        <v>2.5201081772482536E-2</v>
      </c>
    </row>
    <row r="3616" spans="19:24" x14ac:dyDescent="0.25">
      <c r="S3616" s="44">
        <f t="shared" si="337"/>
        <v>46666</v>
      </c>
      <c r="T3616" s="12">
        <f t="shared" si="338"/>
        <v>2.4766767799357674</v>
      </c>
      <c r="U3616" s="12">
        <f t="shared" si="342"/>
        <v>2.4293618099386807</v>
      </c>
      <c r="V3616" s="30">
        <f t="shared" si="339"/>
        <v>0.40506082191780823</v>
      </c>
      <c r="W3616" s="46">
        <f t="shared" si="340"/>
        <v>-2.4766767799357669E-2</v>
      </c>
      <c r="X3616" s="33">
        <f t="shared" si="341"/>
        <v>2.5201040260209594E-2</v>
      </c>
    </row>
    <row r="3617" spans="19:24" x14ac:dyDescent="0.25">
      <c r="S3617" s="44">
        <f t="shared" si="337"/>
        <v>46667</v>
      </c>
      <c r="T3617" s="12">
        <f t="shared" si="338"/>
        <v>2.473999697634226</v>
      </c>
      <c r="U3617" s="12">
        <f t="shared" si="342"/>
        <v>2.4267106332138901</v>
      </c>
      <c r="V3617" s="30">
        <f t="shared" si="339"/>
        <v>0.40503342465753422</v>
      </c>
      <c r="W3617" s="46">
        <f t="shared" si="340"/>
        <v>-2.4739996976342257E-2</v>
      </c>
      <c r="X3617" s="33">
        <f t="shared" si="341"/>
        <v>2.5200998747936649E-2</v>
      </c>
    </row>
    <row r="3618" spans="19:24" x14ac:dyDescent="0.25">
      <c r="S3618" s="44">
        <f t="shared" si="337"/>
        <v>46668</v>
      </c>
      <c r="T3618" s="12">
        <f t="shared" si="338"/>
        <v>2.4713226153326842</v>
      </c>
      <c r="U3618" s="12">
        <f t="shared" si="342"/>
        <v>2.4240594564891014</v>
      </c>
      <c r="V3618" s="30">
        <f t="shared" si="339"/>
        <v>0.40500602739726027</v>
      </c>
      <c r="W3618" s="46">
        <f t="shared" si="340"/>
        <v>-2.4713226153326839E-2</v>
      </c>
      <c r="X3618" s="33">
        <f t="shared" si="341"/>
        <v>2.5200957235663707E-2</v>
      </c>
    </row>
    <row r="3619" spans="19:24" x14ac:dyDescent="0.25">
      <c r="S3619" s="44">
        <f t="shared" si="337"/>
        <v>46669</v>
      </c>
      <c r="T3619" s="12">
        <f t="shared" si="338"/>
        <v>2.4686455330311441</v>
      </c>
      <c r="U3619" s="12">
        <f t="shared" si="342"/>
        <v>2.4214082797643117</v>
      </c>
      <c r="V3619" s="30">
        <f t="shared" si="339"/>
        <v>0.40497863013698632</v>
      </c>
      <c r="W3619" s="46">
        <f t="shared" si="340"/>
        <v>-2.4686455330311437E-2</v>
      </c>
      <c r="X3619" s="33">
        <f t="shared" si="341"/>
        <v>2.5200915723390765E-2</v>
      </c>
    </row>
    <row r="3620" spans="19:24" x14ac:dyDescent="0.25">
      <c r="S3620" s="44">
        <f t="shared" si="337"/>
        <v>46670</v>
      </c>
      <c r="T3620" s="12">
        <f t="shared" si="338"/>
        <v>2.4659684507296018</v>
      </c>
      <c r="U3620" s="12">
        <f t="shared" si="342"/>
        <v>2.4187571030395225</v>
      </c>
      <c r="V3620" s="30">
        <f t="shared" si="339"/>
        <v>0.40495123287671231</v>
      </c>
      <c r="W3620" s="46">
        <f t="shared" si="340"/>
        <v>-2.4659684507296015E-2</v>
      </c>
      <c r="X3620" s="33">
        <f t="shared" si="341"/>
        <v>2.5200874211117819E-2</v>
      </c>
    </row>
    <row r="3621" spans="19:24" x14ac:dyDescent="0.25">
      <c r="S3621" s="44">
        <f t="shared" si="337"/>
        <v>46671</v>
      </c>
      <c r="T3621" s="12">
        <f t="shared" si="338"/>
        <v>2.4632913684280613</v>
      </c>
      <c r="U3621" s="12">
        <f t="shared" si="342"/>
        <v>2.4161059263147338</v>
      </c>
      <c r="V3621" s="30">
        <f t="shared" si="339"/>
        <v>0.40492383561643835</v>
      </c>
      <c r="W3621" s="46">
        <f t="shared" si="340"/>
        <v>-2.4632913684280611E-2</v>
      </c>
      <c r="X3621" s="33">
        <f t="shared" si="341"/>
        <v>2.5200832698844877E-2</v>
      </c>
    </row>
    <row r="3622" spans="19:24" x14ac:dyDescent="0.25">
      <c r="S3622" s="44">
        <f t="shared" si="337"/>
        <v>46672</v>
      </c>
      <c r="T3622" s="12">
        <f t="shared" si="338"/>
        <v>2.4606142861265203</v>
      </c>
      <c r="U3622" s="12">
        <f t="shared" si="342"/>
        <v>2.4134547495899441</v>
      </c>
      <c r="V3622" s="30">
        <f t="shared" si="339"/>
        <v>0.4048964383561644</v>
      </c>
      <c r="W3622" s="46">
        <f t="shared" si="340"/>
        <v>-2.4606142861265199E-2</v>
      </c>
      <c r="X3622" s="33">
        <f t="shared" si="341"/>
        <v>2.5200791186571935E-2</v>
      </c>
    </row>
    <row r="3623" spans="19:24" x14ac:dyDescent="0.25">
      <c r="S3623" s="44">
        <f t="shared" si="337"/>
        <v>46673</v>
      </c>
      <c r="T3623" s="12">
        <f t="shared" si="338"/>
        <v>2.4579372038249785</v>
      </c>
      <c r="U3623" s="12">
        <f t="shared" si="342"/>
        <v>2.4108035728651553</v>
      </c>
      <c r="V3623" s="30">
        <f t="shared" si="339"/>
        <v>0.40486904109589039</v>
      </c>
      <c r="W3623" s="46">
        <f t="shared" si="340"/>
        <v>-2.457937203824978E-2</v>
      </c>
      <c r="X3623" s="33">
        <f t="shared" si="341"/>
        <v>2.5200749674298986E-2</v>
      </c>
    </row>
    <row r="3624" spans="19:24" x14ac:dyDescent="0.25">
      <c r="S3624" s="44">
        <f t="shared" si="337"/>
        <v>46674</v>
      </c>
      <c r="T3624" s="12">
        <f t="shared" si="338"/>
        <v>2.455260121523438</v>
      </c>
      <c r="U3624" s="12">
        <f t="shared" si="342"/>
        <v>2.4081523961403657</v>
      </c>
      <c r="V3624" s="30">
        <f t="shared" si="339"/>
        <v>0.40484164383561638</v>
      </c>
      <c r="W3624" s="46">
        <f t="shared" si="340"/>
        <v>-2.4552601215234376E-2</v>
      </c>
      <c r="X3624" s="33">
        <f t="shared" si="341"/>
        <v>2.5200708162026041E-2</v>
      </c>
    </row>
    <row r="3625" spans="19:24" x14ac:dyDescent="0.25">
      <c r="S3625" s="44">
        <f t="shared" si="337"/>
        <v>46675</v>
      </c>
      <c r="T3625" s="12">
        <f t="shared" si="338"/>
        <v>2.4525830392218966</v>
      </c>
      <c r="U3625" s="12">
        <f t="shared" si="342"/>
        <v>2.4055012194155765</v>
      </c>
      <c r="V3625" s="30">
        <f t="shared" si="339"/>
        <v>0.40481424657534248</v>
      </c>
      <c r="W3625" s="46">
        <f t="shared" si="340"/>
        <v>-2.4525830392218961E-2</v>
      </c>
      <c r="X3625" s="33">
        <f t="shared" si="341"/>
        <v>2.5200666649753102E-2</v>
      </c>
    </row>
    <row r="3626" spans="19:24" x14ac:dyDescent="0.25">
      <c r="S3626" s="44">
        <f t="shared" si="337"/>
        <v>46676</v>
      </c>
      <c r="T3626" s="12">
        <f t="shared" si="338"/>
        <v>2.4499059569203556</v>
      </c>
      <c r="U3626" s="12">
        <f t="shared" si="342"/>
        <v>2.4028500426907873</v>
      </c>
      <c r="V3626" s="30">
        <f t="shared" si="339"/>
        <v>0.40478684931506848</v>
      </c>
      <c r="W3626" s="46">
        <f t="shared" si="340"/>
        <v>-2.4499059569203552E-2</v>
      </c>
      <c r="X3626" s="33">
        <f t="shared" si="341"/>
        <v>2.5200625137480157E-2</v>
      </c>
    </row>
    <row r="3627" spans="19:24" x14ac:dyDescent="0.25">
      <c r="S3627" s="44">
        <f t="shared" si="337"/>
        <v>46677</v>
      </c>
      <c r="T3627" s="12">
        <f t="shared" si="338"/>
        <v>2.4472288746188147</v>
      </c>
      <c r="U3627" s="12">
        <f t="shared" si="342"/>
        <v>2.4001988659659981</v>
      </c>
      <c r="V3627" s="30">
        <f t="shared" si="339"/>
        <v>0.40475945205479452</v>
      </c>
      <c r="W3627" s="46">
        <f t="shared" si="340"/>
        <v>-2.4472288746188144E-2</v>
      </c>
      <c r="X3627" s="33">
        <f t="shared" si="341"/>
        <v>2.5200583625207214E-2</v>
      </c>
    </row>
    <row r="3628" spans="19:24" x14ac:dyDescent="0.25">
      <c r="S3628" s="44">
        <f t="shared" si="337"/>
        <v>46678</v>
      </c>
      <c r="T3628" s="12">
        <f t="shared" si="338"/>
        <v>2.4445517923172724</v>
      </c>
      <c r="U3628" s="12">
        <f t="shared" si="342"/>
        <v>2.3975476892412084</v>
      </c>
      <c r="V3628" s="30">
        <f t="shared" si="339"/>
        <v>0.40473205479452057</v>
      </c>
      <c r="W3628" s="46">
        <f t="shared" si="340"/>
        <v>-2.4445517923172719E-2</v>
      </c>
      <c r="X3628" s="33">
        <f t="shared" si="341"/>
        <v>2.5200542112934272E-2</v>
      </c>
    </row>
    <row r="3629" spans="19:24" x14ac:dyDescent="0.25">
      <c r="S3629" s="44">
        <f t="shared" si="337"/>
        <v>46679</v>
      </c>
      <c r="T3629" s="12">
        <f t="shared" si="338"/>
        <v>2.4418747100157314</v>
      </c>
      <c r="U3629" s="12">
        <f t="shared" si="342"/>
        <v>2.3948965125164188</v>
      </c>
      <c r="V3629" s="30">
        <f t="shared" si="339"/>
        <v>0.40470465753424656</v>
      </c>
      <c r="W3629" s="46">
        <f t="shared" si="340"/>
        <v>-2.4418747100157311E-2</v>
      </c>
      <c r="X3629" s="33">
        <f t="shared" si="341"/>
        <v>2.5200500600661323E-2</v>
      </c>
    </row>
    <row r="3630" spans="19:24" x14ac:dyDescent="0.25">
      <c r="S3630" s="44">
        <f t="shared" si="337"/>
        <v>46680</v>
      </c>
      <c r="T3630" s="12">
        <f t="shared" si="338"/>
        <v>2.43919762771419</v>
      </c>
      <c r="U3630" s="12">
        <f t="shared" si="342"/>
        <v>2.3922453357916296</v>
      </c>
      <c r="V3630" s="30">
        <f t="shared" si="339"/>
        <v>0.40467726027397255</v>
      </c>
      <c r="W3630" s="46">
        <f t="shared" si="340"/>
        <v>-2.4391976277141895E-2</v>
      </c>
      <c r="X3630" s="33">
        <f t="shared" si="341"/>
        <v>2.5200459088388378E-2</v>
      </c>
    </row>
    <row r="3631" spans="19:24" x14ac:dyDescent="0.25">
      <c r="S3631" s="44">
        <f t="shared" si="337"/>
        <v>46681</v>
      </c>
      <c r="T3631" s="12">
        <f t="shared" si="338"/>
        <v>2.43652054541265</v>
      </c>
      <c r="U3631" s="12">
        <f t="shared" si="342"/>
        <v>2.3895941590668408</v>
      </c>
      <c r="V3631" s="30">
        <f t="shared" si="339"/>
        <v>0.40464986301369865</v>
      </c>
      <c r="W3631" s="46">
        <f t="shared" si="340"/>
        <v>-2.4365205454126494E-2</v>
      </c>
      <c r="X3631" s="33">
        <f t="shared" si="341"/>
        <v>2.5200417576115436E-2</v>
      </c>
    </row>
    <row r="3632" spans="19:24" x14ac:dyDescent="0.25">
      <c r="S3632" s="44">
        <f t="shared" si="337"/>
        <v>46682</v>
      </c>
      <c r="T3632" s="12">
        <f t="shared" si="338"/>
        <v>2.4338434631111086</v>
      </c>
      <c r="U3632" s="12">
        <f t="shared" si="342"/>
        <v>2.3869429823420512</v>
      </c>
      <c r="V3632" s="30">
        <f t="shared" si="339"/>
        <v>0.40462246575342464</v>
      </c>
      <c r="W3632" s="46">
        <f t="shared" si="340"/>
        <v>-2.4338434631111083E-2</v>
      </c>
      <c r="X3632" s="33">
        <f t="shared" si="341"/>
        <v>2.5200376063842494E-2</v>
      </c>
    </row>
    <row r="3633" spans="19:24" x14ac:dyDescent="0.25">
      <c r="S3633" s="44">
        <f t="shared" si="337"/>
        <v>46683</v>
      </c>
      <c r="T3633" s="12">
        <f t="shared" si="338"/>
        <v>2.4311663808095672</v>
      </c>
      <c r="U3633" s="12">
        <f t="shared" si="342"/>
        <v>2.3842918056172624</v>
      </c>
      <c r="V3633" s="30">
        <f t="shared" si="339"/>
        <v>0.40459506849315069</v>
      </c>
      <c r="W3633" s="46">
        <f t="shared" si="340"/>
        <v>-2.4311663808095667E-2</v>
      </c>
      <c r="X3633" s="33">
        <f t="shared" si="341"/>
        <v>2.5200334551569552E-2</v>
      </c>
    </row>
    <row r="3634" spans="19:24" x14ac:dyDescent="0.25">
      <c r="S3634" s="44">
        <f t="shared" si="337"/>
        <v>46684</v>
      </c>
      <c r="T3634" s="12">
        <f t="shared" si="338"/>
        <v>2.4284892985080262</v>
      </c>
      <c r="U3634" s="12">
        <f t="shared" si="342"/>
        <v>2.3816406288924727</v>
      </c>
      <c r="V3634" s="30">
        <f t="shared" si="339"/>
        <v>0.40456767123287674</v>
      </c>
      <c r="W3634" s="46">
        <f t="shared" si="340"/>
        <v>-2.4284892985080259E-2</v>
      </c>
      <c r="X3634" s="33">
        <f t="shared" si="341"/>
        <v>2.520029303929661E-2</v>
      </c>
    </row>
    <row r="3635" spans="19:24" x14ac:dyDescent="0.25">
      <c r="S3635" s="44">
        <f t="shared" ref="S3635:S3698" si="343">+S3634+1</f>
        <v>46685</v>
      </c>
      <c r="T3635" s="12">
        <f t="shared" si="338"/>
        <v>2.4258122162064844</v>
      </c>
      <c r="U3635" s="12">
        <f t="shared" si="342"/>
        <v>2.3789894521676831</v>
      </c>
      <c r="V3635" s="30">
        <f t="shared" si="339"/>
        <v>0.40454027397260273</v>
      </c>
      <c r="W3635" s="46">
        <f t="shared" si="340"/>
        <v>-2.4258122162064841E-2</v>
      </c>
      <c r="X3635" s="33">
        <f t="shared" si="341"/>
        <v>2.5200251527023661E-2</v>
      </c>
    </row>
    <row r="3636" spans="19:24" x14ac:dyDescent="0.25">
      <c r="S3636" s="44">
        <f t="shared" si="343"/>
        <v>46686</v>
      </c>
      <c r="T3636" s="12">
        <f t="shared" si="338"/>
        <v>2.4231351339049434</v>
      </c>
      <c r="U3636" s="12">
        <f t="shared" si="342"/>
        <v>2.3763382754428939</v>
      </c>
      <c r="V3636" s="30">
        <f t="shared" si="339"/>
        <v>0.40451287671232872</v>
      </c>
      <c r="W3636" s="46">
        <f t="shared" si="340"/>
        <v>-2.4231351339049429E-2</v>
      </c>
      <c r="X3636" s="33">
        <f t="shared" si="341"/>
        <v>2.5200210014750715E-2</v>
      </c>
    </row>
    <row r="3637" spans="19:24" x14ac:dyDescent="0.25">
      <c r="S3637" s="44">
        <f t="shared" si="343"/>
        <v>46687</v>
      </c>
      <c r="T3637" s="12">
        <f t="shared" si="338"/>
        <v>2.4204580516034029</v>
      </c>
      <c r="U3637" s="12">
        <f t="shared" si="342"/>
        <v>2.3736870987181047</v>
      </c>
      <c r="V3637" s="30">
        <f t="shared" si="339"/>
        <v>0.40448547945205482</v>
      </c>
      <c r="W3637" s="46">
        <f t="shared" si="340"/>
        <v>-2.4204580516034024E-2</v>
      </c>
      <c r="X3637" s="33">
        <f t="shared" si="341"/>
        <v>2.520016850247778E-2</v>
      </c>
    </row>
    <row r="3638" spans="19:24" x14ac:dyDescent="0.25">
      <c r="S3638" s="44">
        <f t="shared" si="343"/>
        <v>46688</v>
      </c>
      <c r="T3638" s="12">
        <f t="shared" si="338"/>
        <v>2.417780969301861</v>
      </c>
      <c r="U3638" s="12">
        <f t="shared" si="342"/>
        <v>2.3710359219933155</v>
      </c>
      <c r="V3638" s="30">
        <f t="shared" si="339"/>
        <v>0.40445808219178081</v>
      </c>
      <c r="W3638" s="46">
        <f t="shared" si="340"/>
        <v>-2.4177809693018606E-2</v>
      </c>
      <c r="X3638" s="33">
        <f t="shared" si="341"/>
        <v>2.5200126990204831E-2</v>
      </c>
    </row>
    <row r="3639" spans="19:24" x14ac:dyDescent="0.25">
      <c r="S3639" s="44">
        <f t="shared" si="343"/>
        <v>46689</v>
      </c>
      <c r="T3639" s="12">
        <f t="shared" si="338"/>
        <v>2.4151038870003201</v>
      </c>
      <c r="U3639" s="12">
        <f t="shared" si="342"/>
        <v>2.3683847452685263</v>
      </c>
      <c r="V3639" s="30">
        <f t="shared" si="339"/>
        <v>0.40443068493150686</v>
      </c>
      <c r="W3639" s="46">
        <f t="shared" si="340"/>
        <v>-2.4151038870003198E-2</v>
      </c>
      <c r="X3639" s="33">
        <f t="shared" si="341"/>
        <v>2.5200085477931889E-2</v>
      </c>
    </row>
    <row r="3640" spans="19:24" x14ac:dyDescent="0.25">
      <c r="S3640" s="44">
        <f t="shared" si="343"/>
        <v>46690</v>
      </c>
      <c r="T3640" s="12">
        <f t="shared" si="338"/>
        <v>2.4124268046987791</v>
      </c>
      <c r="U3640" s="12">
        <f t="shared" si="342"/>
        <v>2.3657335685437371</v>
      </c>
      <c r="V3640" s="30">
        <f t="shared" si="339"/>
        <v>0.4044032876712329</v>
      </c>
      <c r="W3640" s="46">
        <f t="shared" si="340"/>
        <v>-2.4124268046987786E-2</v>
      </c>
      <c r="X3640" s="33">
        <f t="shared" si="341"/>
        <v>2.5200043965658944E-2</v>
      </c>
    </row>
    <row r="3641" spans="19:24" x14ac:dyDescent="0.25">
      <c r="S3641" s="44">
        <f t="shared" si="343"/>
        <v>46691</v>
      </c>
      <c r="T3641" s="12">
        <f t="shared" si="338"/>
        <v>2.4097497223972377</v>
      </c>
      <c r="U3641" s="12">
        <f t="shared" si="342"/>
        <v>2.3630823918189479</v>
      </c>
      <c r="V3641" s="30">
        <f t="shared" si="339"/>
        <v>0.40437589041095889</v>
      </c>
      <c r="W3641" s="46">
        <f t="shared" si="340"/>
        <v>-2.4097497223972374E-2</v>
      </c>
      <c r="X3641" s="33">
        <f t="shared" si="341"/>
        <v>2.5200002453386001E-2</v>
      </c>
    </row>
    <row r="3642" spans="19:24" x14ac:dyDescent="0.25">
      <c r="S3642" s="44">
        <f t="shared" si="343"/>
        <v>46692</v>
      </c>
      <c r="T3642" s="12">
        <f t="shared" si="338"/>
        <v>2.4070726400956968</v>
      </c>
      <c r="U3642" s="12">
        <f t="shared" si="342"/>
        <v>2.3604312150941587</v>
      </c>
      <c r="V3642" s="30">
        <f t="shared" si="339"/>
        <v>0.40434849315068488</v>
      </c>
      <c r="W3642" s="46">
        <f t="shared" si="340"/>
        <v>-2.4070726400956963E-2</v>
      </c>
      <c r="X3642" s="33">
        <f t="shared" si="341"/>
        <v>2.5199960941113052E-2</v>
      </c>
    </row>
    <row r="3643" spans="19:24" x14ac:dyDescent="0.25">
      <c r="S3643" s="44">
        <f t="shared" si="343"/>
        <v>46693</v>
      </c>
      <c r="T3643" s="12">
        <f t="shared" si="338"/>
        <v>2.4043955577941549</v>
      </c>
      <c r="U3643" s="12">
        <f t="shared" si="342"/>
        <v>2.3577800383693686</v>
      </c>
      <c r="V3643" s="30">
        <f t="shared" si="339"/>
        <v>0.40432109589041099</v>
      </c>
      <c r="W3643" s="46">
        <f t="shared" si="340"/>
        <v>-2.4043955577941544E-2</v>
      </c>
      <c r="X3643" s="33">
        <f t="shared" si="341"/>
        <v>2.5199919428840117E-2</v>
      </c>
    </row>
    <row r="3644" spans="19:24" x14ac:dyDescent="0.25">
      <c r="S3644" s="44">
        <f t="shared" si="343"/>
        <v>46694</v>
      </c>
      <c r="T3644" s="12">
        <f t="shared" si="338"/>
        <v>2.4017184754926135</v>
      </c>
      <c r="U3644" s="12">
        <f t="shared" si="342"/>
        <v>2.3551288616445798</v>
      </c>
      <c r="V3644" s="30">
        <f t="shared" si="339"/>
        <v>0.40429369863013698</v>
      </c>
      <c r="W3644" s="46">
        <f t="shared" si="340"/>
        <v>-2.4017184754926132E-2</v>
      </c>
      <c r="X3644" s="33">
        <f t="shared" si="341"/>
        <v>2.5199877916567165E-2</v>
      </c>
    </row>
    <row r="3645" spans="19:24" x14ac:dyDescent="0.25">
      <c r="S3645" s="44">
        <f t="shared" si="343"/>
        <v>46695</v>
      </c>
      <c r="T3645" s="12">
        <f t="shared" si="338"/>
        <v>2.3990413931910721</v>
      </c>
      <c r="U3645" s="12">
        <f t="shared" si="342"/>
        <v>2.3524776849197901</v>
      </c>
      <c r="V3645" s="30">
        <f t="shared" si="339"/>
        <v>0.40426630136986297</v>
      </c>
      <c r="W3645" s="46">
        <f t="shared" si="340"/>
        <v>-2.3990413931910717E-2</v>
      </c>
      <c r="X3645" s="33">
        <f t="shared" si="341"/>
        <v>2.5199836404294223E-2</v>
      </c>
    </row>
    <row r="3646" spans="19:24" x14ac:dyDescent="0.25">
      <c r="S3646" s="44">
        <f t="shared" si="343"/>
        <v>46696</v>
      </c>
      <c r="T3646" s="12">
        <f t="shared" si="338"/>
        <v>2.3963643108895316</v>
      </c>
      <c r="U3646" s="12">
        <f t="shared" si="342"/>
        <v>2.3498265081950009</v>
      </c>
      <c r="V3646" s="30">
        <f t="shared" si="339"/>
        <v>0.40423890410958907</v>
      </c>
      <c r="W3646" s="46">
        <f t="shared" si="340"/>
        <v>-2.3963643108895313E-2</v>
      </c>
      <c r="X3646" s="33">
        <f t="shared" si="341"/>
        <v>2.5199794892021281E-2</v>
      </c>
    </row>
    <row r="3647" spans="19:24" x14ac:dyDescent="0.25">
      <c r="S3647" s="44">
        <f t="shared" si="343"/>
        <v>46697</v>
      </c>
      <c r="T3647" s="12">
        <f t="shared" si="338"/>
        <v>2.3936872285879902</v>
      </c>
      <c r="U3647" s="12">
        <f t="shared" si="342"/>
        <v>2.3471753314702122</v>
      </c>
      <c r="V3647" s="30">
        <f t="shared" si="339"/>
        <v>0.40421150684931506</v>
      </c>
      <c r="W3647" s="46">
        <f t="shared" si="340"/>
        <v>-2.3936872285879898E-2</v>
      </c>
      <c r="X3647" s="33">
        <f t="shared" si="341"/>
        <v>2.5199753379748339E-2</v>
      </c>
    </row>
    <row r="3648" spans="19:24" x14ac:dyDescent="0.25">
      <c r="S3648" s="44">
        <f t="shared" si="343"/>
        <v>46698</v>
      </c>
      <c r="T3648" s="12">
        <f t="shared" si="338"/>
        <v>2.3910101462864488</v>
      </c>
      <c r="U3648" s="12">
        <f t="shared" si="342"/>
        <v>2.3445241547454225</v>
      </c>
      <c r="V3648" s="30">
        <f t="shared" si="339"/>
        <v>0.40418410958904105</v>
      </c>
      <c r="W3648" s="46">
        <f t="shared" si="340"/>
        <v>-2.3910101462864486E-2</v>
      </c>
      <c r="X3648" s="33">
        <f t="shared" si="341"/>
        <v>2.519971186747539E-2</v>
      </c>
    </row>
    <row r="3649" spans="19:24" x14ac:dyDescent="0.25">
      <c r="S3649" s="44">
        <f t="shared" si="343"/>
        <v>46699</v>
      </c>
      <c r="T3649" s="12">
        <f t="shared" si="338"/>
        <v>2.3883330639849074</v>
      </c>
      <c r="U3649" s="12">
        <f t="shared" si="342"/>
        <v>2.3418729780206338</v>
      </c>
      <c r="V3649" s="30">
        <f t="shared" si="339"/>
        <v>0.40415671232876715</v>
      </c>
      <c r="W3649" s="46">
        <f t="shared" si="340"/>
        <v>-2.3883330639849071E-2</v>
      </c>
      <c r="X3649" s="33">
        <f t="shared" si="341"/>
        <v>2.5199670355202455E-2</v>
      </c>
    </row>
    <row r="3650" spans="19:24" x14ac:dyDescent="0.25">
      <c r="S3650" s="44">
        <f t="shared" si="343"/>
        <v>46700</v>
      </c>
      <c r="T3650" s="12">
        <f t="shared" si="338"/>
        <v>2.3856559816833669</v>
      </c>
      <c r="U3650" s="12">
        <f t="shared" si="342"/>
        <v>2.3392218012958446</v>
      </c>
      <c r="V3650" s="30">
        <f t="shared" si="339"/>
        <v>0.40412931506849314</v>
      </c>
      <c r="W3650" s="46">
        <f t="shared" si="340"/>
        <v>-2.3856559816833666E-2</v>
      </c>
      <c r="X3650" s="33">
        <f t="shared" si="341"/>
        <v>2.5199628842929506E-2</v>
      </c>
    </row>
    <row r="3651" spans="19:24" x14ac:dyDescent="0.25">
      <c r="S3651" s="44">
        <f t="shared" si="343"/>
        <v>46701</v>
      </c>
      <c r="T3651" s="12">
        <f t="shared" si="338"/>
        <v>2.3829788993818259</v>
      </c>
      <c r="U3651" s="12">
        <f t="shared" si="342"/>
        <v>2.3365706245710545</v>
      </c>
      <c r="V3651" s="30">
        <f t="shared" si="339"/>
        <v>0.40410191780821914</v>
      </c>
      <c r="W3651" s="46">
        <f t="shared" si="340"/>
        <v>-2.3829788993818254E-2</v>
      </c>
      <c r="X3651" s="33">
        <f t="shared" si="341"/>
        <v>2.5199587330656553E-2</v>
      </c>
    </row>
    <row r="3652" spans="19:24" x14ac:dyDescent="0.25">
      <c r="S3652" s="44">
        <f t="shared" si="343"/>
        <v>46702</v>
      </c>
      <c r="T3652" s="12">
        <f t="shared" si="338"/>
        <v>2.3803018170802845</v>
      </c>
      <c r="U3652" s="12">
        <f t="shared" si="342"/>
        <v>2.3339194478462657</v>
      </c>
      <c r="V3652" s="30">
        <f t="shared" si="339"/>
        <v>0.40407452054794524</v>
      </c>
      <c r="W3652" s="46">
        <f t="shared" si="340"/>
        <v>-2.3803018170802843E-2</v>
      </c>
      <c r="X3652" s="33">
        <f t="shared" si="341"/>
        <v>2.5199545818383618E-2</v>
      </c>
    </row>
    <row r="3653" spans="19:24" x14ac:dyDescent="0.25">
      <c r="S3653" s="44">
        <f t="shared" si="343"/>
        <v>46703</v>
      </c>
      <c r="T3653" s="12">
        <f t="shared" ref="T3653:T3716" si="344">DurMod(S3653,B$2,$F$7:$G$37,$T$3)</f>
        <v>2.3776247347787431</v>
      </c>
      <c r="U3653" s="12">
        <f t="shared" si="342"/>
        <v>2.3312682711214761</v>
      </c>
      <c r="V3653" s="30">
        <f t="shared" ref="V3653:V3716" si="345">+$U$3*($S$5512-S3653)/365+$T$3*(S3653-$S$4)/365</f>
        <v>0.40404712328767123</v>
      </c>
      <c r="W3653" s="46">
        <f t="shared" ref="W3653:W3716" si="346">+-T3653*($U$3-$T$3)</f>
        <v>-2.3776247347787428E-2</v>
      </c>
      <c r="X3653" s="33">
        <f t="shared" ref="X3653:X3716" si="347">+(V3653+W3653)*365/($S$5512-$S$4)</f>
        <v>2.5199504306110669E-2</v>
      </c>
    </row>
    <row r="3654" spans="19:24" x14ac:dyDescent="0.25">
      <c r="S3654" s="44">
        <f t="shared" si="343"/>
        <v>46704</v>
      </c>
      <c r="T3654" s="12">
        <f t="shared" si="344"/>
        <v>2.3749476524772017</v>
      </c>
      <c r="U3654" s="12">
        <f t="shared" ref="U3654:U3717" si="348">DurMod($S3654,$B$2,$F$7:$G$37,U$3)</f>
        <v>2.3286170943966868</v>
      </c>
      <c r="V3654" s="30">
        <f t="shared" si="345"/>
        <v>0.40401972602739722</v>
      </c>
      <c r="W3654" s="46">
        <f t="shared" si="346"/>
        <v>-2.3749476524772013E-2</v>
      </c>
      <c r="X3654" s="33">
        <f t="shared" si="347"/>
        <v>2.5199462793837727E-2</v>
      </c>
    </row>
    <row r="3655" spans="19:24" x14ac:dyDescent="0.25">
      <c r="S3655" s="44">
        <f t="shared" si="343"/>
        <v>46705</v>
      </c>
      <c r="T3655" s="12">
        <f t="shared" si="344"/>
        <v>2.3722705701756599</v>
      </c>
      <c r="U3655" s="12">
        <f t="shared" si="348"/>
        <v>2.3259659176718972</v>
      </c>
      <c r="V3655" s="30">
        <f t="shared" si="345"/>
        <v>0.40399232876712332</v>
      </c>
      <c r="W3655" s="46">
        <f t="shared" si="346"/>
        <v>-2.3722705701756594E-2</v>
      </c>
      <c r="X3655" s="33">
        <f t="shared" si="347"/>
        <v>2.5199421281564785E-2</v>
      </c>
    </row>
    <row r="3656" spans="19:24" x14ac:dyDescent="0.25">
      <c r="S3656" s="44">
        <f t="shared" si="343"/>
        <v>46706</v>
      </c>
      <c r="T3656" s="12">
        <f t="shared" si="344"/>
        <v>2.3695934878741198</v>
      </c>
      <c r="U3656" s="12">
        <f t="shared" si="348"/>
        <v>2.3233147409471084</v>
      </c>
      <c r="V3656" s="30">
        <f t="shared" si="345"/>
        <v>0.40396493150684931</v>
      </c>
      <c r="W3656" s="46">
        <f t="shared" si="346"/>
        <v>-2.3695934878741196E-2</v>
      </c>
      <c r="X3656" s="33">
        <f t="shared" si="347"/>
        <v>2.5199379769291839E-2</v>
      </c>
    </row>
    <row r="3657" spans="19:24" x14ac:dyDescent="0.25">
      <c r="S3657" s="44">
        <f t="shared" si="343"/>
        <v>46707</v>
      </c>
      <c r="T3657" s="12">
        <f t="shared" si="344"/>
        <v>2.3669164055725775</v>
      </c>
      <c r="U3657" s="12">
        <f t="shared" si="348"/>
        <v>2.3206635642223188</v>
      </c>
      <c r="V3657" s="30">
        <f t="shared" si="345"/>
        <v>0.4039375342465753</v>
      </c>
      <c r="W3657" s="46">
        <f t="shared" si="346"/>
        <v>-2.3669164055725771E-2</v>
      </c>
      <c r="X3657" s="33">
        <f t="shared" si="347"/>
        <v>2.5199338257018897E-2</v>
      </c>
    </row>
    <row r="3658" spans="19:24" x14ac:dyDescent="0.25">
      <c r="S3658" s="44">
        <f t="shared" si="343"/>
        <v>46708</v>
      </c>
      <c r="T3658" s="12">
        <f t="shared" si="344"/>
        <v>2.364239323271037</v>
      </c>
      <c r="U3658" s="12">
        <f t="shared" si="348"/>
        <v>2.31801238749753</v>
      </c>
      <c r="V3658" s="30">
        <f t="shared" si="345"/>
        <v>0.4039101369863014</v>
      </c>
      <c r="W3658" s="46">
        <f t="shared" si="346"/>
        <v>-2.3642393232710366E-2</v>
      </c>
      <c r="X3658" s="33">
        <f t="shared" si="347"/>
        <v>2.5199296744745955E-2</v>
      </c>
    </row>
    <row r="3659" spans="19:24" x14ac:dyDescent="0.25">
      <c r="S3659" s="44">
        <f t="shared" si="343"/>
        <v>46709</v>
      </c>
      <c r="T3659" s="12">
        <f t="shared" si="344"/>
        <v>2.3615622409694961</v>
      </c>
      <c r="U3659" s="12">
        <f t="shared" si="348"/>
        <v>2.3153612107727399</v>
      </c>
      <c r="V3659" s="30">
        <f t="shared" si="345"/>
        <v>0.4038827397260274</v>
      </c>
      <c r="W3659" s="46">
        <f t="shared" si="346"/>
        <v>-2.3615622409694958E-2</v>
      </c>
      <c r="X3659" s="33">
        <f t="shared" si="347"/>
        <v>2.519925523247301E-2</v>
      </c>
    </row>
    <row r="3660" spans="19:24" x14ac:dyDescent="0.25">
      <c r="S3660" s="44">
        <f t="shared" si="343"/>
        <v>46710</v>
      </c>
      <c r="T3660" s="12">
        <f t="shared" si="344"/>
        <v>2.3588851586679551</v>
      </c>
      <c r="U3660" s="12">
        <f t="shared" si="348"/>
        <v>2.3127100340479507</v>
      </c>
      <c r="V3660" s="30">
        <f t="shared" si="345"/>
        <v>0.40385534246575339</v>
      </c>
      <c r="W3660" s="46">
        <f t="shared" si="346"/>
        <v>-2.3588851586679546E-2</v>
      </c>
      <c r="X3660" s="33">
        <f t="shared" si="347"/>
        <v>2.5199213720200061E-2</v>
      </c>
    </row>
    <row r="3661" spans="19:24" x14ac:dyDescent="0.25">
      <c r="S3661" s="44">
        <f t="shared" si="343"/>
        <v>46711</v>
      </c>
      <c r="T3661" s="12">
        <f t="shared" si="344"/>
        <v>2.3562080763664137</v>
      </c>
      <c r="U3661" s="12">
        <f t="shared" si="348"/>
        <v>2.3100588573231615</v>
      </c>
      <c r="V3661" s="30">
        <f t="shared" si="345"/>
        <v>0.40382794520547949</v>
      </c>
      <c r="W3661" s="46">
        <f t="shared" si="346"/>
        <v>-2.3562080763664135E-2</v>
      </c>
      <c r="X3661" s="33">
        <f t="shared" si="347"/>
        <v>2.5199172207927126E-2</v>
      </c>
    </row>
    <row r="3662" spans="19:24" x14ac:dyDescent="0.25">
      <c r="S3662" s="44">
        <f t="shared" si="343"/>
        <v>46712</v>
      </c>
      <c r="T3662" s="12">
        <f t="shared" si="344"/>
        <v>2.3535309940648723</v>
      </c>
      <c r="U3662" s="12">
        <f t="shared" si="348"/>
        <v>2.3074076805983728</v>
      </c>
      <c r="V3662" s="30">
        <f t="shared" si="345"/>
        <v>0.40380054794520548</v>
      </c>
      <c r="W3662" s="46">
        <f t="shared" si="346"/>
        <v>-2.3535309940648719E-2</v>
      </c>
      <c r="X3662" s="33">
        <f t="shared" si="347"/>
        <v>2.5199130695654177E-2</v>
      </c>
    </row>
    <row r="3663" spans="19:24" x14ac:dyDescent="0.25">
      <c r="S3663" s="44">
        <f t="shared" si="343"/>
        <v>46713</v>
      </c>
      <c r="T3663" s="12">
        <f t="shared" si="344"/>
        <v>2.3508539117633309</v>
      </c>
      <c r="U3663" s="12">
        <f t="shared" si="348"/>
        <v>2.3047565038735831</v>
      </c>
      <c r="V3663" s="30">
        <f t="shared" si="345"/>
        <v>0.40377315068493147</v>
      </c>
      <c r="W3663" s="46">
        <f t="shared" si="346"/>
        <v>-2.3508539117633304E-2</v>
      </c>
      <c r="X3663" s="33">
        <f t="shared" si="347"/>
        <v>2.5199089183381235E-2</v>
      </c>
    </row>
    <row r="3664" spans="19:24" x14ac:dyDescent="0.25">
      <c r="S3664" s="44">
        <f t="shared" si="343"/>
        <v>46714</v>
      </c>
      <c r="T3664" s="12">
        <f t="shared" si="344"/>
        <v>2.3481768294617895</v>
      </c>
      <c r="U3664" s="12">
        <f t="shared" si="348"/>
        <v>2.3021053271487939</v>
      </c>
      <c r="V3664" s="30">
        <f t="shared" si="345"/>
        <v>0.40374575342465757</v>
      </c>
      <c r="W3664" s="46">
        <f t="shared" si="346"/>
        <v>-2.3481768294617893E-2</v>
      </c>
      <c r="X3664" s="33">
        <f t="shared" si="347"/>
        <v>2.5199047671108293E-2</v>
      </c>
    </row>
    <row r="3665" spans="19:24" x14ac:dyDescent="0.25">
      <c r="S3665" s="44">
        <f t="shared" si="343"/>
        <v>46715</v>
      </c>
      <c r="T3665" s="12">
        <f t="shared" si="344"/>
        <v>2.3454997471602494</v>
      </c>
      <c r="U3665" s="12">
        <f t="shared" si="348"/>
        <v>2.2994541504240047</v>
      </c>
      <c r="V3665" s="30">
        <f t="shared" si="345"/>
        <v>0.40371835616438356</v>
      </c>
      <c r="W3665" s="46">
        <f t="shared" si="346"/>
        <v>-2.3454997471602491E-2</v>
      </c>
      <c r="X3665" s="33">
        <f t="shared" si="347"/>
        <v>2.5199006158835347E-2</v>
      </c>
    </row>
    <row r="3666" spans="19:24" x14ac:dyDescent="0.25">
      <c r="S3666" s="44">
        <f t="shared" si="343"/>
        <v>46716</v>
      </c>
      <c r="T3666" s="12">
        <f t="shared" si="344"/>
        <v>2.342822664858708</v>
      </c>
      <c r="U3666" s="12">
        <f t="shared" si="348"/>
        <v>2.296802973699215</v>
      </c>
      <c r="V3666" s="30">
        <f t="shared" si="345"/>
        <v>0.40369095890410955</v>
      </c>
      <c r="W3666" s="46">
        <f t="shared" si="346"/>
        <v>-2.3428226648587076E-2</v>
      </c>
      <c r="X3666" s="33">
        <f t="shared" si="347"/>
        <v>2.5198964646562398E-2</v>
      </c>
    </row>
    <row r="3667" spans="19:24" x14ac:dyDescent="0.25">
      <c r="S3667" s="44">
        <f t="shared" si="343"/>
        <v>46717</v>
      </c>
      <c r="T3667" s="12">
        <f t="shared" si="344"/>
        <v>2.3401455825571662</v>
      </c>
      <c r="U3667" s="12">
        <f t="shared" si="348"/>
        <v>2.2941517969744258</v>
      </c>
      <c r="V3667" s="30">
        <f t="shared" si="345"/>
        <v>0.40366356164383566</v>
      </c>
      <c r="W3667" s="46">
        <f t="shared" si="346"/>
        <v>-2.3401455825571658E-2</v>
      </c>
      <c r="X3667" s="33">
        <f t="shared" si="347"/>
        <v>2.5198923134289463E-2</v>
      </c>
    </row>
    <row r="3668" spans="19:24" x14ac:dyDescent="0.25">
      <c r="S3668" s="44">
        <f t="shared" si="343"/>
        <v>46718</v>
      </c>
      <c r="T3668" s="12">
        <f t="shared" si="344"/>
        <v>2.3374685002556248</v>
      </c>
      <c r="U3668" s="12">
        <f t="shared" si="348"/>
        <v>2.2915006202496366</v>
      </c>
      <c r="V3668" s="30">
        <f t="shared" si="345"/>
        <v>0.40363616438356165</v>
      </c>
      <c r="W3668" s="46">
        <f t="shared" si="346"/>
        <v>-2.3374685002556246E-2</v>
      </c>
      <c r="X3668" s="33">
        <f t="shared" si="347"/>
        <v>2.5198881622016514E-2</v>
      </c>
    </row>
    <row r="3669" spans="19:24" x14ac:dyDescent="0.25">
      <c r="S3669" s="44">
        <f t="shared" si="343"/>
        <v>46719</v>
      </c>
      <c r="T3669" s="12">
        <f t="shared" si="344"/>
        <v>2.3347914179540843</v>
      </c>
      <c r="U3669" s="12">
        <f t="shared" si="348"/>
        <v>2.2888494435248474</v>
      </c>
      <c r="V3669" s="30">
        <f t="shared" si="345"/>
        <v>0.40360876712328764</v>
      </c>
      <c r="W3669" s="46">
        <f t="shared" si="346"/>
        <v>-2.3347914179540838E-2</v>
      </c>
      <c r="X3669" s="33">
        <f t="shared" si="347"/>
        <v>2.5198840109743569E-2</v>
      </c>
    </row>
    <row r="3670" spans="19:24" x14ac:dyDescent="0.25">
      <c r="S3670" s="44">
        <f t="shared" si="343"/>
        <v>46720</v>
      </c>
      <c r="T3670" s="12">
        <f t="shared" si="344"/>
        <v>2.3321143356525429</v>
      </c>
      <c r="U3670" s="12">
        <f t="shared" si="348"/>
        <v>2.2861982668000578</v>
      </c>
      <c r="V3670" s="30">
        <f t="shared" si="345"/>
        <v>0.40358136986301368</v>
      </c>
      <c r="W3670" s="46">
        <f t="shared" si="346"/>
        <v>-2.3321143356525426E-2</v>
      </c>
      <c r="X3670" s="33">
        <f t="shared" si="347"/>
        <v>2.5198798597470626E-2</v>
      </c>
    </row>
    <row r="3671" spans="19:24" x14ac:dyDescent="0.25">
      <c r="S3671" s="44">
        <f t="shared" si="343"/>
        <v>46721</v>
      </c>
      <c r="T3671" s="12">
        <f t="shared" si="344"/>
        <v>2.3294372533510015</v>
      </c>
      <c r="U3671" s="12">
        <f t="shared" si="348"/>
        <v>2.283547090075269</v>
      </c>
      <c r="V3671" s="30">
        <f t="shared" si="345"/>
        <v>0.40355397260273973</v>
      </c>
      <c r="W3671" s="46">
        <f t="shared" si="346"/>
        <v>-2.3294372533510011E-2</v>
      </c>
      <c r="X3671" s="33">
        <f t="shared" si="347"/>
        <v>2.5198757085197684E-2</v>
      </c>
    </row>
    <row r="3672" spans="19:24" x14ac:dyDescent="0.25">
      <c r="S3672" s="44">
        <f t="shared" si="343"/>
        <v>46722</v>
      </c>
      <c r="T3672" s="12">
        <f t="shared" si="344"/>
        <v>2.3267601710494601</v>
      </c>
      <c r="U3672" s="12">
        <f t="shared" si="348"/>
        <v>2.2808959133504794</v>
      </c>
      <c r="V3672" s="30">
        <f t="shared" si="345"/>
        <v>0.40352657534246572</v>
      </c>
      <c r="W3672" s="46">
        <f t="shared" si="346"/>
        <v>-2.3267601710494596E-2</v>
      </c>
      <c r="X3672" s="33">
        <f t="shared" si="347"/>
        <v>2.5198715572924742E-2</v>
      </c>
    </row>
    <row r="3673" spans="19:24" x14ac:dyDescent="0.25">
      <c r="S3673" s="44">
        <f t="shared" si="343"/>
        <v>46723</v>
      </c>
      <c r="T3673" s="12">
        <f t="shared" si="344"/>
        <v>2.3240830887479191</v>
      </c>
      <c r="U3673" s="12">
        <f t="shared" si="348"/>
        <v>2.2782447366256897</v>
      </c>
      <c r="V3673" s="30">
        <f t="shared" si="345"/>
        <v>0.40349917808219182</v>
      </c>
      <c r="W3673" s="46">
        <f t="shared" si="346"/>
        <v>-2.3240830887479188E-2</v>
      </c>
      <c r="X3673" s="33">
        <f t="shared" si="347"/>
        <v>2.51986740606518E-2</v>
      </c>
    </row>
    <row r="3674" spans="19:24" x14ac:dyDescent="0.25">
      <c r="S3674" s="44">
        <f t="shared" si="343"/>
        <v>46724</v>
      </c>
      <c r="T3674" s="12">
        <f t="shared" si="344"/>
        <v>2.3214060064463777</v>
      </c>
      <c r="U3674" s="12">
        <f t="shared" si="348"/>
        <v>2.275593559900901</v>
      </c>
      <c r="V3674" s="30">
        <f t="shared" si="345"/>
        <v>0.40347178082191781</v>
      </c>
      <c r="W3674" s="46">
        <f t="shared" si="346"/>
        <v>-2.3214060064463773E-2</v>
      </c>
      <c r="X3674" s="33">
        <f t="shared" si="347"/>
        <v>2.5198632548378851E-2</v>
      </c>
    </row>
    <row r="3675" spans="19:24" x14ac:dyDescent="0.25">
      <c r="S3675" s="44">
        <f t="shared" si="343"/>
        <v>46725</v>
      </c>
      <c r="T3675" s="12">
        <f t="shared" si="344"/>
        <v>2.3187289241448368</v>
      </c>
      <c r="U3675" s="12">
        <f t="shared" si="348"/>
        <v>2.2729423831761113</v>
      </c>
      <c r="V3675" s="30">
        <f t="shared" si="345"/>
        <v>0.4034443835616438</v>
      </c>
      <c r="W3675" s="46">
        <f t="shared" si="346"/>
        <v>-2.3187289241448365E-2</v>
      </c>
      <c r="X3675" s="33">
        <f t="shared" si="347"/>
        <v>2.5198591036105906E-2</v>
      </c>
    </row>
    <row r="3676" spans="19:24" x14ac:dyDescent="0.25">
      <c r="S3676" s="44">
        <f t="shared" si="343"/>
        <v>46726</v>
      </c>
      <c r="T3676" s="12">
        <f t="shared" si="344"/>
        <v>2.3160518418432958</v>
      </c>
      <c r="U3676" s="12">
        <f t="shared" si="348"/>
        <v>2.2702912064513225</v>
      </c>
      <c r="V3676" s="30">
        <f t="shared" si="345"/>
        <v>0.40341698630136991</v>
      </c>
      <c r="W3676" s="46">
        <f t="shared" si="346"/>
        <v>-2.3160518418432956E-2</v>
      </c>
      <c r="X3676" s="33">
        <f t="shared" si="347"/>
        <v>2.5198549523832971E-2</v>
      </c>
    </row>
    <row r="3677" spans="19:24" x14ac:dyDescent="0.25">
      <c r="S3677" s="44">
        <f t="shared" si="343"/>
        <v>46727</v>
      </c>
      <c r="T3677" s="12">
        <f t="shared" si="344"/>
        <v>2.3133747595417544</v>
      </c>
      <c r="U3677" s="12">
        <f t="shared" si="348"/>
        <v>2.2676400297265333</v>
      </c>
      <c r="V3677" s="30">
        <f t="shared" si="345"/>
        <v>0.4033895890410959</v>
      </c>
      <c r="W3677" s="46">
        <f t="shared" si="346"/>
        <v>-2.3133747595417541E-2</v>
      </c>
      <c r="X3677" s="33">
        <f t="shared" si="347"/>
        <v>2.5198508011560022E-2</v>
      </c>
    </row>
    <row r="3678" spans="19:24" x14ac:dyDescent="0.25">
      <c r="S3678" s="44">
        <f t="shared" si="343"/>
        <v>46728</v>
      </c>
      <c r="T3678" s="12">
        <f t="shared" si="344"/>
        <v>2.310697677240213</v>
      </c>
      <c r="U3678" s="12">
        <f t="shared" si="348"/>
        <v>2.2649888530017437</v>
      </c>
      <c r="V3678" s="30">
        <f t="shared" si="345"/>
        <v>0.40336219178082194</v>
      </c>
      <c r="W3678" s="46">
        <f t="shared" si="346"/>
        <v>-2.3106976772402126E-2</v>
      </c>
      <c r="X3678" s="33">
        <f t="shared" si="347"/>
        <v>2.519846649928708E-2</v>
      </c>
    </row>
    <row r="3679" spans="19:24" x14ac:dyDescent="0.25">
      <c r="S3679" s="44">
        <f t="shared" si="343"/>
        <v>46729</v>
      </c>
      <c r="T3679" s="12">
        <f t="shared" si="344"/>
        <v>2.3080205949386716</v>
      </c>
      <c r="U3679" s="12">
        <f t="shared" si="348"/>
        <v>2.262337676276954</v>
      </c>
      <c r="V3679" s="30">
        <f t="shared" si="345"/>
        <v>0.40333479452054799</v>
      </c>
      <c r="W3679" s="46">
        <f t="shared" si="346"/>
        <v>-2.3080205949386711E-2</v>
      </c>
      <c r="X3679" s="33">
        <f t="shared" si="347"/>
        <v>2.5198424987014138E-2</v>
      </c>
    </row>
    <row r="3680" spans="19:24" x14ac:dyDescent="0.25">
      <c r="S3680" s="44">
        <f t="shared" si="343"/>
        <v>46730</v>
      </c>
      <c r="T3680" s="12">
        <f t="shared" si="344"/>
        <v>2.3053435126371307</v>
      </c>
      <c r="U3680" s="12">
        <f t="shared" si="348"/>
        <v>2.2596864995521653</v>
      </c>
      <c r="V3680" s="30">
        <f t="shared" si="345"/>
        <v>0.40330739726027398</v>
      </c>
      <c r="W3680" s="46">
        <f t="shared" si="346"/>
        <v>-2.3053435126371303E-2</v>
      </c>
      <c r="X3680" s="33">
        <f t="shared" si="347"/>
        <v>2.5198383474741192E-2</v>
      </c>
    </row>
    <row r="3681" spans="19:24" x14ac:dyDescent="0.25">
      <c r="S3681" s="44">
        <f t="shared" si="343"/>
        <v>46731</v>
      </c>
      <c r="T3681" s="12">
        <f t="shared" si="344"/>
        <v>2.3026664303355897</v>
      </c>
      <c r="U3681" s="12">
        <f t="shared" si="348"/>
        <v>2.2570353228273761</v>
      </c>
      <c r="V3681" s="30">
        <f t="shared" si="345"/>
        <v>0.40328000000000003</v>
      </c>
      <c r="W3681" s="46">
        <f t="shared" si="346"/>
        <v>-2.3026664303355895E-2</v>
      </c>
      <c r="X3681" s="33">
        <f t="shared" si="347"/>
        <v>2.519834196246825E-2</v>
      </c>
    </row>
    <row r="3682" spans="19:24" x14ac:dyDescent="0.25">
      <c r="S3682" s="44">
        <f t="shared" si="343"/>
        <v>46732</v>
      </c>
      <c r="T3682" s="12">
        <f t="shared" si="344"/>
        <v>2.2999893480340483</v>
      </c>
      <c r="U3682" s="12">
        <f t="shared" si="348"/>
        <v>2.2543841461025864</v>
      </c>
      <c r="V3682" s="30">
        <f t="shared" si="345"/>
        <v>0.40325260273972602</v>
      </c>
      <c r="W3682" s="46">
        <f t="shared" si="346"/>
        <v>-2.299989348034048E-2</v>
      </c>
      <c r="X3682" s="33">
        <f t="shared" si="347"/>
        <v>2.5198300450195301E-2</v>
      </c>
    </row>
    <row r="3683" spans="19:24" x14ac:dyDescent="0.25">
      <c r="S3683" s="44">
        <f t="shared" si="343"/>
        <v>46733</v>
      </c>
      <c r="T3683" s="12">
        <f t="shared" si="344"/>
        <v>2.2973122657325074</v>
      </c>
      <c r="U3683" s="12">
        <f t="shared" si="348"/>
        <v>2.2517329693777972</v>
      </c>
      <c r="V3683" s="30">
        <f t="shared" si="345"/>
        <v>0.40322520547945206</v>
      </c>
      <c r="W3683" s="46">
        <f t="shared" si="346"/>
        <v>-2.2973122657325071E-2</v>
      </c>
      <c r="X3683" s="33">
        <f t="shared" si="347"/>
        <v>2.5198258937922359E-2</v>
      </c>
    </row>
    <row r="3684" spans="19:24" x14ac:dyDescent="0.25">
      <c r="S3684" s="44">
        <f t="shared" si="343"/>
        <v>46734</v>
      </c>
      <c r="T3684" s="12">
        <f t="shared" si="344"/>
        <v>2.294635183430966</v>
      </c>
      <c r="U3684" s="12">
        <f t="shared" si="348"/>
        <v>2.2490817926530071</v>
      </c>
      <c r="V3684" s="30">
        <f t="shared" si="345"/>
        <v>0.40319780821917811</v>
      </c>
      <c r="W3684" s="46">
        <f t="shared" si="346"/>
        <v>-2.2946351834309656E-2</v>
      </c>
      <c r="X3684" s="33">
        <f t="shared" si="347"/>
        <v>2.5198217425649417E-2</v>
      </c>
    </row>
    <row r="3685" spans="19:24" x14ac:dyDescent="0.25">
      <c r="S3685" s="44">
        <f t="shared" si="343"/>
        <v>46735</v>
      </c>
      <c r="T3685" s="12">
        <f t="shared" si="344"/>
        <v>2.291958101129425</v>
      </c>
      <c r="U3685" s="12">
        <f t="shared" si="348"/>
        <v>2.2464306159282188</v>
      </c>
      <c r="V3685" s="30">
        <f t="shared" si="345"/>
        <v>0.40317041095890416</v>
      </c>
      <c r="W3685" s="46">
        <f t="shared" si="346"/>
        <v>-2.2919581011294248E-2</v>
      </c>
      <c r="X3685" s="33">
        <f t="shared" si="347"/>
        <v>2.5198175913376471E-2</v>
      </c>
    </row>
    <row r="3686" spans="19:24" x14ac:dyDescent="0.25">
      <c r="S3686" s="44">
        <f t="shared" si="343"/>
        <v>46736</v>
      </c>
      <c r="T3686" s="12">
        <f t="shared" si="344"/>
        <v>2.5602079038696739</v>
      </c>
      <c r="U3686" s="12">
        <f t="shared" si="348"/>
        <v>2.5161473474542007</v>
      </c>
      <c r="V3686" s="30">
        <f t="shared" si="345"/>
        <v>0.40314301369863015</v>
      </c>
      <c r="W3686" s="46">
        <f t="shared" si="346"/>
        <v>-2.5602079038696737E-2</v>
      </c>
      <c r="X3686" s="33">
        <f t="shared" si="347"/>
        <v>2.5018598611270097E-2</v>
      </c>
    </row>
    <row r="3687" spans="19:24" x14ac:dyDescent="0.25">
      <c r="S3687" s="44">
        <f t="shared" si="343"/>
        <v>46737</v>
      </c>
      <c r="T3687" s="12">
        <f t="shared" si="344"/>
        <v>2.5575308215681329</v>
      </c>
      <c r="U3687" s="12">
        <f t="shared" si="348"/>
        <v>2.513496170729411</v>
      </c>
      <c r="V3687" s="30">
        <f t="shared" si="345"/>
        <v>0.40311561643835614</v>
      </c>
      <c r="W3687" s="46">
        <f t="shared" si="346"/>
        <v>-2.5575308215681325E-2</v>
      </c>
      <c r="X3687" s="33">
        <f t="shared" si="347"/>
        <v>2.5018557098997151E-2</v>
      </c>
    </row>
    <row r="3688" spans="19:24" x14ac:dyDescent="0.25">
      <c r="S3688" s="44">
        <f t="shared" si="343"/>
        <v>46738</v>
      </c>
      <c r="T3688" s="12">
        <f t="shared" si="344"/>
        <v>2.5548537392665911</v>
      </c>
      <c r="U3688" s="12">
        <f t="shared" si="348"/>
        <v>2.5108449940046222</v>
      </c>
      <c r="V3688" s="30">
        <f t="shared" si="345"/>
        <v>0.40308821917808219</v>
      </c>
      <c r="W3688" s="46">
        <f t="shared" si="346"/>
        <v>-2.5548537392665906E-2</v>
      </c>
      <c r="X3688" s="33">
        <f t="shared" si="347"/>
        <v>2.5018515586724209E-2</v>
      </c>
    </row>
    <row r="3689" spans="19:24" x14ac:dyDescent="0.25">
      <c r="S3689" s="44">
        <f t="shared" si="343"/>
        <v>46739</v>
      </c>
      <c r="T3689" s="12">
        <f t="shared" si="344"/>
        <v>2.5521766569650506</v>
      </c>
      <c r="U3689" s="12">
        <f t="shared" si="348"/>
        <v>2.5081938172798326</v>
      </c>
      <c r="V3689" s="30">
        <f t="shared" si="345"/>
        <v>0.40306082191780823</v>
      </c>
      <c r="W3689" s="46">
        <f t="shared" si="346"/>
        <v>-2.5521766569650502E-2</v>
      </c>
      <c r="X3689" s="33">
        <f t="shared" si="347"/>
        <v>2.5018474074451267E-2</v>
      </c>
    </row>
    <row r="3690" spans="19:24" x14ac:dyDescent="0.25">
      <c r="S3690" s="44">
        <f t="shared" si="343"/>
        <v>46740</v>
      </c>
      <c r="T3690" s="12">
        <f t="shared" si="344"/>
        <v>2.5494995746635087</v>
      </c>
      <c r="U3690" s="12">
        <f t="shared" si="348"/>
        <v>2.5055426405550425</v>
      </c>
      <c r="V3690" s="30">
        <f t="shared" si="345"/>
        <v>0.40303342465753428</v>
      </c>
      <c r="W3690" s="46">
        <f t="shared" si="346"/>
        <v>-2.5494995746635083E-2</v>
      </c>
      <c r="X3690" s="33">
        <f t="shared" si="347"/>
        <v>2.5018432562178325E-2</v>
      </c>
    </row>
    <row r="3691" spans="19:24" x14ac:dyDescent="0.25">
      <c r="S3691" s="44">
        <f t="shared" si="343"/>
        <v>46741</v>
      </c>
      <c r="T3691" s="12">
        <f t="shared" si="344"/>
        <v>2.5468224923619673</v>
      </c>
      <c r="U3691" s="12">
        <f t="shared" si="348"/>
        <v>2.5028914638302542</v>
      </c>
      <c r="V3691" s="30">
        <f t="shared" si="345"/>
        <v>0.40300602739726027</v>
      </c>
      <c r="W3691" s="46">
        <f t="shared" si="346"/>
        <v>-2.5468224923619668E-2</v>
      </c>
      <c r="X3691" s="33">
        <f t="shared" si="347"/>
        <v>2.5018391049905376E-2</v>
      </c>
    </row>
    <row r="3692" spans="19:24" x14ac:dyDescent="0.25">
      <c r="S3692" s="44">
        <f t="shared" si="343"/>
        <v>46742</v>
      </c>
      <c r="T3692" s="12">
        <f t="shared" si="344"/>
        <v>2.5441454100604268</v>
      </c>
      <c r="U3692" s="12">
        <f t="shared" si="348"/>
        <v>2.5002402871054645</v>
      </c>
      <c r="V3692" s="30">
        <f t="shared" si="345"/>
        <v>0.40297863013698632</v>
      </c>
      <c r="W3692" s="46">
        <f t="shared" si="346"/>
        <v>-2.5441454100604263E-2</v>
      </c>
      <c r="X3692" s="33">
        <f t="shared" si="347"/>
        <v>2.5018349537632434E-2</v>
      </c>
    </row>
    <row r="3693" spans="19:24" x14ac:dyDescent="0.25">
      <c r="S3693" s="44">
        <f t="shared" si="343"/>
        <v>46743</v>
      </c>
      <c r="T3693" s="12">
        <f t="shared" si="344"/>
        <v>2.5414683277588859</v>
      </c>
      <c r="U3693" s="12">
        <f t="shared" si="348"/>
        <v>2.4975891103806749</v>
      </c>
      <c r="V3693" s="30">
        <f t="shared" si="345"/>
        <v>0.40295123287671231</v>
      </c>
      <c r="W3693" s="46">
        <f t="shared" si="346"/>
        <v>-2.5414683277588855E-2</v>
      </c>
      <c r="X3693" s="33">
        <f t="shared" si="347"/>
        <v>2.5018308025359488E-2</v>
      </c>
    </row>
    <row r="3694" spans="19:24" x14ac:dyDescent="0.25">
      <c r="S3694" s="44">
        <f t="shared" si="343"/>
        <v>46744</v>
      </c>
      <c r="T3694" s="12">
        <f t="shared" si="344"/>
        <v>2.538791245457344</v>
      </c>
      <c r="U3694" s="12">
        <f t="shared" si="348"/>
        <v>2.4949379336558857</v>
      </c>
      <c r="V3694" s="30">
        <f t="shared" si="345"/>
        <v>0.40292383561643835</v>
      </c>
      <c r="W3694" s="46">
        <f t="shared" si="346"/>
        <v>-2.5387912454573437E-2</v>
      </c>
      <c r="X3694" s="33">
        <f t="shared" si="347"/>
        <v>2.5018266513086546E-2</v>
      </c>
    </row>
    <row r="3695" spans="19:24" x14ac:dyDescent="0.25">
      <c r="S3695" s="44">
        <f t="shared" si="343"/>
        <v>46745</v>
      </c>
      <c r="T3695" s="12">
        <f t="shared" si="344"/>
        <v>2.5361141631558026</v>
      </c>
      <c r="U3695" s="12">
        <f t="shared" si="348"/>
        <v>2.4922867569310965</v>
      </c>
      <c r="V3695" s="30">
        <f t="shared" si="345"/>
        <v>0.4028964383561644</v>
      </c>
      <c r="W3695" s="46">
        <f t="shared" si="346"/>
        <v>-2.5361141631558021E-2</v>
      </c>
      <c r="X3695" s="33">
        <f t="shared" si="347"/>
        <v>2.5018225000813604E-2</v>
      </c>
    </row>
    <row r="3696" spans="19:24" x14ac:dyDescent="0.25">
      <c r="S3696" s="44">
        <f t="shared" si="343"/>
        <v>46746</v>
      </c>
      <c r="T3696" s="12">
        <f t="shared" si="344"/>
        <v>2.5334370808542621</v>
      </c>
      <c r="U3696" s="12">
        <f t="shared" si="348"/>
        <v>2.4896355802063068</v>
      </c>
      <c r="V3696" s="30">
        <f t="shared" si="345"/>
        <v>0.40286904109589039</v>
      </c>
      <c r="W3696" s="46">
        <f t="shared" si="346"/>
        <v>-2.5334370808542617E-2</v>
      </c>
      <c r="X3696" s="33">
        <f t="shared" si="347"/>
        <v>2.5018183488540655E-2</v>
      </c>
    </row>
    <row r="3697" spans="19:24" x14ac:dyDescent="0.25">
      <c r="S3697" s="44">
        <f t="shared" si="343"/>
        <v>46747</v>
      </c>
      <c r="T3697" s="12">
        <f t="shared" si="344"/>
        <v>2.5307599985527203</v>
      </c>
      <c r="U3697" s="12">
        <f t="shared" si="348"/>
        <v>2.4869844034815176</v>
      </c>
      <c r="V3697" s="30">
        <f t="shared" si="345"/>
        <v>0.40284164383561644</v>
      </c>
      <c r="W3697" s="46">
        <f t="shared" si="346"/>
        <v>-2.5307599985527198E-2</v>
      </c>
      <c r="X3697" s="33">
        <f t="shared" si="347"/>
        <v>2.5018141976267713E-2</v>
      </c>
    </row>
    <row r="3698" spans="19:24" x14ac:dyDescent="0.25">
      <c r="S3698" s="44">
        <f t="shared" si="343"/>
        <v>46748</v>
      </c>
      <c r="T3698" s="12">
        <f t="shared" si="344"/>
        <v>2.5280829162511793</v>
      </c>
      <c r="U3698" s="12">
        <f t="shared" si="348"/>
        <v>2.4843332267567284</v>
      </c>
      <c r="V3698" s="30">
        <f t="shared" si="345"/>
        <v>0.40281424657534248</v>
      </c>
      <c r="W3698" s="46">
        <f t="shared" si="346"/>
        <v>-2.528082916251179E-2</v>
      </c>
      <c r="X3698" s="33">
        <f t="shared" si="347"/>
        <v>2.5018100463994771E-2</v>
      </c>
    </row>
    <row r="3699" spans="19:24" x14ac:dyDescent="0.25">
      <c r="S3699" s="44">
        <f t="shared" ref="S3699:S3762" si="349">+S3698+1</f>
        <v>46749</v>
      </c>
      <c r="T3699" s="12">
        <f t="shared" si="344"/>
        <v>2.5254058339496384</v>
      </c>
      <c r="U3699" s="12">
        <f t="shared" si="348"/>
        <v>2.4816820500319401</v>
      </c>
      <c r="V3699" s="30">
        <f t="shared" si="345"/>
        <v>0.40278684931506853</v>
      </c>
      <c r="W3699" s="46">
        <f t="shared" si="346"/>
        <v>-2.5254058339496378E-2</v>
      </c>
      <c r="X3699" s="33">
        <f t="shared" si="347"/>
        <v>2.5018058951721826E-2</v>
      </c>
    </row>
    <row r="3700" spans="19:24" x14ac:dyDescent="0.25">
      <c r="S3700" s="44">
        <f t="shared" si="349"/>
        <v>46750</v>
      </c>
      <c r="T3700" s="12">
        <f t="shared" si="344"/>
        <v>2.522728751648097</v>
      </c>
      <c r="U3700" s="12">
        <f t="shared" si="348"/>
        <v>2.47903087330715</v>
      </c>
      <c r="V3700" s="30">
        <f t="shared" si="345"/>
        <v>0.40275945205479458</v>
      </c>
      <c r="W3700" s="46">
        <f t="shared" si="346"/>
        <v>-2.5227287516480967E-2</v>
      </c>
      <c r="X3700" s="33">
        <f t="shared" si="347"/>
        <v>2.5018017439448887E-2</v>
      </c>
    </row>
    <row r="3701" spans="19:24" x14ac:dyDescent="0.25">
      <c r="S3701" s="44">
        <f t="shared" si="349"/>
        <v>46751</v>
      </c>
      <c r="T3701" s="12">
        <f t="shared" si="344"/>
        <v>2.5200516693465564</v>
      </c>
      <c r="U3701" s="12">
        <f t="shared" si="348"/>
        <v>2.4763796965823603</v>
      </c>
      <c r="V3701" s="30">
        <f t="shared" si="345"/>
        <v>0.40273205479452057</v>
      </c>
      <c r="W3701" s="46">
        <f t="shared" si="346"/>
        <v>-2.5200516693465562E-2</v>
      </c>
      <c r="X3701" s="33">
        <f t="shared" si="347"/>
        <v>2.5017975927175942E-2</v>
      </c>
    </row>
    <row r="3702" spans="19:24" x14ac:dyDescent="0.25">
      <c r="S3702" s="44">
        <f t="shared" si="349"/>
        <v>46752</v>
      </c>
      <c r="T3702" s="12">
        <f t="shared" si="344"/>
        <v>2.517374587045015</v>
      </c>
      <c r="U3702" s="12">
        <f t="shared" si="348"/>
        <v>2.4737285198575716</v>
      </c>
      <c r="V3702" s="30">
        <f t="shared" si="345"/>
        <v>0.40270465753424661</v>
      </c>
      <c r="W3702" s="46">
        <f t="shared" si="346"/>
        <v>-2.5173745870450147E-2</v>
      </c>
      <c r="X3702" s="33">
        <f t="shared" si="347"/>
        <v>2.5017934414902999E-2</v>
      </c>
    </row>
    <row r="3703" spans="19:24" x14ac:dyDescent="0.25">
      <c r="S3703" s="44">
        <f t="shared" si="349"/>
        <v>46753</v>
      </c>
      <c r="T3703" s="12">
        <f t="shared" si="344"/>
        <v>2.5146975047434745</v>
      </c>
      <c r="U3703" s="12">
        <f t="shared" si="348"/>
        <v>2.4710773431327828</v>
      </c>
      <c r="V3703" s="30">
        <f t="shared" si="345"/>
        <v>0.4026772602739726</v>
      </c>
      <c r="W3703" s="46">
        <f t="shared" si="346"/>
        <v>-2.5146975047434742E-2</v>
      </c>
      <c r="X3703" s="33">
        <f t="shared" si="347"/>
        <v>2.5017892902630054E-2</v>
      </c>
    </row>
    <row r="3704" spans="19:24" x14ac:dyDescent="0.25">
      <c r="S3704" s="44">
        <f t="shared" si="349"/>
        <v>46754</v>
      </c>
      <c r="T3704" s="12">
        <f t="shared" si="344"/>
        <v>2.5120204224419327</v>
      </c>
      <c r="U3704" s="12">
        <f t="shared" si="348"/>
        <v>2.4684261664079927</v>
      </c>
      <c r="V3704" s="30">
        <f t="shared" si="345"/>
        <v>0.40264986301369865</v>
      </c>
      <c r="W3704" s="46">
        <f t="shared" si="346"/>
        <v>-2.5120204224419324E-2</v>
      </c>
      <c r="X3704" s="33">
        <f t="shared" si="347"/>
        <v>2.5017851390357112E-2</v>
      </c>
    </row>
    <row r="3705" spans="19:24" x14ac:dyDescent="0.25">
      <c r="S3705" s="44">
        <f t="shared" si="349"/>
        <v>46755</v>
      </c>
      <c r="T3705" s="12">
        <f t="shared" si="344"/>
        <v>2.5093433401403913</v>
      </c>
      <c r="U3705" s="12">
        <f t="shared" si="348"/>
        <v>2.4657749896832035</v>
      </c>
      <c r="V3705" s="30">
        <f t="shared" si="345"/>
        <v>0.40262246575342464</v>
      </c>
      <c r="W3705" s="46">
        <f t="shared" si="346"/>
        <v>-2.5093433401403908E-2</v>
      </c>
      <c r="X3705" s="33">
        <f t="shared" si="347"/>
        <v>2.5017809878084163E-2</v>
      </c>
    </row>
    <row r="3706" spans="19:24" x14ac:dyDescent="0.25">
      <c r="S3706" s="44">
        <f t="shared" si="349"/>
        <v>46756</v>
      </c>
      <c r="T3706" s="12">
        <f t="shared" si="344"/>
        <v>2.5066662578388503</v>
      </c>
      <c r="U3706" s="12">
        <f t="shared" si="348"/>
        <v>2.4631238129584148</v>
      </c>
      <c r="V3706" s="30">
        <f t="shared" si="345"/>
        <v>0.40259506849315074</v>
      </c>
      <c r="W3706" s="46">
        <f t="shared" si="346"/>
        <v>-2.50666625783885E-2</v>
      </c>
      <c r="X3706" s="33">
        <f t="shared" si="347"/>
        <v>2.5017768365811221E-2</v>
      </c>
    </row>
    <row r="3707" spans="19:24" x14ac:dyDescent="0.25">
      <c r="S3707" s="44">
        <f t="shared" si="349"/>
        <v>46757</v>
      </c>
      <c r="T3707" s="12">
        <f t="shared" si="344"/>
        <v>2.5039891755373094</v>
      </c>
      <c r="U3707" s="12">
        <f t="shared" si="348"/>
        <v>2.4604726362336256</v>
      </c>
      <c r="V3707" s="30">
        <f t="shared" si="345"/>
        <v>0.40256767123287673</v>
      </c>
      <c r="W3707" s="46">
        <f t="shared" si="346"/>
        <v>-2.5039891755373089E-2</v>
      </c>
      <c r="X3707" s="33">
        <f t="shared" si="347"/>
        <v>2.5017726853538279E-2</v>
      </c>
    </row>
    <row r="3708" spans="19:24" x14ac:dyDescent="0.25">
      <c r="S3708" s="44">
        <f t="shared" si="349"/>
        <v>46758</v>
      </c>
      <c r="T3708" s="12">
        <f t="shared" si="344"/>
        <v>2.501312093235768</v>
      </c>
      <c r="U3708" s="12">
        <f t="shared" si="348"/>
        <v>2.4578214595088355</v>
      </c>
      <c r="V3708" s="30">
        <f t="shared" si="345"/>
        <v>0.40254027397260278</v>
      </c>
      <c r="W3708" s="46">
        <f t="shared" si="346"/>
        <v>-2.5013120932357677E-2</v>
      </c>
      <c r="X3708" s="33">
        <f t="shared" si="347"/>
        <v>2.5017685341265333E-2</v>
      </c>
    </row>
    <row r="3709" spans="19:24" x14ac:dyDescent="0.25">
      <c r="S3709" s="44">
        <f t="shared" si="349"/>
        <v>46759</v>
      </c>
      <c r="T3709" s="12">
        <f t="shared" si="344"/>
        <v>2.4986350109342261</v>
      </c>
      <c r="U3709" s="12">
        <f t="shared" si="348"/>
        <v>2.4551702827840471</v>
      </c>
      <c r="V3709" s="30">
        <f t="shared" si="345"/>
        <v>0.40251287671232877</v>
      </c>
      <c r="W3709" s="46">
        <f t="shared" si="346"/>
        <v>-2.4986350109342258E-2</v>
      </c>
      <c r="X3709" s="33">
        <f t="shared" si="347"/>
        <v>2.5017643828992391E-2</v>
      </c>
    </row>
    <row r="3710" spans="19:24" x14ac:dyDescent="0.25">
      <c r="S3710" s="44">
        <f t="shared" si="349"/>
        <v>46760</v>
      </c>
      <c r="T3710" s="12">
        <f t="shared" si="344"/>
        <v>2.4959579286326852</v>
      </c>
      <c r="U3710" s="12">
        <f t="shared" si="348"/>
        <v>2.4525191060592579</v>
      </c>
      <c r="V3710" s="30">
        <f t="shared" si="345"/>
        <v>0.40248547945205476</v>
      </c>
      <c r="W3710" s="46">
        <f t="shared" si="346"/>
        <v>-2.4959579286326847E-2</v>
      </c>
      <c r="X3710" s="33">
        <f t="shared" si="347"/>
        <v>2.5017602316719442E-2</v>
      </c>
    </row>
    <row r="3711" spans="19:24" x14ac:dyDescent="0.25">
      <c r="S3711" s="44">
        <f t="shared" si="349"/>
        <v>46761</v>
      </c>
      <c r="T3711" s="12">
        <f t="shared" si="344"/>
        <v>2.4932808463311438</v>
      </c>
      <c r="U3711" s="12">
        <f t="shared" si="348"/>
        <v>2.4498679293344678</v>
      </c>
      <c r="V3711" s="30">
        <f t="shared" si="345"/>
        <v>0.40245808219178081</v>
      </c>
      <c r="W3711" s="46">
        <f t="shared" si="346"/>
        <v>-2.4932808463311435E-2</v>
      </c>
      <c r="X3711" s="33">
        <f t="shared" si="347"/>
        <v>2.50175608044465E-2</v>
      </c>
    </row>
    <row r="3712" spans="19:24" x14ac:dyDescent="0.25">
      <c r="S3712" s="44">
        <f t="shared" si="349"/>
        <v>46762</v>
      </c>
      <c r="T3712" s="12">
        <f t="shared" si="344"/>
        <v>2.4906037640296033</v>
      </c>
      <c r="U3712" s="12">
        <f t="shared" si="348"/>
        <v>2.4472167526096786</v>
      </c>
      <c r="V3712" s="30">
        <f t="shared" si="345"/>
        <v>0.40243068493150685</v>
      </c>
      <c r="W3712" s="46">
        <f t="shared" si="346"/>
        <v>-2.490603764029603E-2</v>
      </c>
      <c r="X3712" s="33">
        <f t="shared" si="347"/>
        <v>2.5017519292173558E-2</v>
      </c>
    </row>
    <row r="3713" spans="19:24" x14ac:dyDescent="0.25">
      <c r="S3713" s="44">
        <f t="shared" si="349"/>
        <v>46763</v>
      </c>
      <c r="T3713" s="12">
        <f t="shared" si="344"/>
        <v>2.4879266817280619</v>
      </c>
      <c r="U3713" s="12">
        <f t="shared" si="348"/>
        <v>2.4445655758848894</v>
      </c>
      <c r="V3713" s="30">
        <f t="shared" si="345"/>
        <v>0.4024032876712329</v>
      </c>
      <c r="W3713" s="46">
        <f t="shared" si="346"/>
        <v>-2.4879266817280615E-2</v>
      </c>
      <c r="X3713" s="33">
        <f t="shared" si="347"/>
        <v>2.5017477779900616E-2</v>
      </c>
    </row>
    <row r="3714" spans="19:24" x14ac:dyDescent="0.25">
      <c r="S3714" s="44">
        <f t="shared" si="349"/>
        <v>46764</v>
      </c>
      <c r="T3714" s="12">
        <f t="shared" si="344"/>
        <v>2.4852495994265209</v>
      </c>
      <c r="U3714" s="12">
        <f t="shared" si="348"/>
        <v>2.4419143991601002</v>
      </c>
      <c r="V3714" s="30">
        <f t="shared" si="345"/>
        <v>0.40237589041095889</v>
      </c>
      <c r="W3714" s="46">
        <f t="shared" si="346"/>
        <v>-2.4852495994265204E-2</v>
      </c>
      <c r="X3714" s="33">
        <f t="shared" si="347"/>
        <v>2.5017436267627671E-2</v>
      </c>
    </row>
    <row r="3715" spans="19:24" x14ac:dyDescent="0.25">
      <c r="S3715" s="44">
        <f t="shared" si="349"/>
        <v>46765</v>
      </c>
      <c r="T3715" s="12">
        <f t="shared" si="344"/>
        <v>2.4825725171249791</v>
      </c>
      <c r="U3715" s="12">
        <f t="shared" si="348"/>
        <v>2.439263222435311</v>
      </c>
      <c r="V3715" s="30">
        <f t="shared" si="345"/>
        <v>0.40234849315068494</v>
      </c>
      <c r="W3715" s="46">
        <f t="shared" si="346"/>
        <v>-2.4825725171249789E-2</v>
      </c>
      <c r="X3715" s="33">
        <f t="shared" si="347"/>
        <v>2.5017394755354722E-2</v>
      </c>
    </row>
    <row r="3716" spans="19:24" x14ac:dyDescent="0.25">
      <c r="S3716" s="44">
        <f t="shared" si="349"/>
        <v>46766</v>
      </c>
      <c r="T3716" s="12">
        <f t="shared" si="344"/>
        <v>2.4798954348234377</v>
      </c>
      <c r="U3716" s="12">
        <f t="shared" si="348"/>
        <v>2.4366120457105218</v>
      </c>
      <c r="V3716" s="30">
        <f t="shared" si="345"/>
        <v>0.40232109589041093</v>
      </c>
      <c r="W3716" s="46">
        <f t="shared" si="346"/>
        <v>-2.4798954348234373E-2</v>
      </c>
      <c r="X3716" s="33">
        <f t="shared" si="347"/>
        <v>2.501735324308178E-2</v>
      </c>
    </row>
    <row r="3717" spans="19:24" x14ac:dyDescent="0.25">
      <c r="S3717" s="44">
        <f t="shared" si="349"/>
        <v>46767</v>
      </c>
      <c r="T3717" s="12">
        <f t="shared" ref="T3717:T3780" si="350">DurMod(S3717,B$2,$F$7:$G$37,$T$3)</f>
        <v>2.4772183525218967</v>
      </c>
      <c r="U3717" s="12">
        <f t="shared" si="348"/>
        <v>2.4339608689857317</v>
      </c>
      <c r="V3717" s="30">
        <f t="shared" ref="V3717:V3780" si="351">+$U$3*($S$5512-S3717)/365+$T$3*(S3717-$S$4)/365</f>
        <v>0.40229369863013698</v>
      </c>
      <c r="W3717" s="46">
        <f t="shared" ref="W3717:W3780" si="352">+-T3717*($U$3-$T$3)</f>
        <v>-2.4772183525218962E-2</v>
      </c>
      <c r="X3717" s="33">
        <f t="shared" ref="X3717:X3780" si="353">+(V3717+W3717)*365/($S$5512-$S$4)</f>
        <v>2.5017311730808834E-2</v>
      </c>
    </row>
    <row r="3718" spans="19:24" x14ac:dyDescent="0.25">
      <c r="S3718" s="44">
        <f t="shared" si="349"/>
        <v>46768</v>
      </c>
      <c r="T3718" s="12">
        <f t="shared" si="350"/>
        <v>2.4745412702203557</v>
      </c>
      <c r="U3718" s="12">
        <f t="shared" ref="U3718:U3781" si="354">DurMod($S3718,$B$2,$F$7:$G$37,U$3)</f>
        <v>2.431309692260943</v>
      </c>
      <c r="V3718" s="30">
        <f t="shared" si="351"/>
        <v>0.40226630136986302</v>
      </c>
      <c r="W3718" s="46">
        <f t="shared" si="352"/>
        <v>-2.4745412702203554E-2</v>
      </c>
      <c r="X3718" s="33">
        <f t="shared" si="353"/>
        <v>2.5017270218535895E-2</v>
      </c>
    </row>
    <row r="3719" spans="19:24" x14ac:dyDescent="0.25">
      <c r="S3719" s="44">
        <f t="shared" si="349"/>
        <v>46769</v>
      </c>
      <c r="T3719" s="12">
        <f t="shared" si="350"/>
        <v>2.4718641879188143</v>
      </c>
      <c r="U3719" s="12">
        <f t="shared" si="354"/>
        <v>2.4286585155361533</v>
      </c>
      <c r="V3719" s="30">
        <f t="shared" si="351"/>
        <v>0.40223890410958901</v>
      </c>
      <c r="W3719" s="46">
        <f t="shared" si="352"/>
        <v>-2.4718641879188138E-2</v>
      </c>
      <c r="X3719" s="33">
        <f t="shared" si="353"/>
        <v>2.501722870626295E-2</v>
      </c>
    </row>
    <row r="3720" spans="19:24" x14ac:dyDescent="0.25">
      <c r="S3720" s="44">
        <f t="shared" si="349"/>
        <v>46770</v>
      </c>
      <c r="T3720" s="12">
        <f t="shared" si="350"/>
        <v>2.4691871056172734</v>
      </c>
      <c r="U3720" s="12">
        <f t="shared" si="354"/>
        <v>2.4260073388113645</v>
      </c>
      <c r="V3720" s="30">
        <f t="shared" si="351"/>
        <v>0.40221150684931511</v>
      </c>
      <c r="W3720" s="46">
        <f t="shared" si="352"/>
        <v>-2.469187105617273E-2</v>
      </c>
      <c r="X3720" s="33">
        <f t="shared" si="353"/>
        <v>2.5017187193990011E-2</v>
      </c>
    </row>
    <row r="3721" spans="19:24" x14ac:dyDescent="0.25">
      <c r="S3721" s="44">
        <f t="shared" si="349"/>
        <v>46771</v>
      </c>
      <c r="T3721" s="12">
        <f t="shared" si="350"/>
        <v>2.4665100233157315</v>
      </c>
      <c r="U3721" s="12">
        <f t="shared" si="354"/>
        <v>2.4233561620865753</v>
      </c>
      <c r="V3721" s="30">
        <f t="shared" si="351"/>
        <v>0.40218410958904111</v>
      </c>
      <c r="W3721" s="46">
        <f t="shared" si="352"/>
        <v>-2.4665100233157312E-2</v>
      </c>
      <c r="X3721" s="33">
        <f t="shared" si="353"/>
        <v>2.5017145681717062E-2</v>
      </c>
    </row>
    <row r="3722" spans="19:24" x14ac:dyDescent="0.25">
      <c r="S3722" s="44">
        <f t="shared" si="349"/>
        <v>46772</v>
      </c>
      <c r="T3722" s="12">
        <f t="shared" si="350"/>
        <v>2.4638329410141906</v>
      </c>
      <c r="U3722" s="12">
        <f t="shared" si="354"/>
        <v>2.4207049853617857</v>
      </c>
      <c r="V3722" s="30">
        <f t="shared" si="351"/>
        <v>0.4021567123287671</v>
      </c>
      <c r="W3722" s="46">
        <f t="shared" si="352"/>
        <v>-2.4638329410141904E-2</v>
      </c>
      <c r="X3722" s="33">
        <f t="shared" si="353"/>
        <v>2.501710416944412E-2</v>
      </c>
    </row>
    <row r="3723" spans="19:24" x14ac:dyDescent="0.25">
      <c r="S3723" s="44">
        <f t="shared" si="349"/>
        <v>46773</v>
      </c>
      <c r="T3723" s="12">
        <f t="shared" si="350"/>
        <v>2.4611558587126492</v>
      </c>
      <c r="U3723" s="12">
        <f t="shared" si="354"/>
        <v>2.418053808636996</v>
      </c>
      <c r="V3723" s="30">
        <f t="shared" si="351"/>
        <v>0.40212931506849314</v>
      </c>
      <c r="W3723" s="46">
        <f t="shared" si="352"/>
        <v>-2.4611558587126488E-2</v>
      </c>
      <c r="X3723" s="33">
        <f t="shared" si="353"/>
        <v>2.5017062657171178E-2</v>
      </c>
    </row>
    <row r="3724" spans="19:24" x14ac:dyDescent="0.25">
      <c r="S3724" s="44">
        <f t="shared" si="349"/>
        <v>46774</v>
      </c>
      <c r="T3724" s="12">
        <f t="shared" si="350"/>
        <v>2.4584787764111087</v>
      </c>
      <c r="U3724" s="12">
        <f t="shared" si="354"/>
        <v>2.4154026319122073</v>
      </c>
      <c r="V3724" s="30">
        <f t="shared" si="351"/>
        <v>0.40210191780821919</v>
      </c>
      <c r="W3724" s="46">
        <f t="shared" si="352"/>
        <v>-2.4584787764111084E-2</v>
      </c>
      <c r="X3724" s="33">
        <f t="shared" si="353"/>
        <v>2.5017021144898229E-2</v>
      </c>
    </row>
    <row r="3725" spans="19:24" x14ac:dyDescent="0.25">
      <c r="S3725" s="44">
        <f t="shared" si="349"/>
        <v>46775</v>
      </c>
      <c r="T3725" s="12">
        <f t="shared" si="350"/>
        <v>2.4558016941095673</v>
      </c>
      <c r="U3725" s="12">
        <f t="shared" si="354"/>
        <v>2.4127514551874176</v>
      </c>
      <c r="V3725" s="30">
        <f t="shared" si="351"/>
        <v>0.40207452054794524</v>
      </c>
      <c r="W3725" s="46">
        <f t="shared" si="352"/>
        <v>-2.4558016941095669E-2</v>
      </c>
      <c r="X3725" s="33">
        <f t="shared" si="353"/>
        <v>2.5016979632625287E-2</v>
      </c>
    </row>
    <row r="3726" spans="19:24" x14ac:dyDescent="0.25">
      <c r="S3726" s="44">
        <f t="shared" si="349"/>
        <v>46776</v>
      </c>
      <c r="T3726" s="12">
        <f t="shared" si="350"/>
        <v>2.4531246118080259</v>
      </c>
      <c r="U3726" s="12">
        <f t="shared" si="354"/>
        <v>2.4101002784626284</v>
      </c>
      <c r="V3726" s="30">
        <f t="shared" si="351"/>
        <v>0.40204712328767123</v>
      </c>
      <c r="W3726" s="46">
        <f t="shared" si="352"/>
        <v>-2.4531246118080254E-2</v>
      </c>
      <c r="X3726" s="33">
        <f t="shared" si="353"/>
        <v>2.5016938120352342E-2</v>
      </c>
    </row>
    <row r="3727" spans="19:24" x14ac:dyDescent="0.25">
      <c r="S3727" s="44">
        <f t="shared" si="349"/>
        <v>46777</v>
      </c>
      <c r="T3727" s="12">
        <f t="shared" si="350"/>
        <v>2.4504475295064845</v>
      </c>
      <c r="U3727" s="12">
        <f t="shared" si="354"/>
        <v>2.4074491017378392</v>
      </c>
      <c r="V3727" s="30">
        <f t="shared" si="351"/>
        <v>0.40201972602739727</v>
      </c>
      <c r="W3727" s="46">
        <f t="shared" si="352"/>
        <v>-2.4504475295064842E-2</v>
      </c>
      <c r="X3727" s="33">
        <f t="shared" si="353"/>
        <v>2.5016896608079403E-2</v>
      </c>
    </row>
    <row r="3728" spans="19:24" x14ac:dyDescent="0.25">
      <c r="S3728" s="44">
        <f t="shared" si="349"/>
        <v>46778</v>
      </c>
      <c r="T3728" s="12">
        <f t="shared" si="350"/>
        <v>2.4477704472049431</v>
      </c>
      <c r="U3728" s="12">
        <f t="shared" si="354"/>
        <v>2.4047979250130496</v>
      </c>
      <c r="V3728" s="30">
        <f t="shared" si="351"/>
        <v>0.40199232876712326</v>
      </c>
      <c r="W3728" s="46">
        <f t="shared" si="352"/>
        <v>-2.4477704472049427E-2</v>
      </c>
      <c r="X3728" s="33">
        <f t="shared" si="353"/>
        <v>2.5016855095806451E-2</v>
      </c>
    </row>
    <row r="3729" spans="19:24" x14ac:dyDescent="0.25">
      <c r="S3729" s="44">
        <f t="shared" si="349"/>
        <v>46779</v>
      </c>
      <c r="T3729" s="12">
        <f t="shared" si="350"/>
        <v>2.4450933649034021</v>
      </c>
      <c r="U3729" s="12">
        <f t="shared" si="354"/>
        <v>2.4021467482882608</v>
      </c>
      <c r="V3729" s="30">
        <f t="shared" si="351"/>
        <v>0.40196493150684931</v>
      </c>
      <c r="W3729" s="46">
        <f t="shared" si="352"/>
        <v>-2.4450933649034019E-2</v>
      </c>
      <c r="X3729" s="33">
        <f t="shared" si="353"/>
        <v>2.5016813583533516E-2</v>
      </c>
    </row>
    <row r="3730" spans="19:24" x14ac:dyDescent="0.25">
      <c r="S3730" s="44">
        <f t="shared" si="349"/>
        <v>46780</v>
      </c>
      <c r="T3730" s="12">
        <f t="shared" si="350"/>
        <v>2.4424162826018621</v>
      </c>
      <c r="U3730" s="12">
        <f t="shared" si="354"/>
        <v>2.3994955715634712</v>
      </c>
      <c r="V3730" s="30">
        <f t="shared" si="351"/>
        <v>0.40193753424657536</v>
      </c>
      <c r="W3730" s="46">
        <f t="shared" si="352"/>
        <v>-2.4424162826018617E-2</v>
      </c>
      <c r="X3730" s="33">
        <f t="shared" si="353"/>
        <v>2.5016772071260567E-2</v>
      </c>
    </row>
    <row r="3731" spans="19:24" x14ac:dyDescent="0.25">
      <c r="S3731" s="44">
        <f t="shared" si="349"/>
        <v>46781</v>
      </c>
      <c r="T3731" s="12">
        <f t="shared" si="350"/>
        <v>2.4397392003003207</v>
      </c>
      <c r="U3731" s="12">
        <f t="shared" si="354"/>
        <v>2.3968443948386824</v>
      </c>
      <c r="V3731" s="30">
        <f t="shared" si="351"/>
        <v>0.40191013698630135</v>
      </c>
      <c r="W3731" s="46">
        <f t="shared" si="352"/>
        <v>-2.4397392003003202E-2</v>
      </c>
      <c r="X3731" s="33">
        <f t="shared" si="353"/>
        <v>2.5016730558987621E-2</v>
      </c>
    </row>
    <row r="3732" spans="19:24" x14ac:dyDescent="0.25">
      <c r="S3732" s="44">
        <f t="shared" si="349"/>
        <v>46782</v>
      </c>
      <c r="T3732" s="12">
        <f t="shared" si="350"/>
        <v>2.4370621179987788</v>
      </c>
      <c r="U3732" s="12">
        <f t="shared" si="354"/>
        <v>2.3941932181138923</v>
      </c>
      <c r="V3732" s="30">
        <f t="shared" si="351"/>
        <v>0.40188273972602739</v>
      </c>
      <c r="W3732" s="46">
        <f t="shared" si="352"/>
        <v>-2.4370621179987784E-2</v>
      </c>
      <c r="X3732" s="33">
        <f t="shared" si="353"/>
        <v>2.5016689046714679E-2</v>
      </c>
    </row>
    <row r="3733" spans="19:24" x14ac:dyDescent="0.25">
      <c r="S3733" s="44">
        <f t="shared" si="349"/>
        <v>46783</v>
      </c>
      <c r="T3733" s="12">
        <f t="shared" si="350"/>
        <v>2.4343850356972379</v>
      </c>
      <c r="U3733" s="12">
        <f t="shared" si="354"/>
        <v>2.391542041389104</v>
      </c>
      <c r="V3733" s="30">
        <f t="shared" si="351"/>
        <v>0.40185534246575338</v>
      </c>
      <c r="W3733" s="46">
        <f t="shared" si="352"/>
        <v>-2.4343850356972375E-2</v>
      </c>
      <c r="X3733" s="33">
        <f t="shared" si="353"/>
        <v>2.501664753444173E-2</v>
      </c>
    </row>
    <row r="3734" spans="19:24" x14ac:dyDescent="0.25">
      <c r="S3734" s="44">
        <f t="shared" si="349"/>
        <v>46784</v>
      </c>
      <c r="T3734" s="12">
        <f t="shared" si="350"/>
        <v>2.4317079533956965</v>
      </c>
      <c r="U3734" s="12">
        <f t="shared" si="354"/>
        <v>2.3888908646643139</v>
      </c>
      <c r="V3734" s="30">
        <f t="shared" si="351"/>
        <v>0.40182794520547943</v>
      </c>
      <c r="W3734" s="46">
        <f t="shared" si="352"/>
        <v>-2.431707953395696E-2</v>
      </c>
      <c r="X3734" s="33">
        <f t="shared" si="353"/>
        <v>2.5016606022168788E-2</v>
      </c>
    </row>
    <row r="3735" spans="19:24" x14ac:dyDescent="0.25">
      <c r="S3735" s="44">
        <f t="shared" si="349"/>
        <v>46785</v>
      </c>
      <c r="T3735" s="12">
        <f t="shared" si="350"/>
        <v>2.4290308710941555</v>
      </c>
      <c r="U3735" s="12">
        <f t="shared" si="354"/>
        <v>2.3862396879395242</v>
      </c>
      <c r="V3735" s="30">
        <f t="shared" si="351"/>
        <v>0.40180054794520548</v>
      </c>
      <c r="W3735" s="46">
        <f t="shared" si="352"/>
        <v>-2.4290308710941552E-2</v>
      </c>
      <c r="X3735" s="33">
        <f t="shared" si="353"/>
        <v>2.5016564509895846E-2</v>
      </c>
    </row>
    <row r="3736" spans="19:24" x14ac:dyDescent="0.25">
      <c r="S3736" s="44">
        <f t="shared" si="349"/>
        <v>46786</v>
      </c>
      <c r="T3736" s="12">
        <f t="shared" si="350"/>
        <v>2.4263537887926141</v>
      </c>
      <c r="U3736" s="12">
        <f t="shared" si="354"/>
        <v>2.3835885112147359</v>
      </c>
      <c r="V3736" s="30">
        <f t="shared" si="351"/>
        <v>0.40177315068493152</v>
      </c>
      <c r="W3736" s="46">
        <f t="shared" si="352"/>
        <v>-2.4263537887926137E-2</v>
      </c>
      <c r="X3736" s="33">
        <f t="shared" si="353"/>
        <v>2.5016522997622904E-2</v>
      </c>
    </row>
    <row r="3737" spans="19:24" x14ac:dyDescent="0.25">
      <c r="S3737" s="44">
        <f t="shared" si="349"/>
        <v>46787</v>
      </c>
      <c r="T3737" s="12">
        <f t="shared" si="350"/>
        <v>2.4236767064910727</v>
      </c>
      <c r="U3737" s="12">
        <f t="shared" si="354"/>
        <v>2.3809373344899467</v>
      </c>
      <c r="V3737" s="30">
        <f t="shared" si="351"/>
        <v>0.40174575342465751</v>
      </c>
      <c r="W3737" s="46">
        <f t="shared" si="352"/>
        <v>-2.4236767064910722E-2</v>
      </c>
      <c r="X3737" s="33">
        <f t="shared" si="353"/>
        <v>2.5016481485349958E-2</v>
      </c>
    </row>
    <row r="3738" spans="19:24" x14ac:dyDescent="0.25">
      <c r="S3738" s="44">
        <f t="shared" si="349"/>
        <v>46788</v>
      </c>
      <c r="T3738" s="12">
        <f t="shared" si="350"/>
        <v>2.4209996241895317</v>
      </c>
      <c r="U3738" s="12">
        <f t="shared" si="354"/>
        <v>2.3782861577651571</v>
      </c>
      <c r="V3738" s="30">
        <f t="shared" si="351"/>
        <v>0.40171835616438356</v>
      </c>
      <c r="W3738" s="46">
        <f t="shared" si="352"/>
        <v>-2.4209996241895314E-2</v>
      </c>
      <c r="X3738" s="33">
        <f t="shared" si="353"/>
        <v>2.5016439973077016E-2</v>
      </c>
    </row>
    <row r="3739" spans="19:24" x14ac:dyDescent="0.25">
      <c r="S3739" s="44">
        <f t="shared" si="349"/>
        <v>46789</v>
      </c>
      <c r="T3739" s="12">
        <f t="shared" si="350"/>
        <v>2.4183225418879903</v>
      </c>
      <c r="U3739" s="12">
        <f t="shared" si="354"/>
        <v>2.3756349810403679</v>
      </c>
      <c r="V3739" s="30">
        <f t="shared" si="351"/>
        <v>0.40169095890410955</v>
      </c>
      <c r="W3739" s="46">
        <f t="shared" si="352"/>
        <v>-2.4183225418879899E-2</v>
      </c>
      <c r="X3739" s="33">
        <f t="shared" si="353"/>
        <v>2.5016398460804067E-2</v>
      </c>
    </row>
    <row r="3740" spans="19:24" x14ac:dyDescent="0.25">
      <c r="S3740" s="44">
        <f t="shared" si="349"/>
        <v>46790</v>
      </c>
      <c r="T3740" s="12">
        <f t="shared" si="350"/>
        <v>2.4156454595864498</v>
      </c>
      <c r="U3740" s="12">
        <f t="shared" si="354"/>
        <v>2.3729838043155782</v>
      </c>
      <c r="V3740" s="30">
        <f t="shared" si="351"/>
        <v>0.40166356164383554</v>
      </c>
      <c r="W3740" s="46">
        <f t="shared" si="352"/>
        <v>-2.4156454595864494E-2</v>
      </c>
      <c r="X3740" s="33">
        <f t="shared" si="353"/>
        <v>2.5016356948531122E-2</v>
      </c>
    </row>
    <row r="3741" spans="19:24" x14ac:dyDescent="0.25">
      <c r="S3741" s="44">
        <f t="shared" si="349"/>
        <v>46791</v>
      </c>
      <c r="T3741" s="12">
        <f t="shared" si="350"/>
        <v>2.4129683772849084</v>
      </c>
      <c r="U3741" s="12">
        <f t="shared" si="354"/>
        <v>2.3703326275907894</v>
      </c>
      <c r="V3741" s="30">
        <f t="shared" si="351"/>
        <v>0.40163616438356164</v>
      </c>
      <c r="W3741" s="46">
        <f t="shared" si="352"/>
        <v>-2.4129683772849079E-2</v>
      </c>
      <c r="X3741" s="33">
        <f t="shared" si="353"/>
        <v>2.5016315436258187E-2</v>
      </c>
    </row>
    <row r="3742" spans="19:24" x14ac:dyDescent="0.25">
      <c r="S3742" s="44">
        <f t="shared" si="349"/>
        <v>46792</v>
      </c>
      <c r="T3742" s="12">
        <f t="shared" si="350"/>
        <v>2.410291294983367</v>
      </c>
      <c r="U3742" s="12">
        <f t="shared" si="354"/>
        <v>2.3676814508659998</v>
      </c>
      <c r="V3742" s="30">
        <f t="shared" si="351"/>
        <v>0.40160876712328764</v>
      </c>
      <c r="W3742" s="46">
        <f t="shared" si="352"/>
        <v>-2.4102912949833667E-2</v>
      </c>
      <c r="X3742" s="33">
        <f t="shared" si="353"/>
        <v>2.5016273923985238E-2</v>
      </c>
    </row>
    <row r="3743" spans="19:24" x14ac:dyDescent="0.25">
      <c r="S3743" s="44">
        <f t="shared" si="349"/>
        <v>46793</v>
      </c>
      <c r="T3743" s="12">
        <f t="shared" si="350"/>
        <v>2.4076142126818256</v>
      </c>
      <c r="U3743" s="12">
        <f t="shared" si="354"/>
        <v>2.365030274141211</v>
      </c>
      <c r="V3743" s="30">
        <f t="shared" si="351"/>
        <v>0.40158136986301368</v>
      </c>
      <c r="W3743" s="46">
        <f t="shared" si="352"/>
        <v>-2.4076142126818252E-2</v>
      </c>
      <c r="X3743" s="33">
        <f t="shared" si="353"/>
        <v>2.5016232411712296E-2</v>
      </c>
    </row>
    <row r="3744" spans="19:24" x14ac:dyDescent="0.25">
      <c r="S3744" s="44">
        <f t="shared" si="349"/>
        <v>46794</v>
      </c>
      <c r="T3744" s="12">
        <f t="shared" si="350"/>
        <v>2.4049371303802847</v>
      </c>
      <c r="U3744" s="12">
        <f t="shared" si="354"/>
        <v>2.3623790974164209</v>
      </c>
      <c r="V3744" s="30">
        <f t="shared" si="351"/>
        <v>0.40155397260273973</v>
      </c>
      <c r="W3744" s="46">
        <f t="shared" si="352"/>
        <v>-2.4049371303802844E-2</v>
      </c>
      <c r="X3744" s="33">
        <f t="shared" si="353"/>
        <v>2.5016190899439354E-2</v>
      </c>
    </row>
    <row r="3745" spans="19:24" x14ac:dyDescent="0.25">
      <c r="S3745" s="44">
        <f t="shared" si="349"/>
        <v>46795</v>
      </c>
      <c r="T3745" s="12">
        <f t="shared" si="350"/>
        <v>2.4022600480787433</v>
      </c>
      <c r="U3745" s="12">
        <f t="shared" si="354"/>
        <v>2.3597279206916322</v>
      </c>
      <c r="V3745" s="30">
        <f t="shared" si="351"/>
        <v>0.40152657534246572</v>
      </c>
      <c r="W3745" s="46">
        <f t="shared" si="352"/>
        <v>-2.4022600480787429E-2</v>
      </c>
      <c r="X3745" s="33">
        <f t="shared" si="353"/>
        <v>2.5016149387166408E-2</v>
      </c>
    </row>
    <row r="3746" spans="19:24" x14ac:dyDescent="0.25">
      <c r="S3746" s="44">
        <f t="shared" si="349"/>
        <v>46796</v>
      </c>
      <c r="T3746" s="12">
        <f t="shared" si="350"/>
        <v>2.3995829657772023</v>
      </c>
      <c r="U3746" s="12">
        <f t="shared" si="354"/>
        <v>2.3570767439668416</v>
      </c>
      <c r="V3746" s="30">
        <f t="shared" si="351"/>
        <v>0.40149917808219177</v>
      </c>
      <c r="W3746" s="46">
        <f t="shared" si="352"/>
        <v>-2.3995829657772021E-2</v>
      </c>
      <c r="X3746" s="33">
        <f t="shared" si="353"/>
        <v>2.5016107874893466E-2</v>
      </c>
    </row>
    <row r="3747" spans="19:24" x14ac:dyDescent="0.25">
      <c r="S3747" s="44">
        <f t="shared" si="349"/>
        <v>46797</v>
      </c>
      <c r="T3747" s="12">
        <f t="shared" si="350"/>
        <v>2.3969058834756609</v>
      </c>
      <c r="U3747" s="12">
        <f t="shared" si="354"/>
        <v>2.3544255672420538</v>
      </c>
      <c r="V3747" s="30">
        <f t="shared" si="351"/>
        <v>0.40147178082191781</v>
      </c>
      <c r="W3747" s="46">
        <f t="shared" si="352"/>
        <v>-2.3969058834756606E-2</v>
      </c>
      <c r="X3747" s="33">
        <f t="shared" si="353"/>
        <v>2.5016066362620524E-2</v>
      </c>
    </row>
    <row r="3748" spans="19:24" x14ac:dyDescent="0.25">
      <c r="S3748" s="44">
        <f t="shared" si="349"/>
        <v>46798</v>
      </c>
      <c r="T3748" s="12">
        <f t="shared" si="350"/>
        <v>2.39422880117412</v>
      </c>
      <c r="U3748" s="12">
        <f t="shared" si="354"/>
        <v>2.3517743905172641</v>
      </c>
      <c r="V3748" s="30">
        <f t="shared" si="351"/>
        <v>0.40144438356164386</v>
      </c>
      <c r="W3748" s="46">
        <f t="shared" si="352"/>
        <v>-2.3942288011741197E-2</v>
      </c>
      <c r="X3748" s="33">
        <f t="shared" si="353"/>
        <v>2.5016024850347582E-2</v>
      </c>
    </row>
    <row r="3749" spans="19:24" x14ac:dyDescent="0.25">
      <c r="S3749" s="44">
        <f t="shared" si="349"/>
        <v>46799</v>
      </c>
      <c r="T3749" s="12">
        <f t="shared" si="350"/>
        <v>2.3915517188725786</v>
      </c>
      <c r="U3749" s="12">
        <f t="shared" si="354"/>
        <v>2.349123213792474</v>
      </c>
      <c r="V3749" s="30">
        <f t="shared" si="351"/>
        <v>0.40141698630136985</v>
      </c>
      <c r="W3749" s="46">
        <f t="shared" si="352"/>
        <v>-2.3915517188725782E-2</v>
      </c>
      <c r="X3749" s="33">
        <f t="shared" si="353"/>
        <v>2.5015983338074633E-2</v>
      </c>
    </row>
    <row r="3750" spans="19:24" x14ac:dyDescent="0.25">
      <c r="S3750" s="44">
        <f t="shared" si="349"/>
        <v>46800</v>
      </c>
      <c r="T3750" s="12">
        <f t="shared" si="350"/>
        <v>2.388874636571038</v>
      </c>
      <c r="U3750" s="12">
        <f t="shared" si="354"/>
        <v>2.3464720370676857</v>
      </c>
      <c r="V3750" s="30">
        <f t="shared" si="351"/>
        <v>0.4013895890410959</v>
      </c>
      <c r="W3750" s="46">
        <f t="shared" si="352"/>
        <v>-2.3888746365710378E-2</v>
      </c>
      <c r="X3750" s="33">
        <f t="shared" si="353"/>
        <v>2.5015941825801691E-2</v>
      </c>
    </row>
    <row r="3751" spans="19:24" x14ac:dyDescent="0.25">
      <c r="S3751" s="44">
        <f t="shared" si="349"/>
        <v>46801</v>
      </c>
      <c r="T3751" s="12">
        <f t="shared" si="350"/>
        <v>2.3861975542694962</v>
      </c>
      <c r="U3751" s="12">
        <f t="shared" si="354"/>
        <v>2.3438208603428956</v>
      </c>
      <c r="V3751" s="30">
        <f t="shared" si="351"/>
        <v>0.40136219178082189</v>
      </c>
      <c r="W3751" s="46">
        <f t="shared" si="352"/>
        <v>-2.3861975542694959E-2</v>
      </c>
      <c r="X3751" s="33">
        <f t="shared" si="353"/>
        <v>2.5015900313528745E-2</v>
      </c>
    </row>
    <row r="3752" spans="19:24" x14ac:dyDescent="0.25">
      <c r="S3752" s="44">
        <f t="shared" si="349"/>
        <v>46802</v>
      </c>
      <c r="T3752" s="12">
        <f t="shared" si="350"/>
        <v>2.3835204719679552</v>
      </c>
      <c r="U3752" s="12">
        <f t="shared" si="354"/>
        <v>2.3411696836181068</v>
      </c>
      <c r="V3752" s="30">
        <f t="shared" si="351"/>
        <v>0.40133479452054788</v>
      </c>
      <c r="W3752" s="46">
        <f t="shared" si="352"/>
        <v>-2.3835204719679547E-2</v>
      </c>
      <c r="X3752" s="33">
        <f t="shared" si="353"/>
        <v>2.5015858801255796E-2</v>
      </c>
    </row>
    <row r="3753" spans="19:24" x14ac:dyDescent="0.25">
      <c r="S3753" s="44">
        <f t="shared" si="349"/>
        <v>46803</v>
      </c>
      <c r="T3753" s="12">
        <f t="shared" si="350"/>
        <v>2.3808433896664138</v>
      </c>
      <c r="U3753" s="12">
        <f t="shared" si="354"/>
        <v>2.3385185068933172</v>
      </c>
      <c r="V3753" s="30">
        <f t="shared" si="351"/>
        <v>0.40130739726027398</v>
      </c>
      <c r="W3753" s="46">
        <f t="shared" si="352"/>
        <v>-2.3808433896664136E-2</v>
      </c>
      <c r="X3753" s="33">
        <f t="shared" si="353"/>
        <v>2.5015817288982861E-2</v>
      </c>
    </row>
    <row r="3754" spans="19:24" x14ac:dyDescent="0.25">
      <c r="S3754" s="44">
        <f t="shared" si="349"/>
        <v>46804</v>
      </c>
      <c r="T3754" s="12">
        <f t="shared" si="350"/>
        <v>2.3781663073648729</v>
      </c>
      <c r="U3754" s="12">
        <f t="shared" si="354"/>
        <v>2.335867330168528</v>
      </c>
      <c r="V3754" s="30">
        <f t="shared" si="351"/>
        <v>0.40127999999999997</v>
      </c>
      <c r="W3754" s="46">
        <f t="shared" si="352"/>
        <v>-2.3781663073648724E-2</v>
      </c>
      <c r="X3754" s="33">
        <f t="shared" si="353"/>
        <v>2.5015775776709912E-2</v>
      </c>
    </row>
    <row r="3755" spans="19:24" x14ac:dyDescent="0.25">
      <c r="S3755" s="44">
        <f t="shared" si="349"/>
        <v>46805</v>
      </c>
      <c r="T3755" s="12">
        <f t="shared" si="350"/>
        <v>2.3754892250633315</v>
      </c>
      <c r="U3755" s="12">
        <f t="shared" si="354"/>
        <v>2.3332161534437388</v>
      </c>
      <c r="V3755" s="30">
        <f t="shared" si="351"/>
        <v>0.40125260273972607</v>
      </c>
      <c r="W3755" s="46">
        <f t="shared" si="352"/>
        <v>-2.3754892250633312E-2</v>
      </c>
      <c r="X3755" s="33">
        <f t="shared" si="353"/>
        <v>2.5015734264436977E-2</v>
      </c>
    </row>
    <row r="3756" spans="19:24" x14ac:dyDescent="0.25">
      <c r="S3756" s="44">
        <f t="shared" si="349"/>
        <v>46806</v>
      </c>
      <c r="T3756" s="12">
        <f t="shared" si="350"/>
        <v>2.3728121427617905</v>
      </c>
      <c r="U3756" s="12">
        <f t="shared" si="354"/>
        <v>2.3305649767189496</v>
      </c>
      <c r="V3756" s="30">
        <f t="shared" si="351"/>
        <v>0.40122520547945206</v>
      </c>
      <c r="W3756" s="46">
        <f t="shared" si="352"/>
        <v>-2.3728121427617901E-2</v>
      </c>
      <c r="X3756" s="33">
        <f t="shared" si="353"/>
        <v>2.5015692752164028E-2</v>
      </c>
    </row>
    <row r="3757" spans="19:24" x14ac:dyDescent="0.25">
      <c r="S3757" s="44">
        <f t="shared" si="349"/>
        <v>46807</v>
      </c>
      <c r="T3757" s="12">
        <f t="shared" si="350"/>
        <v>2.3701350604602487</v>
      </c>
      <c r="U3757" s="12">
        <f t="shared" si="354"/>
        <v>2.3279137999941599</v>
      </c>
      <c r="V3757" s="30">
        <f t="shared" si="351"/>
        <v>0.40119780821917805</v>
      </c>
      <c r="W3757" s="46">
        <f t="shared" si="352"/>
        <v>-2.3701350604602482E-2</v>
      </c>
      <c r="X3757" s="33">
        <f t="shared" si="353"/>
        <v>2.5015651239891083E-2</v>
      </c>
    </row>
    <row r="3758" spans="19:24" x14ac:dyDescent="0.25">
      <c r="S3758" s="44">
        <f t="shared" si="349"/>
        <v>46808</v>
      </c>
      <c r="T3758" s="12">
        <f t="shared" si="350"/>
        <v>2.3674579781587082</v>
      </c>
      <c r="U3758" s="12">
        <f t="shared" si="354"/>
        <v>2.3252626232693712</v>
      </c>
      <c r="V3758" s="30">
        <f t="shared" si="351"/>
        <v>0.40117041095890416</v>
      </c>
      <c r="W3758" s="46">
        <f t="shared" si="352"/>
        <v>-2.3674579781587077E-2</v>
      </c>
      <c r="X3758" s="33">
        <f t="shared" si="353"/>
        <v>2.5015609727618141E-2</v>
      </c>
    </row>
    <row r="3759" spans="19:24" x14ac:dyDescent="0.25">
      <c r="S3759" s="44">
        <f t="shared" si="349"/>
        <v>46809</v>
      </c>
      <c r="T3759" s="12">
        <f t="shared" si="350"/>
        <v>2.3647808958571668</v>
      </c>
      <c r="U3759" s="12">
        <f t="shared" si="354"/>
        <v>2.322611446544582</v>
      </c>
      <c r="V3759" s="30">
        <f t="shared" si="351"/>
        <v>0.40114301369863015</v>
      </c>
      <c r="W3759" s="46">
        <f t="shared" si="352"/>
        <v>-2.3647808958571666E-2</v>
      </c>
      <c r="X3759" s="33">
        <f t="shared" si="353"/>
        <v>2.5015568215345198E-2</v>
      </c>
    </row>
    <row r="3760" spans="19:24" x14ac:dyDescent="0.25">
      <c r="S3760" s="44">
        <f t="shared" si="349"/>
        <v>46810</v>
      </c>
      <c r="T3760" s="12">
        <f t="shared" si="350"/>
        <v>2.3621038135556258</v>
      </c>
      <c r="U3760" s="12">
        <f t="shared" si="354"/>
        <v>2.3199602698197928</v>
      </c>
      <c r="V3760" s="30">
        <f t="shared" si="351"/>
        <v>0.40111561643835614</v>
      </c>
      <c r="W3760" s="46">
        <f t="shared" si="352"/>
        <v>-2.3621038135556254E-2</v>
      </c>
      <c r="X3760" s="33">
        <f t="shared" si="353"/>
        <v>2.5015526703072253E-2</v>
      </c>
    </row>
    <row r="3761" spans="19:24" x14ac:dyDescent="0.25">
      <c r="S3761" s="44">
        <f t="shared" si="349"/>
        <v>46811</v>
      </c>
      <c r="T3761" s="12">
        <f t="shared" si="350"/>
        <v>2.3594267312540844</v>
      </c>
      <c r="U3761" s="12">
        <f t="shared" si="354"/>
        <v>2.3173090930950027</v>
      </c>
      <c r="V3761" s="30">
        <f t="shared" si="351"/>
        <v>0.40108821917808218</v>
      </c>
      <c r="W3761" s="46">
        <f t="shared" si="352"/>
        <v>-2.3594267312540839E-2</v>
      </c>
      <c r="X3761" s="33">
        <f t="shared" si="353"/>
        <v>2.5015485190799311E-2</v>
      </c>
    </row>
    <row r="3762" spans="19:24" x14ac:dyDescent="0.25">
      <c r="S3762" s="44">
        <f t="shared" si="349"/>
        <v>46812</v>
      </c>
      <c r="T3762" s="12">
        <f t="shared" si="350"/>
        <v>2.356749648952543</v>
      </c>
      <c r="U3762" s="12">
        <f t="shared" si="354"/>
        <v>2.3146579163702143</v>
      </c>
      <c r="V3762" s="30">
        <f t="shared" si="351"/>
        <v>0.40106082191780823</v>
      </c>
      <c r="W3762" s="46">
        <f t="shared" si="352"/>
        <v>-2.3567496489525427E-2</v>
      </c>
      <c r="X3762" s="33">
        <f t="shared" si="353"/>
        <v>2.5015443678526369E-2</v>
      </c>
    </row>
    <row r="3763" spans="19:24" x14ac:dyDescent="0.25">
      <c r="S3763" s="44">
        <f t="shared" ref="S3763:S3826" si="355">+S3762+1</f>
        <v>46813</v>
      </c>
      <c r="T3763" s="12">
        <f t="shared" si="350"/>
        <v>2.3540725666510025</v>
      </c>
      <c r="U3763" s="12">
        <f t="shared" si="354"/>
        <v>2.3120067396454242</v>
      </c>
      <c r="V3763" s="30">
        <f t="shared" si="351"/>
        <v>0.40103342465753422</v>
      </c>
      <c r="W3763" s="46">
        <f t="shared" si="352"/>
        <v>-2.3540725666510023E-2</v>
      </c>
      <c r="X3763" s="33">
        <f t="shared" si="353"/>
        <v>2.501540216625342E-2</v>
      </c>
    </row>
    <row r="3764" spans="19:24" x14ac:dyDescent="0.25">
      <c r="S3764" s="44">
        <f t="shared" si="355"/>
        <v>46814</v>
      </c>
      <c r="T3764" s="12">
        <f t="shared" si="350"/>
        <v>2.3513954843494607</v>
      </c>
      <c r="U3764" s="12">
        <f t="shared" si="354"/>
        <v>2.3093555629206355</v>
      </c>
      <c r="V3764" s="30">
        <f t="shared" si="351"/>
        <v>0.40100602739726032</v>
      </c>
      <c r="W3764" s="46">
        <f t="shared" si="352"/>
        <v>-2.3513954843494604E-2</v>
      </c>
      <c r="X3764" s="33">
        <f t="shared" si="353"/>
        <v>2.5015360653980478E-2</v>
      </c>
    </row>
    <row r="3765" spans="19:24" x14ac:dyDescent="0.25">
      <c r="S3765" s="44">
        <f t="shared" si="355"/>
        <v>46815</v>
      </c>
      <c r="T3765" s="12">
        <f t="shared" si="350"/>
        <v>2.3487184020479193</v>
      </c>
      <c r="U3765" s="12">
        <f t="shared" si="354"/>
        <v>2.3067043861958458</v>
      </c>
      <c r="V3765" s="30">
        <f t="shared" si="351"/>
        <v>0.40097863013698631</v>
      </c>
      <c r="W3765" s="46">
        <f t="shared" si="352"/>
        <v>-2.3487184020479189E-2</v>
      </c>
      <c r="X3765" s="33">
        <f t="shared" si="353"/>
        <v>2.5015319141707536E-2</v>
      </c>
    </row>
    <row r="3766" spans="19:24" x14ac:dyDescent="0.25">
      <c r="S3766" s="44">
        <f t="shared" si="355"/>
        <v>46816</v>
      </c>
      <c r="T3766" s="12">
        <f t="shared" si="350"/>
        <v>2.3460413197463788</v>
      </c>
      <c r="U3766" s="12">
        <f t="shared" si="354"/>
        <v>2.3040532094710566</v>
      </c>
      <c r="V3766" s="30">
        <f t="shared" si="351"/>
        <v>0.4009512328767123</v>
      </c>
      <c r="W3766" s="46">
        <f t="shared" si="352"/>
        <v>-2.3460413197463784E-2</v>
      </c>
      <c r="X3766" s="33">
        <f t="shared" si="353"/>
        <v>2.501527762943459E-2</v>
      </c>
    </row>
    <row r="3767" spans="19:24" x14ac:dyDescent="0.25">
      <c r="S3767" s="44">
        <f t="shared" si="355"/>
        <v>46817</v>
      </c>
      <c r="T3767" s="12">
        <f t="shared" si="350"/>
        <v>2.3433642374448365</v>
      </c>
      <c r="U3767" s="12">
        <f t="shared" si="354"/>
        <v>2.301402032746267</v>
      </c>
      <c r="V3767" s="30">
        <f t="shared" si="351"/>
        <v>0.40092383561643841</v>
      </c>
      <c r="W3767" s="46">
        <f t="shared" si="352"/>
        <v>-2.3433642374448362E-2</v>
      </c>
      <c r="X3767" s="33">
        <f t="shared" si="353"/>
        <v>2.5015236117161652E-2</v>
      </c>
    </row>
    <row r="3768" spans="19:24" x14ac:dyDescent="0.25">
      <c r="S3768" s="44">
        <f t="shared" si="355"/>
        <v>46818</v>
      </c>
      <c r="T3768" s="12">
        <f t="shared" si="350"/>
        <v>2.3406871551432959</v>
      </c>
      <c r="U3768" s="12">
        <f t="shared" si="354"/>
        <v>2.2987508560214782</v>
      </c>
      <c r="V3768" s="30">
        <f t="shared" si="351"/>
        <v>0.4008964383561644</v>
      </c>
      <c r="W3768" s="46">
        <f t="shared" si="352"/>
        <v>-2.3406871551432958E-2</v>
      </c>
      <c r="X3768" s="33">
        <f t="shared" si="353"/>
        <v>2.5015194604888706E-2</v>
      </c>
    </row>
    <row r="3769" spans="19:24" x14ac:dyDescent="0.25">
      <c r="S3769" s="44">
        <f t="shared" si="355"/>
        <v>46819</v>
      </c>
      <c r="T3769" s="12">
        <f t="shared" si="350"/>
        <v>2.338010072841755</v>
      </c>
      <c r="U3769" s="12">
        <f t="shared" si="354"/>
        <v>2.296099679296689</v>
      </c>
      <c r="V3769" s="30">
        <f t="shared" si="351"/>
        <v>0.40086904109589039</v>
      </c>
      <c r="W3769" s="46">
        <f t="shared" si="352"/>
        <v>-2.3380100728417546E-2</v>
      </c>
      <c r="X3769" s="33">
        <f t="shared" si="353"/>
        <v>2.5015153092615757E-2</v>
      </c>
    </row>
    <row r="3770" spans="19:24" x14ac:dyDescent="0.25">
      <c r="S3770" s="44">
        <f t="shared" si="355"/>
        <v>46820</v>
      </c>
      <c r="T3770" s="12">
        <f t="shared" si="350"/>
        <v>2.3353329905402136</v>
      </c>
      <c r="U3770" s="12">
        <f t="shared" si="354"/>
        <v>2.2934485025718998</v>
      </c>
      <c r="V3770" s="30">
        <f t="shared" si="351"/>
        <v>0.40084164383561649</v>
      </c>
      <c r="W3770" s="46">
        <f t="shared" si="352"/>
        <v>-2.3353329905402131E-2</v>
      </c>
      <c r="X3770" s="33">
        <f t="shared" si="353"/>
        <v>2.5015111580342822E-2</v>
      </c>
    </row>
    <row r="3771" spans="19:24" x14ac:dyDescent="0.25">
      <c r="S3771" s="44">
        <f t="shared" si="355"/>
        <v>46821</v>
      </c>
      <c r="T3771" s="12">
        <f t="shared" si="350"/>
        <v>2.3326559082386722</v>
      </c>
      <c r="U3771" s="12">
        <f t="shared" si="354"/>
        <v>2.2907973258471097</v>
      </c>
      <c r="V3771" s="30">
        <f t="shared" si="351"/>
        <v>0.40081424657534248</v>
      </c>
      <c r="W3771" s="46">
        <f t="shared" si="352"/>
        <v>-2.3326559082386719E-2</v>
      </c>
      <c r="X3771" s="33">
        <f t="shared" si="353"/>
        <v>2.501507006806987E-2</v>
      </c>
    </row>
    <row r="3772" spans="19:24" x14ac:dyDescent="0.25">
      <c r="S3772" s="44">
        <f t="shared" si="355"/>
        <v>46822</v>
      </c>
      <c r="T3772" s="12">
        <f t="shared" si="350"/>
        <v>2.3299788259371303</v>
      </c>
      <c r="U3772" s="12">
        <f t="shared" si="354"/>
        <v>2.2881461491223205</v>
      </c>
      <c r="V3772" s="30">
        <f t="shared" si="351"/>
        <v>0.40078684931506847</v>
      </c>
      <c r="W3772" s="46">
        <f t="shared" si="352"/>
        <v>-2.3299788259371301E-2</v>
      </c>
      <c r="X3772" s="33">
        <f t="shared" si="353"/>
        <v>2.5015028555796927E-2</v>
      </c>
    </row>
    <row r="3773" spans="19:24" x14ac:dyDescent="0.25">
      <c r="S3773" s="44">
        <f t="shared" si="355"/>
        <v>46823</v>
      </c>
      <c r="T3773" s="12">
        <f t="shared" si="350"/>
        <v>2.3273017436355894</v>
      </c>
      <c r="U3773" s="12">
        <f t="shared" si="354"/>
        <v>2.2854949723975313</v>
      </c>
      <c r="V3773" s="30">
        <f t="shared" si="351"/>
        <v>0.40075945205479452</v>
      </c>
      <c r="W3773" s="46">
        <f t="shared" si="352"/>
        <v>-2.3273017436355889E-2</v>
      </c>
      <c r="X3773" s="33">
        <f t="shared" si="353"/>
        <v>2.5014987043523985E-2</v>
      </c>
    </row>
    <row r="3774" spans="19:24" x14ac:dyDescent="0.25">
      <c r="S3774" s="44">
        <f t="shared" si="355"/>
        <v>46824</v>
      </c>
      <c r="T3774" s="12">
        <f t="shared" si="350"/>
        <v>2.3246246613340489</v>
      </c>
      <c r="U3774" s="12">
        <f t="shared" si="354"/>
        <v>2.2828437956727421</v>
      </c>
      <c r="V3774" s="30">
        <f t="shared" si="351"/>
        <v>0.40073205479452056</v>
      </c>
      <c r="W3774" s="46">
        <f t="shared" si="352"/>
        <v>-2.3246246613340484E-2</v>
      </c>
      <c r="X3774" s="33">
        <f t="shared" si="353"/>
        <v>2.5014945531251043E-2</v>
      </c>
    </row>
    <row r="3775" spans="19:24" x14ac:dyDescent="0.25">
      <c r="S3775" s="44">
        <f t="shared" si="355"/>
        <v>46825</v>
      </c>
      <c r="T3775" s="12">
        <f t="shared" si="350"/>
        <v>2.3219475790325079</v>
      </c>
      <c r="U3775" s="12">
        <f t="shared" si="354"/>
        <v>2.2801926189479533</v>
      </c>
      <c r="V3775" s="30">
        <f t="shared" si="351"/>
        <v>0.40070465753424656</v>
      </c>
      <c r="W3775" s="46">
        <f t="shared" si="352"/>
        <v>-2.3219475790325076E-2</v>
      </c>
      <c r="X3775" s="33">
        <f t="shared" si="353"/>
        <v>2.5014904018978094E-2</v>
      </c>
    </row>
    <row r="3776" spans="19:24" x14ac:dyDescent="0.25">
      <c r="S3776" s="44">
        <f t="shared" si="355"/>
        <v>46826</v>
      </c>
      <c r="T3776" s="12">
        <f t="shared" si="350"/>
        <v>2.3192704967309661</v>
      </c>
      <c r="U3776" s="12">
        <f t="shared" si="354"/>
        <v>2.2775414422231637</v>
      </c>
      <c r="V3776" s="30">
        <f t="shared" si="351"/>
        <v>0.40067726027397266</v>
      </c>
      <c r="W3776" s="46">
        <f t="shared" si="352"/>
        <v>-2.3192704967309657E-2</v>
      </c>
      <c r="X3776" s="33">
        <f t="shared" si="353"/>
        <v>2.5014862506705159E-2</v>
      </c>
    </row>
    <row r="3777" spans="19:24" x14ac:dyDescent="0.25">
      <c r="S3777" s="44">
        <f t="shared" si="355"/>
        <v>46827</v>
      </c>
      <c r="T3777" s="12">
        <f t="shared" si="350"/>
        <v>2.3165934144294251</v>
      </c>
      <c r="U3777" s="12">
        <f t="shared" si="354"/>
        <v>2.274890265498374</v>
      </c>
      <c r="V3777" s="30">
        <f t="shared" si="351"/>
        <v>0.40064986301369865</v>
      </c>
      <c r="W3777" s="46">
        <f t="shared" si="352"/>
        <v>-2.3165934144294249E-2</v>
      </c>
      <c r="X3777" s="33">
        <f t="shared" si="353"/>
        <v>2.5014820994432207E-2</v>
      </c>
    </row>
    <row r="3778" spans="19:24" x14ac:dyDescent="0.25">
      <c r="S3778" s="44">
        <f t="shared" si="355"/>
        <v>46828</v>
      </c>
      <c r="T3778" s="12">
        <f t="shared" si="350"/>
        <v>2.3139163321278842</v>
      </c>
      <c r="U3778" s="12">
        <f t="shared" si="354"/>
        <v>2.2722390887735848</v>
      </c>
      <c r="V3778" s="30">
        <f t="shared" si="351"/>
        <v>0.40062246575342464</v>
      </c>
      <c r="W3778" s="46">
        <f t="shared" si="352"/>
        <v>-2.3139163321278838E-2</v>
      </c>
      <c r="X3778" s="33">
        <f t="shared" si="353"/>
        <v>2.5014779482159258E-2</v>
      </c>
    </row>
    <row r="3779" spans="19:24" x14ac:dyDescent="0.25">
      <c r="S3779" s="44">
        <f t="shared" si="355"/>
        <v>46829</v>
      </c>
      <c r="T3779" s="12">
        <f t="shared" si="350"/>
        <v>2.3112392498263428</v>
      </c>
      <c r="U3779" s="12">
        <f t="shared" si="354"/>
        <v>2.2695879120487952</v>
      </c>
      <c r="V3779" s="30">
        <f t="shared" si="351"/>
        <v>0.40059506849315069</v>
      </c>
      <c r="W3779" s="46">
        <f t="shared" si="352"/>
        <v>-2.3112392498263423E-2</v>
      </c>
      <c r="X3779" s="33">
        <f t="shared" si="353"/>
        <v>2.5014737969886323E-2</v>
      </c>
    </row>
    <row r="3780" spans="19:24" x14ac:dyDescent="0.25">
      <c r="S3780" s="44">
        <f t="shared" si="355"/>
        <v>46830</v>
      </c>
      <c r="T3780" s="12">
        <f t="shared" si="350"/>
        <v>2.3085621675248014</v>
      </c>
      <c r="U3780" s="12">
        <f t="shared" si="354"/>
        <v>2.2669367353240064</v>
      </c>
      <c r="V3780" s="30">
        <f t="shared" si="351"/>
        <v>0.40056767123287673</v>
      </c>
      <c r="W3780" s="46">
        <f t="shared" si="352"/>
        <v>-2.3085621675248011E-2</v>
      </c>
      <c r="X3780" s="33">
        <f t="shared" si="353"/>
        <v>2.5014696457613377E-2</v>
      </c>
    </row>
    <row r="3781" spans="19:24" x14ac:dyDescent="0.25">
      <c r="S3781" s="44">
        <f t="shared" si="355"/>
        <v>46831</v>
      </c>
      <c r="T3781" s="12">
        <f t="shared" ref="T3781:T3844" si="356">DurMod(S3781,B$2,$F$7:$G$37,$T$3)</f>
        <v>2.3058850852232604</v>
      </c>
      <c r="U3781" s="12">
        <f t="shared" si="354"/>
        <v>2.2642855585992172</v>
      </c>
      <c r="V3781" s="30">
        <f t="shared" ref="V3781:V3844" si="357">+$U$3*($S$5512-S3781)/365+$T$3*(S3781-$S$4)/365</f>
        <v>0.40054027397260272</v>
      </c>
      <c r="W3781" s="46">
        <f t="shared" ref="W3781:W3844" si="358">+-T3781*($U$3-$T$3)</f>
        <v>-2.3058850852232599E-2</v>
      </c>
      <c r="X3781" s="33">
        <f t="shared" ref="X3781:X3844" si="359">+(V3781+W3781)*365/($S$5512-$S$4)</f>
        <v>2.5014654945340435E-2</v>
      </c>
    </row>
    <row r="3782" spans="19:24" x14ac:dyDescent="0.25">
      <c r="S3782" s="44">
        <f t="shared" si="355"/>
        <v>46832</v>
      </c>
      <c r="T3782" s="12">
        <f t="shared" si="356"/>
        <v>2.303208002921719</v>
      </c>
      <c r="U3782" s="12">
        <f t="shared" ref="U3782:U3845" si="360">DurMod($S3782,$B$2,$F$7:$G$37,U$3)</f>
        <v>2.261634381874428</v>
      </c>
      <c r="V3782" s="30">
        <f t="shared" si="357"/>
        <v>0.40051287671232877</v>
      </c>
      <c r="W3782" s="46">
        <f t="shared" si="358"/>
        <v>-2.3032080029217188E-2</v>
      </c>
      <c r="X3782" s="33">
        <f t="shared" si="359"/>
        <v>2.5014613433067486E-2</v>
      </c>
    </row>
    <row r="3783" spans="19:24" x14ac:dyDescent="0.25">
      <c r="S3783" s="44">
        <f t="shared" si="355"/>
        <v>46833</v>
      </c>
      <c r="T3783" s="12">
        <f t="shared" si="356"/>
        <v>2.3005309206201781</v>
      </c>
      <c r="U3783" s="12">
        <f t="shared" si="360"/>
        <v>2.2589832051496392</v>
      </c>
      <c r="V3783" s="30">
        <f t="shared" si="357"/>
        <v>0.40048547945205482</v>
      </c>
      <c r="W3783" s="46">
        <f t="shared" si="358"/>
        <v>-2.3005309206201776E-2</v>
      </c>
      <c r="X3783" s="33">
        <f t="shared" si="359"/>
        <v>2.5014571920794551E-2</v>
      </c>
    </row>
    <row r="3784" spans="19:24" x14ac:dyDescent="0.25">
      <c r="S3784" s="44">
        <f t="shared" si="355"/>
        <v>46834</v>
      </c>
      <c r="T3784" s="12">
        <f t="shared" si="356"/>
        <v>2.2978538383186367</v>
      </c>
      <c r="U3784" s="12">
        <f t="shared" si="360"/>
        <v>2.2563320284248491</v>
      </c>
      <c r="V3784" s="30">
        <f t="shared" si="357"/>
        <v>0.40045808219178081</v>
      </c>
      <c r="W3784" s="46">
        <f t="shared" si="358"/>
        <v>-2.2978538383186364E-2</v>
      </c>
      <c r="X3784" s="33">
        <f t="shared" si="359"/>
        <v>2.5014530408521599E-2</v>
      </c>
    </row>
    <row r="3785" spans="19:24" x14ac:dyDescent="0.25">
      <c r="S3785" s="44">
        <f t="shared" si="355"/>
        <v>46835</v>
      </c>
      <c r="T3785" s="12">
        <f t="shared" si="356"/>
        <v>2.2951767560170957</v>
      </c>
      <c r="U3785" s="12">
        <f t="shared" si="360"/>
        <v>2.2536808517000595</v>
      </c>
      <c r="V3785" s="30">
        <f t="shared" si="357"/>
        <v>0.40043068493150685</v>
      </c>
      <c r="W3785" s="46">
        <f t="shared" si="358"/>
        <v>-2.2951767560170953E-2</v>
      </c>
      <c r="X3785" s="33">
        <f t="shared" si="359"/>
        <v>2.5014488896248657E-2</v>
      </c>
    </row>
    <row r="3786" spans="19:24" x14ac:dyDescent="0.25">
      <c r="S3786" s="44">
        <f t="shared" si="355"/>
        <v>46836</v>
      </c>
      <c r="T3786" s="12">
        <f t="shared" si="356"/>
        <v>2.2924996737155543</v>
      </c>
      <c r="U3786" s="12">
        <f t="shared" si="360"/>
        <v>2.2510296749752707</v>
      </c>
      <c r="V3786" s="30">
        <f t="shared" si="357"/>
        <v>0.4004032876712329</v>
      </c>
      <c r="W3786" s="46">
        <f t="shared" si="358"/>
        <v>-2.2924996737155541E-2</v>
      </c>
      <c r="X3786" s="33">
        <f t="shared" si="359"/>
        <v>2.5014447383975714E-2</v>
      </c>
    </row>
    <row r="3787" spans="19:24" x14ac:dyDescent="0.25">
      <c r="S3787" s="44">
        <f t="shared" si="355"/>
        <v>46837</v>
      </c>
      <c r="T3787" s="12">
        <f t="shared" si="356"/>
        <v>2.2898225914140133</v>
      </c>
      <c r="U3787" s="12">
        <f t="shared" si="360"/>
        <v>2.2483784982504811</v>
      </c>
      <c r="V3787" s="30">
        <f t="shared" si="357"/>
        <v>0.40037589041095889</v>
      </c>
      <c r="W3787" s="46">
        <f t="shared" si="358"/>
        <v>-2.2898225914140129E-2</v>
      </c>
      <c r="X3787" s="33">
        <f t="shared" si="359"/>
        <v>2.5014405871702765E-2</v>
      </c>
    </row>
    <row r="3788" spans="19:24" x14ac:dyDescent="0.25">
      <c r="S3788" s="44">
        <f t="shared" si="355"/>
        <v>46838</v>
      </c>
      <c r="T3788" s="12">
        <f t="shared" si="356"/>
        <v>2.2871455091124719</v>
      </c>
      <c r="U3788" s="12">
        <f t="shared" si="360"/>
        <v>2.2457273215256923</v>
      </c>
      <c r="V3788" s="30">
        <f t="shared" si="357"/>
        <v>0.40034849315068499</v>
      </c>
      <c r="W3788" s="46">
        <f t="shared" si="358"/>
        <v>-2.2871455091124714E-2</v>
      </c>
      <c r="X3788" s="33">
        <f t="shared" si="359"/>
        <v>2.501436435942983E-2</v>
      </c>
    </row>
    <row r="3789" spans="19:24" x14ac:dyDescent="0.25">
      <c r="S3789" s="44">
        <f t="shared" si="355"/>
        <v>46839</v>
      </c>
      <c r="T3789" s="12">
        <f t="shared" si="356"/>
        <v>2.284468426810931</v>
      </c>
      <c r="U3789" s="12">
        <f t="shared" si="360"/>
        <v>2.2430761448009031</v>
      </c>
      <c r="V3789" s="30">
        <f t="shared" si="357"/>
        <v>0.40032109589041098</v>
      </c>
      <c r="W3789" s="46">
        <f t="shared" si="358"/>
        <v>-2.2844684268109306E-2</v>
      </c>
      <c r="X3789" s="33">
        <f t="shared" si="359"/>
        <v>2.5014322847156881E-2</v>
      </c>
    </row>
    <row r="3790" spans="19:24" x14ac:dyDescent="0.25">
      <c r="S3790" s="44">
        <f t="shared" si="355"/>
        <v>46840</v>
      </c>
      <c r="T3790" s="12">
        <f t="shared" si="356"/>
        <v>2.2817913445093896</v>
      </c>
      <c r="U3790" s="12">
        <f t="shared" si="360"/>
        <v>2.2404249680761126</v>
      </c>
      <c r="V3790" s="30">
        <f t="shared" si="357"/>
        <v>0.40029369863013697</v>
      </c>
      <c r="W3790" s="46">
        <f t="shared" si="358"/>
        <v>-2.2817913445093891E-2</v>
      </c>
      <c r="X3790" s="33">
        <f t="shared" si="359"/>
        <v>2.5014281334883939E-2</v>
      </c>
    </row>
    <row r="3791" spans="19:24" x14ac:dyDescent="0.25">
      <c r="S3791" s="44">
        <f t="shared" si="355"/>
        <v>46841</v>
      </c>
      <c r="T3791" s="12">
        <f t="shared" si="356"/>
        <v>2.2791142622078486</v>
      </c>
      <c r="U3791" s="12">
        <f t="shared" si="360"/>
        <v>2.2377737913513243</v>
      </c>
      <c r="V3791" s="30">
        <f t="shared" si="357"/>
        <v>0.40026630136986302</v>
      </c>
      <c r="W3791" s="46">
        <f t="shared" si="358"/>
        <v>-2.2791142622078483E-2</v>
      </c>
      <c r="X3791" s="33">
        <f t="shared" si="359"/>
        <v>2.5014239822610994E-2</v>
      </c>
    </row>
    <row r="3792" spans="19:24" x14ac:dyDescent="0.25">
      <c r="S3792" s="44">
        <f t="shared" si="355"/>
        <v>46842</v>
      </c>
      <c r="T3792" s="12">
        <f t="shared" si="356"/>
        <v>2.2764371799063072</v>
      </c>
      <c r="U3792" s="12">
        <f t="shared" si="360"/>
        <v>2.2351226146265351</v>
      </c>
      <c r="V3792" s="30">
        <f t="shared" si="357"/>
        <v>0.40023890410958907</v>
      </c>
      <c r="W3792" s="46">
        <f t="shared" si="358"/>
        <v>-2.2764371799063068E-2</v>
      </c>
      <c r="X3792" s="33">
        <f t="shared" si="359"/>
        <v>2.5014198310338052E-2</v>
      </c>
    </row>
    <row r="3793" spans="19:24" x14ac:dyDescent="0.25">
      <c r="S3793" s="44">
        <f t="shared" si="355"/>
        <v>46843</v>
      </c>
      <c r="T3793" s="12">
        <f t="shared" si="356"/>
        <v>2.2737600976047658</v>
      </c>
      <c r="U3793" s="12">
        <f t="shared" si="360"/>
        <v>2.2324714379017458</v>
      </c>
      <c r="V3793" s="30">
        <f t="shared" si="357"/>
        <v>0.40021150684931506</v>
      </c>
      <c r="W3793" s="46">
        <f t="shared" si="358"/>
        <v>-2.2737600976047656E-2</v>
      </c>
      <c r="X3793" s="33">
        <f t="shared" si="359"/>
        <v>2.5014156798065103E-2</v>
      </c>
    </row>
    <row r="3794" spans="19:24" x14ac:dyDescent="0.25">
      <c r="S3794" s="44">
        <f t="shared" si="355"/>
        <v>46844</v>
      </c>
      <c r="T3794" s="12">
        <f t="shared" si="356"/>
        <v>2.2710830153032249</v>
      </c>
      <c r="U3794" s="12">
        <f t="shared" si="360"/>
        <v>2.2298202611769562</v>
      </c>
      <c r="V3794" s="30">
        <f t="shared" si="357"/>
        <v>0.4001841095890411</v>
      </c>
      <c r="W3794" s="46">
        <f t="shared" si="358"/>
        <v>-2.2710830153032244E-2</v>
      </c>
      <c r="X3794" s="33">
        <f t="shared" si="359"/>
        <v>2.5014115285792161E-2</v>
      </c>
    </row>
    <row r="3795" spans="19:24" x14ac:dyDescent="0.25">
      <c r="S3795" s="44">
        <f t="shared" si="355"/>
        <v>46845</v>
      </c>
      <c r="T3795" s="12">
        <f t="shared" si="356"/>
        <v>2.268405933001683</v>
      </c>
      <c r="U3795" s="12">
        <f t="shared" si="360"/>
        <v>2.2271690844521674</v>
      </c>
      <c r="V3795" s="30">
        <f t="shared" si="357"/>
        <v>0.40015671232876715</v>
      </c>
      <c r="W3795" s="46">
        <f t="shared" si="358"/>
        <v>-2.2684059330016826E-2</v>
      </c>
      <c r="X3795" s="33">
        <f t="shared" si="359"/>
        <v>2.5014073773519219E-2</v>
      </c>
    </row>
    <row r="3796" spans="19:24" x14ac:dyDescent="0.25">
      <c r="S3796" s="44">
        <f t="shared" si="355"/>
        <v>46846</v>
      </c>
      <c r="T3796" s="12">
        <f t="shared" si="356"/>
        <v>2.2657288507001425</v>
      </c>
      <c r="U3796" s="12">
        <f t="shared" si="360"/>
        <v>2.2245179077273778</v>
      </c>
      <c r="V3796" s="30">
        <f t="shared" si="357"/>
        <v>0.40012931506849314</v>
      </c>
      <c r="W3796" s="46">
        <f t="shared" si="358"/>
        <v>-2.2657288507001421E-2</v>
      </c>
      <c r="X3796" s="33">
        <f t="shared" si="359"/>
        <v>2.5014032261246273E-2</v>
      </c>
    </row>
    <row r="3797" spans="19:24" x14ac:dyDescent="0.25">
      <c r="S3797" s="44">
        <f t="shared" si="355"/>
        <v>46847</v>
      </c>
      <c r="T3797" s="12">
        <f t="shared" si="356"/>
        <v>2.2630517683986011</v>
      </c>
      <c r="U3797" s="12">
        <f t="shared" si="360"/>
        <v>2.2218667310025881</v>
      </c>
      <c r="V3797" s="30">
        <f t="shared" si="357"/>
        <v>0.40010191780821919</v>
      </c>
      <c r="W3797" s="46">
        <f t="shared" si="358"/>
        <v>-2.2630517683986006E-2</v>
      </c>
      <c r="X3797" s="33">
        <f t="shared" si="359"/>
        <v>2.5013990748973331E-2</v>
      </c>
    </row>
    <row r="3798" spans="19:24" x14ac:dyDescent="0.25">
      <c r="S3798" s="44">
        <f t="shared" si="355"/>
        <v>46848</v>
      </c>
      <c r="T3798" s="12">
        <f t="shared" si="356"/>
        <v>2.2603746860970602</v>
      </c>
      <c r="U3798" s="12">
        <f t="shared" si="360"/>
        <v>2.2192155542777994</v>
      </c>
      <c r="V3798" s="30">
        <f t="shared" si="357"/>
        <v>0.40007452054794523</v>
      </c>
      <c r="W3798" s="46">
        <f t="shared" si="358"/>
        <v>-2.2603746860970598E-2</v>
      </c>
      <c r="X3798" s="33">
        <f t="shared" si="359"/>
        <v>2.5013949236700389E-2</v>
      </c>
    </row>
    <row r="3799" spans="19:24" x14ac:dyDescent="0.25">
      <c r="S3799" s="44">
        <f t="shared" si="355"/>
        <v>46849</v>
      </c>
      <c r="T3799" s="12">
        <f t="shared" si="356"/>
        <v>2.2576976037955192</v>
      </c>
      <c r="U3799" s="12">
        <f t="shared" si="360"/>
        <v>2.2165643775530097</v>
      </c>
      <c r="V3799" s="30">
        <f t="shared" si="357"/>
        <v>0.40004712328767122</v>
      </c>
      <c r="W3799" s="46">
        <f t="shared" si="358"/>
        <v>-2.257697603795519E-2</v>
      </c>
      <c r="X3799" s="33">
        <f t="shared" si="359"/>
        <v>2.5013907724427444E-2</v>
      </c>
    </row>
    <row r="3800" spans="19:24" x14ac:dyDescent="0.25">
      <c r="S3800" s="44">
        <f t="shared" si="355"/>
        <v>46850</v>
      </c>
      <c r="T3800" s="12">
        <f t="shared" si="356"/>
        <v>2.2550205214939774</v>
      </c>
      <c r="U3800" s="12">
        <f t="shared" si="360"/>
        <v>2.2139132008282205</v>
      </c>
      <c r="V3800" s="30">
        <f t="shared" si="357"/>
        <v>0.40001972602739727</v>
      </c>
      <c r="W3800" s="46">
        <f t="shared" si="358"/>
        <v>-2.2550205214939771E-2</v>
      </c>
      <c r="X3800" s="33">
        <f t="shared" si="359"/>
        <v>2.5013866212154501E-2</v>
      </c>
    </row>
    <row r="3801" spans="19:24" x14ac:dyDescent="0.25">
      <c r="S3801" s="44">
        <f t="shared" si="355"/>
        <v>46851</v>
      </c>
      <c r="T3801" s="12">
        <f t="shared" si="356"/>
        <v>2.2523434391924364</v>
      </c>
      <c r="U3801" s="12">
        <f t="shared" si="360"/>
        <v>2.2112620241034309</v>
      </c>
      <c r="V3801" s="30">
        <f t="shared" si="357"/>
        <v>0.39999232876712332</v>
      </c>
      <c r="W3801" s="46">
        <f t="shared" si="358"/>
        <v>-2.2523434391924359E-2</v>
      </c>
      <c r="X3801" s="33">
        <f t="shared" si="359"/>
        <v>2.5013824699881559E-2</v>
      </c>
    </row>
    <row r="3802" spans="19:24" x14ac:dyDescent="0.25">
      <c r="S3802" s="44">
        <f t="shared" si="355"/>
        <v>46852</v>
      </c>
      <c r="T3802" s="12">
        <f t="shared" si="356"/>
        <v>2.2496663568908946</v>
      </c>
      <c r="U3802" s="12">
        <f t="shared" si="360"/>
        <v>2.2086108473786417</v>
      </c>
      <c r="V3802" s="30">
        <f t="shared" si="357"/>
        <v>0.39996493150684931</v>
      </c>
      <c r="W3802" s="46">
        <f t="shared" si="358"/>
        <v>-2.2496663568908941E-2</v>
      </c>
      <c r="X3802" s="33">
        <f t="shared" si="359"/>
        <v>2.501378318760861E-2</v>
      </c>
    </row>
    <row r="3803" spans="19:24" x14ac:dyDescent="0.25">
      <c r="S3803" s="44">
        <f t="shared" si="355"/>
        <v>46853</v>
      </c>
      <c r="T3803" s="12">
        <f t="shared" si="356"/>
        <v>2.2469892745893545</v>
      </c>
      <c r="U3803" s="12">
        <f t="shared" si="360"/>
        <v>2.2059596706538525</v>
      </c>
      <c r="V3803" s="30">
        <f t="shared" si="357"/>
        <v>0.3999375342465753</v>
      </c>
      <c r="W3803" s="46">
        <f t="shared" si="358"/>
        <v>-2.2469892745893543E-2</v>
      </c>
      <c r="X3803" s="33">
        <f t="shared" si="359"/>
        <v>2.5013741675335665E-2</v>
      </c>
    </row>
    <row r="3804" spans="19:24" x14ac:dyDescent="0.25">
      <c r="S3804" s="44">
        <f t="shared" si="355"/>
        <v>46854</v>
      </c>
      <c r="T3804" s="12">
        <f t="shared" si="356"/>
        <v>2.2443121922878131</v>
      </c>
      <c r="U3804" s="12">
        <f t="shared" si="360"/>
        <v>2.2033084939290637</v>
      </c>
      <c r="V3804" s="30">
        <f t="shared" si="357"/>
        <v>0.3999101369863014</v>
      </c>
      <c r="W3804" s="46">
        <f t="shared" si="358"/>
        <v>-2.2443121922878128E-2</v>
      </c>
      <c r="X3804" s="33">
        <f t="shared" si="359"/>
        <v>2.5013700163062726E-2</v>
      </c>
    </row>
    <row r="3805" spans="19:24" x14ac:dyDescent="0.25">
      <c r="S3805" s="44">
        <f t="shared" si="355"/>
        <v>46855</v>
      </c>
      <c r="T3805" s="12">
        <f t="shared" si="356"/>
        <v>2.2416351099862717</v>
      </c>
      <c r="U3805" s="12">
        <f t="shared" si="360"/>
        <v>2.2006573172042736</v>
      </c>
      <c r="V3805" s="30">
        <f t="shared" si="357"/>
        <v>0.39988273972602739</v>
      </c>
      <c r="W3805" s="46">
        <f t="shared" si="358"/>
        <v>-2.2416351099862713E-2</v>
      </c>
      <c r="X3805" s="33">
        <f t="shared" si="359"/>
        <v>2.5013658650789781E-2</v>
      </c>
    </row>
    <row r="3806" spans="19:24" x14ac:dyDescent="0.25">
      <c r="S3806" s="44">
        <f t="shared" si="355"/>
        <v>46856</v>
      </c>
      <c r="T3806" s="12">
        <f t="shared" si="356"/>
        <v>2.2389580276847303</v>
      </c>
      <c r="U3806" s="12">
        <f t="shared" si="360"/>
        <v>2.1980061404794848</v>
      </c>
      <c r="V3806" s="30">
        <f t="shared" si="357"/>
        <v>0.39985534246575344</v>
      </c>
      <c r="W3806" s="46">
        <f t="shared" si="358"/>
        <v>-2.2389580276847298E-2</v>
      </c>
      <c r="X3806" s="33">
        <f t="shared" si="359"/>
        <v>2.5013617138516839E-2</v>
      </c>
    </row>
    <row r="3807" spans="19:24" x14ac:dyDescent="0.25">
      <c r="S3807" s="44">
        <f t="shared" si="355"/>
        <v>46857</v>
      </c>
      <c r="T3807" s="12">
        <f t="shared" si="356"/>
        <v>2.2362809453831889</v>
      </c>
      <c r="U3807" s="12">
        <f t="shared" si="360"/>
        <v>2.1953549637546956</v>
      </c>
      <c r="V3807" s="30">
        <f t="shared" si="357"/>
        <v>0.39982794520547943</v>
      </c>
      <c r="W3807" s="46">
        <f t="shared" si="358"/>
        <v>-2.2362809453831886E-2</v>
      </c>
      <c r="X3807" s="33">
        <f t="shared" si="359"/>
        <v>2.501357562624389E-2</v>
      </c>
    </row>
    <row r="3808" spans="19:24" x14ac:dyDescent="0.25">
      <c r="S3808" s="44">
        <f t="shared" si="355"/>
        <v>46858</v>
      </c>
      <c r="T3808" s="12">
        <f t="shared" si="356"/>
        <v>2.2336038630816479</v>
      </c>
      <c r="U3808" s="12">
        <f t="shared" si="360"/>
        <v>2.192703787029906</v>
      </c>
      <c r="V3808" s="30">
        <f t="shared" si="357"/>
        <v>0.39980054794520548</v>
      </c>
      <c r="W3808" s="46">
        <f t="shared" si="358"/>
        <v>-2.2336038630816474E-2</v>
      </c>
      <c r="X3808" s="33">
        <f t="shared" si="359"/>
        <v>2.5013534113970948E-2</v>
      </c>
    </row>
    <row r="3809" spans="19:24" x14ac:dyDescent="0.25">
      <c r="S3809" s="44">
        <f t="shared" si="355"/>
        <v>46859</v>
      </c>
      <c r="T3809" s="12">
        <f t="shared" si="356"/>
        <v>2.230926780780107</v>
      </c>
      <c r="U3809" s="12">
        <f t="shared" si="360"/>
        <v>2.1900526103051163</v>
      </c>
      <c r="V3809" s="30">
        <f t="shared" si="357"/>
        <v>0.39977315068493147</v>
      </c>
      <c r="W3809" s="46">
        <f t="shared" si="358"/>
        <v>-2.2309267807801066E-2</v>
      </c>
      <c r="X3809" s="33">
        <f t="shared" si="359"/>
        <v>2.5013492601698002E-2</v>
      </c>
    </row>
    <row r="3810" spans="19:24" x14ac:dyDescent="0.25">
      <c r="S3810" s="44">
        <f t="shared" si="355"/>
        <v>46860</v>
      </c>
      <c r="T3810" s="12">
        <f t="shared" si="356"/>
        <v>2.2282496984785651</v>
      </c>
      <c r="U3810" s="12">
        <f t="shared" si="360"/>
        <v>2.1874014335803276</v>
      </c>
      <c r="V3810" s="30">
        <f t="shared" si="357"/>
        <v>0.39974575342465757</v>
      </c>
      <c r="W3810" s="46">
        <f t="shared" si="358"/>
        <v>-2.2282496984785648E-2</v>
      </c>
      <c r="X3810" s="33">
        <f t="shared" si="359"/>
        <v>2.5013451089425064E-2</v>
      </c>
    </row>
    <row r="3811" spans="19:24" x14ac:dyDescent="0.25">
      <c r="S3811" s="44">
        <f t="shared" si="355"/>
        <v>46861</v>
      </c>
      <c r="T3811" s="12">
        <f t="shared" si="356"/>
        <v>2.2255726161770242</v>
      </c>
      <c r="U3811" s="12">
        <f t="shared" si="360"/>
        <v>2.1847502568555379</v>
      </c>
      <c r="V3811" s="30">
        <f t="shared" si="357"/>
        <v>0.39971835616438356</v>
      </c>
      <c r="W3811" s="46">
        <f t="shared" si="358"/>
        <v>-2.225572616177024E-2</v>
      </c>
      <c r="X3811" s="33">
        <f t="shared" si="359"/>
        <v>2.5013409577152118E-2</v>
      </c>
    </row>
    <row r="3812" spans="19:24" x14ac:dyDescent="0.25">
      <c r="S3812" s="44">
        <f t="shared" si="355"/>
        <v>46862</v>
      </c>
      <c r="T3812" s="12">
        <f t="shared" si="356"/>
        <v>2.2228955338754832</v>
      </c>
      <c r="U3812" s="12">
        <f t="shared" si="360"/>
        <v>2.1820990801307492</v>
      </c>
      <c r="V3812" s="30">
        <f t="shared" si="357"/>
        <v>0.39969095890410961</v>
      </c>
      <c r="W3812" s="46">
        <f t="shared" si="358"/>
        <v>-2.2228955338754828E-2</v>
      </c>
      <c r="X3812" s="33">
        <f t="shared" si="359"/>
        <v>2.5013368064879176E-2</v>
      </c>
    </row>
    <row r="3813" spans="19:24" x14ac:dyDescent="0.25">
      <c r="S3813" s="44">
        <f t="shared" si="355"/>
        <v>46863</v>
      </c>
      <c r="T3813" s="12">
        <f t="shared" si="356"/>
        <v>2.2202184515739423</v>
      </c>
      <c r="U3813" s="12">
        <f t="shared" si="360"/>
        <v>2.1794479034059595</v>
      </c>
      <c r="V3813" s="30">
        <f t="shared" si="357"/>
        <v>0.39966356164383565</v>
      </c>
      <c r="W3813" s="46">
        <f t="shared" si="358"/>
        <v>-2.220218451573942E-2</v>
      </c>
      <c r="X3813" s="33">
        <f t="shared" si="359"/>
        <v>2.5013326552606234E-2</v>
      </c>
    </row>
    <row r="3814" spans="19:24" x14ac:dyDescent="0.25">
      <c r="S3814" s="44">
        <f t="shared" si="355"/>
        <v>46864</v>
      </c>
      <c r="T3814" s="12">
        <f t="shared" si="356"/>
        <v>2.2175413692724009</v>
      </c>
      <c r="U3814" s="12">
        <f t="shared" si="360"/>
        <v>2.1767967266811703</v>
      </c>
      <c r="V3814" s="30">
        <f t="shared" si="357"/>
        <v>0.39963616438356164</v>
      </c>
      <c r="W3814" s="46">
        <f t="shared" si="358"/>
        <v>-2.2175413692724005E-2</v>
      </c>
      <c r="X3814" s="33">
        <f t="shared" si="359"/>
        <v>2.5013285040333285E-2</v>
      </c>
    </row>
    <row r="3815" spans="19:24" x14ac:dyDescent="0.25">
      <c r="S3815" s="44">
        <f t="shared" si="355"/>
        <v>46865</v>
      </c>
      <c r="T3815" s="12">
        <f t="shared" si="356"/>
        <v>2.2148642869708595</v>
      </c>
      <c r="U3815" s="12">
        <f t="shared" si="360"/>
        <v>2.1741455499563807</v>
      </c>
      <c r="V3815" s="30">
        <f t="shared" si="357"/>
        <v>0.39960876712328769</v>
      </c>
      <c r="W3815" s="46">
        <f t="shared" si="358"/>
        <v>-2.2148642869708593E-2</v>
      </c>
      <c r="X3815" s="33">
        <f t="shared" si="359"/>
        <v>2.5013243528060343E-2</v>
      </c>
    </row>
    <row r="3816" spans="19:24" x14ac:dyDescent="0.25">
      <c r="S3816" s="44">
        <f t="shared" si="355"/>
        <v>46866</v>
      </c>
      <c r="T3816" s="12">
        <f t="shared" si="356"/>
        <v>2.2121872046693185</v>
      </c>
      <c r="U3816" s="12">
        <f t="shared" si="360"/>
        <v>2.1714943732315919</v>
      </c>
      <c r="V3816" s="30">
        <f t="shared" si="357"/>
        <v>0.39958136986301374</v>
      </c>
      <c r="W3816" s="46">
        <f t="shared" si="358"/>
        <v>-2.2121872046693181E-2</v>
      </c>
      <c r="X3816" s="33">
        <f t="shared" si="359"/>
        <v>2.5013202015787401E-2</v>
      </c>
    </row>
    <row r="3817" spans="19:24" x14ac:dyDescent="0.25">
      <c r="S3817" s="44">
        <f t="shared" si="355"/>
        <v>46867</v>
      </c>
      <c r="T3817" s="12">
        <f t="shared" si="356"/>
        <v>2.2095101223677771</v>
      </c>
      <c r="U3817" s="12">
        <f t="shared" si="360"/>
        <v>2.1688431965068022</v>
      </c>
      <c r="V3817" s="30">
        <f t="shared" si="357"/>
        <v>0.39955397260273973</v>
      </c>
      <c r="W3817" s="46">
        <f t="shared" si="358"/>
        <v>-2.2095101223677766E-2</v>
      </c>
      <c r="X3817" s="33">
        <f t="shared" si="359"/>
        <v>2.5013160503514455E-2</v>
      </c>
    </row>
    <row r="3818" spans="19:24" x14ac:dyDescent="0.25">
      <c r="S3818" s="44">
        <f t="shared" si="355"/>
        <v>46868</v>
      </c>
      <c r="T3818" s="12">
        <f t="shared" si="356"/>
        <v>2.2068330400662357</v>
      </c>
      <c r="U3818" s="12">
        <f t="shared" si="360"/>
        <v>2.166192019782013</v>
      </c>
      <c r="V3818" s="30">
        <f t="shared" si="357"/>
        <v>0.39952657534246577</v>
      </c>
      <c r="W3818" s="46">
        <f t="shared" si="358"/>
        <v>-2.2068330400662355E-2</v>
      </c>
      <c r="X3818" s="33">
        <f t="shared" si="359"/>
        <v>2.5013118991241513E-2</v>
      </c>
    </row>
    <row r="3819" spans="19:24" x14ac:dyDescent="0.25">
      <c r="S3819" s="44">
        <f t="shared" si="355"/>
        <v>46869</v>
      </c>
      <c r="T3819" s="12">
        <f t="shared" si="356"/>
        <v>2.2041559577646948</v>
      </c>
      <c r="U3819" s="12">
        <f t="shared" si="360"/>
        <v>2.1635408430572238</v>
      </c>
      <c r="V3819" s="30">
        <f t="shared" si="357"/>
        <v>0.39949917808219176</v>
      </c>
      <c r="W3819" s="46">
        <f t="shared" si="358"/>
        <v>-2.2041559577646943E-2</v>
      </c>
      <c r="X3819" s="33">
        <f t="shared" si="359"/>
        <v>2.5013077478968568E-2</v>
      </c>
    </row>
    <row r="3820" spans="19:24" x14ac:dyDescent="0.25">
      <c r="S3820" s="44">
        <f t="shared" si="355"/>
        <v>46870</v>
      </c>
      <c r="T3820" s="12">
        <f t="shared" si="356"/>
        <v>2.2014788754631542</v>
      </c>
      <c r="U3820" s="12">
        <f t="shared" si="360"/>
        <v>2.1608896663324351</v>
      </c>
      <c r="V3820" s="30">
        <f t="shared" si="357"/>
        <v>0.39947178082191781</v>
      </c>
      <c r="W3820" s="46">
        <f t="shared" si="358"/>
        <v>-2.2014788754631538E-2</v>
      </c>
      <c r="X3820" s="33">
        <f t="shared" si="359"/>
        <v>2.5013035966695626E-2</v>
      </c>
    </row>
    <row r="3821" spans="19:24" x14ac:dyDescent="0.25">
      <c r="S3821" s="44">
        <f t="shared" si="355"/>
        <v>46871</v>
      </c>
      <c r="T3821" s="12">
        <f t="shared" si="356"/>
        <v>2.198801793161612</v>
      </c>
      <c r="U3821" s="12">
        <f t="shared" si="360"/>
        <v>2.158238489607645</v>
      </c>
      <c r="V3821" s="30">
        <f t="shared" si="357"/>
        <v>0.3994443835616438</v>
      </c>
      <c r="W3821" s="46">
        <f t="shared" si="358"/>
        <v>-2.1988017931616116E-2</v>
      </c>
      <c r="X3821" s="33">
        <f t="shared" si="359"/>
        <v>2.5012994454422677E-2</v>
      </c>
    </row>
    <row r="3822" spans="19:24" x14ac:dyDescent="0.25">
      <c r="S3822" s="44">
        <f t="shared" si="355"/>
        <v>46872</v>
      </c>
      <c r="T3822" s="12">
        <f t="shared" si="356"/>
        <v>2.196124710860071</v>
      </c>
      <c r="U3822" s="12">
        <f t="shared" si="360"/>
        <v>2.1555873128828558</v>
      </c>
      <c r="V3822" s="30">
        <f t="shared" si="357"/>
        <v>0.3994169863013699</v>
      </c>
      <c r="W3822" s="46">
        <f t="shared" si="358"/>
        <v>-2.1961247108600708E-2</v>
      </c>
      <c r="X3822" s="33">
        <f t="shared" si="359"/>
        <v>2.5012952942149742E-2</v>
      </c>
    </row>
    <row r="3823" spans="19:24" x14ac:dyDescent="0.25">
      <c r="S3823" s="44">
        <f t="shared" si="355"/>
        <v>46873</v>
      </c>
      <c r="T3823" s="12">
        <f t="shared" si="356"/>
        <v>2.19344762855853</v>
      </c>
      <c r="U3823" s="12">
        <f t="shared" si="360"/>
        <v>2.1529361361580666</v>
      </c>
      <c r="V3823" s="30">
        <f t="shared" si="357"/>
        <v>0.39938958904109589</v>
      </c>
      <c r="W3823" s="46">
        <f t="shared" si="358"/>
        <v>-2.1934476285585296E-2</v>
      </c>
      <c r="X3823" s="33">
        <f t="shared" si="359"/>
        <v>2.5012911429876789E-2</v>
      </c>
    </row>
    <row r="3824" spans="19:24" x14ac:dyDescent="0.25">
      <c r="S3824" s="44">
        <f t="shared" si="355"/>
        <v>46874</v>
      </c>
      <c r="T3824" s="12">
        <f t="shared" si="356"/>
        <v>2.1907705462569891</v>
      </c>
      <c r="U3824" s="12">
        <f t="shared" si="360"/>
        <v>2.1502849594332769</v>
      </c>
      <c r="V3824" s="30">
        <f t="shared" si="357"/>
        <v>0.39936219178082194</v>
      </c>
      <c r="W3824" s="46">
        <f t="shared" si="358"/>
        <v>-2.1907705462569888E-2</v>
      </c>
      <c r="X3824" s="33">
        <f t="shared" si="359"/>
        <v>2.5012869917603851E-2</v>
      </c>
    </row>
    <row r="3825" spans="19:24" x14ac:dyDescent="0.25">
      <c r="S3825" s="44">
        <f t="shared" si="355"/>
        <v>46875</v>
      </c>
      <c r="T3825" s="12">
        <f t="shared" si="356"/>
        <v>2.1880934639554477</v>
      </c>
      <c r="U3825" s="12">
        <f t="shared" si="360"/>
        <v>2.1476337827084877</v>
      </c>
      <c r="V3825" s="30">
        <f t="shared" si="357"/>
        <v>0.39933479452054793</v>
      </c>
      <c r="W3825" s="46">
        <f t="shared" si="358"/>
        <v>-2.1880934639554473E-2</v>
      </c>
      <c r="X3825" s="33">
        <f t="shared" si="359"/>
        <v>2.5012828405330905E-2</v>
      </c>
    </row>
    <row r="3826" spans="19:24" x14ac:dyDescent="0.25">
      <c r="S3826" s="44">
        <f t="shared" si="355"/>
        <v>46876</v>
      </c>
      <c r="T3826" s="12">
        <f t="shared" si="356"/>
        <v>2.1854163816539058</v>
      </c>
      <c r="U3826" s="12">
        <f t="shared" si="360"/>
        <v>2.1449826059836985</v>
      </c>
      <c r="V3826" s="30">
        <f t="shared" si="357"/>
        <v>0.39930739726027398</v>
      </c>
      <c r="W3826" s="46">
        <f t="shared" si="358"/>
        <v>-2.1854163816539054E-2</v>
      </c>
      <c r="X3826" s="33">
        <f t="shared" si="359"/>
        <v>2.5012786893057963E-2</v>
      </c>
    </row>
    <row r="3827" spans="19:24" x14ac:dyDescent="0.25">
      <c r="S3827" s="44">
        <f t="shared" ref="S3827:S3890" si="361">+S3826+1</f>
        <v>46877</v>
      </c>
      <c r="T3827" s="12">
        <f t="shared" si="356"/>
        <v>2.1827392993523658</v>
      </c>
      <c r="U3827" s="12">
        <f t="shared" si="360"/>
        <v>2.1423314292589093</v>
      </c>
      <c r="V3827" s="30">
        <f t="shared" si="357"/>
        <v>0.39927999999999997</v>
      </c>
      <c r="W3827" s="46">
        <f t="shared" si="358"/>
        <v>-2.1827392993523653E-2</v>
      </c>
      <c r="X3827" s="33">
        <f t="shared" si="359"/>
        <v>2.5012745380785014E-2</v>
      </c>
    </row>
    <row r="3828" spans="19:24" x14ac:dyDescent="0.25">
      <c r="S3828" s="44">
        <f t="shared" si="361"/>
        <v>46878</v>
      </c>
      <c r="T3828" s="12">
        <f t="shared" si="356"/>
        <v>2.1800622170508244</v>
      </c>
      <c r="U3828" s="12">
        <f t="shared" si="360"/>
        <v>2.1396802525341201</v>
      </c>
      <c r="V3828" s="30">
        <f t="shared" si="357"/>
        <v>0.39925260273972601</v>
      </c>
      <c r="W3828" s="46">
        <f t="shared" si="358"/>
        <v>-2.1800622170508242E-2</v>
      </c>
      <c r="X3828" s="33">
        <f t="shared" si="359"/>
        <v>2.5012703868512069E-2</v>
      </c>
    </row>
    <row r="3829" spans="19:24" x14ac:dyDescent="0.25">
      <c r="S3829" s="44">
        <f t="shared" si="361"/>
        <v>46879</v>
      </c>
      <c r="T3829" s="12">
        <f t="shared" si="356"/>
        <v>2.1773851347492825</v>
      </c>
      <c r="U3829" s="12">
        <f t="shared" si="360"/>
        <v>2.1370290758093313</v>
      </c>
      <c r="V3829" s="30">
        <f t="shared" si="357"/>
        <v>0.39922520547945206</v>
      </c>
      <c r="W3829" s="46">
        <f t="shared" si="358"/>
        <v>-2.1773851347492823E-2</v>
      </c>
      <c r="X3829" s="33">
        <f t="shared" si="359"/>
        <v>2.501266235623913E-2</v>
      </c>
    </row>
    <row r="3830" spans="19:24" x14ac:dyDescent="0.25">
      <c r="S3830" s="44">
        <f t="shared" si="361"/>
        <v>46880</v>
      </c>
      <c r="T3830" s="12">
        <f t="shared" si="356"/>
        <v>2.1747080524477416</v>
      </c>
      <c r="U3830" s="12">
        <f t="shared" si="360"/>
        <v>2.1343778990845412</v>
      </c>
      <c r="V3830" s="30">
        <f t="shared" si="357"/>
        <v>0.39919780821917805</v>
      </c>
      <c r="W3830" s="46">
        <f t="shared" si="358"/>
        <v>-2.1747080524477411E-2</v>
      </c>
      <c r="X3830" s="33">
        <f t="shared" si="359"/>
        <v>2.5012620843966177E-2</v>
      </c>
    </row>
    <row r="3831" spans="19:24" x14ac:dyDescent="0.25">
      <c r="S3831" s="44">
        <f t="shared" si="361"/>
        <v>46881</v>
      </c>
      <c r="T3831" s="12">
        <f t="shared" si="356"/>
        <v>2.1720309701462006</v>
      </c>
      <c r="U3831" s="12">
        <f t="shared" si="360"/>
        <v>2.1317267223597525</v>
      </c>
      <c r="V3831" s="30">
        <f t="shared" si="357"/>
        <v>0.3991704109589041</v>
      </c>
      <c r="W3831" s="46">
        <f t="shared" si="358"/>
        <v>-2.1720309701462003E-2</v>
      </c>
      <c r="X3831" s="33">
        <f t="shared" si="359"/>
        <v>2.5012579331693242E-2</v>
      </c>
    </row>
    <row r="3832" spans="19:24" x14ac:dyDescent="0.25">
      <c r="S3832" s="44">
        <f t="shared" si="361"/>
        <v>46882</v>
      </c>
      <c r="T3832" s="12">
        <f t="shared" si="356"/>
        <v>2.1693538878446592</v>
      </c>
      <c r="U3832" s="12">
        <f t="shared" si="360"/>
        <v>2.1290755456349628</v>
      </c>
      <c r="V3832" s="30">
        <f t="shared" si="357"/>
        <v>0.39914301369863014</v>
      </c>
      <c r="W3832" s="46">
        <f t="shared" si="358"/>
        <v>-2.1693538878446588E-2</v>
      </c>
      <c r="X3832" s="33">
        <f t="shared" si="359"/>
        <v>2.5012537819420293E-2</v>
      </c>
    </row>
    <row r="3833" spans="19:24" x14ac:dyDescent="0.25">
      <c r="S3833" s="44">
        <f t="shared" si="361"/>
        <v>46883</v>
      </c>
      <c r="T3833" s="12">
        <f t="shared" si="356"/>
        <v>2.1666768055431178</v>
      </c>
      <c r="U3833" s="12">
        <f t="shared" si="360"/>
        <v>2.1264243689101741</v>
      </c>
      <c r="V3833" s="30">
        <f t="shared" si="357"/>
        <v>0.39911561643835614</v>
      </c>
      <c r="W3833" s="46">
        <f t="shared" si="358"/>
        <v>-2.1666768055431176E-2</v>
      </c>
      <c r="X3833" s="33">
        <f t="shared" si="359"/>
        <v>2.5012496307147351E-2</v>
      </c>
    </row>
    <row r="3834" spans="19:24" x14ac:dyDescent="0.25">
      <c r="S3834" s="44">
        <f t="shared" si="361"/>
        <v>46884</v>
      </c>
      <c r="T3834" s="12">
        <f t="shared" si="356"/>
        <v>2.1639997232415764</v>
      </c>
      <c r="U3834" s="12">
        <f t="shared" si="360"/>
        <v>2.1237731921853844</v>
      </c>
      <c r="V3834" s="30">
        <f t="shared" si="357"/>
        <v>0.39908821917808224</v>
      </c>
      <c r="W3834" s="46">
        <f t="shared" si="358"/>
        <v>-2.1639997232415761E-2</v>
      </c>
      <c r="X3834" s="33">
        <f t="shared" si="359"/>
        <v>2.5012454794874409E-2</v>
      </c>
    </row>
    <row r="3835" spans="19:24" x14ac:dyDescent="0.25">
      <c r="S3835" s="44">
        <f t="shared" si="361"/>
        <v>46885</v>
      </c>
      <c r="T3835" s="12">
        <f t="shared" si="356"/>
        <v>2.1613226409400363</v>
      </c>
      <c r="U3835" s="12">
        <f t="shared" si="360"/>
        <v>2.1211220154605952</v>
      </c>
      <c r="V3835" s="30">
        <f t="shared" si="357"/>
        <v>0.39906082191780823</v>
      </c>
      <c r="W3835" s="46">
        <f t="shared" si="358"/>
        <v>-2.161322640940036E-2</v>
      </c>
      <c r="X3835" s="33">
        <f t="shared" si="359"/>
        <v>2.5012413282601467E-2</v>
      </c>
    </row>
    <row r="3836" spans="19:24" x14ac:dyDescent="0.25">
      <c r="S3836" s="44">
        <f t="shared" si="361"/>
        <v>46886</v>
      </c>
      <c r="T3836" s="12">
        <f t="shared" si="356"/>
        <v>2.1586455586384945</v>
      </c>
      <c r="U3836" s="12">
        <f t="shared" si="360"/>
        <v>2.1184708387358056</v>
      </c>
      <c r="V3836" s="30">
        <f t="shared" si="357"/>
        <v>0.39903342465753427</v>
      </c>
      <c r="W3836" s="46">
        <f t="shared" si="358"/>
        <v>-2.1586455586384942E-2</v>
      </c>
      <c r="X3836" s="33">
        <f t="shared" si="359"/>
        <v>2.5012371770328522E-2</v>
      </c>
    </row>
    <row r="3837" spans="19:24" x14ac:dyDescent="0.25">
      <c r="S3837" s="44">
        <f t="shared" si="361"/>
        <v>46887</v>
      </c>
      <c r="T3837" s="12">
        <f t="shared" si="356"/>
        <v>2.1559684763369531</v>
      </c>
      <c r="U3837" s="12">
        <f t="shared" si="360"/>
        <v>2.1158196620110159</v>
      </c>
      <c r="V3837" s="30">
        <f t="shared" si="357"/>
        <v>0.39900602739726027</v>
      </c>
      <c r="W3837" s="46">
        <f t="shared" si="358"/>
        <v>-2.1559684763369526E-2</v>
      </c>
      <c r="X3837" s="33">
        <f t="shared" si="359"/>
        <v>2.501233025805558E-2</v>
      </c>
    </row>
    <row r="3838" spans="19:24" x14ac:dyDescent="0.25">
      <c r="S3838" s="44">
        <f t="shared" si="361"/>
        <v>46888</v>
      </c>
      <c r="T3838" s="12">
        <f t="shared" si="356"/>
        <v>2.1532913940354126</v>
      </c>
      <c r="U3838" s="12">
        <f t="shared" si="360"/>
        <v>2.1131684852862276</v>
      </c>
      <c r="V3838" s="30">
        <f t="shared" si="357"/>
        <v>0.39897863013698631</v>
      </c>
      <c r="W3838" s="46">
        <f t="shared" si="358"/>
        <v>-2.1532913940354122E-2</v>
      </c>
      <c r="X3838" s="33">
        <f t="shared" si="359"/>
        <v>2.5012288745782634E-2</v>
      </c>
    </row>
    <row r="3839" spans="19:24" x14ac:dyDescent="0.25">
      <c r="S3839" s="44">
        <f t="shared" si="361"/>
        <v>46889</v>
      </c>
      <c r="T3839" s="12">
        <f t="shared" si="356"/>
        <v>2.1506143117338712</v>
      </c>
      <c r="U3839" s="12">
        <f t="shared" si="360"/>
        <v>2.1105173085614379</v>
      </c>
      <c r="V3839" s="30">
        <f t="shared" si="357"/>
        <v>0.3989512328767123</v>
      </c>
      <c r="W3839" s="46">
        <f t="shared" si="358"/>
        <v>-2.150614311733871E-2</v>
      </c>
      <c r="X3839" s="33">
        <f t="shared" si="359"/>
        <v>2.5012247233509685E-2</v>
      </c>
    </row>
    <row r="3840" spans="19:24" x14ac:dyDescent="0.25">
      <c r="S3840" s="44">
        <f t="shared" si="361"/>
        <v>46890</v>
      </c>
      <c r="T3840" s="12">
        <f t="shared" si="356"/>
        <v>2.1479372294323298</v>
      </c>
      <c r="U3840" s="12">
        <f t="shared" si="360"/>
        <v>2.1078661318366483</v>
      </c>
      <c r="V3840" s="30">
        <f t="shared" si="357"/>
        <v>0.39892383561643835</v>
      </c>
      <c r="W3840" s="46">
        <f t="shared" si="358"/>
        <v>-2.1479372294323295E-2</v>
      </c>
      <c r="X3840" s="33">
        <f t="shared" si="359"/>
        <v>2.501220572123675E-2</v>
      </c>
    </row>
    <row r="3841" spans="19:24" x14ac:dyDescent="0.25">
      <c r="S3841" s="44">
        <f t="shared" si="361"/>
        <v>46891</v>
      </c>
      <c r="T3841" s="12">
        <f t="shared" si="356"/>
        <v>2.1452601471307884</v>
      </c>
      <c r="U3841" s="12">
        <f t="shared" si="360"/>
        <v>2.1052149551118591</v>
      </c>
      <c r="V3841" s="30">
        <f t="shared" si="357"/>
        <v>0.3988964383561644</v>
      </c>
      <c r="W3841" s="46">
        <f t="shared" si="358"/>
        <v>-2.145260147130788E-2</v>
      </c>
      <c r="X3841" s="33">
        <f t="shared" si="359"/>
        <v>2.5012164208963801E-2</v>
      </c>
    </row>
    <row r="3842" spans="19:24" x14ac:dyDescent="0.25">
      <c r="S3842" s="44">
        <f t="shared" si="361"/>
        <v>46892</v>
      </c>
      <c r="T3842" s="12">
        <f t="shared" si="356"/>
        <v>2.1425830648292474</v>
      </c>
      <c r="U3842" s="12">
        <f t="shared" si="360"/>
        <v>2.1025637783870703</v>
      </c>
      <c r="V3842" s="30">
        <f t="shared" si="357"/>
        <v>0.39886904109589039</v>
      </c>
      <c r="W3842" s="46">
        <f t="shared" si="358"/>
        <v>-2.1425830648292472E-2</v>
      </c>
      <c r="X3842" s="33">
        <f t="shared" si="359"/>
        <v>2.5012122696690859E-2</v>
      </c>
    </row>
    <row r="3843" spans="19:24" x14ac:dyDescent="0.25">
      <c r="S3843" s="44">
        <f t="shared" si="361"/>
        <v>46893</v>
      </c>
      <c r="T3843" s="12">
        <f t="shared" si="356"/>
        <v>2.1399059825277065</v>
      </c>
      <c r="U3843" s="12">
        <f t="shared" si="360"/>
        <v>2.0999126016622807</v>
      </c>
      <c r="V3843" s="30">
        <f t="shared" si="357"/>
        <v>0.39884164383561643</v>
      </c>
      <c r="W3843" s="46">
        <f t="shared" si="358"/>
        <v>-2.139905982527706E-2</v>
      </c>
      <c r="X3843" s="33">
        <f t="shared" si="359"/>
        <v>2.5012081184417913E-2</v>
      </c>
    </row>
    <row r="3844" spans="19:24" x14ac:dyDescent="0.25">
      <c r="S3844" s="44">
        <f t="shared" si="361"/>
        <v>46894</v>
      </c>
      <c r="T3844" s="12">
        <f t="shared" si="356"/>
        <v>2.1372289002261646</v>
      </c>
      <c r="U3844" s="12">
        <f t="shared" si="360"/>
        <v>2.0972614249374919</v>
      </c>
      <c r="V3844" s="30">
        <f t="shared" si="357"/>
        <v>0.39881424657534248</v>
      </c>
      <c r="W3844" s="46">
        <f t="shared" si="358"/>
        <v>-2.1372289002261641E-2</v>
      </c>
      <c r="X3844" s="33">
        <f t="shared" si="359"/>
        <v>2.5012039672144975E-2</v>
      </c>
    </row>
    <row r="3845" spans="19:24" x14ac:dyDescent="0.25">
      <c r="S3845" s="44">
        <f t="shared" si="361"/>
        <v>46895</v>
      </c>
      <c r="T3845" s="12">
        <f t="shared" ref="T3845:T3908" si="362">DurMod(S3845,B$2,$F$7:$G$37,$T$3)</f>
        <v>2.1345518179246232</v>
      </c>
      <c r="U3845" s="12">
        <f t="shared" si="360"/>
        <v>2.0946102482127023</v>
      </c>
      <c r="V3845" s="30">
        <f t="shared" ref="V3845:V3908" si="363">+$U$3*($S$5512-S3845)/365+$T$3*(S3845-$S$4)/365</f>
        <v>0.39878684931506847</v>
      </c>
      <c r="W3845" s="46">
        <f t="shared" ref="W3845:W3908" si="364">+-T3845*($U$3-$T$3)</f>
        <v>-2.134551817924623E-2</v>
      </c>
      <c r="X3845" s="33">
        <f t="shared" ref="X3845:X3908" si="365">+(V3845+W3845)*365/($S$5512-$S$4)</f>
        <v>2.5011998159872022E-2</v>
      </c>
    </row>
    <row r="3846" spans="19:24" x14ac:dyDescent="0.25">
      <c r="S3846" s="44">
        <f t="shared" si="361"/>
        <v>46896</v>
      </c>
      <c r="T3846" s="12">
        <f t="shared" si="362"/>
        <v>2.1318747356230823</v>
      </c>
      <c r="U3846" s="12">
        <f t="shared" ref="U3846:U3909" si="366">DurMod($S3846,$B$2,$F$7:$G$37,U$3)</f>
        <v>2.0919590714879126</v>
      </c>
      <c r="V3846" s="30">
        <f t="shared" si="363"/>
        <v>0.39875945205479452</v>
      </c>
      <c r="W3846" s="46">
        <f t="shared" si="364"/>
        <v>-2.1318747356230818E-2</v>
      </c>
      <c r="X3846" s="33">
        <f t="shared" si="365"/>
        <v>2.5011956647599087E-2</v>
      </c>
    </row>
    <row r="3847" spans="19:24" x14ac:dyDescent="0.25">
      <c r="S3847" s="44">
        <f t="shared" si="361"/>
        <v>46897</v>
      </c>
      <c r="T3847" s="12">
        <f t="shared" si="362"/>
        <v>2.1291976533215413</v>
      </c>
      <c r="U3847" s="12">
        <f t="shared" si="366"/>
        <v>2.0893078947631234</v>
      </c>
      <c r="V3847" s="30">
        <f t="shared" si="363"/>
        <v>0.39873205479452056</v>
      </c>
      <c r="W3847" s="46">
        <f t="shared" si="364"/>
        <v>-2.129197653321541E-2</v>
      </c>
      <c r="X3847" s="33">
        <f t="shared" si="365"/>
        <v>2.5011915135326138E-2</v>
      </c>
    </row>
    <row r="3848" spans="19:24" x14ac:dyDescent="0.25">
      <c r="S3848" s="44">
        <f t="shared" si="361"/>
        <v>46898</v>
      </c>
      <c r="T3848" s="12">
        <f t="shared" si="362"/>
        <v>2.1265205710200004</v>
      </c>
      <c r="U3848" s="12">
        <f t="shared" si="366"/>
        <v>2.0866567180383342</v>
      </c>
      <c r="V3848" s="30">
        <f t="shared" si="363"/>
        <v>0.39870465753424655</v>
      </c>
      <c r="W3848" s="46">
        <f t="shared" si="364"/>
        <v>-2.1265205710200002E-2</v>
      </c>
      <c r="X3848" s="33">
        <f t="shared" si="365"/>
        <v>2.5011873623053193E-2</v>
      </c>
    </row>
    <row r="3849" spans="19:24" x14ac:dyDescent="0.25">
      <c r="S3849" s="44">
        <f t="shared" si="361"/>
        <v>46899</v>
      </c>
      <c r="T3849" s="12">
        <f t="shared" si="362"/>
        <v>2.1238434887184594</v>
      </c>
      <c r="U3849" s="12">
        <f t="shared" si="366"/>
        <v>2.084005541313545</v>
      </c>
      <c r="V3849" s="30">
        <f t="shared" si="363"/>
        <v>0.39867726027397254</v>
      </c>
      <c r="W3849" s="46">
        <f t="shared" si="364"/>
        <v>-2.123843488718459E-2</v>
      </c>
      <c r="X3849" s="33">
        <f t="shared" si="365"/>
        <v>2.5011832110780251E-2</v>
      </c>
    </row>
    <row r="3850" spans="19:24" x14ac:dyDescent="0.25">
      <c r="S3850" s="44">
        <f t="shared" si="361"/>
        <v>46900</v>
      </c>
      <c r="T3850" s="12">
        <f t="shared" si="362"/>
        <v>2.121166406416918</v>
      </c>
      <c r="U3850" s="12">
        <f t="shared" si="366"/>
        <v>2.0813543645887549</v>
      </c>
      <c r="V3850" s="30">
        <f t="shared" si="363"/>
        <v>0.39864986301369865</v>
      </c>
      <c r="W3850" s="46">
        <f t="shared" si="364"/>
        <v>-2.1211664064169179E-2</v>
      </c>
      <c r="X3850" s="33">
        <f t="shared" si="365"/>
        <v>2.5011790598507309E-2</v>
      </c>
    </row>
    <row r="3851" spans="19:24" x14ac:dyDescent="0.25">
      <c r="S3851" s="44">
        <f t="shared" si="361"/>
        <v>46901</v>
      </c>
      <c r="T3851" s="12">
        <f t="shared" si="362"/>
        <v>2.118489324115377</v>
      </c>
      <c r="U3851" s="12">
        <f t="shared" si="366"/>
        <v>2.0787031878639661</v>
      </c>
      <c r="V3851" s="30">
        <f t="shared" si="363"/>
        <v>0.39862246575342464</v>
      </c>
      <c r="W3851" s="46">
        <f t="shared" si="364"/>
        <v>-2.1184893241153767E-2</v>
      </c>
      <c r="X3851" s="33">
        <f t="shared" si="365"/>
        <v>2.5011749086234367E-2</v>
      </c>
    </row>
    <row r="3852" spans="19:24" x14ac:dyDescent="0.25">
      <c r="S3852" s="44">
        <f t="shared" si="361"/>
        <v>46902</v>
      </c>
      <c r="T3852" s="12">
        <f t="shared" si="362"/>
        <v>2.1158122418138352</v>
      </c>
      <c r="U3852" s="12">
        <f t="shared" si="366"/>
        <v>2.0760520111391769</v>
      </c>
      <c r="V3852" s="30">
        <f t="shared" si="363"/>
        <v>0.39859506849315068</v>
      </c>
      <c r="W3852" s="46">
        <f t="shared" si="364"/>
        <v>-2.1158122418138348E-2</v>
      </c>
      <c r="X3852" s="33">
        <f t="shared" si="365"/>
        <v>2.5011707573961418E-2</v>
      </c>
    </row>
    <row r="3853" spans="19:24" x14ac:dyDescent="0.25">
      <c r="S3853" s="44">
        <f t="shared" si="361"/>
        <v>46903</v>
      </c>
      <c r="T3853" s="12">
        <f t="shared" si="362"/>
        <v>2.1131351595122938</v>
      </c>
      <c r="U3853" s="12">
        <f t="shared" si="366"/>
        <v>2.0734008344143877</v>
      </c>
      <c r="V3853" s="30">
        <f t="shared" si="363"/>
        <v>0.39856767123287673</v>
      </c>
      <c r="W3853" s="46">
        <f t="shared" si="364"/>
        <v>-2.1131351595122933E-2</v>
      </c>
      <c r="X3853" s="33">
        <f t="shared" si="365"/>
        <v>2.5011666061688476E-2</v>
      </c>
    </row>
    <row r="3854" spans="19:24" x14ac:dyDescent="0.25">
      <c r="S3854" s="44">
        <f t="shared" si="361"/>
        <v>46904</v>
      </c>
      <c r="T3854" s="12">
        <f t="shared" si="362"/>
        <v>2.1104580772107528</v>
      </c>
      <c r="U3854" s="12">
        <f t="shared" si="366"/>
        <v>2.0707496576895981</v>
      </c>
      <c r="V3854" s="30">
        <f t="shared" si="363"/>
        <v>0.39854027397260272</v>
      </c>
      <c r="W3854" s="46">
        <f t="shared" si="364"/>
        <v>-2.1104580772107525E-2</v>
      </c>
      <c r="X3854" s="33">
        <f t="shared" si="365"/>
        <v>2.501162454941553E-2</v>
      </c>
    </row>
    <row r="3855" spans="19:24" x14ac:dyDescent="0.25">
      <c r="S3855" s="44">
        <f t="shared" si="361"/>
        <v>46905</v>
      </c>
      <c r="T3855" s="12">
        <f t="shared" si="362"/>
        <v>2.1077809949092119</v>
      </c>
      <c r="U3855" s="12">
        <f t="shared" si="366"/>
        <v>2.0680984809648089</v>
      </c>
      <c r="V3855" s="30">
        <f t="shared" si="363"/>
        <v>0.39851287671232877</v>
      </c>
      <c r="W3855" s="46">
        <f t="shared" si="364"/>
        <v>-2.1077809949092117E-2</v>
      </c>
      <c r="X3855" s="33">
        <f t="shared" si="365"/>
        <v>2.5011583037142588E-2</v>
      </c>
    </row>
    <row r="3856" spans="19:24" x14ac:dyDescent="0.25">
      <c r="S3856" s="44">
        <f t="shared" si="361"/>
        <v>46906</v>
      </c>
      <c r="T3856" s="12">
        <f t="shared" si="362"/>
        <v>2.1051039126076709</v>
      </c>
      <c r="U3856" s="12">
        <f t="shared" si="366"/>
        <v>2.0654473042400197</v>
      </c>
      <c r="V3856" s="30">
        <f t="shared" si="363"/>
        <v>0.39848547945205481</v>
      </c>
      <c r="W3856" s="46">
        <f t="shared" si="364"/>
        <v>-2.1051039126076705E-2</v>
      </c>
      <c r="X3856" s="33">
        <f t="shared" si="365"/>
        <v>2.5011541524869646E-2</v>
      </c>
    </row>
    <row r="3857" spans="19:24" x14ac:dyDescent="0.25">
      <c r="S3857" s="44">
        <f t="shared" si="361"/>
        <v>46907</v>
      </c>
      <c r="T3857" s="12">
        <f t="shared" si="362"/>
        <v>2.1024268303061291</v>
      </c>
      <c r="U3857" s="12">
        <f t="shared" si="366"/>
        <v>2.0627961275152304</v>
      </c>
      <c r="V3857" s="30">
        <f t="shared" si="363"/>
        <v>0.3984580821917808</v>
      </c>
      <c r="W3857" s="46">
        <f t="shared" si="364"/>
        <v>-2.1024268303061287E-2</v>
      </c>
      <c r="X3857" s="33">
        <f t="shared" si="365"/>
        <v>2.50115000125967E-2</v>
      </c>
    </row>
    <row r="3858" spans="19:24" x14ac:dyDescent="0.25">
      <c r="S3858" s="44">
        <f t="shared" si="361"/>
        <v>46908</v>
      </c>
      <c r="T3858" s="12">
        <f t="shared" si="362"/>
        <v>2.0997497480045881</v>
      </c>
      <c r="U3858" s="12">
        <f t="shared" si="366"/>
        <v>2.0601449507904412</v>
      </c>
      <c r="V3858" s="30">
        <f t="shared" si="363"/>
        <v>0.39843068493150685</v>
      </c>
      <c r="W3858" s="46">
        <f t="shared" si="364"/>
        <v>-2.0997497480045878E-2</v>
      </c>
      <c r="X3858" s="33">
        <f t="shared" si="365"/>
        <v>2.5011458500323758E-2</v>
      </c>
    </row>
    <row r="3859" spans="19:24" x14ac:dyDescent="0.25">
      <c r="S3859" s="44">
        <f t="shared" si="361"/>
        <v>46909</v>
      </c>
      <c r="T3859" s="12">
        <f t="shared" si="362"/>
        <v>2.0970726657030472</v>
      </c>
      <c r="U3859" s="12">
        <f t="shared" si="366"/>
        <v>2.0574937740656516</v>
      </c>
      <c r="V3859" s="30">
        <f t="shared" si="363"/>
        <v>0.3984032876712329</v>
      </c>
      <c r="W3859" s="46">
        <f t="shared" si="364"/>
        <v>-2.097072665703047E-2</v>
      </c>
      <c r="X3859" s="33">
        <f t="shared" si="365"/>
        <v>2.5011416988050816E-2</v>
      </c>
    </row>
    <row r="3860" spans="19:24" x14ac:dyDescent="0.25">
      <c r="S3860" s="44">
        <f t="shared" si="361"/>
        <v>46910</v>
      </c>
      <c r="T3860" s="12">
        <f t="shared" si="362"/>
        <v>2.0943955834015058</v>
      </c>
      <c r="U3860" s="12">
        <f t="shared" si="366"/>
        <v>2.0548425973408628</v>
      </c>
      <c r="V3860" s="30">
        <f t="shared" si="363"/>
        <v>0.39837589041095889</v>
      </c>
      <c r="W3860" s="46">
        <f t="shared" si="364"/>
        <v>-2.0943955834015055E-2</v>
      </c>
      <c r="X3860" s="33">
        <f t="shared" si="365"/>
        <v>2.5011375475777867E-2</v>
      </c>
    </row>
    <row r="3861" spans="19:24" x14ac:dyDescent="0.25">
      <c r="S3861" s="44">
        <f t="shared" si="361"/>
        <v>46911</v>
      </c>
      <c r="T3861" s="12">
        <f t="shared" si="362"/>
        <v>2.0917185010999644</v>
      </c>
      <c r="U3861" s="12">
        <f t="shared" si="366"/>
        <v>2.0521914206160727</v>
      </c>
      <c r="V3861" s="30">
        <f t="shared" si="363"/>
        <v>0.39834849315068488</v>
      </c>
      <c r="W3861" s="46">
        <f t="shared" si="364"/>
        <v>-2.091718501099964E-2</v>
      </c>
      <c r="X3861" s="33">
        <f t="shared" si="365"/>
        <v>2.5011333963504922E-2</v>
      </c>
    </row>
    <row r="3862" spans="19:24" x14ac:dyDescent="0.25">
      <c r="S3862" s="44">
        <f t="shared" si="361"/>
        <v>46912</v>
      </c>
      <c r="T3862" s="12">
        <f t="shared" si="362"/>
        <v>2.089041418798423</v>
      </c>
      <c r="U3862" s="12">
        <f t="shared" si="366"/>
        <v>2.049540243891284</v>
      </c>
      <c r="V3862" s="30">
        <f t="shared" si="363"/>
        <v>0.39832109589041098</v>
      </c>
      <c r="W3862" s="46">
        <f t="shared" si="364"/>
        <v>-2.0890414187984225E-2</v>
      </c>
      <c r="X3862" s="33">
        <f t="shared" si="365"/>
        <v>2.5011292451231983E-2</v>
      </c>
    </row>
    <row r="3863" spans="19:24" x14ac:dyDescent="0.25">
      <c r="S3863" s="44">
        <f t="shared" si="361"/>
        <v>46913</v>
      </c>
      <c r="T3863" s="12">
        <f t="shared" si="362"/>
        <v>2.086364336496882</v>
      </c>
      <c r="U3863" s="12">
        <f t="shared" si="366"/>
        <v>2.0468890671664948</v>
      </c>
      <c r="V3863" s="30">
        <f t="shared" si="363"/>
        <v>0.39829369863013697</v>
      </c>
      <c r="W3863" s="46">
        <f t="shared" si="364"/>
        <v>-2.0863643364968817E-2</v>
      </c>
      <c r="X3863" s="33">
        <f t="shared" si="365"/>
        <v>2.5011250938959038E-2</v>
      </c>
    </row>
    <row r="3864" spans="19:24" x14ac:dyDescent="0.25">
      <c r="S3864" s="44">
        <f t="shared" si="361"/>
        <v>46914</v>
      </c>
      <c r="T3864" s="12">
        <f t="shared" si="362"/>
        <v>2.0836872541953411</v>
      </c>
      <c r="U3864" s="12">
        <f t="shared" si="366"/>
        <v>2.0442378904417056</v>
      </c>
      <c r="V3864" s="30">
        <f t="shared" si="363"/>
        <v>0.39826630136986302</v>
      </c>
      <c r="W3864" s="46">
        <f t="shared" si="364"/>
        <v>-2.0836872541953409E-2</v>
      </c>
      <c r="X3864" s="33">
        <f t="shared" si="365"/>
        <v>2.5011209426686096E-2</v>
      </c>
    </row>
    <row r="3865" spans="19:24" x14ac:dyDescent="0.25">
      <c r="S3865" s="44">
        <f t="shared" si="361"/>
        <v>46915</v>
      </c>
      <c r="T3865" s="12">
        <f t="shared" si="362"/>
        <v>2.0810101718937997</v>
      </c>
      <c r="U3865" s="12">
        <f t="shared" si="366"/>
        <v>2.0415867137169164</v>
      </c>
      <c r="V3865" s="30">
        <f t="shared" si="363"/>
        <v>0.39823890410958906</v>
      </c>
      <c r="W3865" s="46">
        <f t="shared" si="364"/>
        <v>-2.0810101718937993E-2</v>
      </c>
      <c r="X3865" s="33">
        <f t="shared" si="365"/>
        <v>2.5011167914413154E-2</v>
      </c>
    </row>
    <row r="3866" spans="19:24" x14ac:dyDescent="0.25">
      <c r="S3866" s="44">
        <f t="shared" si="361"/>
        <v>46916</v>
      </c>
      <c r="T3866" s="12">
        <f t="shared" si="362"/>
        <v>2.0783330895922587</v>
      </c>
      <c r="U3866" s="12">
        <f t="shared" si="366"/>
        <v>2.0389355369921272</v>
      </c>
      <c r="V3866" s="30">
        <f t="shared" si="363"/>
        <v>0.39821150684931506</v>
      </c>
      <c r="W3866" s="46">
        <f t="shared" si="364"/>
        <v>-2.0783330895922585E-2</v>
      </c>
      <c r="X3866" s="33">
        <f t="shared" si="365"/>
        <v>2.5011126402140205E-2</v>
      </c>
    </row>
    <row r="3867" spans="19:24" x14ac:dyDescent="0.25">
      <c r="S3867" s="44">
        <f t="shared" si="361"/>
        <v>46917</v>
      </c>
      <c r="T3867" s="12">
        <f t="shared" si="362"/>
        <v>2.0756560072907173</v>
      </c>
      <c r="U3867" s="12">
        <f t="shared" si="366"/>
        <v>2.0362843602673375</v>
      </c>
      <c r="V3867" s="30">
        <f t="shared" si="363"/>
        <v>0.39818410958904105</v>
      </c>
      <c r="W3867" s="46">
        <f t="shared" si="364"/>
        <v>-2.075656007290717E-2</v>
      </c>
      <c r="X3867" s="33">
        <f t="shared" si="365"/>
        <v>2.5011084889867259E-2</v>
      </c>
    </row>
    <row r="3868" spans="19:24" x14ac:dyDescent="0.25">
      <c r="S3868" s="44">
        <f t="shared" si="361"/>
        <v>46918</v>
      </c>
      <c r="T3868" s="12">
        <f t="shared" si="362"/>
        <v>2.0729789249891759</v>
      </c>
      <c r="U3868" s="12">
        <f t="shared" si="366"/>
        <v>2.0336331835425492</v>
      </c>
      <c r="V3868" s="30">
        <f t="shared" si="363"/>
        <v>0.39815671232876715</v>
      </c>
      <c r="W3868" s="46">
        <f t="shared" si="364"/>
        <v>-2.0729789249891755E-2</v>
      </c>
      <c r="X3868" s="33">
        <f t="shared" si="365"/>
        <v>2.5011043377594321E-2</v>
      </c>
    </row>
    <row r="3869" spans="19:24" x14ac:dyDescent="0.25">
      <c r="S3869" s="44">
        <f t="shared" si="361"/>
        <v>46919</v>
      </c>
      <c r="T3869" s="12">
        <f t="shared" si="362"/>
        <v>2.3388352131386618</v>
      </c>
      <c r="U3869" s="12">
        <f t="shared" si="366"/>
        <v>2.300597433496741</v>
      </c>
      <c r="V3869" s="30">
        <f t="shared" si="363"/>
        <v>0.39812931506849314</v>
      </c>
      <c r="W3869" s="46">
        <f t="shared" si="364"/>
        <v>-2.3388352131386615E-2</v>
      </c>
      <c r="X3869" s="33">
        <f t="shared" si="365"/>
        <v>2.4833052191729096E-2</v>
      </c>
    </row>
    <row r="3870" spans="19:24" x14ac:dyDescent="0.25">
      <c r="S3870" s="44">
        <f t="shared" si="361"/>
        <v>46920</v>
      </c>
      <c r="T3870" s="12">
        <f t="shared" si="362"/>
        <v>2.3361581308371204</v>
      </c>
      <c r="U3870" s="12">
        <f t="shared" si="366"/>
        <v>2.2979462567719509</v>
      </c>
      <c r="V3870" s="30">
        <f t="shared" si="363"/>
        <v>0.39810191780821913</v>
      </c>
      <c r="W3870" s="46">
        <f t="shared" si="364"/>
        <v>-2.3361581308371199E-2</v>
      </c>
      <c r="X3870" s="33">
        <f t="shared" si="365"/>
        <v>2.4833010679456154E-2</v>
      </c>
    </row>
    <row r="3871" spans="19:24" x14ac:dyDescent="0.25">
      <c r="S3871" s="44">
        <f t="shared" si="361"/>
        <v>46921</v>
      </c>
      <c r="T3871" s="12">
        <f t="shared" si="362"/>
        <v>2.3334810485355799</v>
      </c>
      <c r="U3871" s="12">
        <f t="shared" si="366"/>
        <v>2.2952950800471621</v>
      </c>
      <c r="V3871" s="30">
        <f t="shared" si="363"/>
        <v>0.39807452054794523</v>
      </c>
      <c r="W3871" s="46">
        <f t="shared" si="364"/>
        <v>-2.3334810485355795E-2</v>
      </c>
      <c r="X3871" s="33">
        <f t="shared" si="365"/>
        <v>2.4832969167183212E-2</v>
      </c>
    </row>
    <row r="3872" spans="19:24" x14ac:dyDescent="0.25">
      <c r="S3872" s="44">
        <f t="shared" si="361"/>
        <v>46922</v>
      </c>
      <c r="T3872" s="12">
        <f t="shared" si="362"/>
        <v>2.3308039662340376</v>
      </c>
      <c r="U3872" s="12">
        <f t="shared" si="366"/>
        <v>2.2926439033223724</v>
      </c>
      <c r="V3872" s="30">
        <f t="shared" si="363"/>
        <v>0.39804712328767122</v>
      </c>
      <c r="W3872" s="46">
        <f t="shared" si="364"/>
        <v>-2.3308039662340373E-2</v>
      </c>
      <c r="X3872" s="33">
        <f t="shared" si="365"/>
        <v>2.483292765491027E-2</v>
      </c>
    </row>
    <row r="3873" spans="19:24" x14ac:dyDescent="0.25">
      <c r="S3873" s="44">
        <f t="shared" si="361"/>
        <v>46923</v>
      </c>
      <c r="T3873" s="12">
        <f t="shared" si="362"/>
        <v>2.3281268839324976</v>
      </c>
      <c r="U3873" s="12">
        <f t="shared" si="366"/>
        <v>2.2899927265975832</v>
      </c>
      <c r="V3873" s="30">
        <f t="shared" si="363"/>
        <v>0.39801972602739721</v>
      </c>
      <c r="W3873" s="46">
        <f t="shared" si="364"/>
        <v>-2.3281268839324971E-2</v>
      </c>
      <c r="X3873" s="33">
        <f t="shared" si="365"/>
        <v>2.4832886142637324E-2</v>
      </c>
    </row>
    <row r="3874" spans="19:24" x14ac:dyDescent="0.25">
      <c r="S3874" s="44">
        <f t="shared" si="361"/>
        <v>46924</v>
      </c>
      <c r="T3874" s="12">
        <f t="shared" si="362"/>
        <v>2.3254498016309553</v>
      </c>
      <c r="U3874" s="12">
        <f t="shared" si="366"/>
        <v>2.2873415498727936</v>
      </c>
      <c r="V3874" s="30">
        <f t="shared" si="363"/>
        <v>0.39799232876712332</v>
      </c>
      <c r="W3874" s="46">
        <f t="shared" si="364"/>
        <v>-2.3254498016309549E-2</v>
      </c>
      <c r="X3874" s="33">
        <f t="shared" si="365"/>
        <v>2.4832844630364385E-2</v>
      </c>
    </row>
    <row r="3875" spans="19:24" x14ac:dyDescent="0.25">
      <c r="S3875" s="44">
        <f t="shared" si="361"/>
        <v>46925</v>
      </c>
      <c r="T3875" s="12">
        <f t="shared" si="362"/>
        <v>2.3227727193294143</v>
      </c>
      <c r="U3875" s="12">
        <f t="shared" si="366"/>
        <v>2.2846903731480048</v>
      </c>
      <c r="V3875" s="30">
        <f t="shared" si="363"/>
        <v>0.39796493150684931</v>
      </c>
      <c r="W3875" s="46">
        <f t="shared" si="364"/>
        <v>-2.3227727193294141E-2</v>
      </c>
      <c r="X3875" s="33">
        <f t="shared" si="365"/>
        <v>2.483280311809144E-2</v>
      </c>
    </row>
    <row r="3876" spans="19:24" x14ac:dyDescent="0.25">
      <c r="S3876" s="44">
        <f t="shared" si="361"/>
        <v>46926</v>
      </c>
      <c r="T3876" s="12">
        <f t="shared" si="362"/>
        <v>2.3200956370278734</v>
      </c>
      <c r="U3876" s="12">
        <f t="shared" si="366"/>
        <v>2.2820391964232147</v>
      </c>
      <c r="V3876" s="30">
        <f t="shared" si="363"/>
        <v>0.39793753424657535</v>
      </c>
      <c r="W3876" s="46">
        <f t="shared" si="364"/>
        <v>-2.320095637027873E-2</v>
      </c>
      <c r="X3876" s="33">
        <f t="shared" si="365"/>
        <v>2.4832761605818491E-2</v>
      </c>
    </row>
    <row r="3877" spans="19:24" x14ac:dyDescent="0.25">
      <c r="S3877" s="44">
        <f t="shared" si="361"/>
        <v>46927</v>
      </c>
      <c r="T3877" s="12">
        <f t="shared" si="362"/>
        <v>2.3174185547263324</v>
      </c>
      <c r="U3877" s="12">
        <f t="shared" si="366"/>
        <v>2.279388019698426</v>
      </c>
      <c r="V3877" s="30">
        <f t="shared" si="363"/>
        <v>0.3979101369863014</v>
      </c>
      <c r="W3877" s="46">
        <f t="shared" si="364"/>
        <v>-2.3174185547263321E-2</v>
      </c>
      <c r="X3877" s="33">
        <f t="shared" si="365"/>
        <v>2.4832720093545549E-2</v>
      </c>
    </row>
    <row r="3878" spans="19:24" x14ac:dyDescent="0.25">
      <c r="S3878" s="44">
        <f t="shared" si="361"/>
        <v>46928</v>
      </c>
      <c r="T3878" s="12">
        <f t="shared" si="362"/>
        <v>2.314741472424791</v>
      </c>
      <c r="U3878" s="12">
        <f t="shared" si="366"/>
        <v>2.2767368429736368</v>
      </c>
      <c r="V3878" s="30">
        <f t="shared" si="363"/>
        <v>0.39788273972602739</v>
      </c>
      <c r="W3878" s="46">
        <f t="shared" si="364"/>
        <v>-2.3147414724247906E-2</v>
      </c>
      <c r="X3878" s="33">
        <f t="shared" si="365"/>
        <v>2.4832678581272603E-2</v>
      </c>
    </row>
    <row r="3879" spans="19:24" x14ac:dyDescent="0.25">
      <c r="S3879" s="44">
        <f t="shared" si="361"/>
        <v>46929</v>
      </c>
      <c r="T3879" s="12">
        <f t="shared" si="362"/>
        <v>2.3120643901232496</v>
      </c>
      <c r="U3879" s="12">
        <f t="shared" si="366"/>
        <v>2.2740856662488471</v>
      </c>
      <c r="V3879" s="30">
        <f t="shared" si="363"/>
        <v>0.39785534246575338</v>
      </c>
      <c r="W3879" s="46">
        <f t="shared" si="364"/>
        <v>-2.3120643901232491E-2</v>
      </c>
      <c r="X3879" s="33">
        <f t="shared" si="365"/>
        <v>2.4832637068999661E-2</v>
      </c>
    </row>
    <row r="3880" spans="19:24" x14ac:dyDescent="0.25">
      <c r="S3880" s="44">
        <f t="shared" si="361"/>
        <v>46930</v>
      </c>
      <c r="T3880" s="12">
        <f t="shared" si="362"/>
        <v>2.3093873078217082</v>
      </c>
      <c r="U3880" s="12">
        <f t="shared" si="366"/>
        <v>2.2714344895240579</v>
      </c>
      <c r="V3880" s="30">
        <f t="shared" si="363"/>
        <v>0.39782794520547948</v>
      </c>
      <c r="W3880" s="46">
        <f t="shared" si="364"/>
        <v>-2.309387307821708E-2</v>
      </c>
      <c r="X3880" s="33">
        <f t="shared" si="365"/>
        <v>2.4832595556726719E-2</v>
      </c>
    </row>
    <row r="3881" spans="19:24" x14ac:dyDescent="0.25">
      <c r="S3881" s="44">
        <f t="shared" si="361"/>
        <v>46931</v>
      </c>
      <c r="T3881" s="12">
        <f t="shared" si="362"/>
        <v>2.3067102255201677</v>
      </c>
      <c r="U3881" s="12">
        <f t="shared" si="366"/>
        <v>2.2687833127992687</v>
      </c>
      <c r="V3881" s="30">
        <f t="shared" si="363"/>
        <v>0.39780054794520547</v>
      </c>
      <c r="W3881" s="46">
        <f t="shared" si="364"/>
        <v>-2.3067102255201675E-2</v>
      </c>
      <c r="X3881" s="33">
        <f t="shared" si="365"/>
        <v>2.4832554044453774E-2</v>
      </c>
    </row>
    <row r="3882" spans="19:24" x14ac:dyDescent="0.25">
      <c r="S3882" s="44">
        <f t="shared" si="361"/>
        <v>46932</v>
      </c>
      <c r="T3882" s="12">
        <f t="shared" si="362"/>
        <v>2.3040331432186267</v>
      </c>
      <c r="U3882" s="12">
        <f t="shared" si="366"/>
        <v>2.2661321360744795</v>
      </c>
      <c r="V3882" s="30">
        <f t="shared" si="363"/>
        <v>0.39777315068493146</v>
      </c>
      <c r="W3882" s="46">
        <f t="shared" si="364"/>
        <v>-2.3040331432186263E-2</v>
      </c>
      <c r="X3882" s="33">
        <f t="shared" si="365"/>
        <v>2.4832512532180832E-2</v>
      </c>
    </row>
    <row r="3883" spans="19:24" x14ac:dyDescent="0.25">
      <c r="S3883" s="44">
        <f t="shared" si="361"/>
        <v>46933</v>
      </c>
      <c r="T3883" s="12">
        <f t="shared" si="362"/>
        <v>2.3013560609170844</v>
      </c>
      <c r="U3883" s="12">
        <f t="shared" si="366"/>
        <v>2.2634809593496907</v>
      </c>
      <c r="V3883" s="30">
        <f t="shared" si="363"/>
        <v>0.39774575342465757</v>
      </c>
      <c r="W3883" s="46">
        <f t="shared" si="364"/>
        <v>-2.3013560609170841E-2</v>
      </c>
      <c r="X3883" s="33">
        <f t="shared" si="365"/>
        <v>2.4832471019907893E-2</v>
      </c>
    </row>
    <row r="3884" spans="19:24" x14ac:dyDescent="0.25">
      <c r="S3884" s="44">
        <f t="shared" si="361"/>
        <v>46934</v>
      </c>
      <c r="T3884" s="12">
        <f t="shared" si="362"/>
        <v>2.2986789786155439</v>
      </c>
      <c r="U3884" s="12">
        <f t="shared" si="366"/>
        <v>2.2608297826249011</v>
      </c>
      <c r="V3884" s="30">
        <f t="shared" si="363"/>
        <v>0.39771835616438356</v>
      </c>
      <c r="W3884" s="46">
        <f t="shared" si="364"/>
        <v>-2.2986789786155436E-2</v>
      </c>
      <c r="X3884" s="33">
        <f t="shared" si="365"/>
        <v>2.4832429507634941E-2</v>
      </c>
    </row>
    <row r="3885" spans="19:24" x14ac:dyDescent="0.25">
      <c r="S3885" s="44">
        <f t="shared" si="361"/>
        <v>46935</v>
      </c>
      <c r="T3885" s="12">
        <f t="shared" si="362"/>
        <v>2.2960018963140025</v>
      </c>
      <c r="U3885" s="12">
        <f t="shared" si="366"/>
        <v>2.2581786059001119</v>
      </c>
      <c r="V3885" s="30">
        <f t="shared" si="363"/>
        <v>0.39769095890410955</v>
      </c>
      <c r="W3885" s="46">
        <f t="shared" si="364"/>
        <v>-2.2960018963140021E-2</v>
      </c>
      <c r="X3885" s="33">
        <f t="shared" si="365"/>
        <v>2.4832387995361995E-2</v>
      </c>
    </row>
    <row r="3886" spans="19:24" x14ac:dyDescent="0.25">
      <c r="S3886" s="44">
        <f t="shared" si="361"/>
        <v>46936</v>
      </c>
      <c r="T3886" s="12">
        <f t="shared" si="362"/>
        <v>2.2933248140124611</v>
      </c>
      <c r="U3886" s="12">
        <f t="shared" si="366"/>
        <v>2.2555274291753231</v>
      </c>
      <c r="V3886" s="30">
        <f t="shared" si="363"/>
        <v>0.39766356164383565</v>
      </c>
      <c r="W3886" s="46">
        <f t="shared" si="364"/>
        <v>-2.2933248140124606E-2</v>
      </c>
      <c r="X3886" s="33">
        <f t="shared" si="365"/>
        <v>2.4832346483089057E-2</v>
      </c>
    </row>
    <row r="3887" spans="19:24" x14ac:dyDescent="0.25">
      <c r="S3887" s="44">
        <f t="shared" si="361"/>
        <v>46937</v>
      </c>
      <c r="T3887" s="12">
        <f t="shared" si="362"/>
        <v>2.2906477317109206</v>
      </c>
      <c r="U3887" s="12">
        <f t="shared" si="366"/>
        <v>2.2528762524505335</v>
      </c>
      <c r="V3887" s="30">
        <f t="shared" si="363"/>
        <v>0.39763616438356164</v>
      </c>
      <c r="W3887" s="46">
        <f t="shared" si="364"/>
        <v>-2.2906477317109201E-2</v>
      </c>
      <c r="X3887" s="33">
        <f t="shared" si="365"/>
        <v>2.4832304970816111E-2</v>
      </c>
    </row>
    <row r="3888" spans="19:24" x14ac:dyDescent="0.25">
      <c r="S3888" s="44">
        <f t="shared" si="361"/>
        <v>46938</v>
      </c>
      <c r="T3888" s="12">
        <f t="shared" si="362"/>
        <v>2.2879706494093792</v>
      </c>
      <c r="U3888" s="12">
        <f t="shared" si="366"/>
        <v>2.2502250757257443</v>
      </c>
      <c r="V3888" s="30">
        <f t="shared" si="363"/>
        <v>0.39760876712328763</v>
      </c>
      <c r="W3888" s="46">
        <f t="shared" si="364"/>
        <v>-2.287970649409379E-2</v>
      </c>
      <c r="X3888" s="33">
        <f t="shared" si="365"/>
        <v>2.4832263458543169E-2</v>
      </c>
    </row>
    <row r="3889" spans="19:24" x14ac:dyDescent="0.25">
      <c r="S3889" s="44">
        <f t="shared" si="361"/>
        <v>46939</v>
      </c>
      <c r="T3889" s="12">
        <f t="shared" si="362"/>
        <v>2.2852935671078383</v>
      </c>
      <c r="U3889" s="12">
        <f t="shared" si="366"/>
        <v>2.2475738990009551</v>
      </c>
      <c r="V3889" s="30">
        <f t="shared" si="363"/>
        <v>0.39758136986301373</v>
      </c>
      <c r="W3889" s="46">
        <f t="shared" si="364"/>
        <v>-2.2852935671078378E-2</v>
      </c>
      <c r="X3889" s="33">
        <f t="shared" si="365"/>
        <v>2.4832221946270227E-2</v>
      </c>
    </row>
    <row r="3890" spans="19:24" x14ac:dyDescent="0.25">
      <c r="S3890" s="44">
        <f t="shared" si="361"/>
        <v>46940</v>
      </c>
      <c r="T3890" s="12">
        <f t="shared" si="362"/>
        <v>2.2826164848062964</v>
      </c>
      <c r="U3890" s="12">
        <f t="shared" si="366"/>
        <v>2.2449227222761654</v>
      </c>
      <c r="V3890" s="30">
        <f t="shared" si="363"/>
        <v>0.39755397260273972</v>
      </c>
      <c r="W3890" s="46">
        <f t="shared" si="364"/>
        <v>-2.282616484806296E-2</v>
      </c>
      <c r="X3890" s="33">
        <f t="shared" si="365"/>
        <v>2.4832180433997285E-2</v>
      </c>
    </row>
    <row r="3891" spans="19:24" x14ac:dyDescent="0.25">
      <c r="S3891" s="44">
        <f t="shared" ref="S3891:S3954" si="367">+S3890+1</f>
        <v>46941</v>
      </c>
      <c r="T3891" s="12">
        <f t="shared" si="362"/>
        <v>2.2799394025047555</v>
      </c>
      <c r="U3891" s="12">
        <f t="shared" si="366"/>
        <v>2.2422715455513758</v>
      </c>
      <c r="V3891" s="30">
        <f t="shared" si="363"/>
        <v>0.39752657534246572</v>
      </c>
      <c r="W3891" s="46">
        <f t="shared" si="364"/>
        <v>-2.2799394025047551E-2</v>
      </c>
      <c r="X3891" s="33">
        <f t="shared" si="365"/>
        <v>2.4832138921724332E-2</v>
      </c>
    </row>
    <row r="3892" spans="19:24" x14ac:dyDescent="0.25">
      <c r="S3892" s="44">
        <f t="shared" si="367"/>
        <v>46942</v>
      </c>
      <c r="T3892" s="12">
        <f t="shared" si="362"/>
        <v>2.2772623202032141</v>
      </c>
      <c r="U3892" s="12">
        <f t="shared" si="366"/>
        <v>2.239620368826587</v>
      </c>
      <c r="V3892" s="30">
        <f t="shared" si="363"/>
        <v>0.39749917808219182</v>
      </c>
      <c r="W3892" s="46">
        <f t="shared" si="364"/>
        <v>-2.2772623202032136E-2</v>
      </c>
      <c r="X3892" s="33">
        <f t="shared" si="365"/>
        <v>2.4832097409451394E-2</v>
      </c>
    </row>
    <row r="3893" spans="19:24" x14ac:dyDescent="0.25">
      <c r="S3893" s="44">
        <f t="shared" si="367"/>
        <v>46943</v>
      </c>
      <c r="T3893" s="12">
        <f t="shared" si="362"/>
        <v>2.2745852379016731</v>
      </c>
      <c r="U3893" s="12">
        <f t="shared" si="366"/>
        <v>2.2369691921017973</v>
      </c>
      <c r="V3893" s="30">
        <f t="shared" si="363"/>
        <v>0.39747178082191781</v>
      </c>
      <c r="W3893" s="46">
        <f t="shared" si="364"/>
        <v>-2.2745852379016728E-2</v>
      </c>
      <c r="X3893" s="33">
        <f t="shared" si="365"/>
        <v>2.4832055897178448E-2</v>
      </c>
    </row>
    <row r="3894" spans="19:24" x14ac:dyDescent="0.25">
      <c r="S3894" s="44">
        <f t="shared" si="367"/>
        <v>46944</v>
      </c>
      <c r="T3894" s="12">
        <f t="shared" si="362"/>
        <v>2.2719081556001313</v>
      </c>
      <c r="U3894" s="12">
        <f t="shared" si="366"/>
        <v>2.234318015377009</v>
      </c>
      <c r="V3894" s="30">
        <f t="shared" si="363"/>
        <v>0.3974443835616438</v>
      </c>
      <c r="W3894" s="46">
        <f t="shared" si="364"/>
        <v>-2.271908155600131E-2</v>
      </c>
      <c r="X3894" s="33">
        <f t="shared" si="365"/>
        <v>2.4832014384905499E-2</v>
      </c>
    </row>
    <row r="3895" spans="19:24" x14ac:dyDescent="0.25">
      <c r="S3895" s="44">
        <f t="shared" si="367"/>
        <v>46945</v>
      </c>
      <c r="T3895" s="12">
        <f t="shared" si="362"/>
        <v>2.2692310732985912</v>
      </c>
      <c r="U3895" s="12">
        <f t="shared" si="366"/>
        <v>2.2316668386522185</v>
      </c>
      <c r="V3895" s="30">
        <f t="shared" si="363"/>
        <v>0.3974169863013699</v>
      </c>
      <c r="W3895" s="46">
        <f t="shared" si="364"/>
        <v>-2.2692310732985908E-2</v>
      </c>
      <c r="X3895" s="33">
        <f t="shared" si="365"/>
        <v>2.4831972872632564E-2</v>
      </c>
    </row>
    <row r="3896" spans="19:24" x14ac:dyDescent="0.25">
      <c r="S3896" s="44">
        <f t="shared" si="367"/>
        <v>46946</v>
      </c>
      <c r="T3896" s="12">
        <f t="shared" si="362"/>
        <v>2.2665539909970494</v>
      </c>
      <c r="U3896" s="12">
        <f t="shared" si="366"/>
        <v>2.2290156619274297</v>
      </c>
      <c r="V3896" s="30">
        <f t="shared" si="363"/>
        <v>0.39738958904109589</v>
      </c>
      <c r="W3896" s="46">
        <f t="shared" si="364"/>
        <v>-2.266553990997049E-2</v>
      </c>
      <c r="X3896" s="33">
        <f t="shared" si="365"/>
        <v>2.4831931360359615E-2</v>
      </c>
    </row>
    <row r="3897" spans="19:24" x14ac:dyDescent="0.25">
      <c r="S3897" s="44">
        <f t="shared" si="367"/>
        <v>46947</v>
      </c>
      <c r="T3897" s="12">
        <f t="shared" si="362"/>
        <v>2.263876908695508</v>
      </c>
      <c r="U3897" s="12">
        <f t="shared" si="366"/>
        <v>2.2263644852026405</v>
      </c>
      <c r="V3897" s="30">
        <f t="shared" si="363"/>
        <v>0.39736219178082188</v>
      </c>
      <c r="W3897" s="46">
        <f t="shared" si="364"/>
        <v>-2.2638769086955075E-2</v>
      </c>
      <c r="X3897" s="33">
        <f t="shared" si="365"/>
        <v>2.4831889848086673E-2</v>
      </c>
    </row>
    <row r="3898" spans="19:24" x14ac:dyDescent="0.25">
      <c r="S3898" s="44">
        <f t="shared" si="367"/>
        <v>46948</v>
      </c>
      <c r="T3898" s="12">
        <f t="shared" si="362"/>
        <v>2.2611998263939674</v>
      </c>
      <c r="U3898" s="12">
        <f t="shared" si="366"/>
        <v>2.2237133084778509</v>
      </c>
      <c r="V3898" s="30">
        <f t="shared" si="363"/>
        <v>0.39733479452054793</v>
      </c>
      <c r="W3898" s="46">
        <f t="shared" si="364"/>
        <v>-2.261199826393967E-2</v>
      </c>
      <c r="X3898" s="33">
        <f t="shared" si="365"/>
        <v>2.4831848335813728E-2</v>
      </c>
    </row>
    <row r="3899" spans="19:24" x14ac:dyDescent="0.25">
      <c r="S3899" s="44">
        <f t="shared" si="367"/>
        <v>46949</v>
      </c>
      <c r="T3899" s="12">
        <f t="shared" si="362"/>
        <v>2.2585227440924265</v>
      </c>
      <c r="U3899" s="12">
        <f t="shared" si="366"/>
        <v>2.2210621317530617</v>
      </c>
      <c r="V3899" s="30">
        <f t="shared" si="363"/>
        <v>0.39730739726027398</v>
      </c>
      <c r="W3899" s="46">
        <f t="shared" si="364"/>
        <v>-2.2585227440924262E-2</v>
      </c>
      <c r="X3899" s="33">
        <f t="shared" si="365"/>
        <v>2.4831806823540786E-2</v>
      </c>
    </row>
    <row r="3900" spans="19:24" x14ac:dyDescent="0.25">
      <c r="S3900" s="44">
        <f t="shared" si="367"/>
        <v>46950</v>
      </c>
      <c r="T3900" s="12">
        <f t="shared" si="362"/>
        <v>2.2558456617908846</v>
      </c>
      <c r="U3900" s="12">
        <f t="shared" si="366"/>
        <v>2.2184109550282725</v>
      </c>
      <c r="V3900" s="30">
        <f t="shared" si="363"/>
        <v>0.39727999999999997</v>
      </c>
      <c r="W3900" s="46">
        <f t="shared" si="364"/>
        <v>-2.2558456617908843E-2</v>
      </c>
      <c r="X3900" s="33">
        <f t="shared" si="365"/>
        <v>2.483176531126784E-2</v>
      </c>
    </row>
    <row r="3901" spans="19:24" x14ac:dyDescent="0.25">
      <c r="S3901" s="44">
        <f t="shared" si="367"/>
        <v>46951</v>
      </c>
      <c r="T3901" s="12">
        <f t="shared" si="362"/>
        <v>2.2531685794893437</v>
      </c>
      <c r="U3901" s="12">
        <f t="shared" si="366"/>
        <v>2.2157597783034828</v>
      </c>
      <c r="V3901" s="30">
        <f t="shared" si="363"/>
        <v>0.39725260273972607</v>
      </c>
      <c r="W3901" s="46">
        <f t="shared" si="364"/>
        <v>-2.2531685794893435E-2</v>
      </c>
      <c r="X3901" s="33">
        <f t="shared" si="365"/>
        <v>2.4831723798994898E-2</v>
      </c>
    </row>
    <row r="3902" spans="19:24" x14ac:dyDescent="0.25">
      <c r="S3902" s="44">
        <f t="shared" si="367"/>
        <v>46952</v>
      </c>
      <c r="T3902" s="12">
        <f t="shared" si="362"/>
        <v>2.2504914971878018</v>
      </c>
      <c r="U3902" s="12">
        <f t="shared" si="366"/>
        <v>2.2131086015786936</v>
      </c>
      <c r="V3902" s="30">
        <f t="shared" si="363"/>
        <v>0.39722520547945206</v>
      </c>
      <c r="W3902" s="46">
        <f t="shared" si="364"/>
        <v>-2.2504914971878016E-2</v>
      </c>
      <c r="X3902" s="33">
        <f t="shared" si="365"/>
        <v>2.4831682286721956E-2</v>
      </c>
    </row>
    <row r="3903" spans="19:24" x14ac:dyDescent="0.25">
      <c r="S3903" s="44">
        <f t="shared" si="367"/>
        <v>46953</v>
      </c>
      <c r="T3903" s="12">
        <f t="shared" si="362"/>
        <v>2.2478144148862613</v>
      </c>
      <c r="U3903" s="12">
        <f t="shared" si="366"/>
        <v>2.2104574248539048</v>
      </c>
      <c r="V3903" s="30">
        <f t="shared" si="363"/>
        <v>0.39719780821917805</v>
      </c>
      <c r="W3903" s="46">
        <f t="shared" si="364"/>
        <v>-2.2478144148862608E-2</v>
      </c>
      <c r="X3903" s="33">
        <f t="shared" si="365"/>
        <v>2.4831640774449007E-2</v>
      </c>
    </row>
    <row r="3904" spans="19:24" x14ac:dyDescent="0.25">
      <c r="S3904" s="44">
        <f t="shared" si="367"/>
        <v>46954</v>
      </c>
      <c r="T3904" s="12">
        <f t="shared" si="362"/>
        <v>2.2451373325847199</v>
      </c>
      <c r="U3904" s="12">
        <f t="shared" si="366"/>
        <v>2.2078062481291156</v>
      </c>
      <c r="V3904" s="30">
        <f t="shared" si="363"/>
        <v>0.39717041095890415</v>
      </c>
      <c r="W3904" s="46">
        <f t="shared" si="364"/>
        <v>-2.2451373325847197E-2</v>
      </c>
      <c r="X3904" s="33">
        <f t="shared" si="365"/>
        <v>2.4831599262176072E-2</v>
      </c>
    </row>
    <row r="3905" spans="19:24" x14ac:dyDescent="0.25">
      <c r="S3905" s="44">
        <f t="shared" si="367"/>
        <v>46955</v>
      </c>
      <c r="T3905" s="12">
        <f t="shared" si="362"/>
        <v>2.2424602502831785</v>
      </c>
      <c r="U3905" s="12">
        <f t="shared" si="366"/>
        <v>2.2051550714043255</v>
      </c>
      <c r="V3905" s="30">
        <f t="shared" si="363"/>
        <v>0.39714301369863014</v>
      </c>
      <c r="W3905" s="46">
        <f t="shared" si="364"/>
        <v>-2.2424602502831781E-2</v>
      </c>
      <c r="X3905" s="33">
        <f t="shared" si="365"/>
        <v>2.4831557749903123E-2</v>
      </c>
    </row>
    <row r="3906" spans="19:24" x14ac:dyDescent="0.25">
      <c r="S3906" s="44">
        <f t="shared" si="367"/>
        <v>46956</v>
      </c>
      <c r="T3906" s="12">
        <f t="shared" si="362"/>
        <v>2.2397831679816376</v>
      </c>
      <c r="U3906" s="12">
        <f t="shared" si="366"/>
        <v>2.2025038946795363</v>
      </c>
      <c r="V3906" s="30">
        <f t="shared" si="363"/>
        <v>0.39711561643835613</v>
      </c>
      <c r="W3906" s="46">
        <f t="shared" si="364"/>
        <v>-2.2397831679816373E-2</v>
      </c>
      <c r="X3906" s="33">
        <f t="shared" si="365"/>
        <v>2.4831516237630177E-2</v>
      </c>
    </row>
    <row r="3907" spans="19:24" x14ac:dyDescent="0.25">
      <c r="S3907" s="44">
        <f t="shared" si="367"/>
        <v>46957</v>
      </c>
      <c r="T3907" s="12">
        <f t="shared" si="362"/>
        <v>2.2371060856800966</v>
      </c>
      <c r="U3907" s="12">
        <f t="shared" si="366"/>
        <v>2.1998527179547476</v>
      </c>
      <c r="V3907" s="30">
        <f t="shared" si="363"/>
        <v>0.39708821917808224</v>
      </c>
      <c r="W3907" s="46">
        <f t="shared" si="364"/>
        <v>-2.2371060856800962E-2</v>
      </c>
      <c r="X3907" s="33">
        <f t="shared" si="365"/>
        <v>2.4831474725357239E-2</v>
      </c>
    </row>
    <row r="3908" spans="19:24" x14ac:dyDescent="0.25">
      <c r="S3908" s="44">
        <f t="shared" si="367"/>
        <v>46958</v>
      </c>
      <c r="T3908" s="12">
        <f t="shared" si="362"/>
        <v>2.2344290033785548</v>
      </c>
      <c r="U3908" s="12">
        <f t="shared" si="366"/>
        <v>2.1972015412299575</v>
      </c>
      <c r="V3908" s="30">
        <f t="shared" si="363"/>
        <v>0.39706082191780823</v>
      </c>
      <c r="W3908" s="46">
        <f t="shared" si="364"/>
        <v>-2.2344290033785543E-2</v>
      </c>
      <c r="X3908" s="33">
        <f t="shared" si="365"/>
        <v>2.4831433213084293E-2</v>
      </c>
    </row>
    <row r="3909" spans="19:24" x14ac:dyDescent="0.25">
      <c r="S3909" s="44">
        <f t="shared" si="367"/>
        <v>46959</v>
      </c>
      <c r="T3909" s="12">
        <f t="shared" ref="T3909:T3972" si="368">DurMod(S3909,B$2,$F$7:$G$37,$T$3)</f>
        <v>2.2317519210770138</v>
      </c>
      <c r="U3909" s="12">
        <f t="shared" si="366"/>
        <v>2.1945503645051678</v>
      </c>
      <c r="V3909" s="30">
        <f t="shared" ref="V3909:V3972" si="369">+$U$3*($S$5512-S3909)/365+$T$3*(S3909-$S$4)/365</f>
        <v>0.39703342465753427</v>
      </c>
      <c r="W3909" s="46">
        <f t="shared" ref="W3909:W3972" si="370">+-T3909*($U$3-$T$3)</f>
        <v>-2.2317519210770135E-2</v>
      </c>
      <c r="X3909" s="33">
        <f t="shared" ref="X3909:X3972" si="371">+(V3909+W3909)*365/($S$5512-$S$4)</f>
        <v>2.4831391700811351E-2</v>
      </c>
    </row>
    <row r="3910" spans="19:24" x14ac:dyDescent="0.25">
      <c r="S3910" s="44">
        <f t="shared" si="367"/>
        <v>46960</v>
      </c>
      <c r="T3910" s="12">
        <f t="shared" si="368"/>
        <v>2.2290748387754724</v>
      </c>
      <c r="U3910" s="12">
        <f t="shared" ref="U3910:U3973" si="372">DurMod($S3910,$B$2,$F$7:$G$37,U$3)</f>
        <v>2.1918991877803795</v>
      </c>
      <c r="V3910" s="30">
        <f t="shared" si="369"/>
        <v>0.39700602739726026</v>
      </c>
      <c r="W3910" s="46">
        <f t="shared" si="370"/>
        <v>-2.229074838775472E-2</v>
      </c>
      <c r="X3910" s="33">
        <f t="shared" si="371"/>
        <v>2.4831350188538402E-2</v>
      </c>
    </row>
    <row r="3911" spans="19:24" x14ac:dyDescent="0.25">
      <c r="S3911" s="44">
        <f t="shared" si="367"/>
        <v>46961</v>
      </c>
      <c r="T3911" s="12">
        <f t="shared" si="368"/>
        <v>2.2263977564739319</v>
      </c>
      <c r="U3911" s="12">
        <f t="shared" si="372"/>
        <v>2.1892480110555903</v>
      </c>
      <c r="V3911" s="30">
        <f t="shared" si="369"/>
        <v>0.39697863013698631</v>
      </c>
      <c r="W3911" s="46">
        <f t="shared" si="370"/>
        <v>-2.2263977564739315E-2</v>
      </c>
      <c r="X3911" s="33">
        <f t="shared" si="371"/>
        <v>2.483130867626546E-2</v>
      </c>
    </row>
    <row r="3912" spans="19:24" x14ac:dyDescent="0.25">
      <c r="S3912" s="44">
        <f t="shared" si="367"/>
        <v>46962</v>
      </c>
      <c r="T3912" s="12">
        <f t="shared" si="368"/>
        <v>2.2237206741723901</v>
      </c>
      <c r="U3912" s="12">
        <f t="shared" si="372"/>
        <v>2.1865968343308007</v>
      </c>
      <c r="V3912" s="30">
        <f t="shared" si="369"/>
        <v>0.3969512328767123</v>
      </c>
      <c r="W3912" s="46">
        <f t="shared" si="370"/>
        <v>-2.2237206741723897E-2</v>
      </c>
      <c r="X3912" s="33">
        <f t="shared" si="371"/>
        <v>2.4831267163992515E-2</v>
      </c>
    </row>
    <row r="3913" spans="19:24" x14ac:dyDescent="0.25">
      <c r="S3913" s="44">
        <f t="shared" si="367"/>
        <v>46963</v>
      </c>
      <c r="T3913" s="12">
        <f t="shared" si="368"/>
        <v>2.2210435918708491</v>
      </c>
      <c r="U3913" s="12">
        <f t="shared" si="372"/>
        <v>2.183945657606011</v>
      </c>
      <c r="V3913" s="30">
        <f t="shared" si="369"/>
        <v>0.39692383561643835</v>
      </c>
      <c r="W3913" s="46">
        <f t="shared" si="370"/>
        <v>-2.2210435918708488E-2</v>
      </c>
      <c r="X3913" s="33">
        <f t="shared" si="371"/>
        <v>2.4831225651719573E-2</v>
      </c>
    </row>
    <row r="3914" spans="19:24" x14ac:dyDescent="0.25">
      <c r="S3914" s="44">
        <f t="shared" si="367"/>
        <v>46964</v>
      </c>
      <c r="T3914" s="12">
        <f t="shared" si="368"/>
        <v>2.2183665095693081</v>
      </c>
      <c r="U3914" s="12">
        <f t="shared" si="372"/>
        <v>2.1812944808812218</v>
      </c>
      <c r="V3914" s="30">
        <f t="shared" si="369"/>
        <v>0.39689643835616439</v>
      </c>
      <c r="W3914" s="46">
        <f t="shared" si="370"/>
        <v>-2.2183665095693077E-2</v>
      </c>
      <c r="X3914" s="33">
        <f t="shared" si="371"/>
        <v>2.4831184139446631E-2</v>
      </c>
    </row>
    <row r="3915" spans="19:24" x14ac:dyDescent="0.25">
      <c r="S3915" s="44">
        <f t="shared" si="367"/>
        <v>46965</v>
      </c>
      <c r="T3915" s="12">
        <f t="shared" si="368"/>
        <v>2.2156894272677663</v>
      </c>
      <c r="U3915" s="12">
        <f t="shared" si="372"/>
        <v>2.1786433041564321</v>
      </c>
      <c r="V3915" s="30">
        <f t="shared" si="369"/>
        <v>0.39686904109589038</v>
      </c>
      <c r="W3915" s="46">
        <f t="shared" si="370"/>
        <v>-2.2156894272677658E-2</v>
      </c>
      <c r="X3915" s="33">
        <f t="shared" si="371"/>
        <v>2.4831142627173682E-2</v>
      </c>
    </row>
    <row r="3916" spans="19:24" x14ac:dyDescent="0.25">
      <c r="S3916" s="44">
        <f t="shared" si="367"/>
        <v>46966</v>
      </c>
      <c r="T3916" s="12">
        <f t="shared" si="368"/>
        <v>2.2130123449662253</v>
      </c>
      <c r="U3916" s="12">
        <f t="shared" si="372"/>
        <v>2.1759921274316434</v>
      </c>
      <c r="V3916" s="30">
        <f t="shared" si="369"/>
        <v>0.39684164383561649</v>
      </c>
      <c r="W3916" s="46">
        <f t="shared" si="370"/>
        <v>-2.213012344966225E-2</v>
      </c>
      <c r="X3916" s="33">
        <f t="shared" si="371"/>
        <v>2.4831101114900739E-2</v>
      </c>
    </row>
    <row r="3917" spans="19:24" x14ac:dyDescent="0.25">
      <c r="S3917" s="44">
        <f t="shared" si="367"/>
        <v>46967</v>
      </c>
      <c r="T3917" s="12">
        <f t="shared" si="368"/>
        <v>2.2103352626646844</v>
      </c>
      <c r="U3917" s="12">
        <f t="shared" si="372"/>
        <v>2.1733409507068542</v>
      </c>
      <c r="V3917" s="30">
        <f t="shared" si="369"/>
        <v>0.39681424657534248</v>
      </c>
      <c r="W3917" s="46">
        <f t="shared" si="370"/>
        <v>-2.2103352626646842E-2</v>
      </c>
      <c r="X3917" s="33">
        <f t="shared" si="371"/>
        <v>2.4831059602627794E-2</v>
      </c>
    </row>
    <row r="3918" spans="19:24" x14ac:dyDescent="0.25">
      <c r="S3918" s="44">
        <f t="shared" si="367"/>
        <v>46968</v>
      </c>
      <c r="T3918" s="12">
        <f t="shared" si="368"/>
        <v>2.207658180363143</v>
      </c>
      <c r="U3918" s="12">
        <f t="shared" si="372"/>
        <v>2.170689773982065</v>
      </c>
      <c r="V3918" s="30">
        <f t="shared" si="369"/>
        <v>0.39678684931506852</v>
      </c>
      <c r="W3918" s="46">
        <f t="shared" si="370"/>
        <v>-2.2076581803631427E-2</v>
      </c>
      <c r="X3918" s="33">
        <f t="shared" si="371"/>
        <v>2.4831018090354859E-2</v>
      </c>
    </row>
    <row r="3919" spans="19:24" x14ac:dyDescent="0.25">
      <c r="S3919" s="44">
        <f t="shared" si="367"/>
        <v>46969</v>
      </c>
      <c r="T3919" s="12">
        <f t="shared" si="368"/>
        <v>2.2049810980616025</v>
      </c>
      <c r="U3919" s="12">
        <f t="shared" si="372"/>
        <v>2.1680385972572758</v>
      </c>
      <c r="V3919" s="30">
        <f t="shared" si="369"/>
        <v>0.39675945205479451</v>
      </c>
      <c r="W3919" s="46">
        <f t="shared" si="370"/>
        <v>-2.2049810980616022E-2</v>
      </c>
      <c r="X3919" s="33">
        <f t="shared" si="371"/>
        <v>2.4830976578081906E-2</v>
      </c>
    </row>
    <row r="3920" spans="19:24" x14ac:dyDescent="0.25">
      <c r="S3920" s="44">
        <f t="shared" si="367"/>
        <v>46970</v>
      </c>
      <c r="T3920" s="12">
        <f t="shared" si="368"/>
        <v>2.2023040157600606</v>
      </c>
      <c r="U3920" s="12">
        <f t="shared" si="372"/>
        <v>2.1653874205324866</v>
      </c>
      <c r="V3920" s="30">
        <f t="shared" si="369"/>
        <v>0.39673205479452056</v>
      </c>
      <c r="W3920" s="46">
        <f t="shared" si="370"/>
        <v>-2.2023040157600603E-2</v>
      </c>
      <c r="X3920" s="33">
        <f t="shared" si="371"/>
        <v>2.4830935065808968E-2</v>
      </c>
    </row>
    <row r="3921" spans="19:24" x14ac:dyDescent="0.25">
      <c r="S3921" s="44">
        <f t="shared" si="367"/>
        <v>46971</v>
      </c>
      <c r="T3921" s="12">
        <f t="shared" si="368"/>
        <v>2.1996269334585192</v>
      </c>
      <c r="U3921" s="12">
        <f t="shared" si="372"/>
        <v>2.1627362438076965</v>
      </c>
      <c r="V3921" s="30">
        <f t="shared" si="369"/>
        <v>0.39670465753424661</v>
      </c>
      <c r="W3921" s="46">
        <f t="shared" si="370"/>
        <v>-2.1996269334585188E-2</v>
      </c>
      <c r="X3921" s="33">
        <f t="shared" si="371"/>
        <v>2.4830893553536022E-2</v>
      </c>
    </row>
    <row r="3922" spans="19:24" x14ac:dyDescent="0.25">
      <c r="S3922" s="44">
        <f t="shared" si="367"/>
        <v>46972</v>
      </c>
      <c r="T3922" s="12">
        <f t="shared" si="368"/>
        <v>2.1969498511569783</v>
      </c>
      <c r="U3922" s="12">
        <f t="shared" si="372"/>
        <v>2.1600850670829077</v>
      </c>
      <c r="V3922" s="30">
        <f t="shared" si="369"/>
        <v>0.39667726027397265</v>
      </c>
      <c r="W3922" s="46">
        <f t="shared" si="370"/>
        <v>-2.196949851156978E-2</v>
      </c>
      <c r="X3922" s="33">
        <f t="shared" si="371"/>
        <v>2.4830852041263084E-2</v>
      </c>
    </row>
    <row r="3923" spans="19:24" x14ac:dyDescent="0.25">
      <c r="S3923" s="44">
        <f t="shared" si="367"/>
        <v>46973</v>
      </c>
      <c r="T3923" s="12">
        <f t="shared" si="368"/>
        <v>2.1942727688554373</v>
      </c>
      <c r="U3923" s="12">
        <f t="shared" si="372"/>
        <v>2.1574338903581181</v>
      </c>
      <c r="V3923" s="30">
        <f t="shared" si="369"/>
        <v>0.39664986301369864</v>
      </c>
      <c r="W3923" s="46">
        <f t="shared" si="370"/>
        <v>-2.1942727688554368E-2</v>
      </c>
      <c r="X3923" s="33">
        <f t="shared" si="371"/>
        <v>2.4830810528990131E-2</v>
      </c>
    </row>
    <row r="3924" spans="19:24" x14ac:dyDescent="0.25">
      <c r="S3924" s="44">
        <f t="shared" si="367"/>
        <v>46974</v>
      </c>
      <c r="T3924" s="12">
        <f t="shared" si="368"/>
        <v>2.1915956865538955</v>
      </c>
      <c r="U3924" s="12">
        <f t="shared" si="372"/>
        <v>2.1547827136333289</v>
      </c>
      <c r="V3924" s="30">
        <f t="shared" si="369"/>
        <v>0.39662246575342464</v>
      </c>
      <c r="W3924" s="46">
        <f t="shared" si="370"/>
        <v>-2.191595686553895E-2</v>
      </c>
      <c r="X3924" s="33">
        <f t="shared" si="371"/>
        <v>2.4830769016717189E-2</v>
      </c>
    </row>
    <row r="3925" spans="19:24" x14ac:dyDescent="0.25">
      <c r="S3925" s="44">
        <f t="shared" si="367"/>
        <v>46975</v>
      </c>
      <c r="T3925" s="12">
        <f t="shared" si="368"/>
        <v>2.1889186042523545</v>
      </c>
      <c r="U3925" s="12">
        <f t="shared" si="372"/>
        <v>2.1521315369085396</v>
      </c>
      <c r="V3925" s="30">
        <f t="shared" si="369"/>
        <v>0.39659506849315068</v>
      </c>
      <c r="W3925" s="46">
        <f t="shared" si="370"/>
        <v>-2.1889186042523542E-2</v>
      </c>
      <c r="X3925" s="33">
        <f t="shared" si="371"/>
        <v>2.4830727504444247E-2</v>
      </c>
    </row>
    <row r="3926" spans="19:24" x14ac:dyDescent="0.25">
      <c r="S3926" s="44">
        <f t="shared" si="367"/>
        <v>46976</v>
      </c>
      <c r="T3926" s="12">
        <f t="shared" si="368"/>
        <v>2.1862415219508136</v>
      </c>
      <c r="U3926" s="12">
        <f t="shared" si="372"/>
        <v>2.1494803601837509</v>
      </c>
      <c r="V3926" s="30">
        <f t="shared" si="369"/>
        <v>0.39656767123287673</v>
      </c>
      <c r="W3926" s="46">
        <f t="shared" si="370"/>
        <v>-2.1862415219508134E-2</v>
      </c>
      <c r="X3926" s="33">
        <f t="shared" si="371"/>
        <v>2.4830685992171302E-2</v>
      </c>
    </row>
    <row r="3927" spans="19:24" x14ac:dyDescent="0.25">
      <c r="S3927" s="44">
        <f t="shared" si="367"/>
        <v>46977</v>
      </c>
      <c r="T3927" s="12">
        <f t="shared" si="368"/>
        <v>2.1835644396492722</v>
      </c>
      <c r="U3927" s="12">
        <f t="shared" si="372"/>
        <v>2.1468291834589612</v>
      </c>
      <c r="V3927" s="30">
        <f t="shared" si="369"/>
        <v>0.39654027397260272</v>
      </c>
      <c r="W3927" s="46">
        <f t="shared" si="370"/>
        <v>-2.1835644396492718E-2</v>
      </c>
      <c r="X3927" s="33">
        <f t="shared" si="371"/>
        <v>2.483064447989836E-2</v>
      </c>
    </row>
    <row r="3928" spans="19:24" x14ac:dyDescent="0.25">
      <c r="S3928" s="44">
        <f t="shared" si="367"/>
        <v>46978</v>
      </c>
      <c r="T3928" s="12">
        <f t="shared" si="368"/>
        <v>2.1808873573477308</v>
      </c>
      <c r="U3928" s="12">
        <f t="shared" si="372"/>
        <v>2.144178006734172</v>
      </c>
      <c r="V3928" s="30">
        <f t="shared" si="369"/>
        <v>0.39651287671232882</v>
      </c>
      <c r="W3928" s="46">
        <f t="shared" si="370"/>
        <v>-2.1808873573477303E-2</v>
      </c>
      <c r="X3928" s="33">
        <f t="shared" si="371"/>
        <v>2.4830602967625418E-2</v>
      </c>
    </row>
    <row r="3929" spans="19:24" x14ac:dyDescent="0.25">
      <c r="S3929" s="44">
        <f t="shared" si="367"/>
        <v>46979</v>
      </c>
      <c r="T3929" s="12">
        <f t="shared" si="368"/>
        <v>2.1782102750461898</v>
      </c>
      <c r="U3929" s="12">
        <f t="shared" si="372"/>
        <v>2.1415268300093824</v>
      </c>
      <c r="V3929" s="30">
        <f t="shared" si="369"/>
        <v>0.39648547945205481</v>
      </c>
      <c r="W3929" s="46">
        <f t="shared" si="370"/>
        <v>-2.1782102750461895E-2</v>
      </c>
      <c r="X3929" s="33">
        <f t="shared" si="371"/>
        <v>2.4830561455352475E-2</v>
      </c>
    </row>
    <row r="3930" spans="19:24" x14ac:dyDescent="0.25">
      <c r="S3930" s="44">
        <f t="shared" si="367"/>
        <v>46980</v>
      </c>
      <c r="T3930" s="12">
        <f t="shared" si="368"/>
        <v>2.1755331927446493</v>
      </c>
      <c r="U3930" s="12">
        <f t="shared" si="372"/>
        <v>2.1388756532845932</v>
      </c>
      <c r="V3930" s="30">
        <f t="shared" si="369"/>
        <v>0.39645808219178086</v>
      </c>
      <c r="W3930" s="46">
        <f t="shared" si="370"/>
        <v>-2.175533192744649E-2</v>
      </c>
      <c r="X3930" s="33">
        <f t="shared" si="371"/>
        <v>2.4830519943079526E-2</v>
      </c>
    </row>
    <row r="3931" spans="19:24" x14ac:dyDescent="0.25">
      <c r="S3931" s="44">
        <f t="shared" si="367"/>
        <v>46981</v>
      </c>
      <c r="T3931" s="12">
        <f t="shared" si="368"/>
        <v>2.1728561104431074</v>
      </c>
      <c r="U3931" s="12">
        <f t="shared" si="372"/>
        <v>2.1362244765598044</v>
      </c>
      <c r="V3931" s="30">
        <f t="shared" si="369"/>
        <v>0.39643068493150685</v>
      </c>
      <c r="W3931" s="46">
        <f t="shared" si="370"/>
        <v>-2.1728561104431072E-2</v>
      </c>
      <c r="X3931" s="33">
        <f t="shared" si="371"/>
        <v>2.4830478430806584E-2</v>
      </c>
    </row>
    <row r="3932" spans="19:24" x14ac:dyDescent="0.25">
      <c r="S3932" s="44">
        <f t="shared" si="367"/>
        <v>46982</v>
      </c>
      <c r="T3932" s="12">
        <f t="shared" si="368"/>
        <v>2.1701790281415665</v>
      </c>
      <c r="U3932" s="12">
        <f t="shared" si="372"/>
        <v>2.1335732998350148</v>
      </c>
      <c r="V3932" s="30">
        <f t="shared" si="369"/>
        <v>0.3964032876712329</v>
      </c>
      <c r="W3932" s="46">
        <f t="shared" si="370"/>
        <v>-2.170179028141566E-2</v>
      </c>
      <c r="X3932" s="33">
        <f t="shared" si="371"/>
        <v>2.4830436918533639E-2</v>
      </c>
    </row>
    <row r="3933" spans="19:24" x14ac:dyDescent="0.25">
      <c r="S3933" s="44">
        <f t="shared" si="367"/>
        <v>46983</v>
      </c>
      <c r="T3933" s="12">
        <f t="shared" si="368"/>
        <v>2.1675019458400251</v>
      </c>
      <c r="U3933" s="12">
        <f t="shared" si="372"/>
        <v>2.1309221231102251</v>
      </c>
      <c r="V3933" s="30">
        <f t="shared" si="369"/>
        <v>0.39637589041095889</v>
      </c>
      <c r="W3933" s="46">
        <f t="shared" si="370"/>
        <v>-2.1675019458400249E-2</v>
      </c>
      <c r="X3933" s="33">
        <f t="shared" si="371"/>
        <v>2.4830395406260697E-2</v>
      </c>
    </row>
    <row r="3934" spans="19:24" x14ac:dyDescent="0.25">
      <c r="S3934" s="44">
        <f t="shared" si="367"/>
        <v>46984</v>
      </c>
      <c r="T3934" s="12">
        <f t="shared" si="368"/>
        <v>2.1648248635384841</v>
      </c>
      <c r="U3934" s="12">
        <f t="shared" si="372"/>
        <v>2.1282709463854359</v>
      </c>
      <c r="V3934" s="30">
        <f t="shared" si="369"/>
        <v>0.39634849315068493</v>
      </c>
      <c r="W3934" s="46">
        <f t="shared" si="370"/>
        <v>-2.1648248635384837E-2</v>
      </c>
      <c r="X3934" s="33">
        <f t="shared" si="371"/>
        <v>2.4830353893987748E-2</v>
      </c>
    </row>
    <row r="3935" spans="19:24" x14ac:dyDescent="0.25">
      <c r="S3935" s="44">
        <f t="shared" si="367"/>
        <v>46985</v>
      </c>
      <c r="T3935" s="12">
        <f t="shared" si="368"/>
        <v>2.1621477812369427</v>
      </c>
      <c r="U3935" s="12">
        <f t="shared" si="372"/>
        <v>2.1256197696606467</v>
      </c>
      <c r="V3935" s="30">
        <f t="shared" si="369"/>
        <v>0.39632109589041092</v>
      </c>
      <c r="W3935" s="46">
        <f t="shared" si="370"/>
        <v>-2.1621477812369425E-2</v>
      </c>
      <c r="X3935" s="33">
        <f t="shared" si="371"/>
        <v>2.4830312381714802E-2</v>
      </c>
    </row>
    <row r="3936" spans="19:24" x14ac:dyDescent="0.25">
      <c r="S3936" s="44">
        <f t="shared" si="367"/>
        <v>46986</v>
      </c>
      <c r="T3936" s="12">
        <f t="shared" si="368"/>
        <v>2.1594706989354013</v>
      </c>
      <c r="U3936" s="12">
        <f t="shared" si="372"/>
        <v>2.122968592935857</v>
      </c>
      <c r="V3936" s="30">
        <f t="shared" si="369"/>
        <v>0.39629369863013697</v>
      </c>
      <c r="W3936" s="46">
        <f t="shared" si="370"/>
        <v>-2.159470698935401E-2</v>
      </c>
      <c r="X3936" s="33">
        <f t="shared" si="371"/>
        <v>2.4830270869441864E-2</v>
      </c>
    </row>
    <row r="3937" spans="19:24" x14ac:dyDescent="0.25">
      <c r="S3937" s="44">
        <f t="shared" si="367"/>
        <v>46987</v>
      </c>
      <c r="T3937" s="12">
        <f t="shared" si="368"/>
        <v>2.1567936166338604</v>
      </c>
      <c r="U3937" s="12">
        <f t="shared" si="372"/>
        <v>2.1203174162110683</v>
      </c>
      <c r="V3937" s="30">
        <f t="shared" si="369"/>
        <v>0.39626630136986296</v>
      </c>
      <c r="W3937" s="46">
        <f t="shared" si="370"/>
        <v>-2.1567936166338602E-2</v>
      </c>
      <c r="X3937" s="33">
        <f t="shared" si="371"/>
        <v>2.4830229357168915E-2</v>
      </c>
    </row>
    <row r="3938" spans="19:24" x14ac:dyDescent="0.25">
      <c r="S3938" s="44">
        <f t="shared" si="367"/>
        <v>46988</v>
      </c>
      <c r="T3938" s="12">
        <f t="shared" si="368"/>
        <v>2.154116534332319</v>
      </c>
      <c r="U3938" s="12">
        <f t="shared" si="372"/>
        <v>2.1176662394862791</v>
      </c>
      <c r="V3938" s="30">
        <f t="shared" si="369"/>
        <v>0.39623890410958906</v>
      </c>
      <c r="W3938" s="46">
        <f t="shared" si="370"/>
        <v>-2.1541165343323187E-2</v>
      </c>
      <c r="X3938" s="33">
        <f t="shared" si="371"/>
        <v>2.4830187844895976E-2</v>
      </c>
    </row>
    <row r="3939" spans="19:24" x14ac:dyDescent="0.25">
      <c r="S3939" s="44">
        <f t="shared" si="367"/>
        <v>46989</v>
      </c>
      <c r="T3939" s="12">
        <f t="shared" si="368"/>
        <v>2.151439452030778</v>
      </c>
      <c r="U3939" s="12">
        <f t="shared" si="372"/>
        <v>2.1150150627614899</v>
      </c>
      <c r="V3939" s="30">
        <f t="shared" si="369"/>
        <v>0.39621150684931505</v>
      </c>
      <c r="W3939" s="46">
        <f t="shared" si="370"/>
        <v>-2.1514394520307775E-2</v>
      </c>
      <c r="X3939" s="33">
        <f t="shared" si="371"/>
        <v>2.4830146332623031E-2</v>
      </c>
    </row>
    <row r="3940" spans="19:24" x14ac:dyDescent="0.25">
      <c r="S3940" s="44">
        <f t="shared" si="367"/>
        <v>46990</v>
      </c>
      <c r="T3940" s="12">
        <f t="shared" si="368"/>
        <v>2.1487623697292371</v>
      </c>
      <c r="U3940" s="12">
        <f t="shared" si="372"/>
        <v>2.1123638860367002</v>
      </c>
      <c r="V3940" s="30">
        <f t="shared" si="369"/>
        <v>0.3961841095890411</v>
      </c>
      <c r="W3940" s="46">
        <f t="shared" si="370"/>
        <v>-2.1487623697292367E-2</v>
      </c>
      <c r="X3940" s="33">
        <f t="shared" si="371"/>
        <v>2.4830104820350092E-2</v>
      </c>
    </row>
    <row r="3941" spans="19:24" x14ac:dyDescent="0.25">
      <c r="S3941" s="44">
        <f t="shared" si="367"/>
        <v>46991</v>
      </c>
      <c r="T3941" s="12">
        <f t="shared" si="368"/>
        <v>2.1460852874276952</v>
      </c>
      <c r="U3941" s="12">
        <f t="shared" si="372"/>
        <v>2.1097127093119115</v>
      </c>
      <c r="V3941" s="30">
        <f t="shared" si="369"/>
        <v>0.39615671232876715</v>
      </c>
      <c r="W3941" s="46">
        <f t="shared" si="370"/>
        <v>-2.1460852874276948E-2</v>
      </c>
      <c r="X3941" s="33">
        <f t="shared" si="371"/>
        <v>2.4830063308077147E-2</v>
      </c>
    </row>
    <row r="3942" spans="19:24" x14ac:dyDescent="0.25">
      <c r="S3942" s="44">
        <f t="shared" si="367"/>
        <v>46992</v>
      </c>
      <c r="T3942" s="12">
        <f t="shared" si="368"/>
        <v>2.1434082051261543</v>
      </c>
      <c r="U3942" s="12">
        <f t="shared" si="372"/>
        <v>2.1070615325871218</v>
      </c>
      <c r="V3942" s="30">
        <f t="shared" si="369"/>
        <v>0.39612931506849314</v>
      </c>
      <c r="W3942" s="46">
        <f t="shared" si="370"/>
        <v>-2.143408205126154E-2</v>
      </c>
      <c r="X3942" s="33">
        <f t="shared" si="371"/>
        <v>2.4830021795804205E-2</v>
      </c>
    </row>
    <row r="3943" spans="19:24" x14ac:dyDescent="0.25">
      <c r="S3943" s="44">
        <f t="shared" si="367"/>
        <v>46993</v>
      </c>
      <c r="T3943" s="12">
        <f t="shared" si="368"/>
        <v>2.1407311228246133</v>
      </c>
      <c r="U3943" s="12">
        <f t="shared" si="372"/>
        <v>2.1044103558623326</v>
      </c>
      <c r="V3943" s="30">
        <f t="shared" si="369"/>
        <v>0.39610191780821924</v>
      </c>
      <c r="W3943" s="46">
        <f t="shared" si="370"/>
        <v>-2.1407311228246129E-2</v>
      </c>
      <c r="X3943" s="33">
        <f t="shared" si="371"/>
        <v>2.4829980283531262E-2</v>
      </c>
    </row>
    <row r="3944" spans="19:24" x14ac:dyDescent="0.25">
      <c r="S3944" s="44">
        <f t="shared" si="367"/>
        <v>46994</v>
      </c>
      <c r="T3944" s="12">
        <f t="shared" si="368"/>
        <v>2.1380540405230719</v>
      </c>
      <c r="U3944" s="12">
        <f t="shared" si="372"/>
        <v>2.101759179137543</v>
      </c>
      <c r="V3944" s="30">
        <f t="shared" si="369"/>
        <v>0.39607452054794523</v>
      </c>
      <c r="W3944" s="46">
        <f t="shared" si="370"/>
        <v>-2.1380540405230717E-2</v>
      </c>
      <c r="X3944" s="33">
        <f t="shared" si="371"/>
        <v>2.4829938771258313E-2</v>
      </c>
    </row>
    <row r="3945" spans="19:24" x14ac:dyDescent="0.25">
      <c r="S3945" s="44">
        <f t="shared" si="367"/>
        <v>46995</v>
      </c>
      <c r="T3945" s="12">
        <f t="shared" si="368"/>
        <v>2.135376958221531</v>
      </c>
      <c r="U3945" s="12">
        <f t="shared" si="372"/>
        <v>2.0991080024127542</v>
      </c>
      <c r="V3945" s="30">
        <f t="shared" si="369"/>
        <v>0.39604712328767122</v>
      </c>
      <c r="W3945" s="46">
        <f t="shared" si="370"/>
        <v>-2.1353769582215305E-2</v>
      </c>
      <c r="X3945" s="33">
        <f t="shared" si="371"/>
        <v>2.4829897258985368E-2</v>
      </c>
    </row>
    <row r="3946" spans="19:24" x14ac:dyDescent="0.25">
      <c r="S3946" s="44">
        <f t="shared" si="367"/>
        <v>46996</v>
      </c>
      <c r="T3946" s="12">
        <f t="shared" si="368"/>
        <v>2.1326998759199896</v>
      </c>
      <c r="U3946" s="12">
        <f t="shared" si="372"/>
        <v>2.0964568256879645</v>
      </c>
      <c r="V3946" s="30">
        <f t="shared" si="369"/>
        <v>0.39601972602739727</v>
      </c>
      <c r="W3946" s="46">
        <f t="shared" si="370"/>
        <v>-2.1326998759199894E-2</v>
      </c>
      <c r="X3946" s="33">
        <f t="shared" si="371"/>
        <v>2.4829855746712426E-2</v>
      </c>
    </row>
    <row r="3947" spans="19:24" x14ac:dyDescent="0.25">
      <c r="S3947" s="44">
        <f t="shared" si="367"/>
        <v>46997</v>
      </c>
      <c r="T3947" s="12">
        <f t="shared" si="368"/>
        <v>2.1300227936184482</v>
      </c>
      <c r="U3947" s="12">
        <f t="shared" si="372"/>
        <v>2.0938056489631753</v>
      </c>
      <c r="V3947" s="30">
        <f t="shared" si="369"/>
        <v>0.39599232876712326</v>
      </c>
      <c r="W3947" s="46">
        <f t="shared" si="370"/>
        <v>-2.1300227936184479E-2</v>
      </c>
      <c r="X3947" s="33">
        <f t="shared" si="371"/>
        <v>2.4829814234439477E-2</v>
      </c>
    </row>
    <row r="3948" spans="19:24" x14ac:dyDescent="0.25">
      <c r="S3948" s="44">
        <f t="shared" si="367"/>
        <v>46998</v>
      </c>
      <c r="T3948" s="12">
        <f t="shared" si="368"/>
        <v>2.1273457113169068</v>
      </c>
      <c r="U3948" s="12">
        <f t="shared" si="372"/>
        <v>2.0911544722383857</v>
      </c>
      <c r="V3948" s="30">
        <f t="shared" si="369"/>
        <v>0.3959649315068493</v>
      </c>
      <c r="W3948" s="46">
        <f t="shared" si="370"/>
        <v>-2.1273457113169063E-2</v>
      </c>
      <c r="X3948" s="33">
        <f t="shared" si="371"/>
        <v>2.4829772722166535E-2</v>
      </c>
    </row>
    <row r="3949" spans="19:24" x14ac:dyDescent="0.25">
      <c r="S3949" s="44">
        <f t="shared" si="367"/>
        <v>46999</v>
      </c>
      <c r="T3949" s="12">
        <f t="shared" si="368"/>
        <v>2.1246686290153658</v>
      </c>
      <c r="U3949" s="12">
        <f t="shared" si="372"/>
        <v>2.0885032955135969</v>
      </c>
      <c r="V3949" s="30">
        <f t="shared" si="369"/>
        <v>0.3959375342465753</v>
      </c>
      <c r="W3949" s="46">
        <f t="shared" si="370"/>
        <v>-2.1246686290153655E-2</v>
      </c>
      <c r="X3949" s="33">
        <f t="shared" si="371"/>
        <v>2.4829731209893593E-2</v>
      </c>
    </row>
    <row r="3950" spans="19:24" x14ac:dyDescent="0.25">
      <c r="S3950" s="44">
        <f t="shared" si="367"/>
        <v>47000</v>
      </c>
      <c r="T3950" s="12">
        <f t="shared" si="368"/>
        <v>2.1219915467138244</v>
      </c>
      <c r="U3950" s="12">
        <f t="shared" si="372"/>
        <v>2.0858521187888073</v>
      </c>
      <c r="V3950" s="30">
        <f t="shared" si="369"/>
        <v>0.3959101369863014</v>
      </c>
      <c r="W3950" s="46">
        <f t="shared" si="370"/>
        <v>-2.121991546713824E-2</v>
      </c>
      <c r="X3950" s="33">
        <f t="shared" si="371"/>
        <v>2.4829689697620651E-2</v>
      </c>
    </row>
    <row r="3951" spans="19:24" x14ac:dyDescent="0.25">
      <c r="S3951" s="44">
        <f t="shared" si="367"/>
        <v>47001</v>
      </c>
      <c r="T3951" s="12">
        <f t="shared" si="368"/>
        <v>2.1193144644122834</v>
      </c>
      <c r="U3951" s="12">
        <f t="shared" si="372"/>
        <v>2.0832009420640185</v>
      </c>
      <c r="V3951" s="30">
        <f t="shared" si="369"/>
        <v>0.39588273972602739</v>
      </c>
      <c r="W3951" s="46">
        <f t="shared" si="370"/>
        <v>-2.1193144644122832E-2</v>
      </c>
      <c r="X3951" s="33">
        <f t="shared" si="371"/>
        <v>2.4829648185347705E-2</v>
      </c>
    </row>
    <row r="3952" spans="19:24" x14ac:dyDescent="0.25">
      <c r="S3952" s="44">
        <f t="shared" si="367"/>
        <v>47002</v>
      </c>
      <c r="T3952" s="12">
        <f t="shared" si="368"/>
        <v>2.1166373821107429</v>
      </c>
      <c r="U3952" s="12">
        <f t="shared" si="372"/>
        <v>2.0805497653392289</v>
      </c>
      <c r="V3952" s="30">
        <f t="shared" si="369"/>
        <v>0.39585534246575349</v>
      </c>
      <c r="W3952" s="46">
        <f t="shared" si="370"/>
        <v>-2.1166373821107427E-2</v>
      </c>
      <c r="X3952" s="33">
        <f t="shared" si="371"/>
        <v>2.4829606673074767E-2</v>
      </c>
    </row>
    <row r="3953" spans="19:24" x14ac:dyDescent="0.25">
      <c r="S3953" s="44">
        <f t="shared" si="367"/>
        <v>47003</v>
      </c>
      <c r="T3953" s="12">
        <f t="shared" si="368"/>
        <v>2.1139602998092011</v>
      </c>
      <c r="U3953" s="12">
        <f t="shared" si="372"/>
        <v>2.0778985886144397</v>
      </c>
      <c r="V3953" s="30">
        <f t="shared" si="369"/>
        <v>0.39582794520547948</v>
      </c>
      <c r="W3953" s="46">
        <f t="shared" si="370"/>
        <v>-2.1139602998092009E-2</v>
      </c>
      <c r="X3953" s="33">
        <f t="shared" si="371"/>
        <v>2.4829565160801821E-2</v>
      </c>
    </row>
    <row r="3954" spans="19:24" x14ac:dyDescent="0.25">
      <c r="S3954" s="44">
        <f t="shared" si="367"/>
        <v>47004</v>
      </c>
      <c r="T3954" s="12">
        <f t="shared" si="368"/>
        <v>2.1112832175076597</v>
      </c>
      <c r="U3954" s="12">
        <f t="shared" si="372"/>
        <v>2.0752474118896505</v>
      </c>
      <c r="V3954" s="30">
        <f t="shared" si="369"/>
        <v>0.39580054794520547</v>
      </c>
      <c r="W3954" s="46">
        <f t="shared" si="370"/>
        <v>-2.1112832175076594E-2</v>
      </c>
      <c r="X3954" s="33">
        <f t="shared" si="371"/>
        <v>2.4829523648528872E-2</v>
      </c>
    </row>
    <row r="3955" spans="19:24" x14ac:dyDescent="0.25">
      <c r="S3955" s="44">
        <f t="shared" ref="S3955:S4018" si="373">+S3954+1</f>
        <v>47005</v>
      </c>
      <c r="T3955" s="12">
        <f t="shared" si="368"/>
        <v>2.1086061352061187</v>
      </c>
      <c r="U3955" s="12">
        <f t="shared" si="372"/>
        <v>2.0725962351648604</v>
      </c>
      <c r="V3955" s="30">
        <f t="shared" si="369"/>
        <v>0.39577315068493152</v>
      </c>
      <c r="W3955" s="46">
        <f t="shared" si="370"/>
        <v>-2.1086061352061185E-2</v>
      </c>
      <c r="X3955" s="33">
        <f t="shared" si="371"/>
        <v>2.482948213625593E-2</v>
      </c>
    </row>
    <row r="3956" spans="19:24" x14ac:dyDescent="0.25">
      <c r="S3956" s="44">
        <f t="shared" si="373"/>
        <v>47006</v>
      </c>
      <c r="T3956" s="12">
        <f t="shared" si="368"/>
        <v>2.1059290529045778</v>
      </c>
      <c r="U3956" s="12">
        <f t="shared" si="372"/>
        <v>2.0699450584400716</v>
      </c>
      <c r="V3956" s="30">
        <f t="shared" si="369"/>
        <v>0.39574575342465751</v>
      </c>
      <c r="W3956" s="46">
        <f t="shared" si="370"/>
        <v>-2.1059290529045774E-2</v>
      </c>
      <c r="X3956" s="33">
        <f t="shared" si="371"/>
        <v>2.4829440623982985E-2</v>
      </c>
    </row>
    <row r="3957" spans="19:24" x14ac:dyDescent="0.25">
      <c r="S3957" s="44">
        <f t="shared" si="373"/>
        <v>47007</v>
      </c>
      <c r="T3957" s="12">
        <f t="shared" si="368"/>
        <v>2.1032519706030368</v>
      </c>
      <c r="U3957" s="12">
        <f t="shared" si="372"/>
        <v>2.0672938817152824</v>
      </c>
      <c r="V3957" s="30">
        <f t="shared" si="369"/>
        <v>0.39571835616438356</v>
      </c>
      <c r="W3957" s="46">
        <f t="shared" si="370"/>
        <v>-2.1032519706030366E-2</v>
      </c>
      <c r="X3957" s="33">
        <f t="shared" si="371"/>
        <v>2.4829399111710043E-2</v>
      </c>
    </row>
    <row r="3958" spans="19:24" x14ac:dyDescent="0.25">
      <c r="S3958" s="44">
        <f t="shared" si="373"/>
        <v>47008</v>
      </c>
      <c r="T3958" s="12">
        <f t="shared" si="368"/>
        <v>2.1005748883014954</v>
      </c>
      <c r="U3958" s="12">
        <f t="shared" si="372"/>
        <v>2.0646427049904932</v>
      </c>
      <c r="V3958" s="30">
        <f t="shared" si="369"/>
        <v>0.39569095890410955</v>
      </c>
      <c r="W3958" s="46">
        <f t="shared" si="370"/>
        <v>-2.1005748883014951E-2</v>
      </c>
      <c r="X3958" s="33">
        <f t="shared" si="371"/>
        <v>2.4829357599437097E-2</v>
      </c>
    </row>
    <row r="3959" spans="19:24" x14ac:dyDescent="0.25">
      <c r="S3959" s="44">
        <f t="shared" si="373"/>
        <v>47009</v>
      </c>
      <c r="T3959" s="12">
        <f t="shared" si="368"/>
        <v>2.0978978059999545</v>
      </c>
      <c r="U3959" s="12">
        <f t="shared" si="372"/>
        <v>2.061991528265704</v>
      </c>
      <c r="V3959" s="30">
        <f t="shared" si="369"/>
        <v>0.39566356164383559</v>
      </c>
      <c r="W3959" s="46">
        <f t="shared" si="370"/>
        <v>-2.0978978059999542E-2</v>
      </c>
      <c r="X3959" s="33">
        <f t="shared" si="371"/>
        <v>2.4829316087164155E-2</v>
      </c>
    </row>
    <row r="3960" spans="19:24" x14ac:dyDescent="0.25">
      <c r="S3960" s="44">
        <f t="shared" si="373"/>
        <v>47010</v>
      </c>
      <c r="T3960" s="12">
        <f t="shared" si="368"/>
        <v>2.0952207236984126</v>
      </c>
      <c r="U3960" s="12">
        <f t="shared" si="372"/>
        <v>2.0593403515409139</v>
      </c>
      <c r="V3960" s="30">
        <f t="shared" si="369"/>
        <v>0.39563616438356164</v>
      </c>
      <c r="W3960" s="46">
        <f t="shared" si="370"/>
        <v>-2.0952207236984124E-2</v>
      </c>
      <c r="X3960" s="33">
        <f t="shared" si="371"/>
        <v>2.4829274574891213E-2</v>
      </c>
    </row>
    <row r="3961" spans="19:24" x14ac:dyDescent="0.25">
      <c r="S3961" s="44">
        <f t="shared" si="373"/>
        <v>47011</v>
      </c>
      <c r="T3961" s="12">
        <f t="shared" si="368"/>
        <v>2.0925436413968717</v>
      </c>
      <c r="U3961" s="12">
        <f t="shared" si="372"/>
        <v>2.0566891748161251</v>
      </c>
      <c r="V3961" s="30">
        <f t="shared" si="369"/>
        <v>0.39560876712328763</v>
      </c>
      <c r="W3961" s="46">
        <f t="shared" si="370"/>
        <v>-2.0925436413968712E-2</v>
      </c>
      <c r="X3961" s="33">
        <f t="shared" si="371"/>
        <v>2.4829233062618264E-2</v>
      </c>
    </row>
    <row r="3962" spans="19:24" x14ac:dyDescent="0.25">
      <c r="S3962" s="44">
        <f t="shared" si="373"/>
        <v>47012</v>
      </c>
      <c r="T3962" s="12">
        <f t="shared" si="368"/>
        <v>2.0898665590953307</v>
      </c>
      <c r="U3962" s="12">
        <f t="shared" si="372"/>
        <v>2.0540379980913359</v>
      </c>
      <c r="V3962" s="30">
        <f t="shared" si="369"/>
        <v>0.39558136986301373</v>
      </c>
      <c r="W3962" s="46">
        <f t="shared" si="370"/>
        <v>-2.0898665590953304E-2</v>
      </c>
      <c r="X3962" s="33">
        <f t="shared" si="371"/>
        <v>2.4829191550345322E-2</v>
      </c>
    </row>
    <row r="3963" spans="19:24" x14ac:dyDescent="0.25">
      <c r="S3963" s="44">
        <f t="shared" si="373"/>
        <v>47013</v>
      </c>
      <c r="T3963" s="12">
        <f t="shared" si="368"/>
        <v>2.0871894767937893</v>
      </c>
      <c r="U3963" s="12">
        <f t="shared" si="372"/>
        <v>2.0513868213665467</v>
      </c>
      <c r="V3963" s="30">
        <f t="shared" si="369"/>
        <v>0.39555397260273972</v>
      </c>
      <c r="W3963" s="46">
        <f t="shared" si="370"/>
        <v>-2.0871894767937889E-2</v>
      </c>
      <c r="X3963" s="33">
        <f t="shared" si="371"/>
        <v>2.482915003807238E-2</v>
      </c>
    </row>
    <row r="3964" spans="19:24" x14ac:dyDescent="0.25">
      <c r="S3964" s="44">
        <f t="shared" si="373"/>
        <v>47014</v>
      </c>
      <c r="T3964" s="12">
        <f t="shared" si="368"/>
        <v>2.0845123944922479</v>
      </c>
      <c r="U3964" s="12">
        <f t="shared" si="372"/>
        <v>2.0487356446417571</v>
      </c>
      <c r="V3964" s="30">
        <f t="shared" si="369"/>
        <v>0.39552657534246577</v>
      </c>
      <c r="W3964" s="46">
        <f t="shared" si="370"/>
        <v>-2.0845123944922477E-2</v>
      </c>
      <c r="X3964" s="33">
        <f t="shared" si="371"/>
        <v>2.4829108525799438E-2</v>
      </c>
    </row>
    <row r="3965" spans="19:24" x14ac:dyDescent="0.25">
      <c r="S3965" s="44">
        <f t="shared" si="373"/>
        <v>47015</v>
      </c>
      <c r="T3965" s="12">
        <f t="shared" si="368"/>
        <v>2.0818353121907069</v>
      </c>
      <c r="U3965" s="12">
        <f t="shared" si="372"/>
        <v>2.0460844679169679</v>
      </c>
      <c r="V3965" s="30">
        <f t="shared" si="369"/>
        <v>0.39549917808219182</v>
      </c>
      <c r="W3965" s="46">
        <f t="shared" si="370"/>
        <v>-2.0818353121907066E-2</v>
      </c>
      <c r="X3965" s="33">
        <f t="shared" si="371"/>
        <v>2.4829067013526496E-2</v>
      </c>
    </row>
    <row r="3966" spans="19:24" x14ac:dyDescent="0.25">
      <c r="S3966" s="44">
        <f t="shared" si="373"/>
        <v>47016</v>
      </c>
      <c r="T3966" s="12">
        <f t="shared" si="368"/>
        <v>2.079158229889166</v>
      </c>
      <c r="U3966" s="12">
        <f t="shared" si="372"/>
        <v>2.0434332911921791</v>
      </c>
      <c r="V3966" s="30">
        <f t="shared" si="369"/>
        <v>0.39547178082191781</v>
      </c>
      <c r="W3966" s="46">
        <f t="shared" si="370"/>
        <v>-2.0791582298891657E-2</v>
      </c>
      <c r="X3966" s="33">
        <f t="shared" si="371"/>
        <v>2.482902550125355E-2</v>
      </c>
    </row>
    <row r="3967" spans="19:24" x14ac:dyDescent="0.25">
      <c r="S3967" s="44">
        <f t="shared" si="373"/>
        <v>47017</v>
      </c>
      <c r="T3967" s="12">
        <f t="shared" si="368"/>
        <v>2.0764811475876241</v>
      </c>
      <c r="U3967" s="12">
        <f t="shared" si="372"/>
        <v>2.0407821144673894</v>
      </c>
      <c r="V3967" s="30">
        <f t="shared" si="369"/>
        <v>0.39544438356164385</v>
      </c>
      <c r="W3967" s="46">
        <f t="shared" si="370"/>
        <v>-2.0764811475876239E-2</v>
      </c>
      <c r="X3967" s="33">
        <f t="shared" si="371"/>
        <v>2.4828983988980608E-2</v>
      </c>
    </row>
    <row r="3968" spans="19:24" x14ac:dyDescent="0.25">
      <c r="S3968" s="44">
        <f t="shared" si="373"/>
        <v>47018</v>
      </c>
      <c r="T3968" s="12">
        <f t="shared" si="368"/>
        <v>2.0738040652860832</v>
      </c>
      <c r="U3968" s="12">
        <f t="shared" si="372"/>
        <v>2.0381309377426002</v>
      </c>
      <c r="V3968" s="30">
        <f t="shared" si="369"/>
        <v>0.39541698630136984</v>
      </c>
      <c r="W3968" s="46">
        <f t="shared" si="370"/>
        <v>-2.0738040652860827E-2</v>
      </c>
      <c r="X3968" s="33">
        <f t="shared" si="371"/>
        <v>2.4828942476707659E-2</v>
      </c>
    </row>
    <row r="3969" spans="19:24" x14ac:dyDescent="0.25">
      <c r="S3969" s="44">
        <f t="shared" si="373"/>
        <v>47019</v>
      </c>
      <c r="T3969" s="12">
        <f t="shared" si="368"/>
        <v>2.0711269829845422</v>
      </c>
      <c r="U3969" s="12">
        <f t="shared" si="372"/>
        <v>2.0354797610178106</v>
      </c>
      <c r="V3969" s="30">
        <f t="shared" si="369"/>
        <v>0.39538958904109589</v>
      </c>
      <c r="W3969" s="46">
        <f t="shared" si="370"/>
        <v>-2.0711269829845419E-2</v>
      </c>
      <c r="X3969" s="33">
        <f t="shared" si="371"/>
        <v>2.4828900964434717E-2</v>
      </c>
    </row>
    <row r="3970" spans="19:24" x14ac:dyDescent="0.25">
      <c r="S3970" s="44">
        <f t="shared" si="373"/>
        <v>47020</v>
      </c>
      <c r="T3970" s="12">
        <f t="shared" si="368"/>
        <v>2.0684499006830008</v>
      </c>
      <c r="U3970" s="12">
        <f t="shared" si="372"/>
        <v>2.0328285842930214</v>
      </c>
      <c r="V3970" s="30">
        <f t="shared" si="369"/>
        <v>0.39536219178082188</v>
      </c>
      <c r="W3970" s="46">
        <f t="shared" si="370"/>
        <v>-2.0684499006830004E-2</v>
      </c>
      <c r="X3970" s="33">
        <f t="shared" si="371"/>
        <v>2.4828859452161772E-2</v>
      </c>
    </row>
    <row r="3971" spans="19:24" x14ac:dyDescent="0.25">
      <c r="S3971" s="44">
        <f t="shared" si="373"/>
        <v>47021</v>
      </c>
      <c r="T3971" s="12">
        <f t="shared" si="368"/>
        <v>2.0657728183814594</v>
      </c>
      <c r="U3971" s="12">
        <f t="shared" si="372"/>
        <v>2.0301774075682322</v>
      </c>
      <c r="V3971" s="30">
        <f t="shared" si="369"/>
        <v>0.39533479452054793</v>
      </c>
      <c r="W3971" s="46">
        <f t="shared" si="370"/>
        <v>-2.0657728183814592E-2</v>
      </c>
      <c r="X3971" s="33">
        <f t="shared" si="371"/>
        <v>2.482881793988883E-2</v>
      </c>
    </row>
    <row r="3972" spans="19:24" x14ac:dyDescent="0.25">
      <c r="S3972" s="44">
        <f t="shared" si="373"/>
        <v>47022</v>
      </c>
      <c r="T3972" s="12">
        <f t="shared" si="368"/>
        <v>2.0630957360799189</v>
      </c>
      <c r="U3972" s="12">
        <f t="shared" si="372"/>
        <v>2.0275262308434425</v>
      </c>
      <c r="V3972" s="30">
        <f t="shared" si="369"/>
        <v>0.39530739726027397</v>
      </c>
      <c r="W3972" s="46">
        <f t="shared" si="370"/>
        <v>-2.0630957360799188E-2</v>
      </c>
      <c r="X3972" s="33">
        <f t="shared" si="371"/>
        <v>2.4828776427615887E-2</v>
      </c>
    </row>
    <row r="3973" spans="19:24" x14ac:dyDescent="0.25">
      <c r="S3973" s="44">
        <f t="shared" si="373"/>
        <v>47023</v>
      </c>
      <c r="T3973" s="12">
        <f t="shared" ref="T3973:T4036" si="374">DurMod(S3973,B$2,$F$7:$G$37,$T$3)</f>
        <v>2.0604186537783771</v>
      </c>
      <c r="U3973" s="12">
        <f t="shared" si="372"/>
        <v>2.0248750541186533</v>
      </c>
      <c r="V3973" s="30">
        <f t="shared" ref="V3973:V4036" si="375">+$U$3*($S$5512-S3973)/365+$T$3*(S3973-$S$4)/365</f>
        <v>0.39527999999999996</v>
      </c>
      <c r="W3973" s="46">
        <f t="shared" ref="W3973:W4036" si="376">+-T3973*($U$3-$T$3)</f>
        <v>-2.0604186537783769E-2</v>
      </c>
      <c r="X3973" s="33">
        <f t="shared" ref="X3973:X4036" si="377">+(V3973+W3973)*365/($S$5512-$S$4)</f>
        <v>2.4828734915342938E-2</v>
      </c>
    </row>
    <row r="3974" spans="19:24" x14ac:dyDescent="0.25">
      <c r="S3974" s="44">
        <f t="shared" si="373"/>
        <v>47024</v>
      </c>
      <c r="T3974" s="12">
        <f t="shared" si="374"/>
        <v>2.0577415714768357</v>
      </c>
      <c r="U3974" s="12">
        <f t="shared" ref="U3974:U4037" si="378">DurMod($S3974,$B$2,$F$7:$G$37,U$3)</f>
        <v>2.0222238773938641</v>
      </c>
      <c r="V3974" s="30">
        <f t="shared" si="375"/>
        <v>0.39525260273972607</v>
      </c>
      <c r="W3974" s="46">
        <f t="shared" si="376"/>
        <v>-2.0577415714768354E-2</v>
      </c>
      <c r="X3974" s="33">
        <f t="shared" si="377"/>
        <v>2.4828693403070003E-2</v>
      </c>
    </row>
    <row r="3975" spans="19:24" x14ac:dyDescent="0.25">
      <c r="S3975" s="44">
        <f t="shared" si="373"/>
        <v>47025</v>
      </c>
      <c r="T3975" s="12">
        <f t="shared" si="374"/>
        <v>2.0550644891752952</v>
      </c>
      <c r="U3975" s="12">
        <f t="shared" si="378"/>
        <v>2.0195727006690749</v>
      </c>
      <c r="V3975" s="30">
        <f t="shared" si="375"/>
        <v>0.39522520547945206</v>
      </c>
      <c r="W3975" s="46">
        <f t="shared" si="376"/>
        <v>-2.0550644891752949E-2</v>
      </c>
      <c r="X3975" s="33">
        <f t="shared" si="377"/>
        <v>2.4828651890797054E-2</v>
      </c>
    </row>
    <row r="3976" spans="19:24" x14ac:dyDescent="0.25">
      <c r="S3976" s="44">
        <f t="shared" si="373"/>
        <v>47026</v>
      </c>
      <c r="T3976" s="12">
        <f t="shared" si="374"/>
        <v>2.0523874068737533</v>
      </c>
      <c r="U3976" s="12">
        <f t="shared" si="378"/>
        <v>2.0169215239442857</v>
      </c>
      <c r="V3976" s="30">
        <f t="shared" si="375"/>
        <v>0.3951978082191781</v>
      </c>
      <c r="W3976" s="46">
        <f t="shared" si="376"/>
        <v>-2.0523874068737531E-2</v>
      </c>
      <c r="X3976" s="33">
        <f t="shared" si="377"/>
        <v>2.4828610378524116E-2</v>
      </c>
    </row>
    <row r="3977" spans="19:24" x14ac:dyDescent="0.25">
      <c r="S3977" s="44">
        <f t="shared" si="373"/>
        <v>47027</v>
      </c>
      <c r="T3977" s="12">
        <f t="shared" si="374"/>
        <v>2.0497103245722124</v>
      </c>
      <c r="U3977" s="12">
        <f t="shared" si="378"/>
        <v>2.0142703472194965</v>
      </c>
      <c r="V3977" s="30">
        <f t="shared" si="375"/>
        <v>0.39517041095890409</v>
      </c>
      <c r="W3977" s="46">
        <f t="shared" si="376"/>
        <v>-2.0497103245722119E-2</v>
      </c>
      <c r="X3977" s="33">
        <f t="shared" si="377"/>
        <v>2.4828568866251167E-2</v>
      </c>
    </row>
    <row r="3978" spans="19:24" x14ac:dyDescent="0.25">
      <c r="S3978" s="44">
        <f t="shared" si="373"/>
        <v>47028</v>
      </c>
      <c r="T3978" s="12">
        <f t="shared" si="374"/>
        <v>2.0470332422706714</v>
      </c>
      <c r="U3978" s="12">
        <f t="shared" si="378"/>
        <v>2.0116191704947073</v>
      </c>
      <c r="V3978" s="30">
        <f t="shared" si="375"/>
        <v>0.39514301369863014</v>
      </c>
      <c r="W3978" s="46">
        <f t="shared" si="376"/>
        <v>-2.0470332422706711E-2</v>
      </c>
      <c r="X3978" s="33">
        <f t="shared" si="377"/>
        <v>2.4828527353978225E-2</v>
      </c>
    </row>
    <row r="3979" spans="19:24" x14ac:dyDescent="0.25">
      <c r="S3979" s="44">
        <f t="shared" si="373"/>
        <v>47029</v>
      </c>
      <c r="T3979" s="12">
        <f t="shared" si="374"/>
        <v>2.0443561599691309</v>
      </c>
      <c r="U3979" s="12">
        <f t="shared" si="378"/>
        <v>2.0089679937699176</v>
      </c>
      <c r="V3979" s="30">
        <f t="shared" si="375"/>
        <v>0.39511561643835613</v>
      </c>
      <c r="W3979" s="46">
        <f t="shared" si="376"/>
        <v>-2.0443561599691306E-2</v>
      </c>
      <c r="X3979" s="33">
        <f t="shared" si="377"/>
        <v>2.4828485841705279E-2</v>
      </c>
    </row>
    <row r="3980" spans="19:24" x14ac:dyDescent="0.25">
      <c r="S3980" s="44">
        <f t="shared" si="373"/>
        <v>47030</v>
      </c>
      <c r="T3980" s="12">
        <f t="shared" si="374"/>
        <v>2.0416790776675886</v>
      </c>
      <c r="U3980" s="12">
        <f t="shared" si="378"/>
        <v>2.0063168170451289</v>
      </c>
      <c r="V3980" s="30">
        <f t="shared" si="375"/>
        <v>0.39508821917808218</v>
      </c>
      <c r="W3980" s="46">
        <f t="shared" si="376"/>
        <v>-2.0416790776675884E-2</v>
      </c>
      <c r="X3980" s="33">
        <f t="shared" si="377"/>
        <v>2.482844432943233E-2</v>
      </c>
    </row>
    <row r="3981" spans="19:24" x14ac:dyDescent="0.25">
      <c r="S3981" s="44">
        <f t="shared" si="373"/>
        <v>47031</v>
      </c>
      <c r="T3981" s="12">
        <f t="shared" si="374"/>
        <v>2.0390019953660481</v>
      </c>
      <c r="U3981" s="12">
        <f t="shared" si="378"/>
        <v>2.0036656403203388</v>
      </c>
      <c r="V3981" s="30">
        <f t="shared" si="375"/>
        <v>0.39506082191780822</v>
      </c>
      <c r="W3981" s="46">
        <f t="shared" si="376"/>
        <v>-2.0390019953660479E-2</v>
      </c>
      <c r="X3981" s="33">
        <f t="shared" si="377"/>
        <v>2.4828402817159395E-2</v>
      </c>
    </row>
    <row r="3982" spans="19:24" x14ac:dyDescent="0.25">
      <c r="S3982" s="44">
        <f t="shared" si="373"/>
        <v>47032</v>
      </c>
      <c r="T3982" s="12">
        <f t="shared" si="374"/>
        <v>2.0363249130645062</v>
      </c>
      <c r="U3982" s="12">
        <f t="shared" si="378"/>
        <v>2.00101446359555</v>
      </c>
      <c r="V3982" s="30">
        <f t="shared" si="375"/>
        <v>0.39503342465753422</v>
      </c>
      <c r="W3982" s="46">
        <f t="shared" si="376"/>
        <v>-2.0363249130645061E-2</v>
      </c>
      <c r="X3982" s="33">
        <f t="shared" si="377"/>
        <v>2.4828361304886446E-2</v>
      </c>
    </row>
    <row r="3983" spans="19:24" x14ac:dyDescent="0.25">
      <c r="S3983" s="44">
        <f t="shared" si="373"/>
        <v>47033</v>
      </c>
      <c r="T3983" s="12">
        <f t="shared" si="374"/>
        <v>2.0336478307629653</v>
      </c>
      <c r="U3983" s="12">
        <f t="shared" si="378"/>
        <v>1.9983632868707608</v>
      </c>
      <c r="V3983" s="30">
        <f t="shared" si="375"/>
        <v>0.39500602739726021</v>
      </c>
      <c r="W3983" s="46">
        <f t="shared" si="376"/>
        <v>-2.0336478307629649E-2</v>
      </c>
      <c r="X3983" s="33">
        <f t="shared" si="377"/>
        <v>2.4828319792613501E-2</v>
      </c>
    </row>
    <row r="3984" spans="19:24" x14ac:dyDescent="0.25">
      <c r="S3984" s="44">
        <f t="shared" si="373"/>
        <v>47034</v>
      </c>
      <c r="T3984" s="12">
        <f t="shared" si="374"/>
        <v>2.0309707484614243</v>
      </c>
      <c r="U3984" s="12">
        <f t="shared" si="378"/>
        <v>1.9957121101459716</v>
      </c>
      <c r="V3984" s="30">
        <f t="shared" si="375"/>
        <v>0.39497863013698631</v>
      </c>
      <c r="W3984" s="46">
        <f t="shared" si="376"/>
        <v>-2.0309707484614241E-2</v>
      </c>
      <c r="X3984" s="33">
        <f t="shared" si="377"/>
        <v>2.4828278280340559E-2</v>
      </c>
    </row>
    <row r="3985" spans="19:24" x14ac:dyDescent="0.25">
      <c r="S3985" s="44">
        <f t="shared" si="373"/>
        <v>47035</v>
      </c>
      <c r="T3985" s="12">
        <f t="shared" si="374"/>
        <v>2.0282936661598829</v>
      </c>
      <c r="U3985" s="12">
        <f t="shared" si="378"/>
        <v>1.9930609334211822</v>
      </c>
      <c r="V3985" s="30">
        <f t="shared" si="375"/>
        <v>0.3949512328767123</v>
      </c>
      <c r="W3985" s="46">
        <f t="shared" si="376"/>
        <v>-2.0282936661598826E-2</v>
      </c>
      <c r="X3985" s="33">
        <f t="shared" si="377"/>
        <v>2.4828236768067617E-2</v>
      </c>
    </row>
    <row r="3986" spans="19:24" x14ac:dyDescent="0.25">
      <c r="S3986" s="44">
        <f t="shared" si="373"/>
        <v>47036</v>
      </c>
      <c r="T3986" s="12">
        <f t="shared" si="374"/>
        <v>2.0256165838583415</v>
      </c>
      <c r="U3986" s="12">
        <f t="shared" si="378"/>
        <v>1.9904097566963928</v>
      </c>
      <c r="V3986" s="30">
        <f t="shared" si="375"/>
        <v>0.39492383561643835</v>
      </c>
      <c r="W3986" s="46">
        <f t="shared" si="376"/>
        <v>-2.0256165838583411E-2</v>
      </c>
      <c r="X3986" s="33">
        <f t="shared" si="377"/>
        <v>2.4828195255794674E-2</v>
      </c>
    </row>
    <row r="3987" spans="19:24" x14ac:dyDescent="0.25">
      <c r="S3987" s="44">
        <f t="shared" si="373"/>
        <v>47037</v>
      </c>
      <c r="T3987" s="12">
        <f t="shared" si="374"/>
        <v>2.0229395015568006</v>
      </c>
      <c r="U3987" s="12">
        <f t="shared" si="378"/>
        <v>1.9877585799716031</v>
      </c>
      <c r="V3987" s="30">
        <f t="shared" si="375"/>
        <v>0.39489643835616439</v>
      </c>
      <c r="W3987" s="46">
        <f t="shared" si="376"/>
        <v>-2.0229395015568002E-2</v>
      </c>
      <c r="X3987" s="33">
        <f t="shared" si="377"/>
        <v>2.4828153743521732E-2</v>
      </c>
    </row>
    <row r="3988" spans="19:24" x14ac:dyDescent="0.25">
      <c r="S3988" s="44">
        <f t="shared" si="373"/>
        <v>47038</v>
      </c>
      <c r="T3988" s="12">
        <f t="shared" si="374"/>
        <v>2.0202624192552596</v>
      </c>
      <c r="U3988" s="12">
        <f t="shared" si="378"/>
        <v>1.9851074032468141</v>
      </c>
      <c r="V3988" s="30">
        <f t="shared" si="375"/>
        <v>0.39486904109589044</v>
      </c>
      <c r="W3988" s="46">
        <f t="shared" si="376"/>
        <v>-2.0202624192552594E-2</v>
      </c>
      <c r="X3988" s="33">
        <f t="shared" si="377"/>
        <v>2.4828112231248783E-2</v>
      </c>
    </row>
    <row r="3989" spans="19:24" x14ac:dyDescent="0.25">
      <c r="S3989" s="44">
        <f t="shared" si="373"/>
        <v>47039</v>
      </c>
      <c r="T3989" s="12">
        <f t="shared" si="374"/>
        <v>2.0175853369537182</v>
      </c>
      <c r="U3989" s="12">
        <f t="shared" si="378"/>
        <v>1.9824562265220251</v>
      </c>
      <c r="V3989" s="30">
        <f t="shared" si="375"/>
        <v>0.39484164383561648</v>
      </c>
      <c r="W3989" s="46">
        <f t="shared" si="376"/>
        <v>-2.0175853369537179E-2</v>
      </c>
      <c r="X3989" s="33">
        <f t="shared" si="377"/>
        <v>2.4828070718975841E-2</v>
      </c>
    </row>
    <row r="3990" spans="19:24" x14ac:dyDescent="0.25">
      <c r="S3990" s="44">
        <f t="shared" si="373"/>
        <v>47040</v>
      </c>
      <c r="T3990" s="12">
        <f t="shared" si="374"/>
        <v>2.0149082546521768</v>
      </c>
      <c r="U3990" s="12">
        <f t="shared" si="378"/>
        <v>1.9798050497972353</v>
      </c>
      <c r="V3990" s="30">
        <f t="shared" si="375"/>
        <v>0.39481424657534248</v>
      </c>
      <c r="W3990" s="46">
        <f t="shared" si="376"/>
        <v>-2.0149082546521764E-2</v>
      </c>
      <c r="X3990" s="33">
        <f t="shared" si="377"/>
        <v>2.4828029206702896E-2</v>
      </c>
    </row>
    <row r="3991" spans="19:24" x14ac:dyDescent="0.25">
      <c r="S3991" s="44">
        <f t="shared" si="373"/>
        <v>47041</v>
      </c>
      <c r="T3991" s="12">
        <f t="shared" si="374"/>
        <v>2.0122311723506359</v>
      </c>
      <c r="U3991" s="12">
        <f t="shared" si="378"/>
        <v>1.9771538730724456</v>
      </c>
      <c r="V3991" s="30">
        <f t="shared" si="375"/>
        <v>0.39478684931506847</v>
      </c>
      <c r="W3991" s="46">
        <f t="shared" si="376"/>
        <v>-2.0122311723506356E-2</v>
      </c>
      <c r="X3991" s="33">
        <f t="shared" si="377"/>
        <v>2.4827987694429947E-2</v>
      </c>
    </row>
    <row r="3992" spans="19:24" x14ac:dyDescent="0.25">
      <c r="S3992" s="44">
        <f t="shared" si="373"/>
        <v>47042</v>
      </c>
      <c r="T3992" s="12">
        <f t="shared" si="374"/>
        <v>2.0095540900490945</v>
      </c>
      <c r="U3992" s="12">
        <f t="shared" si="378"/>
        <v>1.9745026963476566</v>
      </c>
      <c r="V3992" s="30">
        <f t="shared" si="375"/>
        <v>0.39475945205479457</v>
      </c>
      <c r="W3992" s="46">
        <f t="shared" si="376"/>
        <v>-2.0095540900490941E-2</v>
      </c>
      <c r="X3992" s="33">
        <f t="shared" si="377"/>
        <v>2.4827946182157012E-2</v>
      </c>
    </row>
    <row r="3993" spans="19:24" x14ac:dyDescent="0.25">
      <c r="S3993" s="44">
        <f t="shared" si="373"/>
        <v>47043</v>
      </c>
      <c r="T3993" s="12">
        <f t="shared" si="374"/>
        <v>2.0068770077475531</v>
      </c>
      <c r="U3993" s="12">
        <f t="shared" si="378"/>
        <v>1.9718515196228679</v>
      </c>
      <c r="V3993" s="30">
        <f t="shared" si="375"/>
        <v>0.39473205479452056</v>
      </c>
      <c r="W3993" s="46">
        <f t="shared" si="376"/>
        <v>-2.0068770077475529E-2</v>
      </c>
      <c r="X3993" s="33">
        <f t="shared" si="377"/>
        <v>2.4827904669884063E-2</v>
      </c>
    </row>
    <row r="3994" spans="19:24" x14ac:dyDescent="0.25">
      <c r="S3994" s="44">
        <f t="shared" si="373"/>
        <v>47044</v>
      </c>
      <c r="T3994" s="12">
        <f t="shared" si="374"/>
        <v>2.0041999254460121</v>
      </c>
      <c r="U3994" s="12">
        <f t="shared" si="378"/>
        <v>1.969200342898078</v>
      </c>
      <c r="V3994" s="30">
        <f t="shared" si="375"/>
        <v>0.39470465753424655</v>
      </c>
      <c r="W3994" s="46">
        <f t="shared" si="376"/>
        <v>-2.0041999254460117E-2</v>
      </c>
      <c r="X3994" s="33">
        <f t="shared" si="377"/>
        <v>2.4827863157611121E-2</v>
      </c>
    </row>
    <row r="3995" spans="19:24" x14ac:dyDescent="0.25">
      <c r="S3995" s="44">
        <f t="shared" si="373"/>
        <v>47045</v>
      </c>
      <c r="T3995" s="12">
        <f t="shared" si="374"/>
        <v>2.0015228431444707</v>
      </c>
      <c r="U3995" s="12">
        <f t="shared" si="378"/>
        <v>1.966549166173289</v>
      </c>
      <c r="V3995" s="30">
        <f t="shared" si="375"/>
        <v>0.39467726027397265</v>
      </c>
      <c r="W3995" s="46">
        <f t="shared" si="376"/>
        <v>-2.0015228431444702E-2</v>
      </c>
      <c r="X3995" s="33">
        <f t="shared" si="377"/>
        <v>2.4827821645338182E-2</v>
      </c>
    </row>
    <row r="3996" spans="19:24" x14ac:dyDescent="0.25">
      <c r="S3996" s="44">
        <f t="shared" si="373"/>
        <v>47046</v>
      </c>
      <c r="T3996" s="12">
        <f t="shared" si="374"/>
        <v>1.9988457608429298</v>
      </c>
      <c r="U3996" s="12">
        <f t="shared" si="378"/>
        <v>1.9638979894485002</v>
      </c>
      <c r="V3996" s="30">
        <f t="shared" si="375"/>
        <v>0.39464986301369864</v>
      </c>
      <c r="W3996" s="46">
        <f t="shared" si="376"/>
        <v>-1.9988457608429294E-2</v>
      </c>
      <c r="X3996" s="33">
        <f t="shared" si="377"/>
        <v>2.482778013306524E-2</v>
      </c>
    </row>
    <row r="3997" spans="19:24" x14ac:dyDescent="0.25">
      <c r="S3997" s="44">
        <f t="shared" si="373"/>
        <v>47047</v>
      </c>
      <c r="T3997" s="12">
        <f t="shared" si="374"/>
        <v>1.9961686785413886</v>
      </c>
      <c r="U3997" s="12">
        <f t="shared" si="378"/>
        <v>1.9612468127237108</v>
      </c>
      <c r="V3997" s="30">
        <f t="shared" si="375"/>
        <v>0.39462246575342463</v>
      </c>
      <c r="W3997" s="46">
        <f t="shared" si="376"/>
        <v>-1.9961686785413883E-2</v>
      </c>
      <c r="X3997" s="33">
        <f t="shared" si="377"/>
        <v>2.4827738620792288E-2</v>
      </c>
    </row>
    <row r="3998" spans="19:24" x14ac:dyDescent="0.25">
      <c r="S3998" s="44">
        <f t="shared" si="373"/>
        <v>47048</v>
      </c>
      <c r="T3998" s="12">
        <f t="shared" si="374"/>
        <v>1.9934915962398472</v>
      </c>
      <c r="U3998" s="12">
        <f t="shared" si="378"/>
        <v>1.9585956359989212</v>
      </c>
      <c r="V3998" s="30">
        <f t="shared" si="375"/>
        <v>0.39459506849315068</v>
      </c>
      <c r="W3998" s="46">
        <f t="shared" si="376"/>
        <v>-1.9934915962398467E-2</v>
      </c>
      <c r="X3998" s="33">
        <f t="shared" si="377"/>
        <v>2.4827697108519346E-2</v>
      </c>
    </row>
    <row r="3999" spans="19:24" x14ac:dyDescent="0.25">
      <c r="S3999" s="44">
        <f t="shared" si="373"/>
        <v>47049</v>
      </c>
      <c r="T3999" s="12">
        <f t="shared" si="374"/>
        <v>1.990814513938306</v>
      </c>
      <c r="U3999" s="12">
        <f t="shared" si="378"/>
        <v>1.9559444592741315</v>
      </c>
      <c r="V3999" s="30">
        <f t="shared" si="375"/>
        <v>0.39456767123287673</v>
      </c>
      <c r="W3999" s="46">
        <f t="shared" si="376"/>
        <v>-1.9908145139383056E-2</v>
      </c>
      <c r="X3999" s="33">
        <f t="shared" si="377"/>
        <v>2.4827655596246404E-2</v>
      </c>
    </row>
    <row r="4000" spans="19:24" x14ac:dyDescent="0.25">
      <c r="S4000" s="44">
        <f t="shared" si="373"/>
        <v>47050</v>
      </c>
      <c r="T4000" s="12">
        <f t="shared" si="374"/>
        <v>1.9881374316367646</v>
      </c>
      <c r="U4000" s="12">
        <f t="shared" si="378"/>
        <v>1.9532932825493428</v>
      </c>
      <c r="V4000" s="30">
        <f t="shared" si="375"/>
        <v>0.39454027397260272</v>
      </c>
      <c r="W4000" s="46">
        <f t="shared" si="376"/>
        <v>-1.9881374316367644E-2</v>
      </c>
      <c r="X4000" s="33">
        <f t="shared" si="377"/>
        <v>2.4827614083973455E-2</v>
      </c>
    </row>
    <row r="4001" spans="19:24" x14ac:dyDescent="0.25">
      <c r="S4001" s="44">
        <f t="shared" si="373"/>
        <v>47051</v>
      </c>
      <c r="T4001" s="12">
        <f t="shared" si="374"/>
        <v>1.9854603493352239</v>
      </c>
      <c r="U4001" s="12">
        <f t="shared" si="378"/>
        <v>1.9506421058245536</v>
      </c>
      <c r="V4001" s="30">
        <f t="shared" si="375"/>
        <v>0.39451287671232882</v>
      </c>
      <c r="W4001" s="46">
        <f t="shared" si="376"/>
        <v>-1.9854603493352236E-2</v>
      </c>
      <c r="X4001" s="33">
        <f t="shared" si="377"/>
        <v>2.4827572571700519E-2</v>
      </c>
    </row>
    <row r="4002" spans="19:24" x14ac:dyDescent="0.25">
      <c r="S4002" s="44">
        <f t="shared" si="373"/>
        <v>47052</v>
      </c>
      <c r="T4002" s="12">
        <f t="shared" si="374"/>
        <v>1.9827832670336825</v>
      </c>
      <c r="U4002" s="12">
        <f t="shared" si="378"/>
        <v>1.9479909290997637</v>
      </c>
      <c r="V4002" s="30">
        <f t="shared" si="375"/>
        <v>0.39448547945205481</v>
      </c>
      <c r="W4002" s="46">
        <f t="shared" si="376"/>
        <v>-1.9827832670336821E-2</v>
      </c>
      <c r="X4002" s="33">
        <f t="shared" si="377"/>
        <v>2.482753105942757E-2</v>
      </c>
    </row>
    <row r="4003" spans="19:24" x14ac:dyDescent="0.25">
      <c r="S4003" s="44">
        <f t="shared" si="373"/>
        <v>47053</v>
      </c>
      <c r="T4003" s="12">
        <f t="shared" si="374"/>
        <v>1.9801061847321417</v>
      </c>
      <c r="U4003" s="12">
        <f t="shared" si="378"/>
        <v>1.9453397523749743</v>
      </c>
      <c r="V4003" s="30">
        <f t="shared" si="375"/>
        <v>0.3944580821917808</v>
      </c>
      <c r="W4003" s="46">
        <f t="shared" si="376"/>
        <v>-1.9801061847321413E-2</v>
      </c>
      <c r="X4003" s="33">
        <f t="shared" si="377"/>
        <v>2.4827489547154628E-2</v>
      </c>
    </row>
    <row r="4004" spans="19:24" x14ac:dyDescent="0.25">
      <c r="S4004" s="44">
        <f t="shared" si="373"/>
        <v>47054</v>
      </c>
      <c r="T4004" s="12">
        <f t="shared" si="374"/>
        <v>1.9774291024306001</v>
      </c>
      <c r="U4004" s="12">
        <f t="shared" si="378"/>
        <v>1.9426885756501853</v>
      </c>
      <c r="V4004" s="30">
        <f t="shared" si="375"/>
        <v>0.3944306849315069</v>
      </c>
      <c r="W4004" s="46">
        <f t="shared" si="376"/>
        <v>-1.9774291024305998E-2</v>
      </c>
      <c r="X4004" s="33">
        <f t="shared" si="377"/>
        <v>2.4827448034881686E-2</v>
      </c>
    </row>
    <row r="4005" spans="19:24" x14ac:dyDescent="0.25">
      <c r="S4005" s="44">
        <f t="shared" si="373"/>
        <v>47055</v>
      </c>
      <c r="T4005" s="12">
        <f t="shared" si="374"/>
        <v>1.9747520201290594</v>
      </c>
      <c r="U4005" s="12">
        <f t="shared" si="378"/>
        <v>1.9400373989253965</v>
      </c>
      <c r="V4005" s="30">
        <f t="shared" si="375"/>
        <v>0.39440328767123289</v>
      </c>
      <c r="W4005" s="46">
        <f t="shared" si="376"/>
        <v>-1.9747520201290589E-2</v>
      </c>
      <c r="X4005" s="33">
        <f t="shared" si="377"/>
        <v>2.4827406522608741E-2</v>
      </c>
    </row>
    <row r="4006" spans="19:24" x14ac:dyDescent="0.25">
      <c r="S4006" s="44">
        <f t="shared" si="373"/>
        <v>47056</v>
      </c>
      <c r="T4006" s="12">
        <f t="shared" si="374"/>
        <v>1.9720749378275177</v>
      </c>
      <c r="U4006" s="12">
        <f t="shared" si="378"/>
        <v>1.9373862222006066</v>
      </c>
      <c r="V4006" s="30">
        <f t="shared" si="375"/>
        <v>0.39437589041095888</v>
      </c>
      <c r="W4006" s="46">
        <f t="shared" si="376"/>
        <v>-1.9720749378275174E-2</v>
      </c>
      <c r="X4006" s="33">
        <f t="shared" si="377"/>
        <v>2.4827365010335792E-2</v>
      </c>
    </row>
    <row r="4007" spans="19:24" x14ac:dyDescent="0.25">
      <c r="S4007" s="44">
        <f t="shared" si="373"/>
        <v>47057</v>
      </c>
      <c r="T4007" s="12">
        <f t="shared" si="374"/>
        <v>1.9693978555259766</v>
      </c>
      <c r="U4007" s="12">
        <f t="shared" si="378"/>
        <v>1.9347350454758174</v>
      </c>
      <c r="V4007" s="30">
        <f t="shared" si="375"/>
        <v>0.39434849315068493</v>
      </c>
      <c r="W4007" s="46">
        <f t="shared" si="376"/>
        <v>-1.9693978555259763E-2</v>
      </c>
      <c r="X4007" s="33">
        <f t="shared" si="377"/>
        <v>2.482732349806285E-2</v>
      </c>
    </row>
    <row r="4008" spans="19:24" x14ac:dyDescent="0.25">
      <c r="S4008" s="44">
        <f t="shared" si="373"/>
        <v>47058</v>
      </c>
      <c r="T4008" s="12">
        <f t="shared" si="374"/>
        <v>1.9667207732244352</v>
      </c>
      <c r="U4008" s="12">
        <f t="shared" si="378"/>
        <v>1.9320838687510284</v>
      </c>
      <c r="V4008" s="30">
        <f t="shared" si="375"/>
        <v>0.39432109589041098</v>
      </c>
      <c r="W4008" s="46">
        <f t="shared" si="376"/>
        <v>-1.9667207732244348E-2</v>
      </c>
      <c r="X4008" s="33">
        <f t="shared" si="377"/>
        <v>2.4827281985789908E-2</v>
      </c>
    </row>
    <row r="4009" spans="19:24" x14ac:dyDescent="0.25">
      <c r="S4009" s="44">
        <f t="shared" si="373"/>
        <v>47059</v>
      </c>
      <c r="T4009" s="12">
        <f t="shared" si="374"/>
        <v>1.9640436909228944</v>
      </c>
      <c r="U4009" s="12">
        <f t="shared" si="378"/>
        <v>1.929432692026239</v>
      </c>
      <c r="V4009" s="30">
        <f t="shared" si="375"/>
        <v>0.39429369863013697</v>
      </c>
      <c r="W4009" s="46">
        <f t="shared" si="376"/>
        <v>-1.9640436909228943E-2</v>
      </c>
      <c r="X4009" s="33">
        <f t="shared" si="377"/>
        <v>2.4827240473516962E-2</v>
      </c>
    </row>
    <row r="4010" spans="19:24" x14ac:dyDescent="0.25">
      <c r="S4010" s="44">
        <f t="shared" si="373"/>
        <v>47060</v>
      </c>
      <c r="T4010" s="12">
        <f t="shared" si="374"/>
        <v>1.961366608621353</v>
      </c>
      <c r="U4010" s="12">
        <f t="shared" si="378"/>
        <v>1.9267815153014496</v>
      </c>
      <c r="V4010" s="30">
        <f t="shared" si="375"/>
        <v>0.39426630136986301</v>
      </c>
      <c r="W4010" s="46">
        <f t="shared" si="376"/>
        <v>-1.9613666086213528E-2</v>
      </c>
      <c r="X4010" s="33">
        <f t="shared" si="377"/>
        <v>2.482719896124402E-2</v>
      </c>
    </row>
    <row r="4011" spans="19:24" x14ac:dyDescent="0.25">
      <c r="S4011" s="44">
        <f t="shared" si="373"/>
        <v>47061</v>
      </c>
      <c r="T4011" s="12">
        <f t="shared" si="374"/>
        <v>1.9586895263198116</v>
      </c>
      <c r="U4011" s="12">
        <f t="shared" si="378"/>
        <v>1.9241303385766599</v>
      </c>
      <c r="V4011" s="30">
        <f t="shared" si="375"/>
        <v>0.39423890410958906</v>
      </c>
      <c r="W4011" s="46">
        <f t="shared" si="376"/>
        <v>-1.9586895263198113E-2</v>
      </c>
      <c r="X4011" s="33">
        <f t="shared" si="377"/>
        <v>2.4827157448971078E-2</v>
      </c>
    </row>
    <row r="4012" spans="19:24" x14ac:dyDescent="0.25">
      <c r="S4012" s="44">
        <f t="shared" si="373"/>
        <v>47062</v>
      </c>
      <c r="T4012" s="12">
        <f t="shared" si="374"/>
        <v>1.9560124440182705</v>
      </c>
      <c r="U4012" s="12">
        <f t="shared" si="378"/>
        <v>1.921479161851871</v>
      </c>
      <c r="V4012" s="30">
        <f t="shared" si="375"/>
        <v>0.39421150684931505</v>
      </c>
      <c r="W4012" s="46">
        <f t="shared" si="376"/>
        <v>-1.9560124440182701E-2</v>
      </c>
      <c r="X4012" s="33">
        <f t="shared" si="377"/>
        <v>2.4827115936698129E-2</v>
      </c>
    </row>
    <row r="4013" spans="19:24" x14ac:dyDescent="0.25">
      <c r="S4013" s="44">
        <f t="shared" si="373"/>
        <v>47063</v>
      </c>
      <c r="T4013" s="12">
        <f t="shared" si="374"/>
        <v>1.9533353617167291</v>
      </c>
      <c r="U4013" s="12">
        <f t="shared" si="378"/>
        <v>1.9188279851270817</v>
      </c>
      <c r="V4013" s="30">
        <f t="shared" si="375"/>
        <v>0.39418410958904115</v>
      </c>
      <c r="W4013" s="46">
        <f t="shared" si="376"/>
        <v>-1.9533353617167289E-2</v>
      </c>
      <c r="X4013" s="33">
        <f t="shared" si="377"/>
        <v>2.4827074424425194E-2</v>
      </c>
    </row>
    <row r="4014" spans="19:24" x14ac:dyDescent="0.25">
      <c r="S4014" s="44">
        <f t="shared" si="373"/>
        <v>47064</v>
      </c>
      <c r="T4014" s="12">
        <f t="shared" si="374"/>
        <v>1.9506582794151879</v>
      </c>
      <c r="U4014" s="12">
        <f t="shared" si="378"/>
        <v>1.9161768084022923</v>
      </c>
      <c r="V4014" s="30">
        <f t="shared" si="375"/>
        <v>0.39415671232876714</v>
      </c>
      <c r="W4014" s="46">
        <f t="shared" si="376"/>
        <v>-1.9506582794151874E-2</v>
      </c>
      <c r="X4014" s="33">
        <f t="shared" si="377"/>
        <v>2.4827032912152245E-2</v>
      </c>
    </row>
    <row r="4015" spans="19:24" x14ac:dyDescent="0.25">
      <c r="S4015" s="44">
        <f t="shared" si="373"/>
        <v>47065</v>
      </c>
      <c r="T4015" s="12">
        <f t="shared" si="374"/>
        <v>1.9479811971136469</v>
      </c>
      <c r="U4015" s="12">
        <f t="shared" si="378"/>
        <v>1.9135256316775031</v>
      </c>
      <c r="V4015" s="30">
        <f t="shared" si="375"/>
        <v>0.39412931506849314</v>
      </c>
      <c r="W4015" s="46">
        <f t="shared" si="376"/>
        <v>-1.9479811971136466E-2</v>
      </c>
      <c r="X4015" s="33">
        <f t="shared" si="377"/>
        <v>2.4826991399879299E-2</v>
      </c>
    </row>
    <row r="4016" spans="19:24" x14ac:dyDescent="0.25">
      <c r="S4016" s="44">
        <f t="shared" si="373"/>
        <v>47066</v>
      </c>
      <c r="T4016" s="12">
        <f t="shared" si="374"/>
        <v>1.9453041148121055</v>
      </c>
      <c r="U4016" s="12">
        <f t="shared" si="378"/>
        <v>1.9108744549527137</v>
      </c>
      <c r="V4016" s="30">
        <f t="shared" si="375"/>
        <v>0.39410191780821924</v>
      </c>
      <c r="W4016" s="46">
        <f t="shared" si="376"/>
        <v>-1.9453041148121051E-2</v>
      </c>
      <c r="X4016" s="33">
        <f t="shared" si="377"/>
        <v>2.4826949887606357E-2</v>
      </c>
    </row>
    <row r="4017" spans="19:24" x14ac:dyDescent="0.25">
      <c r="S4017" s="44">
        <f t="shared" si="373"/>
        <v>47067</v>
      </c>
      <c r="T4017" s="12">
        <f t="shared" si="374"/>
        <v>1.942627032510565</v>
      </c>
      <c r="U4017" s="12">
        <f t="shared" si="378"/>
        <v>1.908223278227924</v>
      </c>
      <c r="V4017" s="30">
        <f t="shared" si="375"/>
        <v>0.39407452054794523</v>
      </c>
      <c r="W4017" s="46">
        <f t="shared" si="376"/>
        <v>-1.9426270325105646E-2</v>
      </c>
      <c r="X4017" s="33">
        <f t="shared" si="377"/>
        <v>2.4826908375333415E-2</v>
      </c>
    </row>
    <row r="4018" spans="19:24" x14ac:dyDescent="0.25">
      <c r="S4018" s="44">
        <f t="shared" si="373"/>
        <v>47068</v>
      </c>
      <c r="T4018" s="12">
        <f t="shared" si="374"/>
        <v>1.9399499502090236</v>
      </c>
      <c r="U4018" s="12">
        <f t="shared" si="378"/>
        <v>1.9055721015031353</v>
      </c>
      <c r="V4018" s="30">
        <f t="shared" si="375"/>
        <v>0.39404712328767122</v>
      </c>
      <c r="W4018" s="46">
        <f t="shared" si="376"/>
        <v>-1.9399499502090235E-2</v>
      </c>
      <c r="X4018" s="33">
        <f t="shared" si="377"/>
        <v>2.482686686306047E-2</v>
      </c>
    </row>
    <row r="4019" spans="19:24" x14ac:dyDescent="0.25">
      <c r="S4019" s="44">
        <f t="shared" ref="S4019:S4082" si="379">+S4018+1</f>
        <v>47069</v>
      </c>
      <c r="T4019" s="12">
        <f t="shared" si="374"/>
        <v>1.937272867907482</v>
      </c>
      <c r="U4019" s="12">
        <f t="shared" si="378"/>
        <v>1.9029209247783458</v>
      </c>
      <c r="V4019" s="30">
        <f t="shared" si="375"/>
        <v>0.39401972602739727</v>
      </c>
      <c r="W4019" s="46">
        <f t="shared" si="376"/>
        <v>-1.9372728679074816E-2</v>
      </c>
      <c r="X4019" s="33">
        <f t="shared" si="377"/>
        <v>2.4826825350787528E-2</v>
      </c>
    </row>
    <row r="4020" spans="19:24" x14ac:dyDescent="0.25">
      <c r="S4020" s="44">
        <f t="shared" si="379"/>
        <v>47070</v>
      </c>
      <c r="T4020" s="12">
        <f t="shared" si="374"/>
        <v>1.934595785605941</v>
      </c>
      <c r="U4020" s="12">
        <f t="shared" si="378"/>
        <v>1.9002697480535571</v>
      </c>
      <c r="V4020" s="30">
        <f t="shared" si="375"/>
        <v>0.39399232876712331</v>
      </c>
      <c r="W4020" s="46">
        <f t="shared" si="376"/>
        <v>-1.9345957856059408E-2</v>
      </c>
      <c r="X4020" s="33">
        <f t="shared" si="377"/>
        <v>2.4826783838514586E-2</v>
      </c>
    </row>
    <row r="4021" spans="19:24" x14ac:dyDescent="0.25">
      <c r="S4021" s="44">
        <f t="shared" si="379"/>
        <v>47071</v>
      </c>
      <c r="T4021" s="12">
        <f t="shared" si="374"/>
        <v>1.9319187033044001</v>
      </c>
      <c r="U4021" s="12">
        <f t="shared" si="378"/>
        <v>1.897618571328767</v>
      </c>
      <c r="V4021" s="30">
        <f t="shared" si="375"/>
        <v>0.3939649315068493</v>
      </c>
      <c r="W4021" s="46">
        <f t="shared" si="376"/>
        <v>-1.9319187033043996E-2</v>
      </c>
      <c r="X4021" s="33">
        <f t="shared" si="377"/>
        <v>2.4826742326241637E-2</v>
      </c>
    </row>
    <row r="4022" spans="19:24" x14ac:dyDescent="0.25">
      <c r="S4022" s="44">
        <f t="shared" si="379"/>
        <v>47072</v>
      </c>
      <c r="T4022" s="12">
        <f t="shared" si="374"/>
        <v>1.9292416210028587</v>
      </c>
      <c r="U4022" s="12">
        <f t="shared" si="378"/>
        <v>1.8949673946039778</v>
      </c>
      <c r="V4022" s="30">
        <f t="shared" si="375"/>
        <v>0.39393753424657535</v>
      </c>
      <c r="W4022" s="46">
        <f t="shared" si="376"/>
        <v>-1.9292416210028585E-2</v>
      </c>
      <c r="X4022" s="33">
        <f t="shared" si="377"/>
        <v>2.4826700813968695E-2</v>
      </c>
    </row>
    <row r="4023" spans="19:24" x14ac:dyDescent="0.25">
      <c r="S4023" s="44">
        <f t="shared" si="379"/>
        <v>47073</v>
      </c>
      <c r="T4023" s="12">
        <f t="shared" si="374"/>
        <v>1.9265645387013177</v>
      </c>
      <c r="U4023" s="12">
        <f t="shared" si="378"/>
        <v>1.8923162178791886</v>
      </c>
      <c r="V4023" s="30">
        <f t="shared" si="375"/>
        <v>0.39391013698630134</v>
      </c>
      <c r="W4023" s="46">
        <f t="shared" si="376"/>
        <v>-1.9265645387013173E-2</v>
      </c>
      <c r="X4023" s="33">
        <f t="shared" si="377"/>
        <v>2.4826659301695749E-2</v>
      </c>
    </row>
    <row r="4024" spans="19:24" x14ac:dyDescent="0.25">
      <c r="S4024" s="44">
        <f t="shared" si="379"/>
        <v>47074</v>
      </c>
      <c r="T4024" s="12">
        <f t="shared" si="374"/>
        <v>1.9238874563997765</v>
      </c>
      <c r="U4024" s="12">
        <f t="shared" si="378"/>
        <v>1.8896650411543998</v>
      </c>
      <c r="V4024" s="30">
        <f t="shared" si="375"/>
        <v>0.39388273972602739</v>
      </c>
      <c r="W4024" s="46">
        <f t="shared" si="376"/>
        <v>-1.9238874563997761E-2</v>
      </c>
      <c r="X4024" s="33">
        <f t="shared" si="377"/>
        <v>2.4826617789422807E-2</v>
      </c>
    </row>
    <row r="4025" spans="19:24" x14ac:dyDescent="0.25">
      <c r="S4025" s="44">
        <f t="shared" si="379"/>
        <v>47075</v>
      </c>
      <c r="T4025" s="12">
        <f t="shared" si="374"/>
        <v>1.9212103740982351</v>
      </c>
      <c r="U4025" s="12">
        <f t="shared" si="378"/>
        <v>1.8870138644296099</v>
      </c>
      <c r="V4025" s="30">
        <f t="shared" si="375"/>
        <v>0.39385534246575349</v>
      </c>
      <c r="W4025" s="46">
        <f t="shared" si="376"/>
        <v>-1.921210374098235E-2</v>
      </c>
      <c r="X4025" s="33">
        <f t="shared" si="377"/>
        <v>2.4826576277149865E-2</v>
      </c>
    </row>
    <row r="4026" spans="19:24" x14ac:dyDescent="0.25">
      <c r="S4026" s="44">
        <f t="shared" si="379"/>
        <v>47076</v>
      </c>
      <c r="T4026" s="12">
        <f t="shared" si="374"/>
        <v>1.9185332917966935</v>
      </c>
      <c r="U4026" s="12">
        <f t="shared" si="378"/>
        <v>1.8843626877048207</v>
      </c>
      <c r="V4026" s="30">
        <f t="shared" si="375"/>
        <v>0.39382794520547948</v>
      </c>
      <c r="W4026" s="46">
        <f t="shared" si="376"/>
        <v>-1.9185332917966931E-2</v>
      </c>
      <c r="X4026" s="33">
        <f t="shared" si="377"/>
        <v>2.4826534764876923E-2</v>
      </c>
    </row>
    <row r="4027" spans="19:24" x14ac:dyDescent="0.25">
      <c r="S4027" s="44">
        <f t="shared" si="379"/>
        <v>47077</v>
      </c>
      <c r="T4027" s="12">
        <f t="shared" si="374"/>
        <v>1.9158562094951526</v>
      </c>
      <c r="U4027" s="12">
        <f t="shared" si="378"/>
        <v>1.881711510980032</v>
      </c>
      <c r="V4027" s="30">
        <f t="shared" si="375"/>
        <v>0.39380054794520547</v>
      </c>
      <c r="W4027" s="46">
        <f t="shared" si="376"/>
        <v>-1.9158562094951523E-2</v>
      </c>
      <c r="X4027" s="33">
        <f t="shared" si="377"/>
        <v>2.4826493252603974E-2</v>
      </c>
    </row>
    <row r="4028" spans="19:24" x14ac:dyDescent="0.25">
      <c r="S4028" s="44">
        <f t="shared" si="379"/>
        <v>47078</v>
      </c>
      <c r="T4028" s="12">
        <f t="shared" si="374"/>
        <v>1.9131791271936114</v>
      </c>
      <c r="U4028" s="12">
        <f t="shared" si="378"/>
        <v>1.8790603342552425</v>
      </c>
      <c r="V4028" s="30">
        <f t="shared" si="375"/>
        <v>0.39377315068493152</v>
      </c>
      <c r="W4028" s="46">
        <f t="shared" si="376"/>
        <v>-1.9131791271936111E-2</v>
      </c>
      <c r="X4028" s="33">
        <f t="shared" si="377"/>
        <v>2.4826451740331032E-2</v>
      </c>
    </row>
    <row r="4029" spans="19:24" x14ac:dyDescent="0.25">
      <c r="S4029" s="44">
        <f t="shared" si="379"/>
        <v>47079</v>
      </c>
      <c r="T4029" s="12">
        <f t="shared" si="374"/>
        <v>1.9105020448920702</v>
      </c>
      <c r="U4029" s="12">
        <f t="shared" si="378"/>
        <v>1.8764091575304531</v>
      </c>
      <c r="V4029" s="30">
        <f t="shared" si="375"/>
        <v>0.39374575342465756</v>
      </c>
      <c r="W4029" s="46">
        <f t="shared" si="376"/>
        <v>-1.91050204489207E-2</v>
      </c>
      <c r="X4029" s="33">
        <f t="shared" si="377"/>
        <v>2.482641022805809E-2</v>
      </c>
    </row>
    <row r="4030" spans="19:24" x14ac:dyDescent="0.25">
      <c r="S4030" s="44">
        <f t="shared" si="379"/>
        <v>47080</v>
      </c>
      <c r="T4030" s="12">
        <f t="shared" si="374"/>
        <v>1.9078249625905295</v>
      </c>
      <c r="U4030" s="12">
        <f t="shared" si="378"/>
        <v>1.8737579808056632</v>
      </c>
      <c r="V4030" s="30">
        <f t="shared" si="375"/>
        <v>0.39371835616438355</v>
      </c>
      <c r="W4030" s="46">
        <f t="shared" si="376"/>
        <v>-1.9078249625905291E-2</v>
      </c>
      <c r="X4030" s="33">
        <f t="shared" si="377"/>
        <v>2.4826368715785137E-2</v>
      </c>
    </row>
    <row r="4031" spans="19:24" x14ac:dyDescent="0.25">
      <c r="S4031" s="44">
        <f t="shared" si="379"/>
        <v>47081</v>
      </c>
      <c r="T4031" s="12">
        <f t="shared" si="374"/>
        <v>1.9051478802889883</v>
      </c>
      <c r="U4031" s="12">
        <f t="shared" si="378"/>
        <v>1.8711068040808749</v>
      </c>
      <c r="V4031" s="30">
        <f t="shared" si="375"/>
        <v>0.3936909589041096</v>
      </c>
      <c r="W4031" s="46">
        <f t="shared" si="376"/>
        <v>-1.905147880288988E-2</v>
      </c>
      <c r="X4031" s="33">
        <f t="shared" si="377"/>
        <v>2.4826327203512202E-2</v>
      </c>
    </row>
    <row r="4032" spans="19:24" x14ac:dyDescent="0.25">
      <c r="S4032" s="44">
        <f t="shared" si="379"/>
        <v>47082</v>
      </c>
      <c r="T4032" s="12">
        <f t="shared" si="374"/>
        <v>1.9024707979874464</v>
      </c>
      <c r="U4032" s="12">
        <f t="shared" si="378"/>
        <v>1.8684556273560853</v>
      </c>
      <c r="V4032" s="30">
        <f t="shared" si="375"/>
        <v>0.39366356164383565</v>
      </c>
      <c r="W4032" s="46">
        <f t="shared" si="376"/>
        <v>-1.9024707979874461E-2</v>
      </c>
      <c r="X4032" s="33">
        <f t="shared" si="377"/>
        <v>2.482628569123926E-2</v>
      </c>
    </row>
    <row r="4033" spans="19:24" x14ac:dyDescent="0.25">
      <c r="S4033" s="44">
        <f t="shared" si="379"/>
        <v>47083</v>
      </c>
      <c r="T4033" s="12">
        <f t="shared" si="374"/>
        <v>1.8997937156859053</v>
      </c>
      <c r="U4033" s="12">
        <f t="shared" si="378"/>
        <v>1.8658044506312956</v>
      </c>
      <c r="V4033" s="30">
        <f t="shared" si="375"/>
        <v>0.39363616438356164</v>
      </c>
      <c r="W4033" s="46">
        <f t="shared" si="376"/>
        <v>-1.899793715685905E-2</v>
      </c>
      <c r="X4033" s="33">
        <f t="shared" si="377"/>
        <v>2.4826244178966311E-2</v>
      </c>
    </row>
    <row r="4034" spans="19:24" x14ac:dyDescent="0.25">
      <c r="S4034" s="44">
        <f t="shared" si="379"/>
        <v>47084</v>
      </c>
      <c r="T4034" s="12">
        <f t="shared" si="374"/>
        <v>1.8971166333843639</v>
      </c>
      <c r="U4034" s="12">
        <f t="shared" si="378"/>
        <v>1.863153273906506</v>
      </c>
      <c r="V4034" s="30">
        <f t="shared" si="375"/>
        <v>0.39360876712328768</v>
      </c>
      <c r="W4034" s="46">
        <f t="shared" si="376"/>
        <v>-1.8971166333843634E-2</v>
      </c>
      <c r="X4034" s="33">
        <f t="shared" si="377"/>
        <v>2.4826202666693366E-2</v>
      </c>
    </row>
    <row r="4035" spans="19:24" x14ac:dyDescent="0.25">
      <c r="S4035" s="44">
        <f t="shared" si="379"/>
        <v>47085</v>
      </c>
      <c r="T4035" s="12">
        <f t="shared" si="374"/>
        <v>1.8944395510828234</v>
      </c>
      <c r="U4035" s="12">
        <f t="shared" si="378"/>
        <v>1.860502097181717</v>
      </c>
      <c r="V4035" s="30">
        <f t="shared" si="375"/>
        <v>0.39358136986301373</v>
      </c>
      <c r="W4035" s="46">
        <f t="shared" si="376"/>
        <v>-1.894439551082823E-2</v>
      </c>
      <c r="X4035" s="33">
        <f t="shared" si="377"/>
        <v>2.4826161154420431E-2</v>
      </c>
    </row>
    <row r="4036" spans="19:24" x14ac:dyDescent="0.25">
      <c r="S4036" s="44">
        <f t="shared" si="379"/>
        <v>47086</v>
      </c>
      <c r="T4036" s="12">
        <f t="shared" si="374"/>
        <v>1.8917624687812824</v>
      </c>
      <c r="U4036" s="12">
        <f t="shared" si="378"/>
        <v>1.8578509204569276</v>
      </c>
      <c r="V4036" s="30">
        <f t="shared" si="375"/>
        <v>0.39355397260273972</v>
      </c>
      <c r="W4036" s="46">
        <f t="shared" si="376"/>
        <v>-1.8917624687812822E-2</v>
      </c>
      <c r="X4036" s="33">
        <f t="shared" si="377"/>
        <v>2.4826119642147478E-2</v>
      </c>
    </row>
    <row r="4037" spans="19:24" x14ac:dyDescent="0.25">
      <c r="S4037" s="44">
        <f t="shared" si="379"/>
        <v>47087</v>
      </c>
      <c r="T4037" s="12">
        <f t="shared" ref="T4037:T4100" si="380">DurMod(S4037,B$2,$F$7:$G$37,$T$3)</f>
        <v>1.889085386479741</v>
      </c>
      <c r="U4037" s="12">
        <f t="shared" si="378"/>
        <v>1.8551997437321388</v>
      </c>
      <c r="V4037" s="30">
        <f t="shared" ref="V4037:V4100" si="381">+$U$3*($S$5512-S4037)/365+$T$3*(S4037-$S$4)/365</f>
        <v>0.39352657534246582</v>
      </c>
      <c r="W4037" s="46">
        <f t="shared" ref="W4037:W4100" si="382">+-T4037*($U$3-$T$3)</f>
        <v>-1.8890853864797406E-2</v>
      </c>
      <c r="X4037" s="33">
        <f t="shared" ref="X4037:X4100" si="383">+(V4037+W4037)*365/($S$5512-$S$4)</f>
        <v>2.482607812987454E-2</v>
      </c>
    </row>
    <row r="4038" spans="19:24" x14ac:dyDescent="0.25">
      <c r="S4038" s="44">
        <f t="shared" si="379"/>
        <v>47088</v>
      </c>
      <c r="T4038" s="12">
        <f t="shared" si="380"/>
        <v>1.8864083041781998</v>
      </c>
      <c r="U4038" s="12">
        <f t="shared" ref="U4038:U4101" si="384">DurMod($S4038,$B$2,$F$7:$G$37,U$3)</f>
        <v>1.8525485670073494</v>
      </c>
      <c r="V4038" s="30">
        <f t="shared" si="381"/>
        <v>0.39349917808219181</v>
      </c>
      <c r="W4038" s="46">
        <f t="shared" si="382"/>
        <v>-1.8864083041781995E-2</v>
      </c>
      <c r="X4038" s="33">
        <f t="shared" si="383"/>
        <v>2.4826036617601594E-2</v>
      </c>
    </row>
    <row r="4039" spans="19:24" x14ac:dyDescent="0.25">
      <c r="S4039" s="44">
        <f t="shared" si="379"/>
        <v>47089</v>
      </c>
      <c r="T4039" s="12">
        <f t="shared" si="380"/>
        <v>1.8837312218766586</v>
      </c>
      <c r="U4039" s="12">
        <f t="shared" si="384"/>
        <v>1.8498973902825597</v>
      </c>
      <c r="V4039" s="30">
        <f t="shared" si="381"/>
        <v>0.3934717808219178</v>
      </c>
      <c r="W4039" s="46">
        <f t="shared" si="382"/>
        <v>-1.8837312218766583E-2</v>
      </c>
      <c r="X4039" s="33">
        <f t="shared" si="383"/>
        <v>2.4825995105328645E-2</v>
      </c>
    </row>
    <row r="4040" spans="19:24" x14ac:dyDescent="0.25">
      <c r="S4040" s="44">
        <f t="shared" si="379"/>
        <v>47090</v>
      </c>
      <c r="T4040" s="12">
        <f t="shared" si="380"/>
        <v>1.8810541395751168</v>
      </c>
      <c r="U4040" s="12">
        <f t="shared" si="384"/>
        <v>1.8472462135577712</v>
      </c>
      <c r="V4040" s="30">
        <f t="shared" si="381"/>
        <v>0.39344438356164385</v>
      </c>
      <c r="W4040" s="46">
        <f t="shared" si="382"/>
        <v>-1.8810541395751165E-2</v>
      </c>
      <c r="X4040" s="33">
        <f t="shared" si="383"/>
        <v>2.4825953593055703E-2</v>
      </c>
    </row>
    <row r="4041" spans="19:24" x14ac:dyDescent="0.25">
      <c r="S4041" s="44">
        <f t="shared" si="379"/>
        <v>47091</v>
      </c>
      <c r="T4041" s="12">
        <f t="shared" si="380"/>
        <v>1.8783770572735763</v>
      </c>
      <c r="U4041" s="12">
        <f t="shared" si="384"/>
        <v>1.8445950368329811</v>
      </c>
      <c r="V4041" s="30">
        <f t="shared" si="381"/>
        <v>0.3934169863013699</v>
      </c>
      <c r="W4041" s="46">
        <f t="shared" si="382"/>
        <v>-1.878377057273576E-2</v>
      </c>
      <c r="X4041" s="33">
        <f t="shared" si="383"/>
        <v>2.4825912080782761E-2</v>
      </c>
    </row>
    <row r="4042" spans="19:24" x14ac:dyDescent="0.25">
      <c r="S4042" s="44">
        <f t="shared" si="379"/>
        <v>47092</v>
      </c>
      <c r="T4042" s="12">
        <f t="shared" si="380"/>
        <v>1.8756999749720347</v>
      </c>
      <c r="U4042" s="12">
        <f t="shared" si="384"/>
        <v>1.8419438601081919</v>
      </c>
      <c r="V4042" s="30">
        <f t="shared" si="381"/>
        <v>0.39338958904109589</v>
      </c>
      <c r="W4042" s="46">
        <f t="shared" si="382"/>
        <v>-1.8756999749720345E-2</v>
      </c>
      <c r="X4042" s="33">
        <f t="shared" si="383"/>
        <v>2.4825870568509819E-2</v>
      </c>
    </row>
    <row r="4043" spans="19:24" x14ac:dyDescent="0.25">
      <c r="S4043" s="44">
        <f t="shared" si="379"/>
        <v>47093</v>
      </c>
      <c r="T4043" s="12">
        <f t="shared" si="380"/>
        <v>1.8730228926704933</v>
      </c>
      <c r="U4043" s="12">
        <f t="shared" si="384"/>
        <v>1.8392926833834022</v>
      </c>
      <c r="V4043" s="30">
        <f t="shared" si="381"/>
        <v>0.39336219178082193</v>
      </c>
      <c r="W4043" s="46">
        <f t="shared" si="382"/>
        <v>-1.873022892670493E-2</v>
      </c>
      <c r="X4043" s="33">
        <f t="shared" si="383"/>
        <v>2.4825829056236873E-2</v>
      </c>
    </row>
    <row r="4044" spans="19:24" x14ac:dyDescent="0.25">
      <c r="S4044" s="44">
        <f t="shared" si="379"/>
        <v>47094</v>
      </c>
      <c r="T4044" s="12">
        <f t="shared" si="380"/>
        <v>1.8703458103689521</v>
      </c>
      <c r="U4044" s="12">
        <f t="shared" si="384"/>
        <v>1.8366415066586133</v>
      </c>
      <c r="V4044" s="30">
        <f t="shared" si="381"/>
        <v>0.39333479452054793</v>
      </c>
      <c r="W4044" s="46">
        <f t="shared" si="382"/>
        <v>-1.8703458103689518E-2</v>
      </c>
      <c r="X4044" s="33">
        <f t="shared" si="383"/>
        <v>2.4825787543963931E-2</v>
      </c>
    </row>
    <row r="4045" spans="19:24" x14ac:dyDescent="0.25">
      <c r="S4045" s="44">
        <f t="shared" si="379"/>
        <v>47095</v>
      </c>
      <c r="T4045" s="12">
        <f t="shared" si="380"/>
        <v>1.8676687280674111</v>
      </c>
      <c r="U4045" s="12">
        <f t="shared" si="384"/>
        <v>1.8339903299338236</v>
      </c>
      <c r="V4045" s="30">
        <f t="shared" si="381"/>
        <v>0.39330739726027397</v>
      </c>
      <c r="W4045" s="46">
        <f t="shared" si="382"/>
        <v>-1.867668728067411E-2</v>
      </c>
      <c r="X4045" s="33">
        <f t="shared" si="383"/>
        <v>2.4825746031690982E-2</v>
      </c>
    </row>
    <row r="4046" spans="19:24" x14ac:dyDescent="0.25">
      <c r="S4046" s="44">
        <f t="shared" si="379"/>
        <v>47096</v>
      </c>
      <c r="T4046" s="12">
        <f t="shared" si="380"/>
        <v>1.86499164576587</v>
      </c>
      <c r="U4046" s="12">
        <f t="shared" si="384"/>
        <v>1.8313391532090348</v>
      </c>
      <c r="V4046" s="30">
        <f t="shared" si="381"/>
        <v>0.39327999999999996</v>
      </c>
      <c r="W4046" s="46">
        <f t="shared" si="382"/>
        <v>-1.8649916457658698E-2</v>
      </c>
      <c r="X4046" s="33">
        <f t="shared" si="383"/>
        <v>2.482570451941804E-2</v>
      </c>
    </row>
    <row r="4047" spans="19:24" x14ac:dyDescent="0.25">
      <c r="S4047" s="44">
        <f t="shared" si="379"/>
        <v>47097</v>
      </c>
      <c r="T4047" s="12">
        <f t="shared" si="380"/>
        <v>1.8623145634643288</v>
      </c>
      <c r="U4047" s="12">
        <f t="shared" si="384"/>
        <v>1.8286879764842456</v>
      </c>
      <c r="V4047" s="30">
        <f t="shared" si="381"/>
        <v>0.39325260273972606</v>
      </c>
      <c r="W4047" s="46">
        <f t="shared" si="382"/>
        <v>-1.8623145634643287E-2</v>
      </c>
      <c r="X4047" s="33">
        <f t="shared" si="383"/>
        <v>2.4825663007145098E-2</v>
      </c>
    </row>
    <row r="4048" spans="19:24" x14ac:dyDescent="0.25">
      <c r="S4048" s="44">
        <f t="shared" si="379"/>
        <v>47098</v>
      </c>
      <c r="T4048" s="12">
        <f t="shared" si="380"/>
        <v>1.8596374811627874</v>
      </c>
      <c r="U4048" s="12">
        <f t="shared" si="384"/>
        <v>1.8260367997594558</v>
      </c>
      <c r="V4048" s="30">
        <f t="shared" si="381"/>
        <v>0.39322520547945206</v>
      </c>
      <c r="W4048" s="46">
        <f t="shared" si="382"/>
        <v>-1.8596374811627871E-2</v>
      </c>
      <c r="X4048" s="33">
        <f t="shared" si="383"/>
        <v>2.4825621494872156E-2</v>
      </c>
    </row>
    <row r="4049" spans="19:24" x14ac:dyDescent="0.25">
      <c r="S4049" s="44">
        <f t="shared" si="379"/>
        <v>47099</v>
      </c>
      <c r="T4049" s="12">
        <f t="shared" si="380"/>
        <v>1.8569603988612464</v>
      </c>
      <c r="U4049" s="12">
        <f t="shared" si="384"/>
        <v>1.8233856230346668</v>
      </c>
      <c r="V4049" s="30">
        <f t="shared" si="381"/>
        <v>0.3931978082191781</v>
      </c>
      <c r="W4049" s="46">
        <f t="shared" si="382"/>
        <v>-1.856960398861246E-2</v>
      </c>
      <c r="X4049" s="33">
        <f t="shared" si="383"/>
        <v>2.4825579982599211E-2</v>
      </c>
    </row>
    <row r="4050" spans="19:24" x14ac:dyDescent="0.25">
      <c r="S4050" s="44">
        <f t="shared" si="379"/>
        <v>47100</v>
      </c>
      <c r="T4050" s="12">
        <f t="shared" si="380"/>
        <v>1.8542833165597055</v>
      </c>
      <c r="U4050" s="12">
        <f t="shared" si="384"/>
        <v>1.8207344463098778</v>
      </c>
      <c r="V4050" s="30">
        <f t="shared" si="381"/>
        <v>0.39317041095890415</v>
      </c>
      <c r="W4050" s="46">
        <f t="shared" si="382"/>
        <v>-1.8542833165597052E-2</v>
      </c>
      <c r="X4050" s="33">
        <f t="shared" si="383"/>
        <v>2.4825538470326269E-2</v>
      </c>
    </row>
    <row r="4051" spans="19:24" x14ac:dyDescent="0.25">
      <c r="S4051" s="44">
        <f t="shared" si="379"/>
        <v>47101</v>
      </c>
      <c r="T4051" s="12">
        <f t="shared" si="380"/>
        <v>1.8516062342581638</v>
      </c>
      <c r="U4051" s="12">
        <f t="shared" si="384"/>
        <v>1.8180832695850886</v>
      </c>
      <c r="V4051" s="30">
        <f t="shared" si="381"/>
        <v>0.39314301369863014</v>
      </c>
      <c r="W4051" s="46">
        <f t="shared" si="382"/>
        <v>-1.8516062342581636E-2</v>
      </c>
      <c r="X4051" s="33">
        <f t="shared" si="383"/>
        <v>2.482549695805332E-2</v>
      </c>
    </row>
    <row r="4052" spans="19:24" x14ac:dyDescent="0.25">
      <c r="S4052" s="44">
        <f t="shared" si="379"/>
        <v>47102</v>
      </c>
      <c r="T4052" s="12">
        <f t="shared" si="380"/>
        <v>2.1149780507598339</v>
      </c>
      <c r="U4052" s="12">
        <f t="shared" si="384"/>
        <v>2.0822008609102021</v>
      </c>
      <c r="V4052" s="30">
        <f t="shared" si="381"/>
        <v>0.39311561643835619</v>
      </c>
      <c r="W4052" s="46">
        <f t="shared" si="382"/>
        <v>-2.1149780507598335E-2</v>
      </c>
      <c r="X4052" s="33">
        <f t="shared" si="383"/>
        <v>2.4649152163167504E-2</v>
      </c>
    </row>
    <row r="4053" spans="19:24" x14ac:dyDescent="0.25">
      <c r="S4053" s="44">
        <f t="shared" si="379"/>
        <v>47103</v>
      </c>
      <c r="T4053" s="12">
        <f t="shared" si="380"/>
        <v>2.112300968458293</v>
      </c>
      <c r="U4053" s="12">
        <f t="shared" si="384"/>
        <v>2.0795496841854129</v>
      </c>
      <c r="V4053" s="30">
        <f t="shared" si="381"/>
        <v>0.39308821917808218</v>
      </c>
      <c r="W4053" s="46">
        <f t="shared" si="382"/>
        <v>-2.1123009684582927E-2</v>
      </c>
      <c r="X4053" s="33">
        <f t="shared" si="383"/>
        <v>2.4649110650894555E-2</v>
      </c>
    </row>
    <row r="4054" spans="19:24" x14ac:dyDescent="0.25">
      <c r="S4054" s="44">
        <f t="shared" si="379"/>
        <v>47104</v>
      </c>
      <c r="T4054" s="12">
        <f t="shared" si="380"/>
        <v>2.109623886156752</v>
      </c>
      <c r="U4054" s="12">
        <f t="shared" si="384"/>
        <v>2.0768985074606232</v>
      </c>
      <c r="V4054" s="30">
        <f t="shared" si="381"/>
        <v>0.39306082191780822</v>
      </c>
      <c r="W4054" s="46">
        <f t="shared" si="382"/>
        <v>-2.1096238861567519E-2</v>
      </c>
      <c r="X4054" s="33">
        <f t="shared" si="383"/>
        <v>2.4649069138621613E-2</v>
      </c>
    </row>
    <row r="4055" spans="19:24" x14ac:dyDescent="0.25">
      <c r="S4055" s="44">
        <f t="shared" si="379"/>
        <v>47105</v>
      </c>
      <c r="T4055" s="12">
        <f t="shared" si="380"/>
        <v>2.1069468038552106</v>
      </c>
      <c r="U4055" s="12">
        <f t="shared" si="384"/>
        <v>2.0742473307358344</v>
      </c>
      <c r="V4055" s="30">
        <f t="shared" si="381"/>
        <v>0.39303342465753427</v>
      </c>
      <c r="W4055" s="46">
        <f t="shared" si="382"/>
        <v>-2.1069468038552103E-2</v>
      </c>
      <c r="X4055" s="33">
        <f t="shared" si="383"/>
        <v>2.4649027626348671E-2</v>
      </c>
    </row>
    <row r="4056" spans="19:24" x14ac:dyDescent="0.25">
      <c r="S4056" s="44">
        <f t="shared" si="379"/>
        <v>47106</v>
      </c>
      <c r="T4056" s="12">
        <f t="shared" si="380"/>
        <v>2.1042697215536692</v>
      </c>
      <c r="U4056" s="12">
        <f t="shared" si="384"/>
        <v>2.0715961540110448</v>
      </c>
      <c r="V4056" s="30">
        <f t="shared" si="381"/>
        <v>0.39300602739726026</v>
      </c>
      <c r="W4056" s="46">
        <f t="shared" si="382"/>
        <v>-2.1042697215536688E-2</v>
      </c>
      <c r="X4056" s="33">
        <f t="shared" si="383"/>
        <v>2.4648986114075726E-2</v>
      </c>
    </row>
    <row r="4057" spans="19:24" x14ac:dyDescent="0.25">
      <c r="S4057" s="44">
        <f t="shared" si="379"/>
        <v>47107</v>
      </c>
      <c r="T4057" s="12">
        <f t="shared" si="380"/>
        <v>2.1015926392521282</v>
      </c>
      <c r="U4057" s="12">
        <f t="shared" si="384"/>
        <v>2.0689449772862556</v>
      </c>
      <c r="V4057" s="30">
        <f t="shared" si="381"/>
        <v>0.39297863013698631</v>
      </c>
      <c r="W4057" s="46">
        <f t="shared" si="382"/>
        <v>-2.101592639252128E-2</v>
      </c>
      <c r="X4057" s="33">
        <f t="shared" si="383"/>
        <v>2.4648944601802784E-2</v>
      </c>
    </row>
    <row r="4058" spans="19:24" x14ac:dyDescent="0.25">
      <c r="S4058" s="44">
        <f t="shared" si="379"/>
        <v>47108</v>
      </c>
      <c r="T4058" s="12">
        <f t="shared" si="380"/>
        <v>2.0989155569505873</v>
      </c>
      <c r="U4058" s="12">
        <f t="shared" si="384"/>
        <v>2.0662938005614668</v>
      </c>
      <c r="V4058" s="30">
        <f t="shared" si="381"/>
        <v>0.3929512328767123</v>
      </c>
      <c r="W4058" s="46">
        <f t="shared" si="382"/>
        <v>-2.0989155569505868E-2</v>
      </c>
      <c r="X4058" s="33">
        <f t="shared" si="383"/>
        <v>2.4648903089529838E-2</v>
      </c>
    </row>
    <row r="4059" spans="19:24" x14ac:dyDescent="0.25">
      <c r="S4059" s="44">
        <f t="shared" si="379"/>
        <v>47109</v>
      </c>
      <c r="T4059" s="12">
        <f t="shared" si="380"/>
        <v>2.0962384746490463</v>
      </c>
      <c r="U4059" s="12">
        <f t="shared" si="384"/>
        <v>2.0636426238366767</v>
      </c>
      <c r="V4059" s="30">
        <f t="shared" si="381"/>
        <v>0.3929238356164384</v>
      </c>
      <c r="W4059" s="46">
        <f t="shared" si="382"/>
        <v>-2.096238474649046E-2</v>
      </c>
      <c r="X4059" s="33">
        <f t="shared" si="383"/>
        <v>2.46488615772569E-2</v>
      </c>
    </row>
    <row r="4060" spans="19:24" x14ac:dyDescent="0.25">
      <c r="S4060" s="44">
        <f t="shared" si="379"/>
        <v>47110</v>
      </c>
      <c r="T4060" s="12">
        <f t="shared" si="380"/>
        <v>2.0935613923475045</v>
      </c>
      <c r="U4060" s="12">
        <f t="shared" si="384"/>
        <v>2.060991447111888</v>
      </c>
      <c r="V4060" s="30">
        <f t="shared" si="381"/>
        <v>0.39289643835616439</v>
      </c>
      <c r="W4060" s="46">
        <f t="shared" si="382"/>
        <v>-2.0935613923475042E-2</v>
      </c>
      <c r="X4060" s="33">
        <f t="shared" si="383"/>
        <v>2.4648820064983954E-2</v>
      </c>
    </row>
    <row r="4061" spans="19:24" x14ac:dyDescent="0.25">
      <c r="S4061" s="44">
        <f t="shared" si="379"/>
        <v>47111</v>
      </c>
      <c r="T4061" s="12">
        <f t="shared" si="380"/>
        <v>2.0908843100459631</v>
      </c>
      <c r="U4061" s="12">
        <f t="shared" si="384"/>
        <v>2.0583402703870983</v>
      </c>
      <c r="V4061" s="30">
        <f t="shared" si="381"/>
        <v>0.39286904109589044</v>
      </c>
      <c r="W4061" s="46">
        <f t="shared" si="382"/>
        <v>-2.0908843100459627E-2</v>
      </c>
      <c r="X4061" s="33">
        <f t="shared" si="383"/>
        <v>2.4648778552711012E-2</v>
      </c>
    </row>
    <row r="4062" spans="19:24" x14ac:dyDescent="0.25">
      <c r="S4062" s="44">
        <f t="shared" si="379"/>
        <v>47112</v>
      </c>
      <c r="T4062" s="12">
        <f t="shared" si="380"/>
        <v>2.0882072277444221</v>
      </c>
      <c r="U4062" s="12">
        <f t="shared" si="384"/>
        <v>2.0556890936623091</v>
      </c>
      <c r="V4062" s="30">
        <f t="shared" si="381"/>
        <v>0.39284164383561648</v>
      </c>
      <c r="W4062" s="46">
        <f t="shared" si="382"/>
        <v>-2.0882072277444218E-2</v>
      </c>
      <c r="X4062" s="33">
        <f t="shared" si="383"/>
        <v>2.464873704043807E-2</v>
      </c>
    </row>
    <row r="4063" spans="19:24" x14ac:dyDescent="0.25">
      <c r="S4063" s="44">
        <f t="shared" si="379"/>
        <v>47113</v>
      </c>
      <c r="T4063" s="12">
        <f t="shared" si="380"/>
        <v>2.0855301454428812</v>
      </c>
      <c r="U4063" s="12">
        <f t="shared" si="384"/>
        <v>2.0530379169375199</v>
      </c>
      <c r="V4063" s="30">
        <f t="shared" si="381"/>
        <v>0.39281424657534247</v>
      </c>
      <c r="W4063" s="46">
        <f t="shared" si="382"/>
        <v>-2.085530145442881E-2</v>
      </c>
      <c r="X4063" s="33">
        <f t="shared" si="383"/>
        <v>2.4648695528165121E-2</v>
      </c>
    </row>
    <row r="4064" spans="19:24" x14ac:dyDescent="0.25">
      <c r="S4064" s="44">
        <f t="shared" si="379"/>
        <v>47114</v>
      </c>
      <c r="T4064" s="12">
        <f t="shared" si="380"/>
        <v>2.0828530631413402</v>
      </c>
      <c r="U4064" s="12">
        <f t="shared" si="384"/>
        <v>2.0503867402127307</v>
      </c>
      <c r="V4064" s="30">
        <f t="shared" si="381"/>
        <v>0.39278684931506852</v>
      </c>
      <c r="W4064" s="46">
        <f t="shared" si="382"/>
        <v>-2.0828530631413399E-2</v>
      </c>
      <c r="X4064" s="33">
        <f t="shared" si="383"/>
        <v>2.4648654015892179E-2</v>
      </c>
    </row>
    <row r="4065" spans="19:24" x14ac:dyDescent="0.25">
      <c r="S4065" s="44">
        <f t="shared" si="379"/>
        <v>47115</v>
      </c>
      <c r="T4065" s="12">
        <f t="shared" si="380"/>
        <v>2.0801759808397988</v>
      </c>
      <c r="U4065" s="12">
        <f t="shared" si="384"/>
        <v>2.0477355634879415</v>
      </c>
      <c r="V4065" s="30">
        <f t="shared" si="381"/>
        <v>0.39275945205479451</v>
      </c>
      <c r="W4065" s="46">
        <f t="shared" si="382"/>
        <v>-2.0801759808397983E-2</v>
      </c>
      <c r="X4065" s="33">
        <f t="shared" si="383"/>
        <v>2.4648612503619233E-2</v>
      </c>
    </row>
    <row r="4066" spans="19:24" x14ac:dyDescent="0.25">
      <c r="S4066" s="44">
        <f t="shared" si="379"/>
        <v>47116</v>
      </c>
      <c r="T4066" s="12">
        <f t="shared" si="380"/>
        <v>2.077498898538257</v>
      </c>
      <c r="U4066" s="12">
        <f t="shared" si="384"/>
        <v>2.0450843867631519</v>
      </c>
      <c r="V4066" s="30">
        <f t="shared" si="381"/>
        <v>0.39273205479452056</v>
      </c>
      <c r="W4066" s="46">
        <f t="shared" si="382"/>
        <v>-2.0774988985382565E-2</v>
      </c>
      <c r="X4066" s="33">
        <f t="shared" si="383"/>
        <v>2.4648570991346291E-2</v>
      </c>
    </row>
    <row r="4067" spans="19:24" x14ac:dyDescent="0.25">
      <c r="S4067" s="44">
        <f t="shared" si="379"/>
        <v>47117</v>
      </c>
      <c r="T4067" s="12">
        <f t="shared" si="380"/>
        <v>2.074821816236716</v>
      </c>
      <c r="U4067" s="12">
        <f t="shared" si="384"/>
        <v>2.0424332100383626</v>
      </c>
      <c r="V4067" s="30">
        <f t="shared" si="381"/>
        <v>0.39270465753424655</v>
      </c>
      <c r="W4067" s="46">
        <f t="shared" si="382"/>
        <v>-2.0748218162367157E-2</v>
      </c>
      <c r="X4067" s="33">
        <f t="shared" si="383"/>
        <v>2.4648529479073342E-2</v>
      </c>
    </row>
    <row r="4068" spans="19:24" x14ac:dyDescent="0.25">
      <c r="S4068" s="44">
        <f t="shared" si="379"/>
        <v>47118</v>
      </c>
      <c r="T4068" s="12">
        <f t="shared" si="380"/>
        <v>2.0721447339351746</v>
      </c>
      <c r="U4068" s="12">
        <f t="shared" si="384"/>
        <v>2.0397820333135739</v>
      </c>
      <c r="V4068" s="30">
        <f t="shared" si="381"/>
        <v>0.39267726027397259</v>
      </c>
      <c r="W4068" s="46">
        <f t="shared" si="382"/>
        <v>-2.0721447339351742E-2</v>
      </c>
      <c r="X4068" s="33">
        <f t="shared" si="383"/>
        <v>2.46484879668004E-2</v>
      </c>
    </row>
    <row r="4069" spans="19:24" x14ac:dyDescent="0.25">
      <c r="S4069" s="44">
        <f t="shared" si="379"/>
        <v>47119</v>
      </c>
      <c r="T4069" s="12">
        <f t="shared" si="380"/>
        <v>2.0694676516336341</v>
      </c>
      <c r="U4069" s="12">
        <f t="shared" si="384"/>
        <v>2.0371308565887842</v>
      </c>
      <c r="V4069" s="30">
        <f t="shared" si="381"/>
        <v>0.39264986301369864</v>
      </c>
      <c r="W4069" s="46">
        <f t="shared" si="382"/>
        <v>-2.0694676516336337E-2</v>
      </c>
      <c r="X4069" s="33">
        <f t="shared" si="383"/>
        <v>2.4648446454527458E-2</v>
      </c>
    </row>
    <row r="4070" spans="19:24" x14ac:dyDescent="0.25">
      <c r="S4070" s="44">
        <f t="shared" si="379"/>
        <v>47120</v>
      </c>
      <c r="T4070" s="12">
        <f t="shared" si="380"/>
        <v>2.0667905693320927</v>
      </c>
      <c r="U4070" s="12">
        <f t="shared" si="384"/>
        <v>2.034479679863995</v>
      </c>
      <c r="V4070" s="30">
        <f t="shared" si="381"/>
        <v>0.39262246575342463</v>
      </c>
      <c r="W4070" s="46">
        <f t="shared" si="382"/>
        <v>-2.0667905693320925E-2</v>
      </c>
      <c r="X4070" s="33">
        <f t="shared" si="383"/>
        <v>2.4648404942254513E-2</v>
      </c>
    </row>
    <row r="4071" spans="19:24" x14ac:dyDescent="0.25">
      <c r="S4071" s="44">
        <f t="shared" si="379"/>
        <v>47121</v>
      </c>
      <c r="T4071" s="12">
        <f t="shared" si="380"/>
        <v>2.0641134870305518</v>
      </c>
      <c r="U4071" s="12">
        <f t="shared" si="384"/>
        <v>2.0318285031392054</v>
      </c>
      <c r="V4071" s="30">
        <f t="shared" si="381"/>
        <v>0.39259506849315073</v>
      </c>
      <c r="W4071" s="46">
        <f t="shared" si="382"/>
        <v>-2.0641134870305514E-2</v>
      </c>
      <c r="X4071" s="33">
        <f t="shared" si="383"/>
        <v>2.4648363429981574E-2</v>
      </c>
    </row>
    <row r="4072" spans="19:24" x14ac:dyDescent="0.25">
      <c r="S4072" s="44">
        <f t="shared" si="379"/>
        <v>47122</v>
      </c>
      <c r="T4072" s="12">
        <f t="shared" si="380"/>
        <v>2.0614364047290104</v>
      </c>
      <c r="U4072" s="12">
        <f t="shared" si="384"/>
        <v>2.0291773264144166</v>
      </c>
      <c r="V4072" s="30">
        <f t="shared" si="381"/>
        <v>0.39256767123287672</v>
      </c>
      <c r="W4072" s="46">
        <f t="shared" si="382"/>
        <v>-2.0614364047290102E-2</v>
      </c>
      <c r="X4072" s="33">
        <f t="shared" si="383"/>
        <v>2.4648321917708629E-2</v>
      </c>
    </row>
    <row r="4073" spans="19:24" x14ac:dyDescent="0.25">
      <c r="S4073" s="44">
        <f t="shared" si="379"/>
        <v>47123</v>
      </c>
      <c r="T4073" s="12">
        <f t="shared" si="380"/>
        <v>2.0587593224274694</v>
      </c>
      <c r="U4073" s="12">
        <f t="shared" si="384"/>
        <v>2.026526149689627</v>
      </c>
      <c r="V4073" s="30">
        <f t="shared" si="381"/>
        <v>0.39254027397260277</v>
      </c>
      <c r="W4073" s="46">
        <f t="shared" si="382"/>
        <v>-2.058759322427469E-2</v>
      </c>
      <c r="X4073" s="33">
        <f t="shared" si="383"/>
        <v>2.4648280405435687E-2</v>
      </c>
    </row>
    <row r="4074" spans="19:24" x14ac:dyDescent="0.25">
      <c r="S4074" s="44">
        <f t="shared" si="379"/>
        <v>47124</v>
      </c>
      <c r="T4074" s="12">
        <f t="shared" si="380"/>
        <v>2.0560822401259276</v>
      </c>
      <c r="U4074" s="12">
        <f t="shared" si="384"/>
        <v>2.0238749729648378</v>
      </c>
      <c r="V4074" s="30">
        <f t="shared" si="381"/>
        <v>0.39251287671232876</v>
      </c>
      <c r="W4074" s="46">
        <f t="shared" si="382"/>
        <v>-2.0560822401259272E-2</v>
      </c>
      <c r="X4074" s="33">
        <f t="shared" si="383"/>
        <v>2.4648238893162738E-2</v>
      </c>
    </row>
    <row r="4075" spans="19:24" x14ac:dyDescent="0.25">
      <c r="S4075" s="44">
        <f t="shared" si="379"/>
        <v>47125</v>
      </c>
      <c r="T4075" s="12">
        <f t="shared" si="380"/>
        <v>2.053405157824387</v>
      </c>
      <c r="U4075" s="12">
        <f t="shared" si="384"/>
        <v>2.0212237962400486</v>
      </c>
      <c r="V4075" s="30">
        <f t="shared" si="381"/>
        <v>0.39248547945205481</v>
      </c>
      <c r="W4075" s="46">
        <f t="shared" si="382"/>
        <v>-2.0534051578243867E-2</v>
      </c>
      <c r="X4075" s="33">
        <f t="shared" si="383"/>
        <v>2.4648197380889796E-2</v>
      </c>
    </row>
    <row r="4076" spans="19:24" x14ac:dyDescent="0.25">
      <c r="S4076" s="44">
        <f t="shared" si="379"/>
        <v>47126</v>
      </c>
      <c r="T4076" s="12">
        <f t="shared" si="380"/>
        <v>2.0507280755228456</v>
      </c>
      <c r="U4076" s="12">
        <f t="shared" si="384"/>
        <v>2.0185726195152589</v>
      </c>
      <c r="V4076" s="30">
        <f t="shared" si="381"/>
        <v>0.3924580821917808</v>
      </c>
      <c r="W4076" s="46">
        <f t="shared" si="382"/>
        <v>-2.0507280755228452E-2</v>
      </c>
      <c r="X4076" s="33">
        <f t="shared" si="383"/>
        <v>2.464815586861685E-2</v>
      </c>
    </row>
    <row r="4077" spans="19:24" x14ac:dyDescent="0.25">
      <c r="S4077" s="44">
        <f t="shared" si="379"/>
        <v>47127</v>
      </c>
      <c r="T4077" s="12">
        <f t="shared" si="380"/>
        <v>2.0480509932213042</v>
      </c>
      <c r="U4077" s="12">
        <f t="shared" si="384"/>
        <v>2.0159214427904697</v>
      </c>
      <c r="V4077" s="30">
        <f t="shared" si="381"/>
        <v>0.39243068493150685</v>
      </c>
      <c r="W4077" s="46">
        <f t="shared" si="382"/>
        <v>-2.048050993221304E-2</v>
      </c>
      <c r="X4077" s="33">
        <f t="shared" si="383"/>
        <v>2.4648114356343901E-2</v>
      </c>
    </row>
    <row r="4078" spans="19:24" x14ac:dyDescent="0.25">
      <c r="S4078" s="44">
        <f t="shared" si="379"/>
        <v>47128</v>
      </c>
      <c r="T4078" s="12">
        <f t="shared" si="380"/>
        <v>2.0453739109197628</v>
      </c>
      <c r="U4078" s="12">
        <f t="shared" si="384"/>
        <v>2.0132702660656805</v>
      </c>
      <c r="V4078" s="30">
        <f t="shared" si="381"/>
        <v>0.39240328767123289</v>
      </c>
      <c r="W4078" s="46">
        <f t="shared" si="382"/>
        <v>-2.0453739109197625E-2</v>
      </c>
      <c r="X4078" s="33">
        <f t="shared" si="383"/>
        <v>2.4648072844070966E-2</v>
      </c>
    </row>
    <row r="4079" spans="19:24" x14ac:dyDescent="0.25">
      <c r="S4079" s="44">
        <f t="shared" si="379"/>
        <v>47129</v>
      </c>
      <c r="T4079" s="12">
        <f t="shared" si="380"/>
        <v>2.0426968286182219</v>
      </c>
      <c r="U4079" s="12">
        <f t="shared" si="384"/>
        <v>2.0106190893408913</v>
      </c>
      <c r="V4079" s="30">
        <f t="shared" si="381"/>
        <v>0.39237589041095888</v>
      </c>
      <c r="W4079" s="46">
        <f t="shared" si="382"/>
        <v>-2.0426968286182217E-2</v>
      </c>
      <c r="X4079" s="33">
        <f t="shared" si="383"/>
        <v>2.464803133179802E-2</v>
      </c>
    </row>
    <row r="4080" spans="19:24" x14ac:dyDescent="0.25">
      <c r="S4080" s="44">
        <f t="shared" si="379"/>
        <v>47130</v>
      </c>
      <c r="T4080" s="12">
        <f t="shared" si="380"/>
        <v>2.0400197463166805</v>
      </c>
      <c r="U4080" s="12">
        <f t="shared" si="384"/>
        <v>2.0079679126161016</v>
      </c>
      <c r="V4080" s="30">
        <f t="shared" si="381"/>
        <v>0.39234849315068493</v>
      </c>
      <c r="W4080" s="46">
        <f t="shared" si="382"/>
        <v>-2.0400197463166802E-2</v>
      </c>
      <c r="X4080" s="33">
        <f t="shared" si="383"/>
        <v>2.4647989819525078E-2</v>
      </c>
    </row>
    <row r="4081" spans="19:24" x14ac:dyDescent="0.25">
      <c r="S4081" s="44">
        <f t="shared" si="379"/>
        <v>47131</v>
      </c>
      <c r="T4081" s="12">
        <f t="shared" si="380"/>
        <v>2.0373426640151395</v>
      </c>
      <c r="U4081" s="12">
        <f t="shared" si="384"/>
        <v>2.0053167358913124</v>
      </c>
      <c r="V4081" s="30">
        <f t="shared" si="381"/>
        <v>0.39232109589041098</v>
      </c>
      <c r="W4081" s="46">
        <f t="shared" si="382"/>
        <v>-2.0373426640151394E-2</v>
      </c>
      <c r="X4081" s="33">
        <f t="shared" si="383"/>
        <v>2.4647948307252129E-2</v>
      </c>
    </row>
    <row r="4082" spans="19:24" x14ac:dyDescent="0.25">
      <c r="S4082" s="44">
        <f t="shared" si="379"/>
        <v>47132</v>
      </c>
      <c r="T4082" s="12">
        <f t="shared" si="380"/>
        <v>2.0346655817135986</v>
      </c>
      <c r="U4082" s="12">
        <f t="shared" si="384"/>
        <v>2.0026655591665232</v>
      </c>
      <c r="V4082" s="30">
        <f t="shared" si="381"/>
        <v>0.39229369863013697</v>
      </c>
      <c r="W4082" s="46">
        <f t="shared" si="382"/>
        <v>-2.0346655817135982E-2</v>
      </c>
      <c r="X4082" s="33">
        <f t="shared" si="383"/>
        <v>2.4647906794979187E-2</v>
      </c>
    </row>
    <row r="4083" spans="19:24" x14ac:dyDescent="0.25">
      <c r="S4083" s="44">
        <f t="shared" ref="S4083:S4146" si="385">+S4082+1</f>
        <v>47133</v>
      </c>
      <c r="T4083" s="12">
        <f t="shared" si="380"/>
        <v>2.0319884994120572</v>
      </c>
      <c r="U4083" s="12">
        <f t="shared" si="384"/>
        <v>2.000014382441734</v>
      </c>
      <c r="V4083" s="30">
        <f t="shared" si="381"/>
        <v>0.39226630136986307</v>
      </c>
      <c r="W4083" s="46">
        <f t="shared" si="382"/>
        <v>-2.0319884994120567E-2</v>
      </c>
      <c r="X4083" s="33">
        <f t="shared" si="383"/>
        <v>2.4647865282706245E-2</v>
      </c>
    </row>
    <row r="4084" spans="19:24" x14ac:dyDescent="0.25">
      <c r="S4084" s="44">
        <f t="shared" si="385"/>
        <v>47134</v>
      </c>
      <c r="T4084" s="12">
        <f t="shared" si="380"/>
        <v>2.0293114171105162</v>
      </c>
      <c r="U4084" s="12">
        <f t="shared" si="384"/>
        <v>1.9973632057169446</v>
      </c>
      <c r="V4084" s="30">
        <f t="shared" si="381"/>
        <v>0.39223890410958906</v>
      </c>
      <c r="W4084" s="46">
        <f t="shared" si="382"/>
        <v>-2.0293114171105159E-2</v>
      </c>
      <c r="X4084" s="33">
        <f t="shared" si="383"/>
        <v>2.4647823770433303E-2</v>
      </c>
    </row>
    <row r="4085" spans="19:24" x14ac:dyDescent="0.25">
      <c r="S4085" s="44">
        <f t="shared" si="385"/>
        <v>47135</v>
      </c>
      <c r="T4085" s="12">
        <f t="shared" si="380"/>
        <v>2.0266343348089748</v>
      </c>
      <c r="U4085" s="12">
        <f t="shared" si="384"/>
        <v>1.9947120289921549</v>
      </c>
      <c r="V4085" s="30">
        <f t="shared" si="381"/>
        <v>0.39221150684931511</v>
      </c>
      <c r="W4085" s="46">
        <f t="shared" si="382"/>
        <v>-2.0266343348089744E-2</v>
      </c>
      <c r="X4085" s="33">
        <f t="shared" si="383"/>
        <v>2.4647782258160358E-2</v>
      </c>
    </row>
    <row r="4086" spans="19:24" x14ac:dyDescent="0.25">
      <c r="S4086" s="44">
        <f t="shared" si="385"/>
        <v>47136</v>
      </c>
      <c r="T4086" s="12">
        <f t="shared" si="380"/>
        <v>2.0239572525074339</v>
      </c>
      <c r="U4086" s="12">
        <f t="shared" si="384"/>
        <v>1.9920608522673662</v>
      </c>
      <c r="V4086" s="30">
        <f t="shared" si="381"/>
        <v>0.3921841095890411</v>
      </c>
      <c r="W4086" s="46">
        <f t="shared" si="382"/>
        <v>-2.0239572525074336E-2</v>
      </c>
      <c r="X4086" s="33">
        <f t="shared" si="383"/>
        <v>2.4647740745887409E-2</v>
      </c>
    </row>
    <row r="4087" spans="19:24" x14ac:dyDescent="0.25">
      <c r="S4087" s="44">
        <f t="shared" si="385"/>
        <v>47137</v>
      </c>
      <c r="T4087" s="12">
        <f t="shared" si="380"/>
        <v>2.021280170205892</v>
      </c>
      <c r="U4087" s="12">
        <f t="shared" si="384"/>
        <v>1.989409675542577</v>
      </c>
      <c r="V4087" s="30">
        <f t="shared" si="381"/>
        <v>0.39215671232876714</v>
      </c>
      <c r="W4087" s="46">
        <f t="shared" si="382"/>
        <v>-2.0212801702058917E-2</v>
      </c>
      <c r="X4087" s="33">
        <f t="shared" si="383"/>
        <v>2.4647699233614474E-2</v>
      </c>
    </row>
    <row r="4088" spans="19:24" x14ac:dyDescent="0.25">
      <c r="S4088" s="44">
        <f t="shared" si="385"/>
        <v>47138</v>
      </c>
      <c r="T4088" s="12">
        <f t="shared" si="380"/>
        <v>2.0186030879043511</v>
      </c>
      <c r="U4088" s="12">
        <f t="shared" si="384"/>
        <v>1.9867584988177873</v>
      </c>
      <c r="V4088" s="30">
        <f t="shared" si="381"/>
        <v>0.39212931506849313</v>
      </c>
      <c r="W4088" s="46">
        <f t="shared" si="382"/>
        <v>-2.0186030879043509E-2</v>
      </c>
      <c r="X4088" s="33">
        <f t="shared" si="383"/>
        <v>2.4647657721341521E-2</v>
      </c>
    </row>
    <row r="4089" spans="19:24" x14ac:dyDescent="0.25">
      <c r="S4089" s="44">
        <f t="shared" si="385"/>
        <v>47139</v>
      </c>
      <c r="T4089" s="12">
        <f t="shared" si="380"/>
        <v>2.0159260056028105</v>
      </c>
      <c r="U4089" s="12">
        <f t="shared" si="384"/>
        <v>1.9841073220929981</v>
      </c>
      <c r="V4089" s="30">
        <f t="shared" si="381"/>
        <v>0.39210191780821918</v>
      </c>
      <c r="W4089" s="46">
        <f t="shared" si="382"/>
        <v>-2.0159260056028104E-2</v>
      </c>
      <c r="X4089" s="33">
        <f t="shared" si="383"/>
        <v>2.4647616209068583E-2</v>
      </c>
    </row>
    <row r="4090" spans="19:24" x14ac:dyDescent="0.25">
      <c r="S4090" s="44">
        <f t="shared" si="385"/>
        <v>47140</v>
      </c>
      <c r="T4090" s="12">
        <f t="shared" si="380"/>
        <v>2.0132489233012687</v>
      </c>
      <c r="U4090" s="12">
        <f t="shared" si="384"/>
        <v>1.9814561453682089</v>
      </c>
      <c r="V4090" s="30">
        <f t="shared" si="381"/>
        <v>0.39207452054794523</v>
      </c>
      <c r="W4090" s="46">
        <f t="shared" si="382"/>
        <v>-2.0132489233012685E-2</v>
      </c>
      <c r="X4090" s="33">
        <f t="shared" si="383"/>
        <v>2.4647574696795637E-2</v>
      </c>
    </row>
    <row r="4091" spans="19:24" x14ac:dyDescent="0.25">
      <c r="S4091" s="44">
        <f t="shared" si="385"/>
        <v>47141</v>
      </c>
      <c r="T4091" s="12">
        <f t="shared" si="380"/>
        <v>2.0105718409997282</v>
      </c>
      <c r="U4091" s="12">
        <f t="shared" si="384"/>
        <v>1.9788049686434197</v>
      </c>
      <c r="V4091" s="30">
        <f t="shared" si="381"/>
        <v>0.39204712328767122</v>
      </c>
      <c r="W4091" s="46">
        <f t="shared" si="382"/>
        <v>-2.0105718409997277E-2</v>
      </c>
      <c r="X4091" s="33">
        <f t="shared" si="383"/>
        <v>2.4647533184522695E-2</v>
      </c>
    </row>
    <row r="4092" spans="19:24" x14ac:dyDescent="0.25">
      <c r="S4092" s="44">
        <f t="shared" si="385"/>
        <v>47142</v>
      </c>
      <c r="T4092" s="12">
        <f t="shared" si="380"/>
        <v>2.0078947586981868</v>
      </c>
      <c r="U4092" s="12">
        <f t="shared" si="384"/>
        <v>1.9761537919186307</v>
      </c>
      <c r="V4092" s="30">
        <f t="shared" si="381"/>
        <v>0.39201972602739721</v>
      </c>
      <c r="W4092" s="46">
        <f t="shared" si="382"/>
        <v>-2.0078947586981866E-2</v>
      </c>
      <c r="X4092" s="33">
        <f t="shared" si="383"/>
        <v>2.4647491672249746E-2</v>
      </c>
    </row>
    <row r="4093" spans="19:24" x14ac:dyDescent="0.25">
      <c r="S4093" s="44">
        <f t="shared" si="385"/>
        <v>47143</v>
      </c>
      <c r="T4093" s="12">
        <f t="shared" si="380"/>
        <v>2.0052176763966449</v>
      </c>
      <c r="U4093" s="12">
        <f t="shared" si="384"/>
        <v>1.9735026151938408</v>
      </c>
      <c r="V4093" s="30">
        <f t="shared" si="381"/>
        <v>0.39199232876712331</v>
      </c>
      <c r="W4093" s="46">
        <f t="shared" si="382"/>
        <v>-2.0052176763966447E-2</v>
      </c>
      <c r="X4093" s="33">
        <f t="shared" si="383"/>
        <v>2.4647450159976811E-2</v>
      </c>
    </row>
    <row r="4094" spans="19:24" x14ac:dyDescent="0.25">
      <c r="S4094" s="44">
        <f t="shared" si="385"/>
        <v>47144</v>
      </c>
      <c r="T4094" s="12">
        <f t="shared" si="380"/>
        <v>2.002540594095104</v>
      </c>
      <c r="U4094" s="12">
        <f t="shared" si="384"/>
        <v>1.9708514384690516</v>
      </c>
      <c r="V4094" s="30">
        <f t="shared" si="381"/>
        <v>0.3919649315068493</v>
      </c>
      <c r="W4094" s="46">
        <f t="shared" si="382"/>
        <v>-2.0025405940951035E-2</v>
      </c>
      <c r="X4094" s="33">
        <f t="shared" si="383"/>
        <v>2.4647408647703862E-2</v>
      </c>
    </row>
    <row r="4095" spans="19:24" x14ac:dyDescent="0.25">
      <c r="S4095" s="44">
        <f t="shared" si="385"/>
        <v>47145</v>
      </c>
      <c r="T4095" s="12">
        <f t="shared" si="380"/>
        <v>1.9998635117935626</v>
      </c>
      <c r="U4095" s="12">
        <f t="shared" si="384"/>
        <v>1.9682002617442624</v>
      </c>
      <c r="V4095" s="30">
        <f t="shared" si="381"/>
        <v>0.39193753424657535</v>
      </c>
      <c r="W4095" s="46">
        <f t="shared" si="382"/>
        <v>-1.9998635117935624E-2</v>
      </c>
      <c r="X4095" s="33">
        <f t="shared" si="383"/>
        <v>2.4647367135430916E-2</v>
      </c>
    </row>
    <row r="4096" spans="19:24" x14ac:dyDescent="0.25">
      <c r="S4096" s="44">
        <f t="shared" si="385"/>
        <v>47146</v>
      </c>
      <c r="T4096" s="12">
        <f t="shared" si="380"/>
        <v>1.9971864294920214</v>
      </c>
      <c r="U4096" s="12">
        <f t="shared" si="384"/>
        <v>1.9655490850194732</v>
      </c>
      <c r="V4096" s="30">
        <f t="shared" si="381"/>
        <v>0.39191013698630139</v>
      </c>
      <c r="W4096" s="46">
        <f t="shared" si="382"/>
        <v>-1.9971864294920212E-2</v>
      </c>
      <c r="X4096" s="33">
        <f t="shared" si="383"/>
        <v>2.4647325623157974E-2</v>
      </c>
    </row>
    <row r="4097" spans="19:24" x14ac:dyDescent="0.25">
      <c r="S4097" s="44">
        <f t="shared" si="385"/>
        <v>47147</v>
      </c>
      <c r="T4097" s="12">
        <f t="shared" si="380"/>
        <v>1.9945093471904805</v>
      </c>
      <c r="U4097" s="12">
        <f t="shared" si="384"/>
        <v>1.9628979082946836</v>
      </c>
      <c r="V4097" s="30">
        <f t="shared" si="381"/>
        <v>0.39188273972602738</v>
      </c>
      <c r="W4097" s="46">
        <f t="shared" si="382"/>
        <v>-1.9945093471904801E-2</v>
      </c>
      <c r="X4097" s="33">
        <f t="shared" si="383"/>
        <v>2.4647284110885029E-2</v>
      </c>
    </row>
    <row r="4098" spans="19:24" x14ac:dyDescent="0.25">
      <c r="S4098" s="44">
        <f t="shared" si="385"/>
        <v>47148</v>
      </c>
      <c r="T4098" s="12">
        <f t="shared" si="380"/>
        <v>1.9918322648889391</v>
      </c>
      <c r="U4098" s="12">
        <f t="shared" si="384"/>
        <v>1.9602467315698946</v>
      </c>
      <c r="V4098" s="30">
        <f t="shared" si="381"/>
        <v>0.39185534246575343</v>
      </c>
      <c r="W4098" s="46">
        <f t="shared" si="382"/>
        <v>-1.9918322648889389E-2</v>
      </c>
      <c r="X4098" s="33">
        <f t="shared" si="383"/>
        <v>2.464724259861209E-2</v>
      </c>
    </row>
    <row r="4099" spans="19:24" x14ac:dyDescent="0.25">
      <c r="S4099" s="44">
        <f t="shared" si="385"/>
        <v>47149</v>
      </c>
      <c r="T4099" s="12">
        <f t="shared" si="380"/>
        <v>1.9891551825873981</v>
      </c>
      <c r="U4099" s="12">
        <f t="shared" si="384"/>
        <v>1.9575955548451052</v>
      </c>
      <c r="V4099" s="30">
        <f t="shared" si="381"/>
        <v>0.39182794520547948</v>
      </c>
      <c r="W4099" s="46">
        <f t="shared" si="382"/>
        <v>-1.9891551825873977E-2</v>
      </c>
      <c r="X4099" s="33">
        <f t="shared" si="383"/>
        <v>2.4647201086339145E-2</v>
      </c>
    </row>
    <row r="4100" spans="19:24" x14ac:dyDescent="0.25">
      <c r="S4100" s="44">
        <f t="shared" si="385"/>
        <v>47150</v>
      </c>
      <c r="T4100" s="12">
        <f t="shared" si="380"/>
        <v>1.9864781002858565</v>
      </c>
      <c r="U4100" s="12">
        <f t="shared" si="384"/>
        <v>1.9549443781203157</v>
      </c>
      <c r="V4100" s="30">
        <f t="shared" si="381"/>
        <v>0.39180054794520547</v>
      </c>
      <c r="W4100" s="46">
        <f t="shared" si="382"/>
        <v>-1.9864781002858562E-2</v>
      </c>
      <c r="X4100" s="33">
        <f t="shared" si="383"/>
        <v>2.4647159574066203E-2</v>
      </c>
    </row>
    <row r="4101" spans="19:24" x14ac:dyDescent="0.25">
      <c r="S4101" s="44">
        <f t="shared" si="385"/>
        <v>47151</v>
      </c>
      <c r="T4101" s="12">
        <f t="shared" ref="T4101:T4164" si="386">DurMod(S4101,B$2,$F$7:$G$37,$T$3)</f>
        <v>1.983801017984316</v>
      </c>
      <c r="U4101" s="12">
        <f t="shared" si="384"/>
        <v>1.9522932013955263</v>
      </c>
      <c r="V4101" s="30">
        <f t="shared" ref="V4101:V4164" si="387">+$U$3*($S$5512-S4101)/365+$T$3*(S4101-$S$4)/365</f>
        <v>0.39177315068493151</v>
      </c>
      <c r="W4101" s="46">
        <f t="shared" ref="W4101:W4164" si="388">+-T4101*($U$3-$T$3)</f>
        <v>-1.9838010179843157E-2</v>
      </c>
      <c r="X4101" s="33">
        <f t="shared" ref="X4101:X4164" si="389">+(V4101+W4101)*365/($S$5512-$S$4)</f>
        <v>2.4647118061793254E-2</v>
      </c>
    </row>
    <row r="4102" spans="19:24" x14ac:dyDescent="0.25">
      <c r="S4102" s="44">
        <f t="shared" si="385"/>
        <v>47152</v>
      </c>
      <c r="T4102" s="12">
        <f t="shared" si="386"/>
        <v>1.9811239356827748</v>
      </c>
      <c r="U4102" s="12">
        <f t="shared" ref="U4102:U4165" si="390">DurMod($S4102,$B$2,$F$7:$G$37,U$3)</f>
        <v>1.9496420246707373</v>
      </c>
      <c r="V4102" s="30">
        <f t="shared" si="387"/>
        <v>0.39174575342465756</v>
      </c>
      <c r="W4102" s="46">
        <f t="shared" si="388"/>
        <v>-1.9811239356827746E-2</v>
      </c>
      <c r="X4102" s="33">
        <f t="shared" si="389"/>
        <v>2.4647076549520312E-2</v>
      </c>
    </row>
    <row r="4103" spans="19:24" x14ac:dyDescent="0.25">
      <c r="S4103" s="44">
        <f t="shared" si="385"/>
        <v>47153</v>
      </c>
      <c r="T4103" s="12">
        <f t="shared" si="386"/>
        <v>1.9784468533812336</v>
      </c>
      <c r="U4103" s="12">
        <f t="shared" si="390"/>
        <v>1.9469908479459479</v>
      </c>
      <c r="V4103" s="30">
        <f t="shared" si="387"/>
        <v>0.39171835616438355</v>
      </c>
      <c r="W4103" s="46">
        <f t="shared" si="388"/>
        <v>-1.9784468533812334E-2</v>
      </c>
      <c r="X4103" s="33">
        <f t="shared" si="389"/>
        <v>2.4647035037247366E-2</v>
      </c>
    </row>
    <row r="4104" spans="19:24" x14ac:dyDescent="0.25">
      <c r="S4104" s="44">
        <f t="shared" si="385"/>
        <v>47154</v>
      </c>
      <c r="T4104" s="12">
        <f t="shared" si="386"/>
        <v>1.9757697710796918</v>
      </c>
      <c r="U4104" s="12">
        <f t="shared" si="390"/>
        <v>1.9443396712211589</v>
      </c>
      <c r="V4104" s="30">
        <f t="shared" si="387"/>
        <v>0.39169095890410954</v>
      </c>
      <c r="W4104" s="46">
        <f t="shared" si="388"/>
        <v>-1.9757697710796916E-2</v>
      </c>
      <c r="X4104" s="33">
        <f t="shared" si="389"/>
        <v>2.4646993524974417E-2</v>
      </c>
    </row>
    <row r="4105" spans="19:24" x14ac:dyDescent="0.25">
      <c r="S4105" s="44">
        <f t="shared" si="385"/>
        <v>47155</v>
      </c>
      <c r="T4105" s="12">
        <f t="shared" si="386"/>
        <v>1.973092688778151</v>
      </c>
      <c r="U4105" s="12">
        <f t="shared" si="390"/>
        <v>1.9416884944963695</v>
      </c>
      <c r="V4105" s="30">
        <f t="shared" si="387"/>
        <v>0.39166356164383564</v>
      </c>
      <c r="W4105" s="46">
        <f t="shared" si="388"/>
        <v>-1.9730926887781507E-2</v>
      </c>
      <c r="X4105" s="33">
        <f t="shared" si="389"/>
        <v>2.4646952012701482E-2</v>
      </c>
    </row>
    <row r="4106" spans="19:24" x14ac:dyDescent="0.25">
      <c r="S4106" s="44">
        <f t="shared" si="385"/>
        <v>47156</v>
      </c>
      <c r="T4106" s="12">
        <f t="shared" si="386"/>
        <v>1.9704156064766096</v>
      </c>
      <c r="U4106" s="12">
        <f t="shared" si="390"/>
        <v>1.9390373177715805</v>
      </c>
      <c r="V4106" s="30">
        <f t="shared" si="387"/>
        <v>0.39163616438356164</v>
      </c>
      <c r="W4106" s="46">
        <f t="shared" si="388"/>
        <v>-1.9704156064766092E-2</v>
      </c>
      <c r="X4106" s="33">
        <f t="shared" si="389"/>
        <v>2.4646910500428533E-2</v>
      </c>
    </row>
    <row r="4107" spans="19:24" x14ac:dyDescent="0.25">
      <c r="S4107" s="44">
        <f t="shared" si="385"/>
        <v>47157</v>
      </c>
      <c r="T4107" s="12">
        <f t="shared" si="386"/>
        <v>1.967738524175068</v>
      </c>
      <c r="U4107" s="12">
        <f t="shared" si="390"/>
        <v>1.9363861410467904</v>
      </c>
      <c r="V4107" s="30">
        <f t="shared" si="387"/>
        <v>0.39160876712328768</v>
      </c>
      <c r="W4107" s="46">
        <f t="shared" si="388"/>
        <v>-1.9677385241750677E-2</v>
      </c>
      <c r="X4107" s="33">
        <f t="shared" si="389"/>
        <v>2.4646868988155591E-2</v>
      </c>
    </row>
    <row r="4108" spans="19:24" x14ac:dyDescent="0.25">
      <c r="S4108" s="44">
        <f t="shared" si="385"/>
        <v>47158</v>
      </c>
      <c r="T4108" s="12">
        <f t="shared" si="386"/>
        <v>1.965061441873527</v>
      </c>
      <c r="U4108" s="12">
        <f t="shared" si="390"/>
        <v>1.9337349643220012</v>
      </c>
      <c r="V4108" s="30">
        <f t="shared" si="387"/>
        <v>0.39158136986301373</v>
      </c>
      <c r="W4108" s="46">
        <f t="shared" si="388"/>
        <v>-1.9650614418735269E-2</v>
      </c>
      <c r="X4108" s="33">
        <f t="shared" si="389"/>
        <v>2.4646827475882649E-2</v>
      </c>
    </row>
    <row r="4109" spans="19:24" x14ac:dyDescent="0.25">
      <c r="S4109" s="44">
        <f t="shared" si="385"/>
        <v>47159</v>
      </c>
      <c r="T4109" s="12">
        <f t="shared" si="386"/>
        <v>1.9623843595719861</v>
      </c>
      <c r="U4109" s="12">
        <f t="shared" si="390"/>
        <v>1.931083787597212</v>
      </c>
      <c r="V4109" s="30">
        <f t="shared" si="387"/>
        <v>0.39155397260273972</v>
      </c>
      <c r="W4109" s="46">
        <f t="shared" si="388"/>
        <v>-1.9623843595719857E-2</v>
      </c>
      <c r="X4109" s="33">
        <f t="shared" si="389"/>
        <v>2.4646785963609707E-2</v>
      </c>
    </row>
    <row r="4110" spans="19:24" x14ac:dyDescent="0.25">
      <c r="S4110" s="44">
        <f t="shared" si="385"/>
        <v>47160</v>
      </c>
      <c r="T4110" s="12">
        <f t="shared" si="386"/>
        <v>1.9597072772704449</v>
      </c>
      <c r="U4110" s="12">
        <f t="shared" si="390"/>
        <v>1.9284326108724228</v>
      </c>
      <c r="V4110" s="30">
        <f t="shared" si="387"/>
        <v>0.39152657534246577</v>
      </c>
      <c r="W4110" s="46">
        <f t="shared" si="388"/>
        <v>-1.9597072772704446E-2</v>
      </c>
      <c r="X4110" s="33">
        <f t="shared" si="389"/>
        <v>2.4646744451336761E-2</v>
      </c>
    </row>
    <row r="4111" spans="19:24" x14ac:dyDescent="0.25">
      <c r="S4111" s="44">
        <f t="shared" si="385"/>
        <v>47161</v>
      </c>
      <c r="T4111" s="12">
        <f t="shared" si="386"/>
        <v>1.9570301949689035</v>
      </c>
      <c r="U4111" s="12">
        <f t="shared" si="390"/>
        <v>1.9257814341476336</v>
      </c>
      <c r="V4111" s="30">
        <f t="shared" si="387"/>
        <v>0.39149917808219181</v>
      </c>
      <c r="W4111" s="46">
        <f t="shared" si="388"/>
        <v>-1.9570301949689031E-2</v>
      </c>
      <c r="X4111" s="33">
        <f t="shared" si="389"/>
        <v>2.4646702939063819E-2</v>
      </c>
    </row>
    <row r="4112" spans="19:24" x14ac:dyDescent="0.25">
      <c r="S4112" s="44">
        <f t="shared" si="385"/>
        <v>47162</v>
      </c>
      <c r="T4112" s="12">
        <f t="shared" si="386"/>
        <v>1.9543531126673621</v>
      </c>
      <c r="U4112" s="12">
        <f t="shared" si="390"/>
        <v>1.9231302574228442</v>
      </c>
      <c r="V4112" s="30">
        <f t="shared" si="387"/>
        <v>0.3914717808219178</v>
      </c>
      <c r="W4112" s="46">
        <f t="shared" si="388"/>
        <v>-1.9543531126673619E-2</v>
      </c>
      <c r="X4112" s="33">
        <f t="shared" si="389"/>
        <v>2.464666142679087E-2</v>
      </c>
    </row>
    <row r="4113" spans="19:24" x14ac:dyDescent="0.25">
      <c r="S4113" s="44">
        <f t="shared" si="385"/>
        <v>47163</v>
      </c>
      <c r="T4113" s="12">
        <f t="shared" si="386"/>
        <v>1.9516760303658214</v>
      </c>
      <c r="U4113" s="12">
        <f t="shared" si="390"/>
        <v>1.9204790806980552</v>
      </c>
      <c r="V4113" s="30">
        <f t="shared" si="387"/>
        <v>0.39144438356164379</v>
      </c>
      <c r="W4113" s="46">
        <f t="shared" si="388"/>
        <v>-1.9516760303658211E-2</v>
      </c>
      <c r="X4113" s="33">
        <f t="shared" si="389"/>
        <v>2.4646619914517925E-2</v>
      </c>
    </row>
    <row r="4114" spans="19:24" x14ac:dyDescent="0.25">
      <c r="S4114" s="44">
        <f t="shared" si="385"/>
        <v>47164</v>
      </c>
      <c r="T4114" s="12">
        <f t="shared" si="386"/>
        <v>1.94899894806428</v>
      </c>
      <c r="U4114" s="12">
        <f t="shared" si="390"/>
        <v>1.9178279039732655</v>
      </c>
      <c r="V4114" s="30">
        <f t="shared" si="387"/>
        <v>0.3914169863013699</v>
      </c>
      <c r="W4114" s="46">
        <f t="shared" si="388"/>
        <v>-1.9489989480642796E-2</v>
      </c>
      <c r="X4114" s="33">
        <f t="shared" si="389"/>
        <v>2.4646578402244986E-2</v>
      </c>
    </row>
    <row r="4115" spans="19:24" x14ac:dyDescent="0.25">
      <c r="S4115" s="44">
        <f t="shared" si="385"/>
        <v>47165</v>
      </c>
      <c r="T4115" s="12">
        <f t="shared" si="386"/>
        <v>1.9463218657627388</v>
      </c>
      <c r="U4115" s="12">
        <f t="shared" si="390"/>
        <v>1.9151767272484763</v>
      </c>
      <c r="V4115" s="30">
        <f t="shared" si="387"/>
        <v>0.39138958904109589</v>
      </c>
      <c r="W4115" s="46">
        <f t="shared" si="388"/>
        <v>-1.9463218657627384E-2</v>
      </c>
      <c r="X4115" s="33">
        <f t="shared" si="389"/>
        <v>2.4646536889972041E-2</v>
      </c>
    </row>
    <row r="4116" spans="19:24" x14ac:dyDescent="0.25">
      <c r="S4116" s="44">
        <f t="shared" si="385"/>
        <v>47166</v>
      </c>
      <c r="T4116" s="12">
        <f t="shared" si="386"/>
        <v>1.9436447834611976</v>
      </c>
      <c r="U4116" s="12">
        <f t="shared" si="390"/>
        <v>1.9125255505236867</v>
      </c>
      <c r="V4116" s="30">
        <f t="shared" si="387"/>
        <v>0.39136219178082188</v>
      </c>
      <c r="W4116" s="46">
        <f t="shared" si="388"/>
        <v>-1.9436447834611972E-2</v>
      </c>
      <c r="X4116" s="33">
        <f t="shared" si="389"/>
        <v>2.4646495377699092E-2</v>
      </c>
    </row>
    <row r="4117" spans="19:24" x14ac:dyDescent="0.25">
      <c r="S4117" s="44">
        <f t="shared" si="385"/>
        <v>47167</v>
      </c>
      <c r="T4117" s="12">
        <f t="shared" si="386"/>
        <v>1.9409677011596564</v>
      </c>
      <c r="U4117" s="12">
        <f t="shared" si="390"/>
        <v>1.9098743737988984</v>
      </c>
      <c r="V4117" s="30">
        <f t="shared" si="387"/>
        <v>0.39133479452054798</v>
      </c>
      <c r="W4117" s="46">
        <f t="shared" si="388"/>
        <v>-1.9409677011596561E-2</v>
      </c>
      <c r="X4117" s="33">
        <f t="shared" si="389"/>
        <v>2.4646453865426157E-2</v>
      </c>
    </row>
    <row r="4118" spans="19:24" x14ac:dyDescent="0.25">
      <c r="S4118" s="44">
        <f t="shared" si="385"/>
        <v>47168</v>
      </c>
      <c r="T4118" s="12">
        <f t="shared" si="386"/>
        <v>1.938290618858115</v>
      </c>
      <c r="U4118" s="12">
        <f t="shared" si="390"/>
        <v>1.9072231970741091</v>
      </c>
      <c r="V4118" s="30">
        <f t="shared" si="387"/>
        <v>0.39130739726027397</v>
      </c>
      <c r="W4118" s="46">
        <f t="shared" si="388"/>
        <v>-1.9382906188581149E-2</v>
      </c>
      <c r="X4118" s="33">
        <f t="shared" si="389"/>
        <v>2.4646412353153211E-2</v>
      </c>
    </row>
    <row r="4119" spans="19:24" x14ac:dyDescent="0.25">
      <c r="S4119" s="44">
        <f t="shared" si="385"/>
        <v>47169</v>
      </c>
      <c r="T4119" s="12">
        <f t="shared" si="386"/>
        <v>1.9356135365565736</v>
      </c>
      <c r="U4119" s="12">
        <f t="shared" si="390"/>
        <v>1.9045720203493191</v>
      </c>
      <c r="V4119" s="30">
        <f t="shared" si="387"/>
        <v>0.39128000000000002</v>
      </c>
      <c r="W4119" s="46">
        <f t="shared" si="388"/>
        <v>-1.9356135365565734E-2</v>
      </c>
      <c r="X4119" s="33">
        <f t="shared" si="389"/>
        <v>2.4646370840880269E-2</v>
      </c>
    </row>
    <row r="4120" spans="19:24" x14ac:dyDescent="0.25">
      <c r="S4120" s="44">
        <f t="shared" si="385"/>
        <v>47170</v>
      </c>
      <c r="T4120" s="12">
        <f t="shared" si="386"/>
        <v>1.9329364542550327</v>
      </c>
      <c r="U4120" s="12">
        <f t="shared" si="390"/>
        <v>1.9019208436245298</v>
      </c>
      <c r="V4120" s="30">
        <f t="shared" si="387"/>
        <v>0.39125260273972601</v>
      </c>
      <c r="W4120" s="46">
        <f t="shared" si="388"/>
        <v>-1.9329364542550322E-2</v>
      </c>
      <c r="X4120" s="33">
        <f t="shared" si="389"/>
        <v>2.464632932860732E-2</v>
      </c>
    </row>
    <row r="4121" spans="19:24" x14ac:dyDescent="0.25">
      <c r="S4121" s="44">
        <f t="shared" si="385"/>
        <v>47171</v>
      </c>
      <c r="T4121" s="12">
        <f t="shared" si="386"/>
        <v>1.9302593719534915</v>
      </c>
      <c r="U4121" s="12">
        <f t="shared" si="390"/>
        <v>1.8992696668997404</v>
      </c>
      <c r="V4121" s="30">
        <f t="shared" si="387"/>
        <v>0.39122520547945205</v>
      </c>
      <c r="W4121" s="46">
        <f t="shared" si="388"/>
        <v>-1.9302593719534911E-2</v>
      </c>
      <c r="X4121" s="33">
        <f t="shared" si="389"/>
        <v>2.4646287816334378E-2</v>
      </c>
    </row>
    <row r="4122" spans="19:24" x14ac:dyDescent="0.25">
      <c r="S4122" s="44">
        <f t="shared" si="385"/>
        <v>47172</v>
      </c>
      <c r="T4122" s="12">
        <f t="shared" si="386"/>
        <v>1.9275822896519503</v>
      </c>
      <c r="U4122" s="12">
        <f t="shared" si="390"/>
        <v>1.8966184901749519</v>
      </c>
      <c r="V4122" s="30">
        <f t="shared" si="387"/>
        <v>0.3911978082191781</v>
      </c>
      <c r="W4122" s="46">
        <f t="shared" si="388"/>
        <v>-1.9275822896519499E-2</v>
      </c>
      <c r="X4122" s="33">
        <f t="shared" si="389"/>
        <v>2.4646246304061436E-2</v>
      </c>
    </row>
    <row r="4123" spans="19:24" x14ac:dyDescent="0.25">
      <c r="S4123" s="44">
        <f t="shared" si="385"/>
        <v>47173</v>
      </c>
      <c r="T4123" s="12">
        <f t="shared" si="386"/>
        <v>1.9249052073504094</v>
      </c>
      <c r="U4123" s="12">
        <f t="shared" si="390"/>
        <v>1.8939673134501618</v>
      </c>
      <c r="V4123" s="30">
        <f t="shared" si="387"/>
        <v>0.39117041095890415</v>
      </c>
      <c r="W4123" s="46">
        <f t="shared" si="388"/>
        <v>-1.9249052073504091E-2</v>
      </c>
      <c r="X4123" s="33">
        <f t="shared" si="389"/>
        <v>2.4646204791788494E-2</v>
      </c>
    </row>
    <row r="4124" spans="19:24" x14ac:dyDescent="0.25">
      <c r="S4124" s="44">
        <f t="shared" si="385"/>
        <v>47174</v>
      </c>
      <c r="T4124" s="12">
        <f t="shared" si="386"/>
        <v>1.9222281250488682</v>
      </c>
      <c r="U4124" s="12">
        <f t="shared" si="390"/>
        <v>1.891316136725373</v>
      </c>
      <c r="V4124" s="30">
        <f t="shared" si="387"/>
        <v>0.39114301369863014</v>
      </c>
      <c r="W4124" s="46">
        <f t="shared" si="388"/>
        <v>-1.9222281250488679E-2</v>
      </c>
      <c r="X4124" s="33">
        <f t="shared" si="389"/>
        <v>2.4646163279515548E-2</v>
      </c>
    </row>
    <row r="4125" spans="19:24" x14ac:dyDescent="0.25">
      <c r="S4125" s="44">
        <f t="shared" si="385"/>
        <v>47175</v>
      </c>
      <c r="T4125" s="12">
        <f t="shared" si="386"/>
        <v>1.9195510427473268</v>
      </c>
      <c r="U4125" s="12">
        <f t="shared" si="390"/>
        <v>1.8886649600005838</v>
      </c>
      <c r="V4125" s="30">
        <f t="shared" si="387"/>
        <v>0.39111561643835613</v>
      </c>
      <c r="W4125" s="46">
        <f t="shared" si="388"/>
        <v>-1.9195510427473264E-2</v>
      </c>
      <c r="X4125" s="33">
        <f t="shared" si="389"/>
        <v>2.4646121767242599E-2</v>
      </c>
    </row>
    <row r="4126" spans="19:24" x14ac:dyDescent="0.25">
      <c r="S4126" s="44">
        <f t="shared" si="385"/>
        <v>47176</v>
      </c>
      <c r="T4126" s="12">
        <f t="shared" si="386"/>
        <v>1.9168739604457856</v>
      </c>
      <c r="U4126" s="12">
        <f t="shared" si="390"/>
        <v>1.8860137832757942</v>
      </c>
      <c r="V4126" s="30">
        <f t="shared" si="387"/>
        <v>0.39108821917808223</v>
      </c>
      <c r="W4126" s="46">
        <f t="shared" si="388"/>
        <v>-1.9168739604457852E-2</v>
      </c>
      <c r="X4126" s="33">
        <f t="shared" si="389"/>
        <v>2.4646080254969664E-2</v>
      </c>
    </row>
    <row r="4127" spans="19:24" x14ac:dyDescent="0.25">
      <c r="S4127" s="44">
        <f t="shared" si="385"/>
        <v>47177</v>
      </c>
      <c r="T4127" s="12">
        <f t="shared" si="386"/>
        <v>1.9141968781442447</v>
      </c>
      <c r="U4127" s="12">
        <f t="shared" si="390"/>
        <v>1.8833626065510052</v>
      </c>
      <c r="V4127" s="30">
        <f t="shared" si="387"/>
        <v>0.39106082191780822</v>
      </c>
      <c r="W4127" s="46">
        <f t="shared" si="388"/>
        <v>-1.9141968781442444E-2</v>
      </c>
      <c r="X4127" s="33">
        <f t="shared" si="389"/>
        <v>2.4646038742696715E-2</v>
      </c>
    </row>
    <row r="4128" spans="19:24" x14ac:dyDescent="0.25">
      <c r="S4128" s="44">
        <f t="shared" si="385"/>
        <v>47178</v>
      </c>
      <c r="T4128" s="12">
        <f t="shared" si="386"/>
        <v>1.911519795842703</v>
      </c>
      <c r="U4128" s="12">
        <f t="shared" si="390"/>
        <v>1.8807114298262155</v>
      </c>
      <c r="V4128" s="30">
        <f t="shared" si="387"/>
        <v>0.39103342465753421</v>
      </c>
      <c r="W4128" s="46">
        <f t="shared" si="388"/>
        <v>-1.9115197958427029E-2</v>
      </c>
      <c r="X4128" s="33">
        <f t="shared" si="389"/>
        <v>2.464599723042377E-2</v>
      </c>
    </row>
    <row r="4129" spans="19:24" x14ac:dyDescent="0.25">
      <c r="S4129" s="44">
        <f t="shared" si="385"/>
        <v>47179</v>
      </c>
      <c r="T4129" s="12">
        <f t="shared" si="386"/>
        <v>1.9088427135411619</v>
      </c>
      <c r="U4129" s="12">
        <f t="shared" si="390"/>
        <v>1.8780602531014265</v>
      </c>
      <c r="V4129" s="30">
        <f t="shared" si="387"/>
        <v>0.39100602739726031</v>
      </c>
      <c r="W4129" s="46">
        <f t="shared" si="388"/>
        <v>-1.9088427135411614E-2</v>
      </c>
      <c r="X4129" s="33">
        <f t="shared" si="389"/>
        <v>2.4645955718150831E-2</v>
      </c>
    </row>
    <row r="4130" spans="19:24" x14ac:dyDescent="0.25">
      <c r="S4130" s="44">
        <f t="shared" si="385"/>
        <v>47180</v>
      </c>
      <c r="T4130" s="12">
        <f t="shared" si="386"/>
        <v>1.9061656312396211</v>
      </c>
      <c r="U4130" s="12">
        <f t="shared" si="390"/>
        <v>1.8754090763766371</v>
      </c>
      <c r="V4130" s="30">
        <f t="shared" si="387"/>
        <v>0.3909786301369863</v>
      </c>
      <c r="W4130" s="46">
        <f t="shared" si="388"/>
        <v>-1.9061656312396209E-2</v>
      </c>
      <c r="X4130" s="33">
        <f t="shared" si="389"/>
        <v>2.4645914205877886E-2</v>
      </c>
    </row>
    <row r="4131" spans="19:24" x14ac:dyDescent="0.25">
      <c r="S4131" s="44">
        <f t="shared" si="385"/>
        <v>47181</v>
      </c>
      <c r="T4131" s="12">
        <f t="shared" si="386"/>
        <v>1.9034885489380799</v>
      </c>
      <c r="U4131" s="12">
        <f t="shared" si="390"/>
        <v>1.8727578996518479</v>
      </c>
      <c r="V4131" s="30">
        <f t="shared" si="387"/>
        <v>0.39095123287671235</v>
      </c>
      <c r="W4131" s="46">
        <f t="shared" si="388"/>
        <v>-1.9034885489380798E-2</v>
      </c>
      <c r="X4131" s="33">
        <f t="shared" si="389"/>
        <v>2.4645872693604937E-2</v>
      </c>
    </row>
    <row r="4132" spans="19:24" x14ac:dyDescent="0.25">
      <c r="S4132" s="44">
        <f t="shared" si="385"/>
        <v>47182</v>
      </c>
      <c r="T4132" s="12">
        <f t="shared" si="386"/>
        <v>1.9008114666365385</v>
      </c>
      <c r="U4132" s="12">
        <f t="shared" si="390"/>
        <v>1.8701067229270587</v>
      </c>
      <c r="V4132" s="30">
        <f t="shared" si="387"/>
        <v>0.39092383561643834</v>
      </c>
      <c r="W4132" s="46">
        <f t="shared" si="388"/>
        <v>-1.9008114666365383E-2</v>
      </c>
      <c r="X4132" s="33">
        <f t="shared" si="389"/>
        <v>2.4645831181331995E-2</v>
      </c>
    </row>
    <row r="4133" spans="19:24" x14ac:dyDescent="0.25">
      <c r="S4133" s="44">
        <f t="shared" si="385"/>
        <v>47183</v>
      </c>
      <c r="T4133" s="12">
        <f t="shared" si="386"/>
        <v>1.8981343843349976</v>
      </c>
      <c r="U4133" s="12">
        <f t="shared" si="390"/>
        <v>1.8674555462022688</v>
      </c>
      <c r="V4133" s="30">
        <f t="shared" si="387"/>
        <v>0.39089643835616439</v>
      </c>
      <c r="W4133" s="46">
        <f t="shared" si="388"/>
        <v>-1.8981343843349974E-2</v>
      </c>
      <c r="X4133" s="33">
        <f t="shared" si="389"/>
        <v>2.4645789669059052E-2</v>
      </c>
    </row>
    <row r="4134" spans="19:24" x14ac:dyDescent="0.25">
      <c r="S4134" s="44">
        <f t="shared" si="385"/>
        <v>47184</v>
      </c>
      <c r="T4134" s="12">
        <f t="shared" si="386"/>
        <v>1.895457302033456</v>
      </c>
      <c r="U4134" s="12">
        <f t="shared" si="390"/>
        <v>1.8648043694774799</v>
      </c>
      <c r="V4134" s="30">
        <f t="shared" si="387"/>
        <v>0.39086904109589038</v>
      </c>
      <c r="W4134" s="46">
        <f t="shared" si="388"/>
        <v>-1.8954573020334556E-2</v>
      </c>
      <c r="X4134" s="33">
        <f t="shared" si="389"/>
        <v>2.4645748156786107E-2</v>
      </c>
    </row>
    <row r="4135" spans="19:24" x14ac:dyDescent="0.25">
      <c r="S4135" s="44">
        <f t="shared" si="385"/>
        <v>47185</v>
      </c>
      <c r="T4135" s="12">
        <f t="shared" si="386"/>
        <v>1.8927802197319148</v>
      </c>
      <c r="U4135" s="12">
        <f t="shared" si="390"/>
        <v>1.8621531927526906</v>
      </c>
      <c r="V4135" s="30">
        <f t="shared" si="387"/>
        <v>0.39084164383561648</v>
      </c>
      <c r="W4135" s="46">
        <f t="shared" si="388"/>
        <v>-1.8927802197319144E-2</v>
      </c>
      <c r="X4135" s="33">
        <f t="shared" si="389"/>
        <v>2.4645706644513165E-2</v>
      </c>
    </row>
    <row r="4136" spans="19:24" x14ac:dyDescent="0.25">
      <c r="S4136" s="44">
        <f t="shared" si="385"/>
        <v>47186</v>
      </c>
      <c r="T4136" s="12">
        <f t="shared" si="386"/>
        <v>1.8901031374303741</v>
      </c>
      <c r="U4136" s="12">
        <f t="shared" si="390"/>
        <v>1.8595020160279012</v>
      </c>
      <c r="V4136" s="30">
        <f t="shared" si="387"/>
        <v>0.39081424657534247</v>
      </c>
      <c r="W4136" s="46">
        <f t="shared" si="388"/>
        <v>-1.8901031374303736E-2</v>
      </c>
      <c r="X4136" s="33">
        <f t="shared" si="389"/>
        <v>2.4645665132240223E-2</v>
      </c>
    </row>
    <row r="4137" spans="19:24" x14ac:dyDescent="0.25">
      <c r="S4137" s="44">
        <f t="shared" si="385"/>
        <v>47187</v>
      </c>
      <c r="T4137" s="12">
        <f t="shared" si="386"/>
        <v>1.8874260551288327</v>
      </c>
      <c r="U4137" s="12">
        <f t="shared" si="390"/>
        <v>1.8568508393031116</v>
      </c>
      <c r="V4137" s="30">
        <f t="shared" si="387"/>
        <v>0.39078684931506846</v>
      </c>
      <c r="W4137" s="46">
        <f t="shared" si="388"/>
        <v>-1.8874260551288324E-2</v>
      </c>
      <c r="X4137" s="33">
        <f t="shared" si="389"/>
        <v>2.4645623619967277E-2</v>
      </c>
    </row>
    <row r="4138" spans="19:24" x14ac:dyDescent="0.25">
      <c r="S4138" s="44">
        <f t="shared" si="385"/>
        <v>47188</v>
      </c>
      <c r="T4138" s="12">
        <f t="shared" si="386"/>
        <v>1.8847489728272915</v>
      </c>
      <c r="U4138" s="12">
        <f t="shared" si="390"/>
        <v>1.8541996625783224</v>
      </c>
      <c r="V4138" s="30">
        <f t="shared" si="387"/>
        <v>0.39075945205479456</v>
      </c>
      <c r="W4138" s="46">
        <f t="shared" si="388"/>
        <v>-1.8847489728272913E-2</v>
      </c>
      <c r="X4138" s="33">
        <f t="shared" si="389"/>
        <v>2.4645582107694335E-2</v>
      </c>
    </row>
    <row r="4139" spans="19:24" x14ac:dyDescent="0.25">
      <c r="S4139" s="44">
        <f t="shared" si="385"/>
        <v>47189</v>
      </c>
      <c r="T4139" s="12">
        <f t="shared" si="386"/>
        <v>1.8820718905257501</v>
      </c>
      <c r="U4139" s="12">
        <f t="shared" si="390"/>
        <v>1.8515484858535336</v>
      </c>
      <c r="V4139" s="30">
        <f t="shared" si="387"/>
        <v>0.39073205479452056</v>
      </c>
      <c r="W4139" s="46">
        <f t="shared" si="388"/>
        <v>-1.8820718905257498E-2</v>
      </c>
      <c r="X4139" s="33">
        <f t="shared" si="389"/>
        <v>2.4645540595421393E-2</v>
      </c>
    </row>
    <row r="4140" spans="19:24" x14ac:dyDescent="0.25">
      <c r="S4140" s="44">
        <f t="shared" si="385"/>
        <v>47190</v>
      </c>
      <c r="T4140" s="12">
        <f t="shared" si="386"/>
        <v>1.8793948082242093</v>
      </c>
      <c r="U4140" s="12">
        <f t="shared" si="390"/>
        <v>1.8488973091287446</v>
      </c>
      <c r="V4140" s="30">
        <f t="shared" si="387"/>
        <v>0.3907046575342466</v>
      </c>
      <c r="W4140" s="46">
        <f t="shared" si="388"/>
        <v>-1.8793948082242089E-2</v>
      </c>
      <c r="X4140" s="33">
        <f t="shared" si="389"/>
        <v>2.4645499083148444E-2</v>
      </c>
    </row>
    <row r="4141" spans="19:24" x14ac:dyDescent="0.25">
      <c r="S4141" s="44">
        <f t="shared" si="385"/>
        <v>47191</v>
      </c>
      <c r="T4141" s="12">
        <f t="shared" si="386"/>
        <v>1.8767177259226677</v>
      </c>
      <c r="U4141" s="12">
        <f t="shared" si="390"/>
        <v>1.8462461324039545</v>
      </c>
      <c r="V4141" s="30">
        <f t="shared" si="387"/>
        <v>0.39067726027397259</v>
      </c>
      <c r="W4141" s="46">
        <f t="shared" si="388"/>
        <v>-1.8767177259226674E-2</v>
      </c>
      <c r="X4141" s="33">
        <f t="shared" si="389"/>
        <v>2.4645457570875502E-2</v>
      </c>
    </row>
    <row r="4142" spans="19:24" x14ac:dyDescent="0.25">
      <c r="S4142" s="44">
        <f t="shared" si="385"/>
        <v>47192</v>
      </c>
      <c r="T4142" s="12">
        <f t="shared" si="386"/>
        <v>1.8740406436211263</v>
      </c>
      <c r="U4142" s="12">
        <f t="shared" si="390"/>
        <v>1.8435949556791655</v>
      </c>
      <c r="V4142" s="30">
        <f t="shared" si="387"/>
        <v>0.39064986301369858</v>
      </c>
      <c r="W4142" s="46">
        <f t="shared" si="388"/>
        <v>-1.8740406436211259E-2</v>
      </c>
      <c r="X4142" s="33">
        <f t="shared" si="389"/>
        <v>2.4645416058602557E-2</v>
      </c>
    </row>
    <row r="4143" spans="19:24" x14ac:dyDescent="0.25">
      <c r="S4143" s="44">
        <f t="shared" si="385"/>
        <v>47193</v>
      </c>
      <c r="T4143" s="12">
        <f t="shared" si="386"/>
        <v>1.8713635613195858</v>
      </c>
      <c r="U4143" s="12">
        <f t="shared" si="390"/>
        <v>1.8409437789543761</v>
      </c>
      <c r="V4143" s="30">
        <f t="shared" si="387"/>
        <v>0.39062246575342469</v>
      </c>
      <c r="W4143" s="46">
        <f t="shared" si="388"/>
        <v>-1.8713635613195855E-2</v>
      </c>
      <c r="X4143" s="33">
        <f t="shared" si="389"/>
        <v>2.4645374546329618E-2</v>
      </c>
    </row>
    <row r="4144" spans="19:24" x14ac:dyDescent="0.25">
      <c r="S4144" s="44">
        <f t="shared" si="385"/>
        <v>47194</v>
      </c>
      <c r="T4144" s="12">
        <f t="shared" si="386"/>
        <v>1.8686864790180449</v>
      </c>
      <c r="U4144" s="12">
        <f t="shared" si="390"/>
        <v>1.8382926022295869</v>
      </c>
      <c r="V4144" s="30">
        <f t="shared" si="387"/>
        <v>0.39059506849315068</v>
      </c>
      <c r="W4144" s="46">
        <f t="shared" si="388"/>
        <v>-1.8686864790180446E-2</v>
      </c>
      <c r="X4144" s="33">
        <f t="shared" si="389"/>
        <v>2.4645333034056673E-2</v>
      </c>
    </row>
    <row r="4145" spans="19:24" x14ac:dyDescent="0.25">
      <c r="S4145" s="44">
        <f t="shared" si="385"/>
        <v>47195</v>
      </c>
      <c r="T4145" s="12">
        <f t="shared" si="386"/>
        <v>1.866009396716503</v>
      </c>
      <c r="U4145" s="12">
        <f t="shared" si="390"/>
        <v>1.8356414255047979</v>
      </c>
      <c r="V4145" s="30">
        <f t="shared" si="387"/>
        <v>0.39056767123287672</v>
      </c>
      <c r="W4145" s="46">
        <f t="shared" si="388"/>
        <v>-1.8660093967165028E-2</v>
      </c>
      <c r="X4145" s="33">
        <f t="shared" si="389"/>
        <v>2.4645291521783731E-2</v>
      </c>
    </row>
    <row r="4146" spans="19:24" x14ac:dyDescent="0.25">
      <c r="S4146" s="44">
        <f t="shared" si="385"/>
        <v>47196</v>
      </c>
      <c r="T4146" s="12">
        <f t="shared" si="386"/>
        <v>1.8633323144149616</v>
      </c>
      <c r="U4146" s="12">
        <f t="shared" si="390"/>
        <v>1.8329902487800083</v>
      </c>
      <c r="V4146" s="30">
        <f t="shared" si="387"/>
        <v>0.39054027397260282</v>
      </c>
      <c r="W4146" s="46">
        <f t="shared" si="388"/>
        <v>-1.8633323144149613E-2</v>
      </c>
      <c r="X4146" s="33">
        <f t="shared" si="389"/>
        <v>2.4645250009510788E-2</v>
      </c>
    </row>
    <row r="4147" spans="19:24" x14ac:dyDescent="0.25">
      <c r="S4147" s="44">
        <f t="shared" ref="S4147:S4210" si="391">+S4146+1</f>
        <v>47197</v>
      </c>
      <c r="T4147" s="12">
        <f t="shared" si="386"/>
        <v>1.8606552321134204</v>
      </c>
      <c r="U4147" s="12">
        <f t="shared" si="390"/>
        <v>1.8303390720552191</v>
      </c>
      <c r="V4147" s="30">
        <f t="shared" si="387"/>
        <v>0.39051287671232882</v>
      </c>
      <c r="W4147" s="46">
        <f t="shared" si="388"/>
        <v>-1.8606552321134201E-2</v>
      </c>
      <c r="X4147" s="33">
        <f t="shared" si="389"/>
        <v>2.4645208497237846E-2</v>
      </c>
    </row>
    <row r="4148" spans="19:24" x14ac:dyDescent="0.25">
      <c r="S4148" s="44">
        <f t="shared" si="391"/>
        <v>47198</v>
      </c>
      <c r="T4148" s="12">
        <f t="shared" si="386"/>
        <v>1.8579781498118793</v>
      </c>
      <c r="U4148" s="12">
        <f t="shared" si="390"/>
        <v>1.8276878953304299</v>
      </c>
      <c r="V4148" s="30">
        <f t="shared" si="387"/>
        <v>0.39048547945205481</v>
      </c>
      <c r="W4148" s="46">
        <f t="shared" si="388"/>
        <v>-1.8579781498118789E-2</v>
      </c>
      <c r="X4148" s="33">
        <f t="shared" si="389"/>
        <v>2.4645166984964897E-2</v>
      </c>
    </row>
    <row r="4149" spans="19:24" x14ac:dyDescent="0.25">
      <c r="S4149" s="44">
        <f t="shared" si="391"/>
        <v>47199</v>
      </c>
      <c r="T4149" s="12">
        <f t="shared" si="386"/>
        <v>1.8553010675103385</v>
      </c>
      <c r="U4149" s="12">
        <f t="shared" si="390"/>
        <v>1.8250367186056409</v>
      </c>
      <c r="V4149" s="30">
        <f t="shared" si="387"/>
        <v>0.39045808219178085</v>
      </c>
      <c r="W4149" s="46">
        <f t="shared" si="388"/>
        <v>-1.8553010675103381E-2</v>
      </c>
      <c r="X4149" s="33">
        <f t="shared" si="389"/>
        <v>2.4645125472691952E-2</v>
      </c>
    </row>
    <row r="4150" spans="19:24" x14ac:dyDescent="0.25">
      <c r="S4150" s="44">
        <f t="shared" si="391"/>
        <v>47200</v>
      </c>
      <c r="T4150" s="12">
        <f t="shared" si="386"/>
        <v>1.8526239852087971</v>
      </c>
      <c r="U4150" s="12">
        <f t="shared" si="390"/>
        <v>1.822385541880851</v>
      </c>
      <c r="V4150" s="30">
        <f t="shared" si="387"/>
        <v>0.39043068493150684</v>
      </c>
      <c r="W4150" s="46">
        <f t="shared" si="388"/>
        <v>-1.852623985208797E-2</v>
      </c>
      <c r="X4150" s="33">
        <f t="shared" si="389"/>
        <v>2.464508396041901E-2</v>
      </c>
    </row>
    <row r="4151" spans="19:24" x14ac:dyDescent="0.25">
      <c r="S4151" s="44">
        <f t="shared" si="391"/>
        <v>47201</v>
      </c>
      <c r="T4151" s="12">
        <f t="shared" si="386"/>
        <v>1.8499469029072557</v>
      </c>
      <c r="U4151" s="12">
        <f t="shared" si="390"/>
        <v>1.819734365156062</v>
      </c>
      <c r="V4151" s="30">
        <f t="shared" si="387"/>
        <v>0.39040328767123289</v>
      </c>
      <c r="W4151" s="46">
        <f t="shared" si="388"/>
        <v>-1.8499469029072554E-2</v>
      </c>
      <c r="X4151" s="33">
        <f t="shared" si="389"/>
        <v>2.4645042448146061E-2</v>
      </c>
    </row>
    <row r="4152" spans="19:24" x14ac:dyDescent="0.25">
      <c r="S4152" s="44">
        <f t="shared" si="391"/>
        <v>47202</v>
      </c>
      <c r="T4152" s="12">
        <f t="shared" si="386"/>
        <v>1.8472698206057143</v>
      </c>
      <c r="U4152" s="12">
        <f t="shared" si="390"/>
        <v>1.8170831884312726</v>
      </c>
      <c r="V4152" s="30">
        <f t="shared" si="387"/>
        <v>0.39037589041095894</v>
      </c>
      <c r="W4152" s="46">
        <f t="shared" si="388"/>
        <v>-1.8472698206057139E-2</v>
      </c>
      <c r="X4152" s="33">
        <f t="shared" si="389"/>
        <v>2.4645000935873126E-2</v>
      </c>
    </row>
    <row r="4153" spans="19:24" x14ac:dyDescent="0.25">
      <c r="S4153" s="44">
        <f t="shared" si="391"/>
        <v>47203</v>
      </c>
      <c r="T4153" s="12">
        <f t="shared" si="386"/>
        <v>1.8445927383041731</v>
      </c>
      <c r="U4153" s="12">
        <f t="shared" si="390"/>
        <v>1.8144320117064832</v>
      </c>
      <c r="V4153" s="30">
        <f t="shared" si="387"/>
        <v>0.39034849315068493</v>
      </c>
      <c r="W4153" s="46">
        <f t="shared" si="388"/>
        <v>-1.8445927383041728E-2</v>
      </c>
      <c r="X4153" s="33">
        <f t="shared" si="389"/>
        <v>2.4644959423600173E-2</v>
      </c>
    </row>
    <row r="4154" spans="19:24" x14ac:dyDescent="0.25">
      <c r="S4154" s="44">
        <f t="shared" si="391"/>
        <v>47204</v>
      </c>
      <c r="T4154" s="12">
        <f t="shared" si="386"/>
        <v>1.841915656002632</v>
      </c>
      <c r="U4154" s="12">
        <f t="shared" si="390"/>
        <v>1.8117808349816937</v>
      </c>
      <c r="V4154" s="30">
        <f t="shared" si="387"/>
        <v>0.39032109589041092</v>
      </c>
      <c r="W4154" s="46">
        <f t="shared" si="388"/>
        <v>-1.8419156560026316E-2</v>
      </c>
      <c r="X4154" s="33">
        <f t="shared" si="389"/>
        <v>2.4644917911327231E-2</v>
      </c>
    </row>
    <row r="4155" spans="19:24" x14ac:dyDescent="0.25">
      <c r="S4155" s="44">
        <f t="shared" si="391"/>
        <v>47205</v>
      </c>
      <c r="T4155" s="12">
        <f t="shared" si="386"/>
        <v>1.839238573701091</v>
      </c>
      <c r="U4155" s="12">
        <f t="shared" si="390"/>
        <v>1.8091296582569043</v>
      </c>
      <c r="V4155" s="30">
        <f t="shared" si="387"/>
        <v>0.39029369863013696</v>
      </c>
      <c r="W4155" s="46">
        <f t="shared" si="388"/>
        <v>-1.8392385737010908E-2</v>
      </c>
      <c r="X4155" s="33">
        <f t="shared" si="389"/>
        <v>2.4644876399054289E-2</v>
      </c>
    </row>
    <row r="4156" spans="19:24" x14ac:dyDescent="0.25">
      <c r="S4156" s="44">
        <f t="shared" si="391"/>
        <v>47206</v>
      </c>
      <c r="T4156" s="12">
        <f t="shared" si="386"/>
        <v>1.8365614913995498</v>
      </c>
      <c r="U4156" s="12">
        <f t="shared" si="390"/>
        <v>1.8064784815321153</v>
      </c>
      <c r="V4156" s="30">
        <f t="shared" si="387"/>
        <v>0.39026630136986301</v>
      </c>
      <c r="W4156" s="46">
        <f t="shared" si="388"/>
        <v>-1.8365614913995496E-2</v>
      </c>
      <c r="X4156" s="33">
        <f t="shared" si="389"/>
        <v>2.4644834886781344E-2</v>
      </c>
    </row>
    <row r="4157" spans="19:24" x14ac:dyDescent="0.25">
      <c r="S4157" s="44">
        <f t="shared" si="391"/>
        <v>47207</v>
      </c>
      <c r="T4157" s="12">
        <f t="shared" si="386"/>
        <v>1.8338844090980091</v>
      </c>
      <c r="U4157" s="12">
        <f t="shared" si="390"/>
        <v>1.8038273048073261</v>
      </c>
      <c r="V4157" s="30">
        <f t="shared" si="387"/>
        <v>0.39023890410958906</v>
      </c>
      <c r="W4157" s="46">
        <f t="shared" si="388"/>
        <v>-1.8338844090980088E-2</v>
      </c>
      <c r="X4157" s="33">
        <f t="shared" si="389"/>
        <v>2.4644793374508402E-2</v>
      </c>
    </row>
    <row r="4158" spans="19:24" x14ac:dyDescent="0.25">
      <c r="S4158" s="44">
        <f t="shared" si="391"/>
        <v>47208</v>
      </c>
      <c r="T4158" s="12">
        <f t="shared" si="386"/>
        <v>1.8312073267964675</v>
      </c>
      <c r="U4158" s="12">
        <f t="shared" si="390"/>
        <v>1.8011761280825367</v>
      </c>
      <c r="V4158" s="30">
        <f t="shared" si="387"/>
        <v>0.3902115068493151</v>
      </c>
      <c r="W4158" s="46">
        <f t="shared" si="388"/>
        <v>-1.8312073267964673E-2</v>
      </c>
      <c r="X4158" s="33">
        <f t="shared" si="389"/>
        <v>2.464475186223546E-2</v>
      </c>
    </row>
    <row r="4159" spans="19:24" x14ac:dyDescent="0.25">
      <c r="S4159" s="44">
        <f t="shared" si="391"/>
        <v>47209</v>
      </c>
      <c r="T4159" s="12">
        <f t="shared" si="386"/>
        <v>1.8285302444949265</v>
      </c>
      <c r="U4159" s="12">
        <f t="shared" si="390"/>
        <v>1.7985249513577477</v>
      </c>
      <c r="V4159" s="30">
        <f t="shared" si="387"/>
        <v>0.39018410958904109</v>
      </c>
      <c r="W4159" s="46">
        <f t="shared" si="388"/>
        <v>-1.8285302444949261E-2</v>
      </c>
      <c r="X4159" s="33">
        <f t="shared" si="389"/>
        <v>2.4644710349962511E-2</v>
      </c>
    </row>
    <row r="4160" spans="19:24" x14ac:dyDescent="0.25">
      <c r="S4160" s="44">
        <f t="shared" si="391"/>
        <v>47210</v>
      </c>
      <c r="T4160" s="12">
        <f t="shared" si="386"/>
        <v>1.8258531621933856</v>
      </c>
      <c r="U4160" s="12">
        <f t="shared" si="390"/>
        <v>1.7958737746329581</v>
      </c>
      <c r="V4160" s="30">
        <f t="shared" si="387"/>
        <v>0.39015671232876714</v>
      </c>
      <c r="W4160" s="46">
        <f t="shared" si="388"/>
        <v>-1.8258531621933853E-2</v>
      </c>
      <c r="X4160" s="33">
        <f t="shared" si="389"/>
        <v>2.4644668837689569E-2</v>
      </c>
    </row>
    <row r="4161" spans="19:24" x14ac:dyDescent="0.25">
      <c r="S4161" s="44">
        <f t="shared" si="391"/>
        <v>47211</v>
      </c>
      <c r="T4161" s="12">
        <f t="shared" si="386"/>
        <v>1.8231760798918439</v>
      </c>
      <c r="U4161" s="12">
        <f t="shared" si="390"/>
        <v>1.7932225979081688</v>
      </c>
      <c r="V4161" s="30">
        <f t="shared" si="387"/>
        <v>0.39012931506849319</v>
      </c>
      <c r="W4161" s="46">
        <f t="shared" si="388"/>
        <v>-1.8231760798918438E-2</v>
      </c>
      <c r="X4161" s="33">
        <f t="shared" si="389"/>
        <v>2.4644627325416626E-2</v>
      </c>
    </row>
    <row r="4162" spans="19:24" x14ac:dyDescent="0.25">
      <c r="S4162" s="44">
        <f t="shared" si="391"/>
        <v>47212</v>
      </c>
      <c r="T4162" s="12">
        <f t="shared" si="386"/>
        <v>1.8204989975903023</v>
      </c>
      <c r="U4162" s="12">
        <f t="shared" si="390"/>
        <v>1.7905714211833794</v>
      </c>
      <c r="V4162" s="30">
        <f t="shared" si="387"/>
        <v>0.39010191780821918</v>
      </c>
      <c r="W4162" s="46">
        <f t="shared" si="388"/>
        <v>-1.8204989975903019E-2</v>
      </c>
      <c r="X4162" s="33">
        <f t="shared" si="389"/>
        <v>2.4644585813143681E-2</v>
      </c>
    </row>
    <row r="4163" spans="19:24" x14ac:dyDescent="0.25">
      <c r="S4163" s="44">
        <f t="shared" si="391"/>
        <v>47213</v>
      </c>
      <c r="T4163" s="12">
        <f t="shared" si="386"/>
        <v>1.8178219152887616</v>
      </c>
      <c r="U4163" s="12">
        <f t="shared" si="390"/>
        <v>1.78792024445859</v>
      </c>
      <c r="V4163" s="30">
        <f t="shared" si="387"/>
        <v>0.39007452054794517</v>
      </c>
      <c r="W4163" s="46">
        <f t="shared" si="388"/>
        <v>-1.8178219152887615E-2</v>
      </c>
      <c r="X4163" s="33">
        <f t="shared" si="389"/>
        <v>2.4644544300870739E-2</v>
      </c>
    </row>
    <row r="4164" spans="19:24" x14ac:dyDescent="0.25">
      <c r="S4164" s="44">
        <f t="shared" si="391"/>
        <v>47214</v>
      </c>
      <c r="T4164" s="12">
        <f t="shared" si="386"/>
        <v>1.81514483298722</v>
      </c>
      <c r="U4164" s="12">
        <f t="shared" si="390"/>
        <v>1.785269067733801</v>
      </c>
      <c r="V4164" s="30">
        <f t="shared" si="387"/>
        <v>0.39004712328767122</v>
      </c>
      <c r="W4164" s="46">
        <f t="shared" si="388"/>
        <v>-1.8151448329872196E-2</v>
      </c>
      <c r="X4164" s="33">
        <f t="shared" si="389"/>
        <v>2.464450278859779E-2</v>
      </c>
    </row>
    <row r="4165" spans="19:24" x14ac:dyDescent="0.25">
      <c r="S4165" s="44">
        <f t="shared" si="391"/>
        <v>47215</v>
      </c>
      <c r="T4165" s="12">
        <f t="shared" ref="T4165:T4228" si="392">DurMod(S4165,B$2,$F$7:$G$37,$T$3)</f>
        <v>1.812467750685679</v>
      </c>
      <c r="U4165" s="12">
        <f t="shared" si="390"/>
        <v>1.7826178910090116</v>
      </c>
      <c r="V4165" s="30">
        <f t="shared" ref="V4165:V4228" si="393">+$U$3*($S$5512-S4165)/365+$T$3*(S4165-$S$4)/365</f>
        <v>0.39001972602739726</v>
      </c>
      <c r="W4165" s="46">
        <f t="shared" ref="W4165:W4228" si="394">+-T4165*($U$3-$T$3)</f>
        <v>-1.8124677506856788E-2</v>
      </c>
      <c r="X4165" s="33">
        <f t="shared" ref="X4165:X4228" si="395">+(V4165+W4165)*365/($S$5512-$S$4)</f>
        <v>2.4644461276324848E-2</v>
      </c>
    </row>
    <row r="4166" spans="19:24" x14ac:dyDescent="0.25">
      <c r="S4166" s="44">
        <f t="shared" si="391"/>
        <v>47216</v>
      </c>
      <c r="T4166" s="12">
        <f t="shared" si="392"/>
        <v>1.8097906683841376</v>
      </c>
      <c r="U4166" s="12">
        <f t="shared" ref="U4166:U4229" si="396">DurMod($S4166,$B$2,$F$7:$G$37,U$3)</f>
        <v>1.7799667142842219</v>
      </c>
      <c r="V4166" s="30">
        <f t="shared" si="393"/>
        <v>0.38999232876712325</v>
      </c>
      <c r="W4166" s="46">
        <f t="shared" si="394"/>
        <v>-1.8097906683841373E-2</v>
      </c>
      <c r="X4166" s="33">
        <f t="shared" si="395"/>
        <v>2.4644419764051902E-2</v>
      </c>
    </row>
    <row r="4167" spans="19:24" x14ac:dyDescent="0.25">
      <c r="S4167" s="44">
        <f t="shared" si="391"/>
        <v>47217</v>
      </c>
      <c r="T4167" s="12">
        <f t="shared" si="392"/>
        <v>1.8071135860825969</v>
      </c>
      <c r="U4167" s="12">
        <f t="shared" si="396"/>
        <v>1.7773155375594332</v>
      </c>
      <c r="V4167" s="30">
        <f t="shared" si="393"/>
        <v>0.3899649315068493</v>
      </c>
      <c r="W4167" s="46">
        <f t="shared" si="394"/>
        <v>-1.8071135860825965E-2</v>
      </c>
      <c r="X4167" s="33">
        <f t="shared" si="395"/>
        <v>2.464437825177896E-2</v>
      </c>
    </row>
    <row r="4168" spans="19:24" x14ac:dyDescent="0.25">
      <c r="S4168" s="44">
        <f t="shared" si="391"/>
        <v>47218</v>
      </c>
      <c r="T4168" s="12">
        <f t="shared" si="392"/>
        <v>1.804436503781055</v>
      </c>
      <c r="U4168" s="12">
        <f t="shared" si="396"/>
        <v>1.7746643608346435</v>
      </c>
      <c r="V4168" s="30">
        <f t="shared" si="393"/>
        <v>0.38993753424657535</v>
      </c>
      <c r="W4168" s="46">
        <f t="shared" si="394"/>
        <v>-1.8044365037810546E-2</v>
      </c>
      <c r="X4168" s="33">
        <f t="shared" si="395"/>
        <v>2.4644336739506018E-2</v>
      </c>
    </row>
    <row r="4169" spans="19:24" x14ac:dyDescent="0.25">
      <c r="S4169" s="44">
        <f t="shared" si="391"/>
        <v>47219</v>
      </c>
      <c r="T4169" s="12">
        <f t="shared" si="392"/>
        <v>1.8017594214795143</v>
      </c>
      <c r="U4169" s="12">
        <f t="shared" si="396"/>
        <v>1.7720131841098543</v>
      </c>
      <c r="V4169" s="30">
        <f t="shared" si="393"/>
        <v>0.38991013698630139</v>
      </c>
      <c r="W4169" s="46">
        <f t="shared" si="394"/>
        <v>-1.8017594214795141E-2</v>
      </c>
      <c r="X4169" s="33">
        <f t="shared" si="395"/>
        <v>2.4644295227233076E-2</v>
      </c>
    </row>
    <row r="4170" spans="19:24" x14ac:dyDescent="0.25">
      <c r="S4170" s="44">
        <f t="shared" si="391"/>
        <v>47220</v>
      </c>
      <c r="T4170" s="12">
        <f t="shared" si="392"/>
        <v>1.7990823391779729</v>
      </c>
      <c r="U4170" s="12">
        <f t="shared" si="396"/>
        <v>1.7693620073850649</v>
      </c>
      <c r="V4170" s="30">
        <f t="shared" si="393"/>
        <v>0.38988273972602744</v>
      </c>
      <c r="W4170" s="46">
        <f t="shared" si="394"/>
        <v>-1.7990823391779726E-2</v>
      </c>
      <c r="X4170" s="33">
        <f t="shared" si="395"/>
        <v>2.4644253714960134E-2</v>
      </c>
    </row>
    <row r="4171" spans="19:24" x14ac:dyDescent="0.25">
      <c r="S4171" s="44">
        <f t="shared" si="391"/>
        <v>47221</v>
      </c>
      <c r="T4171" s="12">
        <f t="shared" si="392"/>
        <v>1.7964052568764317</v>
      </c>
      <c r="U4171" s="12">
        <f t="shared" si="396"/>
        <v>1.7667108306602761</v>
      </c>
      <c r="V4171" s="30">
        <f t="shared" si="393"/>
        <v>0.38985534246575343</v>
      </c>
      <c r="W4171" s="46">
        <f t="shared" si="394"/>
        <v>-1.7964052568764315E-2</v>
      </c>
      <c r="X4171" s="33">
        <f t="shared" si="395"/>
        <v>2.4644212202687185E-2</v>
      </c>
    </row>
    <row r="4172" spans="19:24" x14ac:dyDescent="0.25">
      <c r="S4172" s="44">
        <f t="shared" si="391"/>
        <v>47222</v>
      </c>
      <c r="T4172" s="12">
        <f t="shared" si="392"/>
        <v>1.7937281745748903</v>
      </c>
      <c r="U4172" s="12">
        <f t="shared" si="396"/>
        <v>1.7640596539354862</v>
      </c>
      <c r="V4172" s="30">
        <f t="shared" si="393"/>
        <v>0.38982794520547948</v>
      </c>
      <c r="W4172" s="46">
        <f t="shared" si="394"/>
        <v>-1.7937281745748899E-2</v>
      </c>
      <c r="X4172" s="33">
        <f t="shared" si="395"/>
        <v>2.4644170690414243E-2</v>
      </c>
    </row>
    <row r="4173" spans="19:24" x14ac:dyDescent="0.25">
      <c r="S4173" s="44">
        <f t="shared" si="391"/>
        <v>47223</v>
      </c>
      <c r="T4173" s="12">
        <f t="shared" si="392"/>
        <v>1.7910510922733494</v>
      </c>
      <c r="U4173" s="12">
        <f t="shared" si="396"/>
        <v>1.761408477210697</v>
      </c>
      <c r="V4173" s="30">
        <f t="shared" si="393"/>
        <v>0.38980054794520552</v>
      </c>
      <c r="W4173" s="46">
        <f t="shared" si="394"/>
        <v>-1.7910510922733491E-2</v>
      </c>
      <c r="X4173" s="33">
        <f t="shared" si="395"/>
        <v>2.4644129178141301E-2</v>
      </c>
    </row>
    <row r="4174" spans="19:24" x14ac:dyDescent="0.25">
      <c r="S4174" s="44">
        <f t="shared" si="391"/>
        <v>47224</v>
      </c>
      <c r="T4174" s="12">
        <f t="shared" si="392"/>
        <v>1.788374009971808</v>
      </c>
      <c r="U4174" s="12">
        <f t="shared" si="396"/>
        <v>1.7587573004859078</v>
      </c>
      <c r="V4174" s="30">
        <f t="shared" si="393"/>
        <v>0.38977315068493151</v>
      </c>
      <c r="W4174" s="46">
        <f t="shared" si="394"/>
        <v>-1.7883740099718076E-2</v>
      </c>
      <c r="X4174" s="33">
        <f t="shared" si="395"/>
        <v>2.4644087665868356E-2</v>
      </c>
    </row>
    <row r="4175" spans="19:24" x14ac:dyDescent="0.25">
      <c r="S4175" s="44">
        <f t="shared" si="391"/>
        <v>47225</v>
      </c>
      <c r="T4175" s="12">
        <f t="shared" si="392"/>
        <v>1.7856969276702666</v>
      </c>
      <c r="U4175" s="12">
        <f t="shared" si="396"/>
        <v>1.7561061237611189</v>
      </c>
      <c r="V4175" s="30">
        <f t="shared" si="393"/>
        <v>0.3897457534246575</v>
      </c>
      <c r="W4175" s="46">
        <f t="shared" si="394"/>
        <v>-1.7856969276702661E-2</v>
      </c>
      <c r="X4175" s="33">
        <f t="shared" si="395"/>
        <v>2.464404615359541E-2</v>
      </c>
    </row>
    <row r="4176" spans="19:24" x14ac:dyDescent="0.25">
      <c r="S4176" s="44">
        <f t="shared" si="391"/>
        <v>47226</v>
      </c>
      <c r="T4176" s="12">
        <f t="shared" si="392"/>
        <v>1.7830198453687256</v>
      </c>
      <c r="U4176" s="12">
        <f t="shared" si="396"/>
        <v>1.7534549470363294</v>
      </c>
      <c r="V4176" s="30">
        <f t="shared" si="393"/>
        <v>0.38971835616438355</v>
      </c>
      <c r="W4176" s="46">
        <f t="shared" si="394"/>
        <v>-1.7830198453687253E-2</v>
      </c>
      <c r="X4176" s="33">
        <f t="shared" si="395"/>
        <v>2.4644004641322468E-2</v>
      </c>
    </row>
    <row r="4177" spans="19:24" x14ac:dyDescent="0.25">
      <c r="S4177" s="44">
        <f t="shared" si="391"/>
        <v>47227</v>
      </c>
      <c r="T4177" s="12">
        <f t="shared" si="392"/>
        <v>1.7803427630671842</v>
      </c>
      <c r="U4177" s="12">
        <f t="shared" si="396"/>
        <v>1.7508037703115404</v>
      </c>
      <c r="V4177" s="30">
        <f t="shared" si="393"/>
        <v>0.3896909589041096</v>
      </c>
      <c r="W4177" s="46">
        <f t="shared" si="394"/>
        <v>-1.7803427630671838E-2</v>
      </c>
      <c r="X4177" s="33">
        <f t="shared" si="395"/>
        <v>2.4643963129049526E-2</v>
      </c>
    </row>
    <row r="4178" spans="19:24" x14ac:dyDescent="0.25">
      <c r="S4178" s="44">
        <f t="shared" si="391"/>
        <v>47228</v>
      </c>
      <c r="T4178" s="12">
        <f t="shared" si="392"/>
        <v>1.7776656807656435</v>
      </c>
      <c r="U4178" s="12">
        <f t="shared" si="396"/>
        <v>1.7481525935867503</v>
      </c>
      <c r="V4178" s="30">
        <f t="shared" si="393"/>
        <v>0.38966356164383559</v>
      </c>
      <c r="W4178" s="46">
        <f t="shared" si="394"/>
        <v>-1.7776656807656433E-2</v>
      </c>
      <c r="X4178" s="33">
        <f t="shared" si="395"/>
        <v>2.4643921616776577E-2</v>
      </c>
    </row>
    <row r="4179" spans="19:24" x14ac:dyDescent="0.25">
      <c r="S4179" s="44">
        <f t="shared" si="391"/>
        <v>47229</v>
      </c>
      <c r="T4179" s="12">
        <f t="shared" si="392"/>
        <v>1.7749885984641023</v>
      </c>
      <c r="U4179" s="12">
        <f t="shared" si="396"/>
        <v>1.7455014168619618</v>
      </c>
      <c r="V4179" s="30">
        <f t="shared" si="393"/>
        <v>0.38963616438356163</v>
      </c>
      <c r="W4179" s="46">
        <f t="shared" si="394"/>
        <v>-1.7749885984641021E-2</v>
      </c>
      <c r="X4179" s="33">
        <f t="shared" si="395"/>
        <v>2.4643880104503635E-2</v>
      </c>
    </row>
    <row r="4180" spans="19:24" x14ac:dyDescent="0.25">
      <c r="S4180" s="44">
        <f t="shared" si="391"/>
        <v>47230</v>
      </c>
      <c r="T4180" s="12">
        <f t="shared" si="392"/>
        <v>1.7723115161625613</v>
      </c>
      <c r="U4180" s="12">
        <f t="shared" si="396"/>
        <v>1.7428502401371724</v>
      </c>
      <c r="V4180" s="30">
        <f t="shared" si="393"/>
        <v>0.38960876712328762</v>
      </c>
      <c r="W4180" s="46">
        <f t="shared" si="394"/>
        <v>-1.772311516162561E-2</v>
      </c>
      <c r="X4180" s="33">
        <f t="shared" si="395"/>
        <v>2.4643838592230689E-2</v>
      </c>
    </row>
    <row r="4181" spans="19:24" x14ac:dyDescent="0.25">
      <c r="S4181" s="44">
        <f t="shared" si="391"/>
        <v>47231</v>
      </c>
      <c r="T4181" s="12">
        <f t="shared" si="392"/>
        <v>1.7696344338610202</v>
      </c>
      <c r="U4181" s="12">
        <f t="shared" si="396"/>
        <v>1.7401990634123827</v>
      </c>
      <c r="V4181" s="30">
        <f t="shared" si="393"/>
        <v>0.38958136986301373</v>
      </c>
      <c r="W4181" s="46">
        <f t="shared" si="394"/>
        <v>-1.7696344338610198E-2</v>
      </c>
      <c r="X4181" s="33">
        <f t="shared" si="395"/>
        <v>2.4643797079957747E-2</v>
      </c>
    </row>
    <row r="4182" spans="19:24" x14ac:dyDescent="0.25">
      <c r="S4182" s="44">
        <f t="shared" si="391"/>
        <v>47232</v>
      </c>
      <c r="T4182" s="12">
        <f t="shared" si="392"/>
        <v>1.7669573515594788</v>
      </c>
      <c r="U4182" s="12">
        <f t="shared" si="396"/>
        <v>1.7375478866875935</v>
      </c>
      <c r="V4182" s="30">
        <f t="shared" si="393"/>
        <v>0.38955397260273977</v>
      </c>
      <c r="W4182" s="46">
        <f t="shared" si="394"/>
        <v>-1.7669573515594787E-2</v>
      </c>
      <c r="X4182" s="33">
        <f t="shared" si="395"/>
        <v>2.4643755567684809E-2</v>
      </c>
    </row>
    <row r="4183" spans="19:24" x14ac:dyDescent="0.25">
      <c r="S4183" s="44">
        <f t="shared" si="391"/>
        <v>47233</v>
      </c>
      <c r="T4183" s="12">
        <f t="shared" si="392"/>
        <v>1.7642802692579376</v>
      </c>
      <c r="U4183" s="12">
        <f t="shared" si="396"/>
        <v>1.7348967099628043</v>
      </c>
      <c r="V4183" s="30">
        <f t="shared" si="393"/>
        <v>0.38952657534246576</v>
      </c>
      <c r="W4183" s="46">
        <f t="shared" si="394"/>
        <v>-1.7642802692579371E-2</v>
      </c>
      <c r="X4183" s="33">
        <f t="shared" si="395"/>
        <v>2.4643714055411863E-2</v>
      </c>
    </row>
    <row r="4184" spans="19:24" x14ac:dyDescent="0.25">
      <c r="S4184" s="44">
        <f t="shared" si="391"/>
        <v>47234</v>
      </c>
      <c r="T4184" s="12">
        <f t="shared" si="392"/>
        <v>1.7616031869563966</v>
      </c>
      <c r="U4184" s="12">
        <f t="shared" si="396"/>
        <v>1.7322455332380151</v>
      </c>
      <c r="V4184" s="30">
        <f t="shared" si="393"/>
        <v>0.38949917808219175</v>
      </c>
      <c r="W4184" s="46">
        <f t="shared" si="394"/>
        <v>-1.7616031869563963E-2</v>
      </c>
      <c r="X4184" s="33">
        <f t="shared" si="395"/>
        <v>2.4643672543138914E-2</v>
      </c>
    </row>
    <row r="4185" spans="19:24" x14ac:dyDescent="0.25">
      <c r="S4185" s="44">
        <f t="shared" si="391"/>
        <v>47235</v>
      </c>
      <c r="T4185" s="12">
        <f t="shared" si="392"/>
        <v>1.7589261046548552</v>
      </c>
      <c r="U4185" s="12">
        <f t="shared" si="396"/>
        <v>1.7295943565132257</v>
      </c>
      <c r="V4185" s="30">
        <f t="shared" si="393"/>
        <v>0.3894717808219178</v>
      </c>
      <c r="W4185" s="46">
        <f t="shared" si="394"/>
        <v>-1.7589261046548548E-2</v>
      </c>
      <c r="X4185" s="33">
        <f t="shared" si="395"/>
        <v>2.4643631030865972E-2</v>
      </c>
    </row>
    <row r="4186" spans="19:24" x14ac:dyDescent="0.25">
      <c r="S4186" s="44">
        <f t="shared" si="391"/>
        <v>47236</v>
      </c>
      <c r="T4186" s="12">
        <f t="shared" si="392"/>
        <v>1.7562490223533136</v>
      </c>
      <c r="U4186" s="12">
        <f t="shared" si="396"/>
        <v>1.7269431797884363</v>
      </c>
      <c r="V4186" s="30">
        <f t="shared" si="393"/>
        <v>0.38944438356164385</v>
      </c>
      <c r="W4186" s="46">
        <f t="shared" si="394"/>
        <v>-1.7562490223533133E-2</v>
      </c>
      <c r="X4186" s="33">
        <f t="shared" si="395"/>
        <v>2.464358951859303E-2</v>
      </c>
    </row>
    <row r="4187" spans="19:24" x14ac:dyDescent="0.25">
      <c r="S4187" s="44">
        <f t="shared" si="391"/>
        <v>47237</v>
      </c>
      <c r="T4187" s="12">
        <f t="shared" si="392"/>
        <v>1.7535719400517729</v>
      </c>
      <c r="U4187" s="12">
        <f t="shared" si="396"/>
        <v>1.7242920030636475</v>
      </c>
      <c r="V4187" s="30">
        <f t="shared" si="393"/>
        <v>0.38941698630136984</v>
      </c>
      <c r="W4187" s="46">
        <f t="shared" si="394"/>
        <v>-1.7535719400517725E-2</v>
      </c>
      <c r="X4187" s="33">
        <f t="shared" si="395"/>
        <v>2.4643548006320085E-2</v>
      </c>
    </row>
    <row r="4188" spans="19:24" x14ac:dyDescent="0.25">
      <c r="S4188" s="44">
        <f t="shared" si="391"/>
        <v>47238</v>
      </c>
      <c r="T4188" s="12">
        <f t="shared" si="392"/>
        <v>1.7508948577502315</v>
      </c>
      <c r="U4188" s="12">
        <f t="shared" si="396"/>
        <v>1.7216408263388578</v>
      </c>
      <c r="V4188" s="30">
        <f t="shared" si="393"/>
        <v>0.38938958904109588</v>
      </c>
      <c r="W4188" s="46">
        <f t="shared" si="394"/>
        <v>-1.7508948577502313E-2</v>
      </c>
      <c r="X4188" s="33">
        <f t="shared" si="395"/>
        <v>2.4643506494047143E-2</v>
      </c>
    </row>
    <row r="4189" spans="19:24" x14ac:dyDescent="0.25">
      <c r="S4189" s="44">
        <f t="shared" si="391"/>
        <v>47239</v>
      </c>
      <c r="T4189" s="12">
        <f t="shared" si="392"/>
        <v>1.7482177754486901</v>
      </c>
      <c r="U4189" s="12">
        <f t="shared" si="396"/>
        <v>1.7189896496140684</v>
      </c>
      <c r="V4189" s="30">
        <f t="shared" si="393"/>
        <v>0.38936219178082193</v>
      </c>
      <c r="W4189" s="46">
        <f t="shared" si="394"/>
        <v>-1.7482177754486898E-2</v>
      </c>
      <c r="X4189" s="33">
        <f t="shared" si="395"/>
        <v>2.46434649817742E-2</v>
      </c>
    </row>
    <row r="4190" spans="19:24" x14ac:dyDescent="0.25">
      <c r="S4190" s="44">
        <f t="shared" si="391"/>
        <v>47240</v>
      </c>
      <c r="T4190" s="12">
        <f t="shared" si="392"/>
        <v>1.7455406931471493</v>
      </c>
      <c r="U4190" s="12">
        <f t="shared" si="396"/>
        <v>1.7163384728892794</v>
      </c>
      <c r="V4190" s="30">
        <f t="shared" si="393"/>
        <v>0.38933479452054792</v>
      </c>
      <c r="W4190" s="46">
        <f t="shared" si="394"/>
        <v>-1.745540693147149E-2</v>
      </c>
      <c r="X4190" s="33">
        <f t="shared" si="395"/>
        <v>2.4643423469501251E-2</v>
      </c>
    </row>
    <row r="4191" spans="19:24" x14ac:dyDescent="0.25">
      <c r="S4191" s="44">
        <f t="shared" si="391"/>
        <v>47241</v>
      </c>
      <c r="T4191" s="12">
        <f t="shared" si="392"/>
        <v>1.7428636108456075</v>
      </c>
      <c r="U4191" s="12">
        <f t="shared" si="396"/>
        <v>1.7136872961644898</v>
      </c>
      <c r="V4191" s="30">
        <f t="shared" si="393"/>
        <v>0.38930739726027397</v>
      </c>
      <c r="W4191" s="46">
        <f t="shared" si="394"/>
        <v>-1.7428636108456071E-2</v>
      </c>
      <c r="X4191" s="33">
        <f t="shared" si="395"/>
        <v>2.4643381957228309E-2</v>
      </c>
    </row>
    <row r="4192" spans="19:24" x14ac:dyDescent="0.25">
      <c r="S4192" s="44">
        <f t="shared" si="391"/>
        <v>47242</v>
      </c>
      <c r="T4192" s="12">
        <f t="shared" si="392"/>
        <v>1.7401865285440663</v>
      </c>
      <c r="U4192" s="12">
        <f t="shared" si="396"/>
        <v>1.7110361194397004</v>
      </c>
      <c r="V4192" s="30">
        <f t="shared" si="393"/>
        <v>0.38927999999999996</v>
      </c>
      <c r="W4192" s="46">
        <f t="shared" si="394"/>
        <v>-1.740186528544066E-2</v>
      </c>
      <c r="X4192" s="33">
        <f t="shared" si="395"/>
        <v>2.4643340444955364E-2</v>
      </c>
    </row>
    <row r="4193" spans="19:24" x14ac:dyDescent="0.25">
      <c r="S4193" s="44">
        <f t="shared" si="391"/>
        <v>47243</v>
      </c>
      <c r="T4193" s="12">
        <f t="shared" si="392"/>
        <v>1.7375094462425256</v>
      </c>
      <c r="U4193" s="12">
        <f t="shared" si="396"/>
        <v>1.7083849427149111</v>
      </c>
      <c r="V4193" s="30">
        <f t="shared" si="393"/>
        <v>0.38925260273972606</v>
      </c>
      <c r="W4193" s="46">
        <f t="shared" si="394"/>
        <v>-1.7375094462425252E-2</v>
      </c>
      <c r="X4193" s="33">
        <f t="shared" si="395"/>
        <v>2.4643298932682425E-2</v>
      </c>
    </row>
    <row r="4194" spans="19:24" x14ac:dyDescent="0.25">
      <c r="S4194" s="44">
        <f t="shared" si="391"/>
        <v>47244</v>
      </c>
      <c r="T4194" s="12">
        <f t="shared" si="392"/>
        <v>1.7348323639409848</v>
      </c>
      <c r="U4194" s="12">
        <f t="shared" si="396"/>
        <v>1.7057337659901219</v>
      </c>
      <c r="V4194" s="30">
        <f t="shared" si="393"/>
        <v>0.38922520547945211</v>
      </c>
      <c r="W4194" s="46">
        <f t="shared" si="394"/>
        <v>-1.7348323639409847E-2</v>
      </c>
      <c r="X4194" s="33">
        <f t="shared" si="395"/>
        <v>2.464325742040948E-2</v>
      </c>
    </row>
    <row r="4195" spans="19:24" x14ac:dyDescent="0.25">
      <c r="S4195" s="44">
        <f t="shared" si="391"/>
        <v>47245</v>
      </c>
      <c r="T4195" s="12">
        <f t="shared" si="392"/>
        <v>1.7321552816394432</v>
      </c>
      <c r="U4195" s="12">
        <f t="shared" si="396"/>
        <v>1.703082589265333</v>
      </c>
      <c r="V4195" s="30">
        <f t="shared" si="393"/>
        <v>0.3891978082191781</v>
      </c>
      <c r="W4195" s="46">
        <f t="shared" si="394"/>
        <v>-1.7321552816394428E-2</v>
      </c>
      <c r="X4195" s="33">
        <f t="shared" si="395"/>
        <v>2.4643215908136538E-2</v>
      </c>
    </row>
    <row r="4196" spans="19:24" x14ac:dyDescent="0.25">
      <c r="S4196" s="44">
        <f t="shared" si="391"/>
        <v>47246</v>
      </c>
      <c r="T4196" s="12">
        <f t="shared" si="392"/>
        <v>1.7294781993379018</v>
      </c>
      <c r="U4196" s="12">
        <f t="shared" si="396"/>
        <v>1.7004314125405431</v>
      </c>
      <c r="V4196" s="30">
        <f t="shared" si="393"/>
        <v>0.38917041095890409</v>
      </c>
      <c r="W4196" s="46">
        <f t="shared" si="394"/>
        <v>-1.7294781993379017E-2</v>
      </c>
      <c r="X4196" s="33">
        <f t="shared" si="395"/>
        <v>2.4643174395863592E-2</v>
      </c>
    </row>
    <row r="4197" spans="19:24" x14ac:dyDescent="0.25">
      <c r="S4197" s="44">
        <f t="shared" si="391"/>
        <v>47247</v>
      </c>
      <c r="T4197" s="12">
        <f t="shared" si="392"/>
        <v>1.7268011170363606</v>
      </c>
      <c r="U4197" s="12">
        <f t="shared" si="396"/>
        <v>1.6977802358157537</v>
      </c>
      <c r="V4197" s="30">
        <f t="shared" si="393"/>
        <v>0.38914301369863014</v>
      </c>
      <c r="W4197" s="46">
        <f t="shared" si="394"/>
        <v>-1.7268011170363605E-2</v>
      </c>
      <c r="X4197" s="33">
        <f t="shared" si="395"/>
        <v>2.464313288359065E-2</v>
      </c>
    </row>
    <row r="4198" spans="19:24" x14ac:dyDescent="0.25">
      <c r="S4198" s="44">
        <f t="shared" si="391"/>
        <v>47248</v>
      </c>
      <c r="T4198" s="12">
        <f t="shared" si="392"/>
        <v>1.7241240347348195</v>
      </c>
      <c r="U4198" s="12">
        <f t="shared" si="396"/>
        <v>1.6951290590909649</v>
      </c>
      <c r="V4198" s="30">
        <f t="shared" si="393"/>
        <v>0.38911561643835618</v>
      </c>
      <c r="W4198" s="46">
        <f t="shared" si="394"/>
        <v>-1.7241240347348193E-2</v>
      </c>
      <c r="X4198" s="33">
        <f t="shared" si="395"/>
        <v>2.4643091371317708E-2</v>
      </c>
    </row>
    <row r="4199" spans="19:24" x14ac:dyDescent="0.25">
      <c r="S4199" s="44">
        <f t="shared" si="391"/>
        <v>47249</v>
      </c>
      <c r="T4199" s="12">
        <f t="shared" si="392"/>
        <v>1.7214469524332781</v>
      </c>
      <c r="U4199" s="12">
        <f t="shared" si="396"/>
        <v>1.6924778823661759</v>
      </c>
      <c r="V4199" s="30">
        <f t="shared" si="393"/>
        <v>0.38908821917808217</v>
      </c>
      <c r="W4199" s="46">
        <f t="shared" si="394"/>
        <v>-1.7214469524332778E-2</v>
      </c>
      <c r="X4199" s="33">
        <f t="shared" si="395"/>
        <v>2.4643049859044759E-2</v>
      </c>
    </row>
    <row r="4200" spans="19:24" x14ac:dyDescent="0.25">
      <c r="S4200" s="44">
        <f t="shared" si="391"/>
        <v>47250</v>
      </c>
      <c r="T4200" s="12">
        <f t="shared" si="392"/>
        <v>1.7187698701317373</v>
      </c>
      <c r="U4200" s="12">
        <f t="shared" si="396"/>
        <v>1.6898267056413863</v>
      </c>
      <c r="V4200" s="30">
        <f t="shared" si="393"/>
        <v>0.38906082191780822</v>
      </c>
      <c r="W4200" s="46">
        <f t="shared" si="394"/>
        <v>-1.718769870131737E-2</v>
      </c>
      <c r="X4200" s="33">
        <f t="shared" si="395"/>
        <v>2.4643008346771817E-2</v>
      </c>
    </row>
    <row r="4201" spans="19:24" x14ac:dyDescent="0.25">
      <c r="S4201" s="44">
        <f t="shared" si="391"/>
        <v>47251</v>
      </c>
      <c r="T4201" s="12">
        <f t="shared" si="392"/>
        <v>1.7160927878301959</v>
      </c>
      <c r="U4201" s="12">
        <f t="shared" si="396"/>
        <v>1.6871755289165971</v>
      </c>
      <c r="V4201" s="30">
        <f t="shared" si="393"/>
        <v>0.38903342465753421</v>
      </c>
      <c r="W4201" s="46">
        <f t="shared" si="394"/>
        <v>-1.7160927878301955E-2</v>
      </c>
      <c r="X4201" s="33">
        <f t="shared" si="395"/>
        <v>2.4642966834498872E-2</v>
      </c>
    </row>
    <row r="4202" spans="19:24" x14ac:dyDescent="0.25">
      <c r="S4202" s="44">
        <f t="shared" si="391"/>
        <v>47252</v>
      </c>
      <c r="T4202" s="12">
        <f t="shared" si="392"/>
        <v>1.713415705528655</v>
      </c>
      <c r="U4202" s="12">
        <f t="shared" si="396"/>
        <v>1.6845243521918076</v>
      </c>
      <c r="V4202" s="30">
        <f t="shared" si="393"/>
        <v>0.3890060273972602</v>
      </c>
      <c r="W4202" s="46">
        <f t="shared" si="394"/>
        <v>-1.7134157055286547E-2</v>
      </c>
      <c r="X4202" s="33">
        <f t="shared" si="395"/>
        <v>2.4642925322225923E-2</v>
      </c>
    </row>
    <row r="4203" spans="19:24" x14ac:dyDescent="0.25">
      <c r="S4203" s="44">
        <f t="shared" si="391"/>
        <v>47253</v>
      </c>
      <c r="T4203" s="12">
        <f t="shared" si="392"/>
        <v>1.7107386232271136</v>
      </c>
      <c r="U4203" s="12">
        <f t="shared" si="396"/>
        <v>1.681873175467018</v>
      </c>
      <c r="V4203" s="30">
        <f t="shared" si="393"/>
        <v>0.3889786301369863</v>
      </c>
      <c r="W4203" s="46">
        <f t="shared" si="394"/>
        <v>-1.7107386232271132E-2</v>
      </c>
      <c r="X4203" s="33">
        <f t="shared" si="395"/>
        <v>2.4642883809952981E-2</v>
      </c>
    </row>
    <row r="4204" spans="19:24" x14ac:dyDescent="0.25">
      <c r="S4204" s="44">
        <f t="shared" si="391"/>
        <v>47254</v>
      </c>
      <c r="T4204" s="12">
        <f t="shared" si="392"/>
        <v>1.7080615409255722</v>
      </c>
      <c r="U4204" s="12">
        <f t="shared" si="396"/>
        <v>1.6792219987422292</v>
      </c>
      <c r="V4204" s="30">
        <f t="shared" si="393"/>
        <v>0.38895123287671235</v>
      </c>
      <c r="W4204" s="46">
        <f t="shared" si="394"/>
        <v>-1.708061540925572E-2</v>
      </c>
      <c r="X4204" s="33">
        <f t="shared" si="395"/>
        <v>2.4642842297680045E-2</v>
      </c>
    </row>
    <row r="4205" spans="19:24" x14ac:dyDescent="0.25">
      <c r="S4205" s="44">
        <f t="shared" si="391"/>
        <v>47255</v>
      </c>
      <c r="T4205" s="12">
        <f t="shared" si="392"/>
        <v>1.705384458624031</v>
      </c>
      <c r="U4205" s="12">
        <f t="shared" si="396"/>
        <v>1.6765708220174393</v>
      </c>
      <c r="V4205" s="30">
        <f t="shared" si="393"/>
        <v>0.38892383561643834</v>
      </c>
      <c r="W4205" s="46">
        <f t="shared" si="394"/>
        <v>-1.7053844586240308E-2</v>
      </c>
      <c r="X4205" s="33">
        <f t="shared" si="395"/>
        <v>2.4642800785407093E-2</v>
      </c>
    </row>
    <row r="4206" spans="19:24" x14ac:dyDescent="0.25">
      <c r="S4206" s="44">
        <f t="shared" si="391"/>
        <v>47256</v>
      </c>
      <c r="T4206" s="12">
        <f t="shared" si="392"/>
        <v>1.70270737632249</v>
      </c>
      <c r="U4206" s="12">
        <f t="shared" si="396"/>
        <v>1.6739196452926501</v>
      </c>
      <c r="V4206" s="30">
        <f t="shared" si="393"/>
        <v>0.38889643835616439</v>
      </c>
      <c r="W4206" s="46">
        <f t="shared" si="394"/>
        <v>-1.7027073763224897E-2</v>
      </c>
      <c r="X4206" s="33">
        <f t="shared" si="395"/>
        <v>2.4642759273134154E-2</v>
      </c>
    </row>
    <row r="4207" spans="19:24" x14ac:dyDescent="0.25">
      <c r="S4207" s="44">
        <f t="shared" si="391"/>
        <v>47257</v>
      </c>
      <c r="T4207" s="12">
        <f t="shared" si="392"/>
        <v>1.7000302940209489</v>
      </c>
      <c r="U4207" s="12">
        <f t="shared" si="396"/>
        <v>1.6712684685678612</v>
      </c>
      <c r="V4207" s="30">
        <f t="shared" si="393"/>
        <v>0.38886904109589043</v>
      </c>
      <c r="W4207" s="46">
        <f t="shared" si="394"/>
        <v>-1.7000302940209485E-2</v>
      </c>
      <c r="X4207" s="33">
        <f t="shared" si="395"/>
        <v>2.4642717760861209E-2</v>
      </c>
    </row>
    <row r="4208" spans="19:24" x14ac:dyDescent="0.25">
      <c r="S4208" s="44">
        <f t="shared" si="391"/>
        <v>47258</v>
      </c>
      <c r="T4208" s="12">
        <f t="shared" si="392"/>
        <v>1.6973532117194075</v>
      </c>
      <c r="U4208" s="12">
        <f t="shared" si="396"/>
        <v>1.6686172918430713</v>
      </c>
      <c r="V4208" s="30">
        <f t="shared" si="393"/>
        <v>0.38884164383561642</v>
      </c>
      <c r="W4208" s="46">
        <f t="shared" si="394"/>
        <v>-1.6973532117194073E-2</v>
      </c>
      <c r="X4208" s="33">
        <f t="shared" si="395"/>
        <v>2.4642676248588267E-2</v>
      </c>
    </row>
    <row r="4209" spans="19:24" x14ac:dyDescent="0.25">
      <c r="S4209" s="44">
        <f t="shared" si="391"/>
        <v>47259</v>
      </c>
      <c r="T4209" s="12">
        <f t="shared" si="392"/>
        <v>1.6946761294178665</v>
      </c>
      <c r="U4209" s="12">
        <f t="shared" si="396"/>
        <v>1.6659661151182823</v>
      </c>
      <c r="V4209" s="30">
        <f t="shared" si="393"/>
        <v>0.38881424657534247</v>
      </c>
      <c r="W4209" s="46">
        <f t="shared" si="394"/>
        <v>-1.6946761294178662E-2</v>
      </c>
      <c r="X4209" s="33">
        <f t="shared" si="395"/>
        <v>2.4642634736315318E-2</v>
      </c>
    </row>
    <row r="4210" spans="19:24" x14ac:dyDescent="0.25">
      <c r="S4210" s="44">
        <f t="shared" si="391"/>
        <v>47260</v>
      </c>
      <c r="T4210" s="12">
        <f t="shared" si="392"/>
        <v>1.6919990471163255</v>
      </c>
      <c r="U4210" s="12">
        <f t="shared" si="396"/>
        <v>1.6633149383934931</v>
      </c>
      <c r="V4210" s="30">
        <f t="shared" si="393"/>
        <v>0.38878684931506852</v>
      </c>
      <c r="W4210" s="46">
        <f t="shared" si="394"/>
        <v>-1.6919990471163254E-2</v>
      </c>
      <c r="X4210" s="33">
        <f t="shared" si="395"/>
        <v>2.4642593224042376E-2</v>
      </c>
    </row>
    <row r="4211" spans="19:24" x14ac:dyDescent="0.25">
      <c r="S4211" s="44">
        <f t="shared" ref="S4211:S4274" si="397">+S4210+1</f>
        <v>47261</v>
      </c>
      <c r="T4211" s="12">
        <f t="shared" si="392"/>
        <v>1.6893219648147841</v>
      </c>
      <c r="U4211" s="12">
        <f t="shared" si="396"/>
        <v>1.6606637616687043</v>
      </c>
      <c r="V4211" s="30">
        <f t="shared" si="393"/>
        <v>0.38875945205479451</v>
      </c>
      <c r="W4211" s="46">
        <f t="shared" si="394"/>
        <v>-1.6893219648147838E-2</v>
      </c>
      <c r="X4211" s="33">
        <f t="shared" si="395"/>
        <v>2.4642551711769434E-2</v>
      </c>
    </row>
    <row r="4212" spans="19:24" x14ac:dyDescent="0.25">
      <c r="S4212" s="44">
        <f t="shared" si="397"/>
        <v>47262</v>
      </c>
      <c r="T4212" s="12">
        <f t="shared" si="392"/>
        <v>1.686644882513243</v>
      </c>
      <c r="U4212" s="12">
        <f t="shared" si="396"/>
        <v>1.6580125849439147</v>
      </c>
      <c r="V4212" s="30">
        <f t="shared" si="393"/>
        <v>0.38873205479452055</v>
      </c>
      <c r="W4212" s="46">
        <f t="shared" si="394"/>
        <v>-1.6866448825132427E-2</v>
      </c>
      <c r="X4212" s="33">
        <f t="shared" si="395"/>
        <v>2.4642510199496488E-2</v>
      </c>
    </row>
    <row r="4213" spans="19:24" x14ac:dyDescent="0.25">
      <c r="S4213" s="44">
        <f t="shared" si="397"/>
        <v>47263</v>
      </c>
      <c r="T4213" s="12">
        <f t="shared" si="392"/>
        <v>1.6839678002117016</v>
      </c>
      <c r="U4213" s="12">
        <f t="shared" si="396"/>
        <v>1.655361408219125</v>
      </c>
      <c r="V4213" s="30">
        <f t="shared" si="393"/>
        <v>0.38870465753424654</v>
      </c>
      <c r="W4213" s="46">
        <f t="shared" si="394"/>
        <v>-1.6839678002117012E-2</v>
      </c>
      <c r="X4213" s="33">
        <f t="shared" si="395"/>
        <v>2.4642468687223546E-2</v>
      </c>
    </row>
    <row r="4214" spans="19:24" x14ac:dyDescent="0.25">
      <c r="S4214" s="44">
        <f t="shared" si="397"/>
        <v>47264</v>
      </c>
      <c r="T4214" s="12">
        <f t="shared" si="392"/>
        <v>1.6812907179101606</v>
      </c>
      <c r="U4214" s="12">
        <f t="shared" si="396"/>
        <v>1.6527102314943363</v>
      </c>
      <c r="V4214" s="30">
        <f t="shared" si="393"/>
        <v>0.38867726027397254</v>
      </c>
      <c r="W4214" s="46">
        <f t="shared" si="394"/>
        <v>-1.6812907179101604E-2</v>
      </c>
      <c r="X4214" s="33">
        <f t="shared" si="395"/>
        <v>2.4642427174950601E-2</v>
      </c>
    </row>
    <row r="4215" spans="19:24" x14ac:dyDescent="0.25">
      <c r="S4215" s="44">
        <f t="shared" si="397"/>
        <v>47265</v>
      </c>
      <c r="T4215" s="12">
        <f t="shared" si="392"/>
        <v>1.6786136356086194</v>
      </c>
      <c r="U4215" s="12">
        <f t="shared" si="396"/>
        <v>1.6500590547695466</v>
      </c>
      <c r="V4215" s="30">
        <f t="shared" si="393"/>
        <v>0.38864986301369864</v>
      </c>
      <c r="W4215" s="46">
        <f t="shared" si="394"/>
        <v>-1.6786136356086192E-2</v>
      </c>
      <c r="X4215" s="33">
        <f t="shared" si="395"/>
        <v>2.4642385662677662E-2</v>
      </c>
    </row>
    <row r="4216" spans="19:24" x14ac:dyDescent="0.25">
      <c r="S4216" s="44">
        <f t="shared" si="397"/>
        <v>47266</v>
      </c>
      <c r="T4216" s="12">
        <f t="shared" si="392"/>
        <v>1.6759365533070782</v>
      </c>
      <c r="U4216" s="12">
        <f t="shared" si="396"/>
        <v>1.6474078780447574</v>
      </c>
      <c r="V4216" s="30">
        <f t="shared" si="393"/>
        <v>0.38862246575342468</v>
      </c>
      <c r="W4216" s="46">
        <f t="shared" si="394"/>
        <v>-1.675936553307078E-2</v>
      </c>
      <c r="X4216" s="33">
        <f t="shared" si="395"/>
        <v>2.4642344150404717E-2</v>
      </c>
    </row>
    <row r="4217" spans="19:24" x14ac:dyDescent="0.25">
      <c r="S4217" s="44">
        <f t="shared" si="397"/>
        <v>47267</v>
      </c>
      <c r="T4217" s="12">
        <f t="shared" si="392"/>
        <v>1.6732594710055368</v>
      </c>
      <c r="U4217" s="12">
        <f t="shared" si="396"/>
        <v>1.644756701319968</v>
      </c>
      <c r="V4217" s="30">
        <f t="shared" si="393"/>
        <v>0.38859506849315067</v>
      </c>
      <c r="W4217" s="46">
        <f t="shared" si="394"/>
        <v>-1.6732594710055365E-2</v>
      </c>
      <c r="X4217" s="33">
        <f t="shared" si="395"/>
        <v>2.4642302638131774E-2</v>
      </c>
    </row>
    <row r="4218" spans="19:24" x14ac:dyDescent="0.25">
      <c r="S4218" s="44">
        <f t="shared" si="397"/>
        <v>47268</v>
      </c>
      <c r="T4218" s="12">
        <f t="shared" si="392"/>
        <v>1.6705823887039954</v>
      </c>
      <c r="U4218" s="12">
        <f t="shared" si="396"/>
        <v>1.642105524595179</v>
      </c>
      <c r="V4218" s="30">
        <f t="shared" si="393"/>
        <v>0.38856767123287672</v>
      </c>
      <c r="W4218" s="46">
        <f t="shared" si="394"/>
        <v>-1.6705823887039953E-2</v>
      </c>
      <c r="X4218" s="33">
        <f t="shared" si="395"/>
        <v>2.4642261125858825E-2</v>
      </c>
    </row>
    <row r="4219" spans="19:24" x14ac:dyDescent="0.25">
      <c r="S4219" s="44">
        <f t="shared" si="397"/>
        <v>47269</v>
      </c>
      <c r="T4219" s="12">
        <f t="shared" si="392"/>
        <v>1.6679053064024545</v>
      </c>
      <c r="U4219" s="12">
        <f t="shared" si="396"/>
        <v>1.6394543478703891</v>
      </c>
      <c r="V4219" s="30">
        <f t="shared" si="393"/>
        <v>0.38854027397260277</v>
      </c>
      <c r="W4219" s="46">
        <f t="shared" si="394"/>
        <v>-1.6679053064024542E-2</v>
      </c>
      <c r="X4219" s="33">
        <f t="shared" si="395"/>
        <v>2.4642219613585883E-2</v>
      </c>
    </row>
    <row r="4220" spans="19:24" x14ac:dyDescent="0.25">
      <c r="S4220" s="44">
        <f t="shared" si="397"/>
        <v>47270</v>
      </c>
      <c r="T4220" s="12">
        <f t="shared" si="392"/>
        <v>1.6652282241009135</v>
      </c>
      <c r="U4220" s="12">
        <f t="shared" si="396"/>
        <v>1.6368031711456001</v>
      </c>
      <c r="V4220" s="30">
        <f t="shared" si="393"/>
        <v>0.38851287671232881</v>
      </c>
      <c r="W4220" s="46">
        <f t="shared" si="394"/>
        <v>-1.6652282241009134E-2</v>
      </c>
      <c r="X4220" s="33">
        <f t="shared" si="395"/>
        <v>2.4642178101312941E-2</v>
      </c>
    </row>
    <row r="4221" spans="19:24" x14ac:dyDescent="0.25">
      <c r="S4221" s="44">
        <f t="shared" si="397"/>
        <v>47271</v>
      </c>
      <c r="T4221" s="12">
        <f t="shared" si="392"/>
        <v>1.6625511417993721</v>
      </c>
      <c r="U4221" s="12">
        <f t="shared" si="396"/>
        <v>1.6341519944208107</v>
      </c>
      <c r="V4221" s="30">
        <f t="shared" si="393"/>
        <v>0.3884854794520548</v>
      </c>
      <c r="W4221" s="46">
        <f t="shared" si="394"/>
        <v>-1.6625511417993719E-2</v>
      </c>
      <c r="X4221" s="33">
        <f t="shared" si="395"/>
        <v>2.4642136589039996E-2</v>
      </c>
    </row>
    <row r="4222" spans="19:24" x14ac:dyDescent="0.25">
      <c r="S4222" s="44">
        <f t="shared" si="397"/>
        <v>47272</v>
      </c>
      <c r="T4222" s="12">
        <f t="shared" si="392"/>
        <v>1.659874059497831</v>
      </c>
      <c r="U4222" s="12">
        <f t="shared" si="396"/>
        <v>1.6315008176960217</v>
      </c>
      <c r="V4222" s="30">
        <f t="shared" si="393"/>
        <v>0.3884580821917808</v>
      </c>
      <c r="W4222" s="46">
        <f t="shared" si="394"/>
        <v>-1.6598740594978307E-2</v>
      </c>
      <c r="X4222" s="33">
        <f t="shared" si="395"/>
        <v>2.4642095076767054E-2</v>
      </c>
    </row>
    <row r="4223" spans="19:24" x14ac:dyDescent="0.25">
      <c r="S4223" s="44">
        <f t="shared" si="397"/>
        <v>47273</v>
      </c>
      <c r="T4223" s="12">
        <f t="shared" si="392"/>
        <v>1.6571969771962896</v>
      </c>
      <c r="U4223" s="12">
        <f t="shared" si="396"/>
        <v>1.6288496409712323</v>
      </c>
      <c r="V4223" s="30">
        <f t="shared" si="393"/>
        <v>0.3884306849315069</v>
      </c>
      <c r="W4223" s="46">
        <f t="shared" si="394"/>
        <v>-1.6571969771962892E-2</v>
      </c>
      <c r="X4223" s="33">
        <f t="shared" si="395"/>
        <v>2.4642053564494112E-2</v>
      </c>
    </row>
    <row r="4224" spans="19:24" x14ac:dyDescent="0.25">
      <c r="S4224" s="44">
        <f t="shared" si="397"/>
        <v>47274</v>
      </c>
      <c r="T4224" s="12">
        <f t="shared" si="392"/>
        <v>1.6545198948947484</v>
      </c>
      <c r="U4224" s="12">
        <f t="shared" si="396"/>
        <v>1.6261984642464429</v>
      </c>
      <c r="V4224" s="30">
        <f t="shared" si="393"/>
        <v>0.38840328767123289</v>
      </c>
      <c r="W4224" s="46">
        <f t="shared" si="394"/>
        <v>-1.654519894894748E-2</v>
      </c>
      <c r="X4224" s="33">
        <f t="shared" si="395"/>
        <v>2.4642012052221163E-2</v>
      </c>
    </row>
    <row r="4225" spans="19:24" x14ac:dyDescent="0.25">
      <c r="S4225" s="44">
        <f t="shared" si="397"/>
        <v>47275</v>
      </c>
      <c r="T4225" s="12">
        <f t="shared" si="392"/>
        <v>1.6518428125932072</v>
      </c>
      <c r="U4225" s="12">
        <f t="shared" si="396"/>
        <v>1.6235472875216539</v>
      </c>
      <c r="V4225" s="30">
        <f t="shared" si="393"/>
        <v>0.38837589041095888</v>
      </c>
      <c r="W4225" s="46">
        <f t="shared" si="394"/>
        <v>-1.6518428125932069E-2</v>
      </c>
      <c r="X4225" s="33">
        <f t="shared" si="395"/>
        <v>2.4641970539948217E-2</v>
      </c>
    </row>
    <row r="4226" spans="19:24" x14ac:dyDescent="0.25">
      <c r="S4226" s="44">
        <f t="shared" si="397"/>
        <v>47276</v>
      </c>
      <c r="T4226" s="12">
        <f t="shared" si="392"/>
        <v>1.649165730291666</v>
      </c>
      <c r="U4226" s="12">
        <f t="shared" si="396"/>
        <v>1.6208961107968647</v>
      </c>
      <c r="V4226" s="30">
        <f t="shared" si="393"/>
        <v>0.38834849315068493</v>
      </c>
      <c r="W4226" s="46">
        <f t="shared" si="394"/>
        <v>-1.6491657302916657E-2</v>
      </c>
      <c r="X4226" s="33">
        <f t="shared" si="395"/>
        <v>2.4641929027675279E-2</v>
      </c>
    </row>
    <row r="4227" spans="19:24" x14ac:dyDescent="0.25">
      <c r="S4227" s="44">
        <f t="shared" si="397"/>
        <v>47277</v>
      </c>
      <c r="T4227" s="12">
        <f t="shared" si="392"/>
        <v>1.6464886479901246</v>
      </c>
      <c r="U4227" s="12">
        <f t="shared" si="396"/>
        <v>1.6182449340720755</v>
      </c>
      <c r="V4227" s="30">
        <f t="shared" si="393"/>
        <v>0.38832109589041097</v>
      </c>
      <c r="W4227" s="46">
        <f t="shared" si="394"/>
        <v>-1.6464886479901245E-2</v>
      </c>
      <c r="X4227" s="33">
        <f t="shared" si="395"/>
        <v>2.4641887515402333E-2</v>
      </c>
    </row>
    <row r="4228" spans="19:24" x14ac:dyDescent="0.25">
      <c r="S4228" s="44">
        <f t="shared" si="397"/>
        <v>47278</v>
      </c>
      <c r="T4228" s="12">
        <f t="shared" si="392"/>
        <v>1.6438115656885837</v>
      </c>
      <c r="U4228" s="12">
        <f t="shared" si="396"/>
        <v>1.6155937573472856</v>
      </c>
      <c r="V4228" s="30">
        <f t="shared" si="393"/>
        <v>0.38829369863013702</v>
      </c>
      <c r="W4228" s="46">
        <f t="shared" si="394"/>
        <v>-1.6438115656885834E-2</v>
      </c>
      <c r="X4228" s="33">
        <f t="shared" si="395"/>
        <v>2.4641846003129391E-2</v>
      </c>
    </row>
    <row r="4229" spans="19:24" x14ac:dyDescent="0.25">
      <c r="S4229" s="44">
        <f t="shared" si="397"/>
        <v>47279</v>
      </c>
      <c r="T4229" s="12">
        <f t="shared" ref="T4229:T4292" si="398">DurMod(S4229,B$2,$F$7:$G$37,$T$3)</f>
        <v>1.6411344833870432</v>
      </c>
      <c r="U4229" s="12">
        <f t="shared" si="396"/>
        <v>1.6129425806224966</v>
      </c>
      <c r="V4229" s="30">
        <f t="shared" ref="V4229:V4292" si="399">+$U$3*($S$5512-S4229)/365+$T$3*(S4229-$S$4)/365</f>
        <v>0.38826630136986301</v>
      </c>
      <c r="W4229" s="46">
        <f t="shared" ref="W4229:W4292" si="400">+-T4229*($U$3-$T$3)</f>
        <v>-1.6411344833870429E-2</v>
      </c>
      <c r="X4229" s="33">
        <f t="shared" ref="X4229:X4292" si="401">+(V4229+W4229)*365/($S$5512-$S$4)</f>
        <v>2.4641804490856442E-2</v>
      </c>
    </row>
    <row r="4230" spans="19:24" x14ac:dyDescent="0.25">
      <c r="S4230" s="44">
        <f t="shared" si="397"/>
        <v>47280</v>
      </c>
      <c r="T4230" s="12">
        <f t="shared" si="398"/>
        <v>1.6384574010855013</v>
      </c>
      <c r="U4230" s="12">
        <f t="shared" ref="U4230:U4293" si="402">DurMod($S4230,$B$2,$F$7:$G$37,U$3)</f>
        <v>1.6102914038977072</v>
      </c>
      <c r="V4230" s="30">
        <f t="shared" si="399"/>
        <v>0.38823890410958906</v>
      </c>
      <c r="W4230" s="46">
        <f t="shared" si="400"/>
        <v>-1.638457401085501E-2</v>
      </c>
      <c r="X4230" s="33">
        <f t="shared" si="401"/>
        <v>2.46417629785835E-2</v>
      </c>
    </row>
    <row r="4231" spans="19:24" x14ac:dyDescent="0.25">
      <c r="S4231" s="44">
        <f t="shared" si="397"/>
        <v>47281</v>
      </c>
      <c r="T4231" s="12">
        <f t="shared" si="398"/>
        <v>1.6357803187839599</v>
      </c>
      <c r="U4231" s="12">
        <f t="shared" si="402"/>
        <v>1.6076402271729182</v>
      </c>
      <c r="V4231" s="30">
        <f t="shared" si="399"/>
        <v>0.38821150684931505</v>
      </c>
      <c r="W4231" s="46">
        <f t="shared" si="400"/>
        <v>-1.6357803187839595E-2</v>
      </c>
      <c r="X4231" s="33">
        <f t="shared" si="401"/>
        <v>2.4641721466310555E-2</v>
      </c>
    </row>
    <row r="4232" spans="19:24" x14ac:dyDescent="0.25">
      <c r="S4232" s="44">
        <f t="shared" si="397"/>
        <v>47282</v>
      </c>
      <c r="T4232" s="12">
        <f t="shared" si="398"/>
        <v>1.633103236482419</v>
      </c>
      <c r="U4232" s="12">
        <f t="shared" si="402"/>
        <v>1.6049890504481286</v>
      </c>
      <c r="V4232" s="30">
        <f t="shared" si="399"/>
        <v>0.38818410958904115</v>
      </c>
      <c r="W4232" s="46">
        <f t="shared" si="400"/>
        <v>-1.6331032364824187E-2</v>
      </c>
      <c r="X4232" s="33">
        <f t="shared" si="401"/>
        <v>2.4641679954037616E-2</v>
      </c>
    </row>
    <row r="4233" spans="19:24" x14ac:dyDescent="0.25">
      <c r="S4233" s="44">
        <f t="shared" si="397"/>
        <v>47283</v>
      </c>
      <c r="T4233" s="12">
        <f t="shared" si="398"/>
        <v>1.6304261541808778</v>
      </c>
      <c r="U4233" s="12">
        <f t="shared" si="402"/>
        <v>1.6023378737233394</v>
      </c>
      <c r="V4233" s="30">
        <f t="shared" si="399"/>
        <v>0.38815671232876714</v>
      </c>
      <c r="W4233" s="46">
        <f t="shared" si="400"/>
        <v>-1.6304261541808775E-2</v>
      </c>
      <c r="X4233" s="33">
        <f t="shared" si="401"/>
        <v>2.464163844176467E-2</v>
      </c>
    </row>
    <row r="4234" spans="19:24" x14ac:dyDescent="0.25">
      <c r="S4234" s="44">
        <f t="shared" si="397"/>
        <v>47284</v>
      </c>
      <c r="T4234" s="12">
        <f t="shared" si="398"/>
        <v>1.8916492583881457</v>
      </c>
      <c r="U4234" s="12">
        <f t="shared" si="402"/>
        <v>1.8639532074220486</v>
      </c>
      <c r="V4234" s="30">
        <f t="shared" si="399"/>
        <v>0.38812931506849313</v>
      </c>
      <c r="W4234" s="46">
        <f t="shared" si="400"/>
        <v>-1.8916492583881454E-2</v>
      </c>
      <c r="X4234" s="33">
        <f t="shared" si="401"/>
        <v>2.4466717539376046E-2</v>
      </c>
    </row>
    <row r="4235" spans="19:24" x14ac:dyDescent="0.25">
      <c r="S4235" s="44">
        <f t="shared" si="397"/>
        <v>47285</v>
      </c>
      <c r="T4235" s="12">
        <f t="shared" si="398"/>
        <v>1.8889721760866041</v>
      </c>
      <c r="U4235" s="12">
        <f t="shared" si="402"/>
        <v>1.8613020306972587</v>
      </c>
      <c r="V4235" s="30">
        <f t="shared" si="399"/>
        <v>0.38810191780821923</v>
      </c>
      <c r="W4235" s="46">
        <f t="shared" si="400"/>
        <v>-1.8889721760866039E-2</v>
      </c>
      <c r="X4235" s="33">
        <f t="shared" si="401"/>
        <v>2.4466676027103104E-2</v>
      </c>
    </row>
    <row r="4236" spans="19:24" x14ac:dyDescent="0.25">
      <c r="S4236" s="44">
        <f t="shared" si="397"/>
        <v>47286</v>
      </c>
      <c r="T4236" s="12">
        <f t="shared" si="398"/>
        <v>1.8862950937850627</v>
      </c>
      <c r="U4236" s="12">
        <f t="shared" si="402"/>
        <v>1.85865085397247</v>
      </c>
      <c r="V4236" s="30">
        <f t="shared" si="399"/>
        <v>0.38807452054794522</v>
      </c>
      <c r="W4236" s="46">
        <f t="shared" si="400"/>
        <v>-1.8862950937850623E-2</v>
      </c>
      <c r="X4236" s="33">
        <f t="shared" si="401"/>
        <v>2.4466634514830162E-2</v>
      </c>
    </row>
    <row r="4237" spans="19:24" x14ac:dyDescent="0.25">
      <c r="S4237" s="44">
        <f t="shared" si="397"/>
        <v>47287</v>
      </c>
      <c r="T4237" s="12">
        <f t="shared" si="398"/>
        <v>1.8836180114835217</v>
      </c>
      <c r="U4237" s="12">
        <f t="shared" si="402"/>
        <v>1.8559996772476806</v>
      </c>
      <c r="V4237" s="30">
        <f t="shared" si="399"/>
        <v>0.38804712328767121</v>
      </c>
      <c r="W4237" s="46">
        <f t="shared" si="400"/>
        <v>-1.8836180114835215E-2</v>
      </c>
      <c r="X4237" s="33">
        <f t="shared" si="401"/>
        <v>2.4466593002557213E-2</v>
      </c>
    </row>
    <row r="4238" spans="19:24" x14ac:dyDescent="0.25">
      <c r="S4238" s="44">
        <f t="shared" si="397"/>
        <v>47288</v>
      </c>
      <c r="T4238" s="12">
        <f t="shared" si="398"/>
        <v>1.8809409291819807</v>
      </c>
      <c r="U4238" s="12">
        <f t="shared" si="402"/>
        <v>1.8533485005228911</v>
      </c>
      <c r="V4238" s="30">
        <f t="shared" si="399"/>
        <v>0.38801972602739726</v>
      </c>
      <c r="W4238" s="46">
        <f t="shared" si="400"/>
        <v>-1.8809409291819804E-2</v>
      </c>
      <c r="X4238" s="33">
        <f t="shared" si="401"/>
        <v>2.4466551490284271E-2</v>
      </c>
    </row>
    <row r="4239" spans="19:24" x14ac:dyDescent="0.25">
      <c r="S4239" s="44">
        <f t="shared" si="397"/>
        <v>47289</v>
      </c>
      <c r="T4239" s="12">
        <f t="shared" si="398"/>
        <v>1.8782638468804391</v>
      </c>
      <c r="U4239" s="12">
        <f t="shared" si="402"/>
        <v>1.8506973237981019</v>
      </c>
      <c r="V4239" s="30">
        <f t="shared" si="399"/>
        <v>0.38799232876712331</v>
      </c>
      <c r="W4239" s="46">
        <f t="shared" si="400"/>
        <v>-1.8782638468804388E-2</v>
      </c>
      <c r="X4239" s="33">
        <f t="shared" si="401"/>
        <v>2.4466509978011329E-2</v>
      </c>
    </row>
    <row r="4240" spans="19:24" x14ac:dyDescent="0.25">
      <c r="S4240" s="44">
        <f t="shared" si="397"/>
        <v>47290</v>
      </c>
      <c r="T4240" s="12">
        <f t="shared" si="398"/>
        <v>1.8755867645788979</v>
      </c>
      <c r="U4240" s="12">
        <f t="shared" si="402"/>
        <v>1.8480461470733123</v>
      </c>
      <c r="V4240" s="30">
        <f t="shared" si="399"/>
        <v>0.38796493150684935</v>
      </c>
      <c r="W4240" s="46">
        <f t="shared" si="400"/>
        <v>-1.8755867645788977E-2</v>
      </c>
      <c r="X4240" s="33">
        <f t="shared" si="401"/>
        <v>2.446646846573839E-2</v>
      </c>
    </row>
    <row r="4241" spans="19:24" x14ac:dyDescent="0.25">
      <c r="S4241" s="44">
        <f t="shared" si="397"/>
        <v>47291</v>
      </c>
      <c r="T4241" s="12">
        <f t="shared" si="398"/>
        <v>1.8729096822773568</v>
      </c>
      <c r="U4241" s="12">
        <f t="shared" si="402"/>
        <v>1.8453949703485231</v>
      </c>
      <c r="V4241" s="30">
        <f t="shared" si="399"/>
        <v>0.38793753424657534</v>
      </c>
      <c r="W4241" s="46">
        <f t="shared" si="400"/>
        <v>-1.8729096822773565E-2</v>
      </c>
      <c r="X4241" s="33">
        <f t="shared" si="401"/>
        <v>2.4466426953465441E-2</v>
      </c>
    </row>
    <row r="4242" spans="19:24" x14ac:dyDescent="0.25">
      <c r="S4242" s="44">
        <f t="shared" si="397"/>
        <v>47292</v>
      </c>
      <c r="T4242" s="12">
        <f t="shared" si="398"/>
        <v>1.8702325999758163</v>
      </c>
      <c r="U4242" s="12">
        <f t="shared" si="402"/>
        <v>1.8427437936237339</v>
      </c>
      <c r="V4242" s="30">
        <f t="shared" si="399"/>
        <v>0.38791013698630139</v>
      </c>
      <c r="W4242" s="46">
        <f t="shared" si="400"/>
        <v>-1.870232599975816E-2</v>
      </c>
      <c r="X4242" s="33">
        <f t="shared" si="401"/>
        <v>2.4466385441192496E-2</v>
      </c>
    </row>
    <row r="4243" spans="19:24" x14ac:dyDescent="0.25">
      <c r="S4243" s="44">
        <f t="shared" si="397"/>
        <v>47293</v>
      </c>
      <c r="T4243" s="12">
        <f t="shared" si="398"/>
        <v>1.8675555176742746</v>
      </c>
      <c r="U4243" s="12">
        <f t="shared" si="402"/>
        <v>1.8400926168989449</v>
      </c>
      <c r="V4243" s="30">
        <f t="shared" si="399"/>
        <v>0.38788273972602738</v>
      </c>
      <c r="W4243" s="46">
        <f t="shared" si="400"/>
        <v>-1.8675555176742742E-2</v>
      </c>
      <c r="X4243" s="33">
        <f t="shared" si="401"/>
        <v>2.4466343928919554E-2</v>
      </c>
    </row>
    <row r="4244" spans="19:24" x14ac:dyDescent="0.25">
      <c r="S4244" s="44">
        <f t="shared" si="397"/>
        <v>47294</v>
      </c>
      <c r="T4244" s="12">
        <f t="shared" si="398"/>
        <v>1.864878435372733</v>
      </c>
      <c r="U4244" s="12">
        <f t="shared" si="402"/>
        <v>1.8374414401741554</v>
      </c>
      <c r="V4244" s="30">
        <f t="shared" si="399"/>
        <v>0.38785534246575348</v>
      </c>
      <c r="W4244" s="46">
        <f t="shared" si="400"/>
        <v>-1.8648784353727327E-2</v>
      </c>
      <c r="X4244" s="33">
        <f t="shared" si="401"/>
        <v>2.4466302416646615E-2</v>
      </c>
    </row>
    <row r="4245" spans="19:24" x14ac:dyDescent="0.25">
      <c r="S4245" s="44">
        <f t="shared" si="397"/>
        <v>47295</v>
      </c>
      <c r="T4245" s="12">
        <f t="shared" si="398"/>
        <v>1.8622013530711923</v>
      </c>
      <c r="U4245" s="12">
        <f t="shared" si="402"/>
        <v>1.834790263449366</v>
      </c>
      <c r="V4245" s="30">
        <f t="shared" si="399"/>
        <v>0.38782794520547947</v>
      </c>
      <c r="W4245" s="46">
        <f t="shared" si="400"/>
        <v>-1.8622013530711919E-2</v>
      </c>
      <c r="X4245" s="33">
        <f t="shared" si="401"/>
        <v>2.446626090437367E-2</v>
      </c>
    </row>
    <row r="4246" spans="19:24" x14ac:dyDescent="0.25">
      <c r="S4246" s="44">
        <f t="shared" si="397"/>
        <v>47296</v>
      </c>
      <c r="T4246" s="12">
        <f t="shared" si="398"/>
        <v>1.8595242707696507</v>
      </c>
      <c r="U4246" s="12">
        <f t="shared" si="402"/>
        <v>1.8321390867245766</v>
      </c>
      <c r="V4246" s="30">
        <f t="shared" si="399"/>
        <v>0.38780054794520546</v>
      </c>
      <c r="W4246" s="46">
        <f t="shared" si="400"/>
        <v>-1.8595242707696504E-2</v>
      </c>
      <c r="X4246" s="33">
        <f t="shared" si="401"/>
        <v>2.4466219392100721E-2</v>
      </c>
    </row>
    <row r="4247" spans="19:24" x14ac:dyDescent="0.25">
      <c r="S4247" s="44">
        <f t="shared" si="397"/>
        <v>47297</v>
      </c>
      <c r="T4247" s="12">
        <f t="shared" si="398"/>
        <v>1.8568471884681097</v>
      </c>
      <c r="U4247" s="12">
        <f t="shared" si="402"/>
        <v>1.8294879099997874</v>
      </c>
      <c r="V4247" s="30">
        <f t="shared" si="399"/>
        <v>0.38777315068493151</v>
      </c>
      <c r="W4247" s="46">
        <f t="shared" si="400"/>
        <v>-1.8568471884681095E-2</v>
      </c>
      <c r="X4247" s="33">
        <f t="shared" si="401"/>
        <v>2.4466177879827779E-2</v>
      </c>
    </row>
    <row r="4248" spans="19:24" x14ac:dyDescent="0.25">
      <c r="S4248" s="44">
        <f t="shared" si="397"/>
        <v>47298</v>
      </c>
      <c r="T4248" s="12">
        <f t="shared" si="398"/>
        <v>1.8541701061665683</v>
      </c>
      <c r="U4248" s="12">
        <f t="shared" si="402"/>
        <v>1.826836733274998</v>
      </c>
      <c r="V4248" s="30">
        <f t="shared" si="399"/>
        <v>0.38774575342465756</v>
      </c>
      <c r="W4248" s="46">
        <f t="shared" si="400"/>
        <v>-1.854170106166568E-2</v>
      </c>
      <c r="X4248" s="33">
        <f t="shared" si="401"/>
        <v>2.4466136367554833E-2</v>
      </c>
    </row>
    <row r="4249" spans="19:24" x14ac:dyDescent="0.25">
      <c r="S4249" s="44">
        <f t="shared" si="397"/>
        <v>47299</v>
      </c>
      <c r="T4249" s="12">
        <f t="shared" si="398"/>
        <v>1.8514930238650267</v>
      </c>
      <c r="U4249" s="12">
        <f t="shared" si="402"/>
        <v>1.8241855565502092</v>
      </c>
      <c r="V4249" s="30">
        <f t="shared" si="399"/>
        <v>0.38771835616438355</v>
      </c>
      <c r="W4249" s="46">
        <f t="shared" si="400"/>
        <v>-1.8514930238650265E-2</v>
      </c>
      <c r="X4249" s="33">
        <f t="shared" si="401"/>
        <v>2.4466094855281891E-2</v>
      </c>
    </row>
    <row r="4250" spans="19:24" x14ac:dyDescent="0.25">
      <c r="S4250" s="44">
        <f t="shared" si="397"/>
        <v>47300</v>
      </c>
      <c r="T4250" s="12">
        <f t="shared" si="398"/>
        <v>1.8488159415634857</v>
      </c>
      <c r="U4250" s="12">
        <f t="shared" si="402"/>
        <v>1.8215343798254198</v>
      </c>
      <c r="V4250" s="30">
        <f t="shared" si="399"/>
        <v>0.38769095890410959</v>
      </c>
      <c r="W4250" s="46">
        <f t="shared" si="400"/>
        <v>-1.8488159415634853E-2</v>
      </c>
      <c r="X4250" s="33">
        <f t="shared" si="401"/>
        <v>2.4466053343008949E-2</v>
      </c>
    </row>
    <row r="4251" spans="19:24" x14ac:dyDescent="0.25">
      <c r="S4251" s="44">
        <f t="shared" si="397"/>
        <v>47301</v>
      </c>
      <c r="T4251" s="12">
        <f t="shared" si="398"/>
        <v>1.846138859261945</v>
      </c>
      <c r="U4251" s="12">
        <f t="shared" si="402"/>
        <v>1.8188832031006299</v>
      </c>
      <c r="V4251" s="30">
        <f t="shared" si="399"/>
        <v>0.38766356164383559</v>
      </c>
      <c r="W4251" s="46">
        <f t="shared" si="400"/>
        <v>-1.8461388592619449E-2</v>
      </c>
      <c r="X4251" s="33">
        <f t="shared" si="401"/>
        <v>2.4466011830736E-2</v>
      </c>
    </row>
    <row r="4252" spans="19:24" x14ac:dyDescent="0.25">
      <c r="S4252" s="44">
        <f t="shared" si="397"/>
        <v>47302</v>
      </c>
      <c r="T4252" s="12">
        <f t="shared" si="398"/>
        <v>1.843461776960404</v>
      </c>
      <c r="U4252" s="12">
        <f t="shared" si="402"/>
        <v>1.8162320263758411</v>
      </c>
      <c r="V4252" s="30">
        <f t="shared" si="399"/>
        <v>0.38763616438356163</v>
      </c>
      <c r="W4252" s="46">
        <f t="shared" si="400"/>
        <v>-1.8434617769604037E-2</v>
      </c>
      <c r="X4252" s="33">
        <f t="shared" si="401"/>
        <v>2.4465970318463058E-2</v>
      </c>
    </row>
    <row r="4253" spans="19:24" x14ac:dyDescent="0.25">
      <c r="S4253" s="44">
        <f t="shared" si="397"/>
        <v>47303</v>
      </c>
      <c r="T4253" s="12">
        <f t="shared" si="398"/>
        <v>1.8407846946588624</v>
      </c>
      <c r="U4253" s="12">
        <f t="shared" si="402"/>
        <v>1.8135808496510515</v>
      </c>
      <c r="V4253" s="30">
        <f t="shared" si="399"/>
        <v>0.38760876712328762</v>
      </c>
      <c r="W4253" s="46">
        <f t="shared" si="400"/>
        <v>-1.8407846946588622E-2</v>
      </c>
      <c r="X4253" s="33">
        <f t="shared" si="401"/>
        <v>2.4465928806190113E-2</v>
      </c>
    </row>
    <row r="4254" spans="19:24" x14ac:dyDescent="0.25">
      <c r="S4254" s="44">
        <f t="shared" si="397"/>
        <v>47304</v>
      </c>
      <c r="T4254" s="12">
        <f t="shared" si="398"/>
        <v>1.8381076123573217</v>
      </c>
      <c r="U4254" s="12">
        <f t="shared" si="402"/>
        <v>1.8109296729262625</v>
      </c>
      <c r="V4254" s="30">
        <f t="shared" si="399"/>
        <v>0.38758136986301372</v>
      </c>
      <c r="W4254" s="46">
        <f t="shared" si="400"/>
        <v>-1.8381076123573214E-2</v>
      </c>
      <c r="X4254" s="33">
        <f t="shared" si="401"/>
        <v>2.4465887293917174E-2</v>
      </c>
    </row>
    <row r="4255" spans="19:24" x14ac:dyDescent="0.25">
      <c r="S4255" s="44">
        <f t="shared" si="397"/>
        <v>47305</v>
      </c>
      <c r="T4255" s="12">
        <f t="shared" si="398"/>
        <v>1.8354305300557798</v>
      </c>
      <c r="U4255" s="12">
        <f t="shared" si="402"/>
        <v>1.8082784962014731</v>
      </c>
      <c r="V4255" s="30">
        <f t="shared" si="399"/>
        <v>0.38755397260273972</v>
      </c>
      <c r="W4255" s="46">
        <f t="shared" si="400"/>
        <v>-1.8354305300557795E-2</v>
      </c>
      <c r="X4255" s="33">
        <f t="shared" si="401"/>
        <v>2.4465845781644222E-2</v>
      </c>
    </row>
    <row r="4256" spans="19:24" x14ac:dyDescent="0.25">
      <c r="S4256" s="44">
        <f t="shared" si="397"/>
        <v>47306</v>
      </c>
      <c r="T4256" s="12">
        <f t="shared" si="398"/>
        <v>1.8327534477542387</v>
      </c>
      <c r="U4256" s="12">
        <f t="shared" si="402"/>
        <v>1.8056273194766839</v>
      </c>
      <c r="V4256" s="30">
        <f t="shared" si="399"/>
        <v>0.38752657534246582</v>
      </c>
      <c r="W4256" s="46">
        <f t="shared" si="400"/>
        <v>-1.8327534477542384E-2</v>
      </c>
      <c r="X4256" s="33">
        <f t="shared" si="401"/>
        <v>2.4465804269371286E-2</v>
      </c>
    </row>
    <row r="4257" spans="19:24" x14ac:dyDescent="0.25">
      <c r="S4257" s="44">
        <f t="shared" si="397"/>
        <v>47307</v>
      </c>
      <c r="T4257" s="12">
        <f t="shared" si="398"/>
        <v>1.8300763654526977</v>
      </c>
      <c r="U4257" s="12">
        <f t="shared" si="402"/>
        <v>1.8029761427518949</v>
      </c>
      <c r="V4257" s="30">
        <f t="shared" si="399"/>
        <v>0.38749917808219181</v>
      </c>
      <c r="W4257" s="46">
        <f t="shared" si="400"/>
        <v>-1.8300763654526975E-2</v>
      </c>
      <c r="X4257" s="33">
        <f t="shared" si="401"/>
        <v>2.4465762757098337E-2</v>
      </c>
    </row>
    <row r="4258" spans="19:24" x14ac:dyDescent="0.25">
      <c r="S4258" s="44">
        <f t="shared" si="397"/>
        <v>47308</v>
      </c>
      <c r="T4258" s="12">
        <f t="shared" si="398"/>
        <v>1.8273992831511565</v>
      </c>
      <c r="U4258" s="12">
        <f t="shared" si="402"/>
        <v>1.8003249660271048</v>
      </c>
      <c r="V4258" s="30">
        <f t="shared" si="399"/>
        <v>0.3874717808219178</v>
      </c>
      <c r="W4258" s="46">
        <f t="shared" si="400"/>
        <v>-1.8273992831511564E-2</v>
      </c>
      <c r="X4258" s="33">
        <f t="shared" si="401"/>
        <v>2.4465721244825395E-2</v>
      </c>
    </row>
    <row r="4259" spans="19:24" x14ac:dyDescent="0.25">
      <c r="S4259" s="44">
        <f t="shared" si="397"/>
        <v>47309</v>
      </c>
      <c r="T4259" s="12">
        <f t="shared" si="398"/>
        <v>1.8247222008496158</v>
      </c>
      <c r="U4259" s="12">
        <f t="shared" si="402"/>
        <v>1.7976737893023158</v>
      </c>
      <c r="V4259" s="30">
        <f t="shared" si="399"/>
        <v>0.38744438356164385</v>
      </c>
      <c r="W4259" s="46">
        <f t="shared" si="400"/>
        <v>-1.8247222008496156E-2</v>
      </c>
      <c r="X4259" s="33">
        <f t="shared" si="401"/>
        <v>2.446567973255245E-2</v>
      </c>
    </row>
    <row r="4260" spans="19:24" x14ac:dyDescent="0.25">
      <c r="S4260" s="44">
        <f t="shared" si="397"/>
        <v>47310</v>
      </c>
      <c r="T4260" s="12">
        <f t="shared" si="398"/>
        <v>1.8220451185480742</v>
      </c>
      <c r="U4260" s="12">
        <f t="shared" si="402"/>
        <v>1.7950226125775264</v>
      </c>
      <c r="V4260" s="30">
        <f t="shared" si="399"/>
        <v>0.38741698630136989</v>
      </c>
      <c r="W4260" s="46">
        <f t="shared" si="400"/>
        <v>-1.822045118548074E-2</v>
      </c>
      <c r="X4260" s="33">
        <f t="shared" si="401"/>
        <v>2.4465638220279508E-2</v>
      </c>
    </row>
    <row r="4261" spans="19:24" x14ac:dyDescent="0.25">
      <c r="S4261" s="44">
        <f t="shared" si="397"/>
        <v>47311</v>
      </c>
      <c r="T4261" s="12">
        <f t="shared" si="398"/>
        <v>1.8193680362465328</v>
      </c>
      <c r="U4261" s="12">
        <f t="shared" si="402"/>
        <v>1.7923714358527372</v>
      </c>
      <c r="V4261" s="30">
        <f t="shared" si="399"/>
        <v>0.38738958904109588</v>
      </c>
      <c r="W4261" s="46">
        <f t="shared" si="400"/>
        <v>-1.8193680362465325E-2</v>
      </c>
      <c r="X4261" s="33">
        <f t="shared" si="401"/>
        <v>2.4465596708006566E-2</v>
      </c>
    </row>
    <row r="4262" spans="19:24" x14ac:dyDescent="0.25">
      <c r="S4262" s="44">
        <f t="shared" si="397"/>
        <v>47312</v>
      </c>
      <c r="T4262" s="12">
        <f t="shared" si="398"/>
        <v>1.8166909539449918</v>
      </c>
      <c r="U4262" s="12">
        <f t="shared" si="402"/>
        <v>1.789720259127948</v>
      </c>
      <c r="V4262" s="30">
        <f t="shared" si="399"/>
        <v>0.38736219178082193</v>
      </c>
      <c r="W4262" s="46">
        <f t="shared" si="400"/>
        <v>-1.8166909539449914E-2</v>
      </c>
      <c r="X4262" s="33">
        <f t="shared" si="401"/>
        <v>2.446555519573362E-2</v>
      </c>
    </row>
    <row r="4263" spans="19:24" x14ac:dyDescent="0.25">
      <c r="S4263" s="44">
        <f t="shared" si="397"/>
        <v>47313</v>
      </c>
      <c r="T4263" s="12">
        <f t="shared" si="398"/>
        <v>1.8140138716434506</v>
      </c>
      <c r="U4263" s="12">
        <f t="shared" si="402"/>
        <v>1.7870690824031585</v>
      </c>
      <c r="V4263" s="30">
        <f t="shared" si="399"/>
        <v>0.38733479452054792</v>
      </c>
      <c r="W4263" s="46">
        <f t="shared" si="400"/>
        <v>-1.8140138716434502E-2</v>
      </c>
      <c r="X4263" s="33">
        <f t="shared" si="401"/>
        <v>2.4465513683460678E-2</v>
      </c>
    </row>
    <row r="4264" spans="19:24" x14ac:dyDescent="0.25">
      <c r="S4264" s="44">
        <f t="shared" si="397"/>
        <v>47314</v>
      </c>
      <c r="T4264" s="12">
        <f t="shared" si="398"/>
        <v>1.8113367893419094</v>
      </c>
      <c r="U4264" s="12">
        <f t="shared" si="402"/>
        <v>1.7844179056783696</v>
      </c>
      <c r="V4264" s="30">
        <f t="shared" si="399"/>
        <v>0.38730739726027397</v>
      </c>
      <c r="W4264" s="46">
        <f t="shared" si="400"/>
        <v>-1.811336789341909E-2</v>
      </c>
      <c r="X4264" s="33">
        <f t="shared" si="401"/>
        <v>2.4465472171187729E-2</v>
      </c>
    </row>
    <row r="4265" spans="19:24" x14ac:dyDescent="0.25">
      <c r="S4265" s="44">
        <f t="shared" si="397"/>
        <v>47315</v>
      </c>
      <c r="T4265" s="12">
        <f t="shared" si="398"/>
        <v>1.8086597070403683</v>
      </c>
      <c r="U4265" s="12">
        <f t="shared" si="402"/>
        <v>1.7817667289535799</v>
      </c>
      <c r="V4265" s="30">
        <f t="shared" si="399"/>
        <v>0.38728000000000001</v>
      </c>
      <c r="W4265" s="46">
        <f t="shared" si="400"/>
        <v>-1.8086597070403679E-2</v>
      </c>
      <c r="X4265" s="33">
        <f t="shared" si="401"/>
        <v>2.4465430658914794E-2</v>
      </c>
    </row>
    <row r="4266" spans="19:24" x14ac:dyDescent="0.25">
      <c r="S4266" s="44">
        <f t="shared" si="397"/>
        <v>47316</v>
      </c>
      <c r="T4266" s="12">
        <f t="shared" si="398"/>
        <v>1.8059826247388269</v>
      </c>
      <c r="U4266" s="12">
        <f t="shared" si="402"/>
        <v>1.7791155522287905</v>
      </c>
      <c r="V4266" s="30">
        <f t="shared" si="399"/>
        <v>0.38725260273972606</v>
      </c>
      <c r="W4266" s="46">
        <f t="shared" si="400"/>
        <v>-1.8059826247388267E-2</v>
      </c>
      <c r="X4266" s="33">
        <f t="shared" si="401"/>
        <v>2.4465389146641845E-2</v>
      </c>
    </row>
    <row r="4267" spans="19:24" x14ac:dyDescent="0.25">
      <c r="S4267" s="44">
        <f t="shared" si="397"/>
        <v>47317</v>
      </c>
      <c r="T4267" s="12">
        <f t="shared" si="398"/>
        <v>1.8033055424372861</v>
      </c>
      <c r="U4267" s="12">
        <f t="shared" si="402"/>
        <v>1.7764643755040013</v>
      </c>
      <c r="V4267" s="30">
        <f t="shared" si="399"/>
        <v>0.38722520547945205</v>
      </c>
      <c r="W4267" s="46">
        <f t="shared" si="400"/>
        <v>-1.8033055424372859E-2</v>
      </c>
      <c r="X4267" s="33">
        <f t="shared" si="401"/>
        <v>2.4465347634368903E-2</v>
      </c>
    </row>
    <row r="4268" spans="19:24" x14ac:dyDescent="0.25">
      <c r="S4268" s="44">
        <f t="shared" si="397"/>
        <v>47318</v>
      </c>
      <c r="T4268" s="12">
        <f t="shared" si="398"/>
        <v>1.8006284601357447</v>
      </c>
      <c r="U4268" s="12">
        <f t="shared" si="402"/>
        <v>1.7738131987792121</v>
      </c>
      <c r="V4268" s="30">
        <f t="shared" si="399"/>
        <v>0.3871978082191781</v>
      </c>
      <c r="W4268" s="46">
        <f t="shared" si="400"/>
        <v>-1.8006284601357444E-2</v>
      </c>
      <c r="X4268" s="33">
        <f t="shared" si="401"/>
        <v>2.4465306122095958E-2</v>
      </c>
    </row>
    <row r="4269" spans="19:24" x14ac:dyDescent="0.25">
      <c r="S4269" s="44">
        <f t="shared" si="397"/>
        <v>47319</v>
      </c>
      <c r="T4269" s="12">
        <f t="shared" si="398"/>
        <v>1.7979513778342038</v>
      </c>
      <c r="U4269" s="12">
        <f t="shared" si="402"/>
        <v>1.7711620220544231</v>
      </c>
      <c r="V4269" s="30">
        <f t="shared" si="399"/>
        <v>0.38717041095890414</v>
      </c>
      <c r="W4269" s="46">
        <f t="shared" si="400"/>
        <v>-1.7979513778342036E-2</v>
      </c>
      <c r="X4269" s="33">
        <f t="shared" si="401"/>
        <v>2.4465264609823015E-2</v>
      </c>
    </row>
    <row r="4270" spans="19:24" x14ac:dyDescent="0.25">
      <c r="S4270" s="44">
        <f t="shared" si="397"/>
        <v>47320</v>
      </c>
      <c r="T4270" s="12">
        <f t="shared" si="398"/>
        <v>1.7952742955326622</v>
      </c>
      <c r="U4270" s="12">
        <f t="shared" si="402"/>
        <v>1.7685108453296339</v>
      </c>
      <c r="V4270" s="30">
        <f t="shared" si="399"/>
        <v>0.38714301369863013</v>
      </c>
      <c r="W4270" s="46">
        <f t="shared" si="400"/>
        <v>-1.7952742955326617E-2</v>
      </c>
      <c r="X4270" s="33">
        <f t="shared" si="401"/>
        <v>2.4465223097550066E-2</v>
      </c>
    </row>
    <row r="4271" spans="19:24" x14ac:dyDescent="0.25">
      <c r="S4271" s="44">
        <f t="shared" si="397"/>
        <v>47321</v>
      </c>
      <c r="T4271" s="12">
        <f t="shared" si="398"/>
        <v>1.792597213231121</v>
      </c>
      <c r="U4271" s="12">
        <f t="shared" si="402"/>
        <v>1.7658596686048447</v>
      </c>
      <c r="V4271" s="30">
        <f t="shared" si="399"/>
        <v>0.38711561643835618</v>
      </c>
      <c r="W4271" s="46">
        <f t="shared" si="400"/>
        <v>-1.7925972132311205E-2</v>
      </c>
      <c r="X4271" s="33">
        <f t="shared" si="401"/>
        <v>2.4465181585277124E-2</v>
      </c>
    </row>
    <row r="4272" spans="19:24" x14ac:dyDescent="0.25">
      <c r="S4272" s="44">
        <f t="shared" si="397"/>
        <v>47322</v>
      </c>
      <c r="T4272" s="12">
        <f t="shared" si="398"/>
        <v>1.7899201309295798</v>
      </c>
      <c r="U4272" s="12">
        <f t="shared" si="402"/>
        <v>1.7632084918800546</v>
      </c>
      <c r="V4272" s="30">
        <f t="shared" si="399"/>
        <v>0.38708821917808217</v>
      </c>
      <c r="W4272" s="46">
        <f t="shared" si="400"/>
        <v>-1.7899201309295794E-2</v>
      </c>
      <c r="X4272" s="33">
        <f t="shared" si="401"/>
        <v>2.4465140073004182E-2</v>
      </c>
    </row>
    <row r="4273" spans="19:24" x14ac:dyDescent="0.25">
      <c r="S4273" s="44">
        <f t="shared" si="397"/>
        <v>47323</v>
      </c>
      <c r="T4273" s="12">
        <f t="shared" si="398"/>
        <v>1.7872430486280388</v>
      </c>
      <c r="U4273" s="12">
        <f t="shared" si="402"/>
        <v>1.760557315155266</v>
      </c>
      <c r="V4273" s="30">
        <f t="shared" si="399"/>
        <v>0.38706082191780822</v>
      </c>
      <c r="W4273" s="46">
        <f t="shared" si="400"/>
        <v>-1.7872430486280386E-2</v>
      </c>
      <c r="X4273" s="33">
        <f t="shared" si="401"/>
        <v>2.4465098560731237E-2</v>
      </c>
    </row>
    <row r="4274" spans="19:24" x14ac:dyDescent="0.25">
      <c r="S4274" s="44">
        <f t="shared" si="397"/>
        <v>47324</v>
      </c>
      <c r="T4274" s="12">
        <f t="shared" si="398"/>
        <v>1.7845659663264974</v>
      </c>
      <c r="U4274" s="12">
        <f t="shared" si="402"/>
        <v>1.7579061384304764</v>
      </c>
      <c r="V4274" s="30">
        <f t="shared" si="399"/>
        <v>0.38703342465753426</v>
      </c>
      <c r="W4274" s="46">
        <f t="shared" si="400"/>
        <v>-1.7845659663264971E-2</v>
      </c>
      <c r="X4274" s="33">
        <f t="shared" si="401"/>
        <v>2.4465057048458295E-2</v>
      </c>
    </row>
    <row r="4275" spans="19:24" x14ac:dyDescent="0.25">
      <c r="S4275" s="44">
        <f t="shared" ref="S4275:S4338" si="403">+S4274+1</f>
        <v>47325</v>
      </c>
      <c r="T4275" s="12">
        <f t="shared" si="398"/>
        <v>1.7818888840249565</v>
      </c>
      <c r="U4275" s="12">
        <f t="shared" si="402"/>
        <v>1.7552549617056872</v>
      </c>
      <c r="V4275" s="30">
        <f t="shared" si="399"/>
        <v>0.38700602739726025</v>
      </c>
      <c r="W4275" s="46">
        <f t="shared" si="400"/>
        <v>-1.7818888840249562E-2</v>
      </c>
      <c r="X4275" s="33">
        <f t="shared" si="401"/>
        <v>2.4465015536185346E-2</v>
      </c>
    </row>
    <row r="4276" spans="19:24" x14ac:dyDescent="0.25">
      <c r="S4276" s="44">
        <f t="shared" si="403"/>
        <v>47326</v>
      </c>
      <c r="T4276" s="12">
        <f t="shared" si="398"/>
        <v>1.7792118017234151</v>
      </c>
      <c r="U4276" s="12">
        <f t="shared" si="402"/>
        <v>1.7526037849808977</v>
      </c>
      <c r="V4276" s="30">
        <f t="shared" si="399"/>
        <v>0.3869786301369863</v>
      </c>
      <c r="W4276" s="46">
        <f t="shared" si="400"/>
        <v>-1.7792118017234147E-2</v>
      </c>
      <c r="X4276" s="33">
        <f t="shared" si="401"/>
        <v>2.4464974023912411E-2</v>
      </c>
    </row>
    <row r="4277" spans="19:24" x14ac:dyDescent="0.25">
      <c r="S4277" s="44">
        <f t="shared" si="403"/>
        <v>47327</v>
      </c>
      <c r="T4277" s="12">
        <f t="shared" si="398"/>
        <v>1.7765347194218737</v>
      </c>
      <c r="U4277" s="12">
        <f t="shared" si="402"/>
        <v>1.7499526082561083</v>
      </c>
      <c r="V4277" s="30">
        <f t="shared" si="399"/>
        <v>0.38695123287671235</v>
      </c>
      <c r="W4277" s="46">
        <f t="shared" si="400"/>
        <v>-1.7765347194218736E-2</v>
      </c>
      <c r="X4277" s="33">
        <f t="shared" si="401"/>
        <v>2.4464932511639462E-2</v>
      </c>
    </row>
    <row r="4278" spans="19:24" x14ac:dyDescent="0.25">
      <c r="S4278" s="44">
        <f t="shared" si="403"/>
        <v>47328</v>
      </c>
      <c r="T4278" s="12">
        <f t="shared" si="398"/>
        <v>1.773857637120333</v>
      </c>
      <c r="U4278" s="12">
        <f t="shared" si="402"/>
        <v>1.7473014315313191</v>
      </c>
      <c r="V4278" s="30">
        <f t="shared" si="399"/>
        <v>0.38692383561643839</v>
      </c>
      <c r="W4278" s="46">
        <f t="shared" si="400"/>
        <v>-1.7738576371203327E-2</v>
      </c>
      <c r="X4278" s="33">
        <f t="shared" si="401"/>
        <v>2.446489099936652E-2</v>
      </c>
    </row>
    <row r="4279" spans="19:24" x14ac:dyDescent="0.25">
      <c r="S4279" s="44">
        <f t="shared" si="403"/>
        <v>47329</v>
      </c>
      <c r="T4279" s="12">
        <f t="shared" si="398"/>
        <v>1.7711805548187916</v>
      </c>
      <c r="U4279" s="12">
        <f t="shared" si="402"/>
        <v>1.7446502548065299</v>
      </c>
      <c r="V4279" s="30">
        <f t="shared" si="399"/>
        <v>0.38689643835616438</v>
      </c>
      <c r="W4279" s="46">
        <f t="shared" si="400"/>
        <v>-1.7711805548187912E-2</v>
      </c>
      <c r="X4279" s="33">
        <f t="shared" si="401"/>
        <v>2.4464849487093574E-2</v>
      </c>
    </row>
    <row r="4280" spans="19:24" x14ac:dyDescent="0.25">
      <c r="S4280" s="44">
        <f t="shared" si="403"/>
        <v>47330</v>
      </c>
      <c r="T4280" s="12">
        <f t="shared" si="398"/>
        <v>1.7685034725172502</v>
      </c>
      <c r="U4280" s="12">
        <f t="shared" si="402"/>
        <v>1.7419990780817407</v>
      </c>
      <c r="V4280" s="30">
        <f t="shared" si="399"/>
        <v>0.38686904109589043</v>
      </c>
      <c r="W4280" s="46">
        <f t="shared" si="400"/>
        <v>-1.7685034725172497E-2</v>
      </c>
      <c r="X4280" s="33">
        <f t="shared" si="401"/>
        <v>2.4464807974820632E-2</v>
      </c>
    </row>
    <row r="4281" spans="19:24" x14ac:dyDescent="0.25">
      <c r="S4281" s="44">
        <f t="shared" si="403"/>
        <v>47331</v>
      </c>
      <c r="T4281" s="12">
        <f t="shared" si="398"/>
        <v>1.7658263902157092</v>
      </c>
      <c r="U4281" s="12">
        <f t="shared" si="402"/>
        <v>1.7393479013569513</v>
      </c>
      <c r="V4281" s="30">
        <f t="shared" si="399"/>
        <v>0.38684164383561648</v>
      </c>
      <c r="W4281" s="46">
        <f t="shared" si="400"/>
        <v>-1.7658263902157089E-2</v>
      </c>
      <c r="X4281" s="33">
        <f t="shared" si="401"/>
        <v>2.446476646254769E-2</v>
      </c>
    </row>
    <row r="4282" spans="19:24" x14ac:dyDescent="0.25">
      <c r="S4282" s="44">
        <f t="shared" si="403"/>
        <v>47332</v>
      </c>
      <c r="T4282" s="12">
        <f t="shared" si="398"/>
        <v>1.7631493079141682</v>
      </c>
      <c r="U4282" s="12">
        <f t="shared" si="402"/>
        <v>1.7366967246321621</v>
      </c>
      <c r="V4282" s="30">
        <f t="shared" si="399"/>
        <v>0.38681424657534247</v>
      </c>
      <c r="W4282" s="46">
        <f t="shared" si="400"/>
        <v>-1.7631493079141681E-2</v>
      </c>
      <c r="X4282" s="33">
        <f t="shared" si="401"/>
        <v>2.4464724950274745E-2</v>
      </c>
    </row>
    <row r="4283" spans="19:24" x14ac:dyDescent="0.25">
      <c r="S4283" s="44">
        <f t="shared" si="403"/>
        <v>47333</v>
      </c>
      <c r="T4283" s="12">
        <f t="shared" si="398"/>
        <v>1.7604722256126266</v>
      </c>
      <c r="U4283" s="12">
        <f t="shared" si="402"/>
        <v>1.7340455479073729</v>
      </c>
      <c r="V4283" s="30">
        <f t="shared" si="399"/>
        <v>0.38678684931506851</v>
      </c>
      <c r="W4283" s="46">
        <f t="shared" si="400"/>
        <v>-1.7604722256126262E-2</v>
      </c>
      <c r="X4283" s="33">
        <f t="shared" si="401"/>
        <v>2.4464683438001802E-2</v>
      </c>
    </row>
    <row r="4284" spans="19:24" x14ac:dyDescent="0.25">
      <c r="S4284" s="44">
        <f t="shared" si="403"/>
        <v>47334</v>
      </c>
      <c r="T4284" s="12">
        <f t="shared" si="398"/>
        <v>1.7577951433110854</v>
      </c>
      <c r="U4284" s="12">
        <f t="shared" si="402"/>
        <v>1.7313943711825834</v>
      </c>
      <c r="V4284" s="30">
        <f t="shared" si="399"/>
        <v>0.38675945205479451</v>
      </c>
      <c r="W4284" s="46">
        <f t="shared" si="400"/>
        <v>-1.7577951433110851E-2</v>
      </c>
      <c r="X4284" s="33">
        <f t="shared" si="401"/>
        <v>2.4464641925728853E-2</v>
      </c>
    </row>
    <row r="4285" spans="19:24" x14ac:dyDescent="0.25">
      <c r="S4285" s="44">
        <f t="shared" si="403"/>
        <v>47335</v>
      </c>
      <c r="T4285" s="12">
        <f t="shared" si="398"/>
        <v>1.755118061009544</v>
      </c>
      <c r="U4285" s="12">
        <f t="shared" si="402"/>
        <v>1.7287431944577942</v>
      </c>
      <c r="V4285" s="30">
        <f t="shared" si="399"/>
        <v>0.38673205479452055</v>
      </c>
      <c r="W4285" s="46">
        <f t="shared" si="400"/>
        <v>-1.7551180610095439E-2</v>
      </c>
      <c r="X4285" s="33">
        <f t="shared" si="401"/>
        <v>2.4464600413455911E-2</v>
      </c>
    </row>
    <row r="4286" spans="19:24" x14ac:dyDescent="0.25">
      <c r="S4286" s="44">
        <f t="shared" si="403"/>
        <v>47336</v>
      </c>
      <c r="T4286" s="12">
        <f t="shared" si="398"/>
        <v>1.7524409787080029</v>
      </c>
      <c r="U4286" s="12">
        <f t="shared" si="402"/>
        <v>1.7260920177330046</v>
      </c>
      <c r="V4286" s="30">
        <f t="shared" si="399"/>
        <v>0.3867046575342466</v>
      </c>
      <c r="W4286" s="46">
        <f t="shared" si="400"/>
        <v>-1.7524409787080027E-2</v>
      </c>
      <c r="X4286" s="33">
        <f t="shared" si="401"/>
        <v>2.4464558901182969E-2</v>
      </c>
    </row>
    <row r="4287" spans="19:24" x14ac:dyDescent="0.25">
      <c r="S4287" s="44">
        <f t="shared" si="403"/>
        <v>47337</v>
      </c>
      <c r="T4287" s="12">
        <f t="shared" si="398"/>
        <v>1.7497638964064617</v>
      </c>
      <c r="U4287" s="12">
        <f t="shared" si="402"/>
        <v>1.7234408410082156</v>
      </c>
      <c r="V4287" s="30">
        <f t="shared" si="399"/>
        <v>0.38667726027397259</v>
      </c>
      <c r="W4287" s="46">
        <f t="shared" si="400"/>
        <v>-1.7497638964064616E-2</v>
      </c>
      <c r="X4287" s="33">
        <f t="shared" si="401"/>
        <v>2.4464517388910027E-2</v>
      </c>
    </row>
    <row r="4288" spans="19:24" x14ac:dyDescent="0.25">
      <c r="S4288" s="44">
        <f t="shared" si="403"/>
        <v>47338</v>
      </c>
      <c r="T4288" s="12">
        <f t="shared" si="398"/>
        <v>1.7470868141049207</v>
      </c>
      <c r="U4288" s="12">
        <f t="shared" si="402"/>
        <v>1.7207896642834264</v>
      </c>
      <c r="V4288" s="30">
        <f t="shared" si="399"/>
        <v>0.38664986301369864</v>
      </c>
      <c r="W4288" s="46">
        <f t="shared" si="400"/>
        <v>-1.7470868141049204E-2</v>
      </c>
      <c r="X4288" s="33">
        <f t="shared" si="401"/>
        <v>2.4464475876637082E-2</v>
      </c>
    </row>
    <row r="4289" spans="19:24" x14ac:dyDescent="0.25">
      <c r="S4289" s="44">
        <f t="shared" si="403"/>
        <v>47339</v>
      </c>
      <c r="T4289" s="12">
        <f t="shared" si="398"/>
        <v>1.7444097318033793</v>
      </c>
      <c r="U4289" s="12">
        <f t="shared" si="402"/>
        <v>1.718138487558637</v>
      </c>
      <c r="V4289" s="30">
        <f t="shared" si="399"/>
        <v>0.38662246575342463</v>
      </c>
      <c r="W4289" s="46">
        <f t="shared" si="400"/>
        <v>-1.7444097318033789E-2</v>
      </c>
      <c r="X4289" s="33">
        <f t="shared" si="401"/>
        <v>2.4464434364364133E-2</v>
      </c>
    </row>
    <row r="4290" spans="19:24" x14ac:dyDescent="0.25">
      <c r="S4290" s="44">
        <f t="shared" si="403"/>
        <v>47340</v>
      </c>
      <c r="T4290" s="12">
        <f t="shared" si="398"/>
        <v>1.7417326495018384</v>
      </c>
      <c r="U4290" s="12">
        <f t="shared" si="402"/>
        <v>1.7154873108338478</v>
      </c>
      <c r="V4290" s="30">
        <f t="shared" si="399"/>
        <v>0.38659506849315073</v>
      </c>
      <c r="W4290" s="46">
        <f t="shared" si="400"/>
        <v>-1.7417326495018381E-2</v>
      </c>
      <c r="X4290" s="33">
        <f t="shared" si="401"/>
        <v>2.4464392852091198E-2</v>
      </c>
    </row>
    <row r="4291" spans="19:24" x14ac:dyDescent="0.25">
      <c r="S4291" s="44">
        <f t="shared" si="403"/>
        <v>47341</v>
      </c>
      <c r="T4291" s="12">
        <f t="shared" si="398"/>
        <v>1.739055567200297</v>
      </c>
      <c r="U4291" s="12">
        <f t="shared" si="402"/>
        <v>1.7128361341090586</v>
      </c>
      <c r="V4291" s="30">
        <f t="shared" si="399"/>
        <v>0.38656767123287672</v>
      </c>
      <c r="W4291" s="46">
        <f t="shared" si="400"/>
        <v>-1.7390555672002966E-2</v>
      </c>
      <c r="X4291" s="33">
        <f t="shared" si="401"/>
        <v>2.4464351339818249E-2</v>
      </c>
    </row>
    <row r="4292" spans="19:24" x14ac:dyDescent="0.25">
      <c r="S4292" s="44">
        <f t="shared" si="403"/>
        <v>47342</v>
      </c>
      <c r="T4292" s="12">
        <f t="shared" si="398"/>
        <v>1.736378484898756</v>
      </c>
      <c r="U4292" s="12">
        <f t="shared" si="402"/>
        <v>1.7101849573842691</v>
      </c>
      <c r="V4292" s="30">
        <f t="shared" si="399"/>
        <v>0.38654027397260277</v>
      </c>
      <c r="W4292" s="46">
        <f t="shared" si="400"/>
        <v>-1.7363784848987558E-2</v>
      </c>
      <c r="X4292" s="33">
        <f t="shared" si="401"/>
        <v>2.4464309827545307E-2</v>
      </c>
    </row>
    <row r="4293" spans="19:24" x14ac:dyDescent="0.25">
      <c r="S4293" s="44">
        <f t="shared" si="403"/>
        <v>47343</v>
      </c>
      <c r="T4293" s="12">
        <f t="shared" ref="T4293:T4356" si="404">DurMod(S4293,B$2,$F$7:$G$37,$T$3)</f>
        <v>1.7337014025972146</v>
      </c>
      <c r="U4293" s="12">
        <f t="shared" si="402"/>
        <v>1.7075337806594797</v>
      </c>
      <c r="V4293" s="30">
        <f t="shared" ref="V4293:V4356" si="405">+$U$3*($S$5512-S4293)/365+$T$3*(S4293-$S$4)/365</f>
        <v>0.38651287671232876</v>
      </c>
      <c r="W4293" s="46">
        <f t="shared" ref="W4293:W4356" si="406">+-T4293*($U$3-$T$3)</f>
        <v>-1.7337014025972142E-2</v>
      </c>
      <c r="X4293" s="33">
        <f t="shared" ref="X4293:X4356" si="407">+(V4293+W4293)*365/($S$5512-$S$4)</f>
        <v>2.4464268315272361E-2</v>
      </c>
    </row>
    <row r="4294" spans="19:24" x14ac:dyDescent="0.25">
      <c r="S4294" s="44">
        <f t="shared" si="403"/>
        <v>47344</v>
      </c>
      <c r="T4294" s="12">
        <f t="shared" si="404"/>
        <v>1.7310243202956737</v>
      </c>
      <c r="U4294" s="12">
        <f t="shared" ref="U4294:U4357" si="408">DurMod($S4294,$B$2,$F$7:$G$37,U$3)</f>
        <v>1.7048826039346905</v>
      </c>
      <c r="V4294" s="30">
        <f t="shared" si="405"/>
        <v>0.3864854794520548</v>
      </c>
      <c r="W4294" s="46">
        <f t="shared" si="406"/>
        <v>-1.7310243202956734E-2</v>
      </c>
      <c r="X4294" s="33">
        <f t="shared" si="407"/>
        <v>2.4464226802999419E-2</v>
      </c>
    </row>
    <row r="4295" spans="19:24" x14ac:dyDescent="0.25">
      <c r="S4295" s="44">
        <f t="shared" si="403"/>
        <v>47345</v>
      </c>
      <c r="T4295" s="12">
        <f t="shared" si="404"/>
        <v>1.7283472379941325</v>
      </c>
      <c r="U4295" s="12">
        <f t="shared" si="408"/>
        <v>1.7022314272099008</v>
      </c>
      <c r="V4295" s="30">
        <f t="shared" si="405"/>
        <v>0.38645808219178085</v>
      </c>
      <c r="W4295" s="46">
        <f t="shared" si="406"/>
        <v>-1.7283472379941323E-2</v>
      </c>
      <c r="X4295" s="33">
        <f t="shared" si="407"/>
        <v>2.4464185290726477E-2</v>
      </c>
    </row>
    <row r="4296" spans="19:24" x14ac:dyDescent="0.25">
      <c r="S4296" s="44">
        <f t="shared" si="403"/>
        <v>47346</v>
      </c>
      <c r="T4296" s="12">
        <f t="shared" si="404"/>
        <v>1.7256701556925913</v>
      </c>
      <c r="U4296" s="12">
        <f t="shared" si="408"/>
        <v>1.6995802504851116</v>
      </c>
      <c r="V4296" s="30">
        <f t="shared" si="405"/>
        <v>0.38643068493150684</v>
      </c>
      <c r="W4296" s="46">
        <f t="shared" si="406"/>
        <v>-1.7256701556925911E-2</v>
      </c>
      <c r="X4296" s="33">
        <f t="shared" si="407"/>
        <v>2.4464143778453528E-2</v>
      </c>
    </row>
    <row r="4297" spans="19:24" x14ac:dyDescent="0.25">
      <c r="S4297" s="44">
        <f t="shared" si="403"/>
        <v>47347</v>
      </c>
      <c r="T4297" s="12">
        <f t="shared" si="404"/>
        <v>1.7229930733910501</v>
      </c>
      <c r="U4297" s="12">
        <f t="shared" si="408"/>
        <v>1.6969290737603226</v>
      </c>
      <c r="V4297" s="30">
        <f t="shared" si="405"/>
        <v>0.38640328767123289</v>
      </c>
      <c r="W4297" s="46">
        <f t="shared" si="406"/>
        <v>-1.7229930733910499E-2</v>
      </c>
      <c r="X4297" s="33">
        <f t="shared" si="407"/>
        <v>2.4464102266180586E-2</v>
      </c>
    </row>
    <row r="4298" spans="19:24" x14ac:dyDescent="0.25">
      <c r="S4298" s="44">
        <f t="shared" si="403"/>
        <v>47348</v>
      </c>
      <c r="T4298" s="12">
        <f t="shared" si="404"/>
        <v>1.7203159910895089</v>
      </c>
      <c r="U4298" s="12">
        <f t="shared" si="408"/>
        <v>1.6942778970355334</v>
      </c>
      <c r="V4298" s="30">
        <f t="shared" si="405"/>
        <v>0.38637589041095888</v>
      </c>
      <c r="W4298" s="46">
        <f t="shared" si="406"/>
        <v>-1.7203159910895088E-2</v>
      </c>
      <c r="X4298" s="33">
        <f t="shared" si="407"/>
        <v>2.446406075390764E-2</v>
      </c>
    </row>
    <row r="4299" spans="19:24" x14ac:dyDescent="0.25">
      <c r="S4299" s="44">
        <f t="shared" si="403"/>
        <v>47349</v>
      </c>
      <c r="T4299" s="12">
        <f t="shared" si="404"/>
        <v>1.7176389087879675</v>
      </c>
      <c r="U4299" s="12">
        <f t="shared" si="408"/>
        <v>1.6916267203107438</v>
      </c>
      <c r="V4299" s="30">
        <f t="shared" si="405"/>
        <v>0.38634849315068492</v>
      </c>
      <c r="W4299" s="46">
        <f t="shared" si="406"/>
        <v>-1.7176389087879673E-2</v>
      </c>
      <c r="X4299" s="33">
        <f t="shared" si="407"/>
        <v>2.4464019241634698E-2</v>
      </c>
    </row>
    <row r="4300" spans="19:24" x14ac:dyDescent="0.25">
      <c r="S4300" s="44">
        <f t="shared" si="403"/>
        <v>47350</v>
      </c>
      <c r="T4300" s="12">
        <f t="shared" si="404"/>
        <v>1.7149618264864261</v>
      </c>
      <c r="U4300" s="12">
        <f t="shared" si="408"/>
        <v>1.6889755435859544</v>
      </c>
      <c r="V4300" s="30">
        <f t="shared" si="405"/>
        <v>0.38632109589041097</v>
      </c>
      <c r="W4300" s="46">
        <f t="shared" si="406"/>
        <v>-1.7149618264864257E-2</v>
      </c>
      <c r="X4300" s="33">
        <f t="shared" si="407"/>
        <v>2.4463977729361756E-2</v>
      </c>
    </row>
    <row r="4301" spans="19:24" x14ac:dyDescent="0.25">
      <c r="S4301" s="44">
        <f t="shared" si="403"/>
        <v>47351</v>
      </c>
      <c r="T4301" s="12">
        <f t="shared" si="404"/>
        <v>1.7122847441848854</v>
      </c>
      <c r="U4301" s="12">
        <f t="shared" si="408"/>
        <v>1.6863243668611654</v>
      </c>
      <c r="V4301" s="30">
        <f t="shared" si="405"/>
        <v>0.38629369863013696</v>
      </c>
      <c r="W4301" s="46">
        <f t="shared" si="406"/>
        <v>-1.7122847441848853E-2</v>
      </c>
      <c r="X4301" s="33">
        <f t="shared" si="407"/>
        <v>2.4463936217088811E-2</v>
      </c>
    </row>
    <row r="4302" spans="19:24" x14ac:dyDescent="0.25">
      <c r="S4302" s="44">
        <f t="shared" si="403"/>
        <v>47352</v>
      </c>
      <c r="T4302" s="12">
        <f t="shared" si="404"/>
        <v>1.7096076618833438</v>
      </c>
      <c r="U4302" s="12">
        <f t="shared" si="408"/>
        <v>1.6836731901363762</v>
      </c>
      <c r="V4302" s="30">
        <f t="shared" si="405"/>
        <v>0.38626630136986306</v>
      </c>
      <c r="W4302" s="46">
        <f t="shared" si="406"/>
        <v>-1.7096076618833434E-2</v>
      </c>
      <c r="X4302" s="33">
        <f t="shared" si="407"/>
        <v>2.4463894704815869E-2</v>
      </c>
    </row>
    <row r="4303" spans="19:24" x14ac:dyDescent="0.25">
      <c r="S4303" s="44">
        <f t="shared" si="403"/>
        <v>47353</v>
      </c>
      <c r="T4303" s="12">
        <f t="shared" si="404"/>
        <v>1.7069305795818026</v>
      </c>
      <c r="U4303" s="12">
        <f t="shared" si="408"/>
        <v>1.6810220134115867</v>
      </c>
      <c r="V4303" s="30">
        <f t="shared" si="405"/>
        <v>0.38623890410958911</v>
      </c>
      <c r="W4303" s="46">
        <f t="shared" si="406"/>
        <v>-1.7069305795818022E-2</v>
      </c>
      <c r="X4303" s="33">
        <f t="shared" si="407"/>
        <v>2.446385319254293E-2</v>
      </c>
    </row>
    <row r="4304" spans="19:24" x14ac:dyDescent="0.25">
      <c r="S4304" s="44">
        <f t="shared" si="403"/>
        <v>47354</v>
      </c>
      <c r="T4304" s="12">
        <f t="shared" si="404"/>
        <v>1.7042534972802617</v>
      </c>
      <c r="U4304" s="12">
        <f t="shared" si="408"/>
        <v>1.6783708366867975</v>
      </c>
      <c r="V4304" s="30">
        <f t="shared" si="405"/>
        <v>0.3862115068493151</v>
      </c>
      <c r="W4304" s="46">
        <f t="shared" si="406"/>
        <v>-1.7042534972802614E-2</v>
      </c>
      <c r="X4304" s="33">
        <f t="shared" si="407"/>
        <v>2.4463811680269985E-2</v>
      </c>
    </row>
    <row r="4305" spans="19:24" x14ac:dyDescent="0.25">
      <c r="S4305" s="44">
        <f t="shared" si="403"/>
        <v>47355</v>
      </c>
      <c r="T4305" s="12">
        <f t="shared" si="404"/>
        <v>1.70157641497872</v>
      </c>
      <c r="U4305" s="12">
        <f t="shared" si="408"/>
        <v>1.6757196599620079</v>
      </c>
      <c r="V4305" s="30">
        <f t="shared" si="405"/>
        <v>0.38618410958904109</v>
      </c>
      <c r="W4305" s="46">
        <f t="shared" si="406"/>
        <v>-1.7015764149787199E-2</v>
      </c>
      <c r="X4305" s="33">
        <f t="shared" si="407"/>
        <v>2.4463770167997036E-2</v>
      </c>
    </row>
    <row r="4306" spans="19:24" x14ac:dyDescent="0.25">
      <c r="S4306" s="44">
        <f t="shared" si="403"/>
        <v>47356</v>
      </c>
      <c r="T4306" s="12">
        <f t="shared" si="404"/>
        <v>1.6988993326771793</v>
      </c>
      <c r="U4306" s="12">
        <f t="shared" si="408"/>
        <v>1.6730684832372189</v>
      </c>
      <c r="V4306" s="30">
        <f t="shared" si="405"/>
        <v>0.38615671232876714</v>
      </c>
      <c r="W4306" s="46">
        <f t="shared" si="406"/>
        <v>-1.6988993326771791E-2</v>
      </c>
      <c r="X4306" s="33">
        <f t="shared" si="407"/>
        <v>2.4463728655724094E-2</v>
      </c>
    </row>
    <row r="4307" spans="19:24" x14ac:dyDescent="0.25">
      <c r="S4307" s="44">
        <f t="shared" si="403"/>
        <v>47357</v>
      </c>
      <c r="T4307" s="12">
        <f t="shared" si="404"/>
        <v>1.6962222503756379</v>
      </c>
      <c r="U4307" s="12">
        <f t="shared" si="408"/>
        <v>1.6704173065124295</v>
      </c>
      <c r="V4307" s="30">
        <f t="shared" si="405"/>
        <v>0.38612931506849318</v>
      </c>
      <c r="W4307" s="46">
        <f t="shared" si="406"/>
        <v>-1.6962222503756376E-2</v>
      </c>
      <c r="X4307" s="33">
        <f t="shared" si="407"/>
        <v>2.4463687143451148E-2</v>
      </c>
    </row>
    <row r="4308" spans="19:24" x14ac:dyDescent="0.25">
      <c r="S4308" s="44">
        <f t="shared" si="403"/>
        <v>47358</v>
      </c>
      <c r="T4308" s="12">
        <f t="shared" si="404"/>
        <v>1.6935451680740967</v>
      </c>
      <c r="U4308" s="12">
        <f t="shared" si="408"/>
        <v>1.6677661297876401</v>
      </c>
      <c r="V4308" s="30">
        <f t="shared" si="405"/>
        <v>0.38610191780821917</v>
      </c>
      <c r="W4308" s="46">
        <f t="shared" si="406"/>
        <v>-1.6935451680740964E-2</v>
      </c>
      <c r="X4308" s="33">
        <f t="shared" si="407"/>
        <v>2.4463645631178206E-2</v>
      </c>
    </row>
    <row r="4309" spans="19:24" x14ac:dyDescent="0.25">
      <c r="S4309" s="44">
        <f t="shared" si="403"/>
        <v>47359</v>
      </c>
      <c r="T4309" s="12">
        <f t="shared" si="404"/>
        <v>1.6908680857725558</v>
      </c>
      <c r="U4309" s="12">
        <f t="shared" si="408"/>
        <v>1.6651149530628511</v>
      </c>
      <c r="V4309" s="30">
        <f t="shared" si="405"/>
        <v>0.38607452054794522</v>
      </c>
      <c r="W4309" s="46">
        <f t="shared" si="406"/>
        <v>-1.6908680857725556E-2</v>
      </c>
      <c r="X4309" s="33">
        <f t="shared" si="407"/>
        <v>2.4463604118905257E-2</v>
      </c>
    </row>
    <row r="4310" spans="19:24" x14ac:dyDescent="0.25">
      <c r="S4310" s="44">
        <f t="shared" si="403"/>
        <v>47360</v>
      </c>
      <c r="T4310" s="12">
        <f t="shared" si="404"/>
        <v>1.6881910034710141</v>
      </c>
      <c r="U4310" s="12">
        <f t="shared" si="408"/>
        <v>1.6624637763380619</v>
      </c>
      <c r="V4310" s="30">
        <f t="shared" si="405"/>
        <v>0.38604712328767121</v>
      </c>
      <c r="W4310" s="46">
        <f t="shared" si="406"/>
        <v>-1.6881910034710138E-2</v>
      </c>
      <c r="X4310" s="33">
        <f t="shared" si="407"/>
        <v>2.4463562606632315E-2</v>
      </c>
    </row>
    <row r="4311" spans="19:24" x14ac:dyDescent="0.25">
      <c r="S4311" s="44">
        <f t="shared" si="403"/>
        <v>47361</v>
      </c>
      <c r="T4311" s="12">
        <f t="shared" si="404"/>
        <v>1.685513921169473</v>
      </c>
      <c r="U4311" s="12">
        <f t="shared" si="408"/>
        <v>1.6598125996132727</v>
      </c>
      <c r="V4311" s="30">
        <f t="shared" si="405"/>
        <v>0.3860197260273972</v>
      </c>
      <c r="W4311" s="46">
        <f t="shared" si="406"/>
        <v>-1.6855139211694726E-2</v>
      </c>
      <c r="X4311" s="33">
        <f t="shared" si="407"/>
        <v>2.446352109435937E-2</v>
      </c>
    </row>
    <row r="4312" spans="19:24" x14ac:dyDescent="0.25">
      <c r="S4312" s="44">
        <f t="shared" si="403"/>
        <v>47362</v>
      </c>
      <c r="T4312" s="12">
        <f t="shared" si="404"/>
        <v>1.6828368388679318</v>
      </c>
      <c r="U4312" s="12">
        <f t="shared" si="408"/>
        <v>1.6571614228884832</v>
      </c>
      <c r="V4312" s="30">
        <f t="shared" si="405"/>
        <v>0.3859923287671233</v>
      </c>
      <c r="W4312" s="46">
        <f t="shared" si="406"/>
        <v>-1.6828368388679314E-2</v>
      </c>
      <c r="X4312" s="33">
        <f t="shared" si="407"/>
        <v>2.4463479582086431E-2</v>
      </c>
    </row>
    <row r="4313" spans="19:24" x14ac:dyDescent="0.25">
      <c r="S4313" s="44">
        <f t="shared" si="403"/>
        <v>47363</v>
      </c>
      <c r="T4313" s="12">
        <f t="shared" si="404"/>
        <v>1.6801597565663908</v>
      </c>
      <c r="U4313" s="12">
        <f t="shared" si="408"/>
        <v>1.6545102461636938</v>
      </c>
      <c r="V4313" s="30">
        <f t="shared" si="405"/>
        <v>0.3859649315068493</v>
      </c>
      <c r="W4313" s="46">
        <f t="shared" si="406"/>
        <v>-1.6801597565663906E-2</v>
      </c>
      <c r="X4313" s="33">
        <f t="shared" si="407"/>
        <v>2.4463438069813485E-2</v>
      </c>
    </row>
    <row r="4314" spans="19:24" x14ac:dyDescent="0.25">
      <c r="S4314" s="44">
        <f t="shared" si="403"/>
        <v>47364</v>
      </c>
      <c r="T4314" s="12">
        <f t="shared" si="404"/>
        <v>1.6774826742648494</v>
      </c>
      <c r="U4314" s="12">
        <f t="shared" si="408"/>
        <v>1.6518590694389046</v>
      </c>
      <c r="V4314" s="30">
        <f t="shared" si="405"/>
        <v>0.38593753424657534</v>
      </c>
      <c r="W4314" s="46">
        <f t="shared" si="406"/>
        <v>-1.6774826742648491E-2</v>
      </c>
      <c r="X4314" s="33">
        <f t="shared" si="407"/>
        <v>2.4463396557540543E-2</v>
      </c>
    </row>
    <row r="4315" spans="19:24" x14ac:dyDescent="0.25">
      <c r="S4315" s="44">
        <f t="shared" si="403"/>
        <v>47365</v>
      </c>
      <c r="T4315" s="12">
        <f t="shared" si="404"/>
        <v>1.6748055919633082</v>
      </c>
      <c r="U4315" s="12">
        <f t="shared" si="408"/>
        <v>1.6492078927141152</v>
      </c>
      <c r="V4315" s="30">
        <f t="shared" si="405"/>
        <v>0.38591013698630139</v>
      </c>
      <c r="W4315" s="46">
        <f t="shared" si="406"/>
        <v>-1.6748055919633079E-2</v>
      </c>
      <c r="X4315" s="33">
        <f t="shared" si="407"/>
        <v>2.4463355045267601E-2</v>
      </c>
    </row>
    <row r="4316" spans="19:24" x14ac:dyDescent="0.25">
      <c r="S4316" s="44">
        <f t="shared" si="403"/>
        <v>47366</v>
      </c>
      <c r="T4316" s="12">
        <f t="shared" si="404"/>
        <v>1.6721285096617671</v>
      </c>
      <c r="U4316" s="12">
        <f t="shared" si="408"/>
        <v>1.646556715989326</v>
      </c>
      <c r="V4316" s="30">
        <f t="shared" si="405"/>
        <v>0.38588273972602744</v>
      </c>
      <c r="W4316" s="46">
        <f t="shared" si="406"/>
        <v>-1.6721285096617668E-2</v>
      </c>
      <c r="X4316" s="33">
        <f t="shared" si="407"/>
        <v>2.4463313532994652E-2</v>
      </c>
    </row>
    <row r="4317" spans="19:24" x14ac:dyDescent="0.25">
      <c r="S4317" s="44">
        <f t="shared" si="403"/>
        <v>47367</v>
      </c>
      <c r="T4317" s="12">
        <f t="shared" si="404"/>
        <v>1.6694514273602261</v>
      </c>
      <c r="U4317" s="12">
        <f t="shared" si="408"/>
        <v>1.6439055392645365</v>
      </c>
      <c r="V4317" s="30">
        <f t="shared" si="405"/>
        <v>0.38585534246575343</v>
      </c>
      <c r="W4317" s="46">
        <f t="shared" si="406"/>
        <v>-1.6694514273602259E-2</v>
      </c>
      <c r="X4317" s="33">
        <f t="shared" si="407"/>
        <v>2.446327202072171E-2</v>
      </c>
    </row>
    <row r="4318" spans="19:24" x14ac:dyDescent="0.25">
      <c r="S4318" s="44">
        <f t="shared" si="403"/>
        <v>47368</v>
      </c>
      <c r="T4318" s="12">
        <f t="shared" si="404"/>
        <v>1.6667743450586849</v>
      </c>
      <c r="U4318" s="12">
        <f t="shared" si="408"/>
        <v>1.6412543625397471</v>
      </c>
      <c r="V4318" s="30">
        <f t="shared" si="405"/>
        <v>0.38582794520547947</v>
      </c>
      <c r="W4318" s="46">
        <f t="shared" si="406"/>
        <v>-1.6667743450586848E-2</v>
      </c>
      <c r="X4318" s="33">
        <f t="shared" si="407"/>
        <v>2.4463230508448765E-2</v>
      </c>
    </row>
    <row r="4319" spans="19:24" x14ac:dyDescent="0.25">
      <c r="S4319" s="44">
        <f t="shared" si="403"/>
        <v>47369</v>
      </c>
      <c r="T4319" s="12">
        <f t="shared" si="404"/>
        <v>1.6640972627571433</v>
      </c>
      <c r="U4319" s="12">
        <f t="shared" si="408"/>
        <v>1.6386031858149579</v>
      </c>
      <c r="V4319" s="30">
        <f t="shared" si="405"/>
        <v>0.38580054794520546</v>
      </c>
      <c r="W4319" s="46">
        <f t="shared" si="406"/>
        <v>-1.6640972627571429E-2</v>
      </c>
      <c r="X4319" s="33">
        <f t="shared" si="407"/>
        <v>2.4463188996175823E-2</v>
      </c>
    </row>
    <row r="4320" spans="19:24" x14ac:dyDescent="0.25">
      <c r="S4320" s="44">
        <f t="shared" si="403"/>
        <v>47370</v>
      </c>
      <c r="T4320" s="12">
        <f t="shared" si="404"/>
        <v>1.6614201804556026</v>
      </c>
      <c r="U4320" s="12">
        <f t="shared" si="408"/>
        <v>1.6359520090901685</v>
      </c>
      <c r="V4320" s="30">
        <f t="shared" si="405"/>
        <v>0.38577315068493145</v>
      </c>
      <c r="W4320" s="46">
        <f t="shared" si="406"/>
        <v>-1.6614201804556025E-2</v>
      </c>
      <c r="X4320" s="33">
        <f t="shared" si="407"/>
        <v>2.4463147483902877E-2</v>
      </c>
    </row>
    <row r="4321" spans="19:24" x14ac:dyDescent="0.25">
      <c r="S4321" s="44">
        <f t="shared" si="403"/>
        <v>47371</v>
      </c>
      <c r="T4321" s="12">
        <f t="shared" si="404"/>
        <v>1.658743098154061</v>
      </c>
      <c r="U4321" s="12">
        <f t="shared" si="408"/>
        <v>1.6333008323653793</v>
      </c>
      <c r="V4321" s="30">
        <f t="shared" si="405"/>
        <v>0.38574575342465756</v>
      </c>
      <c r="W4321" s="46">
        <f t="shared" si="406"/>
        <v>-1.6587430981540606E-2</v>
      </c>
      <c r="X4321" s="33">
        <f t="shared" si="407"/>
        <v>2.4463105971629939E-2</v>
      </c>
    </row>
    <row r="4322" spans="19:24" x14ac:dyDescent="0.25">
      <c r="S4322" s="44">
        <f t="shared" si="403"/>
        <v>47372</v>
      </c>
      <c r="T4322" s="12">
        <f t="shared" si="404"/>
        <v>1.65606601585252</v>
      </c>
      <c r="U4322" s="12">
        <f t="shared" si="408"/>
        <v>1.6306496556405903</v>
      </c>
      <c r="V4322" s="30">
        <f t="shared" si="405"/>
        <v>0.38571835616438355</v>
      </c>
      <c r="W4322" s="46">
        <f t="shared" si="406"/>
        <v>-1.6560660158525198E-2</v>
      </c>
      <c r="X4322" s="33">
        <f t="shared" si="407"/>
        <v>2.4463064459356993E-2</v>
      </c>
    </row>
    <row r="4323" spans="19:24" x14ac:dyDescent="0.25">
      <c r="S4323" s="44">
        <f t="shared" si="403"/>
        <v>47373</v>
      </c>
      <c r="T4323" s="12">
        <f t="shared" si="404"/>
        <v>1.6533889335509788</v>
      </c>
      <c r="U4323" s="12">
        <f t="shared" si="408"/>
        <v>1.6279984789158009</v>
      </c>
      <c r="V4323" s="30">
        <f t="shared" si="405"/>
        <v>0.38569095890410954</v>
      </c>
      <c r="W4323" s="46">
        <f t="shared" si="406"/>
        <v>-1.6533889335509786E-2</v>
      </c>
      <c r="X4323" s="33">
        <f t="shared" si="407"/>
        <v>2.4463022947084041E-2</v>
      </c>
    </row>
    <row r="4324" spans="19:24" x14ac:dyDescent="0.25">
      <c r="S4324" s="44">
        <f t="shared" si="403"/>
        <v>47374</v>
      </c>
      <c r="T4324" s="12">
        <f t="shared" si="404"/>
        <v>1.6507118512494376</v>
      </c>
      <c r="U4324" s="12">
        <f t="shared" si="408"/>
        <v>1.6253473021910112</v>
      </c>
      <c r="V4324" s="30">
        <f t="shared" si="405"/>
        <v>0.38566356164383564</v>
      </c>
      <c r="W4324" s="46">
        <f t="shared" si="406"/>
        <v>-1.6507118512494375E-2</v>
      </c>
      <c r="X4324" s="33">
        <f t="shared" si="407"/>
        <v>2.4462981434811102E-2</v>
      </c>
    </row>
    <row r="4325" spans="19:24" x14ac:dyDescent="0.25">
      <c r="S4325" s="44">
        <f t="shared" si="403"/>
        <v>47375</v>
      </c>
      <c r="T4325" s="12">
        <f t="shared" si="404"/>
        <v>1.6480347689478965</v>
      </c>
      <c r="U4325" s="12">
        <f t="shared" si="408"/>
        <v>1.6226961254662227</v>
      </c>
      <c r="V4325" s="30">
        <f t="shared" si="405"/>
        <v>0.38563616438356163</v>
      </c>
      <c r="W4325" s="46">
        <f t="shared" si="406"/>
        <v>-1.6480347689478963E-2</v>
      </c>
      <c r="X4325" s="33">
        <f t="shared" si="407"/>
        <v>2.4462939922538156E-2</v>
      </c>
    </row>
    <row r="4326" spans="19:24" x14ac:dyDescent="0.25">
      <c r="S4326" s="44">
        <f t="shared" si="403"/>
        <v>47376</v>
      </c>
      <c r="T4326" s="12">
        <f t="shared" si="404"/>
        <v>1.6453576866463551</v>
      </c>
      <c r="U4326" s="12">
        <f t="shared" si="408"/>
        <v>1.6200449487414326</v>
      </c>
      <c r="V4326" s="30">
        <f t="shared" si="405"/>
        <v>0.38560876712328768</v>
      </c>
      <c r="W4326" s="46">
        <f t="shared" si="406"/>
        <v>-1.6453576866463548E-2</v>
      </c>
      <c r="X4326" s="33">
        <f t="shared" si="407"/>
        <v>2.4462898410265218E-2</v>
      </c>
    </row>
    <row r="4327" spans="19:24" x14ac:dyDescent="0.25">
      <c r="S4327" s="44">
        <f t="shared" si="403"/>
        <v>47377</v>
      </c>
      <c r="T4327" s="12">
        <f t="shared" si="404"/>
        <v>1.6426806043448139</v>
      </c>
      <c r="U4327" s="12">
        <f t="shared" si="408"/>
        <v>1.6173937720166436</v>
      </c>
      <c r="V4327" s="30">
        <f t="shared" si="405"/>
        <v>0.38558136986301372</v>
      </c>
      <c r="W4327" s="46">
        <f t="shared" si="406"/>
        <v>-1.6426806043448136E-2</v>
      </c>
      <c r="X4327" s="33">
        <f t="shared" si="407"/>
        <v>2.4462856897992272E-2</v>
      </c>
    </row>
    <row r="4328" spans="19:24" x14ac:dyDescent="0.25">
      <c r="S4328" s="44">
        <f t="shared" si="403"/>
        <v>47378</v>
      </c>
      <c r="T4328" s="12">
        <f t="shared" si="404"/>
        <v>1.6400035220432732</v>
      </c>
      <c r="U4328" s="12">
        <f t="shared" si="408"/>
        <v>1.6147425952918544</v>
      </c>
      <c r="V4328" s="30">
        <f t="shared" si="405"/>
        <v>0.38555397260273977</v>
      </c>
      <c r="W4328" s="46">
        <f t="shared" si="406"/>
        <v>-1.6400035220432728E-2</v>
      </c>
      <c r="X4328" s="33">
        <f t="shared" si="407"/>
        <v>2.446281538571933E-2</v>
      </c>
    </row>
    <row r="4329" spans="19:24" x14ac:dyDescent="0.25">
      <c r="S4329" s="44">
        <f t="shared" si="403"/>
        <v>47379</v>
      </c>
      <c r="T4329" s="12">
        <f t="shared" si="404"/>
        <v>1.6373264397417315</v>
      </c>
      <c r="U4329" s="12">
        <f t="shared" si="408"/>
        <v>1.6120914185670649</v>
      </c>
      <c r="V4329" s="30">
        <f t="shared" si="405"/>
        <v>0.38552657534246576</v>
      </c>
      <c r="W4329" s="46">
        <f t="shared" si="406"/>
        <v>-1.6373264397417313E-2</v>
      </c>
      <c r="X4329" s="33">
        <f t="shared" si="407"/>
        <v>2.4462773873446381E-2</v>
      </c>
    </row>
    <row r="4330" spans="19:24" x14ac:dyDescent="0.25">
      <c r="S4330" s="44">
        <f t="shared" si="403"/>
        <v>47380</v>
      </c>
      <c r="T4330" s="12">
        <f t="shared" si="404"/>
        <v>1.6346493574401899</v>
      </c>
      <c r="U4330" s="12">
        <f t="shared" si="408"/>
        <v>1.609440241842276</v>
      </c>
      <c r="V4330" s="30">
        <f t="shared" si="405"/>
        <v>0.38549917808219181</v>
      </c>
      <c r="W4330" s="46">
        <f t="shared" si="406"/>
        <v>-1.6346493574401898E-2</v>
      </c>
      <c r="X4330" s="33">
        <f t="shared" si="407"/>
        <v>2.4462732361173446E-2</v>
      </c>
    </row>
    <row r="4331" spans="19:24" x14ac:dyDescent="0.25">
      <c r="S4331" s="44">
        <f t="shared" si="403"/>
        <v>47381</v>
      </c>
      <c r="T4331" s="12">
        <f t="shared" si="404"/>
        <v>1.6319722751386492</v>
      </c>
      <c r="U4331" s="12">
        <f t="shared" si="408"/>
        <v>1.6067890651174865</v>
      </c>
      <c r="V4331" s="30">
        <f t="shared" si="405"/>
        <v>0.3854717808219178</v>
      </c>
      <c r="W4331" s="46">
        <f t="shared" si="406"/>
        <v>-1.631972275138649E-2</v>
      </c>
      <c r="X4331" s="33">
        <f t="shared" si="407"/>
        <v>2.4462690848900494E-2</v>
      </c>
    </row>
    <row r="4332" spans="19:24" x14ac:dyDescent="0.25">
      <c r="S4332" s="44">
        <f t="shared" si="403"/>
        <v>47382</v>
      </c>
      <c r="T4332" s="12">
        <f t="shared" si="404"/>
        <v>1.6292951928371082</v>
      </c>
      <c r="U4332" s="12">
        <f t="shared" si="408"/>
        <v>1.6041378883926973</v>
      </c>
      <c r="V4332" s="30">
        <f t="shared" si="405"/>
        <v>0.38544438356164379</v>
      </c>
      <c r="W4332" s="46">
        <f t="shared" si="406"/>
        <v>-1.6292951928371081E-2</v>
      </c>
      <c r="X4332" s="33">
        <f t="shared" si="407"/>
        <v>2.4462649336627545E-2</v>
      </c>
    </row>
    <row r="4333" spans="19:24" x14ac:dyDescent="0.25">
      <c r="S4333" s="44">
        <f t="shared" si="403"/>
        <v>47383</v>
      </c>
      <c r="T4333" s="12">
        <f t="shared" si="404"/>
        <v>1.626618110535567</v>
      </c>
      <c r="U4333" s="12">
        <f t="shared" si="408"/>
        <v>1.6014867116679077</v>
      </c>
      <c r="V4333" s="30">
        <f t="shared" si="405"/>
        <v>0.38541698630136989</v>
      </c>
      <c r="W4333" s="46">
        <f t="shared" si="406"/>
        <v>-1.6266181105355666E-2</v>
      </c>
      <c r="X4333" s="33">
        <f t="shared" si="407"/>
        <v>2.446260782435461E-2</v>
      </c>
    </row>
    <row r="4334" spans="19:24" x14ac:dyDescent="0.25">
      <c r="S4334" s="44">
        <f t="shared" si="403"/>
        <v>47384</v>
      </c>
      <c r="T4334" s="12">
        <f t="shared" si="404"/>
        <v>1.6239410282340256</v>
      </c>
      <c r="U4334" s="12">
        <f t="shared" si="408"/>
        <v>1.5988355349431183</v>
      </c>
      <c r="V4334" s="30">
        <f t="shared" si="405"/>
        <v>0.38538958904109588</v>
      </c>
      <c r="W4334" s="46">
        <f t="shared" si="406"/>
        <v>-1.6239410282340255E-2</v>
      </c>
      <c r="X4334" s="33">
        <f t="shared" si="407"/>
        <v>2.4462566312081661E-2</v>
      </c>
    </row>
    <row r="4335" spans="19:24" x14ac:dyDescent="0.25">
      <c r="S4335" s="44">
        <f t="shared" si="403"/>
        <v>47385</v>
      </c>
      <c r="T4335" s="12">
        <f t="shared" si="404"/>
        <v>1.6212639459324845</v>
      </c>
      <c r="U4335" s="12">
        <f t="shared" si="408"/>
        <v>1.596184358218329</v>
      </c>
      <c r="V4335" s="30">
        <f t="shared" si="405"/>
        <v>0.38536219178082187</v>
      </c>
      <c r="W4335" s="46">
        <f t="shared" si="406"/>
        <v>-1.6212639459324843E-2</v>
      </c>
      <c r="X4335" s="33">
        <f t="shared" si="407"/>
        <v>2.4462524799808719E-2</v>
      </c>
    </row>
    <row r="4336" spans="19:24" x14ac:dyDescent="0.25">
      <c r="S4336" s="44">
        <f t="shared" si="403"/>
        <v>47386</v>
      </c>
      <c r="T4336" s="12">
        <f t="shared" si="404"/>
        <v>1.6185868636309435</v>
      </c>
      <c r="U4336" s="12">
        <f t="shared" si="408"/>
        <v>1.5935331814935401</v>
      </c>
      <c r="V4336" s="30">
        <f t="shared" si="405"/>
        <v>0.38533479452054797</v>
      </c>
      <c r="W4336" s="46">
        <f t="shared" si="406"/>
        <v>-1.6185868636309431E-2</v>
      </c>
      <c r="X4336" s="33">
        <f t="shared" si="407"/>
        <v>2.4462483287535777E-2</v>
      </c>
    </row>
    <row r="4337" spans="19:24" x14ac:dyDescent="0.25">
      <c r="S4337" s="44">
        <f t="shared" si="403"/>
        <v>47387</v>
      </c>
      <c r="T4337" s="12">
        <f t="shared" si="404"/>
        <v>1.6159097813294023</v>
      </c>
      <c r="U4337" s="12">
        <f t="shared" si="408"/>
        <v>1.5908820047687509</v>
      </c>
      <c r="V4337" s="30">
        <f t="shared" si="405"/>
        <v>0.38530739726027396</v>
      </c>
      <c r="W4337" s="46">
        <f t="shared" si="406"/>
        <v>-1.615909781329402E-2</v>
      </c>
      <c r="X4337" s="33">
        <f t="shared" si="407"/>
        <v>2.4462441775262831E-2</v>
      </c>
    </row>
    <row r="4338" spans="19:24" x14ac:dyDescent="0.25">
      <c r="S4338" s="44">
        <f t="shared" si="403"/>
        <v>47388</v>
      </c>
      <c r="T4338" s="12">
        <f t="shared" si="404"/>
        <v>1.6132326990278607</v>
      </c>
      <c r="U4338" s="12">
        <f t="shared" si="408"/>
        <v>1.5882308280439612</v>
      </c>
      <c r="V4338" s="30">
        <f t="shared" si="405"/>
        <v>0.38528000000000001</v>
      </c>
      <c r="W4338" s="46">
        <f t="shared" si="406"/>
        <v>-1.6132326990278605E-2</v>
      </c>
      <c r="X4338" s="33">
        <f t="shared" si="407"/>
        <v>2.4462400262989889E-2</v>
      </c>
    </row>
    <row r="4339" spans="19:24" x14ac:dyDescent="0.25">
      <c r="S4339" s="44">
        <f t="shared" ref="S4339:S4402" si="409">+S4338+1</f>
        <v>47389</v>
      </c>
      <c r="T4339" s="12">
        <f t="shared" si="404"/>
        <v>1.61055561672632</v>
      </c>
      <c r="U4339" s="12">
        <f t="shared" si="408"/>
        <v>1.5855796513191722</v>
      </c>
      <c r="V4339" s="30">
        <f t="shared" si="405"/>
        <v>0.38525260273972606</v>
      </c>
      <c r="W4339" s="46">
        <f t="shared" si="406"/>
        <v>-1.6105556167263196E-2</v>
      </c>
      <c r="X4339" s="33">
        <f t="shared" si="407"/>
        <v>2.4462358750716947E-2</v>
      </c>
    </row>
    <row r="4340" spans="19:24" x14ac:dyDescent="0.25">
      <c r="S4340" s="44">
        <f t="shared" si="409"/>
        <v>47390</v>
      </c>
      <c r="T4340" s="12">
        <f t="shared" si="404"/>
        <v>1.6078785344247781</v>
      </c>
      <c r="U4340" s="12">
        <f t="shared" si="408"/>
        <v>1.5829284745943826</v>
      </c>
      <c r="V4340" s="30">
        <f t="shared" si="405"/>
        <v>0.38522520547945205</v>
      </c>
      <c r="W4340" s="46">
        <f t="shared" si="406"/>
        <v>-1.6078785344247778E-2</v>
      </c>
      <c r="X4340" s="33">
        <f t="shared" si="407"/>
        <v>2.4462317238444001E-2</v>
      </c>
    </row>
    <row r="4341" spans="19:24" x14ac:dyDescent="0.25">
      <c r="S4341" s="44">
        <f t="shared" si="409"/>
        <v>47391</v>
      </c>
      <c r="T4341" s="12">
        <f t="shared" si="404"/>
        <v>1.6052014521232374</v>
      </c>
      <c r="U4341" s="12">
        <f t="shared" si="408"/>
        <v>1.5802772978695936</v>
      </c>
      <c r="V4341" s="30">
        <f t="shared" si="405"/>
        <v>0.38519780821917804</v>
      </c>
      <c r="W4341" s="46">
        <f t="shared" si="406"/>
        <v>-1.6052014521232373E-2</v>
      </c>
      <c r="X4341" s="33">
        <f t="shared" si="407"/>
        <v>2.4462275726171052E-2</v>
      </c>
    </row>
    <row r="4342" spans="19:24" x14ac:dyDescent="0.25">
      <c r="S4342" s="44">
        <f t="shared" si="409"/>
        <v>47392</v>
      </c>
      <c r="T4342" s="12">
        <f t="shared" si="404"/>
        <v>1.6025243698216962</v>
      </c>
      <c r="U4342" s="12">
        <f t="shared" si="408"/>
        <v>1.5776261211448044</v>
      </c>
      <c r="V4342" s="30">
        <f t="shared" si="405"/>
        <v>0.38517041095890414</v>
      </c>
      <c r="W4342" s="46">
        <f t="shared" si="406"/>
        <v>-1.6025243698216958E-2</v>
      </c>
      <c r="X4342" s="33">
        <f t="shared" si="407"/>
        <v>2.4462234213898117E-2</v>
      </c>
    </row>
    <row r="4343" spans="19:24" x14ac:dyDescent="0.25">
      <c r="S4343" s="44">
        <f t="shared" si="409"/>
        <v>47393</v>
      </c>
      <c r="T4343" s="12">
        <f t="shared" si="404"/>
        <v>1.599847287520155</v>
      </c>
      <c r="U4343" s="12">
        <f t="shared" si="408"/>
        <v>1.5749749444200147</v>
      </c>
      <c r="V4343" s="30">
        <f t="shared" si="405"/>
        <v>0.38514301369863013</v>
      </c>
      <c r="W4343" s="46">
        <f t="shared" si="406"/>
        <v>-1.5998472875201546E-2</v>
      </c>
      <c r="X4343" s="33">
        <f t="shared" si="407"/>
        <v>2.4462192701625168E-2</v>
      </c>
    </row>
    <row r="4344" spans="19:24" x14ac:dyDescent="0.25">
      <c r="S4344" s="44">
        <f t="shared" si="409"/>
        <v>47394</v>
      </c>
      <c r="T4344" s="12">
        <f t="shared" si="404"/>
        <v>1.5971702052186136</v>
      </c>
      <c r="U4344" s="12">
        <f t="shared" si="408"/>
        <v>1.5723237676952255</v>
      </c>
      <c r="V4344" s="30">
        <f t="shared" si="405"/>
        <v>0.38511561643835612</v>
      </c>
      <c r="W4344" s="46">
        <f t="shared" si="406"/>
        <v>-1.5971702052186135E-2</v>
      </c>
      <c r="X4344" s="33">
        <f t="shared" si="407"/>
        <v>2.4462151189352223E-2</v>
      </c>
    </row>
    <row r="4345" spans="19:24" x14ac:dyDescent="0.25">
      <c r="S4345" s="44">
        <f t="shared" si="409"/>
        <v>47395</v>
      </c>
      <c r="T4345" s="12">
        <f t="shared" si="404"/>
        <v>1.5944931229170727</v>
      </c>
      <c r="U4345" s="12">
        <f t="shared" si="408"/>
        <v>1.5696725909704365</v>
      </c>
      <c r="V4345" s="30">
        <f t="shared" si="405"/>
        <v>0.38508821917808223</v>
      </c>
      <c r="W4345" s="46">
        <f t="shared" si="406"/>
        <v>-1.5944931229170723E-2</v>
      </c>
      <c r="X4345" s="33">
        <f t="shared" si="407"/>
        <v>2.4462109677079284E-2</v>
      </c>
    </row>
    <row r="4346" spans="19:24" x14ac:dyDescent="0.25">
      <c r="S4346" s="44">
        <f t="shared" si="409"/>
        <v>47396</v>
      </c>
      <c r="T4346" s="12">
        <f t="shared" si="404"/>
        <v>1.5918160406155313</v>
      </c>
      <c r="U4346" s="12">
        <f t="shared" si="408"/>
        <v>1.5670214142456473</v>
      </c>
      <c r="V4346" s="30">
        <f t="shared" si="405"/>
        <v>0.38506082191780822</v>
      </c>
      <c r="W4346" s="46">
        <f t="shared" si="406"/>
        <v>-1.5918160406155311E-2</v>
      </c>
      <c r="X4346" s="33">
        <f t="shared" si="407"/>
        <v>2.4462068164806339E-2</v>
      </c>
    </row>
    <row r="4347" spans="19:24" x14ac:dyDescent="0.25">
      <c r="S4347" s="44">
        <f t="shared" si="409"/>
        <v>47397</v>
      </c>
      <c r="T4347" s="12">
        <f t="shared" si="404"/>
        <v>1.5891389583139901</v>
      </c>
      <c r="U4347" s="12">
        <f t="shared" si="408"/>
        <v>1.5643702375208577</v>
      </c>
      <c r="V4347" s="30">
        <f t="shared" si="405"/>
        <v>0.38503342465753421</v>
      </c>
      <c r="W4347" s="46">
        <f t="shared" si="406"/>
        <v>-1.58913895831399E-2</v>
      </c>
      <c r="X4347" s="33">
        <f t="shared" si="407"/>
        <v>2.446202665253339E-2</v>
      </c>
    </row>
    <row r="4348" spans="19:24" x14ac:dyDescent="0.25">
      <c r="S4348" s="44">
        <f t="shared" si="409"/>
        <v>47398</v>
      </c>
      <c r="T4348" s="12">
        <f t="shared" si="404"/>
        <v>1.5864618760124489</v>
      </c>
      <c r="U4348" s="12">
        <f t="shared" si="408"/>
        <v>1.5617190607960683</v>
      </c>
      <c r="V4348" s="30">
        <f t="shared" si="405"/>
        <v>0.38500602739726031</v>
      </c>
      <c r="W4348" s="46">
        <f t="shared" si="406"/>
        <v>-1.5864618760124488E-2</v>
      </c>
      <c r="X4348" s="33">
        <f t="shared" si="407"/>
        <v>2.4461985140260455E-2</v>
      </c>
    </row>
    <row r="4349" spans="19:24" x14ac:dyDescent="0.25">
      <c r="S4349" s="44">
        <f t="shared" si="409"/>
        <v>47399</v>
      </c>
      <c r="T4349" s="12">
        <f t="shared" si="404"/>
        <v>1.5837847937109075</v>
      </c>
      <c r="U4349" s="12">
        <f t="shared" si="408"/>
        <v>1.5590678840712791</v>
      </c>
      <c r="V4349" s="30">
        <f t="shared" si="405"/>
        <v>0.3849786301369863</v>
      </c>
      <c r="W4349" s="46">
        <f t="shared" si="406"/>
        <v>-1.5837847937109073E-2</v>
      </c>
      <c r="X4349" s="33">
        <f t="shared" si="407"/>
        <v>2.4461943627987506E-2</v>
      </c>
    </row>
    <row r="4350" spans="19:24" x14ac:dyDescent="0.25">
      <c r="S4350" s="44">
        <f t="shared" si="409"/>
        <v>47400</v>
      </c>
      <c r="T4350" s="12">
        <f t="shared" si="404"/>
        <v>1.5811077114093668</v>
      </c>
      <c r="U4350" s="12">
        <f t="shared" si="408"/>
        <v>1.5564167073464898</v>
      </c>
      <c r="V4350" s="30">
        <f t="shared" si="405"/>
        <v>0.38495123287671235</v>
      </c>
      <c r="W4350" s="46">
        <f t="shared" si="406"/>
        <v>-1.5811077114093665E-2</v>
      </c>
      <c r="X4350" s="33">
        <f t="shared" si="407"/>
        <v>2.4461902115714564E-2</v>
      </c>
    </row>
    <row r="4351" spans="19:24" x14ac:dyDescent="0.25">
      <c r="S4351" s="44">
        <f t="shared" si="409"/>
        <v>47401</v>
      </c>
      <c r="T4351" s="12">
        <f t="shared" si="404"/>
        <v>1.5784306291078256</v>
      </c>
      <c r="U4351" s="12">
        <f t="shared" si="408"/>
        <v>1.5537655306217004</v>
      </c>
      <c r="V4351" s="30">
        <f t="shared" si="405"/>
        <v>0.38492383561643839</v>
      </c>
      <c r="W4351" s="46">
        <f t="shared" si="406"/>
        <v>-1.5784306291078253E-2</v>
      </c>
      <c r="X4351" s="33">
        <f t="shared" si="407"/>
        <v>2.4461860603441622E-2</v>
      </c>
    </row>
    <row r="4352" spans="19:24" x14ac:dyDescent="0.25">
      <c r="S4352" s="44">
        <f t="shared" si="409"/>
        <v>47402</v>
      </c>
      <c r="T4352" s="12">
        <f t="shared" si="404"/>
        <v>1.5757535468062842</v>
      </c>
      <c r="U4352" s="12">
        <f t="shared" si="408"/>
        <v>1.5511143538969112</v>
      </c>
      <c r="V4352" s="30">
        <f t="shared" si="405"/>
        <v>0.38489643835616438</v>
      </c>
      <c r="W4352" s="46">
        <f t="shared" si="406"/>
        <v>-1.5757535468062838E-2</v>
      </c>
      <c r="X4352" s="33">
        <f t="shared" si="407"/>
        <v>2.4461819091168676E-2</v>
      </c>
    </row>
    <row r="4353" spans="19:24" x14ac:dyDescent="0.25">
      <c r="S4353" s="44">
        <f t="shared" si="409"/>
        <v>47403</v>
      </c>
      <c r="T4353" s="12">
        <f t="shared" si="404"/>
        <v>1.573076464504743</v>
      </c>
      <c r="U4353" s="12">
        <f t="shared" si="408"/>
        <v>1.548463177172122</v>
      </c>
      <c r="V4353" s="30">
        <f t="shared" si="405"/>
        <v>0.38486904109589037</v>
      </c>
      <c r="W4353" s="46">
        <f t="shared" si="406"/>
        <v>-1.5730764645047426E-2</v>
      </c>
      <c r="X4353" s="33">
        <f t="shared" si="407"/>
        <v>2.4461777578895727E-2</v>
      </c>
    </row>
    <row r="4354" spans="19:24" x14ac:dyDescent="0.25">
      <c r="S4354" s="44">
        <f t="shared" si="409"/>
        <v>47404</v>
      </c>
      <c r="T4354" s="12">
        <f t="shared" si="404"/>
        <v>1.5703993822032021</v>
      </c>
      <c r="U4354" s="12">
        <f t="shared" si="408"/>
        <v>1.5458120004473326</v>
      </c>
      <c r="V4354" s="30">
        <f t="shared" si="405"/>
        <v>0.38484164383561648</v>
      </c>
      <c r="W4354" s="46">
        <f t="shared" si="406"/>
        <v>-1.5703993822032018E-2</v>
      </c>
      <c r="X4354" s="33">
        <f t="shared" si="407"/>
        <v>2.4461736066622792E-2</v>
      </c>
    </row>
    <row r="4355" spans="19:24" x14ac:dyDescent="0.25">
      <c r="S4355" s="44">
        <f t="shared" si="409"/>
        <v>47405</v>
      </c>
      <c r="T4355" s="12">
        <f t="shared" si="404"/>
        <v>1.5677222999016607</v>
      </c>
      <c r="U4355" s="12">
        <f t="shared" si="408"/>
        <v>1.5431608237225432</v>
      </c>
      <c r="V4355" s="30">
        <f t="shared" si="405"/>
        <v>0.38481424657534247</v>
      </c>
      <c r="W4355" s="46">
        <f t="shared" si="406"/>
        <v>-1.5677222999016603E-2</v>
      </c>
      <c r="X4355" s="33">
        <f t="shared" si="407"/>
        <v>2.4461694554349843E-2</v>
      </c>
    </row>
    <row r="4356" spans="19:24" x14ac:dyDescent="0.25">
      <c r="S4356" s="44">
        <f t="shared" si="409"/>
        <v>47406</v>
      </c>
      <c r="T4356" s="12">
        <f t="shared" si="404"/>
        <v>1.5650452176001193</v>
      </c>
      <c r="U4356" s="12">
        <f t="shared" si="408"/>
        <v>1.5405096469977542</v>
      </c>
      <c r="V4356" s="30">
        <f t="shared" si="405"/>
        <v>0.38478684931506846</v>
      </c>
      <c r="W4356" s="46">
        <f t="shared" si="406"/>
        <v>-1.5650452176001192E-2</v>
      </c>
      <c r="X4356" s="33">
        <f t="shared" si="407"/>
        <v>2.4461653042076897E-2</v>
      </c>
    </row>
    <row r="4357" spans="19:24" x14ac:dyDescent="0.25">
      <c r="S4357" s="44">
        <f t="shared" si="409"/>
        <v>47407</v>
      </c>
      <c r="T4357" s="12">
        <f t="shared" ref="T4357:T4420" si="410">DurMod(S4357,B$2,$F$7:$G$37,$T$3)</f>
        <v>1.5623681352985781</v>
      </c>
      <c r="U4357" s="12">
        <f t="shared" si="408"/>
        <v>1.5378584702729645</v>
      </c>
      <c r="V4357" s="30">
        <f t="shared" ref="V4357:V4420" si="411">+$U$3*($S$5512-S4357)/365+$T$3*(S4357-$S$4)/365</f>
        <v>0.38475945205479456</v>
      </c>
      <c r="W4357" s="46">
        <f t="shared" ref="W4357:W4420" si="412">+-T4357*($U$3-$T$3)</f>
        <v>-1.5623681352985778E-2</v>
      </c>
      <c r="X4357" s="33">
        <f t="shared" ref="X4357:X4420" si="413">+(V4357+W4357)*365/($S$5512-$S$4)</f>
        <v>2.4461611529803962E-2</v>
      </c>
    </row>
    <row r="4358" spans="19:24" x14ac:dyDescent="0.25">
      <c r="S4358" s="44">
        <f t="shared" si="409"/>
        <v>47408</v>
      </c>
      <c r="T4358" s="12">
        <f t="shared" si="410"/>
        <v>1.5596910529970371</v>
      </c>
      <c r="U4358" s="12">
        <f t="shared" ref="U4358:U4421" si="414">DurMod($S4358,$B$2,$F$7:$G$37,U$3)</f>
        <v>1.5352072935481753</v>
      </c>
      <c r="V4358" s="30">
        <f t="shared" si="411"/>
        <v>0.38473205479452055</v>
      </c>
      <c r="W4358" s="46">
        <f t="shared" si="412"/>
        <v>-1.5596910529970368E-2</v>
      </c>
      <c r="X4358" s="33">
        <f t="shared" si="413"/>
        <v>2.4461570017531013E-2</v>
      </c>
    </row>
    <row r="4359" spans="19:24" x14ac:dyDescent="0.25">
      <c r="S4359" s="44">
        <f t="shared" si="409"/>
        <v>47409</v>
      </c>
      <c r="T4359" s="12">
        <f t="shared" si="410"/>
        <v>1.557013970695496</v>
      </c>
      <c r="U4359" s="12">
        <f t="shared" si="414"/>
        <v>1.5325561168233857</v>
      </c>
      <c r="V4359" s="30">
        <f t="shared" si="411"/>
        <v>0.38470465753424654</v>
      </c>
      <c r="W4359" s="46">
        <f t="shared" si="412"/>
        <v>-1.5570139706954957E-2</v>
      </c>
      <c r="X4359" s="33">
        <f t="shared" si="413"/>
        <v>2.4461528505258068E-2</v>
      </c>
    </row>
    <row r="4360" spans="19:24" x14ac:dyDescent="0.25">
      <c r="S4360" s="44">
        <f t="shared" si="409"/>
        <v>47410</v>
      </c>
      <c r="T4360" s="12">
        <f t="shared" si="410"/>
        <v>1.5543368883939541</v>
      </c>
      <c r="U4360" s="12">
        <f t="shared" si="414"/>
        <v>1.5299049400985967</v>
      </c>
      <c r="V4360" s="30">
        <f t="shared" si="411"/>
        <v>0.38467726027397259</v>
      </c>
      <c r="W4360" s="46">
        <f t="shared" si="412"/>
        <v>-1.5543368883939538E-2</v>
      </c>
      <c r="X4360" s="33">
        <f t="shared" si="413"/>
        <v>2.4461486992985126E-2</v>
      </c>
    </row>
    <row r="4361" spans="19:24" x14ac:dyDescent="0.25">
      <c r="S4361" s="44">
        <f t="shared" si="409"/>
        <v>47411</v>
      </c>
      <c r="T4361" s="12">
        <f t="shared" si="410"/>
        <v>1.5516598060924134</v>
      </c>
      <c r="U4361" s="12">
        <f t="shared" si="414"/>
        <v>1.5272537633738077</v>
      </c>
      <c r="V4361" s="30">
        <f t="shared" si="411"/>
        <v>0.38464986301369858</v>
      </c>
      <c r="W4361" s="46">
        <f t="shared" si="412"/>
        <v>-1.5516598060924132E-2</v>
      </c>
      <c r="X4361" s="33">
        <f t="shared" si="413"/>
        <v>2.4461445480712177E-2</v>
      </c>
    </row>
    <row r="4362" spans="19:24" x14ac:dyDescent="0.25">
      <c r="S4362" s="44">
        <f t="shared" si="409"/>
        <v>47412</v>
      </c>
      <c r="T4362" s="12">
        <f t="shared" si="410"/>
        <v>1.5489827237908722</v>
      </c>
      <c r="U4362" s="12">
        <f t="shared" si="414"/>
        <v>1.5246025866490183</v>
      </c>
      <c r="V4362" s="30">
        <f t="shared" si="411"/>
        <v>0.38462246575342462</v>
      </c>
      <c r="W4362" s="46">
        <f t="shared" si="412"/>
        <v>-1.548982723790872E-2</v>
      </c>
      <c r="X4362" s="33">
        <f t="shared" si="413"/>
        <v>2.4461403968439235E-2</v>
      </c>
    </row>
    <row r="4363" spans="19:24" x14ac:dyDescent="0.25">
      <c r="S4363" s="44">
        <f t="shared" si="409"/>
        <v>47413</v>
      </c>
      <c r="T4363" s="12">
        <f t="shared" si="410"/>
        <v>1.546305641489331</v>
      </c>
      <c r="U4363" s="12">
        <f t="shared" si="414"/>
        <v>1.5219514099242291</v>
      </c>
      <c r="V4363" s="30">
        <f t="shared" si="411"/>
        <v>0.38459506849315073</v>
      </c>
      <c r="W4363" s="46">
        <f t="shared" si="412"/>
        <v>-1.5463056414893308E-2</v>
      </c>
      <c r="X4363" s="33">
        <f t="shared" si="413"/>
        <v>2.4461362456166293E-2</v>
      </c>
    </row>
    <row r="4364" spans="19:24" x14ac:dyDescent="0.25">
      <c r="S4364" s="44">
        <f t="shared" si="409"/>
        <v>47414</v>
      </c>
      <c r="T4364" s="12">
        <f t="shared" si="410"/>
        <v>1.5436285591877899</v>
      </c>
      <c r="U4364" s="12">
        <f t="shared" si="414"/>
        <v>1.5193002331994396</v>
      </c>
      <c r="V4364" s="30">
        <f t="shared" si="411"/>
        <v>0.38456767123287672</v>
      </c>
      <c r="W4364" s="46">
        <f t="shared" si="412"/>
        <v>-1.5436285591877897E-2</v>
      </c>
      <c r="X4364" s="33">
        <f t="shared" si="413"/>
        <v>2.4461320943893351E-2</v>
      </c>
    </row>
    <row r="4365" spans="19:24" x14ac:dyDescent="0.25">
      <c r="S4365" s="44">
        <f t="shared" si="409"/>
        <v>47415</v>
      </c>
      <c r="T4365" s="12">
        <f t="shared" si="410"/>
        <v>1.5409514768862485</v>
      </c>
      <c r="U4365" s="12">
        <f t="shared" si="414"/>
        <v>1.5166490564746504</v>
      </c>
      <c r="V4365" s="30">
        <f t="shared" si="411"/>
        <v>0.38454027397260271</v>
      </c>
      <c r="W4365" s="46">
        <f t="shared" si="412"/>
        <v>-1.5409514768862482E-2</v>
      </c>
      <c r="X4365" s="33">
        <f t="shared" si="413"/>
        <v>2.4461279431620405E-2</v>
      </c>
    </row>
    <row r="4366" spans="19:24" x14ac:dyDescent="0.25">
      <c r="S4366" s="44">
        <f t="shared" si="409"/>
        <v>47416</v>
      </c>
      <c r="T4366" s="12">
        <f t="shared" si="410"/>
        <v>1.5382743945847068</v>
      </c>
      <c r="U4366" s="12">
        <f t="shared" si="414"/>
        <v>1.513997879749861</v>
      </c>
      <c r="V4366" s="30">
        <f t="shared" si="411"/>
        <v>0.38451287671232881</v>
      </c>
      <c r="W4366" s="46">
        <f t="shared" si="412"/>
        <v>-1.5382743945847066E-2</v>
      </c>
      <c r="X4366" s="33">
        <f t="shared" si="413"/>
        <v>2.4461237919347466E-2</v>
      </c>
    </row>
    <row r="4367" spans="19:24" x14ac:dyDescent="0.25">
      <c r="S4367" s="44">
        <f t="shared" si="409"/>
        <v>47417</v>
      </c>
      <c r="T4367" s="12">
        <f t="shared" si="410"/>
        <v>1.5355973122831661</v>
      </c>
      <c r="U4367" s="12">
        <f t="shared" si="414"/>
        <v>1.511346703025072</v>
      </c>
      <c r="V4367" s="30">
        <f t="shared" si="411"/>
        <v>0.3844854794520548</v>
      </c>
      <c r="W4367" s="46">
        <f t="shared" si="412"/>
        <v>-1.5355973122831658E-2</v>
      </c>
      <c r="X4367" s="33">
        <f t="shared" si="413"/>
        <v>2.4461196407074521E-2</v>
      </c>
    </row>
    <row r="4368" spans="19:24" x14ac:dyDescent="0.25">
      <c r="S4368" s="44">
        <f t="shared" si="409"/>
        <v>47418</v>
      </c>
      <c r="T4368" s="12">
        <f t="shared" si="410"/>
        <v>1.5329202299816251</v>
      </c>
      <c r="U4368" s="12">
        <f t="shared" si="414"/>
        <v>1.5086955263002824</v>
      </c>
      <c r="V4368" s="30">
        <f t="shared" si="411"/>
        <v>0.38445808219178079</v>
      </c>
      <c r="W4368" s="46">
        <f t="shared" si="412"/>
        <v>-1.5329202299816248E-2</v>
      </c>
      <c r="X4368" s="33">
        <f t="shared" si="413"/>
        <v>2.4461154894801572E-2</v>
      </c>
    </row>
    <row r="4369" spans="19:24" x14ac:dyDescent="0.25">
      <c r="S4369" s="44">
        <f t="shared" si="409"/>
        <v>47419</v>
      </c>
      <c r="T4369" s="12">
        <f t="shared" si="410"/>
        <v>1.530243147680084</v>
      </c>
      <c r="U4369" s="12">
        <f t="shared" si="414"/>
        <v>1.5060443495754929</v>
      </c>
      <c r="V4369" s="30">
        <f t="shared" si="411"/>
        <v>0.38443068493150689</v>
      </c>
      <c r="W4369" s="46">
        <f t="shared" si="412"/>
        <v>-1.5302431476800837E-2</v>
      </c>
      <c r="X4369" s="33">
        <f t="shared" si="413"/>
        <v>2.4461113382528637E-2</v>
      </c>
    </row>
    <row r="4370" spans="19:24" x14ac:dyDescent="0.25">
      <c r="S4370" s="44">
        <f t="shared" si="409"/>
        <v>47420</v>
      </c>
      <c r="T4370" s="12">
        <f t="shared" si="410"/>
        <v>1.5275660653785423</v>
      </c>
      <c r="U4370" s="12">
        <f t="shared" si="414"/>
        <v>1.5033931728507037</v>
      </c>
      <c r="V4370" s="30">
        <f t="shared" si="411"/>
        <v>0.38440328767123289</v>
      </c>
      <c r="W4370" s="46">
        <f t="shared" si="412"/>
        <v>-1.5275660653785422E-2</v>
      </c>
      <c r="X4370" s="33">
        <f t="shared" si="413"/>
        <v>2.4461071870255684E-2</v>
      </c>
    </row>
    <row r="4371" spans="19:24" x14ac:dyDescent="0.25">
      <c r="S4371" s="44">
        <f t="shared" si="409"/>
        <v>47421</v>
      </c>
      <c r="T4371" s="12">
        <f t="shared" si="410"/>
        <v>1.5248889830770016</v>
      </c>
      <c r="U4371" s="12">
        <f t="shared" si="414"/>
        <v>1.5007419961259145</v>
      </c>
      <c r="V4371" s="30">
        <f t="shared" si="411"/>
        <v>0.38437589041095893</v>
      </c>
      <c r="W4371" s="46">
        <f t="shared" si="412"/>
        <v>-1.5248889830770013E-2</v>
      </c>
      <c r="X4371" s="33">
        <f t="shared" si="413"/>
        <v>2.4461030357982746E-2</v>
      </c>
    </row>
    <row r="4372" spans="19:24" x14ac:dyDescent="0.25">
      <c r="S4372" s="44">
        <f t="shared" si="409"/>
        <v>47422</v>
      </c>
      <c r="T4372" s="12">
        <f t="shared" si="410"/>
        <v>1.5222119007754604</v>
      </c>
      <c r="U4372" s="12">
        <f t="shared" si="414"/>
        <v>1.4980908194011255</v>
      </c>
      <c r="V4372" s="30">
        <f t="shared" si="411"/>
        <v>0.38434849315068492</v>
      </c>
      <c r="W4372" s="46">
        <f t="shared" si="412"/>
        <v>-1.5222119007754602E-2</v>
      </c>
      <c r="X4372" s="33">
        <f t="shared" si="413"/>
        <v>2.44609888457098E-2</v>
      </c>
    </row>
    <row r="4373" spans="19:24" x14ac:dyDescent="0.25">
      <c r="S4373" s="44">
        <f t="shared" si="409"/>
        <v>47423</v>
      </c>
      <c r="T4373" s="12">
        <f t="shared" si="410"/>
        <v>1.5195348184739188</v>
      </c>
      <c r="U4373" s="12">
        <f t="shared" si="414"/>
        <v>1.4954396426763359</v>
      </c>
      <c r="V4373" s="30">
        <f t="shared" si="411"/>
        <v>0.38432109589041097</v>
      </c>
      <c r="W4373" s="46">
        <f t="shared" si="412"/>
        <v>-1.5195348184739185E-2</v>
      </c>
      <c r="X4373" s="33">
        <f t="shared" si="413"/>
        <v>2.4460947333436858E-2</v>
      </c>
    </row>
    <row r="4374" spans="19:24" x14ac:dyDescent="0.25">
      <c r="S4374" s="44">
        <f t="shared" si="409"/>
        <v>47424</v>
      </c>
      <c r="T4374" s="12">
        <f t="shared" si="410"/>
        <v>1.5168577361723778</v>
      </c>
      <c r="U4374" s="12">
        <f t="shared" si="414"/>
        <v>1.4927884659515467</v>
      </c>
      <c r="V4374" s="30">
        <f t="shared" si="411"/>
        <v>0.38429369863013696</v>
      </c>
      <c r="W4374" s="46">
        <f t="shared" si="412"/>
        <v>-1.5168577361723777E-2</v>
      </c>
      <c r="X4374" s="33">
        <f t="shared" si="413"/>
        <v>2.4460905821163909E-2</v>
      </c>
    </row>
    <row r="4375" spans="19:24" x14ac:dyDescent="0.25">
      <c r="S4375" s="44">
        <f t="shared" si="409"/>
        <v>47425</v>
      </c>
      <c r="T4375" s="12">
        <f t="shared" si="410"/>
        <v>1.5141806538708369</v>
      </c>
      <c r="U4375" s="12">
        <f t="shared" si="414"/>
        <v>1.490137289226757</v>
      </c>
      <c r="V4375" s="30">
        <f t="shared" si="411"/>
        <v>0.38426630136986306</v>
      </c>
      <c r="W4375" s="46">
        <f t="shared" si="412"/>
        <v>-1.5141806538708367E-2</v>
      </c>
      <c r="X4375" s="33">
        <f t="shared" si="413"/>
        <v>2.4460864308890967E-2</v>
      </c>
    </row>
    <row r="4376" spans="19:24" x14ac:dyDescent="0.25">
      <c r="S4376" s="44">
        <f t="shared" si="409"/>
        <v>47426</v>
      </c>
      <c r="T4376" s="12">
        <f t="shared" si="410"/>
        <v>1.5115035715692955</v>
      </c>
      <c r="U4376" s="12">
        <f t="shared" si="414"/>
        <v>1.4874861125019683</v>
      </c>
      <c r="V4376" s="30">
        <f t="shared" si="411"/>
        <v>0.38423890410958905</v>
      </c>
      <c r="W4376" s="46">
        <f t="shared" si="412"/>
        <v>-1.5115035715692953E-2</v>
      </c>
      <c r="X4376" s="33">
        <f t="shared" si="413"/>
        <v>2.4460822796618029E-2</v>
      </c>
    </row>
    <row r="4377" spans="19:24" x14ac:dyDescent="0.25">
      <c r="S4377" s="44">
        <f t="shared" si="409"/>
        <v>47427</v>
      </c>
      <c r="T4377" s="12">
        <f t="shared" si="410"/>
        <v>1.5088264892677543</v>
      </c>
      <c r="U4377" s="12">
        <f t="shared" si="414"/>
        <v>1.4848349357771786</v>
      </c>
      <c r="V4377" s="30">
        <f t="shared" si="411"/>
        <v>0.3842115068493151</v>
      </c>
      <c r="W4377" s="46">
        <f t="shared" si="412"/>
        <v>-1.508826489267754E-2</v>
      </c>
      <c r="X4377" s="33">
        <f t="shared" si="413"/>
        <v>2.446078128434508E-2</v>
      </c>
    </row>
    <row r="4378" spans="19:24" x14ac:dyDescent="0.25">
      <c r="S4378" s="44">
        <f t="shared" si="409"/>
        <v>47428</v>
      </c>
      <c r="T4378" s="12">
        <f t="shared" si="410"/>
        <v>1.5061494069662129</v>
      </c>
      <c r="U4378" s="12">
        <f t="shared" si="414"/>
        <v>1.4821837590523894</v>
      </c>
      <c r="V4378" s="30">
        <f t="shared" si="411"/>
        <v>0.38418410958904115</v>
      </c>
      <c r="W4378" s="46">
        <f t="shared" si="412"/>
        <v>-1.5061494069662127E-2</v>
      </c>
      <c r="X4378" s="33">
        <f t="shared" si="413"/>
        <v>2.4460739772072138E-2</v>
      </c>
    </row>
    <row r="4379" spans="19:24" x14ac:dyDescent="0.25">
      <c r="S4379" s="44">
        <f t="shared" si="409"/>
        <v>47429</v>
      </c>
      <c r="T4379" s="12">
        <f t="shared" si="410"/>
        <v>1.5034723246646722</v>
      </c>
      <c r="U4379" s="12">
        <f t="shared" si="414"/>
        <v>1.4795325823276004</v>
      </c>
      <c r="V4379" s="30">
        <f t="shared" si="411"/>
        <v>0.38415671232876714</v>
      </c>
      <c r="W4379" s="46">
        <f t="shared" si="412"/>
        <v>-1.503472324664672E-2</v>
      </c>
      <c r="X4379" s="33">
        <f t="shared" si="413"/>
        <v>2.4460698259799192E-2</v>
      </c>
    </row>
    <row r="4380" spans="19:24" x14ac:dyDescent="0.25">
      <c r="S4380" s="44">
        <f t="shared" si="409"/>
        <v>47430</v>
      </c>
      <c r="T4380" s="12">
        <f t="shared" si="410"/>
        <v>1.500795242363131</v>
      </c>
      <c r="U4380" s="12">
        <f t="shared" si="414"/>
        <v>1.4768814056028106</v>
      </c>
      <c r="V4380" s="30">
        <f t="shared" si="411"/>
        <v>0.38412931506849318</v>
      </c>
      <c r="W4380" s="46">
        <f t="shared" si="412"/>
        <v>-1.5007952423631307E-2</v>
      </c>
      <c r="X4380" s="33">
        <f t="shared" si="413"/>
        <v>2.446065674752625E-2</v>
      </c>
    </row>
    <row r="4381" spans="19:24" x14ac:dyDescent="0.25">
      <c r="S4381" s="44">
        <f t="shared" si="409"/>
        <v>47431</v>
      </c>
      <c r="T4381" s="12">
        <f t="shared" si="410"/>
        <v>1.4981181600615894</v>
      </c>
      <c r="U4381" s="12">
        <f t="shared" si="414"/>
        <v>1.4742302288780216</v>
      </c>
      <c r="V4381" s="30">
        <f t="shared" si="411"/>
        <v>0.38410191780821917</v>
      </c>
      <c r="W4381" s="46">
        <f t="shared" si="412"/>
        <v>-1.4981181600615892E-2</v>
      </c>
      <c r="X4381" s="33">
        <f t="shared" si="413"/>
        <v>2.4460615235253301E-2</v>
      </c>
    </row>
    <row r="4382" spans="19:24" x14ac:dyDescent="0.25">
      <c r="S4382" s="44">
        <f t="shared" si="409"/>
        <v>47432</v>
      </c>
      <c r="T4382" s="12">
        <f t="shared" si="410"/>
        <v>1.495441077760048</v>
      </c>
      <c r="U4382" s="12">
        <f t="shared" si="414"/>
        <v>1.4715790521532319</v>
      </c>
      <c r="V4382" s="30">
        <f t="shared" si="411"/>
        <v>0.38407452054794516</v>
      </c>
      <c r="W4382" s="46">
        <f t="shared" si="412"/>
        <v>-1.4954410777600477E-2</v>
      </c>
      <c r="X4382" s="33">
        <f t="shared" si="413"/>
        <v>2.4460573722980359E-2</v>
      </c>
    </row>
    <row r="4383" spans="19:24" x14ac:dyDescent="0.25">
      <c r="S4383" s="44">
        <f t="shared" si="409"/>
        <v>47433</v>
      </c>
      <c r="T4383" s="12">
        <f t="shared" si="410"/>
        <v>1.492763995458507</v>
      </c>
      <c r="U4383" s="12">
        <f t="shared" si="414"/>
        <v>1.4689278754284429</v>
      </c>
      <c r="V4383" s="30">
        <f t="shared" si="411"/>
        <v>0.38404712328767121</v>
      </c>
      <c r="W4383" s="46">
        <f t="shared" si="412"/>
        <v>-1.4927639954585068E-2</v>
      </c>
      <c r="X4383" s="33">
        <f t="shared" si="413"/>
        <v>2.4460532210707413E-2</v>
      </c>
    </row>
    <row r="4384" spans="19:24" x14ac:dyDescent="0.25">
      <c r="S4384" s="44">
        <f t="shared" si="409"/>
        <v>47434</v>
      </c>
      <c r="T4384" s="12">
        <f t="shared" si="410"/>
        <v>1.4900869131569658</v>
      </c>
      <c r="U4384" s="12">
        <f t="shared" si="414"/>
        <v>1.4662766987036537</v>
      </c>
      <c r="V4384" s="30">
        <f t="shared" si="411"/>
        <v>0.38401972602739726</v>
      </c>
      <c r="W4384" s="46">
        <f t="shared" si="412"/>
        <v>-1.4900869131569657E-2</v>
      </c>
      <c r="X4384" s="33">
        <f t="shared" si="413"/>
        <v>2.4460490698434471E-2</v>
      </c>
    </row>
    <row r="4385" spans="19:24" x14ac:dyDescent="0.25">
      <c r="S4385" s="44">
        <f t="shared" si="409"/>
        <v>47435</v>
      </c>
      <c r="T4385" s="12">
        <f t="shared" si="410"/>
        <v>1.4874098308554247</v>
      </c>
      <c r="U4385" s="12">
        <f t="shared" si="414"/>
        <v>1.463625521978865</v>
      </c>
      <c r="V4385" s="30">
        <f t="shared" si="411"/>
        <v>0.3839923287671233</v>
      </c>
      <c r="W4385" s="46">
        <f t="shared" si="412"/>
        <v>-1.4874098308554245E-2</v>
      </c>
      <c r="X4385" s="33">
        <f t="shared" si="413"/>
        <v>2.4460449186161529E-2</v>
      </c>
    </row>
    <row r="4386" spans="19:24" x14ac:dyDescent="0.25">
      <c r="S4386" s="44">
        <f t="shared" si="409"/>
        <v>47436</v>
      </c>
      <c r="T4386" s="12">
        <f t="shared" si="410"/>
        <v>1.4847327485538837</v>
      </c>
      <c r="U4386" s="12">
        <f t="shared" si="414"/>
        <v>1.4609743452540755</v>
      </c>
      <c r="V4386" s="30">
        <f t="shared" si="411"/>
        <v>0.38396493150684929</v>
      </c>
      <c r="W4386" s="46">
        <f t="shared" si="412"/>
        <v>-1.4847327485538835E-2</v>
      </c>
      <c r="X4386" s="33">
        <f t="shared" si="413"/>
        <v>2.446040767388858E-2</v>
      </c>
    </row>
    <row r="4387" spans="19:24" x14ac:dyDescent="0.25">
      <c r="S4387" s="44">
        <f t="shared" si="409"/>
        <v>47437</v>
      </c>
      <c r="T4387" s="12">
        <f t="shared" si="410"/>
        <v>1.4820556662523423</v>
      </c>
      <c r="U4387" s="12">
        <f t="shared" si="414"/>
        <v>1.4583231685292857</v>
      </c>
      <c r="V4387" s="30">
        <f t="shared" si="411"/>
        <v>0.3839375342465754</v>
      </c>
      <c r="W4387" s="46">
        <f t="shared" si="412"/>
        <v>-1.482055666252342E-2</v>
      </c>
      <c r="X4387" s="33">
        <f t="shared" si="413"/>
        <v>2.4460366161615645E-2</v>
      </c>
    </row>
    <row r="4388" spans="19:24" x14ac:dyDescent="0.25">
      <c r="S4388" s="44">
        <f t="shared" si="409"/>
        <v>47438</v>
      </c>
      <c r="T4388" s="12">
        <f t="shared" si="410"/>
        <v>1.4793785839508011</v>
      </c>
      <c r="U4388" s="12">
        <f t="shared" si="414"/>
        <v>1.4556719918044965</v>
      </c>
      <c r="V4388" s="30">
        <f t="shared" si="411"/>
        <v>0.38391013698630139</v>
      </c>
      <c r="W4388" s="46">
        <f t="shared" si="412"/>
        <v>-1.4793785839508009E-2</v>
      </c>
      <c r="X4388" s="33">
        <f t="shared" si="413"/>
        <v>2.4460324649342696E-2</v>
      </c>
    </row>
    <row r="4389" spans="19:24" x14ac:dyDescent="0.25">
      <c r="S4389" s="44">
        <f t="shared" si="409"/>
        <v>47439</v>
      </c>
      <c r="T4389" s="12">
        <f t="shared" si="410"/>
        <v>1.47670150164926</v>
      </c>
      <c r="U4389" s="12">
        <f t="shared" si="414"/>
        <v>1.4530208150797068</v>
      </c>
      <c r="V4389" s="30">
        <f t="shared" si="411"/>
        <v>0.38388273972602743</v>
      </c>
      <c r="W4389" s="46">
        <f t="shared" si="412"/>
        <v>-1.4767015016492597E-2</v>
      </c>
      <c r="X4389" s="33">
        <f t="shared" si="413"/>
        <v>2.4460283137069754E-2</v>
      </c>
    </row>
    <row r="4390" spans="19:24" x14ac:dyDescent="0.25">
      <c r="S4390" s="44">
        <f t="shared" si="409"/>
        <v>47440</v>
      </c>
      <c r="T4390" s="12">
        <f t="shared" si="410"/>
        <v>1.4740244193477188</v>
      </c>
      <c r="U4390" s="12">
        <f t="shared" si="414"/>
        <v>1.4503696383549178</v>
      </c>
      <c r="V4390" s="30">
        <f t="shared" si="411"/>
        <v>0.38385534246575348</v>
      </c>
      <c r="W4390" s="46">
        <f t="shared" si="412"/>
        <v>-1.4740244193477185E-2</v>
      </c>
      <c r="X4390" s="33">
        <f t="shared" si="413"/>
        <v>2.4460241624796812E-2</v>
      </c>
    </row>
    <row r="4391" spans="19:24" x14ac:dyDescent="0.25">
      <c r="S4391" s="44">
        <f t="shared" si="409"/>
        <v>47441</v>
      </c>
      <c r="T4391" s="12">
        <f t="shared" si="410"/>
        <v>1.4713473370461774</v>
      </c>
      <c r="U4391" s="12">
        <f t="shared" si="414"/>
        <v>1.4477184616301284</v>
      </c>
      <c r="V4391" s="30">
        <f t="shared" si="411"/>
        <v>0.38382794520547947</v>
      </c>
      <c r="W4391" s="46">
        <f t="shared" si="412"/>
        <v>-1.4713473370461772E-2</v>
      </c>
      <c r="X4391" s="33">
        <f t="shared" si="413"/>
        <v>2.4460200112523867E-2</v>
      </c>
    </row>
    <row r="4392" spans="19:24" x14ac:dyDescent="0.25">
      <c r="S4392" s="44">
        <f t="shared" si="409"/>
        <v>47442</v>
      </c>
      <c r="T4392" s="12">
        <f t="shared" si="410"/>
        <v>1.468670254744636</v>
      </c>
      <c r="U4392" s="12">
        <f t="shared" si="414"/>
        <v>1.4450672849053392</v>
      </c>
      <c r="V4392" s="30">
        <f t="shared" si="411"/>
        <v>0.38380054794520552</v>
      </c>
      <c r="W4392" s="46">
        <f t="shared" si="412"/>
        <v>-1.4686702547446357E-2</v>
      </c>
      <c r="X4392" s="33">
        <f t="shared" si="413"/>
        <v>2.4460158600250925E-2</v>
      </c>
    </row>
    <row r="4393" spans="19:24" x14ac:dyDescent="0.25">
      <c r="S4393" s="44">
        <f t="shared" si="409"/>
        <v>47443</v>
      </c>
      <c r="T4393" s="12">
        <f t="shared" si="410"/>
        <v>1.465993172443095</v>
      </c>
      <c r="U4393" s="12">
        <f t="shared" si="414"/>
        <v>1.4424161081805498</v>
      </c>
      <c r="V4393" s="30">
        <f t="shared" si="411"/>
        <v>0.38377315068493151</v>
      </c>
      <c r="W4393" s="46">
        <f t="shared" si="412"/>
        <v>-1.4659931724430949E-2</v>
      </c>
      <c r="X4393" s="33">
        <f t="shared" si="413"/>
        <v>2.4460117087977976E-2</v>
      </c>
    </row>
    <row r="4394" spans="19:24" x14ac:dyDescent="0.25">
      <c r="S4394" s="44">
        <f t="shared" si="409"/>
        <v>47444</v>
      </c>
      <c r="T4394" s="12">
        <f t="shared" si="410"/>
        <v>1.4633160901415538</v>
      </c>
      <c r="U4394" s="12">
        <f t="shared" si="414"/>
        <v>1.4397649314557608</v>
      </c>
      <c r="V4394" s="30">
        <f t="shared" si="411"/>
        <v>0.3837457534246575</v>
      </c>
      <c r="W4394" s="46">
        <f t="shared" si="412"/>
        <v>-1.4633160901415537E-2</v>
      </c>
      <c r="X4394" s="33">
        <f t="shared" si="413"/>
        <v>2.446007557570503E-2</v>
      </c>
    </row>
    <row r="4395" spans="19:24" x14ac:dyDescent="0.25">
      <c r="S4395" s="44">
        <f t="shared" si="409"/>
        <v>47445</v>
      </c>
      <c r="T4395" s="12">
        <f t="shared" si="410"/>
        <v>1.4606390078400124</v>
      </c>
      <c r="U4395" s="12">
        <f t="shared" si="414"/>
        <v>1.4371137547309714</v>
      </c>
      <c r="V4395" s="30">
        <f t="shared" si="411"/>
        <v>0.38371835616438354</v>
      </c>
      <c r="W4395" s="46">
        <f t="shared" si="412"/>
        <v>-1.4606390078400122E-2</v>
      </c>
      <c r="X4395" s="33">
        <f t="shared" si="413"/>
        <v>2.4460034063432088E-2</v>
      </c>
    </row>
    <row r="4396" spans="19:24" x14ac:dyDescent="0.25">
      <c r="S4396" s="44">
        <f t="shared" si="409"/>
        <v>47446</v>
      </c>
      <c r="T4396" s="12">
        <f t="shared" si="410"/>
        <v>1.4579619255384717</v>
      </c>
      <c r="U4396" s="12">
        <f t="shared" si="414"/>
        <v>1.4344625780061822</v>
      </c>
      <c r="V4396" s="30">
        <f t="shared" si="411"/>
        <v>0.38369095890410959</v>
      </c>
      <c r="W4396" s="46">
        <f t="shared" si="412"/>
        <v>-1.4579619255384715E-2</v>
      </c>
      <c r="X4396" s="33">
        <f t="shared" si="413"/>
        <v>2.4459992551159146E-2</v>
      </c>
    </row>
    <row r="4397" spans="19:24" x14ac:dyDescent="0.25">
      <c r="S4397" s="44">
        <f t="shared" si="409"/>
        <v>47447</v>
      </c>
      <c r="T4397" s="12">
        <f t="shared" si="410"/>
        <v>1.4552848432369301</v>
      </c>
      <c r="U4397" s="12">
        <f t="shared" si="414"/>
        <v>1.4318114012813929</v>
      </c>
      <c r="V4397" s="30">
        <f t="shared" si="411"/>
        <v>0.38366356164383564</v>
      </c>
      <c r="W4397" s="46">
        <f t="shared" si="412"/>
        <v>-1.4552848432369299E-2</v>
      </c>
      <c r="X4397" s="33">
        <f t="shared" si="413"/>
        <v>2.4459951038886204E-2</v>
      </c>
    </row>
    <row r="4398" spans="19:24" x14ac:dyDescent="0.25">
      <c r="S4398" s="44">
        <f t="shared" si="409"/>
        <v>47448</v>
      </c>
      <c r="T4398" s="12">
        <f t="shared" si="410"/>
        <v>1.4526077609353891</v>
      </c>
      <c r="U4398" s="12">
        <f t="shared" si="414"/>
        <v>1.4291602245566037</v>
      </c>
      <c r="V4398" s="30">
        <f t="shared" si="411"/>
        <v>0.38363616438356163</v>
      </c>
      <c r="W4398" s="46">
        <f t="shared" si="412"/>
        <v>-1.4526077609353889E-2</v>
      </c>
      <c r="X4398" s="33">
        <f t="shared" si="413"/>
        <v>2.4459909526613258E-2</v>
      </c>
    </row>
    <row r="4399" spans="19:24" x14ac:dyDescent="0.25">
      <c r="S4399" s="44">
        <f t="shared" si="409"/>
        <v>47449</v>
      </c>
      <c r="T4399" s="12">
        <f t="shared" si="410"/>
        <v>1.4499306786338482</v>
      </c>
      <c r="U4399" s="12">
        <f t="shared" si="414"/>
        <v>1.4265090478318143</v>
      </c>
      <c r="V4399" s="30">
        <f t="shared" si="411"/>
        <v>0.38360876712328773</v>
      </c>
      <c r="W4399" s="46">
        <f t="shared" si="412"/>
        <v>-1.4499306786338479E-2</v>
      </c>
      <c r="X4399" s="33">
        <f t="shared" si="413"/>
        <v>2.445986801434032E-2</v>
      </c>
    </row>
    <row r="4400" spans="19:24" x14ac:dyDescent="0.25">
      <c r="S4400" s="44">
        <f t="shared" si="409"/>
        <v>47450</v>
      </c>
      <c r="T4400" s="12">
        <f t="shared" si="410"/>
        <v>1.4472535963323068</v>
      </c>
      <c r="U4400" s="12">
        <f t="shared" si="414"/>
        <v>1.4238578711070249</v>
      </c>
      <c r="V4400" s="30">
        <f t="shared" si="411"/>
        <v>0.38358136986301372</v>
      </c>
      <c r="W4400" s="46">
        <f t="shared" si="412"/>
        <v>-1.4472535963323065E-2</v>
      </c>
      <c r="X4400" s="33">
        <f t="shared" si="413"/>
        <v>2.4459826502067374E-2</v>
      </c>
    </row>
    <row r="4401" spans="19:24" x14ac:dyDescent="0.25">
      <c r="S4401" s="44">
        <f t="shared" si="409"/>
        <v>47451</v>
      </c>
      <c r="T4401" s="12">
        <f t="shared" si="410"/>
        <v>1.4445765140307656</v>
      </c>
      <c r="U4401" s="12">
        <f t="shared" si="414"/>
        <v>1.4212066943822357</v>
      </c>
      <c r="V4401" s="30">
        <f t="shared" si="411"/>
        <v>0.38355397260273977</v>
      </c>
      <c r="W4401" s="46">
        <f t="shared" si="412"/>
        <v>-1.4445765140307654E-2</v>
      </c>
      <c r="X4401" s="33">
        <f t="shared" si="413"/>
        <v>2.4459784989794432E-2</v>
      </c>
    </row>
    <row r="4402" spans="19:24" x14ac:dyDescent="0.25">
      <c r="S4402" s="44">
        <f t="shared" si="409"/>
        <v>47452</v>
      </c>
      <c r="T4402" s="12">
        <f t="shared" si="410"/>
        <v>1.4418994317292242</v>
      </c>
      <c r="U4402" s="12">
        <f t="shared" si="414"/>
        <v>1.4185555176574465</v>
      </c>
      <c r="V4402" s="30">
        <f t="shared" si="411"/>
        <v>0.38352657534246576</v>
      </c>
      <c r="W4402" s="46">
        <f t="shared" si="412"/>
        <v>-1.441899431729224E-2</v>
      </c>
      <c r="X4402" s="33">
        <f t="shared" si="413"/>
        <v>2.4459743477521483E-2</v>
      </c>
    </row>
    <row r="4403" spans="19:24" x14ac:dyDescent="0.25">
      <c r="S4403" s="44">
        <f t="shared" ref="S4403:S4466" si="415">+S4402+1</f>
        <v>47453</v>
      </c>
      <c r="T4403" s="12">
        <f t="shared" si="410"/>
        <v>1.439222349427683</v>
      </c>
      <c r="U4403" s="12">
        <f t="shared" si="414"/>
        <v>1.4159043409326573</v>
      </c>
      <c r="V4403" s="30">
        <f t="shared" si="411"/>
        <v>0.38349917808219175</v>
      </c>
      <c r="W4403" s="46">
        <f t="shared" si="412"/>
        <v>-1.4392223494276829E-2</v>
      </c>
      <c r="X4403" s="33">
        <f t="shared" si="413"/>
        <v>2.4459701965248538E-2</v>
      </c>
    </row>
    <row r="4404" spans="19:24" x14ac:dyDescent="0.25">
      <c r="S4404" s="44">
        <f t="shared" si="415"/>
        <v>47454</v>
      </c>
      <c r="T4404" s="12">
        <f t="shared" si="410"/>
        <v>1.4365452671261421</v>
      </c>
      <c r="U4404" s="12">
        <f t="shared" si="414"/>
        <v>1.4132531642078676</v>
      </c>
      <c r="V4404" s="30">
        <f t="shared" si="411"/>
        <v>0.3834717808219178</v>
      </c>
      <c r="W4404" s="46">
        <f t="shared" si="412"/>
        <v>-1.4365452671261419E-2</v>
      </c>
      <c r="X4404" s="33">
        <f t="shared" si="413"/>
        <v>2.4459660452975596E-2</v>
      </c>
    </row>
    <row r="4405" spans="19:24" x14ac:dyDescent="0.25">
      <c r="S4405" s="44">
        <f t="shared" si="415"/>
        <v>47455</v>
      </c>
      <c r="T4405" s="12">
        <f t="shared" si="410"/>
        <v>1.4338681848246009</v>
      </c>
      <c r="U4405" s="12">
        <f t="shared" si="414"/>
        <v>1.4106019874830784</v>
      </c>
      <c r="V4405" s="30">
        <f t="shared" si="411"/>
        <v>0.38344438356164384</v>
      </c>
      <c r="W4405" s="46">
        <f t="shared" si="412"/>
        <v>-1.4338681848246007E-2</v>
      </c>
      <c r="X4405" s="33">
        <f t="shared" si="413"/>
        <v>2.4459618940702654E-2</v>
      </c>
    </row>
    <row r="4406" spans="19:24" x14ac:dyDescent="0.25">
      <c r="S4406" s="44">
        <f t="shared" si="415"/>
        <v>47456</v>
      </c>
      <c r="T4406" s="12">
        <f t="shared" si="410"/>
        <v>1.4311911025230595</v>
      </c>
      <c r="U4406" s="12">
        <f t="shared" si="414"/>
        <v>1.4079508107582892</v>
      </c>
      <c r="V4406" s="30">
        <f t="shared" si="411"/>
        <v>0.38341698630136983</v>
      </c>
      <c r="W4406" s="46">
        <f t="shared" si="412"/>
        <v>-1.4311911025230592E-2</v>
      </c>
      <c r="X4406" s="33">
        <f t="shared" si="413"/>
        <v>2.4459577428429705E-2</v>
      </c>
    </row>
    <row r="4407" spans="19:24" x14ac:dyDescent="0.25">
      <c r="S4407" s="44">
        <f t="shared" si="415"/>
        <v>47457</v>
      </c>
      <c r="T4407" s="12">
        <f t="shared" si="410"/>
        <v>1.4285140202215183</v>
      </c>
      <c r="U4407" s="12">
        <f t="shared" si="414"/>
        <v>1.4052996340334998</v>
      </c>
      <c r="V4407" s="30">
        <f t="shared" si="411"/>
        <v>0.38338958904109588</v>
      </c>
      <c r="W4407" s="46">
        <f t="shared" si="412"/>
        <v>-1.428514020221518E-2</v>
      </c>
      <c r="X4407" s="33">
        <f t="shared" si="413"/>
        <v>2.4459535916156763E-2</v>
      </c>
    </row>
    <row r="4408" spans="19:24" x14ac:dyDescent="0.25">
      <c r="S4408" s="44">
        <f t="shared" si="415"/>
        <v>47458</v>
      </c>
      <c r="T4408" s="12">
        <f t="shared" si="410"/>
        <v>1.4258369379199771</v>
      </c>
      <c r="U4408" s="12">
        <f t="shared" si="414"/>
        <v>1.4026484573087106</v>
      </c>
      <c r="V4408" s="30">
        <f t="shared" si="411"/>
        <v>0.38336219178082187</v>
      </c>
      <c r="W4408" s="46">
        <f t="shared" si="412"/>
        <v>-1.4258369379199769E-2</v>
      </c>
      <c r="X4408" s="33">
        <f t="shared" si="413"/>
        <v>2.4459494403883817E-2</v>
      </c>
    </row>
    <row r="4409" spans="19:24" x14ac:dyDescent="0.25">
      <c r="S4409" s="44">
        <f t="shared" si="415"/>
        <v>47459</v>
      </c>
      <c r="T4409" s="12">
        <f t="shared" si="410"/>
        <v>1.4231598556184357</v>
      </c>
      <c r="U4409" s="12">
        <f t="shared" si="414"/>
        <v>1.3999972805839214</v>
      </c>
      <c r="V4409" s="30">
        <f t="shared" si="411"/>
        <v>0.38333479452054797</v>
      </c>
      <c r="W4409" s="46">
        <f t="shared" si="412"/>
        <v>-1.4231598556184355E-2</v>
      </c>
      <c r="X4409" s="33">
        <f t="shared" si="413"/>
        <v>2.4459452891610878E-2</v>
      </c>
    </row>
    <row r="4410" spans="19:24" x14ac:dyDescent="0.25">
      <c r="S4410" s="44">
        <f t="shared" si="415"/>
        <v>47460</v>
      </c>
      <c r="T4410" s="12">
        <f t="shared" si="410"/>
        <v>1.4204827733168948</v>
      </c>
      <c r="U4410" s="12">
        <f t="shared" si="414"/>
        <v>1.3973461038591322</v>
      </c>
      <c r="V4410" s="30">
        <f t="shared" si="411"/>
        <v>0.38330739726027396</v>
      </c>
      <c r="W4410" s="46">
        <f t="shared" si="412"/>
        <v>-1.4204827733168945E-2</v>
      </c>
      <c r="X4410" s="33">
        <f t="shared" si="413"/>
        <v>2.4459411379337933E-2</v>
      </c>
    </row>
    <row r="4411" spans="19:24" x14ac:dyDescent="0.25">
      <c r="S4411" s="44">
        <f t="shared" si="415"/>
        <v>47461</v>
      </c>
      <c r="T4411" s="12">
        <f t="shared" si="410"/>
        <v>1.4178056910153536</v>
      </c>
      <c r="U4411" s="12">
        <f t="shared" si="414"/>
        <v>1.3946949271343425</v>
      </c>
      <c r="V4411" s="30">
        <f t="shared" si="411"/>
        <v>0.38328000000000007</v>
      </c>
      <c r="W4411" s="46">
        <f t="shared" si="412"/>
        <v>-1.4178056910153534E-2</v>
      </c>
      <c r="X4411" s="33">
        <f t="shared" si="413"/>
        <v>2.4459369867064991E-2</v>
      </c>
    </row>
    <row r="4412" spans="19:24" x14ac:dyDescent="0.25">
      <c r="S4412" s="44">
        <f t="shared" si="415"/>
        <v>47462</v>
      </c>
      <c r="T4412" s="12">
        <f t="shared" si="410"/>
        <v>1.4151286087138124</v>
      </c>
      <c r="U4412" s="12">
        <f t="shared" si="414"/>
        <v>1.3920437504095533</v>
      </c>
      <c r="V4412" s="30">
        <f t="shared" si="411"/>
        <v>0.38325260273972606</v>
      </c>
      <c r="W4412" s="46">
        <f t="shared" si="412"/>
        <v>-1.4151286087138122E-2</v>
      </c>
      <c r="X4412" s="33">
        <f t="shared" si="413"/>
        <v>2.4459328354792049E-2</v>
      </c>
    </row>
    <row r="4413" spans="19:24" x14ac:dyDescent="0.25">
      <c r="S4413" s="44">
        <f t="shared" si="415"/>
        <v>47463</v>
      </c>
      <c r="T4413" s="12">
        <f t="shared" si="410"/>
        <v>1.412451526412271</v>
      </c>
      <c r="U4413" s="12">
        <f t="shared" si="414"/>
        <v>1.3893925736847639</v>
      </c>
      <c r="V4413" s="30">
        <f t="shared" si="411"/>
        <v>0.3832252054794521</v>
      </c>
      <c r="W4413" s="46">
        <f t="shared" si="412"/>
        <v>-1.4124515264122709E-2</v>
      </c>
      <c r="X4413" s="33">
        <f t="shared" si="413"/>
        <v>2.44592868425191E-2</v>
      </c>
    </row>
    <row r="4414" spans="19:24" x14ac:dyDescent="0.25">
      <c r="S4414" s="44">
        <f t="shared" si="415"/>
        <v>47464</v>
      </c>
      <c r="T4414" s="12">
        <f t="shared" si="410"/>
        <v>1.4097744441107301</v>
      </c>
      <c r="U4414" s="12">
        <f t="shared" si="414"/>
        <v>1.3867413969599747</v>
      </c>
      <c r="V4414" s="30">
        <f t="shared" si="411"/>
        <v>0.38319780821917809</v>
      </c>
      <c r="W4414" s="46">
        <f t="shared" si="412"/>
        <v>-1.4097744441107299E-2</v>
      </c>
      <c r="X4414" s="33">
        <f t="shared" si="413"/>
        <v>2.4459245330246158E-2</v>
      </c>
    </row>
    <row r="4415" spans="19:24" x14ac:dyDescent="0.25">
      <c r="S4415" s="44">
        <f t="shared" si="415"/>
        <v>47465</v>
      </c>
      <c r="T4415" s="12">
        <f t="shared" si="410"/>
        <v>1.4070973618091889</v>
      </c>
      <c r="U4415" s="12">
        <f t="shared" si="414"/>
        <v>1.3840902202351855</v>
      </c>
      <c r="V4415" s="30">
        <f t="shared" si="411"/>
        <v>0.38317041095890408</v>
      </c>
      <c r="W4415" s="46">
        <f t="shared" si="412"/>
        <v>-1.4070973618091887E-2</v>
      </c>
      <c r="X4415" s="33">
        <f t="shared" si="413"/>
        <v>2.4459203817973212E-2</v>
      </c>
    </row>
    <row r="4416" spans="19:24" x14ac:dyDescent="0.25">
      <c r="S4416" s="44">
        <f t="shared" si="415"/>
        <v>47466</v>
      </c>
      <c r="T4416" s="12">
        <f t="shared" si="410"/>
        <v>1.4044202795076479</v>
      </c>
      <c r="U4416" s="12">
        <f t="shared" si="414"/>
        <v>1.3814390435103965</v>
      </c>
      <c r="V4416" s="30">
        <f t="shared" si="411"/>
        <v>0.38314301369863013</v>
      </c>
      <c r="W4416" s="46">
        <f t="shared" si="412"/>
        <v>-1.4044202795076477E-2</v>
      </c>
      <c r="X4416" s="33">
        <f t="shared" si="413"/>
        <v>2.445916230570027E-2</v>
      </c>
    </row>
    <row r="4417" spans="19:24" x14ac:dyDescent="0.25">
      <c r="S4417" s="44">
        <f t="shared" si="415"/>
        <v>47467</v>
      </c>
      <c r="T4417" s="12">
        <f t="shared" si="410"/>
        <v>1.6630287229171277</v>
      </c>
      <c r="U4417" s="12">
        <f t="shared" si="414"/>
        <v>1.6400742380257296</v>
      </c>
      <c r="V4417" s="30">
        <f t="shared" si="411"/>
        <v>0.38311561643835618</v>
      </c>
      <c r="W4417" s="46">
        <f t="shared" si="412"/>
        <v>-1.6630287229171273E-2</v>
      </c>
      <c r="X4417" s="33">
        <f t="shared" si="413"/>
        <v>2.4285974067057459E-2</v>
      </c>
    </row>
    <row r="4418" spans="19:24" x14ac:dyDescent="0.25">
      <c r="S4418" s="44">
        <f t="shared" si="415"/>
        <v>47468</v>
      </c>
      <c r="T4418" s="12">
        <f t="shared" si="410"/>
        <v>1.660351640615586</v>
      </c>
      <c r="U4418" s="12">
        <f t="shared" si="414"/>
        <v>1.6374230613009406</v>
      </c>
      <c r="V4418" s="30">
        <f t="shared" si="411"/>
        <v>0.38308821917808217</v>
      </c>
      <c r="W4418" s="46">
        <f t="shared" si="412"/>
        <v>-1.6603516406155858E-2</v>
      </c>
      <c r="X4418" s="33">
        <f t="shared" si="413"/>
        <v>2.4285932554784513E-2</v>
      </c>
    </row>
    <row r="4419" spans="19:24" x14ac:dyDescent="0.25">
      <c r="S4419" s="44">
        <f t="shared" si="415"/>
        <v>47469</v>
      </c>
      <c r="T4419" s="12">
        <f t="shared" si="410"/>
        <v>1.6576745583140453</v>
      </c>
      <c r="U4419" s="12">
        <f t="shared" si="414"/>
        <v>1.6347718845761512</v>
      </c>
      <c r="V4419" s="30">
        <f t="shared" si="411"/>
        <v>0.38306082191780821</v>
      </c>
      <c r="W4419" s="46">
        <f t="shared" si="412"/>
        <v>-1.6576745583140449E-2</v>
      </c>
      <c r="X4419" s="33">
        <f t="shared" si="413"/>
        <v>2.4285891042511571E-2</v>
      </c>
    </row>
    <row r="4420" spans="19:24" x14ac:dyDescent="0.25">
      <c r="S4420" s="44">
        <f t="shared" si="415"/>
        <v>47470</v>
      </c>
      <c r="T4420" s="12">
        <f t="shared" si="410"/>
        <v>1.6549974760125039</v>
      </c>
      <c r="U4420" s="12">
        <f t="shared" si="414"/>
        <v>1.632120707851362</v>
      </c>
      <c r="V4420" s="30">
        <f t="shared" si="411"/>
        <v>0.3830334246575342</v>
      </c>
      <c r="W4420" s="46">
        <f t="shared" si="412"/>
        <v>-1.6549974760125038E-2</v>
      </c>
      <c r="X4420" s="33">
        <f t="shared" si="413"/>
        <v>2.4285849530238622E-2</v>
      </c>
    </row>
    <row r="4421" spans="19:24" x14ac:dyDescent="0.25">
      <c r="S4421" s="44">
        <f t="shared" si="415"/>
        <v>47471</v>
      </c>
      <c r="T4421" s="12">
        <f t="shared" ref="T4421:T4484" si="416">DurMod(S4421,B$2,$F$7:$G$37,$T$3)</f>
        <v>1.6523203937109632</v>
      </c>
      <c r="U4421" s="12">
        <f t="shared" si="414"/>
        <v>1.6294695311265723</v>
      </c>
      <c r="V4421" s="30">
        <f t="shared" ref="V4421:V4484" si="417">+$U$3*($S$5512-S4421)/365+$T$3*(S4421-$S$4)/365</f>
        <v>0.38300602739726031</v>
      </c>
      <c r="W4421" s="46">
        <f t="shared" ref="W4421:W4484" si="418">+-T4421*($U$3-$T$3)</f>
        <v>-1.652320393710963E-2</v>
      </c>
      <c r="X4421" s="33">
        <f t="shared" ref="X4421:X4484" si="419">+(V4421+W4421)*365/($S$5512-$S$4)</f>
        <v>2.4285808017965687E-2</v>
      </c>
    </row>
    <row r="4422" spans="19:24" x14ac:dyDescent="0.25">
      <c r="S4422" s="44">
        <f t="shared" si="415"/>
        <v>47472</v>
      </c>
      <c r="T4422" s="12">
        <f t="shared" si="416"/>
        <v>1.6496433114094216</v>
      </c>
      <c r="U4422" s="12">
        <f t="shared" ref="U4422:U4485" si="420">DurMod($S4422,$B$2,$F$7:$G$37,U$3)</f>
        <v>1.6268183544017834</v>
      </c>
      <c r="V4422" s="30">
        <f t="shared" si="417"/>
        <v>0.3829786301369863</v>
      </c>
      <c r="W4422" s="46">
        <f t="shared" si="418"/>
        <v>-1.6496433114094215E-2</v>
      </c>
      <c r="X4422" s="33">
        <f t="shared" si="419"/>
        <v>2.4285766505692738E-2</v>
      </c>
    </row>
    <row r="4423" spans="19:24" x14ac:dyDescent="0.25">
      <c r="S4423" s="44">
        <f t="shared" si="415"/>
        <v>47473</v>
      </c>
      <c r="T4423" s="12">
        <f t="shared" si="416"/>
        <v>1.6469662291078804</v>
      </c>
      <c r="U4423" s="12">
        <f t="shared" si="420"/>
        <v>1.6241671776769939</v>
      </c>
      <c r="V4423" s="30">
        <f t="shared" si="417"/>
        <v>0.38295123287671234</v>
      </c>
      <c r="W4423" s="46">
        <f t="shared" si="418"/>
        <v>-1.6469662291078803E-2</v>
      </c>
      <c r="X4423" s="33">
        <f t="shared" si="419"/>
        <v>2.4285724993419796E-2</v>
      </c>
    </row>
    <row r="4424" spans="19:24" x14ac:dyDescent="0.25">
      <c r="S4424" s="44">
        <f t="shared" si="415"/>
        <v>47474</v>
      </c>
      <c r="T4424" s="12">
        <f t="shared" si="416"/>
        <v>1.6442891468063392</v>
      </c>
      <c r="U4424" s="12">
        <f t="shared" si="420"/>
        <v>1.6215160009522045</v>
      </c>
      <c r="V4424" s="30">
        <f t="shared" si="417"/>
        <v>0.38292383561643834</v>
      </c>
      <c r="W4424" s="46">
        <f t="shared" si="418"/>
        <v>-1.6442891468063388E-2</v>
      </c>
      <c r="X4424" s="33">
        <f t="shared" si="419"/>
        <v>2.428568348114685E-2</v>
      </c>
    </row>
    <row r="4425" spans="19:24" x14ac:dyDescent="0.25">
      <c r="S4425" s="44">
        <f t="shared" si="415"/>
        <v>47475</v>
      </c>
      <c r="T4425" s="12">
        <f t="shared" si="416"/>
        <v>1.6416120645047982</v>
      </c>
      <c r="U4425" s="12">
        <f t="shared" si="420"/>
        <v>1.6188648242274153</v>
      </c>
      <c r="V4425" s="30">
        <f t="shared" si="417"/>
        <v>0.38289643835616438</v>
      </c>
      <c r="W4425" s="46">
        <f t="shared" si="418"/>
        <v>-1.641612064504798E-2</v>
      </c>
      <c r="X4425" s="33">
        <f t="shared" si="419"/>
        <v>2.4285641968873908E-2</v>
      </c>
    </row>
    <row r="4426" spans="19:24" x14ac:dyDescent="0.25">
      <c r="S4426" s="44">
        <f t="shared" si="415"/>
        <v>47476</v>
      </c>
      <c r="T4426" s="12">
        <f t="shared" si="416"/>
        <v>1.6389349822032568</v>
      </c>
      <c r="U4426" s="12">
        <f t="shared" si="420"/>
        <v>1.6162136475026259</v>
      </c>
      <c r="V4426" s="30">
        <f t="shared" si="417"/>
        <v>0.38286904109589043</v>
      </c>
      <c r="W4426" s="46">
        <f t="shared" si="418"/>
        <v>-1.6389349822032565E-2</v>
      </c>
      <c r="X4426" s="33">
        <f t="shared" si="419"/>
        <v>2.4285600456600966E-2</v>
      </c>
    </row>
    <row r="4427" spans="19:24" x14ac:dyDescent="0.25">
      <c r="S4427" s="44">
        <f t="shared" si="415"/>
        <v>47477</v>
      </c>
      <c r="T4427" s="12">
        <f t="shared" si="416"/>
        <v>1.6362578999017157</v>
      </c>
      <c r="U4427" s="12">
        <f t="shared" si="420"/>
        <v>1.6135624707778367</v>
      </c>
      <c r="V4427" s="30">
        <f t="shared" si="417"/>
        <v>0.38284164383561642</v>
      </c>
      <c r="W4427" s="46">
        <f t="shared" si="418"/>
        <v>-1.6362578999017153E-2</v>
      </c>
      <c r="X4427" s="33">
        <f t="shared" si="419"/>
        <v>2.4285558944328021E-2</v>
      </c>
    </row>
    <row r="4428" spans="19:24" x14ac:dyDescent="0.25">
      <c r="S4428" s="44">
        <f t="shared" si="415"/>
        <v>47478</v>
      </c>
      <c r="T4428" s="12">
        <f t="shared" si="416"/>
        <v>1.6335808176001745</v>
      </c>
      <c r="U4428" s="12">
        <f t="shared" si="420"/>
        <v>1.6109112940530477</v>
      </c>
      <c r="V4428" s="30">
        <f t="shared" si="417"/>
        <v>0.38281424657534247</v>
      </c>
      <c r="W4428" s="46">
        <f t="shared" si="418"/>
        <v>-1.6335808176001741E-2</v>
      </c>
      <c r="X4428" s="33">
        <f t="shared" si="419"/>
        <v>2.4285517432055079E-2</v>
      </c>
    </row>
    <row r="4429" spans="19:24" x14ac:dyDescent="0.25">
      <c r="S4429" s="44">
        <f t="shared" si="415"/>
        <v>47479</v>
      </c>
      <c r="T4429" s="12">
        <f t="shared" si="416"/>
        <v>1.6309037352986331</v>
      </c>
      <c r="U4429" s="12">
        <f t="shared" si="420"/>
        <v>1.608260117328258</v>
      </c>
      <c r="V4429" s="30">
        <f t="shared" si="417"/>
        <v>0.38278684931506846</v>
      </c>
      <c r="W4429" s="46">
        <f t="shared" si="418"/>
        <v>-1.630903735298633E-2</v>
      </c>
      <c r="X4429" s="33">
        <f t="shared" si="419"/>
        <v>2.428547591978213E-2</v>
      </c>
    </row>
    <row r="4430" spans="19:24" x14ac:dyDescent="0.25">
      <c r="S4430" s="44">
        <f t="shared" si="415"/>
        <v>47480</v>
      </c>
      <c r="T4430" s="12">
        <f t="shared" si="416"/>
        <v>1.6282266529970919</v>
      </c>
      <c r="U4430" s="12">
        <f t="shared" si="420"/>
        <v>1.6056089406034688</v>
      </c>
      <c r="V4430" s="30">
        <f t="shared" si="417"/>
        <v>0.3827594520547945</v>
      </c>
      <c r="W4430" s="46">
        <f t="shared" si="418"/>
        <v>-1.6282266529970918E-2</v>
      </c>
      <c r="X4430" s="33">
        <f t="shared" si="419"/>
        <v>2.4285434407509188E-2</v>
      </c>
    </row>
    <row r="4431" spans="19:24" x14ac:dyDescent="0.25">
      <c r="S4431" s="44">
        <f t="shared" si="415"/>
        <v>47481</v>
      </c>
      <c r="T4431" s="12">
        <f t="shared" si="416"/>
        <v>1.6255495706955509</v>
      </c>
      <c r="U4431" s="12">
        <f t="shared" si="420"/>
        <v>1.6029577638786794</v>
      </c>
      <c r="V4431" s="30">
        <f t="shared" si="417"/>
        <v>0.38273205479452055</v>
      </c>
      <c r="W4431" s="46">
        <f t="shared" si="418"/>
        <v>-1.6255495706955506E-2</v>
      </c>
      <c r="X4431" s="33">
        <f t="shared" si="419"/>
        <v>2.4285392895236246E-2</v>
      </c>
    </row>
    <row r="4432" spans="19:24" x14ac:dyDescent="0.25">
      <c r="S4432" s="44">
        <f t="shared" si="415"/>
        <v>47482</v>
      </c>
      <c r="T4432" s="12">
        <f t="shared" si="416"/>
        <v>1.6228724883940098</v>
      </c>
      <c r="U4432" s="12">
        <f t="shared" si="420"/>
        <v>1.6003065871538904</v>
      </c>
      <c r="V4432" s="30">
        <f t="shared" si="417"/>
        <v>0.38270465753424654</v>
      </c>
      <c r="W4432" s="46">
        <f t="shared" si="418"/>
        <v>-1.6228724883940095E-2</v>
      </c>
      <c r="X4432" s="33">
        <f t="shared" si="419"/>
        <v>2.42853513829633E-2</v>
      </c>
    </row>
    <row r="4433" spans="19:24" x14ac:dyDescent="0.25">
      <c r="S4433" s="44">
        <f t="shared" si="415"/>
        <v>47483</v>
      </c>
      <c r="T4433" s="12">
        <f t="shared" si="416"/>
        <v>1.6201954060924684</v>
      </c>
      <c r="U4433" s="12">
        <f t="shared" si="420"/>
        <v>1.597655410429101</v>
      </c>
      <c r="V4433" s="30">
        <f t="shared" si="417"/>
        <v>0.38267726027397264</v>
      </c>
      <c r="W4433" s="46">
        <f t="shared" si="418"/>
        <v>-1.620195406092468E-2</v>
      </c>
      <c r="X4433" s="33">
        <f t="shared" si="419"/>
        <v>2.4285309870690362E-2</v>
      </c>
    </row>
    <row r="4434" spans="19:24" x14ac:dyDescent="0.25">
      <c r="S4434" s="44">
        <f t="shared" si="415"/>
        <v>47484</v>
      </c>
      <c r="T4434" s="12">
        <f t="shared" si="416"/>
        <v>1.6175183237909272</v>
      </c>
      <c r="U4434" s="12">
        <f t="shared" si="420"/>
        <v>1.5950042337043118</v>
      </c>
      <c r="V4434" s="30">
        <f t="shared" si="417"/>
        <v>0.38264986301369863</v>
      </c>
      <c r="W4434" s="46">
        <f t="shared" si="418"/>
        <v>-1.6175183237909268E-2</v>
      </c>
      <c r="X4434" s="33">
        <f t="shared" si="419"/>
        <v>2.4285268358417416E-2</v>
      </c>
    </row>
    <row r="4435" spans="19:24" x14ac:dyDescent="0.25">
      <c r="S4435" s="44">
        <f t="shared" si="415"/>
        <v>47485</v>
      </c>
      <c r="T4435" s="12">
        <f t="shared" si="416"/>
        <v>1.6148412414893865</v>
      </c>
      <c r="U4435" s="12">
        <f t="shared" si="420"/>
        <v>1.5923530569795221</v>
      </c>
      <c r="V4435" s="30">
        <f t="shared" si="417"/>
        <v>0.38262246575342468</v>
      </c>
      <c r="W4435" s="46">
        <f t="shared" si="418"/>
        <v>-1.6148412414893863E-2</v>
      </c>
      <c r="X4435" s="33">
        <f t="shared" si="419"/>
        <v>2.4285226846144474E-2</v>
      </c>
    </row>
    <row r="4436" spans="19:24" x14ac:dyDescent="0.25">
      <c r="S4436" s="44">
        <f t="shared" si="415"/>
        <v>47486</v>
      </c>
      <c r="T4436" s="12">
        <f t="shared" si="416"/>
        <v>1.6121641591878448</v>
      </c>
      <c r="U4436" s="12">
        <f t="shared" si="420"/>
        <v>1.5897018802547334</v>
      </c>
      <c r="V4436" s="30">
        <f t="shared" si="417"/>
        <v>0.38259506849315073</v>
      </c>
      <c r="W4436" s="46">
        <f t="shared" si="418"/>
        <v>-1.6121641591878445E-2</v>
      </c>
      <c r="X4436" s="33">
        <f t="shared" si="419"/>
        <v>2.4285185333871525E-2</v>
      </c>
    </row>
    <row r="4437" spans="19:24" x14ac:dyDescent="0.25">
      <c r="S4437" s="44">
        <f t="shared" si="415"/>
        <v>47487</v>
      </c>
      <c r="T4437" s="12">
        <f t="shared" si="416"/>
        <v>1.6094870768863037</v>
      </c>
      <c r="U4437" s="12">
        <f t="shared" si="420"/>
        <v>1.5870507035299439</v>
      </c>
      <c r="V4437" s="30">
        <f t="shared" si="417"/>
        <v>0.38256767123287672</v>
      </c>
      <c r="W4437" s="46">
        <f t="shared" si="418"/>
        <v>-1.6094870768863033E-2</v>
      </c>
      <c r="X4437" s="33">
        <f t="shared" si="419"/>
        <v>2.4285143821598583E-2</v>
      </c>
    </row>
    <row r="4438" spans="19:24" x14ac:dyDescent="0.25">
      <c r="S4438" s="44">
        <f t="shared" si="415"/>
        <v>47488</v>
      </c>
      <c r="T4438" s="12">
        <f t="shared" si="416"/>
        <v>1.6068099945847625</v>
      </c>
      <c r="U4438" s="12">
        <f t="shared" si="420"/>
        <v>1.5843995268051543</v>
      </c>
      <c r="V4438" s="30">
        <f t="shared" si="417"/>
        <v>0.38254027397260276</v>
      </c>
      <c r="W4438" s="46">
        <f t="shared" si="418"/>
        <v>-1.6068099945847621E-2</v>
      </c>
      <c r="X4438" s="33">
        <f t="shared" si="419"/>
        <v>2.4285102309325641E-2</v>
      </c>
    </row>
    <row r="4439" spans="19:24" x14ac:dyDescent="0.25">
      <c r="S4439" s="44">
        <f t="shared" si="415"/>
        <v>47489</v>
      </c>
      <c r="T4439" s="12">
        <f t="shared" si="416"/>
        <v>1.6041329122832211</v>
      </c>
      <c r="U4439" s="12">
        <f t="shared" si="420"/>
        <v>1.5817483500803653</v>
      </c>
      <c r="V4439" s="30">
        <f t="shared" si="417"/>
        <v>0.38251287671232875</v>
      </c>
      <c r="W4439" s="46">
        <f t="shared" si="418"/>
        <v>-1.604132912283221E-2</v>
      </c>
      <c r="X4439" s="33">
        <f t="shared" si="419"/>
        <v>2.4285060797052688E-2</v>
      </c>
    </row>
    <row r="4440" spans="19:24" x14ac:dyDescent="0.25">
      <c r="S4440" s="44">
        <f t="shared" si="415"/>
        <v>47490</v>
      </c>
      <c r="T4440" s="12">
        <f t="shared" si="416"/>
        <v>1.6014558299816797</v>
      </c>
      <c r="U4440" s="12">
        <f t="shared" si="420"/>
        <v>1.5790971733555761</v>
      </c>
      <c r="V4440" s="30">
        <f t="shared" si="417"/>
        <v>0.3824854794520548</v>
      </c>
      <c r="W4440" s="46">
        <f t="shared" si="418"/>
        <v>-1.6014558299816795E-2</v>
      </c>
      <c r="X4440" s="33">
        <f t="shared" si="419"/>
        <v>2.4285019284779753E-2</v>
      </c>
    </row>
    <row r="4441" spans="19:24" x14ac:dyDescent="0.25">
      <c r="S4441" s="44">
        <f t="shared" si="415"/>
        <v>47491</v>
      </c>
      <c r="T4441" s="12">
        <f t="shared" si="416"/>
        <v>1.5987787476801387</v>
      </c>
      <c r="U4441" s="12">
        <f t="shared" si="420"/>
        <v>1.5764459966307867</v>
      </c>
      <c r="V4441" s="30">
        <f t="shared" si="417"/>
        <v>0.38245808219178079</v>
      </c>
      <c r="W4441" s="46">
        <f t="shared" si="418"/>
        <v>-1.5987787476801386E-2</v>
      </c>
      <c r="X4441" s="33">
        <f t="shared" si="419"/>
        <v>2.4284977772506804E-2</v>
      </c>
    </row>
    <row r="4442" spans="19:24" x14ac:dyDescent="0.25">
      <c r="S4442" s="44">
        <f t="shared" si="415"/>
        <v>47492</v>
      </c>
      <c r="T4442" s="12">
        <f t="shared" si="416"/>
        <v>1.5961016653785975</v>
      </c>
      <c r="U4442" s="12">
        <f t="shared" si="420"/>
        <v>1.5737948199059975</v>
      </c>
      <c r="V4442" s="30">
        <f t="shared" si="417"/>
        <v>0.38243068493150684</v>
      </c>
      <c r="W4442" s="46">
        <f t="shared" si="418"/>
        <v>-1.5961016653785971E-2</v>
      </c>
      <c r="X4442" s="33">
        <f t="shared" si="419"/>
        <v>2.4284936260233862E-2</v>
      </c>
    </row>
    <row r="4443" spans="19:24" x14ac:dyDescent="0.25">
      <c r="S4443" s="44">
        <f t="shared" si="415"/>
        <v>47493</v>
      </c>
      <c r="T4443" s="12">
        <f t="shared" si="416"/>
        <v>1.5934245830770564</v>
      </c>
      <c r="U4443" s="12">
        <f t="shared" si="420"/>
        <v>1.571143643181208</v>
      </c>
      <c r="V4443" s="30">
        <f t="shared" si="417"/>
        <v>0.38240328767123288</v>
      </c>
      <c r="W4443" s="46">
        <f t="shared" si="418"/>
        <v>-1.593424583077056E-2</v>
      </c>
      <c r="X4443" s="33">
        <f t="shared" si="419"/>
        <v>2.4284894747960917E-2</v>
      </c>
    </row>
    <row r="4444" spans="19:24" x14ac:dyDescent="0.25">
      <c r="S4444" s="44">
        <f t="shared" si="415"/>
        <v>47494</v>
      </c>
      <c r="T4444" s="12">
        <f t="shared" si="416"/>
        <v>1.5907475007755152</v>
      </c>
      <c r="U4444" s="12">
        <f t="shared" si="420"/>
        <v>1.5684924664564188</v>
      </c>
      <c r="V4444" s="30">
        <f t="shared" si="417"/>
        <v>0.38237589041095887</v>
      </c>
      <c r="W4444" s="46">
        <f t="shared" si="418"/>
        <v>-1.5907475007755148E-2</v>
      </c>
      <c r="X4444" s="33">
        <f t="shared" si="419"/>
        <v>2.4284853235687975E-2</v>
      </c>
    </row>
    <row r="4445" spans="19:24" x14ac:dyDescent="0.25">
      <c r="S4445" s="44">
        <f t="shared" si="415"/>
        <v>47495</v>
      </c>
      <c r="T4445" s="12">
        <f t="shared" si="416"/>
        <v>1.588070418473974</v>
      </c>
      <c r="U4445" s="12">
        <f t="shared" si="420"/>
        <v>1.5658412897316294</v>
      </c>
      <c r="V4445" s="30">
        <f t="shared" si="417"/>
        <v>0.38234849315068498</v>
      </c>
      <c r="W4445" s="46">
        <f t="shared" si="418"/>
        <v>-1.5880704184739736E-2</v>
      </c>
      <c r="X4445" s="33">
        <f t="shared" si="419"/>
        <v>2.4284811723415033E-2</v>
      </c>
    </row>
    <row r="4446" spans="19:24" x14ac:dyDescent="0.25">
      <c r="S4446" s="44">
        <f t="shared" si="415"/>
        <v>47496</v>
      </c>
      <c r="T4446" s="12">
        <f t="shared" si="416"/>
        <v>1.5853933361724331</v>
      </c>
      <c r="U4446" s="12">
        <f t="shared" si="420"/>
        <v>1.56319011300684</v>
      </c>
      <c r="V4446" s="30">
        <f t="shared" si="417"/>
        <v>0.38232109589041097</v>
      </c>
      <c r="W4446" s="46">
        <f t="shared" si="418"/>
        <v>-1.5853933361724328E-2</v>
      </c>
      <c r="X4446" s="33">
        <f t="shared" si="419"/>
        <v>2.4284770211142091E-2</v>
      </c>
    </row>
    <row r="4447" spans="19:24" x14ac:dyDescent="0.25">
      <c r="S4447" s="44">
        <f t="shared" si="415"/>
        <v>47497</v>
      </c>
      <c r="T4447" s="12">
        <f t="shared" si="416"/>
        <v>1.5827162538708917</v>
      </c>
      <c r="U4447" s="12">
        <f t="shared" si="420"/>
        <v>1.5605389362820508</v>
      </c>
      <c r="V4447" s="30">
        <f t="shared" si="417"/>
        <v>0.38229369863013701</v>
      </c>
      <c r="W4447" s="46">
        <f t="shared" si="418"/>
        <v>-1.5827162538708913E-2</v>
      </c>
      <c r="X4447" s="33">
        <f t="shared" si="419"/>
        <v>2.4284728698869145E-2</v>
      </c>
    </row>
    <row r="4448" spans="19:24" x14ac:dyDescent="0.25">
      <c r="S4448" s="44">
        <f t="shared" si="415"/>
        <v>47498</v>
      </c>
      <c r="T4448" s="12">
        <f t="shared" si="416"/>
        <v>1.5800391715693505</v>
      </c>
      <c r="U4448" s="12">
        <f t="shared" si="420"/>
        <v>1.5578877595572613</v>
      </c>
      <c r="V4448" s="30">
        <f t="shared" si="417"/>
        <v>0.38226630136986306</v>
      </c>
      <c r="W4448" s="46">
        <f t="shared" si="418"/>
        <v>-1.5800391715693501E-2</v>
      </c>
      <c r="X4448" s="33">
        <f t="shared" si="419"/>
        <v>2.4284687186596206E-2</v>
      </c>
    </row>
    <row r="4449" spans="19:24" x14ac:dyDescent="0.25">
      <c r="S4449" s="44">
        <f t="shared" si="415"/>
        <v>47499</v>
      </c>
      <c r="T4449" s="12">
        <f t="shared" si="416"/>
        <v>1.5773620892678095</v>
      </c>
      <c r="U4449" s="12">
        <f t="shared" si="420"/>
        <v>1.5552365828324721</v>
      </c>
      <c r="V4449" s="30">
        <f t="shared" si="417"/>
        <v>0.38223890410958905</v>
      </c>
      <c r="W4449" s="46">
        <f t="shared" si="418"/>
        <v>-1.5773620892678093E-2</v>
      </c>
      <c r="X4449" s="33">
        <f t="shared" si="419"/>
        <v>2.4284645674323261E-2</v>
      </c>
    </row>
    <row r="4450" spans="19:24" x14ac:dyDescent="0.25">
      <c r="S4450" s="44">
        <f t="shared" si="415"/>
        <v>47500</v>
      </c>
      <c r="T4450" s="12">
        <f t="shared" si="416"/>
        <v>1.5746850069662681</v>
      </c>
      <c r="U4450" s="12">
        <f t="shared" si="420"/>
        <v>1.5525854061076827</v>
      </c>
      <c r="V4450" s="30">
        <f t="shared" si="417"/>
        <v>0.38221150684931504</v>
      </c>
      <c r="W4450" s="46">
        <f t="shared" si="418"/>
        <v>-1.5746850069662678E-2</v>
      </c>
      <c r="X4450" s="33">
        <f t="shared" si="419"/>
        <v>2.4284604162050309E-2</v>
      </c>
    </row>
    <row r="4451" spans="19:24" x14ac:dyDescent="0.25">
      <c r="S4451" s="44">
        <f t="shared" si="415"/>
        <v>47501</v>
      </c>
      <c r="T4451" s="12">
        <f t="shared" si="416"/>
        <v>1.5720079246647267</v>
      </c>
      <c r="U4451" s="12">
        <f t="shared" si="420"/>
        <v>1.5499342293828935</v>
      </c>
      <c r="V4451" s="30">
        <f t="shared" si="417"/>
        <v>0.38218410958904114</v>
      </c>
      <c r="W4451" s="46">
        <f t="shared" si="418"/>
        <v>-1.5720079246647266E-2</v>
      </c>
      <c r="X4451" s="33">
        <f t="shared" si="419"/>
        <v>2.428456264977737E-2</v>
      </c>
    </row>
    <row r="4452" spans="19:24" x14ac:dyDescent="0.25">
      <c r="S4452" s="44">
        <f t="shared" si="415"/>
        <v>47502</v>
      </c>
      <c r="T4452" s="12">
        <f t="shared" si="416"/>
        <v>1.5693308423631855</v>
      </c>
      <c r="U4452" s="12">
        <f t="shared" si="420"/>
        <v>1.5472830526581045</v>
      </c>
      <c r="V4452" s="30">
        <f t="shared" si="417"/>
        <v>0.38215671232876713</v>
      </c>
      <c r="W4452" s="46">
        <f t="shared" si="418"/>
        <v>-1.5693308423631851E-2</v>
      </c>
      <c r="X4452" s="33">
        <f t="shared" si="419"/>
        <v>2.4284521137504424E-2</v>
      </c>
    </row>
    <row r="4453" spans="19:24" x14ac:dyDescent="0.25">
      <c r="S4453" s="44">
        <f t="shared" si="415"/>
        <v>47503</v>
      </c>
      <c r="T4453" s="12">
        <f t="shared" si="416"/>
        <v>1.5666537600616444</v>
      </c>
      <c r="U4453" s="12">
        <f t="shared" si="420"/>
        <v>1.5446318759333151</v>
      </c>
      <c r="V4453" s="30">
        <f t="shared" si="417"/>
        <v>0.38212931506849313</v>
      </c>
      <c r="W4453" s="46">
        <f t="shared" si="418"/>
        <v>-1.566653760061644E-2</v>
      </c>
      <c r="X4453" s="33">
        <f t="shared" si="419"/>
        <v>2.4284479625231482E-2</v>
      </c>
    </row>
    <row r="4454" spans="19:24" x14ac:dyDescent="0.25">
      <c r="S4454" s="44">
        <f t="shared" si="415"/>
        <v>47504</v>
      </c>
      <c r="T4454" s="12">
        <f t="shared" si="416"/>
        <v>1.5639766777601034</v>
      </c>
      <c r="U4454" s="12">
        <f t="shared" si="420"/>
        <v>1.5419806992085259</v>
      </c>
      <c r="V4454" s="30">
        <f t="shared" si="417"/>
        <v>0.38210191780821923</v>
      </c>
      <c r="W4454" s="46">
        <f t="shared" si="418"/>
        <v>-1.5639766777601032E-2</v>
      </c>
      <c r="X4454" s="33">
        <f t="shared" si="419"/>
        <v>2.428443811295854E-2</v>
      </c>
    </row>
    <row r="4455" spans="19:24" x14ac:dyDescent="0.25">
      <c r="S4455" s="44">
        <f t="shared" si="415"/>
        <v>47505</v>
      </c>
      <c r="T4455" s="12">
        <f t="shared" si="416"/>
        <v>1.561299595458562</v>
      </c>
      <c r="U4455" s="12">
        <f t="shared" si="420"/>
        <v>1.5393295224837362</v>
      </c>
      <c r="V4455" s="30">
        <f t="shared" si="417"/>
        <v>0.38207452054794522</v>
      </c>
      <c r="W4455" s="46">
        <f t="shared" si="418"/>
        <v>-1.5612995954585618E-2</v>
      </c>
      <c r="X4455" s="33">
        <f t="shared" si="419"/>
        <v>2.4284396600685598E-2</v>
      </c>
    </row>
    <row r="4456" spans="19:24" x14ac:dyDescent="0.25">
      <c r="S4456" s="44">
        <f t="shared" si="415"/>
        <v>47506</v>
      </c>
      <c r="T4456" s="12">
        <f t="shared" si="416"/>
        <v>1.5586225131570208</v>
      </c>
      <c r="U4456" s="12">
        <f t="shared" si="420"/>
        <v>1.5366783457589468</v>
      </c>
      <c r="V4456" s="30">
        <f t="shared" si="417"/>
        <v>0.38204712328767121</v>
      </c>
      <c r="W4456" s="46">
        <f t="shared" si="418"/>
        <v>-1.5586225131570207E-2</v>
      </c>
      <c r="X4456" s="33">
        <f t="shared" si="419"/>
        <v>2.4284355088412649E-2</v>
      </c>
    </row>
    <row r="4457" spans="19:24" x14ac:dyDescent="0.25">
      <c r="S4457" s="44">
        <f t="shared" si="415"/>
        <v>47507</v>
      </c>
      <c r="T4457" s="12">
        <f t="shared" si="416"/>
        <v>1.5559454308554796</v>
      </c>
      <c r="U4457" s="12">
        <f t="shared" si="420"/>
        <v>1.5340271690341578</v>
      </c>
      <c r="V4457" s="30">
        <f t="shared" si="417"/>
        <v>0.38201972602739731</v>
      </c>
      <c r="W4457" s="46">
        <f t="shared" si="418"/>
        <v>-1.5559454308554795E-2</v>
      </c>
      <c r="X4457" s="33">
        <f t="shared" si="419"/>
        <v>2.4284313576139707E-2</v>
      </c>
    </row>
    <row r="4458" spans="19:24" x14ac:dyDescent="0.25">
      <c r="S4458" s="44">
        <f t="shared" si="415"/>
        <v>47508</v>
      </c>
      <c r="T4458" s="12">
        <f t="shared" si="416"/>
        <v>1.5532683485539387</v>
      </c>
      <c r="U4458" s="12">
        <f t="shared" si="420"/>
        <v>1.5313759923093688</v>
      </c>
      <c r="V4458" s="30">
        <f t="shared" si="417"/>
        <v>0.3819923287671233</v>
      </c>
      <c r="W4458" s="46">
        <f t="shared" si="418"/>
        <v>-1.5532683485539385E-2</v>
      </c>
      <c r="X4458" s="33">
        <f t="shared" si="419"/>
        <v>2.4284272063866762E-2</v>
      </c>
    </row>
    <row r="4459" spans="19:24" x14ac:dyDescent="0.25">
      <c r="S4459" s="44">
        <f t="shared" si="415"/>
        <v>47509</v>
      </c>
      <c r="T4459" s="12">
        <f t="shared" si="416"/>
        <v>1.5505912662523973</v>
      </c>
      <c r="U4459" s="12">
        <f t="shared" si="420"/>
        <v>1.5287248155845792</v>
      </c>
      <c r="V4459" s="30">
        <f t="shared" si="417"/>
        <v>0.38196493150684935</v>
      </c>
      <c r="W4459" s="46">
        <f t="shared" si="418"/>
        <v>-1.550591266252397E-2</v>
      </c>
      <c r="X4459" s="33">
        <f t="shared" si="419"/>
        <v>2.428423055159382E-2</v>
      </c>
    </row>
    <row r="4460" spans="19:24" x14ac:dyDescent="0.25">
      <c r="S4460" s="44">
        <f t="shared" si="415"/>
        <v>47510</v>
      </c>
      <c r="T4460" s="12">
        <f t="shared" si="416"/>
        <v>1.5479141839508563</v>
      </c>
      <c r="U4460" s="12">
        <f t="shared" si="420"/>
        <v>1.52607363885979</v>
      </c>
      <c r="V4460" s="30">
        <f t="shared" si="417"/>
        <v>0.38193753424657539</v>
      </c>
      <c r="W4460" s="46">
        <f t="shared" si="418"/>
        <v>-1.5479141839508562E-2</v>
      </c>
      <c r="X4460" s="33">
        <f t="shared" si="419"/>
        <v>2.4284189039320878E-2</v>
      </c>
    </row>
    <row r="4461" spans="19:24" x14ac:dyDescent="0.25">
      <c r="S4461" s="44">
        <f t="shared" si="415"/>
        <v>47511</v>
      </c>
      <c r="T4461" s="12">
        <f t="shared" si="416"/>
        <v>1.5452371016493149</v>
      </c>
      <c r="U4461" s="12">
        <f t="shared" si="420"/>
        <v>1.5234224621350005</v>
      </c>
      <c r="V4461" s="30">
        <f t="shared" si="417"/>
        <v>0.38191013698630139</v>
      </c>
      <c r="W4461" s="46">
        <f t="shared" si="418"/>
        <v>-1.5452371016493147E-2</v>
      </c>
      <c r="X4461" s="33">
        <f t="shared" si="419"/>
        <v>2.4284147527047929E-2</v>
      </c>
    </row>
    <row r="4462" spans="19:24" x14ac:dyDescent="0.25">
      <c r="S4462" s="44">
        <f t="shared" si="415"/>
        <v>47512</v>
      </c>
      <c r="T4462" s="12">
        <f t="shared" si="416"/>
        <v>1.5425600193477738</v>
      </c>
      <c r="U4462" s="12">
        <f t="shared" si="420"/>
        <v>1.5207712854102113</v>
      </c>
      <c r="V4462" s="30">
        <f t="shared" si="417"/>
        <v>0.38188273972602738</v>
      </c>
      <c r="W4462" s="46">
        <f t="shared" si="418"/>
        <v>-1.5425600193477735E-2</v>
      </c>
      <c r="X4462" s="33">
        <f t="shared" si="419"/>
        <v>2.4284106014774987E-2</v>
      </c>
    </row>
    <row r="4463" spans="19:24" x14ac:dyDescent="0.25">
      <c r="S4463" s="44">
        <f t="shared" si="415"/>
        <v>47513</v>
      </c>
      <c r="T4463" s="12">
        <f t="shared" si="416"/>
        <v>1.5398829370462324</v>
      </c>
      <c r="U4463" s="12">
        <f t="shared" si="420"/>
        <v>1.5181201086854219</v>
      </c>
      <c r="V4463" s="30">
        <f t="shared" si="417"/>
        <v>0.38185534246575348</v>
      </c>
      <c r="W4463" s="46">
        <f t="shared" si="418"/>
        <v>-1.5398829370462322E-2</v>
      </c>
      <c r="X4463" s="33">
        <f t="shared" si="419"/>
        <v>2.4284064502502044E-2</v>
      </c>
    </row>
    <row r="4464" spans="19:24" x14ac:dyDescent="0.25">
      <c r="S4464" s="44">
        <f t="shared" si="415"/>
        <v>47514</v>
      </c>
      <c r="T4464" s="12">
        <f t="shared" si="416"/>
        <v>1.5372058547446914</v>
      </c>
      <c r="U4464" s="12">
        <f t="shared" si="420"/>
        <v>1.5154689319606329</v>
      </c>
      <c r="V4464" s="30">
        <f t="shared" si="417"/>
        <v>0.38182794520547947</v>
      </c>
      <c r="W4464" s="46">
        <f t="shared" si="418"/>
        <v>-1.5372058547446912E-2</v>
      </c>
      <c r="X4464" s="33">
        <f t="shared" si="419"/>
        <v>2.4284022990229102E-2</v>
      </c>
    </row>
    <row r="4465" spans="19:24" x14ac:dyDescent="0.25">
      <c r="S4465" s="44">
        <f t="shared" si="415"/>
        <v>47515</v>
      </c>
      <c r="T4465" s="12">
        <f t="shared" si="416"/>
        <v>1.53452877244315</v>
      </c>
      <c r="U4465" s="12">
        <f t="shared" si="420"/>
        <v>1.5128177552358433</v>
      </c>
      <c r="V4465" s="30">
        <f t="shared" si="417"/>
        <v>0.38180054794520546</v>
      </c>
      <c r="W4465" s="46">
        <f t="shared" si="418"/>
        <v>-1.5345287724431498E-2</v>
      </c>
      <c r="X4465" s="33">
        <f t="shared" si="419"/>
        <v>2.4283981477956153E-2</v>
      </c>
    </row>
    <row r="4466" spans="19:24" x14ac:dyDescent="0.25">
      <c r="S4466" s="44">
        <f t="shared" si="415"/>
        <v>47516</v>
      </c>
      <c r="T4466" s="12">
        <f t="shared" si="416"/>
        <v>1.5318516901416093</v>
      </c>
      <c r="U4466" s="12">
        <f t="shared" si="420"/>
        <v>1.5101665785110543</v>
      </c>
      <c r="V4466" s="30">
        <f t="shared" si="417"/>
        <v>0.38177315068493156</v>
      </c>
      <c r="W4466" s="46">
        <f t="shared" si="418"/>
        <v>-1.531851690141609E-2</v>
      </c>
      <c r="X4466" s="33">
        <f t="shared" si="419"/>
        <v>2.4283939965683215E-2</v>
      </c>
    </row>
    <row r="4467" spans="19:24" x14ac:dyDescent="0.25">
      <c r="S4467" s="44">
        <f t="shared" ref="S4467:S4530" si="421">+S4466+1</f>
        <v>47517</v>
      </c>
      <c r="T4467" s="12">
        <f t="shared" si="416"/>
        <v>1.5291746078400679</v>
      </c>
      <c r="U4467" s="12">
        <f t="shared" si="420"/>
        <v>1.5075154017862646</v>
      </c>
      <c r="V4467" s="30">
        <f t="shared" si="417"/>
        <v>0.38174575342465755</v>
      </c>
      <c r="W4467" s="46">
        <f t="shared" si="418"/>
        <v>-1.5291746078400677E-2</v>
      </c>
      <c r="X4467" s="33">
        <f t="shared" si="419"/>
        <v>2.4283898453410269E-2</v>
      </c>
    </row>
    <row r="4468" spans="19:24" x14ac:dyDescent="0.25">
      <c r="S4468" s="44">
        <f t="shared" si="421"/>
        <v>47518</v>
      </c>
      <c r="T4468" s="12">
        <f t="shared" si="416"/>
        <v>1.5264975255385267</v>
      </c>
      <c r="U4468" s="12">
        <f t="shared" si="420"/>
        <v>1.5048642250614752</v>
      </c>
      <c r="V4468" s="30">
        <f t="shared" si="417"/>
        <v>0.38171835616438354</v>
      </c>
      <c r="W4468" s="46">
        <f t="shared" si="418"/>
        <v>-1.5264975255385265E-2</v>
      </c>
      <c r="X4468" s="33">
        <f t="shared" si="419"/>
        <v>2.428385694113732E-2</v>
      </c>
    </row>
    <row r="4469" spans="19:24" x14ac:dyDescent="0.25">
      <c r="S4469" s="44">
        <f t="shared" si="421"/>
        <v>47519</v>
      </c>
      <c r="T4469" s="12">
        <f t="shared" si="416"/>
        <v>1.5238204432369855</v>
      </c>
      <c r="U4469" s="12">
        <f t="shared" si="420"/>
        <v>1.502213048336686</v>
      </c>
      <c r="V4469" s="30">
        <f t="shared" si="417"/>
        <v>0.38169095890410959</v>
      </c>
      <c r="W4469" s="46">
        <f t="shared" si="418"/>
        <v>-1.5238204432369853E-2</v>
      </c>
      <c r="X4469" s="33">
        <f t="shared" si="419"/>
        <v>2.4283815428864378E-2</v>
      </c>
    </row>
    <row r="4470" spans="19:24" x14ac:dyDescent="0.25">
      <c r="S4470" s="44">
        <f t="shared" si="421"/>
        <v>47520</v>
      </c>
      <c r="T4470" s="12">
        <f t="shared" si="416"/>
        <v>1.5211433609354439</v>
      </c>
      <c r="U4470" s="12">
        <f t="shared" si="420"/>
        <v>1.4995618716118972</v>
      </c>
      <c r="V4470" s="30">
        <f t="shared" si="417"/>
        <v>0.38166356164383558</v>
      </c>
      <c r="W4470" s="46">
        <f t="shared" si="418"/>
        <v>-1.5211433609354437E-2</v>
      </c>
      <c r="X4470" s="33">
        <f t="shared" si="419"/>
        <v>2.4283773916591433E-2</v>
      </c>
    </row>
    <row r="4471" spans="19:24" x14ac:dyDescent="0.25">
      <c r="S4471" s="44">
        <f t="shared" si="421"/>
        <v>47521</v>
      </c>
      <c r="T4471" s="12">
        <f t="shared" si="416"/>
        <v>1.5184662786339032</v>
      </c>
      <c r="U4471" s="12">
        <f t="shared" si="420"/>
        <v>1.496910694887108</v>
      </c>
      <c r="V4471" s="30">
        <f t="shared" si="417"/>
        <v>0.38163616438356163</v>
      </c>
      <c r="W4471" s="46">
        <f t="shared" si="418"/>
        <v>-1.5184662786339028E-2</v>
      </c>
      <c r="X4471" s="33">
        <f t="shared" si="419"/>
        <v>2.4283732404318494E-2</v>
      </c>
    </row>
    <row r="4472" spans="19:24" x14ac:dyDescent="0.25">
      <c r="S4472" s="44">
        <f t="shared" si="421"/>
        <v>47522</v>
      </c>
      <c r="T4472" s="12">
        <f t="shared" si="416"/>
        <v>1.5157891963323618</v>
      </c>
      <c r="U4472" s="12">
        <f t="shared" si="420"/>
        <v>1.4942595181623184</v>
      </c>
      <c r="V4472" s="30">
        <f t="shared" si="417"/>
        <v>0.38160876712328773</v>
      </c>
      <c r="W4472" s="46">
        <f t="shared" si="418"/>
        <v>-1.5157891963323615E-2</v>
      </c>
      <c r="X4472" s="33">
        <f t="shared" si="419"/>
        <v>2.4283690892045552E-2</v>
      </c>
    </row>
    <row r="4473" spans="19:24" x14ac:dyDescent="0.25">
      <c r="S4473" s="44">
        <f t="shared" si="421"/>
        <v>47523</v>
      </c>
      <c r="T4473" s="12">
        <f t="shared" si="416"/>
        <v>1.5131121140308206</v>
      </c>
      <c r="U4473" s="12">
        <f t="shared" si="420"/>
        <v>1.491608341437529</v>
      </c>
      <c r="V4473" s="30">
        <f t="shared" si="417"/>
        <v>0.38158136986301372</v>
      </c>
      <c r="W4473" s="46">
        <f t="shared" si="418"/>
        <v>-1.5131121140308203E-2</v>
      </c>
      <c r="X4473" s="33">
        <f t="shared" si="419"/>
        <v>2.4283649379772607E-2</v>
      </c>
    </row>
    <row r="4474" spans="19:24" x14ac:dyDescent="0.25">
      <c r="S4474" s="44">
        <f t="shared" si="421"/>
        <v>47524</v>
      </c>
      <c r="T4474" s="12">
        <f t="shared" si="416"/>
        <v>1.5104350317292796</v>
      </c>
      <c r="U4474" s="12">
        <f t="shared" si="420"/>
        <v>1.4889571647127395</v>
      </c>
      <c r="V4474" s="30">
        <f t="shared" si="417"/>
        <v>0.38155397260273971</v>
      </c>
      <c r="W4474" s="46">
        <f t="shared" si="418"/>
        <v>-1.5104350317292793E-2</v>
      </c>
      <c r="X4474" s="33">
        <f t="shared" si="419"/>
        <v>2.4283607867499658E-2</v>
      </c>
    </row>
    <row r="4475" spans="19:24" x14ac:dyDescent="0.25">
      <c r="S4475" s="44">
        <f t="shared" si="421"/>
        <v>47525</v>
      </c>
      <c r="T4475" s="12">
        <f t="shared" si="416"/>
        <v>1.507757949427738</v>
      </c>
      <c r="U4475" s="12">
        <f t="shared" si="420"/>
        <v>1.4863059879879503</v>
      </c>
      <c r="V4475" s="30">
        <f t="shared" si="417"/>
        <v>0.38152657534246581</v>
      </c>
      <c r="W4475" s="46">
        <f t="shared" si="418"/>
        <v>-1.5077579494277378E-2</v>
      </c>
      <c r="X4475" s="33">
        <f t="shared" si="419"/>
        <v>2.4283566355226716E-2</v>
      </c>
    </row>
    <row r="4476" spans="19:24" x14ac:dyDescent="0.25">
      <c r="S4476" s="44">
        <f t="shared" si="421"/>
        <v>47526</v>
      </c>
      <c r="T4476" s="12">
        <f t="shared" si="416"/>
        <v>1.5050808671261968</v>
      </c>
      <c r="U4476" s="12">
        <f t="shared" si="420"/>
        <v>1.4836548112631611</v>
      </c>
      <c r="V4476" s="30">
        <f t="shared" si="417"/>
        <v>0.3814991780821918</v>
      </c>
      <c r="W4476" s="46">
        <f t="shared" si="418"/>
        <v>-1.5050808671261967E-2</v>
      </c>
      <c r="X4476" s="33">
        <f t="shared" si="419"/>
        <v>2.4283524842953774E-2</v>
      </c>
    </row>
    <row r="4477" spans="19:24" x14ac:dyDescent="0.25">
      <c r="S4477" s="44">
        <f t="shared" si="421"/>
        <v>47527</v>
      </c>
      <c r="T4477" s="12">
        <f t="shared" si="416"/>
        <v>1.5024037848246556</v>
      </c>
      <c r="U4477" s="12">
        <f t="shared" si="420"/>
        <v>1.4810036345383719</v>
      </c>
      <c r="V4477" s="30">
        <f t="shared" si="417"/>
        <v>0.38147178082191779</v>
      </c>
      <c r="W4477" s="46">
        <f t="shared" si="418"/>
        <v>-1.5024037848246553E-2</v>
      </c>
      <c r="X4477" s="33">
        <f t="shared" si="419"/>
        <v>2.4283483330680828E-2</v>
      </c>
    </row>
    <row r="4478" spans="19:24" x14ac:dyDescent="0.25">
      <c r="S4478" s="44">
        <f t="shared" si="421"/>
        <v>47528</v>
      </c>
      <c r="T4478" s="12">
        <f t="shared" si="416"/>
        <v>1.4997267025231147</v>
      </c>
      <c r="U4478" s="12">
        <f t="shared" si="420"/>
        <v>1.4783524578135823</v>
      </c>
      <c r="V4478" s="30">
        <f t="shared" si="417"/>
        <v>0.3814443835616439</v>
      </c>
      <c r="W4478" s="46">
        <f t="shared" si="418"/>
        <v>-1.4997267025231145E-2</v>
      </c>
      <c r="X4478" s="33">
        <f t="shared" si="419"/>
        <v>2.4283441818407889E-2</v>
      </c>
    </row>
    <row r="4479" spans="19:24" x14ac:dyDescent="0.25">
      <c r="S4479" s="44">
        <f t="shared" si="421"/>
        <v>47529</v>
      </c>
      <c r="T4479" s="12">
        <f t="shared" si="416"/>
        <v>1.4970496202215735</v>
      </c>
      <c r="U4479" s="12">
        <f t="shared" si="420"/>
        <v>1.4757012810887931</v>
      </c>
      <c r="V4479" s="30">
        <f t="shared" si="417"/>
        <v>0.38141698630136989</v>
      </c>
      <c r="W4479" s="46">
        <f t="shared" si="418"/>
        <v>-1.4970496202215734E-2</v>
      </c>
      <c r="X4479" s="33">
        <f t="shared" si="419"/>
        <v>2.4283400306134944E-2</v>
      </c>
    </row>
    <row r="4480" spans="19:24" x14ac:dyDescent="0.25">
      <c r="S4480" s="44">
        <f t="shared" si="421"/>
        <v>47530</v>
      </c>
      <c r="T4480" s="12">
        <f t="shared" si="416"/>
        <v>1.4943725379200321</v>
      </c>
      <c r="U4480" s="12">
        <f t="shared" si="420"/>
        <v>1.4730501043640039</v>
      </c>
      <c r="V4480" s="30">
        <f t="shared" si="417"/>
        <v>0.38138958904109588</v>
      </c>
      <c r="W4480" s="46">
        <f t="shared" si="418"/>
        <v>-1.4943725379200318E-2</v>
      </c>
      <c r="X4480" s="33">
        <f t="shared" si="419"/>
        <v>2.4283358793861995E-2</v>
      </c>
    </row>
    <row r="4481" spans="19:24" x14ac:dyDescent="0.25">
      <c r="S4481" s="44">
        <f t="shared" si="421"/>
        <v>47531</v>
      </c>
      <c r="T4481" s="12">
        <f t="shared" si="416"/>
        <v>1.4916954556184914</v>
      </c>
      <c r="U4481" s="12">
        <f t="shared" si="420"/>
        <v>1.4703989276392146</v>
      </c>
      <c r="V4481" s="30">
        <f t="shared" si="417"/>
        <v>0.38136219178082192</v>
      </c>
      <c r="W4481" s="46">
        <f t="shared" si="418"/>
        <v>-1.4916954556184912E-2</v>
      </c>
      <c r="X4481" s="33">
        <f t="shared" si="419"/>
        <v>2.4283317281589053E-2</v>
      </c>
    </row>
    <row r="4482" spans="19:24" x14ac:dyDescent="0.25">
      <c r="S4482" s="44">
        <f t="shared" si="421"/>
        <v>47532</v>
      </c>
      <c r="T4482" s="12">
        <f t="shared" si="416"/>
        <v>1.4890183733169502</v>
      </c>
      <c r="U4482" s="12">
        <f t="shared" si="420"/>
        <v>1.4677477509144252</v>
      </c>
      <c r="V4482" s="30">
        <f t="shared" si="417"/>
        <v>0.38133479452054792</v>
      </c>
      <c r="W4482" s="46">
        <f t="shared" si="418"/>
        <v>-1.48901837331695E-2</v>
      </c>
      <c r="X4482" s="33">
        <f t="shared" si="419"/>
        <v>2.4283275769316107E-2</v>
      </c>
    </row>
    <row r="4483" spans="19:24" x14ac:dyDescent="0.25">
      <c r="S4483" s="44">
        <f t="shared" si="421"/>
        <v>47533</v>
      </c>
      <c r="T4483" s="12">
        <f t="shared" si="416"/>
        <v>1.4863412910154088</v>
      </c>
      <c r="U4483" s="12">
        <f t="shared" si="420"/>
        <v>1.4650965741896362</v>
      </c>
      <c r="V4483" s="30">
        <f t="shared" si="417"/>
        <v>0.38130739726027396</v>
      </c>
      <c r="W4483" s="46">
        <f t="shared" si="418"/>
        <v>-1.4863412910154085E-2</v>
      </c>
      <c r="X4483" s="33">
        <f t="shared" si="419"/>
        <v>2.4283234257043165E-2</v>
      </c>
    </row>
    <row r="4484" spans="19:24" x14ac:dyDescent="0.25">
      <c r="S4484" s="44">
        <f t="shared" si="421"/>
        <v>47534</v>
      </c>
      <c r="T4484" s="12">
        <f t="shared" si="416"/>
        <v>1.4836642087138676</v>
      </c>
      <c r="U4484" s="12">
        <f t="shared" si="420"/>
        <v>1.4624453974648468</v>
      </c>
      <c r="V4484" s="30">
        <f t="shared" si="417"/>
        <v>0.38128000000000006</v>
      </c>
      <c r="W4484" s="46">
        <f t="shared" si="418"/>
        <v>-1.4836642087138674E-2</v>
      </c>
      <c r="X4484" s="33">
        <f t="shared" si="419"/>
        <v>2.4283192744770223E-2</v>
      </c>
    </row>
    <row r="4485" spans="19:24" x14ac:dyDescent="0.25">
      <c r="S4485" s="44">
        <f t="shared" si="421"/>
        <v>47535</v>
      </c>
      <c r="T4485" s="12">
        <f t="shared" ref="T4485:T4548" si="422">DurMod(S4485,B$2,$F$7:$G$37,$T$3)</f>
        <v>1.4809871264123262</v>
      </c>
      <c r="U4485" s="12">
        <f t="shared" si="420"/>
        <v>1.4597942207400574</v>
      </c>
      <c r="V4485" s="30">
        <f t="shared" ref="V4485:V4548" si="423">+$U$3*($S$5512-S4485)/365+$T$3*(S4485-$S$4)/365</f>
        <v>0.38125260273972605</v>
      </c>
      <c r="W4485" s="46">
        <f t="shared" ref="W4485:W4548" si="424">+-T4485*($U$3-$T$3)</f>
        <v>-1.480987126412326E-2</v>
      </c>
      <c r="X4485" s="33">
        <f t="shared" ref="X4485:X4548" si="425">+(V4485+W4485)*365/($S$5512-$S$4)</f>
        <v>2.4283151232497281E-2</v>
      </c>
    </row>
    <row r="4486" spans="19:24" x14ac:dyDescent="0.25">
      <c r="S4486" s="44">
        <f t="shared" si="421"/>
        <v>47536</v>
      </c>
      <c r="T4486" s="12">
        <f t="shared" si="422"/>
        <v>1.4783100441107848</v>
      </c>
      <c r="U4486" s="12">
        <f t="shared" ref="U4486:U4549" si="426">DurMod($S4486,$B$2,$F$7:$G$37,U$3)</f>
        <v>1.4571430440152684</v>
      </c>
      <c r="V4486" s="30">
        <f t="shared" si="423"/>
        <v>0.38122520547945205</v>
      </c>
      <c r="W4486" s="46">
        <f t="shared" si="424"/>
        <v>-1.4783100441107845E-2</v>
      </c>
      <c r="X4486" s="33">
        <f t="shared" si="425"/>
        <v>2.4283109720224336E-2</v>
      </c>
    </row>
    <row r="4487" spans="19:24" x14ac:dyDescent="0.25">
      <c r="S4487" s="44">
        <f t="shared" si="421"/>
        <v>47537</v>
      </c>
      <c r="T4487" s="12">
        <f t="shared" si="422"/>
        <v>1.4756329618092441</v>
      </c>
      <c r="U4487" s="12">
        <f t="shared" si="426"/>
        <v>1.4544918672904794</v>
      </c>
      <c r="V4487" s="30">
        <f t="shared" si="423"/>
        <v>0.38119780821917815</v>
      </c>
      <c r="W4487" s="46">
        <f t="shared" si="424"/>
        <v>-1.4756329618092439E-2</v>
      </c>
      <c r="X4487" s="33">
        <f t="shared" si="425"/>
        <v>2.4283068207951397E-2</v>
      </c>
    </row>
    <row r="4488" spans="19:24" x14ac:dyDescent="0.25">
      <c r="S4488" s="44">
        <f t="shared" si="421"/>
        <v>47538</v>
      </c>
      <c r="T4488" s="12">
        <f t="shared" si="422"/>
        <v>1.4729558795077027</v>
      </c>
      <c r="U4488" s="12">
        <f t="shared" si="426"/>
        <v>1.45184069056569</v>
      </c>
      <c r="V4488" s="30">
        <f t="shared" si="423"/>
        <v>0.38117041095890414</v>
      </c>
      <c r="W4488" s="46">
        <f t="shared" si="424"/>
        <v>-1.4729558795077025E-2</v>
      </c>
      <c r="X4488" s="33">
        <f t="shared" si="425"/>
        <v>2.4283026695678452E-2</v>
      </c>
    </row>
    <row r="4489" spans="19:24" x14ac:dyDescent="0.25">
      <c r="S4489" s="44">
        <f t="shared" si="421"/>
        <v>47539</v>
      </c>
      <c r="T4489" s="12">
        <f t="shared" si="422"/>
        <v>1.4702787972061617</v>
      </c>
      <c r="U4489" s="12">
        <f t="shared" si="426"/>
        <v>1.4491895138409003</v>
      </c>
      <c r="V4489" s="30">
        <f t="shared" si="423"/>
        <v>0.38114301369863013</v>
      </c>
      <c r="W4489" s="46">
        <f t="shared" si="424"/>
        <v>-1.4702787972061615E-2</v>
      </c>
      <c r="X4489" s="33">
        <f t="shared" si="425"/>
        <v>2.4282985183405503E-2</v>
      </c>
    </row>
    <row r="4490" spans="19:24" x14ac:dyDescent="0.25">
      <c r="S4490" s="44">
        <f t="shared" si="421"/>
        <v>47540</v>
      </c>
      <c r="T4490" s="12">
        <f t="shared" si="422"/>
        <v>1.4676017149046201</v>
      </c>
      <c r="U4490" s="12">
        <f t="shared" si="426"/>
        <v>1.4465383371161111</v>
      </c>
      <c r="V4490" s="30">
        <f t="shared" si="423"/>
        <v>0.38111561643835618</v>
      </c>
      <c r="W4490" s="46">
        <f t="shared" si="424"/>
        <v>-1.4676017149046199E-2</v>
      </c>
      <c r="X4490" s="33">
        <f t="shared" si="425"/>
        <v>2.4282943671132561E-2</v>
      </c>
    </row>
    <row r="4491" spans="19:24" x14ac:dyDescent="0.25">
      <c r="S4491" s="44">
        <f t="shared" si="421"/>
        <v>47541</v>
      </c>
      <c r="T4491" s="12">
        <f t="shared" si="422"/>
        <v>1.4649246326030787</v>
      </c>
      <c r="U4491" s="12">
        <f t="shared" si="426"/>
        <v>1.4438871603913215</v>
      </c>
      <c r="V4491" s="30">
        <f t="shared" si="423"/>
        <v>0.38108821917808217</v>
      </c>
      <c r="W4491" s="46">
        <f t="shared" si="424"/>
        <v>-1.4649246326030785E-2</v>
      </c>
      <c r="X4491" s="33">
        <f t="shared" si="425"/>
        <v>2.4282902158859615E-2</v>
      </c>
    </row>
    <row r="4492" spans="19:24" x14ac:dyDescent="0.25">
      <c r="S4492" s="44">
        <f t="shared" si="421"/>
        <v>47542</v>
      </c>
      <c r="T4492" s="12">
        <f t="shared" si="422"/>
        <v>1.462247550301538</v>
      </c>
      <c r="U4492" s="12">
        <f t="shared" si="426"/>
        <v>1.4412359836665325</v>
      </c>
      <c r="V4492" s="30">
        <f t="shared" si="423"/>
        <v>0.38106082191780821</v>
      </c>
      <c r="W4492" s="46">
        <f t="shared" si="424"/>
        <v>-1.4622475503015377E-2</v>
      </c>
      <c r="X4492" s="33">
        <f t="shared" si="425"/>
        <v>2.4282860646586673E-2</v>
      </c>
    </row>
    <row r="4493" spans="19:24" x14ac:dyDescent="0.25">
      <c r="S4493" s="44">
        <f t="shared" si="421"/>
        <v>47543</v>
      </c>
      <c r="T4493" s="12">
        <f t="shared" si="422"/>
        <v>1.4595704679999966</v>
      </c>
      <c r="U4493" s="12">
        <f t="shared" si="426"/>
        <v>1.4385848069417431</v>
      </c>
      <c r="V4493" s="30">
        <f t="shared" si="423"/>
        <v>0.38103342465753426</v>
      </c>
      <c r="W4493" s="46">
        <f t="shared" si="424"/>
        <v>-1.4595704679999964E-2</v>
      </c>
      <c r="X4493" s="33">
        <f t="shared" si="425"/>
        <v>2.4282819134313724E-2</v>
      </c>
    </row>
    <row r="4494" spans="19:24" x14ac:dyDescent="0.25">
      <c r="S4494" s="44">
        <f t="shared" si="421"/>
        <v>47544</v>
      </c>
      <c r="T4494" s="12">
        <f t="shared" si="422"/>
        <v>1.4568933856984556</v>
      </c>
      <c r="U4494" s="12">
        <f t="shared" si="426"/>
        <v>1.4359336302169536</v>
      </c>
      <c r="V4494" s="30">
        <f t="shared" si="423"/>
        <v>0.38100602739726025</v>
      </c>
      <c r="W4494" s="46">
        <f t="shared" si="424"/>
        <v>-1.4568933856984554E-2</v>
      </c>
      <c r="X4494" s="33">
        <f t="shared" si="425"/>
        <v>2.4282777622040782E-2</v>
      </c>
    </row>
    <row r="4495" spans="19:24" x14ac:dyDescent="0.25">
      <c r="S4495" s="44">
        <f t="shared" si="421"/>
        <v>47545</v>
      </c>
      <c r="T4495" s="12">
        <f t="shared" si="422"/>
        <v>1.454216303396914</v>
      </c>
      <c r="U4495" s="12">
        <f t="shared" si="426"/>
        <v>1.4332824534921642</v>
      </c>
      <c r="V4495" s="30">
        <f t="shared" si="423"/>
        <v>0.3809786301369863</v>
      </c>
      <c r="W4495" s="46">
        <f t="shared" si="424"/>
        <v>-1.4542163033969137E-2</v>
      </c>
      <c r="X4495" s="33">
        <f t="shared" si="425"/>
        <v>2.428273610976784E-2</v>
      </c>
    </row>
    <row r="4496" spans="19:24" x14ac:dyDescent="0.25">
      <c r="S4496" s="44">
        <f t="shared" si="421"/>
        <v>47546</v>
      </c>
      <c r="T4496" s="12">
        <f t="shared" si="422"/>
        <v>1.4515392210953733</v>
      </c>
      <c r="U4496" s="12">
        <f t="shared" si="426"/>
        <v>1.4306312767673754</v>
      </c>
      <c r="V4496" s="30">
        <f t="shared" si="423"/>
        <v>0.3809512328767124</v>
      </c>
      <c r="W4496" s="46">
        <f t="shared" si="424"/>
        <v>-1.451539221095373E-2</v>
      </c>
      <c r="X4496" s="33">
        <f t="shared" si="425"/>
        <v>2.4282694597494905E-2</v>
      </c>
    </row>
    <row r="4497" spans="19:24" x14ac:dyDescent="0.25">
      <c r="S4497" s="44">
        <f t="shared" si="421"/>
        <v>47547</v>
      </c>
      <c r="T4497" s="12">
        <f t="shared" si="422"/>
        <v>1.4488621387938319</v>
      </c>
      <c r="U4497" s="12">
        <f t="shared" si="426"/>
        <v>1.427980100042586</v>
      </c>
      <c r="V4497" s="30">
        <f t="shared" si="423"/>
        <v>0.38092383561643839</v>
      </c>
      <c r="W4497" s="46">
        <f t="shared" si="424"/>
        <v>-1.4488621387938317E-2</v>
      </c>
      <c r="X4497" s="33">
        <f t="shared" si="425"/>
        <v>2.4282653085221952E-2</v>
      </c>
    </row>
    <row r="4498" spans="19:24" x14ac:dyDescent="0.25">
      <c r="S4498" s="44">
        <f t="shared" si="421"/>
        <v>47548</v>
      </c>
      <c r="T4498" s="12">
        <f t="shared" si="422"/>
        <v>1.4461850564922907</v>
      </c>
      <c r="U4498" s="12">
        <f t="shared" si="426"/>
        <v>1.4253289233177964</v>
      </c>
      <c r="V4498" s="30">
        <f t="shared" si="423"/>
        <v>0.38089643835616438</v>
      </c>
      <c r="W4498" s="46">
        <f t="shared" si="424"/>
        <v>-1.4461850564922905E-2</v>
      </c>
      <c r="X4498" s="33">
        <f t="shared" si="425"/>
        <v>2.428261157294901E-2</v>
      </c>
    </row>
    <row r="4499" spans="19:24" x14ac:dyDescent="0.25">
      <c r="S4499" s="44">
        <f t="shared" si="421"/>
        <v>47549</v>
      </c>
      <c r="T4499" s="12">
        <f t="shared" si="422"/>
        <v>1.4435079741907495</v>
      </c>
      <c r="U4499" s="12">
        <f t="shared" si="426"/>
        <v>1.4226777465930074</v>
      </c>
      <c r="V4499" s="30">
        <f t="shared" si="423"/>
        <v>0.38086904109589043</v>
      </c>
      <c r="W4499" s="46">
        <f t="shared" si="424"/>
        <v>-1.4435079741907492E-2</v>
      </c>
      <c r="X4499" s="33">
        <f t="shared" si="425"/>
        <v>2.4282570060676068E-2</v>
      </c>
    </row>
    <row r="4500" spans="19:24" x14ac:dyDescent="0.25">
      <c r="S4500" s="44">
        <f t="shared" si="421"/>
        <v>47550</v>
      </c>
      <c r="T4500" s="12">
        <f t="shared" si="422"/>
        <v>1.4408308918892083</v>
      </c>
      <c r="U4500" s="12">
        <f t="shared" si="426"/>
        <v>1.4200265698682182</v>
      </c>
      <c r="V4500" s="30">
        <f t="shared" si="423"/>
        <v>0.38084164383561647</v>
      </c>
      <c r="W4500" s="46">
        <f t="shared" si="424"/>
        <v>-1.440830891889208E-2</v>
      </c>
      <c r="X4500" s="33">
        <f t="shared" si="425"/>
        <v>2.4282528548403126E-2</v>
      </c>
    </row>
    <row r="4501" spans="19:24" x14ac:dyDescent="0.25">
      <c r="S4501" s="44">
        <f t="shared" si="421"/>
        <v>47551</v>
      </c>
      <c r="T4501" s="12">
        <f t="shared" si="422"/>
        <v>1.4381538095876671</v>
      </c>
      <c r="U4501" s="12">
        <f t="shared" si="426"/>
        <v>1.4173753931434288</v>
      </c>
      <c r="V4501" s="30">
        <f t="shared" si="423"/>
        <v>0.38081424657534246</v>
      </c>
      <c r="W4501" s="46">
        <f t="shared" si="424"/>
        <v>-1.4381538095876669E-2</v>
      </c>
      <c r="X4501" s="33">
        <f t="shared" si="425"/>
        <v>2.4282487036130177E-2</v>
      </c>
    </row>
    <row r="4502" spans="19:24" x14ac:dyDescent="0.25">
      <c r="S4502" s="44">
        <f t="shared" si="421"/>
        <v>47552</v>
      </c>
      <c r="T4502" s="12">
        <f t="shared" si="422"/>
        <v>1.4354767272861257</v>
      </c>
      <c r="U4502" s="12">
        <f t="shared" si="426"/>
        <v>1.4147242164186395</v>
      </c>
      <c r="V4502" s="30">
        <f t="shared" si="423"/>
        <v>0.38078684931506851</v>
      </c>
      <c r="W4502" s="46">
        <f t="shared" si="424"/>
        <v>-1.4354767272861255E-2</v>
      </c>
      <c r="X4502" s="33">
        <f t="shared" si="425"/>
        <v>2.4282445523857232E-2</v>
      </c>
    </row>
    <row r="4503" spans="19:24" x14ac:dyDescent="0.25">
      <c r="S4503" s="44">
        <f t="shared" si="421"/>
        <v>47553</v>
      </c>
      <c r="T4503" s="12">
        <f t="shared" si="422"/>
        <v>1.4327996449845852</v>
      </c>
      <c r="U4503" s="12">
        <f t="shared" si="426"/>
        <v>1.4120730396938501</v>
      </c>
      <c r="V4503" s="30">
        <f t="shared" si="423"/>
        <v>0.3807594520547945</v>
      </c>
      <c r="W4503" s="46">
        <f t="shared" si="424"/>
        <v>-1.4327996449845851E-2</v>
      </c>
      <c r="X4503" s="33">
        <f t="shared" si="425"/>
        <v>2.428240401158429E-2</v>
      </c>
    </row>
    <row r="4504" spans="19:24" x14ac:dyDescent="0.25">
      <c r="S4504" s="44">
        <f t="shared" si="421"/>
        <v>47554</v>
      </c>
      <c r="T4504" s="12">
        <f t="shared" si="422"/>
        <v>1.4301225626830434</v>
      </c>
      <c r="U4504" s="12">
        <f t="shared" si="426"/>
        <v>1.4094218629690605</v>
      </c>
      <c r="V4504" s="30">
        <f t="shared" si="423"/>
        <v>0.38073205479452055</v>
      </c>
      <c r="W4504" s="46">
        <f t="shared" si="424"/>
        <v>-1.4301225626830432E-2</v>
      </c>
      <c r="X4504" s="33">
        <f t="shared" si="425"/>
        <v>2.4282362499311344E-2</v>
      </c>
    </row>
    <row r="4505" spans="19:24" x14ac:dyDescent="0.25">
      <c r="S4505" s="44">
        <f t="shared" si="421"/>
        <v>47555</v>
      </c>
      <c r="T4505" s="12">
        <f t="shared" si="422"/>
        <v>1.4274454803815024</v>
      </c>
      <c r="U4505" s="12">
        <f t="shared" si="426"/>
        <v>1.4067706862442715</v>
      </c>
      <c r="V4505" s="30">
        <f t="shared" si="423"/>
        <v>0.38070465753424659</v>
      </c>
      <c r="W4505" s="46">
        <f t="shared" si="424"/>
        <v>-1.4274454803815022E-2</v>
      </c>
      <c r="X4505" s="33">
        <f t="shared" si="425"/>
        <v>2.4282320987038405E-2</v>
      </c>
    </row>
    <row r="4506" spans="19:24" x14ac:dyDescent="0.25">
      <c r="S4506" s="44">
        <f t="shared" si="421"/>
        <v>47556</v>
      </c>
      <c r="T4506" s="12">
        <f t="shared" si="422"/>
        <v>1.424768398079961</v>
      </c>
      <c r="U4506" s="12">
        <f t="shared" si="426"/>
        <v>1.4041195095194823</v>
      </c>
      <c r="V4506" s="30">
        <f t="shared" si="423"/>
        <v>0.38067726027397258</v>
      </c>
      <c r="W4506" s="46">
        <f t="shared" si="424"/>
        <v>-1.4247683980799609E-2</v>
      </c>
      <c r="X4506" s="33">
        <f t="shared" si="425"/>
        <v>2.428227947476546E-2</v>
      </c>
    </row>
    <row r="4507" spans="19:24" x14ac:dyDescent="0.25">
      <c r="S4507" s="44">
        <f t="shared" si="421"/>
        <v>47557</v>
      </c>
      <c r="T4507" s="12">
        <f t="shared" si="422"/>
        <v>1.4220913157784201</v>
      </c>
      <c r="U4507" s="12">
        <f t="shared" si="426"/>
        <v>1.4014683327946929</v>
      </c>
      <c r="V4507" s="30">
        <f t="shared" si="423"/>
        <v>0.38064986301369863</v>
      </c>
      <c r="W4507" s="46">
        <f t="shared" si="424"/>
        <v>-1.4220913157784199E-2</v>
      </c>
      <c r="X4507" s="33">
        <f t="shared" si="425"/>
        <v>2.4282237962492518E-2</v>
      </c>
    </row>
    <row r="4508" spans="19:24" x14ac:dyDescent="0.25">
      <c r="S4508" s="44">
        <f t="shared" si="421"/>
        <v>47558</v>
      </c>
      <c r="T4508" s="12">
        <f t="shared" si="422"/>
        <v>1.4194142334768789</v>
      </c>
      <c r="U4508" s="12">
        <f t="shared" si="426"/>
        <v>1.3988171560699032</v>
      </c>
      <c r="V4508" s="30">
        <f t="shared" si="423"/>
        <v>0.38062246575342473</v>
      </c>
      <c r="W4508" s="46">
        <f t="shared" si="424"/>
        <v>-1.4194142334768787E-2</v>
      </c>
      <c r="X4508" s="33">
        <f t="shared" si="425"/>
        <v>2.4282196450219576E-2</v>
      </c>
    </row>
    <row r="4509" spans="19:24" x14ac:dyDescent="0.25">
      <c r="S4509" s="44">
        <f t="shared" si="421"/>
        <v>47559</v>
      </c>
      <c r="T4509" s="12">
        <f t="shared" si="422"/>
        <v>1.4167371511753375</v>
      </c>
      <c r="U4509" s="12">
        <f t="shared" si="426"/>
        <v>1.3961659793451142</v>
      </c>
      <c r="V4509" s="30">
        <f t="shared" si="423"/>
        <v>0.38059506849315072</v>
      </c>
      <c r="W4509" s="46">
        <f t="shared" si="424"/>
        <v>-1.4167371511753372E-2</v>
      </c>
      <c r="X4509" s="33">
        <f t="shared" si="425"/>
        <v>2.4282154937946634E-2</v>
      </c>
    </row>
    <row r="4510" spans="19:24" x14ac:dyDescent="0.25">
      <c r="S4510" s="44">
        <f t="shared" si="421"/>
        <v>47560</v>
      </c>
      <c r="T4510" s="12">
        <f t="shared" si="422"/>
        <v>1.4140600688737965</v>
      </c>
      <c r="U4510" s="12">
        <f t="shared" si="426"/>
        <v>1.3935148026203255</v>
      </c>
      <c r="V4510" s="30">
        <f t="shared" si="423"/>
        <v>0.38056767123287671</v>
      </c>
      <c r="W4510" s="46">
        <f t="shared" si="424"/>
        <v>-1.4140600688737964E-2</v>
      </c>
      <c r="X4510" s="33">
        <f t="shared" si="425"/>
        <v>2.4282113425673685E-2</v>
      </c>
    </row>
    <row r="4511" spans="19:24" x14ac:dyDescent="0.25">
      <c r="S4511" s="44">
        <f t="shared" si="421"/>
        <v>47561</v>
      </c>
      <c r="T4511" s="12">
        <f t="shared" si="422"/>
        <v>1.4113829865722549</v>
      </c>
      <c r="U4511" s="12">
        <f t="shared" si="426"/>
        <v>1.3908636258955358</v>
      </c>
      <c r="V4511" s="30">
        <f t="shared" si="423"/>
        <v>0.38054027397260276</v>
      </c>
      <c r="W4511" s="46">
        <f t="shared" si="424"/>
        <v>-1.4113829865722547E-2</v>
      </c>
      <c r="X4511" s="33">
        <f t="shared" si="425"/>
        <v>2.4282071913400739E-2</v>
      </c>
    </row>
    <row r="4512" spans="19:24" x14ac:dyDescent="0.25">
      <c r="S4512" s="44">
        <f t="shared" si="421"/>
        <v>47562</v>
      </c>
      <c r="T4512" s="12">
        <f t="shared" si="422"/>
        <v>1.4087059042707142</v>
      </c>
      <c r="U4512" s="12">
        <f t="shared" si="426"/>
        <v>1.3882124491707462</v>
      </c>
      <c r="V4512" s="30">
        <f t="shared" si="423"/>
        <v>0.38051287671232875</v>
      </c>
      <c r="W4512" s="46">
        <f t="shared" si="424"/>
        <v>-1.4087059042707139E-2</v>
      </c>
      <c r="X4512" s="33">
        <f t="shared" si="425"/>
        <v>2.4282030401127797E-2</v>
      </c>
    </row>
    <row r="4513" spans="19:24" x14ac:dyDescent="0.25">
      <c r="S4513" s="44">
        <f t="shared" si="421"/>
        <v>47563</v>
      </c>
      <c r="T4513" s="12">
        <f t="shared" si="422"/>
        <v>1.4060288219691726</v>
      </c>
      <c r="U4513" s="12">
        <f t="shared" si="426"/>
        <v>1.3855612724459569</v>
      </c>
      <c r="V4513" s="30">
        <f t="shared" si="423"/>
        <v>0.3804854794520548</v>
      </c>
      <c r="W4513" s="46">
        <f t="shared" si="424"/>
        <v>-1.4060288219691724E-2</v>
      </c>
      <c r="X4513" s="33">
        <f t="shared" si="425"/>
        <v>2.4281988888854848E-2</v>
      </c>
    </row>
    <row r="4514" spans="19:24" x14ac:dyDescent="0.25">
      <c r="S4514" s="44">
        <f t="shared" si="421"/>
        <v>47564</v>
      </c>
      <c r="T4514" s="12">
        <f t="shared" si="422"/>
        <v>1.403351739667632</v>
      </c>
      <c r="U4514" s="12">
        <f t="shared" si="426"/>
        <v>1.3829100957211677</v>
      </c>
      <c r="V4514" s="30">
        <f t="shared" si="423"/>
        <v>0.38045808219178084</v>
      </c>
      <c r="W4514" s="46">
        <f t="shared" si="424"/>
        <v>-1.4033517396676319E-2</v>
      </c>
      <c r="X4514" s="33">
        <f t="shared" si="425"/>
        <v>2.4281947376581913E-2</v>
      </c>
    </row>
    <row r="4515" spans="19:24" x14ac:dyDescent="0.25">
      <c r="S4515" s="44">
        <f t="shared" si="421"/>
        <v>47565</v>
      </c>
      <c r="T4515" s="12">
        <f t="shared" si="422"/>
        <v>1.4006746573660904</v>
      </c>
      <c r="U4515" s="12">
        <f t="shared" si="426"/>
        <v>1.3802589189963785</v>
      </c>
      <c r="V4515" s="30">
        <f t="shared" si="423"/>
        <v>0.38043068493150684</v>
      </c>
      <c r="W4515" s="46">
        <f t="shared" si="424"/>
        <v>-1.4006746573660902E-2</v>
      </c>
      <c r="X4515" s="33">
        <f t="shared" si="425"/>
        <v>2.4281905864308961E-2</v>
      </c>
    </row>
    <row r="4516" spans="19:24" x14ac:dyDescent="0.25">
      <c r="S4516" s="44">
        <f t="shared" si="421"/>
        <v>47566</v>
      </c>
      <c r="T4516" s="12">
        <f t="shared" si="422"/>
        <v>1.397997575064549</v>
      </c>
      <c r="U4516" s="12">
        <f t="shared" si="426"/>
        <v>1.3776077422715893</v>
      </c>
      <c r="V4516" s="30">
        <f t="shared" si="423"/>
        <v>0.38040328767123283</v>
      </c>
      <c r="W4516" s="46">
        <f t="shared" si="424"/>
        <v>-1.3979975750645489E-2</v>
      </c>
      <c r="X4516" s="33">
        <f t="shared" si="425"/>
        <v>2.4281864352036019E-2</v>
      </c>
    </row>
    <row r="4517" spans="19:24" x14ac:dyDescent="0.25">
      <c r="S4517" s="44">
        <f t="shared" si="421"/>
        <v>47567</v>
      </c>
      <c r="T4517" s="12">
        <f t="shared" si="422"/>
        <v>1.3953204927630081</v>
      </c>
      <c r="U4517" s="12">
        <f t="shared" si="426"/>
        <v>1.3749565655467999</v>
      </c>
      <c r="V4517" s="30">
        <f t="shared" si="423"/>
        <v>0.38037589041095887</v>
      </c>
      <c r="W4517" s="46">
        <f t="shared" si="424"/>
        <v>-1.3953204927630079E-2</v>
      </c>
      <c r="X4517" s="33">
        <f t="shared" si="425"/>
        <v>2.428182283976307E-2</v>
      </c>
    </row>
    <row r="4518" spans="19:24" x14ac:dyDescent="0.25">
      <c r="S4518" s="44">
        <f t="shared" si="421"/>
        <v>47568</v>
      </c>
      <c r="T4518" s="12">
        <f t="shared" si="422"/>
        <v>1.3926434104614667</v>
      </c>
      <c r="U4518" s="12">
        <f t="shared" si="426"/>
        <v>1.3723053888220109</v>
      </c>
      <c r="V4518" s="30">
        <f t="shared" si="423"/>
        <v>0.38034849315068492</v>
      </c>
      <c r="W4518" s="46">
        <f t="shared" si="424"/>
        <v>-1.3926434104614664E-2</v>
      </c>
      <c r="X4518" s="33">
        <f t="shared" si="425"/>
        <v>2.4281781327490135E-2</v>
      </c>
    </row>
    <row r="4519" spans="19:24" x14ac:dyDescent="0.25">
      <c r="S4519" s="44">
        <f t="shared" si="421"/>
        <v>47569</v>
      </c>
      <c r="T4519" s="12">
        <f t="shared" si="422"/>
        <v>1.3899663281599255</v>
      </c>
      <c r="U4519" s="12">
        <f t="shared" si="426"/>
        <v>1.3696542120972215</v>
      </c>
      <c r="V4519" s="30">
        <f t="shared" si="423"/>
        <v>0.38032109589041097</v>
      </c>
      <c r="W4519" s="46">
        <f t="shared" si="424"/>
        <v>-1.3899663281599252E-2</v>
      </c>
      <c r="X4519" s="33">
        <f t="shared" si="425"/>
        <v>2.4281739815217186E-2</v>
      </c>
    </row>
    <row r="4520" spans="19:24" x14ac:dyDescent="0.25">
      <c r="S4520" s="44">
        <f t="shared" si="421"/>
        <v>47570</v>
      </c>
      <c r="T4520" s="12">
        <f t="shared" si="422"/>
        <v>1.3872892458583845</v>
      </c>
      <c r="U4520" s="12">
        <f t="shared" si="426"/>
        <v>1.3670030353724318</v>
      </c>
      <c r="V4520" s="30">
        <f t="shared" si="423"/>
        <v>0.38029369863013701</v>
      </c>
      <c r="W4520" s="46">
        <f t="shared" si="424"/>
        <v>-1.3872892458583844E-2</v>
      </c>
      <c r="X4520" s="33">
        <f t="shared" si="425"/>
        <v>2.4281698302944243E-2</v>
      </c>
    </row>
    <row r="4521" spans="19:24" x14ac:dyDescent="0.25">
      <c r="S4521" s="44">
        <f t="shared" si="421"/>
        <v>47571</v>
      </c>
      <c r="T4521" s="12">
        <f t="shared" si="422"/>
        <v>1.3846121635568434</v>
      </c>
      <c r="U4521" s="12">
        <f t="shared" si="426"/>
        <v>1.3643518586476429</v>
      </c>
      <c r="V4521" s="30">
        <f t="shared" si="423"/>
        <v>0.380266301369863</v>
      </c>
      <c r="W4521" s="46">
        <f t="shared" si="424"/>
        <v>-1.3846121635568431E-2</v>
      </c>
      <c r="X4521" s="33">
        <f t="shared" si="425"/>
        <v>2.4281656790671298E-2</v>
      </c>
    </row>
    <row r="4522" spans="19:24" x14ac:dyDescent="0.25">
      <c r="S4522" s="44">
        <f t="shared" si="421"/>
        <v>47572</v>
      </c>
      <c r="T4522" s="12">
        <f t="shared" si="422"/>
        <v>1.381935081255302</v>
      </c>
      <c r="U4522" s="12">
        <f t="shared" si="426"/>
        <v>1.3617006819228532</v>
      </c>
      <c r="V4522" s="30">
        <f t="shared" si="423"/>
        <v>0.38023890410958905</v>
      </c>
      <c r="W4522" s="46">
        <f t="shared" si="424"/>
        <v>-1.3819350812553017E-2</v>
      </c>
      <c r="X4522" s="33">
        <f t="shared" si="425"/>
        <v>2.4281615278398356E-2</v>
      </c>
    </row>
    <row r="4523" spans="19:24" x14ac:dyDescent="0.25">
      <c r="S4523" s="44">
        <f t="shared" si="421"/>
        <v>47573</v>
      </c>
      <c r="T4523" s="12">
        <f t="shared" si="422"/>
        <v>1.3792579989537608</v>
      </c>
      <c r="U4523" s="12">
        <f t="shared" si="426"/>
        <v>1.3590495051980644</v>
      </c>
      <c r="V4523" s="30">
        <f t="shared" si="423"/>
        <v>0.3802115068493151</v>
      </c>
      <c r="W4523" s="46">
        <f t="shared" si="424"/>
        <v>-1.3792579989537606E-2</v>
      </c>
      <c r="X4523" s="33">
        <f t="shared" si="425"/>
        <v>2.4281573766125414E-2</v>
      </c>
    </row>
    <row r="4524" spans="19:24" x14ac:dyDescent="0.25">
      <c r="S4524" s="44">
        <f t="shared" si="421"/>
        <v>47574</v>
      </c>
      <c r="T4524" s="12">
        <f t="shared" si="422"/>
        <v>1.3765809166522194</v>
      </c>
      <c r="U4524" s="12">
        <f t="shared" si="426"/>
        <v>1.3563983284732746</v>
      </c>
      <c r="V4524" s="30">
        <f t="shared" si="423"/>
        <v>0.38018410958904109</v>
      </c>
      <c r="W4524" s="46">
        <f t="shared" si="424"/>
        <v>-1.3765809166522192E-2</v>
      </c>
      <c r="X4524" s="33">
        <f t="shared" si="425"/>
        <v>2.4281532253852468E-2</v>
      </c>
    </row>
    <row r="4525" spans="19:24" x14ac:dyDescent="0.25">
      <c r="S4525" s="44">
        <f t="shared" si="421"/>
        <v>47575</v>
      </c>
      <c r="T4525" s="12">
        <f t="shared" si="422"/>
        <v>1.3739038343506786</v>
      </c>
      <c r="U4525" s="12">
        <f t="shared" si="426"/>
        <v>1.3537471517484858</v>
      </c>
      <c r="V4525" s="30">
        <f t="shared" si="423"/>
        <v>0.38015671232876713</v>
      </c>
      <c r="W4525" s="46">
        <f t="shared" si="424"/>
        <v>-1.3739038343506784E-2</v>
      </c>
      <c r="X4525" s="33">
        <f t="shared" si="425"/>
        <v>2.4281490741579526E-2</v>
      </c>
    </row>
    <row r="4526" spans="19:24" x14ac:dyDescent="0.25">
      <c r="S4526" s="44">
        <f t="shared" si="421"/>
        <v>47576</v>
      </c>
      <c r="T4526" s="12">
        <f t="shared" si="422"/>
        <v>1.3712267520491372</v>
      </c>
      <c r="U4526" s="12">
        <f t="shared" si="426"/>
        <v>1.3510959750236962</v>
      </c>
      <c r="V4526" s="30">
        <f t="shared" si="423"/>
        <v>0.38012931506849318</v>
      </c>
      <c r="W4526" s="46">
        <f t="shared" si="424"/>
        <v>-1.3712267520491371E-2</v>
      </c>
      <c r="X4526" s="33">
        <f t="shared" si="425"/>
        <v>2.4281449229306584E-2</v>
      </c>
    </row>
    <row r="4527" spans="19:24" x14ac:dyDescent="0.25">
      <c r="S4527" s="44">
        <f t="shared" si="421"/>
        <v>47577</v>
      </c>
      <c r="T4527" s="12">
        <f t="shared" si="422"/>
        <v>1.3685496697475961</v>
      </c>
      <c r="U4527" s="12">
        <f t="shared" si="426"/>
        <v>1.3484447982989072</v>
      </c>
      <c r="V4527" s="30">
        <f t="shared" si="423"/>
        <v>0.38010191780821917</v>
      </c>
      <c r="W4527" s="46">
        <f t="shared" si="424"/>
        <v>-1.3685496697475959E-2</v>
      </c>
      <c r="X4527" s="33">
        <f t="shared" si="425"/>
        <v>2.4281407717033635E-2</v>
      </c>
    </row>
    <row r="4528" spans="19:24" x14ac:dyDescent="0.25">
      <c r="S4528" s="44">
        <f t="shared" si="421"/>
        <v>47578</v>
      </c>
      <c r="T4528" s="12">
        <f t="shared" si="422"/>
        <v>1.3658725874460547</v>
      </c>
      <c r="U4528" s="12">
        <f t="shared" si="426"/>
        <v>1.345793621574118</v>
      </c>
      <c r="V4528" s="30">
        <f t="shared" si="423"/>
        <v>0.38007452054794522</v>
      </c>
      <c r="W4528" s="46">
        <f t="shared" si="424"/>
        <v>-1.3658725874460544E-2</v>
      </c>
      <c r="X4528" s="33">
        <f t="shared" si="425"/>
        <v>2.4281366204760693E-2</v>
      </c>
    </row>
    <row r="4529" spans="19:24" x14ac:dyDescent="0.25">
      <c r="S4529" s="44">
        <f t="shared" si="421"/>
        <v>47579</v>
      </c>
      <c r="T4529" s="12">
        <f t="shared" si="422"/>
        <v>1.3631955051445137</v>
      </c>
      <c r="U4529" s="12">
        <f t="shared" si="426"/>
        <v>1.3431424448493283</v>
      </c>
      <c r="V4529" s="30">
        <f t="shared" si="423"/>
        <v>0.38004712328767121</v>
      </c>
      <c r="W4529" s="46">
        <f t="shared" si="424"/>
        <v>-1.3631955051445136E-2</v>
      </c>
      <c r="X4529" s="33">
        <f t="shared" si="425"/>
        <v>2.4281324692487748E-2</v>
      </c>
    </row>
    <row r="4530" spans="19:24" x14ac:dyDescent="0.25">
      <c r="S4530" s="44">
        <f t="shared" si="421"/>
        <v>47580</v>
      </c>
      <c r="T4530" s="12">
        <f t="shared" si="422"/>
        <v>1.3605184228429721</v>
      </c>
      <c r="U4530" s="12">
        <f t="shared" si="426"/>
        <v>1.3404912681245391</v>
      </c>
      <c r="V4530" s="30">
        <f t="shared" si="423"/>
        <v>0.38001972602739725</v>
      </c>
      <c r="W4530" s="46">
        <f t="shared" si="424"/>
        <v>-1.3605184228429719E-2</v>
      </c>
      <c r="X4530" s="33">
        <f t="shared" si="425"/>
        <v>2.4281283180214806E-2</v>
      </c>
    </row>
    <row r="4531" spans="19:24" x14ac:dyDescent="0.25">
      <c r="S4531" s="44">
        <f t="shared" ref="S4531:S4594" si="427">+S4530+1</f>
        <v>47581</v>
      </c>
      <c r="T4531" s="12">
        <f t="shared" si="422"/>
        <v>1.3578413405414316</v>
      </c>
      <c r="U4531" s="12">
        <f t="shared" si="426"/>
        <v>1.3378400913997497</v>
      </c>
      <c r="V4531" s="30">
        <f t="shared" si="423"/>
        <v>0.3799923287671233</v>
      </c>
      <c r="W4531" s="46">
        <f t="shared" si="424"/>
        <v>-1.3578413405414314E-2</v>
      </c>
      <c r="X4531" s="33">
        <f t="shared" si="425"/>
        <v>2.4281241667941864E-2</v>
      </c>
    </row>
    <row r="4532" spans="19:24" x14ac:dyDescent="0.25">
      <c r="S4532" s="44">
        <f t="shared" si="427"/>
        <v>47582</v>
      </c>
      <c r="T4532" s="12">
        <f t="shared" si="422"/>
        <v>1.3551642582398902</v>
      </c>
      <c r="U4532" s="12">
        <f t="shared" si="426"/>
        <v>1.3351889146749605</v>
      </c>
      <c r="V4532" s="30">
        <f t="shared" si="423"/>
        <v>0.37996493150684935</v>
      </c>
      <c r="W4532" s="46">
        <f t="shared" si="424"/>
        <v>-1.3551642582398899E-2</v>
      </c>
      <c r="X4532" s="33">
        <f t="shared" si="425"/>
        <v>2.4281200155668922E-2</v>
      </c>
    </row>
    <row r="4533" spans="19:24" x14ac:dyDescent="0.25">
      <c r="S4533" s="44">
        <f t="shared" si="427"/>
        <v>47583</v>
      </c>
      <c r="T4533" s="12">
        <f t="shared" si="422"/>
        <v>1.3524871759383488</v>
      </c>
      <c r="U4533" s="12">
        <f t="shared" si="426"/>
        <v>1.3325377379501711</v>
      </c>
      <c r="V4533" s="30">
        <f t="shared" si="423"/>
        <v>0.37993753424657534</v>
      </c>
      <c r="W4533" s="46">
        <f t="shared" si="424"/>
        <v>-1.3524871759383486E-2</v>
      </c>
      <c r="X4533" s="33">
        <f t="shared" si="425"/>
        <v>2.4281158643395973E-2</v>
      </c>
    </row>
    <row r="4534" spans="19:24" x14ac:dyDescent="0.25">
      <c r="S4534" s="44">
        <f t="shared" si="427"/>
        <v>47584</v>
      </c>
      <c r="T4534" s="12">
        <f t="shared" si="422"/>
        <v>1.3498100936368076</v>
      </c>
      <c r="U4534" s="12">
        <f t="shared" si="426"/>
        <v>1.3298865612253816</v>
      </c>
      <c r="V4534" s="30">
        <f t="shared" si="423"/>
        <v>0.37991013698630138</v>
      </c>
      <c r="W4534" s="46">
        <f t="shared" si="424"/>
        <v>-1.3498100936368074E-2</v>
      </c>
      <c r="X4534" s="33">
        <f t="shared" si="425"/>
        <v>2.428111713112303E-2</v>
      </c>
    </row>
    <row r="4535" spans="19:24" x14ac:dyDescent="0.25">
      <c r="S4535" s="44">
        <f t="shared" si="427"/>
        <v>47585</v>
      </c>
      <c r="T4535" s="12">
        <f t="shared" si="422"/>
        <v>1.3471330113352666</v>
      </c>
      <c r="U4535" s="12">
        <f t="shared" si="426"/>
        <v>1.3272353845005924</v>
      </c>
      <c r="V4535" s="30">
        <f t="shared" si="423"/>
        <v>0.37988273972602743</v>
      </c>
      <c r="W4535" s="46">
        <f t="shared" si="424"/>
        <v>-1.3471330113352664E-2</v>
      </c>
      <c r="X4535" s="33">
        <f t="shared" si="425"/>
        <v>2.4281075618850088E-2</v>
      </c>
    </row>
    <row r="4536" spans="19:24" x14ac:dyDescent="0.25">
      <c r="S4536" s="44">
        <f t="shared" si="427"/>
        <v>47586</v>
      </c>
      <c r="T4536" s="12">
        <f t="shared" si="422"/>
        <v>1.3444559290337252</v>
      </c>
      <c r="U4536" s="12">
        <f t="shared" si="426"/>
        <v>1.3245842077758034</v>
      </c>
      <c r="V4536" s="30">
        <f t="shared" si="423"/>
        <v>0.37985534246575342</v>
      </c>
      <c r="W4536" s="46">
        <f t="shared" si="424"/>
        <v>-1.3444559290337251E-2</v>
      </c>
      <c r="X4536" s="33">
        <f t="shared" si="425"/>
        <v>2.4281034106577143E-2</v>
      </c>
    </row>
    <row r="4537" spans="19:24" x14ac:dyDescent="0.25">
      <c r="S4537" s="44">
        <f t="shared" si="427"/>
        <v>47587</v>
      </c>
      <c r="T4537" s="12">
        <f t="shared" si="422"/>
        <v>1.3417788467321841</v>
      </c>
      <c r="U4537" s="12">
        <f t="shared" si="426"/>
        <v>1.3219330310510136</v>
      </c>
      <c r="V4537" s="30">
        <f t="shared" si="423"/>
        <v>0.37982794520547947</v>
      </c>
      <c r="W4537" s="46">
        <f t="shared" si="424"/>
        <v>-1.3417788467321839E-2</v>
      </c>
      <c r="X4537" s="33">
        <f t="shared" si="425"/>
        <v>2.4280992594304201E-2</v>
      </c>
    </row>
    <row r="4538" spans="19:24" x14ac:dyDescent="0.25">
      <c r="S4538" s="44">
        <f t="shared" si="427"/>
        <v>47588</v>
      </c>
      <c r="T4538" s="12">
        <f t="shared" si="422"/>
        <v>1.3391017644306429</v>
      </c>
      <c r="U4538" s="12">
        <f t="shared" si="426"/>
        <v>1.3192818543262248</v>
      </c>
      <c r="V4538" s="30">
        <f t="shared" si="423"/>
        <v>0.37980054794520546</v>
      </c>
      <c r="W4538" s="46">
        <f t="shared" si="424"/>
        <v>-1.3391017644306428E-2</v>
      </c>
      <c r="X4538" s="33">
        <f t="shared" si="425"/>
        <v>2.4280951082031252E-2</v>
      </c>
    </row>
    <row r="4539" spans="19:24" x14ac:dyDescent="0.25">
      <c r="S4539" s="44">
        <f t="shared" si="427"/>
        <v>47589</v>
      </c>
      <c r="T4539" s="12">
        <f t="shared" si="422"/>
        <v>1.3364246821291017</v>
      </c>
      <c r="U4539" s="12">
        <f t="shared" si="426"/>
        <v>1.3166306776014356</v>
      </c>
      <c r="V4539" s="30">
        <f t="shared" si="423"/>
        <v>0.3797731506849315</v>
      </c>
      <c r="W4539" s="46">
        <f t="shared" si="424"/>
        <v>-1.3364246821291016E-2</v>
      </c>
      <c r="X4539" s="33">
        <f t="shared" si="425"/>
        <v>2.428090956975831E-2</v>
      </c>
    </row>
    <row r="4540" spans="19:24" x14ac:dyDescent="0.25">
      <c r="S4540" s="44">
        <f t="shared" si="427"/>
        <v>47590</v>
      </c>
      <c r="T4540" s="12">
        <f t="shared" si="422"/>
        <v>1.3337475998275603</v>
      </c>
      <c r="U4540" s="12">
        <f t="shared" si="426"/>
        <v>1.3139795008766462</v>
      </c>
      <c r="V4540" s="30">
        <f t="shared" si="423"/>
        <v>0.37974575342465755</v>
      </c>
      <c r="W4540" s="46">
        <f t="shared" si="424"/>
        <v>-1.3337475998275601E-2</v>
      </c>
      <c r="X4540" s="33">
        <f t="shared" si="425"/>
        <v>2.4280868057485368E-2</v>
      </c>
    </row>
    <row r="4541" spans="19:24" x14ac:dyDescent="0.25">
      <c r="S4541" s="44">
        <f t="shared" si="427"/>
        <v>47591</v>
      </c>
      <c r="T4541" s="12">
        <f t="shared" si="422"/>
        <v>1.3310705175260193</v>
      </c>
      <c r="U4541" s="12">
        <f t="shared" si="426"/>
        <v>1.3113283241518567</v>
      </c>
      <c r="V4541" s="30">
        <f t="shared" si="423"/>
        <v>0.37971835616438354</v>
      </c>
      <c r="W4541" s="46">
        <f t="shared" si="424"/>
        <v>-1.3310705175260191E-2</v>
      </c>
      <c r="X4541" s="33">
        <f t="shared" si="425"/>
        <v>2.4280826545212422E-2</v>
      </c>
    </row>
    <row r="4542" spans="19:24" x14ac:dyDescent="0.25">
      <c r="S4542" s="44">
        <f t="shared" si="427"/>
        <v>47592</v>
      </c>
      <c r="T4542" s="12">
        <f t="shared" si="422"/>
        <v>1.3283934352244782</v>
      </c>
      <c r="U4542" s="12">
        <f t="shared" si="426"/>
        <v>1.3086771474270675</v>
      </c>
      <c r="V4542" s="30">
        <f t="shared" si="423"/>
        <v>0.37969095890410959</v>
      </c>
      <c r="W4542" s="46">
        <f t="shared" si="424"/>
        <v>-1.3283934352244779E-2</v>
      </c>
      <c r="X4542" s="33">
        <f t="shared" si="425"/>
        <v>2.428078503293948E-2</v>
      </c>
    </row>
    <row r="4543" spans="19:24" x14ac:dyDescent="0.25">
      <c r="S4543" s="44">
        <f t="shared" si="427"/>
        <v>47593</v>
      </c>
      <c r="T4543" s="12">
        <f t="shared" si="422"/>
        <v>1.325716352922937</v>
      </c>
      <c r="U4543" s="12">
        <f t="shared" si="426"/>
        <v>1.3060259707022779</v>
      </c>
      <c r="V4543" s="30">
        <f t="shared" si="423"/>
        <v>0.37966356164383563</v>
      </c>
      <c r="W4543" s="46">
        <f t="shared" si="424"/>
        <v>-1.3257163529229368E-2</v>
      </c>
      <c r="X4543" s="33">
        <f t="shared" si="425"/>
        <v>2.4280743520666538E-2</v>
      </c>
    </row>
    <row r="4544" spans="19:24" x14ac:dyDescent="0.25">
      <c r="S4544" s="44">
        <f t="shared" si="427"/>
        <v>47594</v>
      </c>
      <c r="T4544" s="12">
        <f t="shared" si="422"/>
        <v>1.3230392706213956</v>
      </c>
      <c r="U4544" s="12">
        <f t="shared" si="426"/>
        <v>1.3033747939774887</v>
      </c>
      <c r="V4544" s="30">
        <f t="shared" si="423"/>
        <v>0.37963616438356168</v>
      </c>
      <c r="W4544" s="46">
        <f t="shared" si="424"/>
        <v>-1.3230392706213954E-2</v>
      </c>
      <c r="X4544" s="33">
        <f t="shared" si="425"/>
        <v>2.4280702008393596E-2</v>
      </c>
    </row>
    <row r="4545" spans="19:24" x14ac:dyDescent="0.25">
      <c r="S4545" s="44">
        <f t="shared" si="427"/>
        <v>47595</v>
      </c>
      <c r="T4545" s="12">
        <f t="shared" si="422"/>
        <v>1.3203621883198544</v>
      </c>
      <c r="U4545" s="12">
        <f t="shared" si="426"/>
        <v>1.3007236172526995</v>
      </c>
      <c r="V4545" s="30">
        <f t="shared" si="423"/>
        <v>0.37960876712328767</v>
      </c>
      <c r="W4545" s="46">
        <f t="shared" si="424"/>
        <v>-1.3203621883198543E-2</v>
      </c>
      <c r="X4545" s="33">
        <f t="shared" si="425"/>
        <v>2.4280660496120651E-2</v>
      </c>
    </row>
    <row r="4546" spans="19:24" x14ac:dyDescent="0.25">
      <c r="S4546" s="44">
        <f t="shared" si="427"/>
        <v>47596</v>
      </c>
      <c r="T4546" s="12">
        <f t="shared" si="422"/>
        <v>1.3176851060183132</v>
      </c>
      <c r="U4546" s="12">
        <f t="shared" si="426"/>
        <v>1.2980724405279103</v>
      </c>
      <c r="V4546" s="30">
        <f t="shared" si="423"/>
        <v>0.37958136986301372</v>
      </c>
      <c r="W4546" s="46">
        <f t="shared" si="424"/>
        <v>-1.3176851060183131E-2</v>
      </c>
      <c r="X4546" s="33">
        <f t="shared" si="425"/>
        <v>2.4280618983847709E-2</v>
      </c>
    </row>
    <row r="4547" spans="19:24" x14ac:dyDescent="0.25">
      <c r="S4547" s="44">
        <f t="shared" si="427"/>
        <v>47597</v>
      </c>
      <c r="T4547" s="12">
        <f t="shared" si="422"/>
        <v>1.3150080237167721</v>
      </c>
      <c r="U4547" s="12">
        <f t="shared" si="426"/>
        <v>1.2954212638031213</v>
      </c>
      <c r="V4547" s="30">
        <f t="shared" si="423"/>
        <v>0.37955397260273976</v>
      </c>
      <c r="W4547" s="46">
        <f t="shared" si="424"/>
        <v>-1.3150080237167719E-2</v>
      </c>
      <c r="X4547" s="33">
        <f t="shared" si="425"/>
        <v>2.428057747157476E-2</v>
      </c>
    </row>
    <row r="4548" spans="19:24" x14ac:dyDescent="0.25">
      <c r="S4548" s="44">
        <f t="shared" si="427"/>
        <v>47598</v>
      </c>
      <c r="T4548" s="12">
        <f t="shared" si="422"/>
        <v>1.3123309414152311</v>
      </c>
      <c r="U4548" s="12">
        <f t="shared" si="426"/>
        <v>1.2927700870783319</v>
      </c>
      <c r="V4548" s="30">
        <f t="shared" si="423"/>
        <v>0.37952657534246576</v>
      </c>
      <c r="W4548" s="46">
        <f t="shared" si="424"/>
        <v>-1.3123309414152309E-2</v>
      </c>
      <c r="X4548" s="33">
        <f t="shared" si="425"/>
        <v>2.4280535959301817E-2</v>
      </c>
    </row>
    <row r="4549" spans="19:24" x14ac:dyDescent="0.25">
      <c r="S4549" s="44">
        <f t="shared" si="427"/>
        <v>47599</v>
      </c>
      <c r="T4549" s="12">
        <f t="shared" ref="T4549:T4612" si="428">DurMod(S4549,B$2,$F$7:$G$37,$T$3)</f>
        <v>1.3096538591136897</v>
      </c>
      <c r="U4549" s="12">
        <f t="shared" si="426"/>
        <v>1.2901189103535424</v>
      </c>
      <c r="V4549" s="30">
        <f t="shared" ref="V4549:V4612" si="429">+$U$3*($S$5512-S4549)/365+$T$3*(S4549-$S$4)/365</f>
        <v>0.3794991780821918</v>
      </c>
      <c r="W4549" s="46">
        <f t="shared" ref="W4549:W4612" si="430">+-T4549*($U$3-$T$3)</f>
        <v>-1.3096538591136894E-2</v>
      </c>
      <c r="X4549" s="33">
        <f t="shared" ref="X4549:X4612" si="431">+(V4549+W4549)*365/($S$5512-$S$4)</f>
        <v>2.4280494447028875E-2</v>
      </c>
    </row>
    <row r="4550" spans="19:24" x14ac:dyDescent="0.25">
      <c r="S4550" s="44">
        <f t="shared" si="427"/>
        <v>47600</v>
      </c>
      <c r="T4550" s="12">
        <f t="shared" si="428"/>
        <v>1.3069767768121485</v>
      </c>
      <c r="U4550" s="12">
        <f t="shared" ref="U4550:U4613" si="432">DurMod($S4550,$B$2,$F$7:$G$37,U$3)</f>
        <v>1.287467733628753</v>
      </c>
      <c r="V4550" s="30">
        <f t="shared" si="429"/>
        <v>0.37947178082191779</v>
      </c>
      <c r="W4550" s="46">
        <f t="shared" si="430"/>
        <v>-1.3069767768121483E-2</v>
      </c>
      <c r="X4550" s="33">
        <f t="shared" si="431"/>
        <v>2.428045293475593E-2</v>
      </c>
    </row>
    <row r="4551" spans="19:24" x14ac:dyDescent="0.25">
      <c r="S4551" s="44">
        <f t="shared" si="427"/>
        <v>47601</v>
      </c>
      <c r="T4551" s="12">
        <f t="shared" si="428"/>
        <v>1.3042996945106073</v>
      </c>
      <c r="U4551" s="12">
        <f t="shared" si="432"/>
        <v>1.2848165569039638</v>
      </c>
      <c r="V4551" s="30">
        <f t="shared" si="429"/>
        <v>0.37944438356164384</v>
      </c>
      <c r="W4551" s="46">
        <f t="shared" si="430"/>
        <v>-1.3042996945106071E-2</v>
      </c>
      <c r="X4551" s="33">
        <f t="shared" si="431"/>
        <v>2.4280411422482988E-2</v>
      </c>
    </row>
    <row r="4552" spans="19:24" x14ac:dyDescent="0.25">
      <c r="S4552" s="44">
        <f t="shared" si="427"/>
        <v>47602</v>
      </c>
      <c r="T4552" s="12">
        <f t="shared" si="428"/>
        <v>1.3016226122090662</v>
      </c>
      <c r="U4552" s="12">
        <f t="shared" si="432"/>
        <v>1.2821653801791744</v>
      </c>
      <c r="V4552" s="30">
        <f t="shared" si="429"/>
        <v>0.37941698630136989</v>
      </c>
      <c r="W4552" s="46">
        <f t="shared" si="430"/>
        <v>-1.3016226122090659E-2</v>
      </c>
      <c r="X4552" s="33">
        <f t="shared" si="431"/>
        <v>2.4280369910210046E-2</v>
      </c>
    </row>
    <row r="4553" spans="19:24" x14ac:dyDescent="0.25">
      <c r="S4553" s="44">
        <f t="shared" si="427"/>
        <v>47603</v>
      </c>
      <c r="T4553" s="12">
        <f t="shared" si="428"/>
        <v>1.2989455299075248</v>
      </c>
      <c r="U4553" s="12">
        <f t="shared" si="432"/>
        <v>1.2795142034543852</v>
      </c>
      <c r="V4553" s="30">
        <f t="shared" si="429"/>
        <v>0.37938958904109588</v>
      </c>
      <c r="W4553" s="46">
        <f t="shared" si="430"/>
        <v>-1.2989455299075246E-2</v>
      </c>
      <c r="X4553" s="33">
        <f t="shared" si="431"/>
        <v>2.4280328397937097E-2</v>
      </c>
    </row>
    <row r="4554" spans="19:24" x14ac:dyDescent="0.25">
      <c r="S4554" s="44">
        <f t="shared" si="427"/>
        <v>47604</v>
      </c>
      <c r="T4554" s="12">
        <f t="shared" si="428"/>
        <v>1.2962684476059836</v>
      </c>
      <c r="U4554" s="12">
        <f t="shared" si="432"/>
        <v>1.276863026729596</v>
      </c>
      <c r="V4554" s="30">
        <f t="shared" si="429"/>
        <v>0.37936219178082192</v>
      </c>
      <c r="W4554" s="46">
        <f t="shared" si="430"/>
        <v>-1.2962684476059834E-2</v>
      </c>
      <c r="X4554" s="33">
        <f t="shared" si="431"/>
        <v>2.4280286885664151E-2</v>
      </c>
    </row>
    <row r="4555" spans="19:24" x14ac:dyDescent="0.25">
      <c r="S4555" s="44">
        <f t="shared" si="427"/>
        <v>47605</v>
      </c>
      <c r="T4555" s="12">
        <f t="shared" si="428"/>
        <v>1.2935913653044426</v>
      </c>
      <c r="U4555" s="12">
        <f t="shared" si="432"/>
        <v>1.2742118500048065</v>
      </c>
      <c r="V4555" s="30">
        <f t="shared" si="429"/>
        <v>0.37933479452054797</v>
      </c>
      <c r="W4555" s="46">
        <f t="shared" si="430"/>
        <v>-1.2935913653044424E-2</v>
      </c>
      <c r="X4555" s="33">
        <f t="shared" si="431"/>
        <v>2.4280245373391213E-2</v>
      </c>
    </row>
    <row r="4556" spans="19:24" x14ac:dyDescent="0.25">
      <c r="S4556" s="44">
        <f t="shared" si="427"/>
        <v>47606</v>
      </c>
      <c r="T4556" s="12">
        <f t="shared" si="428"/>
        <v>1.2909142830029012</v>
      </c>
      <c r="U4556" s="12">
        <f t="shared" si="432"/>
        <v>1.2715606732800175</v>
      </c>
      <c r="V4556" s="30">
        <f t="shared" si="429"/>
        <v>0.37930739726027402</v>
      </c>
      <c r="W4556" s="46">
        <f t="shared" si="430"/>
        <v>-1.2909142830029011E-2</v>
      </c>
      <c r="X4556" s="33">
        <f t="shared" si="431"/>
        <v>2.4280203861118267E-2</v>
      </c>
    </row>
    <row r="4557" spans="19:24" x14ac:dyDescent="0.25">
      <c r="S4557" s="44">
        <f t="shared" si="427"/>
        <v>47607</v>
      </c>
      <c r="T4557" s="12">
        <f t="shared" si="428"/>
        <v>1.2882372007013601</v>
      </c>
      <c r="U4557" s="12">
        <f t="shared" si="432"/>
        <v>1.2689094965552279</v>
      </c>
      <c r="V4557" s="30">
        <f t="shared" si="429"/>
        <v>0.37928000000000001</v>
      </c>
      <c r="W4557" s="46">
        <f t="shared" si="430"/>
        <v>-1.2882372007013599E-2</v>
      </c>
      <c r="X4557" s="33">
        <f t="shared" si="431"/>
        <v>2.4280162348845325E-2</v>
      </c>
    </row>
    <row r="4558" spans="19:24" x14ac:dyDescent="0.25">
      <c r="S4558" s="44">
        <f t="shared" si="427"/>
        <v>47608</v>
      </c>
      <c r="T4558" s="12">
        <f t="shared" si="428"/>
        <v>1.2855601183998193</v>
      </c>
      <c r="U4558" s="12">
        <f t="shared" si="432"/>
        <v>1.2662583198304389</v>
      </c>
      <c r="V4558" s="30">
        <f t="shared" si="429"/>
        <v>0.37925260273972605</v>
      </c>
      <c r="W4558" s="46">
        <f t="shared" si="430"/>
        <v>-1.2855601183998191E-2</v>
      </c>
      <c r="X4558" s="33">
        <f t="shared" si="431"/>
        <v>2.4280120836572376E-2</v>
      </c>
    </row>
    <row r="4559" spans="19:24" x14ac:dyDescent="0.25">
      <c r="S4559" s="44">
        <f t="shared" si="427"/>
        <v>47609</v>
      </c>
      <c r="T4559" s="12">
        <f t="shared" si="428"/>
        <v>1.2828830360982777</v>
      </c>
      <c r="U4559" s="12">
        <f t="shared" si="432"/>
        <v>1.2636071431056497</v>
      </c>
      <c r="V4559" s="30">
        <f t="shared" si="429"/>
        <v>0.37922520547945204</v>
      </c>
      <c r="W4559" s="46">
        <f t="shared" si="430"/>
        <v>-1.2828830360982774E-2</v>
      </c>
      <c r="X4559" s="33">
        <f t="shared" si="431"/>
        <v>2.4280079324299434E-2</v>
      </c>
    </row>
    <row r="4560" spans="19:24" x14ac:dyDescent="0.25">
      <c r="S4560" s="44">
        <f t="shared" si="427"/>
        <v>47610</v>
      </c>
      <c r="T4560" s="12">
        <f t="shared" si="428"/>
        <v>1.2802059537967365</v>
      </c>
      <c r="U4560" s="12">
        <f t="shared" si="432"/>
        <v>1.26095596638086</v>
      </c>
      <c r="V4560" s="30">
        <f t="shared" si="429"/>
        <v>0.37919780821917809</v>
      </c>
      <c r="W4560" s="46">
        <f t="shared" si="430"/>
        <v>-1.2802059537967363E-2</v>
      </c>
      <c r="X4560" s="33">
        <f t="shared" si="431"/>
        <v>2.4280037812026492E-2</v>
      </c>
    </row>
    <row r="4561" spans="19:24" x14ac:dyDescent="0.25">
      <c r="S4561" s="44">
        <f t="shared" si="427"/>
        <v>47611</v>
      </c>
      <c r="T4561" s="12">
        <f t="shared" si="428"/>
        <v>1.2775288714951951</v>
      </c>
      <c r="U4561" s="12">
        <f t="shared" si="432"/>
        <v>1.2583047896560708</v>
      </c>
      <c r="V4561" s="30">
        <f t="shared" si="429"/>
        <v>0.37917041095890414</v>
      </c>
      <c r="W4561" s="46">
        <f t="shared" si="430"/>
        <v>-1.2775288714951949E-2</v>
      </c>
      <c r="X4561" s="33">
        <f t="shared" si="431"/>
        <v>2.427999629975355E-2</v>
      </c>
    </row>
    <row r="4562" spans="19:24" x14ac:dyDescent="0.25">
      <c r="S4562" s="44">
        <f t="shared" si="427"/>
        <v>47612</v>
      </c>
      <c r="T4562" s="12">
        <f t="shared" si="428"/>
        <v>1.2748517891936542</v>
      </c>
      <c r="U4562" s="12">
        <f t="shared" si="432"/>
        <v>1.2556536129312814</v>
      </c>
      <c r="V4562" s="30">
        <f t="shared" si="429"/>
        <v>0.37914301369863013</v>
      </c>
      <c r="W4562" s="46">
        <f t="shared" si="430"/>
        <v>-1.2748517891936539E-2</v>
      </c>
      <c r="X4562" s="33">
        <f t="shared" si="431"/>
        <v>2.4279954787480604E-2</v>
      </c>
    </row>
    <row r="4563" spans="19:24" x14ac:dyDescent="0.25">
      <c r="S4563" s="44">
        <f t="shared" si="427"/>
        <v>47613</v>
      </c>
      <c r="T4563" s="12">
        <f t="shared" si="428"/>
        <v>1.272174706892113</v>
      </c>
      <c r="U4563" s="12">
        <f t="shared" si="432"/>
        <v>1.2530024362064927</v>
      </c>
      <c r="V4563" s="30">
        <f t="shared" si="429"/>
        <v>0.37911561643835612</v>
      </c>
      <c r="W4563" s="46">
        <f t="shared" si="430"/>
        <v>-1.2721747068921128E-2</v>
      </c>
      <c r="X4563" s="33">
        <f t="shared" si="431"/>
        <v>2.4279913275207652E-2</v>
      </c>
    </row>
    <row r="4564" spans="19:24" x14ac:dyDescent="0.25">
      <c r="S4564" s="44">
        <f t="shared" si="427"/>
        <v>47614</v>
      </c>
      <c r="T4564" s="12">
        <f t="shared" si="428"/>
        <v>1.2694976245905722</v>
      </c>
      <c r="U4564" s="12">
        <f t="shared" si="432"/>
        <v>1.250351259481703</v>
      </c>
      <c r="V4564" s="30">
        <f t="shared" si="429"/>
        <v>0.37908821917808222</v>
      </c>
      <c r="W4564" s="46">
        <f t="shared" si="430"/>
        <v>-1.2694976245905721E-2</v>
      </c>
      <c r="X4564" s="33">
        <f t="shared" si="431"/>
        <v>2.4279871762934717E-2</v>
      </c>
    </row>
    <row r="4565" spans="19:24" x14ac:dyDescent="0.25">
      <c r="S4565" s="44">
        <f t="shared" si="427"/>
        <v>47615</v>
      </c>
      <c r="T4565" s="12">
        <f t="shared" si="428"/>
        <v>1.2668205422890306</v>
      </c>
      <c r="U4565" s="12">
        <f t="shared" si="432"/>
        <v>1.2477000827569138</v>
      </c>
      <c r="V4565" s="30">
        <f t="shared" si="429"/>
        <v>0.37906082191780821</v>
      </c>
      <c r="W4565" s="46">
        <f t="shared" si="430"/>
        <v>-1.2668205422890304E-2</v>
      </c>
      <c r="X4565" s="33">
        <f t="shared" si="431"/>
        <v>2.4279830250661768E-2</v>
      </c>
    </row>
    <row r="4566" spans="19:24" x14ac:dyDescent="0.25">
      <c r="S4566" s="44">
        <f t="shared" si="427"/>
        <v>47616</v>
      </c>
      <c r="T4566" s="12">
        <f t="shared" si="428"/>
        <v>1.264143459987489</v>
      </c>
      <c r="U4566" s="12">
        <f t="shared" si="432"/>
        <v>1.2450489060321244</v>
      </c>
      <c r="V4566" s="30">
        <f t="shared" si="429"/>
        <v>0.37903342465753426</v>
      </c>
      <c r="W4566" s="46">
        <f t="shared" si="430"/>
        <v>-1.2641434599874888E-2</v>
      </c>
      <c r="X4566" s="33">
        <f t="shared" si="431"/>
        <v>2.4279788738388833E-2</v>
      </c>
    </row>
    <row r="4567" spans="19:24" x14ac:dyDescent="0.25">
      <c r="S4567" s="44">
        <f t="shared" si="427"/>
        <v>47617</v>
      </c>
      <c r="T4567" s="12">
        <f t="shared" si="428"/>
        <v>1.2614663776859483</v>
      </c>
      <c r="U4567" s="12">
        <f t="shared" si="432"/>
        <v>1.2423977293073349</v>
      </c>
      <c r="V4567" s="30">
        <f t="shared" si="429"/>
        <v>0.3790060273972603</v>
      </c>
      <c r="W4567" s="46">
        <f t="shared" si="430"/>
        <v>-1.2614663776859481E-2</v>
      </c>
      <c r="X4567" s="33">
        <f t="shared" si="431"/>
        <v>2.4279747226115884E-2</v>
      </c>
    </row>
    <row r="4568" spans="19:24" x14ac:dyDescent="0.25">
      <c r="S4568" s="44">
        <f t="shared" si="427"/>
        <v>47618</v>
      </c>
      <c r="T4568" s="12">
        <f t="shared" si="428"/>
        <v>1.2587892953844071</v>
      </c>
      <c r="U4568" s="12">
        <f t="shared" si="432"/>
        <v>1.2397465525825457</v>
      </c>
      <c r="V4568" s="30">
        <f t="shared" si="429"/>
        <v>0.37897863013698629</v>
      </c>
      <c r="W4568" s="46">
        <f t="shared" si="430"/>
        <v>-1.258789295384407E-2</v>
      </c>
      <c r="X4568" s="33">
        <f t="shared" si="431"/>
        <v>2.4279705713842942E-2</v>
      </c>
    </row>
    <row r="4569" spans="19:24" x14ac:dyDescent="0.25">
      <c r="S4569" s="44">
        <f t="shared" si="427"/>
        <v>47619</v>
      </c>
      <c r="T4569" s="12">
        <f t="shared" si="428"/>
        <v>1.2561122130828661</v>
      </c>
      <c r="U4569" s="12">
        <f t="shared" si="432"/>
        <v>1.2370953758577563</v>
      </c>
      <c r="V4569" s="30">
        <f t="shared" si="429"/>
        <v>0.37895123287671234</v>
      </c>
      <c r="W4569" s="46">
        <f t="shared" si="430"/>
        <v>-1.256112213082866E-2</v>
      </c>
      <c r="X4569" s="33">
        <f t="shared" si="431"/>
        <v>2.4279664201569996E-2</v>
      </c>
    </row>
    <row r="4570" spans="19:24" x14ac:dyDescent="0.25">
      <c r="S4570" s="44">
        <f t="shared" si="427"/>
        <v>47620</v>
      </c>
      <c r="T4570" s="12">
        <f t="shared" si="428"/>
        <v>1.2534351307813245</v>
      </c>
      <c r="U4570" s="12">
        <f t="shared" si="432"/>
        <v>1.2344441991329673</v>
      </c>
      <c r="V4570" s="30">
        <f t="shared" si="429"/>
        <v>0.37892383561643839</v>
      </c>
      <c r="W4570" s="46">
        <f t="shared" si="430"/>
        <v>-1.2534351307813243E-2</v>
      </c>
      <c r="X4570" s="33">
        <f t="shared" si="431"/>
        <v>2.4279622689297058E-2</v>
      </c>
    </row>
    <row r="4571" spans="19:24" x14ac:dyDescent="0.25">
      <c r="S4571" s="44">
        <f t="shared" si="427"/>
        <v>47621</v>
      </c>
      <c r="T4571" s="12">
        <f t="shared" si="428"/>
        <v>1.2507580484797833</v>
      </c>
      <c r="U4571" s="12">
        <f t="shared" si="432"/>
        <v>1.2317930224081779</v>
      </c>
      <c r="V4571" s="30">
        <f t="shared" si="429"/>
        <v>0.37889643835616438</v>
      </c>
      <c r="W4571" s="46">
        <f t="shared" si="430"/>
        <v>-1.2507580484797831E-2</v>
      </c>
      <c r="X4571" s="33">
        <f t="shared" si="431"/>
        <v>2.4279581177024105E-2</v>
      </c>
    </row>
    <row r="4572" spans="19:24" x14ac:dyDescent="0.25">
      <c r="S4572" s="44">
        <f t="shared" si="427"/>
        <v>47622</v>
      </c>
      <c r="T4572" s="12">
        <f t="shared" si="428"/>
        <v>1.2480809661782424</v>
      </c>
      <c r="U4572" s="12">
        <f t="shared" si="432"/>
        <v>1.2291418456833885</v>
      </c>
      <c r="V4572" s="30">
        <f t="shared" si="429"/>
        <v>0.37886904109589042</v>
      </c>
      <c r="W4572" s="46">
        <f t="shared" si="430"/>
        <v>-1.2480809661782421E-2</v>
      </c>
      <c r="X4572" s="33">
        <f t="shared" si="431"/>
        <v>2.4279539664751163E-2</v>
      </c>
    </row>
    <row r="4573" spans="19:24" x14ac:dyDescent="0.25">
      <c r="S4573" s="44">
        <f t="shared" si="427"/>
        <v>47623</v>
      </c>
      <c r="T4573" s="12">
        <f t="shared" si="428"/>
        <v>1.245403883876701</v>
      </c>
      <c r="U4573" s="12">
        <f t="shared" si="432"/>
        <v>1.2264906689585993</v>
      </c>
      <c r="V4573" s="30">
        <f t="shared" si="429"/>
        <v>0.37884164383561647</v>
      </c>
      <c r="W4573" s="46">
        <f t="shared" si="430"/>
        <v>-1.2454038838767008E-2</v>
      </c>
      <c r="X4573" s="33">
        <f t="shared" si="431"/>
        <v>2.4279498152478221E-2</v>
      </c>
    </row>
    <row r="4574" spans="19:24" x14ac:dyDescent="0.25">
      <c r="S4574" s="44">
        <f t="shared" si="427"/>
        <v>47624</v>
      </c>
      <c r="T4574" s="12">
        <f t="shared" si="428"/>
        <v>1.2427268015751596</v>
      </c>
      <c r="U4574" s="12">
        <f t="shared" si="432"/>
        <v>1.2238394922338101</v>
      </c>
      <c r="V4574" s="30">
        <f t="shared" si="429"/>
        <v>0.37881424657534246</v>
      </c>
      <c r="W4574" s="46">
        <f t="shared" si="430"/>
        <v>-1.2427268015751594E-2</v>
      </c>
      <c r="X4574" s="33">
        <f t="shared" si="431"/>
        <v>2.4279456640205276E-2</v>
      </c>
    </row>
    <row r="4575" spans="19:24" x14ac:dyDescent="0.25">
      <c r="S4575" s="44">
        <f t="shared" si="427"/>
        <v>47625</v>
      </c>
      <c r="T4575" s="12">
        <f t="shared" si="428"/>
        <v>1.2400497192736186</v>
      </c>
      <c r="U4575" s="12">
        <f t="shared" si="432"/>
        <v>1.2211883155090206</v>
      </c>
      <c r="V4575" s="30">
        <f t="shared" si="429"/>
        <v>0.37878684931506845</v>
      </c>
      <c r="W4575" s="46">
        <f t="shared" si="430"/>
        <v>-1.2400497192736185E-2</v>
      </c>
      <c r="X4575" s="33">
        <f t="shared" si="431"/>
        <v>2.4279415127932334E-2</v>
      </c>
    </row>
    <row r="4576" spans="19:24" x14ac:dyDescent="0.25">
      <c r="S4576" s="44">
        <f t="shared" si="427"/>
        <v>47626</v>
      </c>
      <c r="T4576" s="12">
        <f t="shared" si="428"/>
        <v>1.2373726369720774</v>
      </c>
      <c r="U4576" s="12">
        <f t="shared" si="432"/>
        <v>1.2185371387842314</v>
      </c>
      <c r="V4576" s="30">
        <f t="shared" si="429"/>
        <v>0.37875945205479455</v>
      </c>
      <c r="W4576" s="46">
        <f t="shared" si="430"/>
        <v>-1.2373726369720773E-2</v>
      </c>
      <c r="X4576" s="33">
        <f t="shared" si="431"/>
        <v>2.4279373615659391E-2</v>
      </c>
    </row>
    <row r="4577" spans="19:24" x14ac:dyDescent="0.25">
      <c r="S4577" s="44">
        <f t="shared" si="427"/>
        <v>47627</v>
      </c>
      <c r="T4577" s="12">
        <f t="shared" si="428"/>
        <v>1.234695554670536</v>
      </c>
      <c r="U4577" s="12">
        <f t="shared" si="432"/>
        <v>1.215885962059442</v>
      </c>
      <c r="V4577" s="30">
        <f t="shared" si="429"/>
        <v>0.37873205479452055</v>
      </c>
      <c r="W4577" s="46">
        <f t="shared" si="430"/>
        <v>-1.2346955546705358E-2</v>
      </c>
      <c r="X4577" s="33">
        <f t="shared" si="431"/>
        <v>2.4279332103386449E-2</v>
      </c>
    </row>
    <row r="4578" spans="19:24" x14ac:dyDescent="0.25">
      <c r="S4578" s="44">
        <f t="shared" si="427"/>
        <v>47628</v>
      </c>
      <c r="T4578" s="12">
        <f t="shared" si="428"/>
        <v>1.2320184723689951</v>
      </c>
      <c r="U4578" s="12">
        <f t="shared" si="432"/>
        <v>1.2132347853346523</v>
      </c>
      <c r="V4578" s="30">
        <f t="shared" si="429"/>
        <v>0.37870465753424659</v>
      </c>
      <c r="W4578" s="46">
        <f t="shared" si="430"/>
        <v>-1.232018472368995E-2</v>
      </c>
      <c r="X4578" s="33">
        <f t="shared" si="431"/>
        <v>2.42792905911135E-2</v>
      </c>
    </row>
    <row r="4579" spans="19:24" x14ac:dyDescent="0.25">
      <c r="S4579" s="44">
        <f t="shared" si="427"/>
        <v>47629</v>
      </c>
      <c r="T4579" s="12">
        <f t="shared" si="428"/>
        <v>1.2293413900674537</v>
      </c>
      <c r="U4579" s="12">
        <f t="shared" si="432"/>
        <v>1.2105836086098634</v>
      </c>
      <c r="V4579" s="30">
        <f t="shared" si="429"/>
        <v>0.37867726027397258</v>
      </c>
      <c r="W4579" s="46">
        <f t="shared" si="430"/>
        <v>-1.2293413900674535E-2</v>
      </c>
      <c r="X4579" s="33">
        <f t="shared" si="431"/>
        <v>2.4279249078840558E-2</v>
      </c>
    </row>
    <row r="4580" spans="19:24" x14ac:dyDescent="0.25">
      <c r="S4580" s="44">
        <f t="shared" si="427"/>
        <v>47630</v>
      </c>
      <c r="T4580" s="12">
        <f t="shared" si="428"/>
        <v>1.2266643077659125</v>
      </c>
      <c r="U4580" s="12">
        <f t="shared" si="432"/>
        <v>1.2079324318850742</v>
      </c>
      <c r="V4580" s="30">
        <f t="shared" si="429"/>
        <v>0.37864986301369863</v>
      </c>
      <c r="W4580" s="46">
        <f t="shared" si="430"/>
        <v>-1.2266643077659123E-2</v>
      </c>
      <c r="X4580" s="33">
        <f t="shared" si="431"/>
        <v>2.4279207566567613E-2</v>
      </c>
    </row>
    <row r="4581" spans="19:24" x14ac:dyDescent="0.25">
      <c r="S4581" s="44">
        <f t="shared" si="427"/>
        <v>47631</v>
      </c>
      <c r="T4581" s="12">
        <f t="shared" si="428"/>
        <v>1.2239872254643716</v>
      </c>
      <c r="U4581" s="12">
        <f t="shared" si="432"/>
        <v>1.2052812551602849</v>
      </c>
      <c r="V4581" s="30">
        <f t="shared" si="429"/>
        <v>0.37862246575342468</v>
      </c>
      <c r="W4581" s="46">
        <f t="shared" si="430"/>
        <v>-1.2239872254643713E-2</v>
      </c>
      <c r="X4581" s="33">
        <f t="shared" si="431"/>
        <v>2.4279166054294671E-2</v>
      </c>
    </row>
    <row r="4582" spans="19:24" x14ac:dyDescent="0.25">
      <c r="S4582" s="44">
        <f t="shared" si="427"/>
        <v>47632</v>
      </c>
      <c r="T4582" s="12">
        <f t="shared" si="428"/>
        <v>1.2213101431628304</v>
      </c>
      <c r="U4582" s="12">
        <f t="shared" si="432"/>
        <v>1.2026300784354957</v>
      </c>
      <c r="V4582" s="30">
        <f t="shared" si="429"/>
        <v>0.37859506849315072</v>
      </c>
      <c r="W4582" s="46">
        <f t="shared" si="430"/>
        <v>-1.2213101431628301E-2</v>
      </c>
      <c r="X4582" s="33">
        <f t="shared" si="431"/>
        <v>2.4279124542021729E-2</v>
      </c>
    </row>
    <row r="4583" spans="19:24" x14ac:dyDescent="0.25">
      <c r="S4583" s="44">
        <f t="shared" si="427"/>
        <v>47633</v>
      </c>
      <c r="T4583" s="12">
        <f t="shared" si="428"/>
        <v>1.2186330608612892</v>
      </c>
      <c r="U4583" s="12">
        <f t="shared" si="432"/>
        <v>1.1999789017107065</v>
      </c>
      <c r="V4583" s="30">
        <f t="shared" si="429"/>
        <v>0.37856767123287671</v>
      </c>
      <c r="W4583" s="46">
        <f t="shared" si="430"/>
        <v>-1.218633060861289E-2</v>
      </c>
      <c r="X4583" s="33">
        <f t="shared" si="431"/>
        <v>2.4279083029748783E-2</v>
      </c>
    </row>
    <row r="4584" spans="19:24" x14ac:dyDescent="0.25">
      <c r="S4584" s="44">
        <f t="shared" si="427"/>
        <v>47634</v>
      </c>
      <c r="T4584" s="12">
        <f t="shared" si="428"/>
        <v>1.2159559785597478</v>
      </c>
      <c r="U4584" s="12">
        <f t="shared" si="432"/>
        <v>1.1973277249859169</v>
      </c>
      <c r="V4584" s="30">
        <f t="shared" si="429"/>
        <v>0.3785402739726027</v>
      </c>
      <c r="W4584" s="46">
        <f t="shared" si="430"/>
        <v>-1.2159559785597476E-2</v>
      </c>
      <c r="X4584" s="33">
        <f t="shared" si="431"/>
        <v>2.4279041517475841E-2</v>
      </c>
    </row>
    <row r="4585" spans="19:24" x14ac:dyDescent="0.25">
      <c r="S4585" s="44">
        <f t="shared" si="427"/>
        <v>47635</v>
      </c>
      <c r="T4585" s="12">
        <f t="shared" si="428"/>
        <v>1.2132788962582068</v>
      </c>
      <c r="U4585" s="12">
        <f t="shared" si="432"/>
        <v>1.1946765482611281</v>
      </c>
      <c r="V4585" s="30">
        <f t="shared" si="429"/>
        <v>0.37851287671232881</v>
      </c>
      <c r="W4585" s="46">
        <f t="shared" si="430"/>
        <v>-1.2132788962582066E-2</v>
      </c>
      <c r="X4585" s="33">
        <f t="shared" si="431"/>
        <v>2.4279000005202899E-2</v>
      </c>
    </row>
    <row r="4586" spans="19:24" x14ac:dyDescent="0.25">
      <c r="S4586" s="44">
        <f t="shared" si="427"/>
        <v>47636</v>
      </c>
      <c r="T4586" s="12">
        <f t="shared" si="428"/>
        <v>1.2106018139566654</v>
      </c>
      <c r="U4586" s="12">
        <f t="shared" si="432"/>
        <v>1.1920253715363385</v>
      </c>
      <c r="V4586" s="30">
        <f t="shared" si="429"/>
        <v>0.3784854794520548</v>
      </c>
      <c r="W4586" s="46">
        <f t="shared" si="430"/>
        <v>-1.2106018139566653E-2</v>
      </c>
      <c r="X4586" s="33">
        <f t="shared" si="431"/>
        <v>2.427895849292995E-2</v>
      </c>
    </row>
    <row r="4587" spans="19:24" x14ac:dyDescent="0.25">
      <c r="S4587" s="44">
        <f t="shared" si="427"/>
        <v>47637</v>
      </c>
      <c r="T4587" s="12">
        <f t="shared" si="428"/>
        <v>1.2079247316551243</v>
      </c>
      <c r="U4587" s="12">
        <f t="shared" si="432"/>
        <v>1.1893741948115493</v>
      </c>
      <c r="V4587" s="30">
        <f t="shared" si="429"/>
        <v>0.37845808219178079</v>
      </c>
      <c r="W4587" s="46">
        <f t="shared" si="430"/>
        <v>-1.2079247316551241E-2</v>
      </c>
      <c r="X4587" s="33">
        <f t="shared" si="431"/>
        <v>2.4278916980657005E-2</v>
      </c>
    </row>
    <row r="4588" spans="19:24" x14ac:dyDescent="0.25">
      <c r="S4588" s="44">
        <f t="shared" si="427"/>
        <v>47638</v>
      </c>
      <c r="T4588" s="12">
        <f t="shared" si="428"/>
        <v>1.2052476493535831</v>
      </c>
      <c r="U4588" s="12">
        <f t="shared" si="432"/>
        <v>1.1867230180867598</v>
      </c>
      <c r="V4588" s="30">
        <f t="shared" si="429"/>
        <v>0.37843068493150689</v>
      </c>
      <c r="W4588" s="46">
        <f t="shared" si="430"/>
        <v>-1.205247649353583E-2</v>
      </c>
      <c r="X4588" s="33">
        <f t="shared" si="431"/>
        <v>2.4278875468384066E-2</v>
      </c>
    </row>
    <row r="4589" spans="19:24" x14ac:dyDescent="0.25">
      <c r="S4589" s="44">
        <f t="shared" si="427"/>
        <v>47639</v>
      </c>
      <c r="T4589" s="12">
        <f t="shared" si="428"/>
        <v>1.2025705670520419</v>
      </c>
      <c r="U4589" s="12">
        <f t="shared" si="432"/>
        <v>1.1840718413619704</v>
      </c>
      <c r="V4589" s="30">
        <f t="shared" si="429"/>
        <v>0.37840328767123288</v>
      </c>
      <c r="W4589" s="46">
        <f t="shared" si="430"/>
        <v>-1.2025705670520418E-2</v>
      </c>
      <c r="X4589" s="33">
        <f t="shared" si="431"/>
        <v>2.427883395611112E-2</v>
      </c>
    </row>
    <row r="4590" spans="19:24" x14ac:dyDescent="0.25">
      <c r="S4590" s="44">
        <f t="shared" si="427"/>
        <v>47640</v>
      </c>
      <c r="T4590" s="12">
        <f t="shared" si="428"/>
        <v>1.1998934847505007</v>
      </c>
      <c r="U4590" s="12">
        <f t="shared" si="432"/>
        <v>1.1814206646371814</v>
      </c>
      <c r="V4590" s="30">
        <f t="shared" si="429"/>
        <v>0.37837589041095893</v>
      </c>
      <c r="W4590" s="46">
        <f t="shared" si="430"/>
        <v>-1.1998934847505005E-2</v>
      </c>
      <c r="X4590" s="33">
        <f t="shared" si="431"/>
        <v>2.4278792443838178E-2</v>
      </c>
    </row>
    <row r="4591" spans="19:24" x14ac:dyDescent="0.25">
      <c r="S4591" s="44">
        <f t="shared" si="427"/>
        <v>47641</v>
      </c>
      <c r="T4591" s="12">
        <f t="shared" si="428"/>
        <v>1.1972164024489595</v>
      </c>
      <c r="U4591" s="12">
        <f t="shared" si="432"/>
        <v>1.1787694879123918</v>
      </c>
      <c r="V4591" s="30">
        <f t="shared" si="429"/>
        <v>0.37834849315068492</v>
      </c>
      <c r="W4591" s="46">
        <f t="shared" si="430"/>
        <v>-1.1972164024489593E-2</v>
      </c>
      <c r="X4591" s="33">
        <f t="shared" si="431"/>
        <v>2.4278750931565229E-2</v>
      </c>
    </row>
    <row r="4592" spans="19:24" x14ac:dyDescent="0.25">
      <c r="S4592" s="44">
        <f t="shared" si="427"/>
        <v>47642</v>
      </c>
      <c r="T4592" s="12">
        <f t="shared" si="428"/>
        <v>1.1945393201474181</v>
      </c>
      <c r="U4592" s="12">
        <f t="shared" si="432"/>
        <v>1.1761183111876026</v>
      </c>
      <c r="V4592" s="30">
        <f t="shared" si="429"/>
        <v>0.37832109589041096</v>
      </c>
      <c r="W4592" s="46">
        <f t="shared" si="430"/>
        <v>-1.194539320147418E-2</v>
      </c>
      <c r="X4592" s="33">
        <f t="shared" si="431"/>
        <v>2.4278709419292287E-2</v>
      </c>
    </row>
    <row r="4593" spans="19:24" x14ac:dyDescent="0.25">
      <c r="S4593" s="44">
        <f t="shared" si="427"/>
        <v>47643</v>
      </c>
      <c r="T4593" s="12">
        <f t="shared" si="428"/>
        <v>1.191862237845877</v>
      </c>
      <c r="U4593" s="12">
        <f t="shared" si="432"/>
        <v>1.1734671344628134</v>
      </c>
      <c r="V4593" s="30">
        <f t="shared" si="429"/>
        <v>0.37829369863013695</v>
      </c>
      <c r="W4593" s="46">
        <f t="shared" si="430"/>
        <v>-1.1918622378458768E-2</v>
      </c>
      <c r="X4593" s="33">
        <f t="shared" si="431"/>
        <v>2.4278667907019342E-2</v>
      </c>
    </row>
    <row r="4594" spans="19:24" x14ac:dyDescent="0.25">
      <c r="S4594" s="44">
        <f t="shared" si="427"/>
        <v>47644</v>
      </c>
      <c r="T4594" s="12">
        <f t="shared" si="428"/>
        <v>1.189185155544336</v>
      </c>
      <c r="U4594" s="12">
        <f t="shared" si="432"/>
        <v>1.1708159577380244</v>
      </c>
      <c r="V4594" s="30">
        <f t="shared" si="429"/>
        <v>0.37826630136986306</v>
      </c>
      <c r="W4594" s="46">
        <f t="shared" si="430"/>
        <v>-1.1891851555443358E-2</v>
      </c>
      <c r="X4594" s="33">
        <f t="shared" si="431"/>
        <v>2.4278626394746403E-2</v>
      </c>
    </row>
    <row r="4595" spans="19:24" x14ac:dyDescent="0.25">
      <c r="S4595" s="44">
        <f t="shared" ref="S4595:S4658" si="433">+S4594+1</f>
        <v>47645</v>
      </c>
      <c r="T4595" s="12">
        <f t="shared" si="428"/>
        <v>1.1865080732427948</v>
      </c>
      <c r="U4595" s="12">
        <f t="shared" si="432"/>
        <v>1.1681647810132345</v>
      </c>
      <c r="V4595" s="30">
        <f t="shared" si="429"/>
        <v>0.37823890410958905</v>
      </c>
      <c r="W4595" s="46">
        <f t="shared" si="430"/>
        <v>-1.1865080732427946E-2</v>
      </c>
      <c r="X4595" s="33">
        <f t="shared" si="431"/>
        <v>2.4278584882473458E-2</v>
      </c>
    </row>
    <row r="4596" spans="19:24" x14ac:dyDescent="0.25">
      <c r="S4596" s="44">
        <f t="shared" si="433"/>
        <v>47646</v>
      </c>
      <c r="T4596" s="12">
        <f t="shared" si="428"/>
        <v>1.1838309909412534</v>
      </c>
      <c r="U4596" s="12">
        <f t="shared" si="432"/>
        <v>1.1655136042884455</v>
      </c>
      <c r="V4596" s="30">
        <f t="shared" si="429"/>
        <v>0.37821150684931504</v>
      </c>
      <c r="W4596" s="46">
        <f t="shared" si="430"/>
        <v>-1.1838309909412533E-2</v>
      </c>
      <c r="X4596" s="33">
        <f t="shared" si="431"/>
        <v>2.4278543370200509E-2</v>
      </c>
    </row>
    <row r="4597" spans="19:24" x14ac:dyDescent="0.25">
      <c r="S4597" s="44">
        <f t="shared" si="433"/>
        <v>47647</v>
      </c>
      <c r="T4597" s="12">
        <f t="shared" si="428"/>
        <v>1.181153908639712</v>
      </c>
      <c r="U4597" s="12">
        <f t="shared" si="432"/>
        <v>1.1628624275636561</v>
      </c>
      <c r="V4597" s="30">
        <f t="shared" si="429"/>
        <v>0.37818410958904114</v>
      </c>
      <c r="W4597" s="46">
        <f t="shared" si="430"/>
        <v>-1.1811539086397118E-2</v>
      </c>
      <c r="X4597" s="33">
        <f t="shared" si="431"/>
        <v>2.4278501857927574E-2</v>
      </c>
    </row>
    <row r="4598" spans="19:24" x14ac:dyDescent="0.25">
      <c r="S4598" s="44">
        <f t="shared" si="433"/>
        <v>47648</v>
      </c>
      <c r="T4598" s="12">
        <f t="shared" si="428"/>
        <v>1.1784768263381711</v>
      </c>
      <c r="U4598" s="12">
        <f t="shared" si="432"/>
        <v>1.1602112508388669</v>
      </c>
      <c r="V4598" s="30">
        <f t="shared" si="429"/>
        <v>0.37815671232876713</v>
      </c>
      <c r="W4598" s="46">
        <f t="shared" si="430"/>
        <v>-1.178476826338171E-2</v>
      </c>
      <c r="X4598" s="33">
        <f t="shared" si="431"/>
        <v>2.4278460345654625E-2</v>
      </c>
    </row>
    <row r="4599" spans="19:24" x14ac:dyDescent="0.25">
      <c r="S4599" s="44">
        <f t="shared" si="433"/>
        <v>47649</v>
      </c>
      <c r="T4599" s="12">
        <f t="shared" si="428"/>
        <v>1.4349823679012212</v>
      </c>
      <c r="U4599" s="12">
        <f t="shared" si="432"/>
        <v>1.4163858824011069</v>
      </c>
      <c r="V4599" s="30">
        <f t="shared" si="429"/>
        <v>0.37812931506849312</v>
      </c>
      <c r="W4599" s="46">
        <f t="shared" si="430"/>
        <v>-1.434982367901221E-2</v>
      </c>
      <c r="X4599" s="33">
        <f t="shared" si="431"/>
        <v>2.4106665642186009E-2</v>
      </c>
    </row>
    <row r="4600" spans="19:24" x14ac:dyDescent="0.25">
      <c r="S4600" s="44">
        <f t="shared" si="433"/>
        <v>47650</v>
      </c>
      <c r="T4600" s="12">
        <f t="shared" si="428"/>
        <v>1.4323052855996796</v>
      </c>
      <c r="U4600" s="12">
        <f t="shared" si="432"/>
        <v>1.4137347056763174</v>
      </c>
      <c r="V4600" s="30">
        <f t="shared" si="429"/>
        <v>0.37810191780821917</v>
      </c>
      <c r="W4600" s="46">
        <f t="shared" si="430"/>
        <v>-1.4323052855996794E-2</v>
      </c>
      <c r="X4600" s="33">
        <f t="shared" si="431"/>
        <v>2.4106624129913067E-2</v>
      </c>
    </row>
    <row r="4601" spans="19:24" x14ac:dyDescent="0.25">
      <c r="S4601" s="44">
        <f t="shared" si="433"/>
        <v>47651</v>
      </c>
      <c r="T4601" s="12">
        <f t="shared" si="428"/>
        <v>1.4296282032981384</v>
      </c>
      <c r="U4601" s="12">
        <f t="shared" si="432"/>
        <v>1.4110835289515282</v>
      </c>
      <c r="V4601" s="30">
        <f t="shared" si="429"/>
        <v>0.37807452054794521</v>
      </c>
      <c r="W4601" s="46">
        <f t="shared" si="430"/>
        <v>-1.4296282032981382E-2</v>
      </c>
      <c r="X4601" s="33">
        <f t="shared" si="431"/>
        <v>2.4106582617640124E-2</v>
      </c>
    </row>
    <row r="4602" spans="19:24" x14ac:dyDescent="0.25">
      <c r="S4602" s="44">
        <f t="shared" si="433"/>
        <v>47652</v>
      </c>
      <c r="T4602" s="12">
        <f t="shared" si="428"/>
        <v>1.426951120996597</v>
      </c>
      <c r="U4602" s="12">
        <f t="shared" si="432"/>
        <v>1.4084323522267386</v>
      </c>
      <c r="V4602" s="30">
        <f t="shared" si="429"/>
        <v>0.37804712328767126</v>
      </c>
      <c r="W4602" s="46">
        <f t="shared" si="430"/>
        <v>-1.4269511209965969E-2</v>
      </c>
      <c r="X4602" s="33">
        <f t="shared" si="431"/>
        <v>2.4106541105367182E-2</v>
      </c>
    </row>
    <row r="4603" spans="19:24" x14ac:dyDescent="0.25">
      <c r="S4603" s="44">
        <f t="shared" si="433"/>
        <v>47653</v>
      </c>
      <c r="T4603" s="12">
        <f t="shared" si="428"/>
        <v>1.4242740386950568</v>
      </c>
      <c r="U4603" s="12">
        <f t="shared" si="432"/>
        <v>1.4057811755019496</v>
      </c>
      <c r="V4603" s="30">
        <f t="shared" si="429"/>
        <v>0.37801972602739725</v>
      </c>
      <c r="W4603" s="46">
        <f t="shared" si="430"/>
        <v>-1.4242740386950566E-2</v>
      </c>
      <c r="X4603" s="33">
        <f t="shared" si="431"/>
        <v>2.4106499593094237E-2</v>
      </c>
    </row>
    <row r="4604" spans="19:24" x14ac:dyDescent="0.25">
      <c r="S4604" s="44">
        <f t="shared" si="433"/>
        <v>47654</v>
      </c>
      <c r="T4604" s="12">
        <f t="shared" si="428"/>
        <v>1.4215969563935151</v>
      </c>
      <c r="U4604" s="12">
        <f t="shared" si="432"/>
        <v>1.4031299987771604</v>
      </c>
      <c r="V4604" s="30">
        <f t="shared" si="429"/>
        <v>0.3779923287671233</v>
      </c>
      <c r="W4604" s="46">
        <f t="shared" si="430"/>
        <v>-1.4215969563935149E-2</v>
      </c>
      <c r="X4604" s="33">
        <f t="shared" si="431"/>
        <v>2.4106458080821288E-2</v>
      </c>
    </row>
    <row r="4605" spans="19:24" x14ac:dyDescent="0.25">
      <c r="S4605" s="44">
        <f t="shared" si="433"/>
        <v>47655</v>
      </c>
      <c r="T4605" s="12">
        <f t="shared" si="428"/>
        <v>1.4189198740919737</v>
      </c>
      <c r="U4605" s="12">
        <f t="shared" si="432"/>
        <v>1.400478822052371</v>
      </c>
      <c r="V4605" s="30">
        <f t="shared" si="429"/>
        <v>0.37796493150684929</v>
      </c>
      <c r="W4605" s="46">
        <f t="shared" si="430"/>
        <v>-1.4189198740919735E-2</v>
      </c>
      <c r="X4605" s="33">
        <f t="shared" si="431"/>
        <v>2.4106416568548346E-2</v>
      </c>
    </row>
    <row r="4606" spans="19:24" x14ac:dyDescent="0.25">
      <c r="S4606" s="44">
        <f t="shared" si="433"/>
        <v>47656</v>
      </c>
      <c r="T4606" s="12">
        <f t="shared" si="428"/>
        <v>1.4162427917904326</v>
      </c>
      <c r="U4606" s="12">
        <f t="shared" si="432"/>
        <v>1.3978276453275817</v>
      </c>
      <c r="V4606" s="30">
        <f t="shared" si="429"/>
        <v>0.37793753424657539</v>
      </c>
      <c r="W4606" s="46">
        <f t="shared" si="430"/>
        <v>-1.4162427917904324E-2</v>
      </c>
      <c r="X4606" s="33">
        <f t="shared" si="431"/>
        <v>2.4106375056275404E-2</v>
      </c>
    </row>
    <row r="4607" spans="19:24" x14ac:dyDescent="0.25">
      <c r="S4607" s="44">
        <f t="shared" si="433"/>
        <v>47657</v>
      </c>
      <c r="T4607" s="12">
        <f t="shared" si="428"/>
        <v>1.4135657094888914</v>
      </c>
      <c r="U4607" s="12">
        <f t="shared" si="432"/>
        <v>1.3951764686027923</v>
      </c>
      <c r="V4607" s="30">
        <f t="shared" si="429"/>
        <v>0.37791013698630138</v>
      </c>
      <c r="W4607" s="46">
        <f t="shared" si="430"/>
        <v>-1.4135657094888912E-2</v>
      </c>
      <c r="X4607" s="33">
        <f t="shared" si="431"/>
        <v>2.4106333544002462E-2</v>
      </c>
    </row>
    <row r="4608" spans="19:24" x14ac:dyDescent="0.25">
      <c r="S4608" s="44">
        <f t="shared" si="433"/>
        <v>47658</v>
      </c>
      <c r="T4608" s="12">
        <f t="shared" si="428"/>
        <v>1.4108886271873504</v>
      </c>
      <c r="U4608" s="12">
        <f t="shared" si="432"/>
        <v>1.3925252918780029</v>
      </c>
      <c r="V4608" s="30">
        <f t="shared" si="429"/>
        <v>0.37788273972602743</v>
      </c>
      <c r="W4608" s="46">
        <f t="shared" si="430"/>
        <v>-1.4108886271873502E-2</v>
      </c>
      <c r="X4608" s="33">
        <f t="shared" si="431"/>
        <v>2.4106292031729516E-2</v>
      </c>
    </row>
    <row r="4609" spans="19:24" x14ac:dyDescent="0.25">
      <c r="S4609" s="44">
        <f t="shared" si="433"/>
        <v>47659</v>
      </c>
      <c r="T4609" s="12">
        <f t="shared" si="428"/>
        <v>1.4082115448858092</v>
      </c>
      <c r="U4609" s="12">
        <f t="shared" si="432"/>
        <v>1.3898741151532139</v>
      </c>
      <c r="V4609" s="30">
        <f t="shared" si="429"/>
        <v>0.37785534246575347</v>
      </c>
      <c r="W4609" s="46">
        <f t="shared" si="430"/>
        <v>-1.4082115448858091E-2</v>
      </c>
      <c r="X4609" s="33">
        <f t="shared" si="431"/>
        <v>2.4106250519456578E-2</v>
      </c>
    </row>
    <row r="4610" spans="19:24" x14ac:dyDescent="0.25">
      <c r="S4610" s="44">
        <f t="shared" si="433"/>
        <v>47660</v>
      </c>
      <c r="T4610" s="12">
        <f t="shared" si="428"/>
        <v>1.4055344625842681</v>
      </c>
      <c r="U4610" s="12">
        <f t="shared" si="432"/>
        <v>1.3872229384284243</v>
      </c>
      <c r="V4610" s="30">
        <f t="shared" si="429"/>
        <v>0.37782794520547947</v>
      </c>
      <c r="W4610" s="46">
        <f t="shared" si="430"/>
        <v>-1.4055344625842679E-2</v>
      </c>
      <c r="X4610" s="33">
        <f t="shared" si="431"/>
        <v>2.4106209007183625E-2</v>
      </c>
    </row>
    <row r="4611" spans="19:24" x14ac:dyDescent="0.25">
      <c r="S4611" s="44">
        <f t="shared" si="433"/>
        <v>47661</v>
      </c>
      <c r="T4611" s="12">
        <f t="shared" si="428"/>
        <v>1.4028573802827267</v>
      </c>
      <c r="U4611" s="12">
        <f t="shared" si="432"/>
        <v>1.3845717617036355</v>
      </c>
      <c r="V4611" s="30">
        <f t="shared" si="429"/>
        <v>0.37780054794520551</v>
      </c>
      <c r="W4611" s="46">
        <f t="shared" si="430"/>
        <v>-1.4028573802827264E-2</v>
      </c>
      <c r="X4611" s="33">
        <f t="shared" si="431"/>
        <v>2.410616749491069E-2</v>
      </c>
    </row>
    <row r="4612" spans="19:24" x14ac:dyDescent="0.25">
      <c r="S4612" s="44">
        <f t="shared" si="433"/>
        <v>47662</v>
      </c>
      <c r="T4612" s="12">
        <f t="shared" si="428"/>
        <v>1.4001802979811855</v>
      </c>
      <c r="U4612" s="12">
        <f t="shared" si="432"/>
        <v>1.3819205849788458</v>
      </c>
      <c r="V4612" s="30">
        <f t="shared" si="429"/>
        <v>0.3777731506849315</v>
      </c>
      <c r="W4612" s="46">
        <f t="shared" si="430"/>
        <v>-1.4001802979811852E-2</v>
      </c>
      <c r="X4612" s="33">
        <f t="shared" si="431"/>
        <v>2.4106125982637741E-2</v>
      </c>
    </row>
    <row r="4613" spans="19:24" x14ac:dyDescent="0.25">
      <c r="S4613" s="44">
        <f t="shared" si="433"/>
        <v>47663</v>
      </c>
      <c r="T4613" s="12">
        <f t="shared" ref="T4613:T4676" si="434">DurMod(S4613,B$2,$F$7:$G$37,$T$3)</f>
        <v>1.3975032156796441</v>
      </c>
      <c r="U4613" s="12">
        <f t="shared" si="432"/>
        <v>1.3792694082540564</v>
      </c>
      <c r="V4613" s="30">
        <f t="shared" ref="V4613:V4676" si="435">+$U$3*($S$5512-S4613)/365+$T$3*(S4613-$S$4)/365</f>
        <v>0.37774575342465749</v>
      </c>
      <c r="W4613" s="46">
        <f t="shared" ref="W4613:W4676" si="436">+-T4613*($U$3-$T$3)</f>
        <v>-1.3975032156796439E-2</v>
      </c>
      <c r="X4613" s="33">
        <f t="shared" ref="X4613:X4676" si="437">+(V4613+W4613)*365/($S$5512-$S$4)</f>
        <v>2.4106084470364789E-2</v>
      </c>
    </row>
    <row r="4614" spans="19:24" x14ac:dyDescent="0.25">
      <c r="S4614" s="44">
        <f t="shared" si="433"/>
        <v>47664</v>
      </c>
      <c r="T4614" s="12">
        <f t="shared" si="434"/>
        <v>1.3948261333781029</v>
      </c>
      <c r="U4614" s="12">
        <f t="shared" ref="U4614:U4677" si="438">DurMod($S4614,$B$2,$F$7:$G$37,U$3)</f>
        <v>1.376618231529267</v>
      </c>
      <c r="V4614" s="30">
        <f t="shared" si="435"/>
        <v>0.37771835616438354</v>
      </c>
      <c r="W4614" s="46">
        <f t="shared" si="436"/>
        <v>-1.3948261333781027E-2</v>
      </c>
      <c r="X4614" s="33">
        <f t="shared" si="437"/>
        <v>2.4106042958091854E-2</v>
      </c>
    </row>
    <row r="4615" spans="19:24" x14ac:dyDescent="0.25">
      <c r="S4615" s="44">
        <f t="shared" si="433"/>
        <v>47665</v>
      </c>
      <c r="T4615" s="12">
        <f t="shared" si="434"/>
        <v>1.3921490510765622</v>
      </c>
      <c r="U4615" s="12">
        <f t="shared" si="438"/>
        <v>1.3739670548044784</v>
      </c>
      <c r="V4615" s="30">
        <f t="shared" si="435"/>
        <v>0.37769095890410959</v>
      </c>
      <c r="W4615" s="46">
        <f t="shared" si="436"/>
        <v>-1.3921490510765619E-2</v>
      </c>
      <c r="X4615" s="33">
        <f t="shared" si="437"/>
        <v>2.4106001445818905E-2</v>
      </c>
    </row>
    <row r="4616" spans="19:24" x14ac:dyDescent="0.25">
      <c r="S4616" s="44">
        <f t="shared" si="433"/>
        <v>47666</v>
      </c>
      <c r="T4616" s="12">
        <f t="shared" si="434"/>
        <v>1.3894719687750205</v>
      </c>
      <c r="U4616" s="12">
        <f t="shared" si="438"/>
        <v>1.3713158780796884</v>
      </c>
      <c r="V4616" s="30">
        <f t="shared" si="435"/>
        <v>0.37766356164383563</v>
      </c>
      <c r="W4616" s="46">
        <f t="shared" si="436"/>
        <v>-1.3894719687750204E-2</v>
      </c>
      <c r="X4616" s="33">
        <f t="shared" si="437"/>
        <v>2.4105959933545969E-2</v>
      </c>
    </row>
    <row r="4617" spans="19:24" x14ac:dyDescent="0.25">
      <c r="S4617" s="44">
        <f t="shared" si="433"/>
        <v>47667</v>
      </c>
      <c r="T4617" s="12">
        <f t="shared" si="434"/>
        <v>1.3867948864734796</v>
      </c>
      <c r="U4617" s="12">
        <f t="shared" si="438"/>
        <v>1.3686647013548996</v>
      </c>
      <c r="V4617" s="30">
        <f t="shared" si="435"/>
        <v>0.37763616438356168</v>
      </c>
      <c r="W4617" s="46">
        <f t="shared" si="436"/>
        <v>-1.3867948864734794E-2</v>
      </c>
      <c r="X4617" s="33">
        <f t="shared" si="437"/>
        <v>2.4105918421273024E-2</v>
      </c>
    </row>
    <row r="4618" spans="19:24" x14ac:dyDescent="0.25">
      <c r="S4618" s="44">
        <f t="shared" si="433"/>
        <v>47668</v>
      </c>
      <c r="T4618" s="12">
        <f t="shared" si="434"/>
        <v>1.3841178041719384</v>
      </c>
      <c r="U4618" s="12">
        <f t="shared" si="438"/>
        <v>1.3660135246301099</v>
      </c>
      <c r="V4618" s="30">
        <f t="shared" si="435"/>
        <v>0.37760876712328773</v>
      </c>
      <c r="W4618" s="46">
        <f t="shared" si="436"/>
        <v>-1.3841178041719382E-2</v>
      </c>
      <c r="X4618" s="33">
        <f t="shared" si="437"/>
        <v>2.4105876909000082E-2</v>
      </c>
    </row>
    <row r="4619" spans="19:24" x14ac:dyDescent="0.25">
      <c r="S4619" s="44">
        <f t="shared" si="433"/>
        <v>47669</v>
      </c>
      <c r="T4619" s="12">
        <f t="shared" si="434"/>
        <v>1.381440721870397</v>
      </c>
      <c r="U4619" s="12">
        <f t="shared" si="438"/>
        <v>1.3633623479053205</v>
      </c>
      <c r="V4619" s="30">
        <f t="shared" si="435"/>
        <v>0.37758136986301372</v>
      </c>
      <c r="W4619" s="46">
        <f t="shared" si="436"/>
        <v>-1.3814407218703969E-2</v>
      </c>
      <c r="X4619" s="33">
        <f t="shared" si="437"/>
        <v>2.4105835396727133E-2</v>
      </c>
    </row>
    <row r="4620" spans="19:24" x14ac:dyDescent="0.25">
      <c r="S4620" s="44">
        <f t="shared" si="433"/>
        <v>47670</v>
      </c>
      <c r="T4620" s="12">
        <f t="shared" si="434"/>
        <v>1.3787636395688556</v>
      </c>
      <c r="U4620" s="12">
        <f t="shared" si="438"/>
        <v>1.3607111711805313</v>
      </c>
      <c r="V4620" s="30">
        <f t="shared" si="435"/>
        <v>0.37755397260273976</v>
      </c>
      <c r="W4620" s="46">
        <f t="shared" si="436"/>
        <v>-1.3787636395688554E-2</v>
      </c>
      <c r="X4620" s="33">
        <f t="shared" si="437"/>
        <v>2.4105793884454198E-2</v>
      </c>
    </row>
    <row r="4621" spans="19:24" x14ac:dyDescent="0.25">
      <c r="S4621" s="44">
        <f t="shared" si="433"/>
        <v>47671</v>
      </c>
      <c r="T4621" s="12">
        <f t="shared" si="434"/>
        <v>1.3760865572673149</v>
      </c>
      <c r="U4621" s="12">
        <f t="shared" si="438"/>
        <v>1.3580599944557423</v>
      </c>
      <c r="V4621" s="30">
        <f t="shared" si="435"/>
        <v>0.37752657534246575</v>
      </c>
      <c r="W4621" s="46">
        <f t="shared" si="436"/>
        <v>-1.3760865572673147E-2</v>
      </c>
      <c r="X4621" s="33">
        <f t="shared" si="437"/>
        <v>2.4105752372181245E-2</v>
      </c>
    </row>
    <row r="4622" spans="19:24" x14ac:dyDescent="0.25">
      <c r="S4622" s="44">
        <f t="shared" si="433"/>
        <v>47672</v>
      </c>
      <c r="T4622" s="12">
        <f t="shared" si="434"/>
        <v>1.3734094749657733</v>
      </c>
      <c r="U4622" s="12">
        <f t="shared" si="438"/>
        <v>1.3554088177309527</v>
      </c>
      <c r="V4622" s="30">
        <f t="shared" si="435"/>
        <v>0.3774991780821918</v>
      </c>
      <c r="W4622" s="46">
        <f t="shared" si="436"/>
        <v>-1.373409474965773E-2</v>
      </c>
      <c r="X4622" s="33">
        <f t="shared" si="437"/>
        <v>2.4105710859908303E-2</v>
      </c>
    </row>
    <row r="4623" spans="19:24" x14ac:dyDescent="0.25">
      <c r="S4623" s="44">
        <f t="shared" si="433"/>
        <v>47673</v>
      </c>
      <c r="T4623" s="12">
        <f t="shared" si="434"/>
        <v>1.3707323926642323</v>
      </c>
      <c r="U4623" s="12">
        <f t="shared" si="438"/>
        <v>1.3527576410061637</v>
      </c>
      <c r="V4623" s="30">
        <f t="shared" si="435"/>
        <v>0.37747178082191785</v>
      </c>
      <c r="W4623" s="46">
        <f t="shared" si="436"/>
        <v>-1.3707323926642321E-2</v>
      </c>
      <c r="X4623" s="33">
        <f t="shared" si="437"/>
        <v>2.4105669347635361E-2</v>
      </c>
    </row>
    <row r="4624" spans="19:24" x14ac:dyDescent="0.25">
      <c r="S4624" s="44">
        <f t="shared" si="433"/>
        <v>47674</v>
      </c>
      <c r="T4624" s="12">
        <f t="shared" si="434"/>
        <v>1.3680553103626909</v>
      </c>
      <c r="U4624" s="12">
        <f t="shared" si="438"/>
        <v>1.3501064642813743</v>
      </c>
      <c r="V4624" s="30">
        <f t="shared" si="435"/>
        <v>0.37744438356164384</v>
      </c>
      <c r="W4624" s="46">
        <f t="shared" si="436"/>
        <v>-1.3680553103626907E-2</v>
      </c>
      <c r="X4624" s="33">
        <f t="shared" si="437"/>
        <v>2.4105627835362412E-2</v>
      </c>
    </row>
    <row r="4625" spans="19:24" x14ac:dyDescent="0.25">
      <c r="S4625" s="44">
        <f t="shared" si="433"/>
        <v>47675</v>
      </c>
      <c r="T4625" s="12">
        <f t="shared" si="434"/>
        <v>1.3653782280611497</v>
      </c>
      <c r="U4625" s="12">
        <f t="shared" si="438"/>
        <v>1.3474552875565848</v>
      </c>
      <c r="V4625" s="30">
        <f t="shared" si="435"/>
        <v>0.37741698630136983</v>
      </c>
      <c r="W4625" s="46">
        <f t="shared" si="436"/>
        <v>-1.3653782280611496E-2</v>
      </c>
      <c r="X4625" s="33">
        <f t="shared" si="437"/>
        <v>2.410558632308947E-2</v>
      </c>
    </row>
    <row r="4626" spans="19:24" x14ac:dyDescent="0.25">
      <c r="S4626" s="44">
        <f t="shared" si="433"/>
        <v>47676</v>
      </c>
      <c r="T4626" s="12">
        <f t="shared" si="434"/>
        <v>1.3627011457596088</v>
      </c>
      <c r="U4626" s="12">
        <f t="shared" si="438"/>
        <v>1.3448041108317956</v>
      </c>
      <c r="V4626" s="30">
        <f t="shared" si="435"/>
        <v>0.37738958904109587</v>
      </c>
      <c r="W4626" s="46">
        <f t="shared" si="436"/>
        <v>-1.3627011457596086E-2</v>
      </c>
      <c r="X4626" s="33">
        <f t="shared" si="437"/>
        <v>2.4105544810816525E-2</v>
      </c>
    </row>
    <row r="4627" spans="19:24" x14ac:dyDescent="0.25">
      <c r="S4627" s="44">
        <f t="shared" si="433"/>
        <v>47677</v>
      </c>
      <c r="T4627" s="12">
        <f t="shared" si="434"/>
        <v>1.3600240634580676</v>
      </c>
      <c r="U4627" s="12">
        <f t="shared" si="438"/>
        <v>1.3421529341070062</v>
      </c>
      <c r="V4627" s="30">
        <f t="shared" si="435"/>
        <v>0.37736219178082187</v>
      </c>
      <c r="W4627" s="46">
        <f t="shared" si="436"/>
        <v>-1.3600240634580674E-2</v>
      </c>
      <c r="X4627" s="33">
        <f t="shared" si="437"/>
        <v>2.4105503298543583E-2</v>
      </c>
    </row>
    <row r="4628" spans="19:24" x14ac:dyDescent="0.25">
      <c r="S4628" s="44">
        <f t="shared" si="433"/>
        <v>47678</v>
      </c>
      <c r="T4628" s="12">
        <f t="shared" si="434"/>
        <v>1.3573469811565264</v>
      </c>
      <c r="U4628" s="12">
        <f t="shared" si="438"/>
        <v>1.339501757382217</v>
      </c>
      <c r="V4628" s="30">
        <f t="shared" si="435"/>
        <v>0.37733479452054797</v>
      </c>
      <c r="W4628" s="46">
        <f t="shared" si="436"/>
        <v>-1.3573469811565262E-2</v>
      </c>
      <c r="X4628" s="33">
        <f t="shared" si="437"/>
        <v>2.4105461786270641E-2</v>
      </c>
    </row>
    <row r="4629" spans="19:24" x14ac:dyDescent="0.25">
      <c r="S4629" s="44">
        <f t="shared" si="433"/>
        <v>47679</v>
      </c>
      <c r="T4629" s="12">
        <f t="shared" si="434"/>
        <v>1.3546698988549848</v>
      </c>
      <c r="U4629" s="12">
        <f t="shared" si="438"/>
        <v>1.3368505806574278</v>
      </c>
      <c r="V4629" s="30">
        <f t="shared" si="435"/>
        <v>0.37730739726027401</v>
      </c>
      <c r="W4629" s="46">
        <f t="shared" si="436"/>
        <v>-1.3546698988549846E-2</v>
      </c>
      <c r="X4629" s="33">
        <f t="shared" si="437"/>
        <v>2.4105420273997698E-2</v>
      </c>
    </row>
    <row r="4630" spans="19:24" x14ac:dyDescent="0.25">
      <c r="S4630" s="44">
        <f t="shared" si="433"/>
        <v>47680</v>
      </c>
      <c r="T4630" s="12">
        <f t="shared" si="434"/>
        <v>1.3519928165534441</v>
      </c>
      <c r="U4630" s="12">
        <f t="shared" si="438"/>
        <v>1.3341994039326386</v>
      </c>
      <c r="V4630" s="30">
        <f t="shared" si="435"/>
        <v>0.37728000000000006</v>
      </c>
      <c r="W4630" s="46">
        <f t="shared" si="436"/>
        <v>-1.3519928165534439E-2</v>
      </c>
      <c r="X4630" s="33">
        <f t="shared" si="437"/>
        <v>2.4105378761724756E-2</v>
      </c>
    </row>
    <row r="4631" spans="19:24" x14ac:dyDescent="0.25">
      <c r="S4631" s="44">
        <f t="shared" si="433"/>
        <v>47681</v>
      </c>
      <c r="T4631" s="12">
        <f t="shared" si="434"/>
        <v>1.3493157342519027</v>
      </c>
      <c r="U4631" s="12">
        <f t="shared" si="438"/>
        <v>1.3315482272078494</v>
      </c>
      <c r="V4631" s="30">
        <f t="shared" si="435"/>
        <v>0.37725260273972605</v>
      </c>
      <c r="W4631" s="46">
        <f t="shared" si="436"/>
        <v>-1.3493157342519024E-2</v>
      </c>
      <c r="X4631" s="33">
        <f t="shared" si="437"/>
        <v>2.4105337249451807E-2</v>
      </c>
    </row>
    <row r="4632" spans="19:24" x14ac:dyDescent="0.25">
      <c r="S4632" s="44">
        <f t="shared" si="433"/>
        <v>47682</v>
      </c>
      <c r="T4632" s="12">
        <f t="shared" si="434"/>
        <v>1.3466386519503613</v>
      </c>
      <c r="U4632" s="12">
        <f t="shared" si="438"/>
        <v>1.3288970504830595</v>
      </c>
      <c r="V4632" s="30">
        <f t="shared" si="435"/>
        <v>0.3772252054794521</v>
      </c>
      <c r="W4632" s="46">
        <f t="shared" si="436"/>
        <v>-1.3466386519503611E-2</v>
      </c>
      <c r="X4632" s="33">
        <f t="shared" si="437"/>
        <v>2.4105295737178865E-2</v>
      </c>
    </row>
    <row r="4633" spans="19:24" x14ac:dyDescent="0.25">
      <c r="S4633" s="44">
        <f t="shared" si="433"/>
        <v>47683</v>
      </c>
      <c r="T4633" s="12">
        <f t="shared" si="434"/>
        <v>1.3439615696488205</v>
      </c>
      <c r="U4633" s="12">
        <f t="shared" si="438"/>
        <v>1.3262458737582705</v>
      </c>
      <c r="V4633" s="30">
        <f t="shared" si="435"/>
        <v>0.37719780821917809</v>
      </c>
      <c r="W4633" s="46">
        <f t="shared" si="436"/>
        <v>-1.3439615696488202E-2</v>
      </c>
      <c r="X4633" s="33">
        <f t="shared" si="437"/>
        <v>2.410525422490592E-2</v>
      </c>
    </row>
    <row r="4634" spans="19:24" x14ac:dyDescent="0.25">
      <c r="S4634" s="44">
        <f t="shared" si="433"/>
        <v>47684</v>
      </c>
      <c r="T4634" s="12">
        <f t="shared" si="434"/>
        <v>1.3412844873472791</v>
      </c>
      <c r="U4634" s="12">
        <f t="shared" si="438"/>
        <v>1.3235946970334811</v>
      </c>
      <c r="V4634" s="30">
        <f t="shared" si="435"/>
        <v>0.37717041095890408</v>
      </c>
      <c r="W4634" s="46">
        <f t="shared" si="436"/>
        <v>-1.3412844873472789E-2</v>
      </c>
      <c r="X4634" s="33">
        <f t="shared" si="437"/>
        <v>2.4105212712632971E-2</v>
      </c>
    </row>
    <row r="4635" spans="19:24" x14ac:dyDescent="0.25">
      <c r="S4635" s="44">
        <f t="shared" si="433"/>
        <v>47685</v>
      </c>
      <c r="T4635" s="12">
        <f t="shared" si="434"/>
        <v>1.3386074050457382</v>
      </c>
      <c r="U4635" s="12">
        <f t="shared" si="438"/>
        <v>1.3209435203086917</v>
      </c>
      <c r="V4635" s="30">
        <f t="shared" si="435"/>
        <v>0.37714301369863013</v>
      </c>
      <c r="W4635" s="46">
        <f t="shared" si="436"/>
        <v>-1.3386074050457379E-2</v>
      </c>
      <c r="X4635" s="33">
        <f t="shared" si="437"/>
        <v>2.4105171200360029E-2</v>
      </c>
    </row>
    <row r="4636" spans="19:24" x14ac:dyDescent="0.25">
      <c r="S4636" s="44">
        <f t="shared" si="433"/>
        <v>47686</v>
      </c>
      <c r="T4636" s="12">
        <f t="shared" si="434"/>
        <v>1.3359303227441968</v>
      </c>
      <c r="U4636" s="12">
        <f t="shared" si="438"/>
        <v>1.3182923435839025</v>
      </c>
      <c r="V4636" s="30">
        <f t="shared" si="435"/>
        <v>0.37711561643835617</v>
      </c>
      <c r="W4636" s="46">
        <f t="shared" si="436"/>
        <v>-1.3359303227441966E-2</v>
      </c>
      <c r="X4636" s="33">
        <f t="shared" si="437"/>
        <v>2.410512968808709E-2</v>
      </c>
    </row>
    <row r="4637" spans="19:24" x14ac:dyDescent="0.25">
      <c r="S4637" s="44">
        <f t="shared" si="433"/>
        <v>47687</v>
      </c>
      <c r="T4637" s="12">
        <f t="shared" si="434"/>
        <v>1.3332532404426556</v>
      </c>
      <c r="U4637" s="12">
        <f t="shared" si="438"/>
        <v>1.315641166859113</v>
      </c>
      <c r="V4637" s="30">
        <f t="shared" si="435"/>
        <v>0.37708821917808216</v>
      </c>
      <c r="W4637" s="46">
        <f t="shared" si="436"/>
        <v>-1.3332532404426554E-2</v>
      </c>
      <c r="X4637" s="33">
        <f t="shared" si="437"/>
        <v>2.4105088175814141E-2</v>
      </c>
    </row>
    <row r="4638" spans="19:24" x14ac:dyDescent="0.25">
      <c r="S4638" s="44">
        <f t="shared" si="433"/>
        <v>47688</v>
      </c>
      <c r="T4638" s="12">
        <f t="shared" si="434"/>
        <v>1.330576158141114</v>
      </c>
      <c r="U4638" s="12">
        <f t="shared" si="438"/>
        <v>1.3129899901343238</v>
      </c>
      <c r="V4638" s="30">
        <f t="shared" si="435"/>
        <v>0.37706082191780821</v>
      </c>
      <c r="W4638" s="46">
        <f t="shared" si="436"/>
        <v>-1.3305761581411137E-2</v>
      </c>
      <c r="X4638" s="33">
        <f t="shared" si="437"/>
        <v>2.4105046663541199E-2</v>
      </c>
    </row>
    <row r="4639" spans="19:24" x14ac:dyDescent="0.25">
      <c r="S4639" s="44">
        <f t="shared" si="433"/>
        <v>47689</v>
      </c>
      <c r="T4639" s="12">
        <f t="shared" si="434"/>
        <v>1.3278990758395732</v>
      </c>
      <c r="U4639" s="12">
        <f t="shared" si="438"/>
        <v>1.3103388134095348</v>
      </c>
      <c r="V4639" s="30">
        <f t="shared" si="435"/>
        <v>0.3770334246575342</v>
      </c>
      <c r="W4639" s="46">
        <f t="shared" si="436"/>
        <v>-1.3278990758395731E-2</v>
      </c>
      <c r="X4639" s="33">
        <f t="shared" si="437"/>
        <v>2.4105005151268254E-2</v>
      </c>
    </row>
    <row r="4640" spans="19:24" x14ac:dyDescent="0.25">
      <c r="S4640" s="44">
        <f t="shared" si="433"/>
        <v>47690</v>
      </c>
      <c r="T4640" s="12">
        <f t="shared" si="434"/>
        <v>1.3252219935380318</v>
      </c>
      <c r="U4640" s="12">
        <f t="shared" si="438"/>
        <v>1.3076876366847454</v>
      </c>
      <c r="V4640" s="30">
        <f t="shared" si="435"/>
        <v>0.3770060273972603</v>
      </c>
      <c r="W4640" s="46">
        <f t="shared" si="436"/>
        <v>-1.3252219935380316E-2</v>
      </c>
      <c r="X4640" s="33">
        <f t="shared" si="437"/>
        <v>2.4104963638995315E-2</v>
      </c>
    </row>
    <row r="4641" spans="19:24" x14ac:dyDescent="0.25">
      <c r="S4641" s="44">
        <f t="shared" si="433"/>
        <v>47691</v>
      </c>
      <c r="T4641" s="12">
        <f t="shared" si="434"/>
        <v>1.3225449112364909</v>
      </c>
      <c r="U4641" s="12">
        <f t="shared" si="438"/>
        <v>1.305036459959956</v>
      </c>
      <c r="V4641" s="30">
        <f t="shared" si="435"/>
        <v>0.37697863013698635</v>
      </c>
      <c r="W4641" s="46">
        <f t="shared" si="436"/>
        <v>-1.3225449112364908E-2</v>
      </c>
      <c r="X4641" s="33">
        <f t="shared" si="437"/>
        <v>2.4104922126722373E-2</v>
      </c>
    </row>
    <row r="4642" spans="19:24" x14ac:dyDescent="0.25">
      <c r="S4642" s="44">
        <f t="shared" si="433"/>
        <v>47692</v>
      </c>
      <c r="T4642" s="12">
        <f t="shared" si="434"/>
        <v>1.3198678289349495</v>
      </c>
      <c r="U4642" s="12">
        <f t="shared" si="438"/>
        <v>1.3023852832351668</v>
      </c>
      <c r="V4642" s="30">
        <f t="shared" si="435"/>
        <v>0.37695123287671234</v>
      </c>
      <c r="W4642" s="46">
        <f t="shared" si="436"/>
        <v>-1.3198678289349492E-2</v>
      </c>
      <c r="X4642" s="33">
        <f t="shared" si="437"/>
        <v>2.4104880614449428E-2</v>
      </c>
    </row>
    <row r="4643" spans="19:24" x14ac:dyDescent="0.25">
      <c r="S4643" s="44">
        <f t="shared" si="433"/>
        <v>47693</v>
      </c>
      <c r="T4643" s="12">
        <f t="shared" si="434"/>
        <v>1.3171907466334087</v>
      </c>
      <c r="U4643" s="12">
        <f t="shared" si="438"/>
        <v>1.2997341065103778</v>
      </c>
      <c r="V4643" s="30">
        <f t="shared" si="435"/>
        <v>0.37692383561643839</v>
      </c>
      <c r="W4643" s="46">
        <f t="shared" si="436"/>
        <v>-1.3171907466334086E-2</v>
      </c>
      <c r="X4643" s="33">
        <f t="shared" si="437"/>
        <v>2.4104839102176485E-2</v>
      </c>
    </row>
    <row r="4644" spans="19:24" x14ac:dyDescent="0.25">
      <c r="S4644" s="44">
        <f t="shared" si="433"/>
        <v>47694</v>
      </c>
      <c r="T4644" s="12">
        <f t="shared" si="434"/>
        <v>1.3145136643318669</v>
      </c>
      <c r="U4644" s="12">
        <f t="shared" si="438"/>
        <v>1.2970829297855881</v>
      </c>
      <c r="V4644" s="30">
        <f t="shared" si="435"/>
        <v>0.37689643835616443</v>
      </c>
      <c r="W4644" s="46">
        <f t="shared" si="436"/>
        <v>-1.3145136643318667E-2</v>
      </c>
      <c r="X4644" s="33">
        <f t="shared" si="437"/>
        <v>2.4104797589903543E-2</v>
      </c>
    </row>
    <row r="4645" spans="19:24" x14ac:dyDescent="0.25">
      <c r="S4645" s="44">
        <f t="shared" si="433"/>
        <v>47695</v>
      </c>
      <c r="T4645" s="12">
        <f t="shared" si="434"/>
        <v>1.3118365820303259</v>
      </c>
      <c r="U4645" s="12">
        <f t="shared" si="438"/>
        <v>1.2944317530607989</v>
      </c>
      <c r="V4645" s="30">
        <f t="shared" si="435"/>
        <v>0.37686904109589042</v>
      </c>
      <c r="W4645" s="46">
        <f t="shared" si="436"/>
        <v>-1.3118365820303257E-2</v>
      </c>
      <c r="X4645" s="33">
        <f t="shared" si="437"/>
        <v>2.4104756077630594E-2</v>
      </c>
    </row>
    <row r="4646" spans="19:24" x14ac:dyDescent="0.25">
      <c r="S4646" s="44">
        <f t="shared" si="433"/>
        <v>47696</v>
      </c>
      <c r="T4646" s="12">
        <f t="shared" si="434"/>
        <v>1.3091594997287845</v>
      </c>
      <c r="U4646" s="12">
        <f t="shared" si="438"/>
        <v>1.2917805763360097</v>
      </c>
      <c r="V4646" s="30">
        <f t="shared" si="435"/>
        <v>0.37684164383561641</v>
      </c>
      <c r="W4646" s="46">
        <f t="shared" si="436"/>
        <v>-1.3091594997287844E-2</v>
      </c>
      <c r="X4646" s="33">
        <f t="shared" si="437"/>
        <v>2.4104714565357649E-2</v>
      </c>
    </row>
    <row r="4647" spans="19:24" x14ac:dyDescent="0.25">
      <c r="S4647" s="44">
        <f t="shared" si="433"/>
        <v>47697</v>
      </c>
      <c r="T4647" s="12">
        <f t="shared" si="434"/>
        <v>1.3064824174272436</v>
      </c>
      <c r="U4647" s="12">
        <f t="shared" si="438"/>
        <v>1.2891293996112203</v>
      </c>
      <c r="V4647" s="30">
        <f t="shared" si="435"/>
        <v>0.37681424657534246</v>
      </c>
      <c r="W4647" s="46">
        <f t="shared" si="436"/>
        <v>-1.3064824174272434E-2</v>
      </c>
      <c r="X4647" s="33">
        <f t="shared" si="437"/>
        <v>2.4104673053084707E-2</v>
      </c>
    </row>
    <row r="4648" spans="19:24" x14ac:dyDescent="0.25">
      <c r="S4648" s="44">
        <f t="shared" si="433"/>
        <v>47698</v>
      </c>
      <c r="T4648" s="12">
        <f t="shared" si="434"/>
        <v>1.3038053351257028</v>
      </c>
      <c r="U4648" s="12">
        <f t="shared" si="438"/>
        <v>1.2864782228864313</v>
      </c>
      <c r="V4648" s="30">
        <f t="shared" si="435"/>
        <v>0.37678684931506845</v>
      </c>
      <c r="W4648" s="46">
        <f t="shared" si="436"/>
        <v>-1.3038053351257026E-2</v>
      </c>
      <c r="X4648" s="33">
        <f t="shared" si="437"/>
        <v>2.4104631540811758E-2</v>
      </c>
    </row>
    <row r="4649" spans="19:24" x14ac:dyDescent="0.25">
      <c r="S4649" s="44">
        <f t="shared" si="433"/>
        <v>47699</v>
      </c>
      <c r="T4649" s="12">
        <f t="shared" si="434"/>
        <v>1.3011282528241614</v>
      </c>
      <c r="U4649" s="12">
        <f t="shared" si="438"/>
        <v>1.2838270461616417</v>
      </c>
      <c r="V4649" s="30">
        <f t="shared" si="435"/>
        <v>0.3767594520547945</v>
      </c>
      <c r="W4649" s="46">
        <f t="shared" si="436"/>
        <v>-1.3011282528241613E-2</v>
      </c>
      <c r="X4649" s="33">
        <f t="shared" si="437"/>
        <v>2.4104590028538816E-2</v>
      </c>
    </row>
    <row r="4650" spans="19:24" x14ac:dyDescent="0.25">
      <c r="S4650" s="44">
        <f t="shared" si="433"/>
        <v>47700</v>
      </c>
      <c r="T4650" s="12">
        <f t="shared" si="434"/>
        <v>1.29845117052262</v>
      </c>
      <c r="U4650" s="12">
        <f t="shared" si="438"/>
        <v>1.2811758694368525</v>
      </c>
      <c r="V4650" s="30">
        <f t="shared" si="435"/>
        <v>0.37673205479452054</v>
      </c>
      <c r="W4650" s="46">
        <f t="shared" si="436"/>
        <v>-1.2984511705226199E-2</v>
      </c>
      <c r="X4650" s="33">
        <f t="shared" si="437"/>
        <v>2.4104548516265874E-2</v>
      </c>
    </row>
    <row r="4651" spans="19:24" x14ac:dyDescent="0.25">
      <c r="S4651" s="44">
        <f t="shared" si="433"/>
        <v>47701</v>
      </c>
      <c r="T4651" s="12">
        <f t="shared" si="434"/>
        <v>1.2957740882210791</v>
      </c>
      <c r="U4651" s="12">
        <f t="shared" si="438"/>
        <v>1.2785246927120633</v>
      </c>
      <c r="V4651" s="30">
        <f t="shared" si="435"/>
        <v>0.37670465753424653</v>
      </c>
      <c r="W4651" s="46">
        <f t="shared" si="436"/>
        <v>-1.2957740882210789E-2</v>
      </c>
      <c r="X4651" s="33">
        <f t="shared" si="437"/>
        <v>2.4104507003992928E-2</v>
      </c>
    </row>
    <row r="4652" spans="19:24" x14ac:dyDescent="0.25">
      <c r="S4652" s="44">
        <f t="shared" si="433"/>
        <v>47702</v>
      </c>
      <c r="T4652" s="12">
        <f t="shared" si="434"/>
        <v>1.2930970059195372</v>
      </c>
      <c r="U4652" s="12">
        <f t="shared" si="438"/>
        <v>1.2758735159872738</v>
      </c>
      <c r="V4652" s="30">
        <f t="shared" si="435"/>
        <v>0.37667726027397264</v>
      </c>
      <c r="W4652" s="46">
        <f t="shared" si="436"/>
        <v>-1.2930970059195371E-2</v>
      </c>
      <c r="X4652" s="33">
        <f t="shared" si="437"/>
        <v>2.410446549171999E-2</v>
      </c>
    </row>
    <row r="4653" spans="19:24" x14ac:dyDescent="0.25">
      <c r="S4653" s="44">
        <f t="shared" si="433"/>
        <v>47703</v>
      </c>
      <c r="T4653" s="12">
        <f t="shared" si="434"/>
        <v>1.2904199236179965</v>
      </c>
      <c r="U4653" s="12">
        <f t="shared" si="438"/>
        <v>1.2732223392624848</v>
      </c>
      <c r="V4653" s="30">
        <f t="shared" si="435"/>
        <v>0.37664986301369868</v>
      </c>
      <c r="W4653" s="46">
        <f t="shared" si="436"/>
        <v>-1.2904199236179963E-2</v>
      </c>
      <c r="X4653" s="33">
        <f t="shared" si="437"/>
        <v>2.4104423979447044E-2</v>
      </c>
    </row>
    <row r="4654" spans="19:24" x14ac:dyDescent="0.25">
      <c r="S4654" s="44">
        <f t="shared" si="433"/>
        <v>47704</v>
      </c>
      <c r="T4654" s="12">
        <f t="shared" si="434"/>
        <v>1.2877428413164549</v>
      </c>
      <c r="U4654" s="12">
        <f t="shared" si="438"/>
        <v>1.2705711625376952</v>
      </c>
      <c r="V4654" s="30">
        <f t="shared" si="435"/>
        <v>0.37662246575342467</v>
      </c>
      <c r="W4654" s="46">
        <f t="shared" si="436"/>
        <v>-1.2877428413164548E-2</v>
      </c>
      <c r="X4654" s="33">
        <f t="shared" si="437"/>
        <v>2.4104382467174102E-2</v>
      </c>
    </row>
    <row r="4655" spans="19:24" x14ac:dyDescent="0.25">
      <c r="S4655" s="44">
        <f t="shared" si="433"/>
        <v>47705</v>
      </c>
      <c r="T4655" s="12">
        <f t="shared" si="434"/>
        <v>1.2850657590149139</v>
      </c>
      <c r="U4655" s="12">
        <f t="shared" si="438"/>
        <v>1.267919985812906</v>
      </c>
      <c r="V4655" s="30">
        <f t="shared" si="435"/>
        <v>0.37659506849315066</v>
      </c>
      <c r="W4655" s="46">
        <f t="shared" si="436"/>
        <v>-1.2850657590149138E-2</v>
      </c>
      <c r="X4655" s="33">
        <f t="shared" si="437"/>
        <v>2.4104340954901157E-2</v>
      </c>
    </row>
    <row r="4656" spans="19:24" x14ac:dyDescent="0.25">
      <c r="S4656" s="44">
        <f t="shared" si="433"/>
        <v>47706</v>
      </c>
      <c r="T4656" s="12">
        <f t="shared" si="434"/>
        <v>1.2823886767133728</v>
      </c>
      <c r="U4656" s="12">
        <f t="shared" si="438"/>
        <v>1.2652688090881163</v>
      </c>
      <c r="V4656" s="30">
        <f t="shared" si="435"/>
        <v>0.37656767123287671</v>
      </c>
      <c r="W4656" s="46">
        <f t="shared" si="436"/>
        <v>-1.2823886767133726E-2</v>
      </c>
      <c r="X4656" s="33">
        <f t="shared" si="437"/>
        <v>2.4104299442628208E-2</v>
      </c>
    </row>
    <row r="4657" spans="19:24" x14ac:dyDescent="0.25">
      <c r="S4657" s="44">
        <f t="shared" si="433"/>
        <v>47707</v>
      </c>
      <c r="T4657" s="12">
        <f t="shared" si="434"/>
        <v>1.2797115944118318</v>
      </c>
      <c r="U4657" s="12">
        <f t="shared" si="438"/>
        <v>1.2626176323633276</v>
      </c>
      <c r="V4657" s="30">
        <f t="shared" si="435"/>
        <v>0.37654027397260276</v>
      </c>
      <c r="W4657" s="46">
        <f t="shared" si="436"/>
        <v>-1.2797115944118316E-2</v>
      </c>
      <c r="X4657" s="33">
        <f t="shared" si="437"/>
        <v>2.4104257930355272E-2</v>
      </c>
    </row>
    <row r="4658" spans="19:24" x14ac:dyDescent="0.25">
      <c r="S4658" s="44">
        <f t="shared" si="433"/>
        <v>47708</v>
      </c>
      <c r="T4658" s="12">
        <f t="shared" si="434"/>
        <v>1.2770345121102904</v>
      </c>
      <c r="U4658" s="12">
        <f t="shared" si="438"/>
        <v>1.2599664556385379</v>
      </c>
      <c r="V4658" s="30">
        <f t="shared" si="435"/>
        <v>0.37651287671232875</v>
      </c>
      <c r="W4658" s="46">
        <f t="shared" si="436"/>
        <v>-1.2770345121102903E-2</v>
      </c>
      <c r="X4658" s="33">
        <f t="shared" si="437"/>
        <v>2.4104216418082323E-2</v>
      </c>
    </row>
    <row r="4659" spans="19:24" x14ac:dyDescent="0.25">
      <c r="S4659" s="44">
        <f t="shared" ref="S4659:S4722" si="439">+S4658+1</f>
        <v>47709</v>
      </c>
      <c r="T4659" s="12">
        <f t="shared" si="434"/>
        <v>1.2743574298087492</v>
      </c>
      <c r="U4659" s="12">
        <f t="shared" si="438"/>
        <v>1.2573152789137489</v>
      </c>
      <c r="V4659" s="30">
        <f t="shared" si="435"/>
        <v>0.37648547945205479</v>
      </c>
      <c r="W4659" s="46">
        <f t="shared" si="436"/>
        <v>-1.2743574298087491E-2</v>
      </c>
      <c r="X4659" s="33">
        <f t="shared" si="437"/>
        <v>2.4104174905809381E-2</v>
      </c>
    </row>
    <row r="4660" spans="19:24" x14ac:dyDescent="0.25">
      <c r="S4660" s="44">
        <f t="shared" si="439"/>
        <v>47710</v>
      </c>
      <c r="T4660" s="12">
        <f t="shared" si="434"/>
        <v>1.271680347507208</v>
      </c>
      <c r="U4660" s="12">
        <f t="shared" si="438"/>
        <v>1.2546641021889595</v>
      </c>
      <c r="V4660" s="30">
        <f t="shared" si="435"/>
        <v>0.37645808219178079</v>
      </c>
      <c r="W4660" s="46">
        <f t="shared" si="436"/>
        <v>-1.2716803475072078E-2</v>
      </c>
      <c r="X4660" s="33">
        <f t="shared" si="437"/>
        <v>2.4104133393536436E-2</v>
      </c>
    </row>
    <row r="4661" spans="19:24" x14ac:dyDescent="0.25">
      <c r="S4661" s="44">
        <f t="shared" si="439"/>
        <v>47711</v>
      </c>
      <c r="T4661" s="12">
        <f t="shared" si="434"/>
        <v>1.2690032652056666</v>
      </c>
      <c r="U4661" s="12">
        <f t="shared" si="438"/>
        <v>1.2520129254641705</v>
      </c>
      <c r="V4661" s="30">
        <f t="shared" si="435"/>
        <v>0.37643068493150683</v>
      </c>
      <c r="W4661" s="46">
        <f t="shared" si="436"/>
        <v>-1.2690032652056664E-2</v>
      </c>
      <c r="X4661" s="33">
        <f t="shared" si="437"/>
        <v>2.4104091881263494E-2</v>
      </c>
    </row>
    <row r="4662" spans="19:24" x14ac:dyDescent="0.25">
      <c r="S4662" s="44">
        <f t="shared" si="439"/>
        <v>47712</v>
      </c>
      <c r="T4662" s="12">
        <f t="shared" si="434"/>
        <v>1.2663261829041255</v>
      </c>
      <c r="U4662" s="12">
        <f t="shared" si="438"/>
        <v>1.2493617487393807</v>
      </c>
      <c r="V4662" s="30">
        <f t="shared" si="435"/>
        <v>0.37640328767123288</v>
      </c>
      <c r="W4662" s="46">
        <f t="shared" si="436"/>
        <v>-1.2663261829041253E-2</v>
      </c>
      <c r="X4662" s="33">
        <f t="shared" si="437"/>
        <v>2.4104050368990552E-2</v>
      </c>
    </row>
    <row r="4663" spans="19:24" x14ac:dyDescent="0.25">
      <c r="S4663" s="44">
        <f t="shared" si="439"/>
        <v>47713</v>
      </c>
      <c r="T4663" s="12">
        <f t="shared" si="434"/>
        <v>1.2636491006025845</v>
      </c>
      <c r="U4663" s="12">
        <f t="shared" si="438"/>
        <v>1.2467105720145917</v>
      </c>
      <c r="V4663" s="30">
        <f t="shared" si="435"/>
        <v>0.37637589041095887</v>
      </c>
      <c r="W4663" s="46">
        <f t="shared" si="436"/>
        <v>-1.2636491006025843E-2</v>
      </c>
      <c r="X4663" s="33">
        <f t="shared" si="437"/>
        <v>2.4104008856717603E-2</v>
      </c>
    </row>
    <row r="4664" spans="19:24" x14ac:dyDescent="0.25">
      <c r="S4664" s="44">
        <f t="shared" si="439"/>
        <v>47714</v>
      </c>
      <c r="T4664" s="12">
        <f t="shared" si="434"/>
        <v>1.2609720183010433</v>
      </c>
      <c r="U4664" s="12">
        <f t="shared" si="438"/>
        <v>1.2440593952898023</v>
      </c>
      <c r="V4664" s="30">
        <f t="shared" si="435"/>
        <v>0.37634849315068497</v>
      </c>
      <c r="W4664" s="46">
        <f t="shared" si="436"/>
        <v>-1.2609720183010431E-2</v>
      </c>
      <c r="X4664" s="33">
        <f t="shared" si="437"/>
        <v>2.4103967344444661E-2</v>
      </c>
    </row>
    <row r="4665" spans="19:24" x14ac:dyDescent="0.25">
      <c r="S4665" s="44">
        <f t="shared" si="439"/>
        <v>47715</v>
      </c>
      <c r="T4665" s="12">
        <f t="shared" si="434"/>
        <v>1.2582949359995022</v>
      </c>
      <c r="U4665" s="12">
        <f t="shared" si="438"/>
        <v>1.2414082185650128</v>
      </c>
      <c r="V4665" s="30">
        <f t="shared" si="435"/>
        <v>0.37632109589041102</v>
      </c>
      <c r="W4665" s="46">
        <f t="shared" si="436"/>
        <v>-1.2582949359995019E-2</v>
      </c>
      <c r="X4665" s="33">
        <f t="shared" si="437"/>
        <v>2.4103925832171719E-2</v>
      </c>
    </row>
    <row r="4666" spans="19:24" x14ac:dyDescent="0.25">
      <c r="S4666" s="44">
        <f t="shared" si="439"/>
        <v>47716</v>
      </c>
      <c r="T4666" s="12">
        <f t="shared" si="434"/>
        <v>1.2556178536979608</v>
      </c>
      <c r="U4666" s="12">
        <f t="shared" si="438"/>
        <v>1.2387570418402238</v>
      </c>
      <c r="V4666" s="30">
        <f t="shared" si="435"/>
        <v>0.37629369863013701</v>
      </c>
      <c r="W4666" s="46">
        <f t="shared" si="436"/>
        <v>-1.2556178536979606E-2</v>
      </c>
      <c r="X4666" s="33">
        <f t="shared" si="437"/>
        <v>2.4103884319898777E-2</v>
      </c>
    </row>
    <row r="4667" spans="19:24" x14ac:dyDescent="0.25">
      <c r="S4667" s="44">
        <f t="shared" si="439"/>
        <v>47717</v>
      </c>
      <c r="T4667" s="12">
        <f t="shared" si="434"/>
        <v>1.2529407713964196</v>
      </c>
      <c r="U4667" s="12">
        <f t="shared" si="438"/>
        <v>1.2361058651154346</v>
      </c>
      <c r="V4667" s="30">
        <f t="shared" si="435"/>
        <v>0.376266301369863</v>
      </c>
      <c r="W4667" s="46">
        <f t="shared" si="436"/>
        <v>-1.2529407713964194E-2</v>
      </c>
      <c r="X4667" s="33">
        <f t="shared" si="437"/>
        <v>2.4103842807625824E-2</v>
      </c>
    </row>
    <row r="4668" spans="19:24" x14ac:dyDescent="0.25">
      <c r="S4668" s="44">
        <f t="shared" si="439"/>
        <v>47718</v>
      </c>
      <c r="T4668" s="12">
        <f t="shared" si="434"/>
        <v>1.2502636890948784</v>
      </c>
      <c r="U4668" s="12">
        <f t="shared" si="438"/>
        <v>1.233454688390645</v>
      </c>
      <c r="V4668" s="30">
        <f t="shared" si="435"/>
        <v>0.37623890410958905</v>
      </c>
      <c r="W4668" s="46">
        <f t="shared" si="436"/>
        <v>-1.2502636890948783E-2</v>
      </c>
      <c r="X4668" s="33">
        <f t="shared" si="437"/>
        <v>2.4103801295352889E-2</v>
      </c>
    </row>
    <row r="4669" spans="19:24" x14ac:dyDescent="0.25">
      <c r="S4669" s="44">
        <f t="shared" si="439"/>
        <v>47719</v>
      </c>
      <c r="T4669" s="12">
        <f t="shared" si="434"/>
        <v>1.2475866067933372</v>
      </c>
      <c r="U4669" s="12">
        <f t="shared" si="438"/>
        <v>1.2308035116658556</v>
      </c>
      <c r="V4669" s="30">
        <f t="shared" si="435"/>
        <v>0.37621150684931504</v>
      </c>
      <c r="W4669" s="46">
        <f t="shared" si="436"/>
        <v>-1.2475866067933371E-2</v>
      </c>
      <c r="X4669" s="33">
        <f t="shared" si="437"/>
        <v>2.410375978307994E-2</v>
      </c>
    </row>
    <row r="4670" spans="19:24" x14ac:dyDescent="0.25">
      <c r="S4670" s="44">
        <f t="shared" si="439"/>
        <v>47720</v>
      </c>
      <c r="T4670" s="12">
        <f t="shared" si="434"/>
        <v>1.244909524491796</v>
      </c>
      <c r="U4670" s="12">
        <f t="shared" si="438"/>
        <v>1.2281523349410666</v>
      </c>
      <c r="V4670" s="30">
        <f t="shared" si="435"/>
        <v>0.37618410958904108</v>
      </c>
      <c r="W4670" s="46">
        <f t="shared" si="436"/>
        <v>-1.2449095244917958E-2</v>
      </c>
      <c r="X4670" s="33">
        <f t="shared" si="437"/>
        <v>2.4103718270806998E-2</v>
      </c>
    </row>
    <row r="4671" spans="19:24" x14ac:dyDescent="0.25">
      <c r="S4671" s="44">
        <f t="shared" si="439"/>
        <v>47721</v>
      </c>
      <c r="T4671" s="12">
        <f t="shared" si="434"/>
        <v>1.2422324421902549</v>
      </c>
      <c r="U4671" s="12">
        <f t="shared" si="438"/>
        <v>1.2255011582162774</v>
      </c>
      <c r="V4671" s="30">
        <f t="shared" si="435"/>
        <v>0.37615671232876713</v>
      </c>
      <c r="W4671" s="46">
        <f t="shared" si="436"/>
        <v>-1.2422324421902546E-2</v>
      </c>
      <c r="X4671" s="33">
        <f t="shared" si="437"/>
        <v>2.4103676758534053E-2</v>
      </c>
    </row>
    <row r="4672" spans="19:24" x14ac:dyDescent="0.25">
      <c r="S4672" s="44">
        <f t="shared" si="439"/>
        <v>47722</v>
      </c>
      <c r="T4672" s="12">
        <f t="shared" si="434"/>
        <v>1.2395553598887137</v>
      </c>
      <c r="U4672" s="12">
        <f t="shared" si="438"/>
        <v>1.2228499814914879</v>
      </c>
      <c r="V4672" s="30">
        <f t="shared" si="435"/>
        <v>0.37612931506849312</v>
      </c>
      <c r="W4672" s="46">
        <f t="shared" si="436"/>
        <v>-1.2395553598887134E-2</v>
      </c>
      <c r="X4672" s="33">
        <f t="shared" si="437"/>
        <v>2.410363524626111E-2</v>
      </c>
    </row>
    <row r="4673" spans="19:24" x14ac:dyDescent="0.25">
      <c r="S4673" s="44">
        <f t="shared" si="439"/>
        <v>47723</v>
      </c>
      <c r="T4673" s="12">
        <f t="shared" si="434"/>
        <v>1.2368782775871725</v>
      </c>
      <c r="U4673" s="12">
        <f t="shared" si="438"/>
        <v>1.2201988047666985</v>
      </c>
      <c r="V4673" s="30">
        <f t="shared" si="435"/>
        <v>0.37610191780821917</v>
      </c>
      <c r="W4673" s="46">
        <f t="shared" si="436"/>
        <v>-1.2368782775871723E-2</v>
      </c>
      <c r="X4673" s="33">
        <f t="shared" si="437"/>
        <v>2.4103593733988168E-2</v>
      </c>
    </row>
    <row r="4674" spans="19:24" x14ac:dyDescent="0.25">
      <c r="S4674" s="44">
        <f t="shared" si="439"/>
        <v>47724</v>
      </c>
      <c r="T4674" s="12">
        <f t="shared" si="434"/>
        <v>1.2342011952856313</v>
      </c>
      <c r="U4674" s="12">
        <f t="shared" si="438"/>
        <v>1.2175476280419095</v>
      </c>
      <c r="V4674" s="30">
        <f t="shared" si="435"/>
        <v>0.37607452054794521</v>
      </c>
      <c r="W4674" s="46">
        <f t="shared" si="436"/>
        <v>-1.2342011952856311E-2</v>
      </c>
      <c r="X4674" s="33">
        <f t="shared" si="437"/>
        <v>2.4103552221715219E-2</v>
      </c>
    </row>
    <row r="4675" spans="19:24" x14ac:dyDescent="0.25">
      <c r="S4675" s="44">
        <f t="shared" si="439"/>
        <v>47725</v>
      </c>
      <c r="T4675" s="12">
        <f t="shared" si="434"/>
        <v>1.2315241129840901</v>
      </c>
      <c r="U4675" s="12">
        <f t="shared" si="438"/>
        <v>1.2148964513171201</v>
      </c>
      <c r="V4675" s="30">
        <f t="shared" si="435"/>
        <v>0.3760471232876712</v>
      </c>
      <c r="W4675" s="46">
        <f t="shared" si="436"/>
        <v>-1.23152411298409E-2</v>
      </c>
      <c r="X4675" s="33">
        <f t="shared" si="437"/>
        <v>2.4103510709442281E-2</v>
      </c>
    </row>
    <row r="4676" spans="19:24" x14ac:dyDescent="0.25">
      <c r="S4676" s="44">
        <f t="shared" si="439"/>
        <v>47726</v>
      </c>
      <c r="T4676" s="12">
        <f t="shared" si="434"/>
        <v>1.228847030682549</v>
      </c>
      <c r="U4676" s="12">
        <f t="shared" si="438"/>
        <v>1.2122452745923307</v>
      </c>
      <c r="V4676" s="30">
        <f t="shared" si="435"/>
        <v>0.37601972602739725</v>
      </c>
      <c r="W4676" s="46">
        <f t="shared" si="436"/>
        <v>-1.2288470306825488E-2</v>
      </c>
      <c r="X4676" s="33">
        <f t="shared" si="437"/>
        <v>2.4103469197169332E-2</v>
      </c>
    </row>
    <row r="4677" spans="19:24" x14ac:dyDescent="0.25">
      <c r="S4677" s="44">
        <f t="shared" si="439"/>
        <v>47727</v>
      </c>
      <c r="T4677" s="12">
        <f t="shared" ref="T4677:T4740" si="440">DurMod(S4677,B$2,$F$7:$G$37,$T$3)</f>
        <v>1.2261699483810078</v>
      </c>
      <c r="U4677" s="12">
        <f t="shared" si="438"/>
        <v>1.2095940978675415</v>
      </c>
      <c r="V4677" s="30">
        <f t="shared" ref="V4677:V4740" si="441">+$U$3*($S$5512-S4677)/365+$T$3*(S4677-$S$4)/365</f>
        <v>0.3759923287671233</v>
      </c>
      <c r="W4677" s="46">
        <f t="shared" ref="W4677:W4740" si="442">+-T4677*($U$3-$T$3)</f>
        <v>-1.2261699483810076E-2</v>
      </c>
      <c r="X4677" s="33">
        <f t="shared" ref="X4677:X4740" si="443">+(V4677+W4677)*365/($S$5512-$S$4)</f>
        <v>2.410342768489639E-2</v>
      </c>
    </row>
    <row r="4678" spans="19:24" x14ac:dyDescent="0.25">
      <c r="S4678" s="44">
        <f t="shared" si="439"/>
        <v>47728</v>
      </c>
      <c r="T4678" s="12">
        <f t="shared" si="440"/>
        <v>1.2234928660794664</v>
      </c>
      <c r="U4678" s="12">
        <f t="shared" ref="U4678:U4741" si="444">DurMod($S4678,$B$2,$F$7:$G$37,U$3)</f>
        <v>1.2069429211427523</v>
      </c>
      <c r="V4678" s="30">
        <f t="shared" si="441"/>
        <v>0.37596493150684934</v>
      </c>
      <c r="W4678" s="46">
        <f t="shared" si="442"/>
        <v>-1.2234928660794663E-2</v>
      </c>
      <c r="X4678" s="33">
        <f t="shared" si="443"/>
        <v>2.4103386172623448E-2</v>
      </c>
    </row>
    <row r="4679" spans="19:24" x14ac:dyDescent="0.25">
      <c r="S4679" s="44">
        <f t="shared" si="439"/>
        <v>47729</v>
      </c>
      <c r="T4679" s="12">
        <f t="shared" si="440"/>
        <v>1.2208157837779254</v>
      </c>
      <c r="U4679" s="12">
        <f t="shared" si="444"/>
        <v>1.2042917444179628</v>
      </c>
      <c r="V4679" s="30">
        <f t="shared" si="441"/>
        <v>0.37593753424657533</v>
      </c>
      <c r="W4679" s="46">
        <f t="shared" si="442"/>
        <v>-1.2208157837779253E-2</v>
      </c>
      <c r="X4679" s="33">
        <f t="shared" si="443"/>
        <v>2.4103344660350506E-2</v>
      </c>
    </row>
    <row r="4680" spans="19:24" x14ac:dyDescent="0.25">
      <c r="S4680" s="44">
        <f t="shared" si="439"/>
        <v>47730</v>
      </c>
      <c r="T4680" s="12">
        <f t="shared" si="440"/>
        <v>1.2181387014763845</v>
      </c>
      <c r="U4680" s="12">
        <f t="shared" si="444"/>
        <v>1.2016405676931734</v>
      </c>
      <c r="V4680" s="30">
        <f t="shared" si="441"/>
        <v>0.37591013698630138</v>
      </c>
      <c r="W4680" s="46">
        <f t="shared" si="442"/>
        <v>-1.2181387014763843E-2</v>
      </c>
      <c r="X4680" s="33">
        <f t="shared" si="443"/>
        <v>2.410330314807756E-2</v>
      </c>
    </row>
    <row r="4681" spans="19:24" x14ac:dyDescent="0.25">
      <c r="S4681" s="44">
        <f t="shared" si="439"/>
        <v>47731</v>
      </c>
      <c r="T4681" s="12">
        <f t="shared" si="440"/>
        <v>1.2154616191748431</v>
      </c>
      <c r="U4681" s="12">
        <f t="shared" si="444"/>
        <v>1.1989893909683844</v>
      </c>
      <c r="V4681" s="30">
        <f t="shared" si="441"/>
        <v>0.37588273972602737</v>
      </c>
      <c r="W4681" s="46">
        <f t="shared" si="442"/>
        <v>-1.215461619174843E-2</v>
      </c>
      <c r="X4681" s="33">
        <f t="shared" si="443"/>
        <v>2.4103261635804618E-2</v>
      </c>
    </row>
    <row r="4682" spans="19:24" x14ac:dyDescent="0.25">
      <c r="S4682" s="44">
        <f t="shared" si="439"/>
        <v>47732</v>
      </c>
      <c r="T4682" s="12">
        <f t="shared" si="440"/>
        <v>1.2127845368733017</v>
      </c>
      <c r="U4682" s="12">
        <f t="shared" si="444"/>
        <v>1.196338214243595</v>
      </c>
      <c r="V4682" s="30">
        <f t="shared" si="441"/>
        <v>0.37585534246575347</v>
      </c>
      <c r="W4682" s="46">
        <f t="shared" si="442"/>
        <v>-1.2127845368733015E-2</v>
      </c>
      <c r="X4682" s="33">
        <f t="shared" si="443"/>
        <v>2.4103220123531676E-2</v>
      </c>
    </row>
    <row r="4683" spans="19:24" x14ac:dyDescent="0.25">
      <c r="S4683" s="44">
        <f t="shared" si="439"/>
        <v>47733</v>
      </c>
      <c r="T4683" s="12">
        <f t="shared" si="440"/>
        <v>1.2101074545717607</v>
      </c>
      <c r="U4683" s="12">
        <f t="shared" si="444"/>
        <v>1.1936870375188053</v>
      </c>
      <c r="V4683" s="30">
        <f t="shared" si="441"/>
        <v>0.37582794520547946</v>
      </c>
      <c r="W4683" s="46">
        <f t="shared" si="442"/>
        <v>-1.2101074545717605E-2</v>
      </c>
      <c r="X4683" s="33">
        <f t="shared" si="443"/>
        <v>2.4103178611258727E-2</v>
      </c>
    </row>
    <row r="4684" spans="19:24" x14ac:dyDescent="0.25">
      <c r="S4684" s="44">
        <f t="shared" si="439"/>
        <v>47734</v>
      </c>
      <c r="T4684" s="12">
        <f t="shared" si="440"/>
        <v>1.2074303722702195</v>
      </c>
      <c r="U4684" s="12">
        <f t="shared" si="444"/>
        <v>1.1910358607940164</v>
      </c>
      <c r="V4684" s="30">
        <f t="shared" si="441"/>
        <v>0.37580054794520545</v>
      </c>
      <c r="W4684" s="46">
        <f t="shared" si="442"/>
        <v>-1.2074303722702193E-2</v>
      </c>
      <c r="X4684" s="33">
        <f t="shared" si="443"/>
        <v>2.4103137098985782E-2</v>
      </c>
    </row>
    <row r="4685" spans="19:24" x14ac:dyDescent="0.25">
      <c r="S4685" s="44">
        <f t="shared" si="439"/>
        <v>47735</v>
      </c>
      <c r="T4685" s="12">
        <f t="shared" si="440"/>
        <v>1.2047532899686779</v>
      </c>
      <c r="U4685" s="12">
        <f t="shared" si="444"/>
        <v>1.1883846840692271</v>
      </c>
      <c r="V4685" s="30">
        <f t="shared" si="441"/>
        <v>0.37577315068493156</v>
      </c>
      <c r="W4685" s="46">
        <f t="shared" si="442"/>
        <v>-1.2047532899686778E-2</v>
      </c>
      <c r="X4685" s="33">
        <f t="shared" si="443"/>
        <v>2.4103095586712843E-2</v>
      </c>
    </row>
    <row r="4686" spans="19:24" x14ac:dyDescent="0.25">
      <c r="S4686" s="44">
        <f t="shared" si="439"/>
        <v>47736</v>
      </c>
      <c r="T4686" s="12">
        <f t="shared" si="440"/>
        <v>1.202076207667137</v>
      </c>
      <c r="U4686" s="12">
        <f t="shared" si="444"/>
        <v>1.1857335073444377</v>
      </c>
      <c r="V4686" s="30">
        <f t="shared" si="441"/>
        <v>0.37574575342465755</v>
      </c>
      <c r="W4686" s="46">
        <f t="shared" si="442"/>
        <v>-1.2020762076671368E-2</v>
      </c>
      <c r="X4686" s="33">
        <f t="shared" si="443"/>
        <v>2.4103054074439897E-2</v>
      </c>
    </row>
    <row r="4687" spans="19:24" x14ac:dyDescent="0.25">
      <c r="S4687" s="44">
        <f t="shared" si="439"/>
        <v>47737</v>
      </c>
      <c r="T4687" s="12">
        <f t="shared" si="440"/>
        <v>1.1993991253655958</v>
      </c>
      <c r="U4687" s="12">
        <f t="shared" si="444"/>
        <v>1.1830823306196485</v>
      </c>
      <c r="V4687" s="30">
        <f t="shared" si="441"/>
        <v>0.37571835616438354</v>
      </c>
      <c r="W4687" s="46">
        <f t="shared" si="442"/>
        <v>-1.1993991253655956E-2</v>
      </c>
      <c r="X4687" s="33">
        <f t="shared" si="443"/>
        <v>2.4103012562166948E-2</v>
      </c>
    </row>
    <row r="4688" spans="19:24" x14ac:dyDescent="0.25">
      <c r="S4688" s="44">
        <f t="shared" si="439"/>
        <v>47738</v>
      </c>
      <c r="T4688" s="12">
        <f t="shared" si="440"/>
        <v>1.1967220430640548</v>
      </c>
      <c r="U4688" s="12">
        <f t="shared" si="444"/>
        <v>1.1804311538948591</v>
      </c>
      <c r="V4688" s="30">
        <f t="shared" si="441"/>
        <v>0.37569095890410958</v>
      </c>
      <c r="W4688" s="46">
        <f t="shared" si="442"/>
        <v>-1.1967220430640546E-2</v>
      </c>
      <c r="X4688" s="33">
        <f t="shared" si="443"/>
        <v>2.4102971049894006E-2</v>
      </c>
    </row>
    <row r="4689" spans="19:24" x14ac:dyDescent="0.25">
      <c r="S4689" s="44">
        <f t="shared" si="439"/>
        <v>47739</v>
      </c>
      <c r="T4689" s="12">
        <f t="shared" si="440"/>
        <v>1.1940449607625132</v>
      </c>
      <c r="U4689" s="12">
        <f t="shared" si="444"/>
        <v>1.1777799771700699</v>
      </c>
      <c r="V4689" s="30">
        <f t="shared" si="441"/>
        <v>0.37566356164383563</v>
      </c>
      <c r="W4689" s="46">
        <f t="shared" si="442"/>
        <v>-1.194044960762513E-2</v>
      </c>
      <c r="X4689" s="33">
        <f t="shared" si="443"/>
        <v>2.4102929537621064E-2</v>
      </c>
    </row>
    <row r="4690" spans="19:24" x14ac:dyDescent="0.25">
      <c r="S4690" s="44">
        <f t="shared" si="439"/>
        <v>47740</v>
      </c>
      <c r="T4690" s="12">
        <f t="shared" si="440"/>
        <v>1.1913678784609723</v>
      </c>
      <c r="U4690" s="12">
        <f t="shared" si="444"/>
        <v>1.1751288004452805</v>
      </c>
      <c r="V4690" s="30">
        <f t="shared" si="441"/>
        <v>0.37563616438356162</v>
      </c>
      <c r="W4690" s="46">
        <f t="shared" si="442"/>
        <v>-1.1913678784609721E-2</v>
      </c>
      <c r="X4690" s="33">
        <f t="shared" si="443"/>
        <v>2.4102888025348122E-2</v>
      </c>
    </row>
    <row r="4691" spans="19:24" x14ac:dyDescent="0.25">
      <c r="S4691" s="44">
        <f t="shared" si="439"/>
        <v>47741</v>
      </c>
      <c r="T4691" s="12">
        <f t="shared" si="440"/>
        <v>1.1886907961594309</v>
      </c>
      <c r="U4691" s="12">
        <f t="shared" si="444"/>
        <v>1.1724776237204912</v>
      </c>
      <c r="V4691" s="30">
        <f t="shared" si="441"/>
        <v>0.37560876712328772</v>
      </c>
      <c r="W4691" s="46">
        <f t="shared" si="442"/>
        <v>-1.1886907961594306E-2</v>
      </c>
      <c r="X4691" s="33">
        <f t="shared" si="443"/>
        <v>2.410284651307518E-2</v>
      </c>
    </row>
    <row r="4692" spans="19:24" x14ac:dyDescent="0.25">
      <c r="S4692" s="44">
        <f t="shared" si="439"/>
        <v>47742</v>
      </c>
      <c r="T4692" s="12">
        <f t="shared" si="440"/>
        <v>1.1860137138578897</v>
      </c>
      <c r="U4692" s="12">
        <f t="shared" si="444"/>
        <v>1.169826446995702</v>
      </c>
      <c r="V4692" s="30">
        <f t="shared" si="441"/>
        <v>0.37558136986301371</v>
      </c>
      <c r="W4692" s="46">
        <f t="shared" si="442"/>
        <v>-1.1860137138578895E-2</v>
      </c>
      <c r="X4692" s="33">
        <f t="shared" si="443"/>
        <v>2.4102805000802235E-2</v>
      </c>
    </row>
    <row r="4693" spans="19:24" x14ac:dyDescent="0.25">
      <c r="S4693" s="44">
        <f t="shared" si="439"/>
        <v>47743</v>
      </c>
      <c r="T4693" s="12">
        <f t="shared" si="440"/>
        <v>1.1833366315563487</v>
      </c>
      <c r="U4693" s="12">
        <f t="shared" si="444"/>
        <v>1.1671752702709124</v>
      </c>
      <c r="V4693" s="30">
        <f t="shared" si="441"/>
        <v>0.37555397260273971</v>
      </c>
      <c r="W4693" s="46">
        <f t="shared" si="442"/>
        <v>-1.1833366315563485E-2</v>
      </c>
      <c r="X4693" s="33">
        <f t="shared" si="443"/>
        <v>2.4102763488529286E-2</v>
      </c>
    </row>
    <row r="4694" spans="19:24" x14ac:dyDescent="0.25">
      <c r="S4694" s="44">
        <f t="shared" si="439"/>
        <v>47744</v>
      </c>
      <c r="T4694" s="12">
        <f t="shared" si="440"/>
        <v>1.1806595492548075</v>
      </c>
      <c r="U4694" s="12">
        <f t="shared" si="444"/>
        <v>1.1645240935461232</v>
      </c>
      <c r="V4694" s="30">
        <f t="shared" si="441"/>
        <v>0.37552657534246581</v>
      </c>
      <c r="W4694" s="46">
        <f t="shared" si="442"/>
        <v>-1.1806595492548073E-2</v>
      </c>
      <c r="X4694" s="33">
        <f t="shared" si="443"/>
        <v>2.4102721976256351E-2</v>
      </c>
    </row>
    <row r="4695" spans="19:24" x14ac:dyDescent="0.25">
      <c r="S4695" s="44">
        <f t="shared" si="439"/>
        <v>47745</v>
      </c>
      <c r="T4695" s="12">
        <f t="shared" si="440"/>
        <v>1.1779824669532664</v>
      </c>
      <c r="U4695" s="12">
        <f t="shared" si="444"/>
        <v>1.1618729168213342</v>
      </c>
      <c r="V4695" s="30">
        <f t="shared" si="441"/>
        <v>0.3754991780821918</v>
      </c>
      <c r="W4695" s="46">
        <f t="shared" si="442"/>
        <v>-1.1779824669532661E-2</v>
      </c>
      <c r="X4695" s="33">
        <f t="shared" si="443"/>
        <v>2.4102680463983405E-2</v>
      </c>
    </row>
    <row r="4696" spans="19:24" x14ac:dyDescent="0.25">
      <c r="S4696" s="44">
        <f t="shared" si="439"/>
        <v>47746</v>
      </c>
      <c r="T4696" s="12">
        <f t="shared" si="440"/>
        <v>1.175305384651725</v>
      </c>
      <c r="U4696" s="12">
        <f t="shared" si="444"/>
        <v>1.1592217400965446</v>
      </c>
      <c r="V4696" s="30">
        <f t="shared" si="441"/>
        <v>0.37547178082191779</v>
      </c>
      <c r="W4696" s="46">
        <f t="shared" si="442"/>
        <v>-1.1753053846517248E-2</v>
      </c>
      <c r="X4696" s="33">
        <f t="shared" si="443"/>
        <v>2.4102638951710456E-2</v>
      </c>
    </row>
    <row r="4697" spans="19:24" x14ac:dyDescent="0.25">
      <c r="S4697" s="44">
        <f t="shared" si="439"/>
        <v>47747</v>
      </c>
      <c r="T4697" s="12">
        <f t="shared" si="440"/>
        <v>1.172628302350184</v>
      </c>
      <c r="U4697" s="12">
        <f t="shared" si="444"/>
        <v>1.1565705633717556</v>
      </c>
      <c r="V4697" s="30">
        <f t="shared" si="441"/>
        <v>0.37544438356164384</v>
      </c>
      <c r="W4697" s="46">
        <f t="shared" si="442"/>
        <v>-1.1726283023501838E-2</v>
      </c>
      <c r="X4697" s="33">
        <f t="shared" si="443"/>
        <v>2.4102597439437514E-2</v>
      </c>
    </row>
    <row r="4698" spans="19:24" x14ac:dyDescent="0.25">
      <c r="S4698" s="44">
        <f t="shared" si="439"/>
        <v>47748</v>
      </c>
      <c r="T4698" s="12">
        <f t="shared" si="440"/>
        <v>1.1699512200486426</v>
      </c>
      <c r="U4698" s="12">
        <f t="shared" si="444"/>
        <v>1.1539193866469664</v>
      </c>
      <c r="V4698" s="30">
        <f t="shared" si="441"/>
        <v>0.37541698630136988</v>
      </c>
      <c r="W4698" s="46">
        <f t="shared" si="442"/>
        <v>-1.1699512200486425E-2</v>
      </c>
      <c r="X4698" s="33">
        <f t="shared" si="443"/>
        <v>2.4102555927164572E-2</v>
      </c>
    </row>
    <row r="4699" spans="19:24" x14ac:dyDescent="0.25">
      <c r="S4699" s="44">
        <f t="shared" si="439"/>
        <v>47749</v>
      </c>
      <c r="T4699" s="12">
        <f t="shared" si="440"/>
        <v>1.1672741377471012</v>
      </c>
      <c r="U4699" s="12">
        <f t="shared" si="444"/>
        <v>1.1512682099221772</v>
      </c>
      <c r="V4699" s="30">
        <f t="shared" si="441"/>
        <v>0.37538958904109587</v>
      </c>
      <c r="W4699" s="46">
        <f t="shared" si="442"/>
        <v>-1.167274137747101E-2</v>
      </c>
      <c r="X4699" s="33">
        <f t="shared" si="443"/>
        <v>2.4102514414891626E-2</v>
      </c>
    </row>
    <row r="4700" spans="19:24" x14ac:dyDescent="0.25">
      <c r="S4700" s="44">
        <f t="shared" si="439"/>
        <v>47750</v>
      </c>
      <c r="T4700" s="12">
        <f t="shared" si="440"/>
        <v>1.16459705544556</v>
      </c>
      <c r="U4700" s="12">
        <f t="shared" si="444"/>
        <v>1.1486170331973875</v>
      </c>
      <c r="V4700" s="30">
        <f t="shared" si="441"/>
        <v>0.37536219178082192</v>
      </c>
      <c r="W4700" s="46">
        <f t="shared" si="442"/>
        <v>-1.1645970554455598E-2</v>
      </c>
      <c r="X4700" s="33">
        <f t="shared" si="443"/>
        <v>2.4102472902618684E-2</v>
      </c>
    </row>
    <row r="4701" spans="19:24" x14ac:dyDescent="0.25">
      <c r="S4701" s="44">
        <f t="shared" si="439"/>
        <v>47751</v>
      </c>
      <c r="T4701" s="12">
        <f t="shared" si="440"/>
        <v>1.1619199731440188</v>
      </c>
      <c r="U4701" s="12">
        <f t="shared" si="444"/>
        <v>1.1459658564725985</v>
      </c>
      <c r="V4701" s="30">
        <f t="shared" si="441"/>
        <v>0.37533479452054797</v>
      </c>
      <c r="W4701" s="46">
        <f t="shared" si="442"/>
        <v>-1.1619199731440186E-2</v>
      </c>
      <c r="X4701" s="33">
        <f t="shared" si="443"/>
        <v>2.4102431390345742E-2</v>
      </c>
    </row>
    <row r="4702" spans="19:24" x14ac:dyDescent="0.25">
      <c r="S4702" s="44">
        <f t="shared" si="439"/>
        <v>47752</v>
      </c>
      <c r="T4702" s="12">
        <f t="shared" si="440"/>
        <v>1.1592428908424777</v>
      </c>
      <c r="U4702" s="12">
        <f t="shared" si="444"/>
        <v>1.1433146797478093</v>
      </c>
      <c r="V4702" s="30">
        <f t="shared" si="441"/>
        <v>0.37530739726027396</v>
      </c>
      <c r="W4702" s="46">
        <f t="shared" si="442"/>
        <v>-1.1592428908424775E-2</v>
      </c>
      <c r="X4702" s="33">
        <f t="shared" si="443"/>
        <v>2.4102389878072793E-2</v>
      </c>
    </row>
    <row r="4703" spans="19:24" x14ac:dyDescent="0.25">
      <c r="S4703" s="44">
        <f t="shared" si="439"/>
        <v>47753</v>
      </c>
      <c r="T4703" s="12">
        <f t="shared" si="440"/>
        <v>1.1565658085409365</v>
      </c>
      <c r="U4703" s="12">
        <f t="shared" si="444"/>
        <v>1.1406635030230197</v>
      </c>
      <c r="V4703" s="30">
        <f t="shared" si="441"/>
        <v>0.37528000000000006</v>
      </c>
      <c r="W4703" s="46">
        <f t="shared" si="442"/>
        <v>-1.1565658085409363E-2</v>
      </c>
      <c r="X4703" s="33">
        <f t="shared" si="443"/>
        <v>2.4102348365799851E-2</v>
      </c>
    </row>
    <row r="4704" spans="19:24" x14ac:dyDescent="0.25">
      <c r="S4704" s="44">
        <f t="shared" si="439"/>
        <v>47754</v>
      </c>
      <c r="T4704" s="12">
        <f t="shared" si="440"/>
        <v>1.1538887262393955</v>
      </c>
      <c r="U4704" s="12">
        <f t="shared" si="444"/>
        <v>1.1380123262982302</v>
      </c>
      <c r="V4704" s="30">
        <f t="shared" si="441"/>
        <v>0.37525260273972605</v>
      </c>
      <c r="W4704" s="46">
        <f t="shared" si="442"/>
        <v>-1.1538887262393953E-2</v>
      </c>
      <c r="X4704" s="33">
        <f t="shared" si="443"/>
        <v>2.4102306853526909E-2</v>
      </c>
    </row>
    <row r="4705" spans="19:24" x14ac:dyDescent="0.25">
      <c r="S4705" s="44">
        <f t="shared" si="439"/>
        <v>47755</v>
      </c>
      <c r="T4705" s="12">
        <f t="shared" si="440"/>
        <v>1.1512116439378539</v>
      </c>
      <c r="U4705" s="12">
        <f t="shared" si="444"/>
        <v>1.135361149573441</v>
      </c>
      <c r="V4705" s="30">
        <f t="shared" si="441"/>
        <v>0.37522520547945204</v>
      </c>
      <c r="W4705" s="46">
        <f t="shared" si="442"/>
        <v>-1.1512116439378538E-2</v>
      </c>
      <c r="X4705" s="33">
        <f t="shared" si="443"/>
        <v>2.4102265341253964E-2</v>
      </c>
    </row>
    <row r="4706" spans="19:24" x14ac:dyDescent="0.25">
      <c r="S4706" s="44">
        <f t="shared" si="439"/>
        <v>47756</v>
      </c>
      <c r="T4706" s="12">
        <f t="shared" si="440"/>
        <v>1.1485345616363132</v>
      </c>
      <c r="U4706" s="12">
        <f t="shared" si="444"/>
        <v>1.1327099728486516</v>
      </c>
      <c r="V4706" s="30">
        <f t="shared" si="441"/>
        <v>0.37519780821917814</v>
      </c>
      <c r="W4706" s="46">
        <f t="shared" si="442"/>
        <v>-1.148534561636313E-2</v>
      </c>
      <c r="X4706" s="33">
        <f t="shared" si="443"/>
        <v>2.4102223828981025E-2</v>
      </c>
    </row>
    <row r="4707" spans="19:24" x14ac:dyDescent="0.25">
      <c r="S4707" s="44">
        <f t="shared" si="439"/>
        <v>47757</v>
      </c>
      <c r="T4707" s="12">
        <f t="shared" si="440"/>
        <v>1.1458574793347718</v>
      </c>
      <c r="U4707" s="12">
        <f t="shared" si="444"/>
        <v>1.1300587961238626</v>
      </c>
      <c r="V4707" s="30">
        <f t="shared" si="441"/>
        <v>0.37517041095890413</v>
      </c>
      <c r="W4707" s="46">
        <f t="shared" si="442"/>
        <v>-1.1458574793347717E-2</v>
      </c>
      <c r="X4707" s="33">
        <f t="shared" si="443"/>
        <v>2.410218231670808E-2</v>
      </c>
    </row>
    <row r="4708" spans="19:24" x14ac:dyDescent="0.25">
      <c r="S4708" s="44">
        <f t="shared" si="439"/>
        <v>47758</v>
      </c>
      <c r="T4708" s="12">
        <f t="shared" si="440"/>
        <v>1.1431803970332306</v>
      </c>
      <c r="U4708" s="12">
        <f t="shared" si="444"/>
        <v>1.1274076193990734</v>
      </c>
      <c r="V4708" s="30">
        <f t="shared" si="441"/>
        <v>0.37514301369863012</v>
      </c>
      <c r="W4708" s="46">
        <f t="shared" si="442"/>
        <v>-1.1431803970332305E-2</v>
      </c>
      <c r="X4708" s="33">
        <f t="shared" si="443"/>
        <v>2.4102140804435131E-2</v>
      </c>
    </row>
    <row r="4709" spans="19:24" x14ac:dyDescent="0.25">
      <c r="S4709" s="44">
        <f t="shared" si="439"/>
        <v>47759</v>
      </c>
      <c r="T4709" s="12">
        <f t="shared" si="440"/>
        <v>1.1405033147316894</v>
      </c>
      <c r="U4709" s="12">
        <f t="shared" si="444"/>
        <v>1.124756442674284</v>
      </c>
      <c r="V4709" s="30">
        <f t="shared" si="441"/>
        <v>0.37511561643835617</v>
      </c>
      <c r="W4709" s="46">
        <f t="shared" si="442"/>
        <v>-1.1405033147316893E-2</v>
      </c>
      <c r="X4709" s="33">
        <f t="shared" si="443"/>
        <v>2.4102099292162189E-2</v>
      </c>
    </row>
    <row r="4710" spans="19:24" x14ac:dyDescent="0.25">
      <c r="S4710" s="44">
        <f t="shared" si="439"/>
        <v>47760</v>
      </c>
      <c r="T4710" s="12">
        <f t="shared" si="440"/>
        <v>1.1378262324301482</v>
      </c>
      <c r="U4710" s="12">
        <f t="shared" si="444"/>
        <v>1.1221052659494948</v>
      </c>
      <c r="V4710" s="30">
        <f t="shared" si="441"/>
        <v>0.37508821917808222</v>
      </c>
      <c r="W4710" s="46">
        <f t="shared" si="442"/>
        <v>-1.137826232430148E-2</v>
      </c>
      <c r="X4710" s="33">
        <f t="shared" si="443"/>
        <v>2.4102057779889243E-2</v>
      </c>
    </row>
    <row r="4711" spans="19:24" x14ac:dyDescent="0.25">
      <c r="S4711" s="44">
        <f t="shared" si="439"/>
        <v>47761</v>
      </c>
      <c r="T4711" s="12">
        <f t="shared" si="440"/>
        <v>1.1351491501286071</v>
      </c>
      <c r="U4711" s="12">
        <f t="shared" si="444"/>
        <v>1.1194540892247054</v>
      </c>
      <c r="V4711" s="30">
        <f t="shared" si="441"/>
        <v>0.37506082191780821</v>
      </c>
      <c r="W4711" s="46">
        <f t="shared" si="442"/>
        <v>-1.1351491501286068E-2</v>
      </c>
      <c r="X4711" s="33">
        <f t="shared" si="443"/>
        <v>2.4102016267616301E-2</v>
      </c>
    </row>
    <row r="4712" spans="19:24" x14ac:dyDescent="0.25">
      <c r="S4712" s="44">
        <f t="shared" si="439"/>
        <v>47762</v>
      </c>
      <c r="T4712" s="12">
        <f t="shared" si="440"/>
        <v>1.1324720678270659</v>
      </c>
      <c r="U4712" s="12">
        <f t="shared" si="444"/>
        <v>1.1168029124999159</v>
      </c>
      <c r="V4712" s="30">
        <f t="shared" si="441"/>
        <v>0.37503342465753425</v>
      </c>
      <c r="W4712" s="46">
        <f t="shared" si="442"/>
        <v>-1.1324720678270657E-2</v>
      </c>
      <c r="X4712" s="33">
        <f t="shared" si="443"/>
        <v>2.4101974755343359E-2</v>
      </c>
    </row>
    <row r="4713" spans="19:24" x14ac:dyDescent="0.25">
      <c r="S4713" s="44">
        <f t="shared" si="439"/>
        <v>47763</v>
      </c>
      <c r="T4713" s="12">
        <f t="shared" si="440"/>
        <v>1.1297949855255245</v>
      </c>
      <c r="U4713" s="12">
        <f t="shared" si="444"/>
        <v>1.1141517357751267</v>
      </c>
      <c r="V4713" s="30">
        <f t="shared" si="441"/>
        <v>0.3750060273972603</v>
      </c>
      <c r="W4713" s="46">
        <f t="shared" si="442"/>
        <v>-1.1297949855255243E-2</v>
      </c>
      <c r="X4713" s="33">
        <f t="shared" si="443"/>
        <v>2.4101933243070417E-2</v>
      </c>
    </row>
    <row r="4714" spans="19:24" x14ac:dyDescent="0.25">
      <c r="S4714" s="44">
        <f t="shared" si="439"/>
        <v>47764</v>
      </c>
      <c r="T4714" s="12">
        <f t="shared" si="440"/>
        <v>1.1271179032239835</v>
      </c>
      <c r="U4714" s="12">
        <f t="shared" si="444"/>
        <v>1.1115005590503373</v>
      </c>
      <c r="V4714" s="30">
        <f t="shared" si="441"/>
        <v>0.37497863013698629</v>
      </c>
      <c r="W4714" s="46">
        <f t="shared" si="442"/>
        <v>-1.1271179032239833E-2</v>
      </c>
      <c r="X4714" s="33">
        <f t="shared" si="443"/>
        <v>2.4101891730797471E-2</v>
      </c>
    </row>
    <row r="4715" spans="19:24" x14ac:dyDescent="0.25">
      <c r="S4715" s="44">
        <f t="shared" si="439"/>
        <v>47765</v>
      </c>
      <c r="T4715" s="12">
        <f t="shared" si="440"/>
        <v>1.1244408209224419</v>
      </c>
      <c r="U4715" s="12">
        <f t="shared" si="444"/>
        <v>1.1088493823255481</v>
      </c>
      <c r="V4715" s="30">
        <f t="shared" si="441"/>
        <v>0.37495123287671239</v>
      </c>
      <c r="W4715" s="46">
        <f t="shared" si="442"/>
        <v>-1.1244408209224418E-2</v>
      </c>
      <c r="X4715" s="33">
        <f t="shared" si="443"/>
        <v>2.4101850218524533E-2</v>
      </c>
    </row>
    <row r="4716" spans="19:24" x14ac:dyDescent="0.25">
      <c r="S4716" s="44">
        <f t="shared" si="439"/>
        <v>47766</v>
      </c>
      <c r="T4716" s="12">
        <f t="shared" si="440"/>
        <v>1.1217637386209012</v>
      </c>
      <c r="U4716" s="12">
        <f t="shared" si="444"/>
        <v>1.1061982056007587</v>
      </c>
      <c r="V4716" s="30">
        <f t="shared" si="441"/>
        <v>0.37492383561643838</v>
      </c>
      <c r="W4716" s="46">
        <f t="shared" si="442"/>
        <v>-1.121763738620901E-2</v>
      </c>
      <c r="X4716" s="33">
        <f t="shared" si="443"/>
        <v>2.4101808706251587E-2</v>
      </c>
    </row>
    <row r="4717" spans="19:24" x14ac:dyDescent="0.25">
      <c r="S4717" s="44">
        <f t="shared" si="439"/>
        <v>47767</v>
      </c>
      <c r="T4717" s="12">
        <f t="shared" si="440"/>
        <v>1.11908665631936</v>
      </c>
      <c r="U4717" s="12">
        <f t="shared" si="444"/>
        <v>1.1035470288759694</v>
      </c>
      <c r="V4717" s="30">
        <f t="shared" si="441"/>
        <v>0.37489643835616437</v>
      </c>
      <c r="W4717" s="46">
        <f t="shared" si="442"/>
        <v>-1.1190866563193598E-2</v>
      </c>
      <c r="X4717" s="33">
        <f t="shared" si="443"/>
        <v>2.4101767193978635E-2</v>
      </c>
    </row>
    <row r="4718" spans="19:24" x14ac:dyDescent="0.25">
      <c r="S4718" s="44">
        <f t="shared" si="439"/>
        <v>47768</v>
      </c>
      <c r="T4718" s="12">
        <f t="shared" si="440"/>
        <v>1.1164095740178184</v>
      </c>
      <c r="U4718" s="12">
        <f t="shared" si="444"/>
        <v>1.10089585215118</v>
      </c>
      <c r="V4718" s="30">
        <f t="shared" si="441"/>
        <v>0.37486904109589042</v>
      </c>
      <c r="W4718" s="46">
        <f t="shared" si="442"/>
        <v>-1.1164095740178182E-2</v>
      </c>
      <c r="X4718" s="33">
        <f t="shared" si="443"/>
        <v>2.4101725681705696E-2</v>
      </c>
    </row>
    <row r="4719" spans="19:24" x14ac:dyDescent="0.25">
      <c r="S4719" s="44">
        <f t="shared" si="439"/>
        <v>47769</v>
      </c>
      <c r="T4719" s="12">
        <f t="shared" si="440"/>
        <v>1.1137324917162774</v>
      </c>
      <c r="U4719" s="12">
        <f t="shared" si="444"/>
        <v>1.0982446754263908</v>
      </c>
      <c r="V4719" s="30">
        <f t="shared" si="441"/>
        <v>0.37484164383561647</v>
      </c>
      <c r="W4719" s="46">
        <f t="shared" si="442"/>
        <v>-1.1137324917162773E-2</v>
      </c>
      <c r="X4719" s="33">
        <f t="shared" si="443"/>
        <v>2.4101684169432751E-2</v>
      </c>
    </row>
    <row r="4720" spans="19:24" x14ac:dyDescent="0.25">
      <c r="S4720" s="44">
        <f t="shared" si="439"/>
        <v>47770</v>
      </c>
      <c r="T4720" s="12">
        <f t="shared" si="440"/>
        <v>1.1110554094147362</v>
      </c>
      <c r="U4720" s="12">
        <f t="shared" si="444"/>
        <v>1.0955934987016016</v>
      </c>
      <c r="V4720" s="30">
        <f t="shared" si="441"/>
        <v>0.37481424657534246</v>
      </c>
      <c r="W4720" s="46">
        <f t="shared" si="442"/>
        <v>-1.111055409414736E-2</v>
      </c>
      <c r="X4720" s="33">
        <f t="shared" si="443"/>
        <v>2.4101642657159809E-2</v>
      </c>
    </row>
    <row r="4721" spans="19:24" x14ac:dyDescent="0.25">
      <c r="S4721" s="44">
        <f t="shared" si="439"/>
        <v>47771</v>
      </c>
      <c r="T4721" s="12">
        <f t="shared" si="440"/>
        <v>1.1083783271131953</v>
      </c>
      <c r="U4721" s="12">
        <f t="shared" si="444"/>
        <v>1.0929423219768122</v>
      </c>
      <c r="V4721" s="30">
        <f t="shared" si="441"/>
        <v>0.3747868493150685</v>
      </c>
      <c r="W4721" s="46">
        <f t="shared" si="442"/>
        <v>-1.1083783271131952E-2</v>
      </c>
      <c r="X4721" s="33">
        <f t="shared" si="443"/>
        <v>2.410160114488686E-2</v>
      </c>
    </row>
    <row r="4722" spans="19:24" x14ac:dyDescent="0.25">
      <c r="S4722" s="44">
        <f t="shared" si="439"/>
        <v>47772</v>
      </c>
      <c r="T4722" s="12">
        <f t="shared" si="440"/>
        <v>1.1057012448116537</v>
      </c>
      <c r="U4722" s="12">
        <f t="shared" si="444"/>
        <v>1.0902911452520232</v>
      </c>
      <c r="V4722" s="30">
        <f t="shared" si="441"/>
        <v>0.3747594520547945</v>
      </c>
      <c r="W4722" s="46">
        <f t="shared" si="442"/>
        <v>-1.1057012448116535E-2</v>
      </c>
      <c r="X4722" s="33">
        <f t="shared" si="443"/>
        <v>2.4101559632613918E-2</v>
      </c>
    </row>
    <row r="4723" spans="19:24" x14ac:dyDescent="0.25">
      <c r="S4723" s="44">
        <f t="shared" ref="S4723:S4786" si="445">+S4722+1</f>
        <v>47773</v>
      </c>
      <c r="T4723" s="12">
        <f t="shared" si="440"/>
        <v>1.1030241625101127</v>
      </c>
      <c r="U4723" s="12">
        <f t="shared" si="444"/>
        <v>1.0876399685272335</v>
      </c>
      <c r="V4723" s="30">
        <f t="shared" si="441"/>
        <v>0.37473205479452054</v>
      </c>
      <c r="W4723" s="46">
        <f t="shared" si="442"/>
        <v>-1.1030241625101125E-2</v>
      </c>
      <c r="X4723" s="33">
        <f t="shared" si="443"/>
        <v>2.4101518120340972E-2</v>
      </c>
    </row>
    <row r="4724" spans="19:24" x14ac:dyDescent="0.25">
      <c r="S4724" s="44">
        <f t="shared" si="445"/>
        <v>47774</v>
      </c>
      <c r="T4724" s="12">
        <f t="shared" si="440"/>
        <v>1.1003470802085715</v>
      </c>
      <c r="U4724" s="12">
        <f t="shared" si="444"/>
        <v>1.0849887918024446</v>
      </c>
      <c r="V4724" s="30">
        <f t="shared" si="441"/>
        <v>0.37470465753424659</v>
      </c>
      <c r="W4724" s="46">
        <f t="shared" si="442"/>
        <v>-1.1003470802085713E-2</v>
      </c>
      <c r="X4724" s="33">
        <f t="shared" si="443"/>
        <v>2.4101476608068034E-2</v>
      </c>
    </row>
    <row r="4725" spans="19:24" x14ac:dyDescent="0.25">
      <c r="S4725" s="44">
        <f t="shared" si="445"/>
        <v>47775</v>
      </c>
      <c r="T4725" s="12">
        <f t="shared" si="440"/>
        <v>1.0976699979070301</v>
      </c>
      <c r="U4725" s="12">
        <f t="shared" si="444"/>
        <v>1.0823376150776549</v>
      </c>
      <c r="V4725" s="30">
        <f t="shared" si="441"/>
        <v>0.37467726027397263</v>
      </c>
      <c r="W4725" s="46">
        <f t="shared" si="442"/>
        <v>-1.09766999790703E-2</v>
      </c>
      <c r="X4725" s="33">
        <f t="shared" si="443"/>
        <v>2.4101435095795088E-2</v>
      </c>
    </row>
    <row r="4726" spans="19:24" x14ac:dyDescent="0.25">
      <c r="S4726" s="44">
        <f t="shared" si="445"/>
        <v>47776</v>
      </c>
      <c r="T4726" s="12">
        <f t="shared" si="440"/>
        <v>1.0949929156054887</v>
      </c>
      <c r="U4726" s="12">
        <f t="shared" si="444"/>
        <v>1.0796864383528657</v>
      </c>
      <c r="V4726" s="30">
        <f t="shared" si="441"/>
        <v>0.37464986301369863</v>
      </c>
      <c r="W4726" s="46">
        <f t="shared" si="442"/>
        <v>-1.0949929156054885E-2</v>
      </c>
      <c r="X4726" s="33">
        <f t="shared" si="443"/>
        <v>2.4101393583522146E-2</v>
      </c>
    </row>
    <row r="4727" spans="19:24" x14ac:dyDescent="0.25">
      <c r="S4727" s="44">
        <f t="shared" si="445"/>
        <v>47777</v>
      </c>
      <c r="T4727" s="12">
        <f t="shared" si="440"/>
        <v>1.0923158333039478</v>
      </c>
      <c r="U4727" s="12">
        <f t="shared" si="444"/>
        <v>1.0770352616280765</v>
      </c>
      <c r="V4727" s="30">
        <f t="shared" si="441"/>
        <v>0.37462246575342467</v>
      </c>
      <c r="W4727" s="46">
        <f t="shared" si="442"/>
        <v>-1.0923158333039477E-2</v>
      </c>
      <c r="X4727" s="33">
        <f t="shared" si="443"/>
        <v>2.4101352071249197E-2</v>
      </c>
    </row>
    <row r="4728" spans="19:24" x14ac:dyDescent="0.25">
      <c r="S4728" s="44">
        <f t="shared" si="445"/>
        <v>47778</v>
      </c>
      <c r="T4728" s="12">
        <f t="shared" si="440"/>
        <v>1.0896387510024068</v>
      </c>
      <c r="U4728" s="12">
        <f t="shared" si="444"/>
        <v>1.0743840849032871</v>
      </c>
      <c r="V4728" s="30">
        <f t="shared" si="441"/>
        <v>0.37459506849315072</v>
      </c>
      <c r="W4728" s="46">
        <f t="shared" si="442"/>
        <v>-1.0896387510024067E-2</v>
      </c>
      <c r="X4728" s="33">
        <f t="shared" si="443"/>
        <v>2.4101310558976255E-2</v>
      </c>
    </row>
    <row r="4729" spans="19:24" x14ac:dyDescent="0.25">
      <c r="S4729" s="44">
        <f t="shared" si="445"/>
        <v>47779</v>
      </c>
      <c r="T4729" s="12">
        <f t="shared" si="440"/>
        <v>1.0869616687008656</v>
      </c>
      <c r="U4729" s="12">
        <f t="shared" si="444"/>
        <v>1.0717329081784979</v>
      </c>
      <c r="V4729" s="30">
        <f t="shared" si="441"/>
        <v>0.37456767123287671</v>
      </c>
      <c r="W4729" s="46">
        <f t="shared" si="442"/>
        <v>-1.0869616687008655E-2</v>
      </c>
      <c r="X4729" s="33">
        <f t="shared" si="443"/>
        <v>2.4101269046703313E-2</v>
      </c>
    </row>
    <row r="4730" spans="19:24" x14ac:dyDescent="0.25">
      <c r="S4730" s="44">
        <f t="shared" si="445"/>
        <v>47780</v>
      </c>
      <c r="T4730" s="12">
        <f t="shared" si="440"/>
        <v>1.0842845863993245</v>
      </c>
      <c r="U4730" s="12">
        <f t="shared" si="444"/>
        <v>1.0690817314537082</v>
      </c>
      <c r="V4730" s="30">
        <f t="shared" si="441"/>
        <v>0.37454027397260276</v>
      </c>
      <c r="W4730" s="46">
        <f t="shared" si="442"/>
        <v>-1.0842845863993244E-2</v>
      </c>
      <c r="X4730" s="33">
        <f t="shared" si="443"/>
        <v>2.4101227534430367E-2</v>
      </c>
    </row>
    <row r="4731" spans="19:24" x14ac:dyDescent="0.25">
      <c r="S4731" s="44">
        <f t="shared" si="445"/>
        <v>47781</v>
      </c>
      <c r="T4731" s="12">
        <f t="shared" si="440"/>
        <v>1.0816075040977831</v>
      </c>
      <c r="U4731" s="12">
        <f t="shared" si="444"/>
        <v>1.0664305547289195</v>
      </c>
      <c r="V4731" s="30">
        <f t="shared" si="441"/>
        <v>0.3745128767123288</v>
      </c>
      <c r="W4731" s="46">
        <f t="shared" si="442"/>
        <v>-1.0816075040977828E-2</v>
      </c>
      <c r="X4731" s="33">
        <f t="shared" si="443"/>
        <v>2.4101186022157425E-2</v>
      </c>
    </row>
    <row r="4732" spans="19:24" x14ac:dyDescent="0.25">
      <c r="S4732" s="44">
        <f t="shared" si="445"/>
        <v>47782</v>
      </c>
      <c r="T4732" s="12">
        <f t="shared" si="440"/>
        <v>1.0789304217962421</v>
      </c>
      <c r="U4732" s="12">
        <f t="shared" si="444"/>
        <v>1.0637793780041302</v>
      </c>
      <c r="V4732" s="30">
        <f t="shared" si="441"/>
        <v>0.37448547945205479</v>
      </c>
      <c r="W4732" s="46">
        <f t="shared" si="442"/>
        <v>-1.0789304217962419E-2</v>
      </c>
      <c r="X4732" s="33">
        <f t="shared" si="443"/>
        <v>2.4101144509884476E-2</v>
      </c>
    </row>
    <row r="4733" spans="19:24" x14ac:dyDescent="0.25">
      <c r="S4733" s="44">
        <f t="shared" si="445"/>
        <v>47783</v>
      </c>
      <c r="T4733" s="12">
        <f t="shared" si="440"/>
        <v>1.0762533394947007</v>
      </c>
      <c r="U4733" s="12">
        <f t="shared" si="444"/>
        <v>1.0611282012793408</v>
      </c>
      <c r="V4733" s="30">
        <f t="shared" si="441"/>
        <v>0.37445808219178084</v>
      </c>
      <c r="W4733" s="46">
        <f t="shared" si="442"/>
        <v>-1.0762533394947005E-2</v>
      </c>
      <c r="X4733" s="33">
        <f t="shared" si="443"/>
        <v>2.4101102997611541E-2</v>
      </c>
    </row>
    <row r="4734" spans="19:24" x14ac:dyDescent="0.25">
      <c r="S4734" s="44">
        <f t="shared" si="445"/>
        <v>47784</v>
      </c>
      <c r="T4734" s="12">
        <f t="shared" si="440"/>
        <v>1.0735762571931595</v>
      </c>
      <c r="U4734" s="12">
        <f t="shared" si="444"/>
        <v>1.0584770245545514</v>
      </c>
      <c r="V4734" s="30">
        <f t="shared" si="441"/>
        <v>0.37443068493150683</v>
      </c>
      <c r="W4734" s="46">
        <f t="shared" si="442"/>
        <v>-1.0735762571931593E-2</v>
      </c>
      <c r="X4734" s="33">
        <f t="shared" si="443"/>
        <v>2.4101061485338589E-2</v>
      </c>
    </row>
    <row r="4735" spans="19:24" x14ac:dyDescent="0.25">
      <c r="S4735" s="44">
        <f t="shared" si="445"/>
        <v>47785</v>
      </c>
      <c r="T4735" s="12">
        <f t="shared" si="440"/>
        <v>1.0708991748916183</v>
      </c>
      <c r="U4735" s="12">
        <f t="shared" si="444"/>
        <v>1.0558258478297624</v>
      </c>
      <c r="V4735" s="30">
        <f t="shared" si="441"/>
        <v>0.37440328767123288</v>
      </c>
      <c r="W4735" s="46">
        <f t="shared" si="442"/>
        <v>-1.0708991748916182E-2</v>
      </c>
      <c r="X4735" s="33">
        <f t="shared" si="443"/>
        <v>2.4101019973065647E-2</v>
      </c>
    </row>
    <row r="4736" spans="19:24" x14ac:dyDescent="0.25">
      <c r="S4736" s="44">
        <f t="shared" si="445"/>
        <v>47786</v>
      </c>
      <c r="T4736" s="12">
        <f t="shared" si="440"/>
        <v>1.0682220925900772</v>
      </c>
      <c r="U4736" s="12">
        <f t="shared" si="444"/>
        <v>1.0531746711049728</v>
      </c>
      <c r="V4736" s="30">
        <f t="shared" si="441"/>
        <v>0.37437589041095887</v>
      </c>
      <c r="W4736" s="46">
        <f t="shared" si="442"/>
        <v>-1.068222092590077E-2</v>
      </c>
      <c r="X4736" s="33">
        <f t="shared" si="443"/>
        <v>2.4100978460792705E-2</v>
      </c>
    </row>
    <row r="4737" spans="19:24" x14ac:dyDescent="0.25">
      <c r="S4737" s="44">
        <f t="shared" si="445"/>
        <v>47787</v>
      </c>
      <c r="T4737" s="12">
        <f t="shared" si="440"/>
        <v>1.0655450102885362</v>
      </c>
      <c r="U4737" s="12">
        <f t="shared" si="444"/>
        <v>1.0505234943801836</v>
      </c>
      <c r="V4737" s="30">
        <f t="shared" si="441"/>
        <v>0.37434849315068497</v>
      </c>
      <c r="W4737" s="46">
        <f t="shared" si="442"/>
        <v>-1.065545010288536E-2</v>
      </c>
      <c r="X4737" s="33">
        <f t="shared" si="443"/>
        <v>2.4100936948519763E-2</v>
      </c>
    </row>
    <row r="4738" spans="19:24" x14ac:dyDescent="0.25">
      <c r="S4738" s="44">
        <f t="shared" si="445"/>
        <v>47788</v>
      </c>
      <c r="T4738" s="12">
        <f t="shared" si="440"/>
        <v>1.0628679279869948</v>
      </c>
      <c r="U4738" s="12">
        <f t="shared" si="444"/>
        <v>1.0478723176553941</v>
      </c>
      <c r="V4738" s="30">
        <f t="shared" si="441"/>
        <v>0.37432109589041096</v>
      </c>
      <c r="W4738" s="46">
        <f t="shared" si="442"/>
        <v>-1.0628679279869947E-2</v>
      </c>
      <c r="X4738" s="33">
        <f t="shared" si="443"/>
        <v>2.4100895436246817E-2</v>
      </c>
    </row>
    <row r="4739" spans="19:24" x14ac:dyDescent="0.25">
      <c r="S4739" s="44">
        <f t="shared" si="445"/>
        <v>47789</v>
      </c>
      <c r="T4739" s="12">
        <f t="shared" si="440"/>
        <v>1.0601908456854536</v>
      </c>
      <c r="U4739" s="12">
        <f t="shared" si="444"/>
        <v>1.0452211409306051</v>
      </c>
      <c r="V4739" s="30">
        <f t="shared" si="441"/>
        <v>0.37429369863013701</v>
      </c>
      <c r="W4739" s="46">
        <f t="shared" si="442"/>
        <v>-1.0601908456854535E-2</v>
      </c>
      <c r="X4739" s="33">
        <f t="shared" si="443"/>
        <v>2.4100853923973875E-2</v>
      </c>
    </row>
    <row r="4740" spans="19:24" x14ac:dyDescent="0.25">
      <c r="S4740" s="44">
        <f t="shared" si="445"/>
        <v>47790</v>
      </c>
      <c r="T4740" s="12">
        <f t="shared" si="440"/>
        <v>1.0575137633839122</v>
      </c>
      <c r="U4740" s="12">
        <f t="shared" si="444"/>
        <v>1.0425699642058157</v>
      </c>
      <c r="V4740" s="30">
        <f t="shared" si="441"/>
        <v>0.37426630136986305</v>
      </c>
      <c r="W4740" s="46">
        <f t="shared" si="442"/>
        <v>-1.057513763383912E-2</v>
      </c>
      <c r="X4740" s="33">
        <f t="shared" si="443"/>
        <v>2.4100812411700933E-2</v>
      </c>
    </row>
    <row r="4741" spans="19:24" x14ac:dyDescent="0.25">
      <c r="S4741" s="44">
        <f t="shared" si="445"/>
        <v>47791</v>
      </c>
      <c r="T4741" s="12">
        <f t="shared" ref="T4741:T4804" si="446">DurMod(S4741,B$2,$F$7:$G$37,$T$3)</f>
        <v>1.0548366810823713</v>
      </c>
      <c r="U4741" s="12">
        <f t="shared" si="444"/>
        <v>1.0399187874810265</v>
      </c>
      <c r="V4741" s="30">
        <f t="shared" ref="V4741:V4804" si="447">+$U$3*($S$5512-S4741)/365+$T$3*(S4741-$S$4)/365</f>
        <v>0.37423890410958904</v>
      </c>
      <c r="W4741" s="46">
        <f t="shared" ref="W4741:W4804" si="448">+-T4741*($U$3-$T$3)</f>
        <v>-1.0548366810823712E-2</v>
      </c>
      <c r="X4741" s="33">
        <f t="shared" ref="X4741:X4804" si="449">+(V4741+W4741)*365/($S$5512-$S$4)</f>
        <v>2.4100770899427984E-2</v>
      </c>
    </row>
    <row r="4742" spans="19:24" x14ac:dyDescent="0.25">
      <c r="S4742" s="44">
        <f t="shared" si="445"/>
        <v>47792</v>
      </c>
      <c r="T4742" s="12">
        <f t="shared" si="446"/>
        <v>1.0521595987808301</v>
      </c>
      <c r="U4742" s="12">
        <f t="shared" ref="U4742:U4805" si="450">DurMod($S4742,$B$2,$F$7:$G$37,U$3)</f>
        <v>1.0372676107562371</v>
      </c>
      <c r="V4742" s="30">
        <f t="shared" si="447"/>
        <v>0.37421150684931509</v>
      </c>
      <c r="W4742" s="46">
        <f t="shared" si="448"/>
        <v>-1.0521595987808299E-2</v>
      </c>
      <c r="X4742" s="33">
        <f t="shared" si="449"/>
        <v>2.4100729387155042E-2</v>
      </c>
    </row>
    <row r="4743" spans="19:24" x14ac:dyDescent="0.25">
      <c r="S4743" s="44">
        <f t="shared" si="445"/>
        <v>47793</v>
      </c>
      <c r="T4743" s="12">
        <f t="shared" si="446"/>
        <v>1.0494825164792887</v>
      </c>
      <c r="U4743" s="12">
        <f t="shared" si="450"/>
        <v>1.0346164340314479</v>
      </c>
      <c r="V4743" s="30">
        <f t="shared" si="447"/>
        <v>0.37418410958904108</v>
      </c>
      <c r="W4743" s="46">
        <f t="shared" si="448"/>
        <v>-1.0494825164792885E-2</v>
      </c>
      <c r="X4743" s="33">
        <f t="shared" si="449"/>
        <v>2.4100687874882096E-2</v>
      </c>
    </row>
    <row r="4744" spans="19:24" x14ac:dyDescent="0.25">
      <c r="S4744" s="44">
        <f t="shared" si="445"/>
        <v>47794</v>
      </c>
      <c r="T4744" s="12">
        <f t="shared" si="446"/>
        <v>1.0468054341777473</v>
      </c>
      <c r="U4744" s="12">
        <f t="shared" si="450"/>
        <v>1.0319652573066584</v>
      </c>
      <c r="V4744" s="30">
        <f t="shared" si="447"/>
        <v>0.37415671232876713</v>
      </c>
      <c r="W4744" s="46">
        <f t="shared" si="448"/>
        <v>-1.0468054341777472E-2</v>
      </c>
      <c r="X4744" s="33">
        <f t="shared" si="449"/>
        <v>2.4100646362609158E-2</v>
      </c>
    </row>
    <row r="4745" spans="19:24" x14ac:dyDescent="0.25">
      <c r="S4745" s="44">
        <f t="shared" si="445"/>
        <v>47795</v>
      </c>
      <c r="T4745" s="12">
        <f t="shared" si="446"/>
        <v>1.0441283518762061</v>
      </c>
      <c r="U4745" s="12">
        <f t="shared" si="450"/>
        <v>1.0293140805818692</v>
      </c>
      <c r="V4745" s="30">
        <f t="shared" si="447"/>
        <v>0.37412931506849317</v>
      </c>
      <c r="W4745" s="46">
        <f t="shared" si="448"/>
        <v>-1.044128351876206E-2</v>
      </c>
      <c r="X4745" s="33">
        <f t="shared" si="449"/>
        <v>2.4100604850336212E-2</v>
      </c>
    </row>
    <row r="4746" spans="19:24" x14ac:dyDescent="0.25">
      <c r="S4746" s="44">
        <f t="shared" si="445"/>
        <v>47796</v>
      </c>
      <c r="T4746" s="12">
        <f t="shared" si="446"/>
        <v>1.0414512695746652</v>
      </c>
      <c r="U4746" s="12">
        <f t="shared" si="450"/>
        <v>1.02666290385708</v>
      </c>
      <c r="V4746" s="30">
        <f t="shared" si="447"/>
        <v>0.37410191780821916</v>
      </c>
      <c r="W4746" s="46">
        <f t="shared" si="448"/>
        <v>-1.041451269574665E-2</v>
      </c>
      <c r="X4746" s="33">
        <f t="shared" si="449"/>
        <v>2.4100563338063263E-2</v>
      </c>
    </row>
    <row r="4747" spans="19:24" x14ac:dyDescent="0.25">
      <c r="S4747" s="44">
        <f t="shared" si="445"/>
        <v>47797</v>
      </c>
      <c r="T4747" s="12">
        <f t="shared" si="446"/>
        <v>1.0387741872731242</v>
      </c>
      <c r="U4747" s="12">
        <f t="shared" si="450"/>
        <v>1.0240117271322906</v>
      </c>
      <c r="V4747" s="30">
        <f t="shared" si="447"/>
        <v>0.37407452054794521</v>
      </c>
      <c r="W4747" s="46">
        <f t="shared" si="448"/>
        <v>-1.038774187273124E-2</v>
      </c>
      <c r="X4747" s="33">
        <f t="shared" si="449"/>
        <v>2.4100521825790321E-2</v>
      </c>
    </row>
    <row r="4748" spans="19:24" x14ac:dyDescent="0.25">
      <c r="S4748" s="44">
        <f t="shared" si="445"/>
        <v>47798</v>
      </c>
      <c r="T4748" s="12">
        <f t="shared" si="446"/>
        <v>1.0360971049715828</v>
      </c>
      <c r="U4748" s="12">
        <f t="shared" si="450"/>
        <v>1.0213605504075014</v>
      </c>
      <c r="V4748" s="30">
        <f t="shared" si="447"/>
        <v>0.3740471232876712</v>
      </c>
      <c r="W4748" s="46">
        <f t="shared" si="448"/>
        <v>-1.0360971049715827E-2</v>
      </c>
      <c r="X4748" s="33">
        <f t="shared" si="449"/>
        <v>2.4100480313517376E-2</v>
      </c>
    </row>
    <row r="4749" spans="19:24" x14ac:dyDescent="0.25">
      <c r="S4749" s="44">
        <f t="shared" si="445"/>
        <v>47799</v>
      </c>
      <c r="T4749" s="12">
        <f t="shared" si="446"/>
        <v>1.0334200226700414</v>
      </c>
      <c r="U4749" s="12">
        <f t="shared" si="450"/>
        <v>1.018709373682712</v>
      </c>
      <c r="V4749" s="30">
        <f t="shared" si="447"/>
        <v>0.3740197260273973</v>
      </c>
      <c r="W4749" s="46">
        <f t="shared" si="448"/>
        <v>-1.0334200226700412E-2</v>
      </c>
      <c r="X4749" s="33">
        <f t="shared" si="449"/>
        <v>2.4100438801244437E-2</v>
      </c>
    </row>
    <row r="4750" spans="19:24" x14ac:dyDescent="0.25">
      <c r="S4750" s="44">
        <f t="shared" si="445"/>
        <v>47800</v>
      </c>
      <c r="T4750" s="12">
        <f t="shared" si="446"/>
        <v>1.0307429403685004</v>
      </c>
      <c r="U4750" s="12">
        <f t="shared" si="450"/>
        <v>1.0160581969579228</v>
      </c>
      <c r="V4750" s="30">
        <f t="shared" si="447"/>
        <v>0.37399232876712329</v>
      </c>
      <c r="W4750" s="46">
        <f t="shared" si="448"/>
        <v>-1.0307429403685004E-2</v>
      </c>
      <c r="X4750" s="33">
        <f t="shared" si="449"/>
        <v>2.4100397288971492E-2</v>
      </c>
    </row>
    <row r="4751" spans="19:24" x14ac:dyDescent="0.25">
      <c r="S4751" s="44">
        <f t="shared" si="445"/>
        <v>47801</v>
      </c>
      <c r="T4751" s="12">
        <f t="shared" si="446"/>
        <v>1.0280658580669593</v>
      </c>
      <c r="U4751" s="12">
        <f t="shared" si="450"/>
        <v>1.0134070202331336</v>
      </c>
      <c r="V4751" s="30">
        <f t="shared" si="447"/>
        <v>0.37396493150684934</v>
      </c>
      <c r="W4751" s="46">
        <f t="shared" si="448"/>
        <v>-1.028065858066959E-2</v>
      </c>
      <c r="X4751" s="33">
        <f t="shared" si="449"/>
        <v>2.410035577669855E-2</v>
      </c>
    </row>
    <row r="4752" spans="19:24" x14ac:dyDescent="0.25">
      <c r="S4752" s="44">
        <f t="shared" si="445"/>
        <v>47802</v>
      </c>
      <c r="T4752" s="12">
        <f t="shared" si="446"/>
        <v>1.0253887757654179</v>
      </c>
      <c r="U4752" s="12">
        <f t="shared" si="450"/>
        <v>1.0107558435083441</v>
      </c>
      <c r="V4752" s="30">
        <f t="shared" si="447"/>
        <v>0.37393753424657539</v>
      </c>
      <c r="W4752" s="46">
        <f t="shared" si="448"/>
        <v>-1.0253887757654177E-2</v>
      </c>
      <c r="X4752" s="33">
        <f t="shared" si="449"/>
        <v>2.4100314264425608E-2</v>
      </c>
    </row>
    <row r="4753" spans="19:24" x14ac:dyDescent="0.25">
      <c r="S4753" s="44">
        <f t="shared" si="445"/>
        <v>47803</v>
      </c>
      <c r="T4753" s="12">
        <f t="shared" si="446"/>
        <v>1.0227116934638767</v>
      </c>
      <c r="U4753" s="12">
        <f t="shared" si="450"/>
        <v>1.0081046667835549</v>
      </c>
      <c r="V4753" s="30">
        <f t="shared" si="447"/>
        <v>0.37391013698630138</v>
      </c>
      <c r="W4753" s="46">
        <f t="shared" si="448"/>
        <v>-1.0227116934638765E-2</v>
      </c>
      <c r="X4753" s="33">
        <f t="shared" si="449"/>
        <v>2.4100272752152662E-2</v>
      </c>
    </row>
    <row r="4754" spans="19:24" x14ac:dyDescent="0.25">
      <c r="S4754" s="44">
        <f t="shared" si="445"/>
        <v>47804</v>
      </c>
      <c r="T4754" s="12">
        <f t="shared" si="446"/>
        <v>1.0200346111623353</v>
      </c>
      <c r="U4754" s="12">
        <f t="shared" si="450"/>
        <v>1.0054534900587655</v>
      </c>
      <c r="V4754" s="30">
        <f t="shared" si="447"/>
        <v>0.37388273972602742</v>
      </c>
      <c r="W4754" s="46">
        <f t="shared" si="448"/>
        <v>-1.0200346111623352E-2</v>
      </c>
      <c r="X4754" s="33">
        <f t="shared" si="449"/>
        <v>2.410023123987972E-2</v>
      </c>
    </row>
    <row r="4755" spans="19:24" x14ac:dyDescent="0.25">
      <c r="S4755" s="44">
        <f t="shared" si="445"/>
        <v>47805</v>
      </c>
      <c r="T4755" s="12">
        <f t="shared" si="446"/>
        <v>1.0173575288607946</v>
      </c>
      <c r="U4755" s="12">
        <f t="shared" si="450"/>
        <v>1.0028023133339763</v>
      </c>
      <c r="V4755" s="30">
        <f t="shared" si="447"/>
        <v>0.37385534246575342</v>
      </c>
      <c r="W4755" s="46">
        <f t="shared" si="448"/>
        <v>-1.0173575288607944E-2</v>
      </c>
      <c r="X4755" s="33">
        <f t="shared" si="449"/>
        <v>2.4100189727606771E-2</v>
      </c>
    </row>
    <row r="4756" spans="19:24" x14ac:dyDescent="0.25">
      <c r="S4756" s="44">
        <f t="shared" si="445"/>
        <v>47806</v>
      </c>
      <c r="T4756" s="12">
        <f t="shared" si="446"/>
        <v>1.0146804465592532</v>
      </c>
      <c r="U4756" s="12">
        <f t="shared" si="450"/>
        <v>1.0001511366091871</v>
      </c>
      <c r="V4756" s="30">
        <f t="shared" si="447"/>
        <v>0.37382794520547941</v>
      </c>
      <c r="W4756" s="46">
        <f t="shared" si="448"/>
        <v>-1.014680446559253E-2</v>
      </c>
      <c r="X4756" s="33">
        <f t="shared" si="449"/>
        <v>2.4100148215333825E-2</v>
      </c>
    </row>
    <row r="4757" spans="19:24" x14ac:dyDescent="0.25">
      <c r="S4757" s="44">
        <f t="shared" si="445"/>
        <v>47807</v>
      </c>
      <c r="T4757" s="12">
        <f t="shared" si="446"/>
        <v>1.0120033642577122</v>
      </c>
      <c r="U4757" s="12">
        <f t="shared" si="450"/>
        <v>0.99749995988439777</v>
      </c>
      <c r="V4757" s="30">
        <f t="shared" si="447"/>
        <v>0.37380054794520545</v>
      </c>
      <c r="W4757" s="46">
        <f t="shared" si="448"/>
        <v>-1.012003364257712E-2</v>
      </c>
      <c r="X4757" s="33">
        <f t="shared" si="449"/>
        <v>2.4100106703060883E-2</v>
      </c>
    </row>
    <row r="4758" spans="19:24" x14ac:dyDescent="0.25">
      <c r="S4758" s="44">
        <f t="shared" si="445"/>
        <v>47808</v>
      </c>
      <c r="T4758" s="12">
        <f t="shared" si="446"/>
        <v>1.0093262819561708</v>
      </c>
      <c r="U4758" s="12">
        <f t="shared" si="450"/>
        <v>0.99484878315960834</v>
      </c>
      <c r="V4758" s="30">
        <f t="shared" si="447"/>
        <v>0.3737731506849315</v>
      </c>
      <c r="W4758" s="46">
        <f t="shared" si="448"/>
        <v>-1.0093262819561707E-2</v>
      </c>
      <c r="X4758" s="33">
        <f t="shared" si="449"/>
        <v>2.4100065190787941E-2</v>
      </c>
    </row>
    <row r="4759" spans="19:24" x14ac:dyDescent="0.25">
      <c r="S4759" s="44">
        <f t="shared" si="445"/>
        <v>47809</v>
      </c>
      <c r="T4759" s="12">
        <f t="shared" si="446"/>
        <v>1.0066491996546296</v>
      </c>
      <c r="U4759" s="12">
        <f t="shared" si="450"/>
        <v>0.99219760643481902</v>
      </c>
      <c r="V4759" s="30">
        <f t="shared" si="447"/>
        <v>0.37374575342465755</v>
      </c>
      <c r="W4759" s="46">
        <f t="shared" si="448"/>
        <v>-1.0066491996546295E-2</v>
      </c>
      <c r="X4759" s="33">
        <f t="shared" si="449"/>
        <v>2.4100023678514999E-2</v>
      </c>
    </row>
    <row r="4760" spans="19:24" x14ac:dyDescent="0.25">
      <c r="S4760" s="44">
        <f t="shared" si="445"/>
        <v>47810</v>
      </c>
      <c r="T4760" s="12">
        <f t="shared" si="446"/>
        <v>1.0039721173530884</v>
      </c>
      <c r="U4760" s="12">
        <f t="shared" si="450"/>
        <v>0.98954642971002948</v>
      </c>
      <c r="V4760" s="30">
        <f t="shared" si="447"/>
        <v>0.37371835616438354</v>
      </c>
      <c r="W4760" s="46">
        <f t="shared" si="448"/>
        <v>-1.0039721173530882E-2</v>
      </c>
      <c r="X4760" s="33">
        <f t="shared" si="449"/>
        <v>2.409998216624205E-2</v>
      </c>
    </row>
    <row r="4761" spans="19:24" x14ac:dyDescent="0.25">
      <c r="S4761" s="44">
        <f t="shared" si="445"/>
        <v>47811</v>
      </c>
      <c r="T4761" s="12">
        <f t="shared" si="446"/>
        <v>1.0012950350515473</v>
      </c>
      <c r="U4761" s="12">
        <f t="shared" si="450"/>
        <v>0.98689525298524061</v>
      </c>
      <c r="V4761" s="30">
        <f t="shared" si="447"/>
        <v>0.37369095890410964</v>
      </c>
      <c r="W4761" s="46">
        <f t="shared" si="448"/>
        <v>-1.001295035051547E-2</v>
      </c>
      <c r="X4761" s="33">
        <f t="shared" si="449"/>
        <v>2.4099940653969115E-2</v>
      </c>
    </row>
    <row r="4762" spans="19:24" x14ac:dyDescent="0.25">
      <c r="S4762" s="44">
        <f t="shared" si="445"/>
        <v>47812</v>
      </c>
      <c r="T4762" s="12">
        <f t="shared" si="446"/>
        <v>0.99861795275000598</v>
      </c>
      <c r="U4762" s="12">
        <f t="shared" si="450"/>
        <v>0.98424407626045107</v>
      </c>
      <c r="V4762" s="30">
        <f t="shared" si="447"/>
        <v>0.37366356164383563</v>
      </c>
      <c r="W4762" s="46">
        <f t="shared" si="448"/>
        <v>-9.9861795275000588E-3</v>
      </c>
      <c r="X4762" s="33">
        <f t="shared" si="449"/>
        <v>2.4099899141696166E-2</v>
      </c>
    </row>
    <row r="4763" spans="19:24" x14ac:dyDescent="0.25">
      <c r="S4763" s="44">
        <f t="shared" si="445"/>
        <v>47813</v>
      </c>
      <c r="T4763" s="12">
        <f t="shared" si="446"/>
        <v>0.99594087044846491</v>
      </c>
      <c r="U4763" s="12">
        <f t="shared" si="450"/>
        <v>0.98159289953566198</v>
      </c>
      <c r="V4763" s="30">
        <f t="shared" si="447"/>
        <v>0.37363616438356168</v>
      </c>
      <c r="W4763" s="46">
        <f t="shared" si="448"/>
        <v>-9.9594087044846472E-3</v>
      </c>
      <c r="X4763" s="33">
        <f t="shared" si="449"/>
        <v>2.4099857629423224E-2</v>
      </c>
    </row>
    <row r="4764" spans="19:24" x14ac:dyDescent="0.25">
      <c r="S4764" s="44">
        <f t="shared" si="445"/>
        <v>47814</v>
      </c>
      <c r="T4764" s="12">
        <f t="shared" si="446"/>
        <v>0.99326378814692373</v>
      </c>
      <c r="U4764" s="12">
        <f t="shared" si="450"/>
        <v>0.97894172281087266</v>
      </c>
      <c r="V4764" s="30">
        <f t="shared" si="447"/>
        <v>0.37360876712328767</v>
      </c>
      <c r="W4764" s="46">
        <f t="shared" si="448"/>
        <v>-9.9326378814692355E-3</v>
      </c>
      <c r="X4764" s="33">
        <f t="shared" si="449"/>
        <v>2.4099816117150279E-2</v>
      </c>
    </row>
    <row r="4765" spans="19:24" x14ac:dyDescent="0.25">
      <c r="S4765" s="44">
        <f t="shared" si="445"/>
        <v>47815</v>
      </c>
      <c r="T4765" s="12">
        <f t="shared" si="446"/>
        <v>0.99058670584538244</v>
      </c>
      <c r="U4765" s="12">
        <f t="shared" si="450"/>
        <v>0.97629054608608312</v>
      </c>
      <c r="V4765" s="30">
        <f t="shared" si="447"/>
        <v>0.37358136986301371</v>
      </c>
      <c r="W4765" s="46">
        <f t="shared" si="448"/>
        <v>-9.9058670584538221E-3</v>
      </c>
      <c r="X4765" s="33">
        <f t="shared" si="449"/>
        <v>2.4099774604877337E-2</v>
      </c>
    </row>
    <row r="4766" spans="19:24" x14ac:dyDescent="0.25">
      <c r="S4766" s="44">
        <f t="shared" si="445"/>
        <v>47816</v>
      </c>
      <c r="T4766" s="12">
        <f t="shared" si="446"/>
        <v>0.98790962354384149</v>
      </c>
      <c r="U4766" s="12">
        <f t="shared" si="450"/>
        <v>0.97363936936129392</v>
      </c>
      <c r="V4766" s="30">
        <f t="shared" si="447"/>
        <v>0.37355397260273976</v>
      </c>
      <c r="W4766" s="46">
        <f t="shared" si="448"/>
        <v>-9.879096235438414E-3</v>
      </c>
      <c r="X4766" s="33">
        <f t="shared" si="449"/>
        <v>2.4099733092604388E-2</v>
      </c>
    </row>
    <row r="4767" spans="19:24" x14ac:dyDescent="0.25">
      <c r="S4767" s="44">
        <f t="shared" si="445"/>
        <v>47817</v>
      </c>
      <c r="T4767" s="12">
        <f t="shared" si="446"/>
        <v>0.98523254124229998</v>
      </c>
      <c r="U4767" s="12">
        <f t="shared" si="450"/>
        <v>0.97098819263650449</v>
      </c>
      <c r="V4767" s="30">
        <f t="shared" si="447"/>
        <v>0.37352657534246575</v>
      </c>
      <c r="W4767" s="46">
        <f t="shared" si="448"/>
        <v>-9.8523254124229988E-3</v>
      </c>
      <c r="X4767" s="33">
        <f t="shared" si="449"/>
        <v>2.4099691580331446E-2</v>
      </c>
    </row>
    <row r="4768" spans="19:24" x14ac:dyDescent="0.25">
      <c r="S4768" s="44">
        <f t="shared" si="445"/>
        <v>47818</v>
      </c>
      <c r="T4768" s="12">
        <f t="shared" si="446"/>
        <v>0.98255545894075902</v>
      </c>
      <c r="U4768" s="12">
        <f t="shared" si="450"/>
        <v>0.96833701591171517</v>
      </c>
      <c r="V4768" s="30">
        <f t="shared" si="447"/>
        <v>0.3734991780821918</v>
      </c>
      <c r="W4768" s="46">
        <f t="shared" si="448"/>
        <v>-9.8255545894075889E-3</v>
      </c>
      <c r="X4768" s="33">
        <f t="shared" si="449"/>
        <v>2.4099650068058504E-2</v>
      </c>
    </row>
    <row r="4769" spans="19:24" x14ac:dyDescent="0.25">
      <c r="S4769" s="44">
        <f t="shared" si="445"/>
        <v>47819</v>
      </c>
      <c r="T4769" s="12">
        <f t="shared" si="446"/>
        <v>0.97987837663921795</v>
      </c>
      <c r="U4769" s="12">
        <f t="shared" si="450"/>
        <v>0.96568583918692608</v>
      </c>
      <c r="V4769" s="30">
        <f t="shared" si="447"/>
        <v>0.37347178082191779</v>
      </c>
      <c r="W4769" s="46">
        <f t="shared" si="448"/>
        <v>-9.7987837663921773E-3</v>
      </c>
      <c r="X4769" s="33">
        <f t="shared" si="449"/>
        <v>2.4099608555785551E-2</v>
      </c>
    </row>
    <row r="4770" spans="19:24" x14ac:dyDescent="0.25">
      <c r="S4770" s="44">
        <f t="shared" si="445"/>
        <v>47820</v>
      </c>
      <c r="T4770" s="12">
        <f t="shared" si="446"/>
        <v>0.97720129433767655</v>
      </c>
      <c r="U4770" s="12">
        <f t="shared" si="450"/>
        <v>0.96303466246213665</v>
      </c>
      <c r="V4770" s="30">
        <f t="shared" si="447"/>
        <v>0.37344438356164378</v>
      </c>
      <c r="W4770" s="46">
        <f t="shared" si="448"/>
        <v>-9.7720129433767639E-3</v>
      </c>
      <c r="X4770" s="33">
        <f t="shared" si="449"/>
        <v>2.4099567043512609E-2</v>
      </c>
    </row>
    <row r="4771" spans="19:24" x14ac:dyDescent="0.25">
      <c r="S4771" s="44">
        <f t="shared" si="445"/>
        <v>47821</v>
      </c>
      <c r="T4771" s="12">
        <f t="shared" si="446"/>
        <v>0.97452421203613515</v>
      </c>
      <c r="U4771" s="12">
        <f t="shared" si="450"/>
        <v>0.96038348573734744</v>
      </c>
      <c r="V4771" s="30">
        <f t="shared" si="447"/>
        <v>0.37341698630136988</v>
      </c>
      <c r="W4771" s="46">
        <f t="shared" si="448"/>
        <v>-9.7452421203613505E-3</v>
      </c>
      <c r="X4771" s="33">
        <f t="shared" si="449"/>
        <v>2.4099525531239667E-2</v>
      </c>
    </row>
    <row r="4772" spans="19:24" x14ac:dyDescent="0.25">
      <c r="S4772" s="44">
        <f t="shared" si="445"/>
        <v>47822</v>
      </c>
      <c r="T4772" s="12">
        <f t="shared" si="446"/>
        <v>0.9718471297345942</v>
      </c>
      <c r="U4772" s="12">
        <f t="shared" si="450"/>
        <v>0.95773230901255813</v>
      </c>
      <c r="V4772" s="30">
        <f t="shared" si="447"/>
        <v>0.37338958904109587</v>
      </c>
      <c r="W4772" s="46">
        <f t="shared" si="448"/>
        <v>-9.7184712973459406E-3</v>
      </c>
      <c r="X4772" s="33">
        <f t="shared" si="449"/>
        <v>2.4099484018966725E-2</v>
      </c>
    </row>
    <row r="4773" spans="19:24" x14ac:dyDescent="0.25">
      <c r="S4773" s="44">
        <f t="shared" si="445"/>
        <v>47823</v>
      </c>
      <c r="T4773" s="12">
        <f t="shared" si="446"/>
        <v>0.96917004743305302</v>
      </c>
      <c r="U4773" s="12">
        <f t="shared" si="450"/>
        <v>0.95508113228776892</v>
      </c>
      <c r="V4773" s="30">
        <f t="shared" si="447"/>
        <v>0.37336219178082197</v>
      </c>
      <c r="W4773" s="46">
        <f t="shared" si="448"/>
        <v>-9.691700474330529E-3</v>
      </c>
      <c r="X4773" s="33">
        <f t="shared" si="449"/>
        <v>2.4099442506693786E-2</v>
      </c>
    </row>
    <row r="4774" spans="19:24" x14ac:dyDescent="0.25">
      <c r="S4774" s="44">
        <f t="shared" si="445"/>
        <v>47824</v>
      </c>
      <c r="T4774" s="12">
        <f t="shared" si="446"/>
        <v>0.96649296513151162</v>
      </c>
      <c r="U4774" s="12">
        <f t="shared" si="450"/>
        <v>0.9524299555629796</v>
      </c>
      <c r="V4774" s="30">
        <f t="shared" si="447"/>
        <v>0.37333479452054796</v>
      </c>
      <c r="W4774" s="46">
        <f t="shared" si="448"/>
        <v>-9.6649296513151139E-3</v>
      </c>
      <c r="X4774" s="33">
        <f t="shared" si="449"/>
        <v>2.4099400994420844E-2</v>
      </c>
    </row>
    <row r="4775" spans="19:24" x14ac:dyDescent="0.25">
      <c r="S4775" s="44">
        <f t="shared" si="445"/>
        <v>47825</v>
      </c>
      <c r="T4775" s="12">
        <f t="shared" si="446"/>
        <v>0.96381588282997033</v>
      </c>
      <c r="U4775" s="12">
        <f t="shared" si="450"/>
        <v>0.94977877883819029</v>
      </c>
      <c r="V4775" s="30">
        <f t="shared" si="447"/>
        <v>0.37330739726027401</v>
      </c>
      <c r="W4775" s="46">
        <f t="shared" si="448"/>
        <v>-9.6381588282997022E-3</v>
      </c>
      <c r="X4775" s="33">
        <f t="shared" si="449"/>
        <v>2.4099359482147895E-2</v>
      </c>
    </row>
    <row r="4776" spans="19:24" x14ac:dyDescent="0.25">
      <c r="S4776" s="44">
        <f t="shared" si="445"/>
        <v>47826</v>
      </c>
      <c r="T4776" s="12">
        <f t="shared" si="446"/>
        <v>0.96113880052842915</v>
      </c>
      <c r="U4776" s="12">
        <f t="shared" si="450"/>
        <v>0.94712760211340097</v>
      </c>
      <c r="V4776" s="30">
        <f t="shared" si="447"/>
        <v>0.37328</v>
      </c>
      <c r="W4776" s="46">
        <f t="shared" si="448"/>
        <v>-9.6113880052842906E-3</v>
      </c>
      <c r="X4776" s="33">
        <f t="shared" si="449"/>
        <v>2.4099317969874953E-2</v>
      </c>
    </row>
    <row r="4777" spans="19:24" x14ac:dyDescent="0.25">
      <c r="S4777" s="44">
        <f t="shared" si="445"/>
        <v>47827</v>
      </c>
      <c r="T4777" s="12">
        <f t="shared" si="446"/>
        <v>0.95846171822688808</v>
      </c>
      <c r="U4777" s="12">
        <f t="shared" si="450"/>
        <v>0.94447642538861176</v>
      </c>
      <c r="V4777" s="30">
        <f t="shared" si="447"/>
        <v>0.37325260273972605</v>
      </c>
      <c r="W4777" s="46">
        <f t="shared" si="448"/>
        <v>-9.5846171822688789E-3</v>
      </c>
      <c r="X4777" s="33">
        <f t="shared" si="449"/>
        <v>2.4099276457602008E-2</v>
      </c>
    </row>
    <row r="4778" spans="19:24" x14ac:dyDescent="0.25">
      <c r="S4778" s="44">
        <f t="shared" si="445"/>
        <v>47828</v>
      </c>
      <c r="T4778" s="12">
        <f t="shared" si="446"/>
        <v>0.9557846359253469</v>
      </c>
      <c r="U4778" s="12">
        <f t="shared" si="450"/>
        <v>0.94182524866382233</v>
      </c>
      <c r="V4778" s="30">
        <f t="shared" si="447"/>
        <v>0.37322520547945204</v>
      </c>
      <c r="W4778" s="46">
        <f t="shared" si="448"/>
        <v>-9.5578463592534673E-3</v>
      </c>
      <c r="X4778" s="33">
        <f t="shared" si="449"/>
        <v>2.4099234945329066E-2</v>
      </c>
    </row>
    <row r="4779" spans="19:24" x14ac:dyDescent="0.25">
      <c r="S4779" s="44">
        <f t="shared" si="445"/>
        <v>47829</v>
      </c>
      <c r="T4779" s="12">
        <f t="shared" si="446"/>
        <v>0.95310755362380561</v>
      </c>
      <c r="U4779" s="12">
        <f t="shared" si="450"/>
        <v>0.93917407193903291</v>
      </c>
      <c r="V4779" s="30">
        <f t="shared" si="447"/>
        <v>0.37319780821917808</v>
      </c>
      <c r="W4779" s="46">
        <f t="shared" si="448"/>
        <v>-9.5310755362380539E-3</v>
      </c>
      <c r="X4779" s="33">
        <f t="shared" si="449"/>
        <v>2.4099193433056124E-2</v>
      </c>
    </row>
    <row r="4780" spans="19:24" x14ac:dyDescent="0.25">
      <c r="S4780" s="44">
        <f t="shared" si="445"/>
        <v>47830</v>
      </c>
      <c r="T4780" s="12">
        <f t="shared" si="446"/>
        <v>0.95043047132226455</v>
      </c>
      <c r="U4780" s="12">
        <f t="shared" si="450"/>
        <v>0.93652289521424381</v>
      </c>
      <c r="V4780" s="30">
        <f t="shared" si="447"/>
        <v>0.37317041095890413</v>
      </c>
      <c r="W4780" s="46">
        <f t="shared" si="448"/>
        <v>-9.504304713222644E-3</v>
      </c>
      <c r="X4780" s="33">
        <f t="shared" si="449"/>
        <v>2.4099151920783175E-2</v>
      </c>
    </row>
    <row r="4781" spans="19:24" x14ac:dyDescent="0.25">
      <c r="S4781" s="44">
        <f t="shared" si="445"/>
        <v>47831</v>
      </c>
      <c r="T4781" s="12">
        <f t="shared" si="446"/>
        <v>0.94775338902072337</v>
      </c>
      <c r="U4781" s="12">
        <f t="shared" si="450"/>
        <v>0.93387171848945461</v>
      </c>
      <c r="V4781" s="30">
        <f t="shared" si="447"/>
        <v>0.37314301369863012</v>
      </c>
      <c r="W4781" s="46">
        <f t="shared" si="448"/>
        <v>-9.4775338902072324E-3</v>
      </c>
      <c r="X4781" s="33">
        <f t="shared" si="449"/>
        <v>2.4099110408510233E-2</v>
      </c>
    </row>
    <row r="4782" spans="19:24" x14ac:dyDescent="0.25">
      <c r="S4782" s="44">
        <f t="shared" si="445"/>
        <v>47832</v>
      </c>
      <c r="T4782" s="12">
        <f t="shared" si="446"/>
        <v>1.2015366494739437</v>
      </c>
      <c r="U4782" s="12">
        <f t="shared" si="450"/>
        <v>1.1869568106647423</v>
      </c>
      <c r="V4782" s="30">
        <f t="shared" si="447"/>
        <v>0.37311561643835611</v>
      </c>
      <c r="W4782" s="46">
        <f t="shared" si="448"/>
        <v>-1.2015366494739435E-2</v>
      </c>
      <c r="X4782" s="33">
        <f t="shared" si="449"/>
        <v>2.3929119685806119E-2</v>
      </c>
    </row>
    <row r="4783" spans="19:24" x14ac:dyDescent="0.25">
      <c r="S4783" s="44">
        <f t="shared" si="445"/>
        <v>47833</v>
      </c>
      <c r="T4783" s="12">
        <f t="shared" si="446"/>
        <v>1.1988595671724025</v>
      </c>
      <c r="U4783" s="12">
        <f t="shared" si="450"/>
        <v>1.1843056339399534</v>
      </c>
      <c r="V4783" s="30">
        <f t="shared" si="447"/>
        <v>0.37308821917808221</v>
      </c>
      <c r="W4783" s="46">
        <f t="shared" si="448"/>
        <v>-1.1988595671724023E-2</v>
      </c>
      <c r="X4783" s="33">
        <f t="shared" si="449"/>
        <v>2.392907817353318E-2</v>
      </c>
    </row>
    <row r="4784" spans="19:24" x14ac:dyDescent="0.25">
      <c r="S4784" s="44">
        <f t="shared" si="445"/>
        <v>47834</v>
      </c>
      <c r="T4784" s="12">
        <f t="shared" si="446"/>
        <v>1.1961824848708613</v>
      </c>
      <c r="U4784" s="12">
        <f t="shared" si="450"/>
        <v>1.1816544572151639</v>
      </c>
      <c r="V4784" s="30">
        <f t="shared" si="447"/>
        <v>0.37306082191780821</v>
      </c>
      <c r="W4784" s="46">
        <f t="shared" si="448"/>
        <v>-1.1961824848708611E-2</v>
      </c>
      <c r="X4784" s="33">
        <f t="shared" si="449"/>
        <v>2.3929036661260228E-2</v>
      </c>
    </row>
    <row r="4785" spans="19:24" x14ac:dyDescent="0.25">
      <c r="S4785" s="44">
        <f t="shared" si="445"/>
        <v>47835</v>
      </c>
      <c r="T4785" s="12">
        <f t="shared" si="446"/>
        <v>1.1935054025693201</v>
      </c>
      <c r="U4785" s="12">
        <f t="shared" si="450"/>
        <v>1.1790032804903745</v>
      </c>
      <c r="V4785" s="30">
        <f t="shared" si="447"/>
        <v>0.37303342465753425</v>
      </c>
      <c r="W4785" s="46">
        <f t="shared" si="448"/>
        <v>-1.19350540256932E-2</v>
      </c>
      <c r="X4785" s="33">
        <f t="shared" si="449"/>
        <v>2.3928995148987286E-2</v>
      </c>
    </row>
    <row r="4786" spans="19:24" x14ac:dyDescent="0.25">
      <c r="S4786" s="44">
        <f t="shared" si="445"/>
        <v>47836</v>
      </c>
      <c r="T4786" s="12">
        <f t="shared" si="446"/>
        <v>1.1908283202677787</v>
      </c>
      <c r="U4786" s="12">
        <f t="shared" si="450"/>
        <v>1.1763521037655855</v>
      </c>
      <c r="V4786" s="30">
        <f t="shared" si="447"/>
        <v>0.3730060273972603</v>
      </c>
      <c r="W4786" s="46">
        <f t="shared" si="448"/>
        <v>-1.1908283202677786E-2</v>
      </c>
      <c r="X4786" s="33">
        <f t="shared" si="449"/>
        <v>2.3928953636714344E-2</v>
      </c>
    </row>
    <row r="4787" spans="19:24" x14ac:dyDescent="0.25">
      <c r="S4787" s="44">
        <f t="shared" ref="S4787:S4850" si="451">+S4786+1</f>
        <v>47837</v>
      </c>
      <c r="T4787" s="12">
        <f t="shared" si="446"/>
        <v>1.1881512379662376</v>
      </c>
      <c r="U4787" s="12">
        <f t="shared" si="450"/>
        <v>1.1737009270407961</v>
      </c>
      <c r="V4787" s="30">
        <f t="shared" si="447"/>
        <v>0.37297863013698634</v>
      </c>
      <c r="W4787" s="46">
        <f t="shared" si="448"/>
        <v>-1.1881512379662373E-2</v>
      </c>
      <c r="X4787" s="33">
        <f t="shared" si="449"/>
        <v>2.3928912124441402E-2</v>
      </c>
    </row>
    <row r="4788" spans="19:24" x14ac:dyDescent="0.25">
      <c r="S4788" s="44">
        <f t="shared" si="451"/>
        <v>47838</v>
      </c>
      <c r="T4788" s="12">
        <f t="shared" si="446"/>
        <v>1.1854741556646966</v>
      </c>
      <c r="U4788" s="12">
        <f t="shared" si="450"/>
        <v>1.1710497503160067</v>
      </c>
      <c r="V4788" s="30">
        <f t="shared" si="447"/>
        <v>0.37295123287671234</v>
      </c>
      <c r="W4788" s="46">
        <f t="shared" si="448"/>
        <v>-1.1854741556646965E-2</v>
      </c>
      <c r="X4788" s="33">
        <f t="shared" si="449"/>
        <v>2.3928870612168456E-2</v>
      </c>
    </row>
    <row r="4789" spans="19:24" x14ac:dyDescent="0.25">
      <c r="S4789" s="44">
        <f t="shared" si="451"/>
        <v>47839</v>
      </c>
      <c r="T4789" s="12">
        <f t="shared" si="446"/>
        <v>1.1827970733631554</v>
      </c>
      <c r="U4789" s="12">
        <f t="shared" si="450"/>
        <v>1.1683985735912177</v>
      </c>
      <c r="V4789" s="30">
        <f t="shared" si="447"/>
        <v>0.37292383561643838</v>
      </c>
      <c r="W4789" s="46">
        <f t="shared" si="448"/>
        <v>-1.1827970733631553E-2</v>
      </c>
      <c r="X4789" s="33">
        <f t="shared" si="449"/>
        <v>2.3928829099895514E-2</v>
      </c>
    </row>
    <row r="4790" spans="19:24" x14ac:dyDescent="0.25">
      <c r="S4790" s="44">
        <f t="shared" si="451"/>
        <v>47840</v>
      </c>
      <c r="T4790" s="12">
        <f t="shared" si="446"/>
        <v>1.180119991061614</v>
      </c>
      <c r="U4790" s="12">
        <f t="shared" si="450"/>
        <v>1.165747396866428</v>
      </c>
      <c r="V4790" s="30">
        <f t="shared" si="447"/>
        <v>0.37289643835616437</v>
      </c>
      <c r="W4790" s="46">
        <f t="shared" si="448"/>
        <v>-1.1801199910616138E-2</v>
      </c>
      <c r="X4790" s="33">
        <f t="shared" si="449"/>
        <v>2.3928787587622572E-2</v>
      </c>
    </row>
    <row r="4791" spans="19:24" x14ac:dyDescent="0.25">
      <c r="S4791" s="44">
        <f t="shared" si="451"/>
        <v>47841</v>
      </c>
      <c r="T4791" s="12">
        <f t="shared" si="446"/>
        <v>1.1774429087600728</v>
      </c>
      <c r="U4791" s="12">
        <f t="shared" si="450"/>
        <v>1.163096220141639</v>
      </c>
      <c r="V4791" s="30">
        <f t="shared" si="447"/>
        <v>0.37286904109589036</v>
      </c>
      <c r="W4791" s="46">
        <f t="shared" si="448"/>
        <v>-1.1774429087600726E-2</v>
      </c>
      <c r="X4791" s="33">
        <f t="shared" si="449"/>
        <v>2.392874607534962E-2</v>
      </c>
    </row>
    <row r="4792" spans="19:24" x14ac:dyDescent="0.25">
      <c r="S4792" s="44">
        <f t="shared" si="451"/>
        <v>47842</v>
      </c>
      <c r="T4792" s="12">
        <f t="shared" si="446"/>
        <v>1.1747658264585314</v>
      </c>
      <c r="U4792" s="12">
        <f t="shared" si="450"/>
        <v>1.1604450434168496</v>
      </c>
      <c r="V4792" s="30">
        <f t="shared" si="447"/>
        <v>0.37284164383561647</v>
      </c>
      <c r="W4792" s="46">
        <f t="shared" si="448"/>
        <v>-1.1747658264585313E-2</v>
      </c>
      <c r="X4792" s="33">
        <f t="shared" si="449"/>
        <v>2.3928704563076681E-2</v>
      </c>
    </row>
    <row r="4793" spans="19:24" x14ac:dyDescent="0.25">
      <c r="S4793" s="44">
        <f t="shared" si="451"/>
        <v>47843</v>
      </c>
      <c r="T4793" s="12">
        <f t="shared" si="446"/>
        <v>1.1720887441569907</v>
      </c>
      <c r="U4793" s="12">
        <f t="shared" si="450"/>
        <v>1.1577938666920604</v>
      </c>
      <c r="V4793" s="30">
        <f t="shared" si="447"/>
        <v>0.37281424657534246</v>
      </c>
      <c r="W4793" s="46">
        <f t="shared" si="448"/>
        <v>-1.1720887441569905E-2</v>
      </c>
      <c r="X4793" s="33">
        <f t="shared" si="449"/>
        <v>2.3928663050803736E-2</v>
      </c>
    </row>
    <row r="4794" spans="19:24" x14ac:dyDescent="0.25">
      <c r="S4794" s="44">
        <f t="shared" si="451"/>
        <v>47844</v>
      </c>
      <c r="T4794" s="12">
        <f t="shared" si="446"/>
        <v>1.1694116618554493</v>
      </c>
      <c r="U4794" s="12">
        <f t="shared" si="450"/>
        <v>1.1551426899672712</v>
      </c>
      <c r="V4794" s="30">
        <f t="shared" si="447"/>
        <v>0.37278684931506845</v>
      </c>
      <c r="W4794" s="46">
        <f t="shared" si="448"/>
        <v>-1.1694116618554492E-2</v>
      </c>
      <c r="X4794" s="33">
        <f t="shared" si="449"/>
        <v>2.392862153853079E-2</v>
      </c>
    </row>
    <row r="4795" spans="19:24" x14ac:dyDescent="0.25">
      <c r="S4795" s="44">
        <f t="shared" si="451"/>
        <v>47845</v>
      </c>
      <c r="T4795" s="12">
        <f t="shared" si="446"/>
        <v>1.1667345795539081</v>
      </c>
      <c r="U4795" s="12">
        <f t="shared" si="450"/>
        <v>1.1524915132424818</v>
      </c>
      <c r="V4795" s="30">
        <f t="shared" si="447"/>
        <v>0.37275945205479455</v>
      </c>
      <c r="W4795" s="46">
        <f t="shared" si="448"/>
        <v>-1.166734579553908E-2</v>
      </c>
      <c r="X4795" s="33">
        <f t="shared" si="449"/>
        <v>2.3928580026257851E-2</v>
      </c>
    </row>
    <row r="4796" spans="19:24" x14ac:dyDescent="0.25">
      <c r="S4796" s="44">
        <f t="shared" si="451"/>
        <v>47846</v>
      </c>
      <c r="T4796" s="12">
        <f t="shared" si="446"/>
        <v>1.1640574972523672</v>
      </c>
      <c r="U4796" s="12">
        <f t="shared" si="450"/>
        <v>1.1498403365176924</v>
      </c>
      <c r="V4796" s="30">
        <f t="shared" si="447"/>
        <v>0.37273205479452054</v>
      </c>
      <c r="W4796" s="46">
        <f t="shared" si="448"/>
        <v>-1.164057497252367E-2</v>
      </c>
      <c r="X4796" s="33">
        <f t="shared" si="449"/>
        <v>2.3928538513984906E-2</v>
      </c>
    </row>
    <row r="4797" spans="19:24" x14ac:dyDescent="0.25">
      <c r="S4797" s="44">
        <f t="shared" si="451"/>
        <v>47847</v>
      </c>
      <c r="T4797" s="12">
        <f t="shared" si="446"/>
        <v>1.1613804149508256</v>
      </c>
      <c r="U4797" s="12">
        <f t="shared" si="450"/>
        <v>1.1471891597929034</v>
      </c>
      <c r="V4797" s="30">
        <f t="shared" si="447"/>
        <v>0.37270465753424659</v>
      </c>
      <c r="W4797" s="46">
        <f t="shared" si="448"/>
        <v>-1.1613804149508253E-2</v>
      </c>
      <c r="X4797" s="33">
        <f t="shared" si="449"/>
        <v>2.3928497001711964E-2</v>
      </c>
    </row>
    <row r="4798" spans="19:24" x14ac:dyDescent="0.25">
      <c r="S4798" s="44">
        <f t="shared" si="451"/>
        <v>47848</v>
      </c>
      <c r="T4798" s="12">
        <f t="shared" si="446"/>
        <v>1.1587033326492846</v>
      </c>
      <c r="U4798" s="12">
        <f t="shared" si="450"/>
        <v>1.1445379830681139</v>
      </c>
      <c r="V4798" s="30">
        <f t="shared" si="447"/>
        <v>0.37267726027397263</v>
      </c>
      <c r="W4798" s="46">
        <f t="shared" si="448"/>
        <v>-1.1587033326492845E-2</v>
      </c>
      <c r="X4798" s="33">
        <f t="shared" si="449"/>
        <v>2.3928455489439022E-2</v>
      </c>
    </row>
    <row r="4799" spans="19:24" x14ac:dyDescent="0.25">
      <c r="S4799" s="44">
        <f t="shared" si="451"/>
        <v>47849</v>
      </c>
      <c r="T4799" s="12">
        <f t="shared" si="446"/>
        <v>1.1560262503477432</v>
      </c>
      <c r="U4799" s="12">
        <f t="shared" si="450"/>
        <v>1.1418868063433247</v>
      </c>
      <c r="V4799" s="30">
        <f t="shared" si="447"/>
        <v>0.37264986301369862</v>
      </c>
      <c r="W4799" s="46">
        <f t="shared" si="448"/>
        <v>-1.156026250347743E-2</v>
      </c>
      <c r="X4799" s="33">
        <f t="shared" si="449"/>
        <v>2.3928413977166073E-2</v>
      </c>
    </row>
    <row r="4800" spans="19:24" x14ac:dyDescent="0.25">
      <c r="S4800" s="44">
        <f t="shared" si="451"/>
        <v>47850</v>
      </c>
      <c r="T4800" s="12">
        <f t="shared" si="446"/>
        <v>1.1533491680462022</v>
      </c>
      <c r="U4800" s="12">
        <f t="shared" si="450"/>
        <v>1.1392356296185353</v>
      </c>
      <c r="V4800" s="30">
        <f t="shared" si="447"/>
        <v>0.37262246575342467</v>
      </c>
      <c r="W4800" s="46">
        <f t="shared" si="448"/>
        <v>-1.153349168046202E-2</v>
      </c>
      <c r="X4800" s="33">
        <f t="shared" si="449"/>
        <v>2.3928372464893131E-2</v>
      </c>
    </row>
    <row r="4801" spans="19:24" x14ac:dyDescent="0.25">
      <c r="S4801" s="44">
        <f t="shared" si="451"/>
        <v>47851</v>
      </c>
      <c r="T4801" s="12">
        <f t="shared" si="446"/>
        <v>1.1506720857446608</v>
      </c>
      <c r="U4801" s="12">
        <f t="shared" si="450"/>
        <v>1.1365844528937459</v>
      </c>
      <c r="V4801" s="30">
        <f t="shared" si="447"/>
        <v>0.37259506849315072</v>
      </c>
      <c r="W4801" s="46">
        <f t="shared" si="448"/>
        <v>-1.1506720857446607E-2</v>
      </c>
      <c r="X4801" s="33">
        <f t="shared" si="449"/>
        <v>2.3928330952620189E-2</v>
      </c>
    </row>
    <row r="4802" spans="19:24" x14ac:dyDescent="0.25">
      <c r="S4802" s="44">
        <f t="shared" si="451"/>
        <v>47852</v>
      </c>
      <c r="T4802" s="12">
        <f t="shared" si="446"/>
        <v>1.1479950034431197</v>
      </c>
      <c r="U4802" s="12">
        <f t="shared" si="450"/>
        <v>1.1339332761689569</v>
      </c>
      <c r="V4802" s="30">
        <f t="shared" si="447"/>
        <v>0.37256767123287671</v>
      </c>
      <c r="W4802" s="46">
        <f t="shared" si="448"/>
        <v>-1.1479950034431195E-2</v>
      </c>
      <c r="X4802" s="33">
        <f t="shared" si="449"/>
        <v>2.3928289440347243E-2</v>
      </c>
    </row>
    <row r="4803" spans="19:24" x14ac:dyDescent="0.25">
      <c r="S4803" s="44">
        <f t="shared" si="451"/>
        <v>47853</v>
      </c>
      <c r="T4803" s="12">
        <f t="shared" si="446"/>
        <v>1.1453179211415785</v>
      </c>
      <c r="U4803" s="12">
        <f t="shared" si="450"/>
        <v>1.1312820994441672</v>
      </c>
      <c r="V4803" s="30">
        <f t="shared" si="447"/>
        <v>0.3725402739726027</v>
      </c>
      <c r="W4803" s="46">
        <f t="shared" si="448"/>
        <v>-1.1453179211415783E-2</v>
      </c>
      <c r="X4803" s="33">
        <f t="shared" si="449"/>
        <v>2.3928247928074294E-2</v>
      </c>
    </row>
    <row r="4804" spans="19:24" x14ac:dyDescent="0.25">
      <c r="S4804" s="44">
        <f t="shared" si="451"/>
        <v>47854</v>
      </c>
      <c r="T4804" s="12">
        <f t="shared" si="446"/>
        <v>1.1426408388400375</v>
      </c>
      <c r="U4804" s="12">
        <f t="shared" si="450"/>
        <v>1.1286309227193783</v>
      </c>
      <c r="V4804" s="30">
        <f t="shared" si="447"/>
        <v>0.3725128767123288</v>
      </c>
      <c r="W4804" s="46">
        <f t="shared" si="448"/>
        <v>-1.1426408388400373E-2</v>
      </c>
      <c r="X4804" s="33">
        <f t="shared" si="449"/>
        <v>2.3928206415801359E-2</v>
      </c>
    </row>
    <row r="4805" spans="19:24" x14ac:dyDescent="0.25">
      <c r="S4805" s="44">
        <f t="shared" si="451"/>
        <v>47855</v>
      </c>
      <c r="T4805" s="12">
        <f t="shared" ref="T4805:T4868" si="452">DurMod(S4805,B$2,$F$7:$G$37,$T$3)</f>
        <v>1.1399637565384961</v>
      </c>
      <c r="U4805" s="12">
        <f t="shared" si="450"/>
        <v>1.1259797459945886</v>
      </c>
      <c r="V4805" s="30">
        <f t="shared" ref="V4805:V4868" si="453">+$U$3*($S$5512-S4805)/365+$T$3*(S4805-$S$4)/365</f>
        <v>0.37248547945205479</v>
      </c>
      <c r="W4805" s="46">
        <f t="shared" ref="W4805:W4868" si="454">+-T4805*($U$3-$T$3)</f>
        <v>-1.139963756538496E-2</v>
      </c>
      <c r="X4805" s="33">
        <f t="shared" ref="X4805:X4868" si="455">+(V4805+W4805)*365/($S$5512-$S$4)</f>
        <v>2.392816490352841E-2</v>
      </c>
    </row>
    <row r="4806" spans="19:24" x14ac:dyDescent="0.25">
      <c r="S4806" s="44">
        <f t="shared" si="451"/>
        <v>47856</v>
      </c>
      <c r="T4806" s="12">
        <f t="shared" si="452"/>
        <v>1.1372866742369552</v>
      </c>
      <c r="U4806" s="12">
        <f t="shared" ref="U4806:U4869" si="456">DurMod($S4806,$B$2,$F$7:$G$37,U$3)</f>
        <v>1.1233285692697994</v>
      </c>
      <c r="V4806" s="30">
        <f t="shared" si="453"/>
        <v>0.37245808219178078</v>
      </c>
      <c r="W4806" s="46">
        <f t="shared" si="454"/>
        <v>-1.137286674236955E-2</v>
      </c>
      <c r="X4806" s="33">
        <f t="shared" si="455"/>
        <v>2.3928123391255465E-2</v>
      </c>
    </row>
    <row r="4807" spans="19:24" x14ac:dyDescent="0.25">
      <c r="S4807" s="44">
        <f t="shared" si="451"/>
        <v>47857</v>
      </c>
      <c r="T4807" s="12">
        <f t="shared" si="452"/>
        <v>1.1346095919354136</v>
      </c>
      <c r="U4807" s="12">
        <f t="shared" si="456"/>
        <v>1.12067739254501</v>
      </c>
      <c r="V4807" s="30">
        <f t="shared" si="453"/>
        <v>0.37243068493150688</v>
      </c>
      <c r="W4807" s="46">
        <f t="shared" si="454"/>
        <v>-1.1346095919354133E-2</v>
      </c>
      <c r="X4807" s="33">
        <f t="shared" si="455"/>
        <v>2.3928081878982526E-2</v>
      </c>
    </row>
    <row r="4808" spans="19:24" x14ac:dyDescent="0.25">
      <c r="S4808" s="44">
        <f t="shared" si="451"/>
        <v>47858</v>
      </c>
      <c r="T4808" s="12">
        <f t="shared" si="452"/>
        <v>1.1319325096338724</v>
      </c>
      <c r="U4808" s="12">
        <f t="shared" si="456"/>
        <v>1.118026215820221</v>
      </c>
      <c r="V4808" s="30">
        <f t="shared" si="453"/>
        <v>0.37240328767123287</v>
      </c>
      <c r="W4808" s="46">
        <f t="shared" si="454"/>
        <v>-1.1319325096338722E-2</v>
      </c>
      <c r="X4808" s="33">
        <f t="shared" si="455"/>
        <v>2.392804036670958E-2</v>
      </c>
    </row>
    <row r="4809" spans="19:24" x14ac:dyDescent="0.25">
      <c r="S4809" s="44">
        <f t="shared" si="451"/>
        <v>47859</v>
      </c>
      <c r="T4809" s="12">
        <f t="shared" si="452"/>
        <v>1.1292554273323314</v>
      </c>
      <c r="U4809" s="12">
        <f t="shared" si="456"/>
        <v>1.1153750390954316</v>
      </c>
      <c r="V4809" s="30">
        <f t="shared" si="453"/>
        <v>0.37237589041095892</v>
      </c>
      <c r="W4809" s="46">
        <f t="shared" si="454"/>
        <v>-1.1292554273323312E-2</v>
      </c>
      <c r="X4809" s="33">
        <f t="shared" si="455"/>
        <v>2.3927998854436638E-2</v>
      </c>
    </row>
    <row r="4810" spans="19:24" x14ac:dyDescent="0.25">
      <c r="S4810" s="44">
        <f t="shared" si="451"/>
        <v>47860</v>
      </c>
      <c r="T4810" s="12">
        <f t="shared" si="452"/>
        <v>1.12657834503079</v>
      </c>
      <c r="U4810" s="12">
        <f t="shared" si="456"/>
        <v>1.1127238623706424</v>
      </c>
      <c r="V4810" s="30">
        <f t="shared" si="453"/>
        <v>0.37234849315068497</v>
      </c>
      <c r="W4810" s="46">
        <f t="shared" si="454"/>
        <v>-1.1265783450307898E-2</v>
      </c>
      <c r="X4810" s="33">
        <f t="shared" si="455"/>
        <v>2.3927957342163696E-2</v>
      </c>
    </row>
    <row r="4811" spans="19:24" x14ac:dyDescent="0.25">
      <c r="S4811" s="44">
        <f t="shared" si="451"/>
        <v>47861</v>
      </c>
      <c r="T4811" s="12">
        <f t="shared" si="452"/>
        <v>1.1239012627292488</v>
      </c>
      <c r="U4811" s="12">
        <f t="shared" si="456"/>
        <v>1.1100726856458529</v>
      </c>
      <c r="V4811" s="30">
        <f t="shared" si="453"/>
        <v>0.37232109589041096</v>
      </c>
      <c r="W4811" s="46">
        <f t="shared" si="454"/>
        <v>-1.1239012627292487E-2</v>
      </c>
      <c r="X4811" s="33">
        <f t="shared" si="455"/>
        <v>2.3927915829890747E-2</v>
      </c>
    </row>
    <row r="4812" spans="19:24" x14ac:dyDescent="0.25">
      <c r="S4812" s="44">
        <f t="shared" si="451"/>
        <v>47862</v>
      </c>
      <c r="T4812" s="12">
        <f t="shared" si="452"/>
        <v>1.1212241804277074</v>
      </c>
      <c r="U4812" s="12">
        <f t="shared" si="456"/>
        <v>1.1074215089210637</v>
      </c>
      <c r="V4812" s="30">
        <f t="shared" si="453"/>
        <v>0.37229369863013695</v>
      </c>
      <c r="W4812" s="46">
        <f t="shared" si="454"/>
        <v>-1.1212241804277073E-2</v>
      </c>
      <c r="X4812" s="33">
        <f t="shared" si="455"/>
        <v>2.3927874317617802E-2</v>
      </c>
    </row>
    <row r="4813" spans="19:24" x14ac:dyDescent="0.25">
      <c r="S4813" s="44">
        <f t="shared" si="451"/>
        <v>47863</v>
      </c>
      <c r="T4813" s="12">
        <f t="shared" si="452"/>
        <v>1.1185470981261665</v>
      </c>
      <c r="U4813" s="12">
        <f t="shared" si="456"/>
        <v>1.1047703321962743</v>
      </c>
      <c r="V4813" s="30">
        <f t="shared" si="453"/>
        <v>0.37226630136986305</v>
      </c>
      <c r="W4813" s="46">
        <f t="shared" si="454"/>
        <v>-1.1185470981261663E-2</v>
      </c>
      <c r="X4813" s="33">
        <f t="shared" si="455"/>
        <v>2.3927832805344863E-2</v>
      </c>
    </row>
    <row r="4814" spans="19:24" x14ac:dyDescent="0.25">
      <c r="S4814" s="44">
        <f t="shared" si="451"/>
        <v>47864</v>
      </c>
      <c r="T4814" s="12">
        <f t="shared" si="452"/>
        <v>1.1158700158246253</v>
      </c>
      <c r="U4814" s="12">
        <f t="shared" si="456"/>
        <v>1.1021191554714851</v>
      </c>
      <c r="V4814" s="30">
        <f t="shared" si="453"/>
        <v>0.37223890410958904</v>
      </c>
      <c r="W4814" s="46">
        <f t="shared" si="454"/>
        <v>-1.1158700158246252E-2</v>
      </c>
      <c r="X4814" s="33">
        <f t="shared" si="455"/>
        <v>2.3927791293071918E-2</v>
      </c>
    </row>
    <row r="4815" spans="19:24" x14ac:dyDescent="0.25">
      <c r="S4815" s="44">
        <f t="shared" si="451"/>
        <v>47865</v>
      </c>
      <c r="T4815" s="12">
        <f t="shared" si="452"/>
        <v>1.1131929335230841</v>
      </c>
      <c r="U4815" s="12">
        <f t="shared" si="456"/>
        <v>1.0994679787466959</v>
      </c>
      <c r="V4815" s="30">
        <f t="shared" si="453"/>
        <v>0.37221150684931503</v>
      </c>
      <c r="W4815" s="46">
        <f t="shared" si="454"/>
        <v>-1.113192933523084E-2</v>
      </c>
      <c r="X4815" s="33">
        <f t="shared" si="455"/>
        <v>2.3927749780798972E-2</v>
      </c>
    </row>
    <row r="4816" spans="19:24" x14ac:dyDescent="0.25">
      <c r="S4816" s="44">
        <f t="shared" si="451"/>
        <v>47866</v>
      </c>
      <c r="T4816" s="12">
        <f t="shared" si="452"/>
        <v>1.1105158512215427</v>
      </c>
      <c r="U4816" s="12">
        <f t="shared" si="456"/>
        <v>1.0968168020219065</v>
      </c>
      <c r="V4816" s="30">
        <f t="shared" si="453"/>
        <v>0.37218410958904113</v>
      </c>
      <c r="W4816" s="46">
        <f t="shared" si="454"/>
        <v>-1.1105158512215425E-2</v>
      </c>
      <c r="X4816" s="33">
        <f t="shared" si="455"/>
        <v>2.392770826852603E-2</v>
      </c>
    </row>
    <row r="4817" spans="19:24" x14ac:dyDescent="0.25">
      <c r="S4817" s="44">
        <f t="shared" si="451"/>
        <v>47867</v>
      </c>
      <c r="T4817" s="12">
        <f t="shared" si="452"/>
        <v>1.1078387689200018</v>
      </c>
      <c r="U4817" s="12">
        <f t="shared" si="456"/>
        <v>1.094165625297117</v>
      </c>
      <c r="V4817" s="30">
        <f t="shared" si="453"/>
        <v>0.37215671232876713</v>
      </c>
      <c r="W4817" s="46">
        <f t="shared" si="454"/>
        <v>-1.1078387689200017E-2</v>
      </c>
      <c r="X4817" s="33">
        <f t="shared" si="455"/>
        <v>2.3927666756253088E-2</v>
      </c>
    </row>
    <row r="4818" spans="19:24" x14ac:dyDescent="0.25">
      <c r="S4818" s="44">
        <f t="shared" si="451"/>
        <v>47868</v>
      </c>
      <c r="T4818" s="12">
        <f t="shared" si="452"/>
        <v>1.1051616866184606</v>
      </c>
      <c r="U4818" s="12">
        <f t="shared" si="456"/>
        <v>1.0915144485723278</v>
      </c>
      <c r="V4818" s="30">
        <f t="shared" si="453"/>
        <v>0.37212931506849312</v>
      </c>
      <c r="W4818" s="46">
        <f t="shared" si="454"/>
        <v>-1.1051616866184603E-2</v>
      </c>
      <c r="X4818" s="33">
        <f t="shared" si="455"/>
        <v>2.3927625243980139E-2</v>
      </c>
    </row>
    <row r="4819" spans="19:24" x14ac:dyDescent="0.25">
      <c r="S4819" s="44">
        <f t="shared" si="451"/>
        <v>47869</v>
      </c>
      <c r="T4819" s="12">
        <f t="shared" si="452"/>
        <v>1.1024846043169196</v>
      </c>
      <c r="U4819" s="12">
        <f t="shared" si="456"/>
        <v>1.0888632718475386</v>
      </c>
      <c r="V4819" s="30">
        <f t="shared" si="453"/>
        <v>0.37210191780821916</v>
      </c>
      <c r="W4819" s="46">
        <f t="shared" si="454"/>
        <v>-1.1024846043169195E-2</v>
      </c>
      <c r="X4819" s="33">
        <f t="shared" si="455"/>
        <v>2.3927583731707197E-2</v>
      </c>
    </row>
    <row r="4820" spans="19:24" x14ac:dyDescent="0.25">
      <c r="S4820" s="44">
        <f t="shared" si="451"/>
        <v>47870</v>
      </c>
      <c r="T4820" s="12">
        <f t="shared" si="452"/>
        <v>1.099807522015378</v>
      </c>
      <c r="U4820" s="12">
        <f t="shared" si="456"/>
        <v>1.0862120951227494</v>
      </c>
      <c r="V4820" s="30">
        <f t="shared" si="453"/>
        <v>0.37207452054794521</v>
      </c>
      <c r="W4820" s="46">
        <f t="shared" si="454"/>
        <v>-1.0998075220153778E-2</v>
      </c>
      <c r="X4820" s="33">
        <f t="shared" si="455"/>
        <v>2.3927542219434255E-2</v>
      </c>
    </row>
    <row r="4821" spans="19:24" x14ac:dyDescent="0.25">
      <c r="S4821" s="44">
        <f t="shared" si="451"/>
        <v>47871</v>
      </c>
      <c r="T4821" s="12">
        <f t="shared" si="452"/>
        <v>1.0971304397138368</v>
      </c>
      <c r="U4821" s="12">
        <f t="shared" si="456"/>
        <v>1.0835609183979602</v>
      </c>
      <c r="V4821" s="30">
        <f t="shared" si="453"/>
        <v>0.37204712328767126</v>
      </c>
      <c r="W4821" s="46">
        <f t="shared" si="454"/>
        <v>-1.0971304397138367E-2</v>
      </c>
      <c r="X4821" s="33">
        <f t="shared" si="455"/>
        <v>2.392750070716131E-2</v>
      </c>
    </row>
    <row r="4822" spans="19:24" x14ac:dyDescent="0.25">
      <c r="S4822" s="44">
        <f t="shared" si="451"/>
        <v>47872</v>
      </c>
      <c r="T4822" s="12">
        <f t="shared" si="452"/>
        <v>1.0944533574122957</v>
      </c>
      <c r="U4822" s="12">
        <f t="shared" si="456"/>
        <v>1.0809097416731708</v>
      </c>
      <c r="V4822" s="30">
        <f t="shared" si="453"/>
        <v>0.3720197260273973</v>
      </c>
      <c r="W4822" s="46">
        <f t="shared" si="454"/>
        <v>-1.0944533574122955E-2</v>
      </c>
      <c r="X4822" s="33">
        <f t="shared" si="455"/>
        <v>2.3927459194888371E-2</v>
      </c>
    </row>
    <row r="4823" spans="19:24" x14ac:dyDescent="0.25">
      <c r="S4823" s="44">
        <f t="shared" si="451"/>
        <v>47873</v>
      </c>
      <c r="T4823" s="12">
        <f t="shared" si="452"/>
        <v>1.0917762751107545</v>
      </c>
      <c r="U4823" s="12">
        <f t="shared" si="456"/>
        <v>1.0782585649483818</v>
      </c>
      <c r="V4823" s="30">
        <f t="shared" si="453"/>
        <v>0.37199232876712329</v>
      </c>
      <c r="W4823" s="46">
        <f t="shared" si="454"/>
        <v>-1.0917762751107543E-2</v>
      </c>
      <c r="X4823" s="33">
        <f t="shared" si="455"/>
        <v>2.3927417682615418E-2</v>
      </c>
    </row>
    <row r="4824" spans="19:24" x14ac:dyDescent="0.25">
      <c r="S4824" s="44">
        <f t="shared" si="451"/>
        <v>47874</v>
      </c>
      <c r="T4824" s="12">
        <f t="shared" si="452"/>
        <v>1.0890991928092133</v>
      </c>
      <c r="U4824" s="12">
        <f t="shared" si="456"/>
        <v>1.0756073882235921</v>
      </c>
      <c r="V4824" s="30">
        <f t="shared" si="453"/>
        <v>0.37196493150684928</v>
      </c>
      <c r="W4824" s="46">
        <f t="shared" si="454"/>
        <v>-1.0890991928092132E-2</v>
      </c>
      <c r="X4824" s="33">
        <f t="shared" si="455"/>
        <v>2.3927376170342476E-2</v>
      </c>
    </row>
    <row r="4825" spans="19:24" x14ac:dyDescent="0.25">
      <c r="S4825" s="44">
        <f t="shared" si="451"/>
        <v>47875</v>
      </c>
      <c r="T4825" s="12">
        <f t="shared" si="452"/>
        <v>1.0864221105076723</v>
      </c>
      <c r="U4825" s="12">
        <f t="shared" si="456"/>
        <v>1.0729562114988029</v>
      </c>
      <c r="V4825" s="30">
        <f t="shared" si="453"/>
        <v>0.37193753424657539</v>
      </c>
      <c r="W4825" s="46">
        <f t="shared" si="454"/>
        <v>-1.0864221105076722E-2</v>
      </c>
      <c r="X4825" s="33">
        <f t="shared" si="455"/>
        <v>2.3927334658069534E-2</v>
      </c>
    </row>
    <row r="4826" spans="19:24" x14ac:dyDescent="0.25">
      <c r="S4826" s="44">
        <f t="shared" si="451"/>
        <v>47876</v>
      </c>
      <c r="T4826" s="12">
        <f t="shared" si="452"/>
        <v>1.0837450282061309</v>
      </c>
      <c r="U4826" s="12">
        <f t="shared" si="456"/>
        <v>1.0703050347740137</v>
      </c>
      <c r="V4826" s="30">
        <f t="shared" si="453"/>
        <v>0.37191013698630138</v>
      </c>
      <c r="W4826" s="46">
        <f t="shared" si="454"/>
        <v>-1.0837450282061309E-2</v>
      </c>
      <c r="X4826" s="33">
        <f t="shared" si="455"/>
        <v>2.3927293145796592E-2</v>
      </c>
    </row>
    <row r="4827" spans="19:24" x14ac:dyDescent="0.25">
      <c r="S4827" s="44">
        <f t="shared" si="451"/>
        <v>47877</v>
      </c>
      <c r="T4827" s="12">
        <f t="shared" si="452"/>
        <v>1.0810679459045898</v>
      </c>
      <c r="U4827" s="12">
        <f t="shared" si="456"/>
        <v>1.0676538580492243</v>
      </c>
      <c r="V4827" s="30">
        <f t="shared" si="453"/>
        <v>0.37188273972602737</v>
      </c>
      <c r="W4827" s="46">
        <f t="shared" si="454"/>
        <v>-1.0810679459045895E-2</v>
      </c>
      <c r="X4827" s="33">
        <f t="shared" si="455"/>
        <v>2.3927251633523647E-2</v>
      </c>
    </row>
    <row r="4828" spans="19:24" x14ac:dyDescent="0.25">
      <c r="S4828" s="44">
        <f t="shared" si="451"/>
        <v>47878</v>
      </c>
      <c r="T4828" s="12">
        <f t="shared" si="452"/>
        <v>1.0783908636030486</v>
      </c>
      <c r="U4828" s="12">
        <f t="shared" si="456"/>
        <v>1.0650026813244351</v>
      </c>
      <c r="V4828" s="30">
        <f t="shared" si="453"/>
        <v>0.37185534246575347</v>
      </c>
      <c r="W4828" s="46">
        <f t="shared" si="454"/>
        <v>-1.0783908636030484E-2</v>
      </c>
      <c r="X4828" s="33">
        <f t="shared" si="455"/>
        <v>2.3927210121250708E-2</v>
      </c>
    </row>
    <row r="4829" spans="19:24" x14ac:dyDescent="0.25">
      <c r="S4829" s="44">
        <f t="shared" si="451"/>
        <v>47879</v>
      </c>
      <c r="T4829" s="12">
        <f t="shared" si="452"/>
        <v>1.0757137813015074</v>
      </c>
      <c r="U4829" s="12">
        <f t="shared" si="456"/>
        <v>1.0623515045996454</v>
      </c>
      <c r="V4829" s="30">
        <f t="shared" si="453"/>
        <v>0.37182794520547946</v>
      </c>
      <c r="W4829" s="46">
        <f t="shared" si="454"/>
        <v>-1.0757137813015072E-2</v>
      </c>
      <c r="X4829" s="33">
        <f t="shared" si="455"/>
        <v>2.3927168608977763E-2</v>
      </c>
    </row>
    <row r="4830" spans="19:24" x14ac:dyDescent="0.25">
      <c r="S4830" s="44">
        <f t="shared" si="451"/>
        <v>47880</v>
      </c>
      <c r="T4830" s="12">
        <f t="shared" si="452"/>
        <v>1.0730366989999665</v>
      </c>
      <c r="U4830" s="12">
        <f t="shared" si="456"/>
        <v>1.0597003278748562</v>
      </c>
      <c r="V4830" s="30">
        <f t="shared" si="453"/>
        <v>0.37180054794520545</v>
      </c>
      <c r="W4830" s="46">
        <f t="shared" si="454"/>
        <v>-1.0730366989999664E-2</v>
      </c>
      <c r="X4830" s="33">
        <f t="shared" si="455"/>
        <v>2.392712709670481E-2</v>
      </c>
    </row>
    <row r="4831" spans="19:24" x14ac:dyDescent="0.25">
      <c r="S4831" s="44">
        <f t="shared" si="451"/>
        <v>47881</v>
      </c>
      <c r="T4831" s="12">
        <f t="shared" si="452"/>
        <v>1.0703596166984248</v>
      </c>
      <c r="U4831" s="12">
        <f t="shared" si="456"/>
        <v>1.057049151150067</v>
      </c>
      <c r="V4831" s="30">
        <f t="shared" si="453"/>
        <v>0.3717731506849315</v>
      </c>
      <c r="W4831" s="46">
        <f t="shared" si="454"/>
        <v>-1.0703596166984247E-2</v>
      </c>
      <c r="X4831" s="33">
        <f t="shared" si="455"/>
        <v>2.3927085584431872E-2</v>
      </c>
    </row>
    <row r="4832" spans="19:24" x14ac:dyDescent="0.25">
      <c r="S4832" s="44">
        <f t="shared" si="451"/>
        <v>47882</v>
      </c>
      <c r="T4832" s="12">
        <f t="shared" si="452"/>
        <v>1.0676825343968839</v>
      </c>
      <c r="U4832" s="12">
        <f t="shared" si="456"/>
        <v>1.0543979744252778</v>
      </c>
      <c r="V4832" s="30">
        <f t="shared" si="453"/>
        <v>0.37174575342465749</v>
      </c>
      <c r="W4832" s="46">
        <f t="shared" si="454"/>
        <v>-1.0676825343968837E-2</v>
      </c>
      <c r="X4832" s="33">
        <f t="shared" si="455"/>
        <v>2.3927044072158926E-2</v>
      </c>
    </row>
    <row r="4833" spans="19:24" x14ac:dyDescent="0.25">
      <c r="S4833" s="44">
        <f t="shared" si="451"/>
        <v>47883</v>
      </c>
      <c r="T4833" s="12">
        <f t="shared" si="452"/>
        <v>1.0650054520953425</v>
      </c>
      <c r="U4833" s="12">
        <f t="shared" si="456"/>
        <v>1.0517467977004882</v>
      </c>
      <c r="V4833" s="30">
        <f t="shared" si="453"/>
        <v>0.37171835616438359</v>
      </c>
      <c r="W4833" s="46">
        <f t="shared" si="454"/>
        <v>-1.0650054520953424E-2</v>
      </c>
      <c r="X4833" s="33">
        <f t="shared" si="455"/>
        <v>2.3927002559885988E-2</v>
      </c>
    </row>
    <row r="4834" spans="19:24" x14ac:dyDescent="0.25">
      <c r="S4834" s="44">
        <f t="shared" si="451"/>
        <v>47884</v>
      </c>
      <c r="T4834" s="12">
        <f t="shared" si="452"/>
        <v>1.0623283697938015</v>
      </c>
      <c r="U4834" s="12">
        <f t="shared" si="456"/>
        <v>1.0490956209756992</v>
      </c>
      <c r="V4834" s="30">
        <f t="shared" si="453"/>
        <v>0.37169095890410964</v>
      </c>
      <c r="W4834" s="46">
        <f t="shared" si="454"/>
        <v>-1.0623283697938014E-2</v>
      </c>
      <c r="X4834" s="33">
        <f t="shared" si="455"/>
        <v>2.3926961047613042E-2</v>
      </c>
    </row>
    <row r="4835" spans="19:24" x14ac:dyDescent="0.25">
      <c r="S4835" s="44">
        <f t="shared" si="451"/>
        <v>47885</v>
      </c>
      <c r="T4835" s="12">
        <f t="shared" si="452"/>
        <v>1.0596512874922603</v>
      </c>
      <c r="U4835" s="12">
        <f t="shared" si="456"/>
        <v>1.0464444442509098</v>
      </c>
      <c r="V4835" s="30">
        <f t="shared" si="453"/>
        <v>0.37166356164383563</v>
      </c>
      <c r="W4835" s="46">
        <f t="shared" si="454"/>
        <v>-1.0596512874922602E-2</v>
      </c>
      <c r="X4835" s="33">
        <f t="shared" si="455"/>
        <v>2.39269195353401E-2</v>
      </c>
    </row>
    <row r="4836" spans="19:24" x14ac:dyDescent="0.25">
      <c r="S4836" s="44">
        <f t="shared" si="451"/>
        <v>47886</v>
      </c>
      <c r="T4836" s="12">
        <f t="shared" si="452"/>
        <v>1.0569742051907192</v>
      </c>
      <c r="U4836" s="12">
        <f t="shared" si="456"/>
        <v>1.0437932675261206</v>
      </c>
      <c r="V4836" s="30">
        <f t="shared" si="453"/>
        <v>0.37163616438356167</v>
      </c>
      <c r="W4836" s="46">
        <f t="shared" si="454"/>
        <v>-1.056974205190719E-2</v>
      </c>
      <c r="X4836" s="33">
        <f t="shared" si="455"/>
        <v>2.3926878023067154E-2</v>
      </c>
    </row>
    <row r="4837" spans="19:24" x14ac:dyDescent="0.25">
      <c r="S4837" s="44">
        <f t="shared" si="451"/>
        <v>47887</v>
      </c>
      <c r="T4837" s="12">
        <f t="shared" si="452"/>
        <v>1.0542971228891778</v>
      </c>
      <c r="U4837" s="12">
        <f t="shared" si="456"/>
        <v>1.0411420908013316</v>
      </c>
      <c r="V4837" s="30">
        <f t="shared" si="453"/>
        <v>0.37160876712328772</v>
      </c>
      <c r="W4837" s="46">
        <f t="shared" si="454"/>
        <v>-1.0542971228891775E-2</v>
      </c>
      <c r="X4837" s="33">
        <f t="shared" si="455"/>
        <v>2.3926836510794216E-2</v>
      </c>
    </row>
    <row r="4838" spans="19:24" x14ac:dyDescent="0.25">
      <c r="S4838" s="44">
        <f t="shared" si="451"/>
        <v>47888</v>
      </c>
      <c r="T4838" s="12">
        <f t="shared" si="452"/>
        <v>1.0516200405876368</v>
      </c>
      <c r="U4838" s="12">
        <f t="shared" si="456"/>
        <v>1.0384909140765419</v>
      </c>
      <c r="V4838" s="30">
        <f t="shared" si="453"/>
        <v>0.37158136986301371</v>
      </c>
      <c r="W4838" s="46">
        <f t="shared" si="454"/>
        <v>-1.0516200405876367E-2</v>
      </c>
      <c r="X4838" s="33">
        <f t="shared" si="455"/>
        <v>2.3926794998521263E-2</v>
      </c>
    </row>
    <row r="4839" spans="19:24" x14ac:dyDescent="0.25">
      <c r="S4839" s="44">
        <f t="shared" si="451"/>
        <v>47889</v>
      </c>
      <c r="T4839" s="12">
        <f t="shared" si="452"/>
        <v>1.0489429582860954</v>
      </c>
      <c r="U4839" s="12">
        <f t="shared" si="456"/>
        <v>1.0358397373517527</v>
      </c>
      <c r="V4839" s="30">
        <f t="shared" si="453"/>
        <v>0.37155397260273976</v>
      </c>
      <c r="W4839" s="46">
        <f t="shared" si="454"/>
        <v>-1.0489429582860952E-2</v>
      </c>
      <c r="X4839" s="33">
        <f t="shared" si="455"/>
        <v>2.3926753486248321E-2</v>
      </c>
    </row>
    <row r="4840" spans="19:24" x14ac:dyDescent="0.25">
      <c r="S4840" s="44">
        <f t="shared" si="451"/>
        <v>47890</v>
      </c>
      <c r="T4840" s="12">
        <f t="shared" si="452"/>
        <v>1.0462658759845542</v>
      </c>
      <c r="U4840" s="12">
        <f t="shared" si="456"/>
        <v>1.0331885606269633</v>
      </c>
      <c r="V4840" s="30">
        <f t="shared" si="453"/>
        <v>0.37152657534246575</v>
      </c>
      <c r="W4840" s="46">
        <f t="shared" si="454"/>
        <v>-1.046265875984554E-2</v>
      </c>
      <c r="X4840" s="33">
        <f t="shared" si="455"/>
        <v>2.3926711973975376E-2</v>
      </c>
    </row>
    <row r="4841" spans="19:24" x14ac:dyDescent="0.25">
      <c r="S4841" s="44">
        <f t="shared" si="451"/>
        <v>47891</v>
      </c>
      <c r="T4841" s="12">
        <f t="shared" si="452"/>
        <v>1.043588793683013</v>
      </c>
      <c r="U4841" s="12">
        <f t="shared" si="456"/>
        <v>1.0305373839021739</v>
      </c>
      <c r="V4841" s="30">
        <f t="shared" si="453"/>
        <v>0.37149917808219179</v>
      </c>
      <c r="W4841" s="46">
        <f t="shared" si="454"/>
        <v>-1.0435887936830129E-2</v>
      </c>
      <c r="X4841" s="33">
        <f t="shared" si="455"/>
        <v>2.3926670461702434E-2</v>
      </c>
    </row>
    <row r="4842" spans="19:24" x14ac:dyDescent="0.25">
      <c r="S4842" s="44">
        <f t="shared" si="451"/>
        <v>47892</v>
      </c>
      <c r="T4842" s="12">
        <f t="shared" si="452"/>
        <v>1.0409117113814719</v>
      </c>
      <c r="U4842" s="12">
        <f t="shared" si="456"/>
        <v>1.0278862071773849</v>
      </c>
      <c r="V4842" s="30">
        <f t="shared" si="453"/>
        <v>0.37147178082191784</v>
      </c>
      <c r="W4842" s="46">
        <f t="shared" si="454"/>
        <v>-1.0409117113814717E-2</v>
      </c>
      <c r="X4842" s="33">
        <f t="shared" si="455"/>
        <v>2.3926628949429492E-2</v>
      </c>
    </row>
    <row r="4843" spans="19:24" x14ac:dyDescent="0.25">
      <c r="S4843" s="44">
        <f t="shared" si="451"/>
        <v>47893</v>
      </c>
      <c r="T4843" s="12">
        <f t="shared" si="452"/>
        <v>1.0382346290799305</v>
      </c>
      <c r="U4843" s="12">
        <f t="shared" si="456"/>
        <v>1.0252350304525955</v>
      </c>
      <c r="V4843" s="30">
        <f t="shared" si="453"/>
        <v>0.37144438356164383</v>
      </c>
      <c r="W4843" s="46">
        <f t="shared" si="454"/>
        <v>-1.0382346290799304E-2</v>
      </c>
      <c r="X4843" s="33">
        <f t="shared" si="455"/>
        <v>2.3926587437156543E-2</v>
      </c>
    </row>
    <row r="4844" spans="19:24" x14ac:dyDescent="0.25">
      <c r="S4844" s="44">
        <f t="shared" si="451"/>
        <v>47894</v>
      </c>
      <c r="T4844" s="12">
        <f t="shared" si="452"/>
        <v>1.0355575467783895</v>
      </c>
      <c r="U4844" s="12">
        <f t="shared" si="456"/>
        <v>1.0225838537278062</v>
      </c>
      <c r="V4844" s="30">
        <f t="shared" si="453"/>
        <v>0.37141698630136982</v>
      </c>
      <c r="W4844" s="46">
        <f t="shared" si="454"/>
        <v>-1.0355575467783894E-2</v>
      </c>
      <c r="X4844" s="33">
        <f t="shared" si="455"/>
        <v>2.3926545924883601E-2</v>
      </c>
    </row>
    <row r="4845" spans="19:24" x14ac:dyDescent="0.25">
      <c r="S4845" s="44">
        <f t="shared" si="451"/>
        <v>47895</v>
      </c>
      <c r="T4845" s="12">
        <f t="shared" si="452"/>
        <v>1.0328804644768481</v>
      </c>
      <c r="U4845" s="12">
        <f t="shared" si="456"/>
        <v>1.0199326770030168</v>
      </c>
      <c r="V4845" s="30">
        <f t="shared" si="453"/>
        <v>0.37138958904109587</v>
      </c>
      <c r="W4845" s="46">
        <f t="shared" si="454"/>
        <v>-1.032880464476848E-2</v>
      </c>
      <c r="X4845" s="33">
        <f t="shared" si="455"/>
        <v>2.3926504412610655E-2</v>
      </c>
    </row>
    <row r="4846" spans="19:24" x14ac:dyDescent="0.25">
      <c r="S4846" s="44">
        <f t="shared" si="451"/>
        <v>47896</v>
      </c>
      <c r="T4846" s="12">
        <f t="shared" si="452"/>
        <v>1.0302033821753069</v>
      </c>
      <c r="U4846" s="12">
        <f t="shared" si="456"/>
        <v>1.0172815002782278</v>
      </c>
      <c r="V4846" s="30">
        <f t="shared" si="453"/>
        <v>0.37136219178082197</v>
      </c>
      <c r="W4846" s="46">
        <f t="shared" si="454"/>
        <v>-1.0302033821753067E-2</v>
      </c>
      <c r="X4846" s="33">
        <f t="shared" si="455"/>
        <v>2.3926462900337717E-2</v>
      </c>
    </row>
    <row r="4847" spans="19:24" x14ac:dyDescent="0.25">
      <c r="S4847" s="44">
        <f t="shared" si="451"/>
        <v>47897</v>
      </c>
      <c r="T4847" s="12">
        <f t="shared" si="452"/>
        <v>1.027526299873766</v>
      </c>
      <c r="U4847" s="12">
        <f t="shared" si="456"/>
        <v>1.0146303235534382</v>
      </c>
      <c r="V4847" s="30">
        <f t="shared" si="453"/>
        <v>0.37133479452054796</v>
      </c>
      <c r="W4847" s="46">
        <f t="shared" si="454"/>
        <v>-1.0275262998737659E-2</v>
      </c>
      <c r="X4847" s="33">
        <f t="shared" si="455"/>
        <v>2.3926421388064771E-2</v>
      </c>
    </row>
    <row r="4848" spans="19:24" x14ac:dyDescent="0.25">
      <c r="S4848" s="44">
        <f t="shared" si="451"/>
        <v>47898</v>
      </c>
      <c r="T4848" s="12">
        <f t="shared" si="452"/>
        <v>1.0248492175722244</v>
      </c>
      <c r="U4848" s="12">
        <f t="shared" si="456"/>
        <v>1.011979146828649</v>
      </c>
      <c r="V4848" s="30">
        <f t="shared" si="453"/>
        <v>0.37130739726027401</v>
      </c>
      <c r="W4848" s="46">
        <f t="shared" si="454"/>
        <v>-1.0248492175722242E-2</v>
      </c>
      <c r="X4848" s="33">
        <f t="shared" si="455"/>
        <v>2.3926379875791829E-2</v>
      </c>
    </row>
    <row r="4849" spans="19:24" x14ac:dyDescent="0.25">
      <c r="S4849" s="44">
        <f t="shared" si="451"/>
        <v>47899</v>
      </c>
      <c r="T4849" s="12">
        <f t="shared" si="452"/>
        <v>1.0221721352706836</v>
      </c>
      <c r="U4849" s="12">
        <f t="shared" si="456"/>
        <v>1.0093279701038598</v>
      </c>
      <c r="V4849" s="30">
        <f t="shared" si="453"/>
        <v>0.37128</v>
      </c>
      <c r="W4849" s="46">
        <f t="shared" si="454"/>
        <v>-1.0221721352706836E-2</v>
      </c>
      <c r="X4849" s="33">
        <f t="shared" si="455"/>
        <v>2.392633836351888E-2</v>
      </c>
    </row>
    <row r="4850" spans="19:24" x14ac:dyDescent="0.25">
      <c r="S4850" s="44">
        <f t="shared" si="451"/>
        <v>47900</v>
      </c>
      <c r="T4850" s="12">
        <f t="shared" si="452"/>
        <v>1.0194950529691422</v>
      </c>
      <c r="U4850" s="12">
        <f t="shared" si="456"/>
        <v>1.0066767933790703</v>
      </c>
      <c r="V4850" s="30">
        <f t="shared" si="453"/>
        <v>0.37125260273972605</v>
      </c>
      <c r="W4850" s="46">
        <f t="shared" si="454"/>
        <v>-1.019495052969142E-2</v>
      </c>
      <c r="X4850" s="33">
        <f t="shared" si="455"/>
        <v>2.3926296851245938E-2</v>
      </c>
    </row>
    <row r="4851" spans="19:24" x14ac:dyDescent="0.25">
      <c r="S4851" s="44">
        <f t="shared" ref="S4851:S4914" si="457">+S4850+1</f>
        <v>47901</v>
      </c>
      <c r="T4851" s="12">
        <f t="shared" si="452"/>
        <v>1.0168179706676008</v>
      </c>
      <c r="U4851" s="12">
        <f t="shared" si="456"/>
        <v>1.0040256166542811</v>
      </c>
      <c r="V4851" s="30">
        <f t="shared" si="453"/>
        <v>0.37122520547945209</v>
      </c>
      <c r="W4851" s="46">
        <f t="shared" si="454"/>
        <v>-1.0168179706676007E-2</v>
      </c>
      <c r="X4851" s="33">
        <f t="shared" si="455"/>
        <v>2.3926255338972996E-2</v>
      </c>
    </row>
    <row r="4852" spans="19:24" x14ac:dyDescent="0.25">
      <c r="S4852" s="44">
        <f t="shared" si="457"/>
        <v>47902</v>
      </c>
      <c r="T4852" s="12">
        <f t="shared" si="452"/>
        <v>1.0141408883660599</v>
      </c>
      <c r="U4852" s="12">
        <f t="shared" si="456"/>
        <v>1.0013744399294917</v>
      </c>
      <c r="V4852" s="30">
        <f t="shared" si="453"/>
        <v>0.37119780821917808</v>
      </c>
      <c r="W4852" s="46">
        <f t="shared" si="454"/>
        <v>-1.0141408883660597E-2</v>
      </c>
      <c r="X4852" s="33">
        <f t="shared" si="455"/>
        <v>2.392621382670005E-2</v>
      </c>
    </row>
    <row r="4853" spans="19:24" x14ac:dyDescent="0.25">
      <c r="S4853" s="44">
        <f t="shared" si="457"/>
        <v>47903</v>
      </c>
      <c r="T4853" s="12">
        <f t="shared" si="452"/>
        <v>1.0114638060645187</v>
      </c>
      <c r="U4853" s="12">
        <f t="shared" si="456"/>
        <v>0.9987232632047025</v>
      </c>
      <c r="V4853" s="30">
        <f t="shared" si="453"/>
        <v>0.37117041095890407</v>
      </c>
      <c r="W4853" s="46">
        <f t="shared" si="454"/>
        <v>-1.0114638060645186E-2</v>
      </c>
      <c r="X4853" s="33">
        <f t="shared" si="455"/>
        <v>2.3926172314427108E-2</v>
      </c>
    </row>
    <row r="4854" spans="19:24" x14ac:dyDescent="0.25">
      <c r="S4854" s="44">
        <f t="shared" si="457"/>
        <v>47904</v>
      </c>
      <c r="T4854" s="12">
        <f t="shared" si="452"/>
        <v>1.0087867237629777</v>
      </c>
      <c r="U4854" s="12">
        <f t="shared" si="456"/>
        <v>0.99607208647991319</v>
      </c>
      <c r="V4854" s="30">
        <f t="shared" si="453"/>
        <v>0.37114301369863018</v>
      </c>
      <c r="W4854" s="46">
        <f t="shared" si="454"/>
        <v>-1.0087867237629776E-2</v>
      </c>
      <c r="X4854" s="33">
        <f t="shared" si="455"/>
        <v>2.3926130802154166E-2</v>
      </c>
    </row>
    <row r="4855" spans="19:24" x14ac:dyDescent="0.25">
      <c r="S4855" s="44">
        <f t="shared" si="457"/>
        <v>47905</v>
      </c>
      <c r="T4855" s="12">
        <f t="shared" si="452"/>
        <v>1.0061096414614363</v>
      </c>
      <c r="U4855" s="12">
        <f t="shared" si="456"/>
        <v>0.99342090975512387</v>
      </c>
      <c r="V4855" s="30">
        <f t="shared" si="453"/>
        <v>0.37111561643835617</v>
      </c>
      <c r="W4855" s="46">
        <f t="shared" si="454"/>
        <v>-1.0061096414614362E-2</v>
      </c>
      <c r="X4855" s="33">
        <f t="shared" si="455"/>
        <v>2.3926089289881221E-2</v>
      </c>
    </row>
    <row r="4856" spans="19:24" x14ac:dyDescent="0.25">
      <c r="S4856" s="44">
        <f t="shared" si="457"/>
        <v>47906</v>
      </c>
      <c r="T4856" s="12">
        <f t="shared" si="452"/>
        <v>1.0034325591598949</v>
      </c>
      <c r="U4856" s="12">
        <f t="shared" si="456"/>
        <v>0.99076973303033444</v>
      </c>
      <c r="V4856" s="30">
        <f t="shared" si="453"/>
        <v>0.37108821917808216</v>
      </c>
      <c r="W4856" s="46">
        <f t="shared" si="454"/>
        <v>-1.0034325591598947E-2</v>
      </c>
      <c r="X4856" s="33">
        <f t="shared" si="455"/>
        <v>2.3926047777608272E-2</v>
      </c>
    </row>
    <row r="4857" spans="19:24" x14ac:dyDescent="0.25">
      <c r="S4857" s="44">
        <f t="shared" si="457"/>
        <v>47907</v>
      </c>
      <c r="T4857" s="12">
        <f t="shared" si="452"/>
        <v>1.000755476858354</v>
      </c>
      <c r="U4857" s="12">
        <f t="shared" si="456"/>
        <v>0.98811855630554524</v>
      </c>
      <c r="V4857" s="30">
        <f t="shared" si="453"/>
        <v>0.3710608219178082</v>
      </c>
      <c r="W4857" s="46">
        <f t="shared" si="454"/>
        <v>-1.0007554768583539E-2</v>
      </c>
      <c r="X4857" s="33">
        <f t="shared" si="455"/>
        <v>2.392600626533533E-2</v>
      </c>
    </row>
    <row r="4858" spans="19:24" x14ac:dyDescent="0.25">
      <c r="S4858" s="44">
        <f t="shared" si="457"/>
        <v>47908</v>
      </c>
      <c r="T4858" s="12">
        <f t="shared" si="452"/>
        <v>0.99807839455681269</v>
      </c>
      <c r="U4858" s="12">
        <f t="shared" si="456"/>
        <v>0.98546737958075592</v>
      </c>
      <c r="V4858" s="30">
        <f t="shared" si="453"/>
        <v>0.37103342465753431</v>
      </c>
      <c r="W4858" s="46">
        <f t="shared" si="454"/>
        <v>-9.9807839455681256E-3</v>
      </c>
      <c r="X4858" s="33">
        <f t="shared" si="455"/>
        <v>2.3925964753062395E-2</v>
      </c>
    </row>
    <row r="4859" spans="19:24" x14ac:dyDescent="0.25">
      <c r="S4859" s="44">
        <f t="shared" si="457"/>
        <v>47909</v>
      </c>
      <c r="T4859" s="12">
        <f t="shared" si="452"/>
        <v>0.99540131225527151</v>
      </c>
      <c r="U4859" s="12">
        <f t="shared" si="456"/>
        <v>0.98281620285596671</v>
      </c>
      <c r="V4859" s="30">
        <f t="shared" si="453"/>
        <v>0.3710060273972603</v>
      </c>
      <c r="W4859" s="46">
        <f t="shared" si="454"/>
        <v>-9.9540131225527139E-3</v>
      </c>
      <c r="X4859" s="33">
        <f t="shared" si="455"/>
        <v>2.3925923240789446E-2</v>
      </c>
    </row>
    <row r="4860" spans="19:24" x14ac:dyDescent="0.25">
      <c r="S4860" s="44">
        <f t="shared" si="457"/>
        <v>47910</v>
      </c>
      <c r="T4860" s="12">
        <f t="shared" si="452"/>
        <v>0.99272422995373033</v>
      </c>
      <c r="U4860" s="12">
        <f t="shared" si="456"/>
        <v>0.98016502613117751</v>
      </c>
      <c r="V4860" s="30">
        <f t="shared" si="453"/>
        <v>0.37097863013698634</v>
      </c>
      <c r="W4860" s="46">
        <f t="shared" si="454"/>
        <v>-9.9272422995373023E-3</v>
      </c>
      <c r="X4860" s="33">
        <f t="shared" si="455"/>
        <v>2.3925881728516504E-2</v>
      </c>
    </row>
    <row r="4861" spans="19:24" x14ac:dyDescent="0.25">
      <c r="S4861" s="44">
        <f t="shared" si="457"/>
        <v>47911</v>
      </c>
      <c r="T4861" s="12">
        <f t="shared" si="452"/>
        <v>0.99004714765218882</v>
      </c>
      <c r="U4861" s="12">
        <f t="shared" si="456"/>
        <v>0.97751384940638808</v>
      </c>
      <c r="V4861" s="30">
        <f t="shared" si="453"/>
        <v>0.37095123287671233</v>
      </c>
      <c r="W4861" s="46">
        <f t="shared" si="454"/>
        <v>-9.9004714765218872E-3</v>
      </c>
      <c r="X4861" s="33">
        <f t="shared" si="455"/>
        <v>2.3925840216243558E-2</v>
      </c>
    </row>
    <row r="4862" spans="19:24" x14ac:dyDescent="0.25">
      <c r="S4862" s="44">
        <f t="shared" si="457"/>
        <v>47912</v>
      </c>
      <c r="T4862" s="12">
        <f t="shared" si="452"/>
        <v>0.98737006535064786</v>
      </c>
      <c r="U4862" s="12">
        <f t="shared" si="456"/>
        <v>0.97486267268159865</v>
      </c>
      <c r="V4862" s="30">
        <f t="shared" si="453"/>
        <v>0.37092383561643838</v>
      </c>
      <c r="W4862" s="46">
        <f t="shared" si="454"/>
        <v>-9.8737006535064772E-3</v>
      </c>
      <c r="X4862" s="33">
        <f t="shared" si="455"/>
        <v>2.3925798703970616E-2</v>
      </c>
    </row>
    <row r="4863" spans="19:24" x14ac:dyDescent="0.25">
      <c r="S4863" s="44">
        <f t="shared" si="457"/>
        <v>47913</v>
      </c>
      <c r="T4863" s="12">
        <f t="shared" si="452"/>
        <v>0.98469298304910668</v>
      </c>
      <c r="U4863" s="12">
        <f t="shared" si="456"/>
        <v>0.97221149595680967</v>
      </c>
      <c r="V4863" s="30">
        <f t="shared" si="453"/>
        <v>0.37089643835616443</v>
      </c>
      <c r="W4863" s="46">
        <f t="shared" si="454"/>
        <v>-9.8469298304910656E-3</v>
      </c>
      <c r="X4863" s="33">
        <f t="shared" si="455"/>
        <v>2.3925757191697674E-2</v>
      </c>
    </row>
    <row r="4864" spans="19:24" x14ac:dyDescent="0.25">
      <c r="S4864" s="44">
        <f t="shared" si="457"/>
        <v>47914</v>
      </c>
      <c r="T4864" s="12">
        <f t="shared" si="452"/>
        <v>0.98201590074756562</v>
      </c>
      <c r="U4864" s="12">
        <f t="shared" si="456"/>
        <v>0.96956031923202024</v>
      </c>
      <c r="V4864" s="30">
        <f t="shared" si="453"/>
        <v>0.37086904109589042</v>
      </c>
      <c r="W4864" s="46">
        <f t="shared" si="454"/>
        <v>-9.820159007475654E-3</v>
      </c>
      <c r="X4864" s="33">
        <f t="shared" si="455"/>
        <v>2.3925715679424725E-2</v>
      </c>
    </row>
    <row r="4865" spans="19:24" x14ac:dyDescent="0.25">
      <c r="S4865" s="44">
        <f t="shared" si="457"/>
        <v>47915</v>
      </c>
      <c r="T4865" s="12">
        <f t="shared" si="452"/>
        <v>0.97933881844602444</v>
      </c>
      <c r="U4865" s="12">
        <f t="shared" si="456"/>
        <v>0.96690914250723103</v>
      </c>
      <c r="V4865" s="30">
        <f t="shared" si="453"/>
        <v>0.37084164383561641</v>
      </c>
      <c r="W4865" s="46">
        <f t="shared" si="454"/>
        <v>-9.7933881844602423E-3</v>
      </c>
      <c r="X4865" s="33">
        <f t="shared" si="455"/>
        <v>2.3925674167151779E-2</v>
      </c>
    </row>
    <row r="4866" spans="19:24" x14ac:dyDescent="0.25">
      <c r="S4866" s="44">
        <f t="shared" si="457"/>
        <v>47916</v>
      </c>
      <c r="T4866" s="12">
        <f t="shared" si="452"/>
        <v>0.97666173614448315</v>
      </c>
      <c r="U4866" s="12">
        <f t="shared" si="456"/>
        <v>0.96425796578244172</v>
      </c>
      <c r="V4866" s="30">
        <f t="shared" si="453"/>
        <v>0.37081424657534245</v>
      </c>
      <c r="W4866" s="46">
        <f t="shared" si="454"/>
        <v>-9.7666173614448307E-3</v>
      </c>
      <c r="X4866" s="33">
        <f t="shared" si="455"/>
        <v>2.3925632654878837E-2</v>
      </c>
    </row>
    <row r="4867" spans="19:24" x14ac:dyDescent="0.25">
      <c r="S4867" s="44">
        <f t="shared" si="457"/>
        <v>47917</v>
      </c>
      <c r="T4867" s="12">
        <f t="shared" si="452"/>
        <v>0.97398465384294208</v>
      </c>
      <c r="U4867" s="12">
        <f t="shared" si="456"/>
        <v>0.9616067890576524</v>
      </c>
      <c r="V4867" s="30">
        <f t="shared" si="453"/>
        <v>0.3707868493150685</v>
      </c>
      <c r="W4867" s="46">
        <f t="shared" si="454"/>
        <v>-9.739846538429419E-3</v>
      </c>
      <c r="X4867" s="33">
        <f t="shared" si="455"/>
        <v>2.3925591142605895E-2</v>
      </c>
    </row>
    <row r="4868" spans="19:24" x14ac:dyDescent="0.25">
      <c r="S4868" s="44">
        <f t="shared" si="457"/>
        <v>47918</v>
      </c>
      <c r="T4868" s="12">
        <f t="shared" si="452"/>
        <v>0.9713075715414009</v>
      </c>
      <c r="U4868" s="12">
        <f t="shared" si="456"/>
        <v>0.95895561233286308</v>
      </c>
      <c r="V4868" s="30">
        <f t="shared" si="453"/>
        <v>0.37075945205479449</v>
      </c>
      <c r="W4868" s="46">
        <f t="shared" si="454"/>
        <v>-9.7130757154140074E-3</v>
      </c>
      <c r="X4868" s="33">
        <f t="shared" si="455"/>
        <v>2.3925549630332946E-2</v>
      </c>
    </row>
    <row r="4869" spans="19:24" x14ac:dyDescent="0.25">
      <c r="S4869" s="44">
        <f t="shared" si="457"/>
        <v>47919</v>
      </c>
      <c r="T4869" s="12">
        <f t="shared" ref="T4869:T4932" si="458">DurMod(S4869,B$2,$F$7:$G$37,$T$3)</f>
        <v>0.96863048923985939</v>
      </c>
      <c r="U4869" s="12">
        <f t="shared" si="456"/>
        <v>0.95630443560807377</v>
      </c>
      <c r="V4869" s="30">
        <f t="shared" ref="V4869:V4932" si="459">+$U$3*($S$5512-S4869)/365+$T$3*(S4869-$S$4)/365</f>
        <v>0.37073205479452054</v>
      </c>
      <c r="W4869" s="46">
        <f t="shared" ref="W4869:W4932" si="460">+-T4869*($U$3-$T$3)</f>
        <v>-9.6863048923985923E-3</v>
      </c>
      <c r="X4869" s="33">
        <f t="shared" ref="X4869:X4932" si="461">+(V4869+W4869)*365/($S$5512-$S$4)</f>
        <v>2.3925508118060004E-2</v>
      </c>
    </row>
    <row r="4870" spans="19:24" x14ac:dyDescent="0.25">
      <c r="S4870" s="44">
        <f t="shared" si="457"/>
        <v>47920</v>
      </c>
      <c r="T4870" s="12">
        <f t="shared" si="458"/>
        <v>0.96595340693831833</v>
      </c>
      <c r="U4870" s="12">
        <f t="shared" ref="U4870:U4933" si="462">DurMod($S4870,$B$2,$F$7:$G$37,U$3)</f>
        <v>0.95365325888328445</v>
      </c>
      <c r="V4870" s="30">
        <f t="shared" si="459"/>
        <v>0.37070465753424658</v>
      </c>
      <c r="W4870" s="46">
        <f t="shared" si="460"/>
        <v>-9.6595340693831824E-3</v>
      </c>
      <c r="X4870" s="33">
        <f t="shared" si="461"/>
        <v>2.3925466605787062E-2</v>
      </c>
    </row>
    <row r="4871" spans="19:24" x14ac:dyDescent="0.25">
      <c r="S4871" s="44">
        <f t="shared" si="457"/>
        <v>47921</v>
      </c>
      <c r="T4871" s="12">
        <f t="shared" si="458"/>
        <v>0.96327632463677737</v>
      </c>
      <c r="U4871" s="12">
        <f t="shared" si="462"/>
        <v>0.95100208215849524</v>
      </c>
      <c r="V4871" s="30">
        <f t="shared" si="459"/>
        <v>0.37067726027397263</v>
      </c>
      <c r="W4871" s="46">
        <f t="shared" si="460"/>
        <v>-9.6327632463677725E-3</v>
      </c>
      <c r="X4871" s="33">
        <f t="shared" si="461"/>
        <v>2.392542509351412E-2</v>
      </c>
    </row>
    <row r="4872" spans="19:24" x14ac:dyDescent="0.25">
      <c r="S4872" s="44">
        <f t="shared" si="457"/>
        <v>47922</v>
      </c>
      <c r="T4872" s="12">
        <f t="shared" si="458"/>
        <v>0.96059924233523586</v>
      </c>
      <c r="U4872" s="12">
        <f t="shared" si="462"/>
        <v>0.94835090543370559</v>
      </c>
      <c r="V4872" s="30">
        <f t="shared" si="459"/>
        <v>0.37064986301369868</v>
      </c>
      <c r="W4872" s="46">
        <f t="shared" si="460"/>
        <v>-9.6059924233523573E-3</v>
      </c>
      <c r="X4872" s="33">
        <f t="shared" si="461"/>
        <v>2.3925383581241178E-2</v>
      </c>
    </row>
    <row r="4873" spans="19:24" x14ac:dyDescent="0.25">
      <c r="S4873" s="44">
        <f t="shared" si="457"/>
        <v>47923</v>
      </c>
      <c r="T4873" s="12">
        <f t="shared" si="458"/>
        <v>0.95792216003369479</v>
      </c>
      <c r="U4873" s="12">
        <f t="shared" si="462"/>
        <v>0.94569972870891639</v>
      </c>
      <c r="V4873" s="30">
        <f t="shared" si="459"/>
        <v>0.37062246575342467</v>
      </c>
      <c r="W4873" s="46">
        <f t="shared" si="460"/>
        <v>-9.5792216003369457E-3</v>
      </c>
      <c r="X4873" s="33">
        <f t="shared" si="461"/>
        <v>2.3925342068968233E-2</v>
      </c>
    </row>
    <row r="4874" spans="19:24" x14ac:dyDescent="0.25">
      <c r="S4874" s="44">
        <f t="shared" si="457"/>
        <v>47924</v>
      </c>
      <c r="T4874" s="12">
        <f t="shared" si="458"/>
        <v>0.95524507773215372</v>
      </c>
      <c r="U4874" s="12">
        <f t="shared" si="462"/>
        <v>0.9430485519841274</v>
      </c>
      <c r="V4874" s="30">
        <f t="shared" si="459"/>
        <v>0.37059506849315066</v>
      </c>
      <c r="W4874" s="46">
        <f t="shared" si="460"/>
        <v>-9.5524507773215358E-3</v>
      </c>
      <c r="X4874" s="33">
        <f t="shared" si="461"/>
        <v>2.3925300556695287E-2</v>
      </c>
    </row>
    <row r="4875" spans="19:24" x14ac:dyDescent="0.25">
      <c r="S4875" s="44">
        <f t="shared" si="457"/>
        <v>47925</v>
      </c>
      <c r="T4875" s="12">
        <f t="shared" si="458"/>
        <v>0.95256799543061232</v>
      </c>
      <c r="U4875" s="12">
        <f t="shared" si="462"/>
        <v>0.94039737525933798</v>
      </c>
      <c r="V4875" s="30">
        <f t="shared" si="459"/>
        <v>0.37056767123287676</v>
      </c>
      <c r="W4875" s="46">
        <f t="shared" si="460"/>
        <v>-9.5256799543061224E-3</v>
      </c>
      <c r="X4875" s="33">
        <f t="shared" si="461"/>
        <v>2.3925259044422345E-2</v>
      </c>
    </row>
    <row r="4876" spans="19:24" x14ac:dyDescent="0.25">
      <c r="S4876" s="44">
        <f t="shared" si="457"/>
        <v>47926</v>
      </c>
      <c r="T4876" s="12">
        <f t="shared" si="458"/>
        <v>0.94989091312907104</v>
      </c>
      <c r="U4876" s="12">
        <f t="shared" si="462"/>
        <v>0.93774619853454855</v>
      </c>
      <c r="V4876" s="30">
        <f t="shared" si="459"/>
        <v>0.37054027397260275</v>
      </c>
      <c r="W4876" s="46">
        <f t="shared" si="460"/>
        <v>-9.498909131290709E-3</v>
      </c>
      <c r="X4876" s="33">
        <f t="shared" si="461"/>
        <v>2.3925217532149403E-2</v>
      </c>
    </row>
    <row r="4877" spans="19:24" x14ac:dyDescent="0.25">
      <c r="S4877" s="44">
        <f t="shared" si="457"/>
        <v>47927</v>
      </c>
      <c r="T4877" s="12">
        <f t="shared" si="458"/>
        <v>0.94721383082752975</v>
      </c>
      <c r="U4877" s="12">
        <f t="shared" si="462"/>
        <v>0.93509502180975934</v>
      </c>
      <c r="V4877" s="30">
        <f t="shared" si="459"/>
        <v>0.37051287671232874</v>
      </c>
      <c r="W4877" s="46">
        <f t="shared" si="460"/>
        <v>-9.4721383082752957E-3</v>
      </c>
      <c r="X4877" s="33">
        <f t="shared" si="461"/>
        <v>2.3925176019876454E-2</v>
      </c>
    </row>
    <row r="4878" spans="19:24" x14ac:dyDescent="0.25">
      <c r="S4878" s="44">
        <f t="shared" si="457"/>
        <v>47928</v>
      </c>
      <c r="T4878" s="12">
        <f t="shared" si="458"/>
        <v>0.94453674852598868</v>
      </c>
      <c r="U4878" s="12">
        <f t="shared" si="462"/>
        <v>0.93244384508497014</v>
      </c>
      <c r="V4878" s="30">
        <f t="shared" si="459"/>
        <v>0.37048547945205479</v>
      </c>
      <c r="W4878" s="46">
        <f t="shared" si="460"/>
        <v>-9.4453674852598857E-3</v>
      </c>
      <c r="X4878" s="33">
        <f t="shared" si="461"/>
        <v>2.3925134507603512E-2</v>
      </c>
    </row>
    <row r="4879" spans="19:24" x14ac:dyDescent="0.25">
      <c r="S4879" s="44">
        <f t="shared" si="457"/>
        <v>47929</v>
      </c>
      <c r="T4879" s="12">
        <f t="shared" si="458"/>
        <v>0.94185966622444761</v>
      </c>
      <c r="U4879" s="12">
        <f t="shared" si="462"/>
        <v>0.92979266836018082</v>
      </c>
      <c r="V4879" s="30">
        <f t="shared" si="459"/>
        <v>0.37045808219178078</v>
      </c>
      <c r="W4879" s="46">
        <f t="shared" si="460"/>
        <v>-9.4185966622444741E-3</v>
      </c>
      <c r="X4879" s="33">
        <f t="shared" si="461"/>
        <v>2.3925092995330566E-2</v>
      </c>
    </row>
    <row r="4880" spans="19:24" x14ac:dyDescent="0.25">
      <c r="S4880" s="44">
        <f t="shared" si="457"/>
        <v>47930</v>
      </c>
      <c r="T4880" s="12">
        <f t="shared" si="458"/>
        <v>0.93918258392290632</v>
      </c>
      <c r="U4880" s="12">
        <f t="shared" si="462"/>
        <v>0.92714149163539161</v>
      </c>
      <c r="V4880" s="30">
        <f t="shared" si="459"/>
        <v>0.37043068493150688</v>
      </c>
      <c r="W4880" s="46">
        <f t="shared" si="460"/>
        <v>-9.3918258392290625E-3</v>
      </c>
      <c r="X4880" s="33">
        <f t="shared" si="461"/>
        <v>2.3925051483057628E-2</v>
      </c>
    </row>
    <row r="4881" spans="19:24" x14ac:dyDescent="0.25">
      <c r="S4881" s="44">
        <f t="shared" si="457"/>
        <v>47931</v>
      </c>
      <c r="T4881" s="12">
        <f t="shared" si="458"/>
        <v>0.93650550162136537</v>
      </c>
      <c r="U4881" s="12">
        <f t="shared" si="462"/>
        <v>0.9244903149106023</v>
      </c>
      <c r="V4881" s="30">
        <f t="shared" si="459"/>
        <v>0.37040328767123287</v>
      </c>
      <c r="W4881" s="46">
        <f t="shared" si="460"/>
        <v>-9.3650550162136526E-3</v>
      </c>
      <c r="X4881" s="33">
        <f t="shared" si="461"/>
        <v>2.3925009970784682E-2</v>
      </c>
    </row>
    <row r="4882" spans="19:24" x14ac:dyDescent="0.25">
      <c r="S4882" s="44">
        <f t="shared" si="457"/>
        <v>47932</v>
      </c>
      <c r="T4882" s="12">
        <f t="shared" si="458"/>
        <v>0.93382841931982408</v>
      </c>
      <c r="U4882" s="12">
        <f t="shared" si="462"/>
        <v>0.92183913818581276</v>
      </c>
      <c r="V4882" s="30">
        <f t="shared" si="459"/>
        <v>0.37037589041095892</v>
      </c>
      <c r="W4882" s="46">
        <f t="shared" si="460"/>
        <v>-9.3382841931982392E-3</v>
      </c>
      <c r="X4882" s="33">
        <f t="shared" si="461"/>
        <v>2.3924968458511733E-2</v>
      </c>
    </row>
    <row r="4883" spans="19:24" x14ac:dyDescent="0.25">
      <c r="S4883" s="44">
        <f t="shared" si="457"/>
        <v>47933</v>
      </c>
      <c r="T4883" s="12">
        <f t="shared" si="458"/>
        <v>0.93115133701828301</v>
      </c>
      <c r="U4883" s="12">
        <f t="shared" si="462"/>
        <v>0.91918796146102366</v>
      </c>
      <c r="V4883" s="30">
        <f t="shared" si="459"/>
        <v>0.37034849315068491</v>
      </c>
      <c r="W4883" s="46">
        <f t="shared" si="460"/>
        <v>-9.3115133701828293E-3</v>
      </c>
      <c r="X4883" s="33">
        <f t="shared" si="461"/>
        <v>2.3924926946238791E-2</v>
      </c>
    </row>
    <row r="4884" spans="19:24" x14ac:dyDescent="0.25">
      <c r="S4884" s="44">
        <f t="shared" si="457"/>
        <v>47934</v>
      </c>
      <c r="T4884" s="12">
        <f t="shared" si="458"/>
        <v>0.9284742547167415</v>
      </c>
      <c r="U4884" s="12">
        <f t="shared" si="462"/>
        <v>0.91653678473623423</v>
      </c>
      <c r="V4884" s="30">
        <f t="shared" si="459"/>
        <v>0.37032109589041101</v>
      </c>
      <c r="W4884" s="46">
        <f t="shared" si="460"/>
        <v>-9.2847425471674142E-3</v>
      </c>
      <c r="X4884" s="33">
        <f t="shared" si="461"/>
        <v>2.3924885433965849E-2</v>
      </c>
    </row>
    <row r="4885" spans="19:24" x14ac:dyDescent="0.25">
      <c r="S4885" s="44">
        <f t="shared" si="457"/>
        <v>47935</v>
      </c>
      <c r="T4885" s="12">
        <f t="shared" si="458"/>
        <v>0.92579717241520054</v>
      </c>
      <c r="U4885" s="12">
        <f t="shared" si="462"/>
        <v>0.91388560801144503</v>
      </c>
      <c r="V4885" s="30">
        <f t="shared" si="459"/>
        <v>0.370293698630137</v>
      </c>
      <c r="W4885" s="46">
        <f t="shared" si="460"/>
        <v>-9.2579717241520042E-3</v>
      </c>
      <c r="X4885" s="33">
        <f t="shared" si="461"/>
        <v>2.3924843921692907E-2</v>
      </c>
    </row>
    <row r="4886" spans="19:24" x14ac:dyDescent="0.25">
      <c r="S4886" s="44">
        <f t="shared" si="457"/>
        <v>47936</v>
      </c>
      <c r="T4886" s="12">
        <f t="shared" si="458"/>
        <v>0.92312009011365925</v>
      </c>
      <c r="U4886" s="12">
        <f t="shared" si="462"/>
        <v>0.91123443128665571</v>
      </c>
      <c r="V4886" s="30">
        <f t="shared" si="459"/>
        <v>0.37026630136986299</v>
      </c>
      <c r="W4886" s="46">
        <f t="shared" si="460"/>
        <v>-9.2312009011365909E-3</v>
      </c>
      <c r="X4886" s="33">
        <f t="shared" si="461"/>
        <v>2.3924802409419955E-2</v>
      </c>
    </row>
    <row r="4887" spans="19:24" x14ac:dyDescent="0.25">
      <c r="S4887" s="44">
        <f t="shared" si="457"/>
        <v>47937</v>
      </c>
      <c r="T4887" s="12">
        <f t="shared" si="458"/>
        <v>0.92044300781211796</v>
      </c>
      <c r="U4887" s="12">
        <f t="shared" si="462"/>
        <v>0.90858325456186617</v>
      </c>
      <c r="V4887" s="30">
        <f t="shared" si="459"/>
        <v>0.37023890410958904</v>
      </c>
      <c r="W4887" s="46">
        <f t="shared" si="460"/>
        <v>-9.2044300781211775E-3</v>
      </c>
      <c r="X4887" s="33">
        <f t="shared" si="461"/>
        <v>2.392476089714702E-2</v>
      </c>
    </row>
    <row r="4888" spans="19:24" x14ac:dyDescent="0.25">
      <c r="S4888" s="44">
        <f t="shared" si="457"/>
        <v>47938</v>
      </c>
      <c r="T4888" s="12">
        <f t="shared" si="458"/>
        <v>0.9177659255105769</v>
      </c>
      <c r="U4888" s="12">
        <f t="shared" si="462"/>
        <v>0.90593207783707697</v>
      </c>
      <c r="V4888" s="30">
        <f t="shared" si="459"/>
        <v>0.37021150684931509</v>
      </c>
      <c r="W4888" s="46">
        <f t="shared" si="460"/>
        <v>-9.1776592551057676E-3</v>
      </c>
      <c r="X4888" s="33">
        <f t="shared" si="461"/>
        <v>2.3924719384874071E-2</v>
      </c>
    </row>
    <row r="4889" spans="19:24" x14ac:dyDescent="0.25">
      <c r="S4889" s="44">
        <f t="shared" si="457"/>
        <v>47939</v>
      </c>
      <c r="T4889" s="12">
        <f t="shared" si="458"/>
        <v>0.91508884320903572</v>
      </c>
      <c r="U4889" s="12">
        <f t="shared" si="462"/>
        <v>0.90328090111228798</v>
      </c>
      <c r="V4889" s="30">
        <f t="shared" si="459"/>
        <v>0.37018410958904108</v>
      </c>
      <c r="W4889" s="46">
        <f t="shared" si="460"/>
        <v>-9.1508884320903559E-3</v>
      </c>
      <c r="X4889" s="33">
        <f t="shared" si="461"/>
        <v>2.3924677872601129E-2</v>
      </c>
    </row>
    <row r="4890" spans="19:24" x14ac:dyDescent="0.25">
      <c r="S4890" s="44">
        <f t="shared" si="457"/>
        <v>47940</v>
      </c>
      <c r="T4890" s="12">
        <f t="shared" si="458"/>
        <v>0.91241176090749432</v>
      </c>
      <c r="U4890" s="12">
        <f t="shared" si="462"/>
        <v>0.90062972438749833</v>
      </c>
      <c r="V4890" s="30">
        <f t="shared" si="459"/>
        <v>0.37015671232876712</v>
      </c>
      <c r="W4890" s="46">
        <f t="shared" si="460"/>
        <v>-9.1241176090749426E-3</v>
      </c>
      <c r="X4890" s="33">
        <f t="shared" si="461"/>
        <v>2.3924636360328183E-2</v>
      </c>
    </row>
    <row r="4891" spans="19:24" x14ac:dyDescent="0.25">
      <c r="S4891" s="44">
        <f t="shared" si="457"/>
        <v>47941</v>
      </c>
      <c r="T4891" s="12">
        <f t="shared" si="458"/>
        <v>0.90973467860595325</v>
      </c>
      <c r="U4891" s="12">
        <f t="shared" si="462"/>
        <v>0.89797854766270924</v>
      </c>
      <c r="V4891" s="30">
        <f t="shared" si="459"/>
        <v>0.37012931506849311</v>
      </c>
      <c r="W4891" s="46">
        <f t="shared" si="460"/>
        <v>-9.0973467860595309E-3</v>
      </c>
      <c r="X4891" s="33">
        <f t="shared" si="461"/>
        <v>2.3924594848055238E-2</v>
      </c>
    </row>
    <row r="4892" spans="19:24" x14ac:dyDescent="0.25">
      <c r="S4892" s="44">
        <f t="shared" si="457"/>
        <v>47942</v>
      </c>
      <c r="T4892" s="12">
        <f t="shared" si="458"/>
        <v>0.90705759630441196</v>
      </c>
      <c r="U4892" s="12">
        <f t="shared" si="462"/>
        <v>0.8953273709379197</v>
      </c>
      <c r="V4892" s="30">
        <f t="shared" si="459"/>
        <v>0.37010191780821922</v>
      </c>
      <c r="W4892" s="46">
        <f t="shared" si="460"/>
        <v>-9.0705759630441175E-3</v>
      </c>
      <c r="X4892" s="33">
        <f t="shared" si="461"/>
        <v>2.3924553335782299E-2</v>
      </c>
    </row>
    <row r="4893" spans="19:24" x14ac:dyDescent="0.25">
      <c r="S4893" s="44">
        <f t="shared" si="457"/>
        <v>47943</v>
      </c>
      <c r="T4893" s="12">
        <f t="shared" si="458"/>
        <v>0.90438051400287078</v>
      </c>
      <c r="U4893" s="12">
        <f t="shared" si="462"/>
        <v>0.89267619421313082</v>
      </c>
      <c r="V4893" s="30">
        <f t="shared" si="459"/>
        <v>0.37007452054794521</v>
      </c>
      <c r="W4893" s="46">
        <f t="shared" si="460"/>
        <v>-9.0438051400287059E-3</v>
      </c>
      <c r="X4893" s="33">
        <f t="shared" si="461"/>
        <v>2.3924511823509353E-2</v>
      </c>
    </row>
    <row r="4894" spans="19:24" x14ac:dyDescent="0.25">
      <c r="S4894" s="44">
        <f t="shared" si="457"/>
        <v>47944</v>
      </c>
      <c r="T4894" s="12">
        <f t="shared" si="458"/>
        <v>0.90170343170132961</v>
      </c>
      <c r="U4894" s="12">
        <f t="shared" si="462"/>
        <v>0.8900250174883414</v>
      </c>
      <c r="V4894" s="30">
        <f t="shared" si="459"/>
        <v>0.37004712328767125</v>
      </c>
      <c r="W4894" s="46">
        <f t="shared" si="460"/>
        <v>-9.0170343170132942E-3</v>
      </c>
      <c r="X4894" s="33">
        <f t="shared" si="461"/>
        <v>2.3924470311236411E-2</v>
      </c>
    </row>
    <row r="4895" spans="19:24" x14ac:dyDescent="0.25">
      <c r="S4895" s="44">
        <f t="shared" si="457"/>
        <v>47945</v>
      </c>
      <c r="T4895" s="12">
        <f t="shared" si="458"/>
        <v>0.89902634939978832</v>
      </c>
      <c r="U4895" s="12">
        <f t="shared" si="462"/>
        <v>0.88737384076355208</v>
      </c>
      <c r="V4895" s="30">
        <f t="shared" si="459"/>
        <v>0.37001972602739724</v>
      </c>
      <c r="W4895" s="46">
        <f t="shared" si="460"/>
        <v>-8.9902634939978826E-3</v>
      </c>
      <c r="X4895" s="33">
        <f t="shared" si="461"/>
        <v>2.3924428798963462E-2</v>
      </c>
    </row>
    <row r="4896" spans="19:24" x14ac:dyDescent="0.25">
      <c r="S4896" s="44">
        <f t="shared" si="457"/>
        <v>47946</v>
      </c>
      <c r="T4896" s="12">
        <f t="shared" si="458"/>
        <v>0.89634926709824714</v>
      </c>
      <c r="U4896" s="12">
        <f t="shared" si="462"/>
        <v>0.88472266403876276</v>
      </c>
      <c r="V4896" s="30">
        <f t="shared" si="459"/>
        <v>0.36999232876712335</v>
      </c>
      <c r="W4896" s="46">
        <f t="shared" si="460"/>
        <v>-8.9634926709824692E-3</v>
      </c>
      <c r="X4896" s="33">
        <f t="shared" si="461"/>
        <v>2.3924387286690527E-2</v>
      </c>
    </row>
    <row r="4897" spans="19:24" x14ac:dyDescent="0.25">
      <c r="S4897" s="44">
        <f t="shared" si="457"/>
        <v>47947</v>
      </c>
      <c r="T4897" s="12">
        <f t="shared" si="458"/>
        <v>0.89367218479670596</v>
      </c>
      <c r="U4897" s="12">
        <f t="shared" si="462"/>
        <v>0.88207148731397345</v>
      </c>
      <c r="V4897" s="30">
        <f t="shared" si="459"/>
        <v>0.36996493150684934</v>
      </c>
      <c r="W4897" s="46">
        <f t="shared" si="460"/>
        <v>-8.9367218479670576E-3</v>
      </c>
      <c r="X4897" s="33">
        <f t="shared" si="461"/>
        <v>2.3924345774417578E-2</v>
      </c>
    </row>
    <row r="4898" spans="19:24" x14ac:dyDescent="0.25">
      <c r="S4898" s="44">
        <f t="shared" si="457"/>
        <v>47948</v>
      </c>
      <c r="T4898" s="12">
        <f t="shared" si="458"/>
        <v>0.89099510249516478</v>
      </c>
      <c r="U4898" s="12">
        <f t="shared" si="462"/>
        <v>0.87942031058918413</v>
      </c>
      <c r="V4898" s="30">
        <f t="shared" si="459"/>
        <v>0.36993753424657533</v>
      </c>
      <c r="W4898" s="46">
        <f t="shared" si="460"/>
        <v>-8.9099510249516459E-3</v>
      </c>
      <c r="X4898" s="33">
        <f t="shared" si="461"/>
        <v>2.3924304262144636E-2</v>
      </c>
    </row>
    <row r="4899" spans="19:24" x14ac:dyDescent="0.25">
      <c r="S4899" s="44">
        <f t="shared" si="457"/>
        <v>47949</v>
      </c>
      <c r="T4899" s="12">
        <f t="shared" si="458"/>
        <v>0.88831802019362371</v>
      </c>
      <c r="U4899" s="12">
        <f t="shared" si="462"/>
        <v>0.87676913386439481</v>
      </c>
      <c r="V4899" s="30">
        <f t="shared" si="459"/>
        <v>0.36991013698630137</v>
      </c>
      <c r="W4899" s="46">
        <f t="shared" si="460"/>
        <v>-8.883180201936236E-3</v>
      </c>
      <c r="X4899" s="33">
        <f t="shared" si="461"/>
        <v>2.3924262749871691E-2</v>
      </c>
    </row>
    <row r="4900" spans="19:24" x14ac:dyDescent="0.25">
      <c r="S4900" s="44">
        <f t="shared" si="457"/>
        <v>47950</v>
      </c>
      <c r="T4900" s="12">
        <f t="shared" si="458"/>
        <v>0.88564093789208242</v>
      </c>
      <c r="U4900" s="12">
        <f t="shared" si="462"/>
        <v>0.87411795713960561</v>
      </c>
      <c r="V4900" s="30">
        <f t="shared" si="459"/>
        <v>0.36988273972602737</v>
      </c>
      <c r="W4900" s="46">
        <f t="shared" si="460"/>
        <v>-8.8564093789208227E-3</v>
      </c>
      <c r="X4900" s="33">
        <f t="shared" si="461"/>
        <v>2.3924221237598742E-2</v>
      </c>
    </row>
    <row r="4901" spans="19:24" x14ac:dyDescent="0.25">
      <c r="S4901" s="44">
        <f t="shared" si="457"/>
        <v>47951</v>
      </c>
      <c r="T4901" s="12">
        <f t="shared" si="458"/>
        <v>0.88296385559054114</v>
      </c>
      <c r="U4901" s="12">
        <f t="shared" si="462"/>
        <v>0.87146678041481618</v>
      </c>
      <c r="V4901" s="30">
        <f t="shared" si="459"/>
        <v>0.36985534246575341</v>
      </c>
      <c r="W4901" s="46">
        <f t="shared" si="460"/>
        <v>-8.8296385559054093E-3</v>
      </c>
      <c r="X4901" s="33">
        <f t="shared" si="461"/>
        <v>2.39241797253258E-2</v>
      </c>
    </row>
    <row r="4902" spans="19:24" x14ac:dyDescent="0.25">
      <c r="S4902" s="44">
        <f t="shared" si="457"/>
        <v>47952</v>
      </c>
      <c r="T4902" s="12">
        <f t="shared" si="458"/>
        <v>0.88028677328900007</v>
      </c>
      <c r="U4902" s="12">
        <f t="shared" si="462"/>
        <v>0.86881560369002675</v>
      </c>
      <c r="V4902" s="30">
        <f t="shared" si="459"/>
        <v>0.36982794520547946</v>
      </c>
      <c r="W4902" s="46">
        <f t="shared" si="460"/>
        <v>-8.8028677328899994E-3</v>
      </c>
      <c r="X4902" s="33">
        <f t="shared" si="461"/>
        <v>2.3924138213052858E-2</v>
      </c>
    </row>
    <row r="4903" spans="19:24" x14ac:dyDescent="0.25">
      <c r="S4903" s="44">
        <f t="shared" si="457"/>
        <v>47953</v>
      </c>
      <c r="T4903" s="12">
        <f t="shared" si="458"/>
        <v>0.87760969098745878</v>
      </c>
      <c r="U4903" s="12">
        <f t="shared" si="462"/>
        <v>0.86616442696523765</v>
      </c>
      <c r="V4903" s="30">
        <f t="shared" si="459"/>
        <v>0.36980054794520545</v>
      </c>
      <c r="W4903" s="46">
        <f t="shared" si="460"/>
        <v>-8.776096909874586E-3</v>
      </c>
      <c r="X4903" s="33">
        <f t="shared" si="461"/>
        <v>2.3924096700779916E-2</v>
      </c>
    </row>
    <row r="4904" spans="19:24" x14ac:dyDescent="0.25">
      <c r="S4904" s="44">
        <f t="shared" si="457"/>
        <v>47954</v>
      </c>
      <c r="T4904" s="12">
        <f t="shared" si="458"/>
        <v>0.87493260868591771</v>
      </c>
      <c r="U4904" s="12">
        <f t="shared" si="462"/>
        <v>0.86351325024044845</v>
      </c>
      <c r="V4904" s="30">
        <f t="shared" si="459"/>
        <v>0.3697731506849315</v>
      </c>
      <c r="W4904" s="46">
        <f t="shared" si="460"/>
        <v>-8.7493260868591761E-3</v>
      </c>
      <c r="X4904" s="33">
        <f t="shared" si="461"/>
        <v>2.392405518850697E-2</v>
      </c>
    </row>
    <row r="4905" spans="19:24" x14ac:dyDescent="0.25">
      <c r="S4905" s="44">
        <f t="shared" si="457"/>
        <v>47955</v>
      </c>
      <c r="T4905" s="12">
        <f t="shared" si="458"/>
        <v>0.87225552638437631</v>
      </c>
      <c r="U4905" s="12">
        <f t="shared" si="462"/>
        <v>0.86086207351565913</v>
      </c>
      <c r="V4905" s="30">
        <f t="shared" si="459"/>
        <v>0.36974575342465754</v>
      </c>
      <c r="W4905" s="46">
        <f t="shared" si="460"/>
        <v>-8.722555263843761E-3</v>
      </c>
      <c r="X4905" s="33">
        <f t="shared" si="461"/>
        <v>2.3924013676234028E-2</v>
      </c>
    </row>
    <row r="4906" spans="19:24" x14ac:dyDescent="0.25">
      <c r="S4906" s="44">
        <f t="shared" si="457"/>
        <v>47956</v>
      </c>
      <c r="T4906" s="12">
        <f t="shared" si="458"/>
        <v>0.86957844408283536</v>
      </c>
      <c r="U4906" s="12">
        <f t="shared" si="462"/>
        <v>0.8582108967908697</v>
      </c>
      <c r="V4906" s="30">
        <f t="shared" si="459"/>
        <v>0.36971835616438359</v>
      </c>
      <c r="W4906" s="46">
        <f t="shared" si="460"/>
        <v>-8.6957844408283528E-3</v>
      </c>
      <c r="X4906" s="33">
        <f t="shared" si="461"/>
        <v>2.3923972163961086E-2</v>
      </c>
    </row>
    <row r="4907" spans="19:24" x14ac:dyDescent="0.25">
      <c r="S4907" s="44">
        <f t="shared" si="457"/>
        <v>47957</v>
      </c>
      <c r="T4907" s="12">
        <f t="shared" si="458"/>
        <v>0.86690136178129418</v>
      </c>
      <c r="U4907" s="12">
        <f t="shared" si="462"/>
        <v>0.85555972006608039</v>
      </c>
      <c r="V4907" s="30">
        <f t="shared" si="459"/>
        <v>0.36969095890410958</v>
      </c>
      <c r="W4907" s="46">
        <f t="shared" si="460"/>
        <v>-8.6690136178129411E-3</v>
      </c>
      <c r="X4907" s="33">
        <f t="shared" si="461"/>
        <v>2.3923930651688144E-2</v>
      </c>
    </row>
    <row r="4908" spans="19:24" x14ac:dyDescent="0.25">
      <c r="S4908" s="44">
        <f t="shared" si="457"/>
        <v>47958</v>
      </c>
      <c r="T4908" s="12">
        <f t="shared" si="458"/>
        <v>0.86422427947975278</v>
      </c>
      <c r="U4908" s="12">
        <f t="shared" si="462"/>
        <v>0.85290854334129107</v>
      </c>
      <c r="V4908" s="30">
        <f t="shared" si="459"/>
        <v>0.36966356164383563</v>
      </c>
      <c r="W4908" s="46">
        <f t="shared" si="460"/>
        <v>-8.642242794797526E-3</v>
      </c>
      <c r="X4908" s="33">
        <f t="shared" si="461"/>
        <v>2.3923889139415195E-2</v>
      </c>
    </row>
    <row r="4909" spans="19:24" x14ac:dyDescent="0.25">
      <c r="S4909" s="44">
        <f t="shared" si="457"/>
        <v>47959</v>
      </c>
      <c r="T4909" s="12">
        <f t="shared" si="458"/>
        <v>0.86154719717821149</v>
      </c>
      <c r="U4909" s="12">
        <f t="shared" si="462"/>
        <v>0.85025736661650186</v>
      </c>
      <c r="V4909" s="30">
        <f t="shared" si="459"/>
        <v>0.36963616438356167</v>
      </c>
      <c r="W4909" s="46">
        <f t="shared" si="460"/>
        <v>-8.6154719717821144E-3</v>
      </c>
      <c r="X4909" s="33">
        <f t="shared" si="461"/>
        <v>2.3923847627142253E-2</v>
      </c>
    </row>
    <row r="4910" spans="19:24" x14ac:dyDescent="0.25">
      <c r="S4910" s="44">
        <f t="shared" si="457"/>
        <v>47960</v>
      </c>
      <c r="T4910" s="12">
        <f t="shared" si="458"/>
        <v>0.85887011487667031</v>
      </c>
      <c r="U4910" s="12">
        <f t="shared" si="462"/>
        <v>0.84760618989171255</v>
      </c>
      <c r="V4910" s="30">
        <f t="shared" si="459"/>
        <v>0.36960876712328766</v>
      </c>
      <c r="W4910" s="46">
        <f t="shared" si="460"/>
        <v>-8.588701148766701E-3</v>
      </c>
      <c r="X4910" s="33">
        <f t="shared" si="461"/>
        <v>2.3923806114869307E-2</v>
      </c>
    </row>
    <row r="4911" spans="19:24" x14ac:dyDescent="0.25">
      <c r="S4911" s="44">
        <f t="shared" si="457"/>
        <v>47961</v>
      </c>
      <c r="T4911" s="12">
        <f t="shared" si="458"/>
        <v>0.85619303257512924</v>
      </c>
      <c r="U4911" s="12">
        <f t="shared" si="462"/>
        <v>0.84495501316692334</v>
      </c>
      <c r="V4911" s="30">
        <f t="shared" si="459"/>
        <v>0.36958136986301371</v>
      </c>
      <c r="W4911" s="46">
        <f t="shared" si="460"/>
        <v>-8.5619303257512911E-3</v>
      </c>
      <c r="X4911" s="33">
        <f t="shared" si="461"/>
        <v>2.3923764602596365E-2</v>
      </c>
    </row>
    <row r="4912" spans="19:24" x14ac:dyDescent="0.25">
      <c r="S4912" s="44">
        <f t="shared" si="457"/>
        <v>47962</v>
      </c>
      <c r="T4912" s="12">
        <f t="shared" si="458"/>
        <v>0.85351595027358795</v>
      </c>
      <c r="U4912" s="12">
        <f t="shared" si="462"/>
        <v>0.84230383644213391</v>
      </c>
      <c r="V4912" s="30">
        <f t="shared" si="459"/>
        <v>0.3695539726027397</v>
      </c>
      <c r="W4912" s="46">
        <f t="shared" si="460"/>
        <v>-8.5351595027358777E-3</v>
      </c>
      <c r="X4912" s="33">
        <f t="shared" si="461"/>
        <v>2.392372309032342E-2</v>
      </c>
    </row>
    <row r="4913" spans="19:24" x14ac:dyDescent="0.25">
      <c r="S4913" s="44">
        <f t="shared" si="457"/>
        <v>47963</v>
      </c>
      <c r="T4913" s="12">
        <f t="shared" si="458"/>
        <v>0.85083886797204689</v>
      </c>
      <c r="U4913" s="12">
        <f t="shared" si="462"/>
        <v>0.83965265971734449</v>
      </c>
      <c r="V4913" s="30">
        <f t="shared" si="459"/>
        <v>0.3695265753424658</v>
      </c>
      <c r="W4913" s="46">
        <f t="shared" si="460"/>
        <v>-8.5083886797204678E-3</v>
      </c>
      <c r="X4913" s="33">
        <f t="shared" si="461"/>
        <v>2.3923681578050481E-2</v>
      </c>
    </row>
    <row r="4914" spans="19:24" x14ac:dyDescent="0.25">
      <c r="S4914" s="44">
        <f t="shared" si="457"/>
        <v>47964</v>
      </c>
      <c r="T4914" s="12">
        <f t="shared" si="458"/>
        <v>0.84816178567050571</v>
      </c>
      <c r="U4914" s="12">
        <f t="shared" si="462"/>
        <v>0.83700148299255528</v>
      </c>
      <c r="V4914" s="30">
        <f t="shared" si="459"/>
        <v>0.36949917808219179</v>
      </c>
      <c r="W4914" s="46">
        <f t="shared" si="460"/>
        <v>-8.4816178567050562E-3</v>
      </c>
      <c r="X4914" s="33">
        <f t="shared" si="461"/>
        <v>2.3923640065777536E-2</v>
      </c>
    </row>
    <row r="4915" spans="19:24" x14ac:dyDescent="0.25">
      <c r="S4915" s="44">
        <f t="shared" ref="S4915:S4978" si="463">+S4914+1</f>
        <v>47965</v>
      </c>
      <c r="T4915" s="12">
        <f t="shared" si="458"/>
        <v>0.84548470336896442</v>
      </c>
      <c r="U4915" s="12">
        <f t="shared" si="462"/>
        <v>0.83435030626776607</v>
      </c>
      <c r="V4915" s="30">
        <f t="shared" si="459"/>
        <v>0.36947178082191778</v>
      </c>
      <c r="W4915" s="46">
        <f t="shared" si="460"/>
        <v>-8.4548470336896428E-3</v>
      </c>
      <c r="X4915" s="33">
        <f t="shared" si="461"/>
        <v>2.3923598553504587E-2</v>
      </c>
    </row>
    <row r="4916" spans="19:24" x14ac:dyDescent="0.25">
      <c r="S4916" s="44">
        <f t="shared" si="463"/>
        <v>47966</v>
      </c>
      <c r="T4916" s="12">
        <f t="shared" si="458"/>
        <v>0.84280762106742335</v>
      </c>
      <c r="U4916" s="12">
        <f t="shared" si="462"/>
        <v>0.83169912954297676</v>
      </c>
      <c r="V4916" s="30">
        <f t="shared" si="459"/>
        <v>0.36944438356164383</v>
      </c>
      <c r="W4916" s="46">
        <f t="shared" si="460"/>
        <v>-8.4280762106742329E-3</v>
      </c>
      <c r="X4916" s="33">
        <f t="shared" si="461"/>
        <v>2.3923557041231645E-2</v>
      </c>
    </row>
    <row r="4917" spans="19:24" x14ac:dyDescent="0.25">
      <c r="S4917" s="44">
        <f t="shared" si="463"/>
        <v>47967</v>
      </c>
      <c r="T4917" s="12">
        <f t="shared" si="458"/>
        <v>0.84013053876588206</v>
      </c>
      <c r="U4917" s="12">
        <f t="shared" si="462"/>
        <v>0.82904795281818744</v>
      </c>
      <c r="V4917" s="30">
        <f t="shared" si="459"/>
        <v>0.36941698630136988</v>
      </c>
      <c r="W4917" s="46">
        <f t="shared" si="460"/>
        <v>-8.4013053876588195E-3</v>
      </c>
      <c r="X4917" s="33">
        <f t="shared" si="461"/>
        <v>2.3923515528958703E-2</v>
      </c>
    </row>
    <row r="4918" spans="19:24" x14ac:dyDescent="0.25">
      <c r="S4918" s="44">
        <f t="shared" si="463"/>
        <v>47968</v>
      </c>
      <c r="T4918" s="12">
        <f t="shared" si="458"/>
        <v>0.837453456464341</v>
      </c>
      <c r="U4918" s="12">
        <f t="shared" si="462"/>
        <v>0.82639677609339801</v>
      </c>
      <c r="V4918" s="30">
        <f t="shared" si="459"/>
        <v>0.36938958904109592</v>
      </c>
      <c r="W4918" s="46">
        <f t="shared" si="460"/>
        <v>-8.3745345646434079E-3</v>
      </c>
      <c r="X4918" s="33">
        <f t="shared" si="461"/>
        <v>2.3923474016685761E-2</v>
      </c>
    </row>
    <row r="4919" spans="19:24" x14ac:dyDescent="0.25">
      <c r="S4919" s="44">
        <f t="shared" si="463"/>
        <v>47969</v>
      </c>
      <c r="T4919" s="12">
        <f t="shared" si="458"/>
        <v>0.83477637416279982</v>
      </c>
      <c r="U4919" s="12">
        <f t="shared" si="462"/>
        <v>0.82374559936860903</v>
      </c>
      <c r="V4919" s="30">
        <f t="shared" si="459"/>
        <v>0.36936219178082191</v>
      </c>
      <c r="W4919" s="46">
        <f t="shared" si="460"/>
        <v>-8.3477637416279962E-3</v>
      </c>
      <c r="X4919" s="33">
        <f t="shared" si="461"/>
        <v>2.3923432504412815E-2</v>
      </c>
    </row>
    <row r="4920" spans="19:24" x14ac:dyDescent="0.25">
      <c r="S4920" s="44">
        <f t="shared" si="463"/>
        <v>47970</v>
      </c>
      <c r="T4920" s="12">
        <f t="shared" si="458"/>
        <v>0.83209929186125853</v>
      </c>
      <c r="U4920" s="12">
        <f t="shared" si="462"/>
        <v>0.82109442264381949</v>
      </c>
      <c r="V4920" s="30">
        <f t="shared" si="459"/>
        <v>0.36933479452054796</v>
      </c>
      <c r="W4920" s="46">
        <f t="shared" si="460"/>
        <v>-8.3209929186125846E-3</v>
      </c>
      <c r="X4920" s="33">
        <f t="shared" si="461"/>
        <v>2.3923390992139873E-2</v>
      </c>
    </row>
    <row r="4921" spans="19:24" x14ac:dyDescent="0.25">
      <c r="S4921" s="44">
        <f t="shared" si="463"/>
        <v>47971</v>
      </c>
      <c r="T4921" s="12">
        <f t="shared" si="458"/>
        <v>0.82942220955971724</v>
      </c>
      <c r="U4921" s="12">
        <f t="shared" si="462"/>
        <v>0.81844324591903028</v>
      </c>
      <c r="V4921" s="30">
        <f t="shared" si="459"/>
        <v>0.36930739726027395</v>
      </c>
      <c r="W4921" s="46">
        <f t="shared" si="460"/>
        <v>-8.2942220955971712E-3</v>
      </c>
      <c r="X4921" s="33">
        <f t="shared" si="461"/>
        <v>2.3923349479866924E-2</v>
      </c>
    </row>
    <row r="4922" spans="19:24" x14ac:dyDescent="0.25">
      <c r="S4922" s="44">
        <f t="shared" si="463"/>
        <v>47972</v>
      </c>
      <c r="T4922" s="12">
        <f t="shared" si="458"/>
        <v>0.82674512725817606</v>
      </c>
      <c r="U4922" s="12">
        <f t="shared" si="462"/>
        <v>0.81579206919424097</v>
      </c>
      <c r="V4922" s="30">
        <f t="shared" si="459"/>
        <v>0.36928000000000005</v>
      </c>
      <c r="W4922" s="46">
        <f t="shared" si="460"/>
        <v>-8.2674512725817596E-3</v>
      </c>
      <c r="X4922" s="33">
        <f t="shared" si="461"/>
        <v>2.3923307967593989E-2</v>
      </c>
    </row>
    <row r="4923" spans="19:24" x14ac:dyDescent="0.25">
      <c r="S4923" s="44">
        <f t="shared" si="463"/>
        <v>47973</v>
      </c>
      <c r="T4923" s="12">
        <f t="shared" si="458"/>
        <v>0.82406804495663499</v>
      </c>
      <c r="U4923" s="12">
        <f t="shared" si="462"/>
        <v>0.81314089246945165</v>
      </c>
      <c r="V4923" s="30">
        <f t="shared" si="459"/>
        <v>0.36925260273972604</v>
      </c>
      <c r="W4923" s="46">
        <f t="shared" si="460"/>
        <v>-8.2406804495663479E-3</v>
      </c>
      <c r="X4923" s="33">
        <f t="shared" si="461"/>
        <v>2.392326645532104E-2</v>
      </c>
    </row>
    <row r="4924" spans="19:24" x14ac:dyDescent="0.25">
      <c r="S4924" s="44">
        <f t="shared" si="463"/>
        <v>47974</v>
      </c>
      <c r="T4924" s="12">
        <f t="shared" si="458"/>
        <v>0.82139096265509381</v>
      </c>
      <c r="U4924" s="12">
        <f t="shared" si="462"/>
        <v>0.81048971574466244</v>
      </c>
      <c r="V4924" s="30">
        <f t="shared" si="459"/>
        <v>0.36922520547945203</v>
      </c>
      <c r="W4924" s="46">
        <f t="shared" si="460"/>
        <v>-8.2139096265509363E-3</v>
      </c>
      <c r="X4924" s="33">
        <f t="shared" si="461"/>
        <v>2.3923224943048094E-2</v>
      </c>
    </row>
    <row r="4925" spans="19:24" x14ac:dyDescent="0.25">
      <c r="S4925" s="44">
        <f t="shared" si="463"/>
        <v>47975</v>
      </c>
      <c r="T4925" s="12">
        <f t="shared" si="458"/>
        <v>0.81871388035355264</v>
      </c>
      <c r="U4925" s="12">
        <f t="shared" si="462"/>
        <v>0.80783853901987301</v>
      </c>
      <c r="V4925" s="30">
        <f t="shared" si="459"/>
        <v>0.36919780821917814</v>
      </c>
      <c r="W4925" s="46">
        <f t="shared" si="460"/>
        <v>-8.1871388035355246E-3</v>
      </c>
      <c r="X4925" s="33">
        <f t="shared" si="461"/>
        <v>2.3923183430775156E-2</v>
      </c>
    </row>
    <row r="4926" spans="19:24" x14ac:dyDescent="0.25">
      <c r="S4926" s="44">
        <f t="shared" si="463"/>
        <v>47976</v>
      </c>
      <c r="T4926" s="12">
        <f t="shared" si="458"/>
        <v>0.81603679805201124</v>
      </c>
      <c r="U4926" s="12">
        <f t="shared" si="462"/>
        <v>0.80518736229508381</v>
      </c>
      <c r="V4926" s="30">
        <f t="shared" si="459"/>
        <v>0.36917041095890413</v>
      </c>
      <c r="W4926" s="46">
        <f t="shared" si="460"/>
        <v>-8.1603679805201113E-3</v>
      </c>
      <c r="X4926" s="33">
        <f t="shared" si="461"/>
        <v>2.392314191850221E-2</v>
      </c>
    </row>
    <row r="4927" spans="19:24" x14ac:dyDescent="0.25">
      <c r="S4927" s="44">
        <f t="shared" si="463"/>
        <v>47977</v>
      </c>
      <c r="T4927" s="12">
        <f t="shared" si="458"/>
        <v>0.81335971575047017</v>
      </c>
      <c r="U4927" s="12">
        <f t="shared" si="462"/>
        <v>0.80253618557029449</v>
      </c>
      <c r="V4927" s="30">
        <f t="shared" si="459"/>
        <v>0.36914301369863012</v>
      </c>
      <c r="W4927" s="46">
        <f t="shared" si="460"/>
        <v>-8.1335971575046996E-3</v>
      </c>
      <c r="X4927" s="33">
        <f t="shared" si="461"/>
        <v>2.3923100406229261E-2</v>
      </c>
    </row>
    <row r="4928" spans="19:24" x14ac:dyDescent="0.25">
      <c r="S4928" s="44">
        <f t="shared" si="463"/>
        <v>47978</v>
      </c>
      <c r="T4928" s="12">
        <f t="shared" si="458"/>
        <v>0.81068263344892899</v>
      </c>
      <c r="U4928" s="12">
        <f t="shared" si="462"/>
        <v>0.79988500884550495</v>
      </c>
      <c r="V4928" s="30">
        <f t="shared" si="459"/>
        <v>0.36911561643835616</v>
      </c>
      <c r="W4928" s="46">
        <f t="shared" si="460"/>
        <v>-8.106826334489288E-3</v>
      </c>
      <c r="X4928" s="33">
        <f t="shared" si="461"/>
        <v>2.3923058893956319E-2</v>
      </c>
    </row>
    <row r="4929" spans="19:24" x14ac:dyDescent="0.25">
      <c r="S4929" s="44">
        <f t="shared" si="463"/>
        <v>47979</v>
      </c>
      <c r="T4929" s="12">
        <f t="shared" si="458"/>
        <v>0.80800555114738792</v>
      </c>
      <c r="U4929" s="12">
        <f t="shared" si="462"/>
        <v>0.79723383212071597</v>
      </c>
      <c r="V4929" s="30">
        <f t="shared" si="459"/>
        <v>0.36908821917808221</v>
      </c>
      <c r="W4929" s="46">
        <f t="shared" si="460"/>
        <v>-8.0800555114738781E-3</v>
      </c>
      <c r="X4929" s="33">
        <f t="shared" si="461"/>
        <v>2.3923017381683374E-2</v>
      </c>
    </row>
    <row r="4930" spans="19:24" x14ac:dyDescent="0.25">
      <c r="S4930" s="44">
        <f t="shared" si="463"/>
        <v>47980</v>
      </c>
      <c r="T4930" s="12">
        <f t="shared" si="458"/>
        <v>0.80532846884584652</v>
      </c>
      <c r="U4930" s="12">
        <f t="shared" si="462"/>
        <v>0.79458265539592654</v>
      </c>
      <c r="V4930" s="30">
        <f t="shared" si="459"/>
        <v>0.36906082191780826</v>
      </c>
      <c r="W4930" s="46">
        <f t="shared" si="460"/>
        <v>-8.0532846884584647E-3</v>
      </c>
      <c r="X4930" s="33">
        <f t="shared" si="461"/>
        <v>2.3922975869410435E-2</v>
      </c>
    </row>
    <row r="4931" spans="19:24" x14ac:dyDescent="0.25">
      <c r="S4931" s="44">
        <f t="shared" si="463"/>
        <v>47981</v>
      </c>
      <c r="T4931" s="12">
        <f t="shared" si="458"/>
        <v>0.80265138654430535</v>
      </c>
      <c r="U4931" s="12">
        <f t="shared" si="462"/>
        <v>0.79193147867113745</v>
      </c>
      <c r="V4931" s="30">
        <f t="shared" si="459"/>
        <v>0.36903342465753425</v>
      </c>
      <c r="W4931" s="46">
        <f t="shared" si="460"/>
        <v>-8.026513865443053E-3</v>
      </c>
      <c r="X4931" s="33">
        <f t="shared" si="461"/>
        <v>2.392293435713749E-2</v>
      </c>
    </row>
    <row r="4932" spans="19:24" x14ac:dyDescent="0.25">
      <c r="S4932" s="44">
        <f t="shared" si="463"/>
        <v>47982</v>
      </c>
      <c r="T4932" s="12">
        <f t="shared" si="458"/>
        <v>0.79997430424276428</v>
      </c>
      <c r="U4932" s="12">
        <f t="shared" si="462"/>
        <v>0.78928030194634802</v>
      </c>
      <c r="V4932" s="30">
        <f t="shared" si="459"/>
        <v>0.36900602739726029</v>
      </c>
      <c r="W4932" s="46">
        <f t="shared" si="460"/>
        <v>-7.9997430424276414E-3</v>
      </c>
      <c r="X4932" s="33">
        <f t="shared" si="461"/>
        <v>2.3922892844864548E-2</v>
      </c>
    </row>
    <row r="4933" spans="19:24" x14ac:dyDescent="0.25">
      <c r="S4933" s="44">
        <f t="shared" si="463"/>
        <v>47983</v>
      </c>
      <c r="T4933" s="12">
        <f t="shared" ref="T4933:T4996" si="464">DurMod(S4933,B$2,$F$7:$G$37,$T$3)</f>
        <v>0.7972972219412231</v>
      </c>
      <c r="U4933" s="12">
        <f t="shared" si="462"/>
        <v>0.78662912522155859</v>
      </c>
      <c r="V4933" s="30">
        <f t="shared" ref="V4933:V4996" si="465">+$U$3*($S$5512-S4933)/365+$T$3*(S4933-$S$4)/365</f>
        <v>0.36897863013698629</v>
      </c>
      <c r="W4933" s="46">
        <f t="shared" ref="W4933:W4996" si="466">+-T4933*($U$3-$T$3)</f>
        <v>-7.9729722194122297E-3</v>
      </c>
      <c r="X4933" s="33">
        <f t="shared" ref="X4933:X4996" si="467">+(V4933+W4933)*365/($S$5512-$S$4)</f>
        <v>2.3922851332591602E-2</v>
      </c>
    </row>
    <row r="4934" spans="19:24" x14ac:dyDescent="0.25">
      <c r="S4934" s="44">
        <f t="shared" si="463"/>
        <v>47984</v>
      </c>
      <c r="T4934" s="12">
        <f t="shared" si="464"/>
        <v>0.79462013963968159</v>
      </c>
      <c r="U4934" s="12">
        <f t="shared" ref="U4934:U4997" si="468">DurMod($S4934,$B$2,$F$7:$G$37,U$3)</f>
        <v>0.78397794849676949</v>
      </c>
      <c r="V4934" s="30">
        <f t="shared" si="465"/>
        <v>0.36895123287671239</v>
      </c>
      <c r="W4934" s="46">
        <f t="shared" si="466"/>
        <v>-7.9462013963968146E-3</v>
      </c>
      <c r="X4934" s="33">
        <f t="shared" si="467"/>
        <v>2.3922809820318663E-2</v>
      </c>
    </row>
    <row r="4935" spans="19:24" x14ac:dyDescent="0.25">
      <c r="S4935" s="44">
        <f t="shared" si="463"/>
        <v>47985</v>
      </c>
      <c r="T4935" s="12">
        <f t="shared" si="464"/>
        <v>0.79194305733814063</v>
      </c>
      <c r="U4935" s="12">
        <f t="shared" si="468"/>
        <v>0.78132677177197996</v>
      </c>
      <c r="V4935" s="30">
        <f t="shared" si="465"/>
        <v>0.36892383561643838</v>
      </c>
      <c r="W4935" s="46">
        <f t="shared" si="466"/>
        <v>-7.9194305733814047E-3</v>
      </c>
      <c r="X4935" s="33">
        <f t="shared" si="467"/>
        <v>2.3922768308045718E-2</v>
      </c>
    </row>
    <row r="4936" spans="19:24" x14ac:dyDescent="0.25">
      <c r="S4936" s="44">
        <f t="shared" si="463"/>
        <v>47986</v>
      </c>
      <c r="T4936" s="12">
        <f t="shared" si="464"/>
        <v>0.78926597503659945</v>
      </c>
      <c r="U4936" s="12">
        <f t="shared" si="468"/>
        <v>0.77867559504719075</v>
      </c>
      <c r="V4936" s="30">
        <f t="shared" si="465"/>
        <v>0.36889643835616437</v>
      </c>
      <c r="W4936" s="46">
        <f t="shared" si="466"/>
        <v>-7.8926597503659931E-3</v>
      </c>
      <c r="X4936" s="33">
        <f t="shared" si="467"/>
        <v>2.3922726795772765E-2</v>
      </c>
    </row>
    <row r="4937" spans="19:24" x14ac:dyDescent="0.25">
      <c r="S4937" s="44">
        <f t="shared" si="463"/>
        <v>47987</v>
      </c>
      <c r="T4937" s="12">
        <f t="shared" si="464"/>
        <v>0.78658889273505816</v>
      </c>
      <c r="U4937" s="12">
        <f t="shared" si="468"/>
        <v>0.77602441832240165</v>
      </c>
      <c r="V4937" s="30">
        <f t="shared" si="465"/>
        <v>0.36886904109589042</v>
      </c>
      <c r="W4937" s="46">
        <f t="shared" si="466"/>
        <v>-7.8658889273505797E-3</v>
      </c>
      <c r="X4937" s="33">
        <f t="shared" si="467"/>
        <v>2.3922685283499827E-2</v>
      </c>
    </row>
    <row r="4938" spans="19:24" x14ac:dyDescent="0.25">
      <c r="S4938" s="44">
        <f t="shared" si="463"/>
        <v>47988</v>
      </c>
      <c r="T4938" s="12">
        <f t="shared" si="464"/>
        <v>0.78391181043351699</v>
      </c>
      <c r="U4938" s="12">
        <f t="shared" si="468"/>
        <v>0.77337324159761212</v>
      </c>
      <c r="V4938" s="30">
        <f t="shared" si="465"/>
        <v>0.36884164383561646</v>
      </c>
      <c r="W4938" s="46">
        <f t="shared" si="466"/>
        <v>-7.8391181043351681E-3</v>
      </c>
      <c r="X4938" s="33">
        <f t="shared" si="467"/>
        <v>2.3922643771226881E-2</v>
      </c>
    </row>
    <row r="4939" spans="19:24" x14ac:dyDescent="0.25">
      <c r="S4939" s="44">
        <f t="shared" si="463"/>
        <v>47989</v>
      </c>
      <c r="T4939" s="12">
        <f t="shared" si="464"/>
        <v>0.7812347281319757</v>
      </c>
      <c r="U4939" s="12">
        <f t="shared" si="468"/>
        <v>0.7707220648728228</v>
      </c>
      <c r="V4939" s="30">
        <f t="shared" si="465"/>
        <v>0.36881424657534245</v>
      </c>
      <c r="W4939" s="46">
        <f t="shared" si="466"/>
        <v>-7.8123472813197556E-3</v>
      </c>
      <c r="X4939" s="33">
        <f t="shared" si="467"/>
        <v>2.3922602258953939E-2</v>
      </c>
    </row>
    <row r="4940" spans="19:24" x14ac:dyDescent="0.25">
      <c r="S4940" s="44">
        <f t="shared" si="463"/>
        <v>47990</v>
      </c>
      <c r="T4940" s="12">
        <f t="shared" si="464"/>
        <v>0.77855764583043452</v>
      </c>
      <c r="U4940" s="12">
        <f t="shared" si="468"/>
        <v>0.7680708881480337</v>
      </c>
      <c r="V4940" s="30">
        <f t="shared" si="465"/>
        <v>0.3687868493150685</v>
      </c>
      <c r="W4940" s="46">
        <f t="shared" si="466"/>
        <v>-7.7855764583043439E-3</v>
      </c>
      <c r="X4940" s="33">
        <f t="shared" si="467"/>
        <v>2.392256074668099E-2</v>
      </c>
    </row>
    <row r="4941" spans="19:24" x14ac:dyDescent="0.25">
      <c r="S4941" s="44">
        <f t="shared" si="463"/>
        <v>47991</v>
      </c>
      <c r="T4941" s="12">
        <f t="shared" si="464"/>
        <v>0.77588056352889345</v>
      </c>
      <c r="U4941" s="12">
        <f t="shared" si="468"/>
        <v>0.76541971142324428</v>
      </c>
      <c r="V4941" s="30">
        <f t="shared" si="465"/>
        <v>0.36875945205479449</v>
      </c>
      <c r="W4941" s="46">
        <f t="shared" si="466"/>
        <v>-7.7588056352889331E-3</v>
      </c>
      <c r="X4941" s="33">
        <f t="shared" si="467"/>
        <v>2.3922519234408048E-2</v>
      </c>
    </row>
    <row r="4942" spans="19:24" x14ac:dyDescent="0.25">
      <c r="S4942" s="44">
        <f t="shared" si="463"/>
        <v>47992</v>
      </c>
      <c r="T4942" s="12">
        <f t="shared" si="464"/>
        <v>0.77320348122735205</v>
      </c>
      <c r="U4942" s="12">
        <f t="shared" si="468"/>
        <v>0.76276853469845518</v>
      </c>
      <c r="V4942" s="30">
        <f t="shared" si="465"/>
        <v>0.36873205479452059</v>
      </c>
      <c r="W4942" s="46">
        <f t="shared" si="466"/>
        <v>-7.7320348122735198E-3</v>
      </c>
      <c r="X4942" s="33">
        <f t="shared" si="467"/>
        <v>2.3922477722135106E-2</v>
      </c>
    </row>
    <row r="4943" spans="19:24" x14ac:dyDescent="0.25">
      <c r="S4943" s="44">
        <f t="shared" si="463"/>
        <v>47993</v>
      </c>
      <c r="T4943" s="12">
        <f t="shared" si="464"/>
        <v>0.7705263989258111</v>
      </c>
      <c r="U4943" s="12">
        <f t="shared" si="468"/>
        <v>0.76011735797366575</v>
      </c>
      <c r="V4943" s="30">
        <f t="shared" si="465"/>
        <v>0.36870465753424658</v>
      </c>
      <c r="W4943" s="46">
        <f t="shared" si="466"/>
        <v>-7.7052639892581098E-3</v>
      </c>
      <c r="X4943" s="33">
        <f t="shared" si="467"/>
        <v>2.3922436209862161E-2</v>
      </c>
    </row>
    <row r="4944" spans="19:24" x14ac:dyDescent="0.25">
      <c r="S4944" s="44">
        <f t="shared" si="463"/>
        <v>47994</v>
      </c>
      <c r="T4944" s="12">
        <f t="shared" si="464"/>
        <v>0.7678493166242697</v>
      </c>
      <c r="U4944" s="12">
        <f t="shared" si="468"/>
        <v>0.75746618124887644</v>
      </c>
      <c r="V4944" s="30">
        <f t="shared" si="465"/>
        <v>0.36867726027397263</v>
      </c>
      <c r="W4944" s="46">
        <f t="shared" si="466"/>
        <v>-7.6784931662426956E-3</v>
      </c>
      <c r="X4944" s="33">
        <f t="shared" si="467"/>
        <v>2.3922394697589219E-2</v>
      </c>
    </row>
    <row r="4945" spans="19:24" x14ac:dyDescent="0.25">
      <c r="S4945" s="44">
        <f t="shared" si="463"/>
        <v>47995</v>
      </c>
      <c r="T4945" s="12">
        <f t="shared" si="464"/>
        <v>0.76517223432272874</v>
      </c>
      <c r="U4945" s="12">
        <f t="shared" si="468"/>
        <v>0.75481500452408712</v>
      </c>
      <c r="V4945" s="30">
        <f t="shared" si="465"/>
        <v>0.36864986301369862</v>
      </c>
      <c r="W4945" s="46">
        <f t="shared" si="466"/>
        <v>-7.6517223432272866E-3</v>
      </c>
      <c r="X4945" s="33">
        <f t="shared" si="467"/>
        <v>2.392235318531627E-2</v>
      </c>
    </row>
    <row r="4946" spans="19:24" x14ac:dyDescent="0.25">
      <c r="S4946" s="44">
        <f t="shared" si="463"/>
        <v>47996</v>
      </c>
      <c r="T4946" s="12">
        <f t="shared" si="464"/>
        <v>0.76249515202118723</v>
      </c>
      <c r="U4946" s="12">
        <f t="shared" si="468"/>
        <v>0.7521638277992978</v>
      </c>
      <c r="V4946" s="30">
        <f t="shared" si="465"/>
        <v>0.36862246575342472</v>
      </c>
      <c r="W4946" s="46">
        <f t="shared" si="466"/>
        <v>-7.6249515202118714E-3</v>
      </c>
      <c r="X4946" s="33">
        <f t="shared" si="467"/>
        <v>2.3922311673043335E-2</v>
      </c>
    </row>
    <row r="4947" spans="19:24" x14ac:dyDescent="0.25">
      <c r="S4947" s="44">
        <f t="shared" si="463"/>
        <v>47997</v>
      </c>
      <c r="T4947" s="12">
        <f t="shared" si="464"/>
        <v>0.75981806971964616</v>
      </c>
      <c r="U4947" s="12">
        <f t="shared" si="468"/>
        <v>0.7495126510745086</v>
      </c>
      <c r="V4947" s="30">
        <f t="shared" si="465"/>
        <v>0.36859506849315071</v>
      </c>
      <c r="W4947" s="46">
        <f t="shared" si="466"/>
        <v>-7.5981806971964607E-3</v>
      </c>
      <c r="X4947" s="33">
        <f t="shared" si="467"/>
        <v>2.3922270160770386E-2</v>
      </c>
    </row>
    <row r="4948" spans="19:24" x14ac:dyDescent="0.25">
      <c r="S4948" s="44">
        <f t="shared" si="463"/>
        <v>47998</v>
      </c>
      <c r="T4948" s="12">
        <f t="shared" si="464"/>
        <v>0.75714098741810498</v>
      </c>
      <c r="U4948" s="12">
        <f t="shared" si="468"/>
        <v>0.74686147434971906</v>
      </c>
      <c r="V4948" s="30">
        <f t="shared" si="465"/>
        <v>0.3685676712328767</v>
      </c>
      <c r="W4948" s="46">
        <f t="shared" si="466"/>
        <v>-7.571409874181049E-3</v>
      </c>
      <c r="X4948" s="33">
        <f t="shared" si="467"/>
        <v>2.3922228648497443E-2</v>
      </c>
    </row>
    <row r="4949" spans="19:24" x14ac:dyDescent="0.25">
      <c r="S4949" s="44">
        <f t="shared" si="463"/>
        <v>47999</v>
      </c>
      <c r="T4949" s="12">
        <f t="shared" si="464"/>
        <v>0.7544639051165638</v>
      </c>
      <c r="U4949" s="12">
        <f t="shared" si="468"/>
        <v>0.74421029762492996</v>
      </c>
      <c r="V4949" s="30">
        <f t="shared" si="465"/>
        <v>0.36854027397260275</v>
      </c>
      <c r="W4949" s="46">
        <f t="shared" si="466"/>
        <v>-7.5446390511656365E-3</v>
      </c>
      <c r="X4949" s="33">
        <f t="shared" si="467"/>
        <v>2.3922187136224498E-2</v>
      </c>
    </row>
    <row r="4950" spans="19:24" x14ac:dyDescent="0.25">
      <c r="S4950" s="44">
        <f t="shared" si="463"/>
        <v>48000</v>
      </c>
      <c r="T4950" s="12">
        <f t="shared" si="464"/>
        <v>0.75178682281502274</v>
      </c>
      <c r="U4950" s="12">
        <f t="shared" si="468"/>
        <v>0.74155912090014064</v>
      </c>
      <c r="V4950" s="30">
        <f t="shared" si="465"/>
        <v>0.3685128767123288</v>
      </c>
      <c r="W4950" s="46">
        <f t="shared" si="466"/>
        <v>-7.5178682281502266E-3</v>
      </c>
      <c r="X4950" s="33">
        <f t="shared" si="467"/>
        <v>2.3922145623951559E-2</v>
      </c>
    </row>
    <row r="4951" spans="19:24" x14ac:dyDescent="0.25">
      <c r="S4951" s="44">
        <f t="shared" si="463"/>
        <v>48001</v>
      </c>
      <c r="T4951" s="12">
        <f t="shared" si="464"/>
        <v>0.74910974051348145</v>
      </c>
      <c r="U4951" s="12">
        <f t="shared" si="468"/>
        <v>0.73890794417535144</v>
      </c>
      <c r="V4951" s="30">
        <f t="shared" si="465"/>
        <v>0.36848547945205479</v>
      </c>
      <c r="W4951" s="46">
        <f t="shared" si="466"/>
        <v>-7.4910974051348132E-3</v>
      </c>
      <c r="X4951" s="33">
        <f t="shared" si="467"/>
        <v>2.392210411167861E-2</v>
      </c>
    </row>
    <row r="4952" spans="19:24" x14ac:dyDescent="0.25">
      <c r="S4952" s="44">
        <f t="shared" si="463"/>
        <v>48002</v>
      </c>
      <c r="T4952" s="12">
        <f t="shared" si="464"/>
        <v>0.74643265821194038</v>
      </c>
      <c r="U4952" s="12">
        <f t="shared" si="468"/>
        <v>0.73625676745056201</v>
      </c>
      <c r="V4952" s="30">
        <f t="shared" si="465"/>
        <v>0.36845808219178083</v>
      </c>
      <c r="W4952" s="46">
        <f t="shared" si="466"/>
        <v>-7.4643265821194025E-3</v>
      </c>
      <c r="X4952" s="33">
        <f t="shared" si="467"/>
        <v>2.3922062599405668E-2</v>
      </c>
    </row>
    <row r="4953" spans="19:24" x14ac:dyDescent="0.25">
      <c r="S4953" s="44">
        <f t="shared" si="463"/>
        <v>48003</v>
      </c>
      <c r="T4953" s="12">
        <f t="shared" si="464"/>
        <v>0.74375557591039909</v>
      </c>
      <c r="U4953" s="12">
        <f t="shared" si="468"/>
        <v>0.7336055907257728</v>
      </c>
      <c r="V4953" s="30">
        <f t="shared" si="465"/>
        <v>0.36843068493150682</v>
      </c>
      <c r="W4953" s="46">
        <f t="shared" si="466"/>
        <v>-7.4375557591039899E-3</v>
      </c>
      <c r="X4953" s="33">
        <f t="shared" si="467"/>
        <v>2.3922021087132726E-2</v>
      </c>
    </row>
    <row r="4954" spans="19:24" x14ac:dyDescent="0.25">
      <c r="S4954" s="44">
        <f t="shared" si="463"/>
        <v>48004</v>
      </c>
      <c r="T4954" s="12">
        <f t="shared" si="464"/>
        <v>0.74107849360885791</v>
      </c>
      <c r="U4954" s="12">
        <f t="shared" si="468"/>
        <v>0.73095441400098338</v>
      </c>
      <c r="V4954" s="30">
        <f t="shared" si="465"/>
        <v>0.36840328767123287</v>
      </c>
      <c r="W4954" s="46">
        <f t="shared" si="466"/>
        <v>-7.4107849360885783E-3</v>
      </c>
      <c r="X4954" s="33">
        <f t="shared" si="467"/>
        <v>2.3921979574859777E-2</v>
      </c>
    </row>
    <row r="4955" spans="19:24" x14ac:dyDescent="0.25">
      <c r="S4955" s="44">
        <f t="shared" si="463"/>
        <v>48005</v>
      </c>
      <c r="T4955" s="12">
        <f t="shared" si="464"/>
        <v>0.73840141130731662</v>
      </c>
      <c r="U4955" s="12">
        <f t="shared" si="468"/>
        <v>0.72830323727619428</v>
      </c>
      <c r="V4955" s="30">
        <f t="shared" si="465"/>
        <v>0.36837589041095897</v>
      </c>
      <c r="W4955" s="46">
        <f t="shared" si="466"/>
        <v>-7.3840141130731649E-3</v>
      </c>
      <c r="X4955" s="33">
        <f t="shared" si="467"/>
        <v>2.3921938062586842E-2</v>
      </c>
    </row>
    <row r="4956" spans="19:24" x14ac:dyDescent="0.25">
      <c r="S4956" s="44">
        <f t="shared" si="463"/>
        <v>48006</v>
      </c>
      <c r="T4956" s="12">
        <f t="shared" si="464"/>
        <v>0.73572432900577545</v>
      </c>
      <c r="U4956" s="12">
        <f t="shared" si="468"/>
        <v>0.72565206055140474</v>
      </c>
      <c r="V4956" s="30">
        <f t="shared" si="465"/>
        <v>0.36834849315068496</v>
      </c>
      <c r="W4956" s="46">
        <f t="shared" si="466"/>
        <v>-7.3572432900577533E-3</v>
      </c>
      <c r="X4956" s="33">
        <f t="shared" si="467"/>
        <v>2.3921896550313893E-2</v>
      </c>
    </row>
    <row r="4957" spans="19:24" x14ac:dyDescent="0.25">
      <c r="S4957" s="44">
        <f t="shared" si="463"/>
        <v>48007</v>
      </c>
      <c r="T4957" s="12">
        <f t="shared" si="464"/>
        <v>0.73304724670423416</v>
      </c>
      <c r="U4957" s="12">
        <f t="shared" si="468"/>
        <v>0.72300088382661554</v>
      </c>
      <c r="V4957" s="30">
        <f t="shared" si="465"/>
        <v>0.36832109589041095</v>
      </c>
      <c r="W4957" s="46">
        <f t="shared" si="466"/>
        <v>-7.3304724670423408E-3</v>
      </c>
      <c r="X4957" s="33">
        <f t="shared" si="467"/>
        <v>2.3921855038040951E-2</v>
      </c>
    </row>
    <row r="4958" spans="19:24" x14ac:dyDescent="0.25">
      <c r="S4958" s="44">
        <f t="shared" si="463"/>
        <v>48008</v>
      </c>
      <c r="T4958" s="12">
        <f t="shared" si="464"/>
        <v>0.73037016440269298</v>
      </c>
      <c r="U4958" s="12">
        <f t="shared" si="468"/>
        <v>0.72034970710182622</v>
      </c>
      <c r="V4958" s="30">
        <f t="shared" si="465"/>
        <v>0.368293698630137</v>
      </c>
      <c r="W4958" s="46">
        <f t="shared" si="466"/>
        <v>-7.3037016440269283E-3</v>
      </c>
      <c r="X4958" s="33">
        <f t="shared" si="467"/>
        <v>2.3921813525768006E-2</v>
      </c>
    </row>
    <row r="4959" spans="19:24" x14ac:dyDescent="0.25">
      <c r="S4959" s="44">
        <f t="shared" si="463"/>
        <v>48009</v>
      </c>
      <c r="T4959" s="12">
        <f t="shared" si="464"/>
        <v>0.72769308210115169</v>
      </c>
      <c r="U4959" s="12">
        <f t="shared" si="468"/>
        <v>0.71769853037703701</v>
      </c>
      <c r="V4959" s="30">
        <f t="shared" si="465"/>
        <v>0.36826630136986305</v>
      </c>
      <c r="W4959" s="46">
        <f t="shared" si="466"/>
        <v>-7.2769308210115157E-3</v>
      </c>
      <c r="X4959" s="33">
        <f t="shared" si="467"/>
        <v>2.3921772013495064E-2</v>
      </c>
    </row>
    <row r="4960" spans="19:24" x14ac:dyDescent="0.25">
      <c r="S4960" s="44">
        <f t="shared" si="463"/>
        <v>48010</v>
      </c>
      <c r="T4960" s="12">
        <f t="shared" si="464"/>
        <v>0.72501599979961062</v>
      </c>
      <c r="U4960" s="12">
        <f t="shared" si="468"/>
        <v>0.71504735365224781</v>
      </c>
      <c r="V4960" s="30">
        <f t="shared" si="465"/>
        <v>0.36823890410958904</v>
      </c>
      <c r="W4960" s="46">
        <f t="shared" si="466"/>
        <v>-7.250159997996105E-3</v>
      </c>
      <c r="X4960" s="33">
        <f t="shared" si="467"/>
        <v>2.3921730501222115E-2</v>
      </c>
    </row>
    <row r="4961" spans="19:24" x14ac:dyDescent="0.25">
      <c r="S4961" s="44">
        <f t="shared" si="463"/>
        <v>48011</v>
      </c>
      <c r="T4961" s="12">
        <f t="shared" si="464"/>
        <v>0.72233891749806967</v>
      </c>
      <c r="U4961" s="12">
        <f t="shared" si="468"/>
        <v>0.71239617692745838</v>
      </c>
      <c r="V4961" s="30">
        <f t="shared" si="465"/>
        <v>0.36821150684931508</v>
      </c>
      <c r="W4961" s="46">
        <f t="shared" si="466"/>
        <v>-7.2233891749806959E-3</v>
      </c>
      <c r="X4961" s="33">
        <f t="shared" si="467"/>
        <v>2.3921688988949173E-2</v>
      </c>
    </row>
    <row r="4962" spans="19:24" x14ac:dyDescent="0.25">
      <c r="S4962" s="44">
        <f t="shared" si="463"/>
        <v>48012</v>
      </c>
      <c r="T4962" s="12">
        <f t="shared" si="464"/>
        <v>0.71966183519652827</v>
      </c>
      <c r="U4962" s="12">
        <f t="shared" si="468"/>
        <v>0.70974500020266917</v>
      </c>
      <c r="V4962" s="30">
        <f t="shared" si="465"/>
        <v>0.36818410958904108</v>
      </c>
      <c r="W4962" s="46">
        <f t="shared" si="466"/>
        <v>-7.1966183519652817E-3</v>
      </c>
      <c r="X4962" s="33">
        <f t="shared" si="467"/>
        <v>2.3921647476676227E-2</v>
      </c>
    </row>
    <row r="4963" spans="19:24" x14ac:dyDescent="0.25">
      <c r="S4963" s="44">
        <f t="shared" si="463"/>
        <v>48013</v>
      </c>
      <c r="T4963" s="12">
        <f t="shared" si="464"/>
        <v>0.71698475289498698</v>
      </c>
      <c r="U4963" s="12">
        <f t="shared" si="468"/>
        <v>0.70709382347787975</v>
      </c>
      <c r="V4963" s="30">
        <f t="shared" si="465"/>
        <v>0.36815671232876712</v>
      </c>
      <c r="W4963" s="46">
        <f t="shared" si="466"/>
        <v>-7.1698475289498683E-3</v>
      </c>
      <c r="X4963" s="33">
        <f t="shared" si="467"/>
        <v>2.3921605964403285E-2</v>
      </c>
    </row>
    <row r="4964" spans="19:24" x14ac:dyDescent="0.25">
      <c r="S4964" s="44">
        <f t="shared" si="463"/>
        <v>48014</v>
      </c>
      <c r="T4964" s="12">
        <f t="shared" si="464"/>
        <v>0.96877021495393523</v>
      </c>
      <c r="U4964" s="12">
        <f t="shared" si="468"/>
        <v>0.95781991307754666</v>
      </c>
      <c r="V4964" s="30">
        <f t="shared" si="465"/>
        <v>0.36812931506849317</v>
      </c>
      <c r="W4964" s="46">
        <f t="shared" si="466"/>
        <v>-9.6877021495393508E-3</v>
      </c>
      <c r="X4964" s="33">
        <f t="shared" si="467"/>
        <v>2.3752939127708449E-2</v>
      </c>
    </row>
    <row r="4965" spans="19:24" x14ac:dyDescent="0.25">
      <c r="S4965" s="44">
        <f t="shared" si="463"/>
        <v>48015</v>
      </c>
      <c r="T4965" s="12">
        <f t="shared" si="464"/>
        <v>0.96609313265239405</v>
      </c>
      <c r="U4965" s="12">
        <f t="shared" si="468"/>
        <v>0.95516873635275734</v>
      </c>
      <c r="V4965" s="30">
        <f t="shared" si="465"/>
        <v>0.36810191780821916</v>
      </c>
      <c r="W4965" s="46">
        <f t="shared" si="466"/>
        <v>-9.6609313265239392E-3</v>
      </c>
      <c r="X4965" s="33">
        <f t="shared" si="467"/>
        <v>2.3752897615435503E-2</v>
      </c>
    </row>
    <row r="4966" spans="19:24" x14ac:dyDescent="0.25">
      <c r="S4966" s="44">
        <f t="shared" si="463"/>
        <v>48016</v>
      </c>
      <c r="T4966" s="12">
        <f t="shared" si="464"/>
        <v>0.96341605035085276</v>
      </c>
      <c r="U4966" s="12">
        <f t="shared" si="468"/>
        <v>0.95251755962796791</v>
      </c>
      <c r="V4966" s="30">
        <f t="shared" si="465"/>
        <v>0.36807452054794521</v>
      </c>
      <c r="W4966" s="46">
        <f t="shared" si="466"/>
        <v>-9.6341605035085258E-3</v>
      </c>
      <c r="X4966" s="33">
        <f t="shared" si="467"/>
        <v>2.3752856103162561E-2</v>
      </c>
    </row>
    <row r="4967" spans="19:24" x14ac:dyDescent="0.25">
      <c r="S4967" s="44">
        <f t="shared" si="463"/>
        <v>48017</v>
      </c>
      <c r="T4967" s="12">
        <f t="shared" si="464"/>
        <v>0.96073896804931147</v>
      </c>
      <c r="U4967" s="12">
        <f t="shared" si="468"/>
        <v>0.94986638290317882</v>
      </c>
      <c r="V4967" s="30">
        <f t="shared" si="465"/>
        <v>0.36804712328767131</v>
      </c>
      <c r="W4967" s="46">
        <f t="shared" si="466"/>
        <v>-9.6073896804931124E-3</v>
      </c>
      <c r="X4967" s="33">
        <f t="shared" si="467"/>
        <v>2.3752814590889623E-2</v>
      </c>
    </row>
    <row r="4968" spans="19:24" x14ac:dyDescent="0.25">
      <c r="S4968" s="44">
        <f t="shared" si="463"/>
        <v>48018</v>
      </c>
      <c r="T4968" s="12">
        <f t="shared" si="464"/>
        <v>0.9580618857477704</v>
      </c>
      <c r="U4968" s="12">
        <f t="shared" si="468"/>
        <v>0.94721520617838939</v>
      </c>
      <c r="V4968" s="30">
        <f t="shared" si="465"/>
        <v>0.3680197260273973</v>
      </c>
      <c r="W4968" s="46">
        <f t="shared" si="466"/>
        <v>-9.5806188574777025E-3</v>
      </c>
      <c r="X4968" s="33">
        <f t="shared" si="467"/>
        <v>2.3752773078616677E-2</v>
      </c>
    </row>
    <row r="4969" spans="19:24" x14ac:dyDescent="0.25">
      <c r="S4969" s="44">
        <f t="shared" si="463"/>
        <v>48019</v>
      </c>
      <c r="T4969" s="12">
        <f t="shared" si="464"/>
        <v>0.95538480344622922</v>
      </c>
      <c r="U4969" s="12">
        <f t="shared" si="468"/>
        <v>0.9445640294536003</v>
      </c>
      <c r="V4969" s="30">
        <f t="shared" si="465"/>
        <v>0.36799232876712329</v>
      </c>
      <c r="W4969" s="46">
        <f t="shared" si="466"/>
        <v>-9.5538480344622909E-3</v>
      </c>
      <c r="X4969" s="33">
        <f t="shared" si="467"/>
        <v>2.3752731566343728E-2</v>
      </c>
    </row>
    <row r="4970" spans="19:24" x14ac:dyDescent="0.25">
      <c r="S4970" s="44">
        <f t="shared" si="463"/>
        <v>48020</v>
      </c>
      <c r="T4970" s="12">
        <f t="shared" si="464"/>
        <v>0.95270772114468794</v>
      </c>
      <c r="U4970" s="12">
        <f t="shared" si="468"/>
        <v>0.94191285272881098</v>
      </c>
      <c r="V4970" s="30">
        <f t="shared" si="465"/>
        <v>0.36796493150684934</v>
      </c>
      <c r="W4970" s="46">
        <f t="shared" si="466"/>
        <v>-9.5270772114468775E-3</v>
      </c>
      <c r="X4970" s="33">
        <f t="shared" si="467"/>
        <v>2.3752690054070786E-2</v>
      </c>
    </row>
    <row r="4971" spans="19:24" x14ac:dyDescent="0.25">
      <c r="S4971" s="44">
        <f t="shared" si="463"/>
        <v>48021</v>
      </c>
      <c r="T4971" s="12">
        <f t="shared" si="464"/>
        <v>0.95003063884314665</v>
      </c>
      <c r="U4971" s="12">
        <f t="shared" si="468"/>
        <v>0.93926167600402144</v>
      </c>
      <c r="V4971" s="30">
        <f t="shared" si="465"/>
        <v>0.36793753424657533</v>
      </c>
      <c r="W4971" s="46">
        <f t="shared" si="466"/>
        <v>-9.5003063884314658E-3</v>
      </c>
      <c r="X4971" s="33">
        <f t="shared" si="467"/>
        <v>2.375264854179784E-2</v>
      </c>
    </row>
    <row r="4972" spans="19:24" x14ac:dyDescent="0.25">
      <c r="S4972" s="44">
        <f t="shared" si="463"/>
        <v>48022</v>
      </c>
      <c r="T4972" s="12">
        <f t="shared" si="464"/>
        <v>0.94735355654160569</v>
      </c>
      <c r="U4972" s="12">
        <f t="shared" si="468"/>
        <v>0.93661049927923223</v>
      </c>
      <c r="V4972" s="30">
        <f t="shared" si="465"/>
        <v>0.36791013698630137</v>
      </c>
      <c r="W4972" s="46">
        <f t="shared" si="466"/>
        <v>-9.4735355654160559E-3</v>
      </c>
      <c r="X4972" s="33">
        <f t="shared" si="467"/>
        <v>2.3752607029524898E-2</v>
      </c>
    </row>
    <row r="4973" spans="19:24" x14ac:dyDescent="0.25">
      <c r="S4973" s="44">
        <f t="shared" si="463"/>
        <v>48023</v>
      </c>
      <c r="T4973" s="12">
        <f t="shared" si="464"/>
        <v>0.94467647424006429</v>
      </c>
      <c r="U4973" s="12">
        <f t="shared" si="468"/>
        <v>0.93395932255444303</v>
      </c>
      <c r="V4973" s="30">
        <f t="shared" si="465"/>
        <v>0.36788273972602742</v>
      </c>
      <c r="W4973" s="46">
        <f t="shared" si="466"/>
        <v>-9.4467647424006408E-3</v>
      </c>
      <c r="X4973" s="33">
        <f t="shared" si="467"/>
        <v>2.3752565517251956E-2</v>
      </c>
    </row>
    <row r="4974" spans="19:24" x14ac:dyDescent="0.25">
      <c r="S4974" s="44">
        <f t="shared" si="463"/>
        <v>48024</v>
      </c>
      <c r="T4974" s="12">
        <f t="shared" si="464"/>
        <v>0.94199939193852322</v>
      </c>
      <c r="U4974" s="12">
        <f t="shared" si="468"/>
        <v>0.93130814582965371</v>
      </c>
      <c r="V4974" s="30">
        <f t="shared" si="465"/>
        <v>0.36785534246575341</v>
      </c>
      <c r="W4974" s="46">
        <f t="shared" si="466"/>
        <v>-9.4199939193852309E-3</v>
      </c>
      <c r="X4974" s="33">
        <f t="shared" si="467"/>
        <v>2.3752524004979007E-2</v>
      </c>
    </row>
    <row r="4975" spans="19:24" x14ac:dyDescent="0.25">
      <c r="S4975" s="44">
        <f t="shared" si="463"/>
        <v>48025</v>
      </c>
      <c r="T4975" s="12">
        <f t="shared" si="464"/>
        <v>0.93932230963698193</v>
      </c>
      <c r="U4975" s="12">
        <f t="shared" si="468"/>
        <v>0.92865696910486417</v>
      </c>
      <c r="V4975" s="30">
        <f t="shared" si="465"/>
        <v>0.3678279452054794</v>
      </c>
      <c r="W4975" s="46">
        <f t="shared" si="466"/>
        <v>-9.3932230963698175E-3</v>
      </c>
      <c r="X4975" s="33">
        <f t="shared" si="467"/>
        <v>2.3752482492706065E-2</v>
      </c>
    </row>
    <row r="4976" spans="19:24" x14ac:dyDescent="0.25">
      <c r="S4976" s="44">
        <f t="shared" si="463"/>
        <v>48026</v>
      </c>
      <c r="T4976" s="12">
        <f t="shared" si="464"/>
        <v>0.93664522733544087</v>
      </c>
      <c r="U4976" s="12">
        <f t="shared" si="468"/>
        <v>0.92600579238007497</v>
      </c>
      <c r="V4976" s="30">
        <f t="shared" si="465"/>
        <v>0.3678005479452055</v>
      </c>
      <c r="W4976" s="46">
        <f t="shared" si="466"/>
        <v>-9.3664522733544076E-3</v>
      </c>
      <c r="X4976" s="33">
        <f t="shared" si="467"/>
        <v>2.3752440980433123E-2</v>
      </c>
    </row>
    <row r="4977" spans="19:24" x14ac:dyDescent="0.25">
      <c r="S4977" s="44">
        <f t="shared" si="463"/>
        <v>48027</v>
      </c>
      <c r="T4977" s="12">
        <f t="shared" si="464"/>
        <v>0.93396814503389958</v>
      </c>
      <c r="U4977" s="12">
        <f t="shared" si="468"/>
        <v>0.92335461565528565</v>
      </c>
      <c r="V4977" s="30">
        <f t="shared" si="465"/>
        <v>0.36777315068493149</v>
      </c>
      <c r="W4977" s="46">
        <f t="shared" si="466"/>
        <v>-9.3396814503389942E-3</v>
      </c>
      <c r="X4977" s="33">
        <f t="shared" si="467"/>
        <v>2.3752399468160178E-2</v>
      </c>
    </row>
    <row r="4978" spans="19:24" x14ac:dyDescent="0.25">
      <c r="S4978" s="44">
        <f t="shared" si="463"/>
        <v>48028</v>
      </c>
      <c r="T4978" s="12">
        <f t="shared" si="464"/>
        <v>0.93129106273235851</v>
      </c>
      <c r="U4978" s="12">
        <f t="shared" si="468"/>
        <v>0.92070343893049666</v>
      </c>
      <c r="V4978" s="30">
        <f t="shared" si="465"/>
        <v>0.36774575342465754</v>
      </c>
      <c r="W4978" s="46">
        <f t="shared" si="466"/>
        <v>-9.3129106273235843E-3</v>
      </c>
      <c r="X4978" s="33">
        <f t="shared" si="467"/>
        <v>2.3752357955887236E-2</v>
      </c>
    </row>
    <row r="4979" spans="19:24" x14ac:dyDescent="0.25">
      <c r="S4979" s="44">
        <f t="shared" ref="S4979:S5042" si="469">+S4978+1</f>
        <v>48029</v>
      </c>
      <c r="T4979" s="12">
        <f t="shared" si="464"/>
        <v>0.92861398043081711</v>
      </c>
      <c r="U4979" s="12">
        <f t="shared" si="468"/>
        <v>0.91805226220570724</v>
      </c>
      <c r="V4979" s="30">
        <f t="shared" si="465"/>
        <v>0.36771835616438359</v>
      </c>
      <c r="W4979" s="46">
        <f t="shared" si="466"/>
        <v>-9.2861398043081692E-3</v>
      </c>
      <c r="X4979" s="33">
        <f t="shared" si="467"/>
        <v>2.3752316443614294E-2</v>
      </c>
    </row>
    <row r="4980" spans="19:24" x14ac:dyDescent="0.25">
      <c r="S4980" s="44">
        <f t="shared" si="469"/>
        <v>48030</v>
      </c>
      <c r="T4980" s="12">
        <f t="shared" si="464"/>
        <v>0.92593689812927604</v>
      </c>
      <c r="U4980" s="12">
        <f t="shared" si="468"/>
        <v>0.9154010854809177</v>
      </c>
      <c r="V4980" s="30">
        <f t="shared" si="465"/>
        <v>0.36769095890410963</v>
      </c>
      <c r="W4980" s="46">
        <f t="shared" si="466"/>
        <v>-9.2593689812927593E-3</v>
      </c>
      <c r="X4980" s="33">
        <f t="shared" si="467"/>
        <v>2.3752274931341352E-2</v>
      </c>
    </row>
    <row r="4981" spans="19:24" x14ac:dyDescent="0.25">
      <c r="S4981" s="44">
        <f t="shared" si="469"/>
        <v>48031</v>
      </c>
      <c r="T4981" s="12">
        <f t="shared" si="464"/>
        <v>0.92325981582773486</v>
      </c>
      <c r="U4981" s="12">
        <f t="shared" si="468"/>
        <v>0.91274990875612871</v>
      </c>
      <c r="V4981" s="30">
        <f t="shared" si="465"/>
        <v>0.36766356164383562</v>
      </c>
      <c r="W4981" s="46">
        <f t="shared" si="466"/>
        <v>-9.2325981582773477E-3</v>
      </c>
      <c r="X4981" s="33">
        <f t="shared" si="467"/>
        <v>2.3752233419068403E-2</v>
      </c>
    </row>
    <row r="4982" spans="19:24" x14ac:dyDescent="0.25">
      <c r="S4982" s="44">
        <f t="shared" si="469"/>
        <v>48032</v>
      </c>
      <c r="T4982" s="12">
        <f t="shared" si="464"/>
        <v>0.92058273352619369</v>
      </c>
      <c r="U4982" s="12">
        <f t="shared" si="468"/>
        <v>0.91009873203133917</v>
      </c>
      <c r="V4982" s="30">
        <f t="shared" si="465"/>
        <v>0.36763616438356167</v>
      </c>
      <c r="W4982" s="46">
        <f t="shared" si="466"/>
        <v>-9.205827335261936E-3</v>
      </c>
      <c r="X4982" s="33">
        <f t="shared" si="467"/>
        <v>2.3752191906795464E-2</v>
      </c>
    </row>
    <row r="4983" spans="19:24" x14ac:dyDescent="0.25">
      <c r="S4983" s="44">
        <f t="shared" si="469"/>
        <v>48033</v>
      </c>
      <c r="T4983" s="12">
        <f t="shared" si="464"/>
        <v>0.91790565122465229</v>
      </c>
      <c r="U4983" s="12">
        <f t="shared" si="468"/>
        <v>0.90744755530654997</v>
      </c>
      <c r="V4983" s="30">
        <f t="shared" si="465"/>
        <v>0.36760876712328766</v>
      </c>
      <c r="W4983" s="46">
        <f t="shared" si="466"/>
        <v>-9.1790565122465209E-3</v>
      </c>
      <c r="X4983" s="33">
        <f t="shared" si="467"/>
        <v>2.3752150394522515E-2</v>
      </c>
    </row>
    <row r="4984" spans="19:24" x14ac:dyDescent="0.25">
      <c r="S4984" s="44">
        <f t="shared" si="469"/>
        <v>48034</v>
      </c>
      <c r="T4984" s="12">
        <f t="shared" si="464"/>
        <v>0.91522856892311122</v>
      </c>
      <c r="U4984" s="12">
        <f t="shared" si="468"/>
        <v>0.90479637858176065</v>
      </c>
      <c r="V4984" s="30">
        <f t="shared" si="465"/>
        <v>0.36758136986301371</v>
      </c>
      <c r="W4984" s="46">
        <f t="shared" si="466"/>
        <v>-9.152285689231111E-3</v>
      </c>
      <c r="X4984" s="33">
        <f t="shared" si="467"/>
        <v>2.3752108882249573E-2</v>
      </c>
    </row>
    <row r="4985" spans="19:24" x14ac:dyDescent="0.25">
      <c r="S4985" s="44">
        <f t="shared" si="469"/>
        <v>48035</v>
      </c>
      <c r="T4985" s="12">
        <f t="shared" si="464"/>
        <v>0.91255148662156993</v>
      </c>
      <c r="U4985" s="12">
        <f t="shared" si="468"/>
        <v>0.90214520185697145</v>
      </c>
      <c r="V4985" s="30">
        <f t="shared" si="465"/>
        <v>0.36755397260273975</v>
      </c>
      <c r="W4985" s="46">
        <f t="shared" si="466"/>
        <v>-9.1255148662156976E-3</v>
      </c>
      <c r="X4985" s="33">
        <f t="shared" si="467"/>
        <v>2.3752067369976631E-2</v>
      </c>
    </row>
    <row r="4986" spans="19:24" x14ac:dyDescent="0.25">
      <c r="S4986" s="44">
        <f t="shared" si="469"/>
        <v>48036</v>
      </c>
      <c r="T4986" s="12">
        <f t="shared" si="464"/>
        <v>0.90987440432002897</v>
      </c>
      <c r="U4986" s="12">
        <f t="shared" si="468"/>
        <v>0.89949402513218235</v>
      </c>
      <c r="V4986" s="30">
        <f t="shared" si="465"/>
        <v>0.36752657534246574</v>
      </c>
      <c r="W4986" s="46">
        <f t="shared" si="466"/>
        <v>-9.0987440432002877E-3</v>
      </c>
      <c r="X4986" s="33">
        <f t="shared" si="467"/>
        <v>2.3752025857703685E-2</v>
      </c>
    </row>
    <row r="4987" spans="19:24" x14ac:dyDescent="0.25">
      <c r="S4987" s="44">
        <f t="shared" si="469"/>
        <v>48037</v>
      </c>
      <c r="T4987" s="12">
        <f t="shared" si="464"/>
        <v>0.90719732201848768</v>
      </c>
      <c r="U4987" s="12">
        <f t="shared" si="468"/>
        <v>0.89684284840739281</v>
      </c>
      <c r="V4987" s="30">
        <f t="shared" si="465"/>
        <v>0.36749917808219174</v>
      </c>
      <c r="W4987" s="46">
        <f t="shared" si="466"/>
        <v>-9.0719732201848761E-3</v>
      </c>
      <c r="X4987" s="33">
        <f t="shared" si="467"/>
        <v>2.3751984345430736E-2</v>
      </c>
    </row>
    <row r="4988" spans="19:24" x14ac:dyDescent="0.25">
      <c r="S4988" s="44">
        <f t="shared" si="469"/>
        <v>48038</v>
      </c>
      <c r="T4988" s="12">
        <f t="shared" si="464"/>
        <v>0.90452023971694628</v>
      </c>
      <c r="U4988" s="12">
        <f t="shared" si="468"/>
        <v>0.89419167168260349</v>
      </c>
      <c r="V4988" s="30">
        <f t="shared" si="465"/>
        <v>0.36747178082191778</v>
      </c>
      <c r="W4988" s="46">
        <f t="shared" si="466"/>
        <v>-9.045202397169461E-3</v>
      </c>
      <c r="X4988" s="33">
        <f t="shared" si="467"/>
        <v>2.3751942833157794E-2</v>
      </c>
    </row>
    <row r="4989" spans="19:24" x14ac:dyDescent="0.25">
      <c r="S4989" s="44">
        <f t="shared" si="469"/>
        <v>48039</v>
      </c>
      <c r="T4989" s="12">
        <f t="shared" si="464"/>
        <v>0.90184315741540522</v>
      </c>
      <c r="U4989" s="12">
        <f t="shared" si="468"/>
        <v>0.89154049495781429</v>
      </c>
      <c r="V4989" s="30">
        <f t="shared" si="465"/>
        <v>0.36744438356164383</v>
      </c>
      <c r="W4989" s="46">
        <f t="shared" si="466"/>
        <v>-9.0184315741540511E-3</v>
      </c>
      <c r="X4989" s="33">
        <f t="shared" si="467"/>
        <v>2.3751901320884852E-2</v>
      </c>
    </row>
    <row r="4990" spans="19:24" x14ac:dyDescent="0.25">
      <c r="S4990" s="44">
        <f t="shared" si="469"/>
        <v>48040</v>
      </c>
      <c r="T4990" s="12">
        <f t="shared" si="464"/>
        <v>0.89916607511386404</v>
      </c>
      <c r="U4990" s="12">
        <f t="shared" si="468"/>
        <v>0.88888931823302497</v>
      </c>
      <c r="V4990" s="30">
        <f t="shared" si="465"/>
        <v>0.36741698630136987</v>
      </c>
      <c r="W4990" s="46">
        <f t="shared" si="466"/>
        <v>-8.9916607511386394E-3</v>
      </c>
      <c r="X4990" s="33">
        <f t="shared" si="467"/>
        <v>2.375185980861191E-2</v>
      </c>
    </row>
    <row r="4991" spans="19:24" x14ac:dyDescent="0.25">
      <c r="S4991" s="44">
        <f t="shared" si="469"/>
        <v>48041</v>
      </c>
      <c r="T4991" s="12">
        <f t="shared" si="464"/>
        <v>0.89648899281232275</v>
      </c>
      <c r="U4991" s="12">
        <f t="shared" si="468"/>
        <v>0.88623814150823554</v>
      </c>
      <c r="V4991" s="30">
        <f t="shared" si="465"/>
        <v>0.36738958904109592</v>
      </c>
      <c r="W4991" s="46">
        <f t="shared" si="466"/>
        <v>-8.964889928123226E-3</v>
      </c>
      <c r="X4991" s="33">
        <f t="shared" si="467"/>
        <v>2.3751818296338968E-2</v>
      </c>
    </row>
    <row r="4992" spans="19:24" x14ac:dyDescent="0.25">
      <c r="S4992" s="44">
        <f t="shared" si="469"/>
        <v>48042</v>
      </c>
      <c r="T4992" s="12">
        <f t="shared" si="464"/>
        <v>0.89381191051078168</v>
      </c>
      <c r="U4992" s="12">
        <f t="shared" si="468"/>
        <v>0.88358696478344623</v>
      </c>
      <c r="V4992" s="30">
        <f t="shared" si="465"/>
        <v>0.36736219178082191</v>
      </c>
      <c r="W4992" s="46">
        <f t="shared" si="466"/>
        <v>-8.9381191051078161E-3</v>
      </c>
      <c r="X4992" s="33">
        <f t="shared" si="467"/>
        <v>2.3751776784066023E-2</v>
      </c>
    </row>
    <row r="4993" spans="19:24" x14ac:dyDescent="0.25">
      <c r="S4993" s="44">
        <f t="shared" si="469"/>
        <v>48043</v>
      </c>
      <c r="T4993" s="12">
        <f t="shared" si="464"/>
        <v>0.89113482820924039</v>
      </c>
      <c r="U4993" s="12">
        <f t="shared" si="468"/>
        <v>0.88093578805865702</v>
      </c>
      <c r="V4993" s="30">
        <f t="shared" si="465"/>
        <v>0.36733479452054801</v>
      </c>
      <c r="W4993" s="46">
        <f t="shared" si="466"/>
        <v>-8.9113482820924027E-3</v>
      </c>
      <c r="X4993" s="33">
        <f t="shared" si="467"/>
        <v>2.3751735271793084E-2</v>
      </c>
    </row>
    <row r="4994" spans="19:24" x14ac:dyDescent="0.25">
      <c r="S4994" s="44">
        <f t="shared" si="469"/>
        <v>48044</v>
      </c>
      <c r="T4994" s="12">
        <f t="shared" si="464"/>
        <v>0.88845774590769921</v>
      </c>
      <c r="U4994" s="12">
        <f t="shared" si="468"/>
        <v>0.87828461133386759</v>
      </c>
      <c r="V4994" s="30">
        <f t="shared" si="465"/>
        <v>0.367307397260274</v>
      </c>
      <c r="W4994" s="46">
        <f t="shared" si="466"/>
        <v>-8.8845774590769911E-3</v>
      </c>
      <c r="X4994" s="33">
        <f t="shared" si="467"/>
        <v>2.3751693759520139E-2</v>
      </c>
    </row>
    <row r="4995" spans="19:24" x14ac:dyDescent="0.25">
      <c r="S4995" s="44">
        <f t="shared" si="469"/>
        <v>48045</v>
      </c>
      <c r="T4995" s="12">
        <f t="shared" si="464"/>
        <v>0.88578066360615793</v>
      </c>
      <c r="U4995" s="12">
        <f t="shared" si="468"/>
        <v>0.87563343460907828</v>
      </c>
      <c r="V4995" s="30">
        <f t="shared" si="465"/>
        <v>0.36728</v>
      </c>
      <c r="W4995" s="46">
        <f t="shared" si="466"/>
        <v>-8.8578066360615777E-3</v>
      </c>
      <c r="X4995" s="33">
        <f t="shared" si="467"/>
        <v>2.375165224724719E-2</v>
      </c>
    </row>
    <row r="4996" spans="19:24" x14ac:dyDescent="0.25">
      <c r="S4996" s="44">
        <f t="shared" si="469"/>
        <v>48046</v>
      </c>
      <c r="T4996" s="12">
        <f t="shared" si="464"/>
        <v>0.88310358130461686</v>
      </c>
      <c r="U4996" s="12">
        <f t="shared" si="468"/>
        <v>0.87298225788428929</v>
      </c>
      <c r="V4996" s="30">
        <f t="shared" si="465"/>
        <v>0.36725260273972604</v>
      </c>
      <c r="W4996" s="46">
        <f t="shared" si="466"/>
        <v>-8.8310358130461678E-3</v>
      </c>
      <c r="X4996" s="33">
        <f t="shared" si="467"/>
        <v>2.3751610734974248E-2</v>
      </c>
    </row>
    <row r="4997" spans="19:24" x14ac:dyDescent="0.25">
      <c r="S4997" s="44">
        <f t="shared" si="469"/>
        <v>48047</v>
      </c>
      <c r="T4997" s="12">
        <f t="shared" ref="T4997:T5060" si="470">DurMod(S4997,B$2,$F$7:$G$37,$T$3)</f>
        <v>0.88042649900307579</v>
      </c>
      <c r="U4997" s="12">
        <f t="shared" si="468"/>
        <v>0.87033108115949986</v>
      </c>
      <c r="V4997" s="30">
        <f t="shared" ref="V4997:V5060" si="471">+$U$3*($S$5512-S4997)/365+$T$3*(S4997-$S$4)/365</f>
        <v>0.36722520547945209</v>
      </c>
      <c r="W4997" s="46">
        <f t="shared" ref="W4997:W5060" si="472">+-T4997*($U$3-$T$3)</f>
        <v>-8.8042649900307562E-3</v>
      </c>
      <c r="X4997" s="33">
        <f t="shared" ref="X4997:X5060" si="473">+(V4997+W4997)*365/($S$5512-$S$4)</f>
        <v>2.3751569222701305E-2</v>
      </c>
    </row>
    <row r="4998" spans="19:24" x14ac:dyDescent="0.25">
      <c r="S4998" s="44">
        <f t="shared" si="469"/>
        <v>48048</v>
      </c>
      <c r="T4998" s="12">
        <f t="shared" si="470"/>
        <v>0.87774941670153428</v>
      </c>
      <c r="U4998" s="12">
        <f t="shared" ref="U4998:U5061" si="474">DurMod($S4998,$B$2,$F$7:$G$37,U$3)</f>
        <v>0.86767990443471055</v>
      </c>
      <c r="V4998" s="30">
        <f t="shared" si="471"/>
        <v>0.36719780821917808</v>
      </c>
      <c r="W4998" s="46">
        <f t="shared" si="472"/>
        <v>-8.7774941670153411E-3</v>
      </c>
      <c r="X4998" s="33">
        <f t="shared" si="473"/>
        <v>2.375152771042836E-2</v>
      </c>
    </row>
    <row r="4999" spans="19:24" x14ac:dyDescent="0.25">
      <c r="S4999" s="44">
        <f t="shared" si="469"/>
        <v>48049</v>
      </c>
      <c r="T4999" s="12">
        <f t="shared" si="470"/>
        <v>0.87507233439999332</v>
      </c>
      <c r="U4999" s="12">
        <f t="shared" si="474"/>
        <v>0.86502872770992134</v>
      </c>
      <c r="V4999" s="30">
        <f t="shared" si="471"/>
        <v>0.36717041095890413</v>
      </c>
      <c r="W4999" s="46">
        <f t="shared" si="472"/>
        <v>-8.7507233439999312E-3</v>
      </c>
      <c r="X4999" s="33">
        <f t="shared" si="473"/>
        <v>2.3751486198155411E-2</v>
      </c>
    </row>
    <row r="5000" spans="19:24" x14ac:dyDescent="0.25">
      <c r="S5000" s="44">
        <f t="shared" si="469"/>
        <v>48050</v>
      </c>
      <c r="T5000" s="12">
        <f t="shared" si="470"/>
        <v>0.87239525209845215</v>
      </c>
      <c r="U5000" s="12">
        <f t="shared" si="474"/>
        <v>0.86237755098513191</v>
      </c>
      <c r="V5000" s="30">
        <f t="shared" si="471"/>
        <v>0.36714301369863012</v>
      </c>
      <c r="W5000" s="46">
        <f t="shared" si="472"/>
        <v>-8.7239525209845195E-3</v>
      </c>
      <c r="X5000" s="33">
        <f t="shared" si="473"/>
        <v>2.3751444685882469E-2</v>
      </c>
    </row>
    <row r="5001" spans="19:24" x14ac:dyDescent="0.25">
      <c r="S5001" s="44">
        <f t="shared" si="469"/>
        <v>48051</v>
      </c>
      <c r="T5001" s="12">
        <f t="shared" si="470"/>
        <v>0.86971816979691086</v>
      </c>
      <c r="U5001" s="12">
        <f t="shared" si="474"/>
        <v>0.85972637426034271</v>
      </c>
      <c r="V5001" s="30">
        <f t="shared" si="471"/>
        <v>0.36711561643835611</v>
      </c>
      <c r="W5001" s="46">
        <f t="shared" si="472"/>
        <v>-8.6971816979691079E-3</v>
      </c>
      <c r="X5001" s="33">
        <f t="shared" si="473"/>
        <v>2.3751403173609523E-2</v>
      </c>
    </row>
    <row r="5002" spans="19:24" x14ac:dyDescent="0.25">
      <c r="S5002" s="44">
        <f t="shared" si="469"/>
        <v>48052</v>
      </c>
      <c r="T5002" s="12">
        <f t="shared" si="470"/>
        <v>0.86704108749536968</v>
      </c>
      <c r="U5002" s="12">
        <f t="shared" si="474"/>
        <v>0.85707519753555328</v>
      </c>
      <c r="V5002" s="30">
        <f t="shared" si="471"/>
        <v>0.36708821917808221</v>
      </c>
      <c r="W5002" s="46">
        <f t="shared" si="472"/>
        <v>-8.6704108749536962E-3</v>
      </c>
      <c r="X5002" s="33">
        <f t="shared" si="473"/>
        <v>2.3751361661336588E-2</v>
      </c>
    </row>
    <row r="5003" spans="19:24" x14ac:dyDescent="0.25">
      <c r="S5003" s="44">
        <f t="shared" si="469"/>
        <v>48053</v>
      </c>
      <c r="T5003" s="12">
        <f t="shared" si="470"/>
        <v>0.8643640051938285</v>
      </c>
      <c r="U5003" s="12">
        <f t="shared" si="474"/>
        <v>0.85442402081076396</v>
      </c>
      <c r="V5003" s="30">
        <f t="shared" si="471"/>
        <v>0.36706082191780826</v>
      </c>
      <c r="W5003" s="46">
        <f t="shared" si="472"/>
        <v>-8.6436400519382828E-3</v>
      </c>
      <c r="X5003" s="33">
        <f t="shared" si="473"/>
        <v>2.3751320149063639E-2</v>
      </c>
    </row>
    <row r="5004" spans="19:24" x14ac:dyDescent="0.25">
      <c r="S5004" s="44">
        <f t="shared" si="469"/>
        <v>48054</v>
      </c>
      <c r="T5004" s="12">
        <f t="shared" si="470"/>
        <v>0.86168692289228743</v>
      </c>
      <c r="U5004" s="12">
        <f t="shared" si="474"/>
        <v>0.85177284408597476</v>
      </c>
      <c r="V5004" s="30">
        <f t="shared" si="471"/>
        <v>0.36703342465753425</v>
      </c>
      <c r="W5004" s="46">
        <f t="shared" si="472"/>
        <v>-8.6168692289228729E-3</v>
      </c>
      <c r="X5004" s="33">
        <f t="shared" si="473"/>
        <v>2.3751278636790697E-2</v>
      </c>
    </row>
    <row r="5005" spans="19:24" x14ac:dyDescent="0.25">
      <c r="S5005" s="44">
        <f t="shared" si="469"/>
        <v>48055</v>
      </c>
      <c r="T5005" s="12">
        <f t="shared" si="470"/>
        <v>0.85900984059074603</v>
      </c>
      <c r="U5005" s="12">
        <f t="shared" si="474"/>
        <v>0.84912166736118533</v>
      </c>
      <c r="V5005" s="30">
        <f t="shared" si="471"/>
        <v>0.36700602739726029</v>
      </c>
      <c r="W5005" s="46">
        <f t="shared" si="472"/>
        <v>-8.5900984059074596E-3</v>
      </c>
      <c r="X5005" s="33">
        <f t="shared" si="473"/>
        <v>2.3751237124517752E-2</v>
      </c>
    </row>
    <row r="5006" spans="19:24" x14ac:dyDescent="0.25">
      <c r="S5006" s="44">
        <f t="shared" si="469"/>
        <v>48056</v>
      </c>
      <c r="T5006" s="12">
        <f t="shared" si="470"/>
        <v>0.85633275828920485</v>
      </c>
      <c r="U5006" s="12">
        <f t="shared" si="474"/>
        <v>0.84647049063639623</v>
      </c>
      <c r="V5006" s="30">
        <f t="shared" si="471"/>
        <v>0.36697863013698634</v>
      </c>
      <c r="W5006" s="46">
        <f t="shared" si="472"/>
        <v>-8.5633275828920479E-3</v>
      </c>
      <c r="X5006" s="33">
        <f t="shared" si="473"/>
        <v>2.3751195612244813E-2</v>
      </c>
    </row>
    <row r="5007" spans="19:24" x14ac:dyDescent="0.25">
      <c r="S5007" s="44">
        <f t="shared" si="469"/>
        <v>48057</v>
      </c>
      <c r="T5007" s="12">
        <f t="shared" si="470"/>
        <v>0.85365567598766379</v>
      </c>
      <c r="U5007" s="12">
        <f t="shared" si="474"/>
        <v>0.84381931391160692</v>
      </c>
      <c r="V5007" s="30">
        <f t="shared" si="471"/>
        <v>0.36695123287671233</v>
      </c>
      <c r="W5007" s="46">
        <f t="shared" si="472"/>
        <v>-8.5365567598766363E-3</v>
      </c>
      <c r="X5007" s="33">
        <f t="shared" si="473"/>
        <v>2.3751154099971868E-2</v>
      </c>
    </row>
    <row r="5008" spans="19:24" x14ac:dyDescent="0.25">
      <c r="S5008" s="44">
        <f t="shared" si="469"/>
        <v>48058</v>
      </c>
      <c r="T5008" s="12">
        <f t="shared" si="470"/>
        <v>0.8509785936861225</v>
      </c>
      <c r="U5008" s="12">
        <f t="shared" si="474"/>
        <v>0.8411681371868176</v>
      </c>
      <c r="V5008" s="30">
        <f t="shared" si="471"/>
        <v>0.36692383561643838</v>
      </c>
      <c r="W5008" s="46">
        <f t="shared" si="472"/>
        <v>-8.5097859368612229E-3</v>
      </c>
      <c r="X5008" s="33">
        <f t="shared" si="473"/>
        <v>2.3751112587698919E-2</v>
      </c>
    </row>
    <row r="5009" spans="19:24" x14ac:dyDescent="0.25">
      <c r="S5009" s="44">
        <f t="shared" si="469"/>
        <v>48059</v>
      </c>
      <c r="T5009" s="12">
        <f t="shared" si="470"/>
        <v>0.84830151138458132</v>
      </c>
      <c r="U5009" s="12">
        <f t="shared" si="474"/>
        <v>0.83851696046202828</v>
      </c>
      <c r="V5009" s="30">
        <f t="shared" si="471"/>
        <v>0.36689643835616437</v>
      </c>
      <c r="W5009" s="46">
        <f t="shared" si="472"/>
        <v>-8.4830151138458113E-3</v>
      </c>
      <c r="X5009" s="33">
        <f t="shared" si="473"/>
        <v>2.3751071075425977E-2</v>
      </c>
    </row>
    <row r="5010" spans="19:24" x14ac:dyDescent="0.25">
      <c r="S5010" s="44">
        <f t="shared" si="469"/>
        <v>48060</v>
      </c>
      <c r="T5010" s="12">
        <f t="shared" si="470"/>
        <v>0.84562442908304025</v>
      </c>
      <c r="U5010" s="12">
        <f t="shared" si="474"/>
        <v>0.83586578373723908</v>
      </c>
      <c r="V5010" s="30">
        <f t="shared" si="471"/>
        <v>0.36686904109589041</v>
      </c>
      <c r="W5010" s="46">
        <f t="shared" si="472"/>
        <v>-8.4562442908304013E-3</v>
      </c>
      <c r="X5010" s="33">
        <f t="shared" si="473"/>
        <v>2.3751029563153031E-2</v>
      </c>
    </row>
    <row r="5011" spans="19:24" x14ac:dyDescent="0.25">
      <c r="S5011" s="44">
        <f t="shared" si="469"/>
        <v>48061</v>
      </c>
      <c r="T5011" s="12">
        <f t="shared" si="470"/>
        <v>0.84294734678149896</v>
      </c>
      <c r="U5011" s="12">
        <f t="shared" si="474"/>
        <v>0.83321460701244932</v>
      </c>
      <c r="V5011" s="30">
        <f t="shared" si="471"/>
        <v>0.36684164383561646</v>
      </c>
      <c r="W5011" s="46">
        <f t="shared" si="472"/>
        <v>-8.429473467814988E-3</v>
      </c>
      <c r="X5011" s="33">
        <f t="shared" si="473"/>
        <v>2.3750988050880092E-2</v>
      </c>
    </row>
    <row r="5012" spans="19:24" x14ac:dyDescent="0.25">
      <c r="S5012" s="44">
        <f t="shared" si="469"/>
        <v>48062</v>
      </c>
      <c r="T5012" s="12">
        <f t="shared" si="470"/>
        <v>0.84027026447995767</v>
      </c>
      <c r="U5012" s="12">
        <f t="shared" si="474"/>
        <v>0.83056343028766033</v>
      </c>
      <c r="V5012" s="30">
        <f t="shared" si="471"/>
        <v>0.36681424657534245</v>
      </c>
      <c r="W5012" s="46">
        <f t="shared" si="472"/>
        <v>-8.4027026447995763E-3</v>
      </c>
      <c r="X5012" s="33">
        <f t="shared" si="473"/>
        <v>2.375094653860714E-2</v>
      </c>
    </row>
    <row r="5013" spans="19:24" x14ac:dyDescent="0.25">
      <c r="S5013" s="44">
        <f t="shared" si="469"/>
        <v>48063</v>
      </c>
      <c r="T5013" s="12">
        <f t="shared" si="470"/>
        <v>0.8375931821784165</v>
      </c>
      <c r="U5013" s="12">
        <f t="shared" si="474"/>
        <v>0.8279122535628709</v>
      </c>
      <c r="V5013" s="30">
        <f t="shared" si="471"/>
        <v>0.36678684931506844</v>
      </c>
      <c r="W5013" s="46">
        <f t="shared" si="472"/>
        <v>-8.3759318217841629E-3</v>
      </c>
      <c r="X5013" s="33">
        <f t="shared" si="473"/>
        <v>2.3750905026334198E-2</v>
      </c>
    </row>
    <row r="5014" spans="19:24" x14ac:dyDescent="0.25">
      <c r="S5014" s="44">
        <f t="shared" si="469"/>
        <v>48064</v>
      </c>
      <c r="T5014" s="12">
        <f t="shared" si="470"/>
        <v>0.8349160998768751</v>
      </c>
      <c r="U5014" s="12">
        <f t="shared" si="474"/>
        <v>0.8252610768380817</v>
      </c>
      <c r="V5014" s="30">
        <f t="shared" si="471"/>
        <v>0.36675945205479454</v>
      </c>
      <c r="W5014" s="46">
        <f t="shared" si="472"/>
        <v>-8.3491609987687496E-3</v>
      </c>
      <c r="X5014" s="33">
        <f t="shared" si="473"/>
        <v>2.3750863514061256E-2</v>
      </c>
    </row>
    <row r="5015" spans="19:24" x14ac:dyDescent="0.25">
      <c r="S5015" s="44">
        <f t="shared" si="469"/>
        <v>48065</v>
      </c>
      <c r="T5015" s="12">
        <f t="shared" si="470"/>
        <v>0.83223901757533414</v>
      </c>
      <c r="U5015" s="12">
        <f t="shared" si="474"/>
        <v>0.8226099001132926</v>
      </c>
      <c r="V5015" s="30">
        <f t="shared" si="471"/>
        <v>0.36673205479452059</v>
      </c>
      <c r="W5015" s="46">
        <f t="shared" si="472"/>
        <v>-8.3223901757533397E-3</v>
      </c>
      <c r="X5015" s="33">
        <f t="shared" si="473"/>
        <v>2.3750822001788321E-2</v>
      </c>
    </row>
    <row r="5016" spans="19:24" x14ac:dyDescent="0.25">
      <c r="S5016" s="44">
        <f t="shared" si="469"/>
        <v>48066</v>
      </c>
      <c r="T5016" s="12">
        <f t="shared" si="470"/>
        <v>0.82956193527379296</v>
      </c>
      <c r="U5016" s="12">
        <f t="shared" si="474"/>
        <v>0.81995872338850329</v>
      </c>
      <c r="V5016" s="30">
        <f t="shared" si="471"/>
        <v>0.36670465753424658</v>
      </c>
      <c r="W5016" s="46">
        <f t="shared" si="472"/>
        <v>-8.295619352737928E-3</v>
      </c>
      <c r="X5016" s="33">
        <f t="shared" si="473"/>
        <v>2.3750780489515368E-2</v>
      </c>
    </row>
    <row r="5017" spans="19:24" x14ac:dyDescent="0.25">
      <c r="S5017" s="44">
        <f t="shared" si="469"/>
        <v>48067</v>
      </c>
      <c r="T5017" s="12">
        <f t="shared" si="470"/>
        <v>0.82688485297225178</v>
      </c>
      <c r="U5017" s="12">
        <f t="shared" si="474"/>
        <v>0.81730754666371375</v>
      </c>
      <c r="V5017" s="30">
        <f t="shared" si="471"/>
        <v>0.36667726027397263</v>
      </c>
      <c r="W5017" s="46">
        <f t="shared" si="472"/>
        <v>-8.2688485297225164E-3</v>
      </c>
      <c r="X5017" s="33">
        <f t="shared" si="473"/>
        <v>2.3750738977242426E-2</v>
      </c>
    </row>
    <row r="5018" spans="19:24" x14ac:dyDescent="0.25">
      <c r="S5018" s="44">
        <f t="shared" si="469"/>
        <v>48068</v>
      </c>
      <c r="T5018" s="12">
        <f t="shared" si="470"/>
        <v>0.8242077706707106</v>
      </c>
      <c r="U5018" s="12">
        <f t="shared" si="474"/>
        <v>0.81465636993892443</v>
      </c>
      <c r="V5018" s="30">
        <f t="shared" si="471"/>
        <v>0.36664986301369867</v>
      </c>
      <c r="W5018" s="46">
        <f t="shared" si="472"/>
        <v>-8.2420777067071047E-3</v>
      </c>
      <c r="X5018" s="33">
        <f t="shared" si="473"/>
        <v>2.3750697464969484E-2</v>
      </c>
    </row>
    <row r="5019" spans="19:24" x14ac:dyDescent="0.25">
      <c r="S5019" s="44">
        <f t="shared" si="469"/>
        <v>48069</v>
      </c>
      <c r="T5019" s="12">
        <f t="shared" si="470"/>
        <v>0.82153068836916932</v>
      </c>
      <c r="U5019" s="12">
        <f t="shared" si="474"/>
        <v>0.81200519321413511</v>
      </c>
      <c r="V5019" s="30">
        <f t="shared" si="471"/>
        <v>0.36662246575342466</v>
      </c>
      <c r="W5019" s="46">
        <f t="shared" si="472"/>
        <v>-8.2153068836916913E-3</v>
      </c>
      <c r="X5019" s="33">
        <f t="shared" si="473"/>
        <v>2.3750655952696535E-2</v>
      </c>
    </row>
    <row r="5020" spans="19:24" x14ac:dyDescent="0.25">
      <c r="S5020" s="44">
        <f t="shared" si="469"/>
        <v>48070</v>
      </c>
      <c r="T5020" s="12">
        <f t="shared" si="470"/>
        <v>0.81885360606762814</v>
      </c>
      <c r="U5020" s="12">
        <f t="shared" si="474"/>
        <v>0.80935401648934602</v>
      </c>
      <c r="V5020" s="30">
        <f t="shared" si="471"/>
        <v>0.36659506849315071</v>
      </c>
      <c r="W5020" s="46">
        <f t="shared" si="472"/>
        <v>-8.1885360606762797E-3</v>
      </c>
      <c r="X5020" s="33">
        <f t="shared" si="473"/>
        <v>2.3750614440423593E-2</v>
      </c>
    </row>
    <row r="5021" spans="19:24" x14ac:dyDescent="0.25">
      <c r="S5021" s="44">
        <f t="shared" si="469"/>
        <v>48071</v>
      </c>
      <c r="T5021" s="12">
        <f t="shared" si="470"/>
        <v>0.81617652376608707</v>
      </c>
      <c r="U5021" s="12">
        <f t="shared" si="474"/>
        <v>0.80670283976455659</v>
      </c>
      <c r="V5021" s="30">
        <f t="shared" si="471"/>
        <v>0.3665676712328767</v>
      </c>
      <c r="W5021" s="46">
        <f t="shared" si="472"/>
        <v>-8.1617652376608698E-3</v>
      </c>
      <c r="X5021" s="33">
        <f t="shared" si="473"/>
        <v>2.3750572928150648E-2</v>
      </c>
    </row>
    <row r="5022" spans="19:24" x14ac:dyDescent="0.25">
      <c r="S5022" s="44">
        <f t="shared" si="469"/>
        <v>48072</v>
      </c>
      <c r="T5022" s="12">
        <f t="shared" si="470"/>
        <v>0.81349944146454578</v>
      </c>
      <c r="U5022" s="12">
        <f t="shared" si="474"/>
        <v>0.80405166303976727</v>
      </c>
      <c r="V5022" s="30">
        <f t="shared" si="471"/>
        <v>0.36654027397260269</v>
      </c>
      <c r="W5022" s="46">
        <f t="shared" si="472"/>
        <v>-8.1349944146454564E-3</v>
      </c>
      <c r="X5022" s="33">
        <f t="shared" si="473"/>
        <v>2.3750531415877706E-2</v>
      </c>
    </row>
    <row r="5023" spans="19:24" x14ac:dyDescent="0.25">
      <c r="S5023" s="44">
        <f t="shared" si="469"/>
        <v>48073</v>
      </c>
      <c r="T5023" s="12">
        <f t="shared" si="470"/>
        <v>0.8108223591630046</v>
      </c>
      <c r="U5023" s="12">
        <f t="shared" si="474"/>
        <v>0.80140048631497796</v>
      </c>
      <c r="V5023" s="30">
        <f t="shared" si="471"/>
        <v>0.36651287671232879</v>
      </c>
      <c r="W5023" s="46">
        <f t="shared" si="472"/>
        <v>-8.1082235916300448E-3</v>
      </c>
      <c r="X5023" s="33">
        <f t="shared" si="473"/>
        <v>2.3750489903604764E-2</v>
      </c>
    </row>
    <row r="5024" spans="19:24" x14ac:dyDescent="0.25">
      <c r="S5024" s="44">
        <f t="shared" si="469"/>
        <v>48074</v>
      </c>
      <c r="T5024" s="12">
        <f t="shared" si="470"/>
        <v>0.80814527686146342</v>
      </c>
      <c r="U5024" s="12">
        <f t="shared" si="474"/>
        <v>0.79874930959018875</v>
      </c>
      <c r="V5024" s="30">
        <f t="shared" si="471"/>
        <v>0.36648547945205479</v>
      </c>
      <c r="W5024" s="46">
        <f t="shared" si="472"/>
        <v>-8.0814527686146331E-3</v>
      </c>
      <c r="X5024" s="33">
        <f t="shared" si="473"/>
        <v>2.3750448391331822E-2</v>
      </c>
    </row>
    <row r="5025" spans="19:24" x14ac:dyDescent="0.25">
      <c r="S5025" s="44">
        <f t="shared" si="469"/>
        <v>48075</v>
      </c>
      <c r="T5025" s="12">
        <f t="shared" si="470"/>
        <v>0.80546819455992213</v>
      </c>
      <c r="U5025" s="12">
        <f t="shared" si="474"/>
        <v>0.79609813286539954</v>
      </c>
      <c r="V5025" s="30">
        <f t="shared" si="471"/>
        <v>0.36645808219178078</v>
      </c>
      <c r="W5025" s="46">
        <f t="shared" si="472"/>
        <v>-8.0546819455992198E-3</v>
      </c>
      <c r="X5025" s="33">
        <f t="shared" si="473"/>
        <v>2.3750406879058876E-2</v>
      </c>
    </row>
    <row r="5026" spans="19:24" x14ac:dyDescent="0.25">
      <c r="S5026" s="44">
        <f t="shared" si="469"/>
        <v>48076</v>
      </c>
      <c r="T5026" s="12">
        <f t="shared" si="470"/>
        <v>0.80279111225838107</v>
      </c>
      <c r="U5026" s="12">
        <f t="shared" si="474"/>
        <v>0.79344695614061012</v>
      </c>
      <c r="V5026" s="30">
        <f t="shared" si="471"/>
        <v>0.36643068493150682</v>
      </c>
      <c r="W5026" s="46">
        <f t="shared" si="472"/>
        <v>-8.0279111225838098E-3</v>
      </c>
      <c r="X5026" s="33">
        <f t="shared" si="473"/>
        <v>2.3750365366785927E-2</v>
      </c>
    </row>
    <row r="5027" spans="19:24" x14ac:dyDescent="0.25">
      <c r="S5027" s="44">
        <f t="shared" si="469"/>
        <v>48077</v>
      </c>
      <c r="T5027" s="12">
        <f t="shared" si="470"/>
        <v>0.80011402995684</v>
      </c>
      <c r="U5027" s="12">
        <f t="shared" si="474"/>
        <v>0.79079577941582091</v>
      </c>
      <c r="V5027" s="30">
        <f t="shared" si="471"/>
        <v>0.36640328767123292</v>
      </c>
      <c r="W5027" s="46">
        <f t="shared" si="472"/>
        <v>-8.0011402995683982E-3</v>
      </c>
      <c r="X5027" s="33">
        <f t="shared" si="473"/>
        <v>2.3750323854512992E-2</v>
      </c>
    </row>
    <row r="5028" spans="19:24" x14ac:dyDescent="0.25">
      <c r="S5028" s="44">
        <f t="shared" si="469"/>
        <v>48078</v>
      </c>
      <c r="T5028" s="12">
        <f t="shared" si="470"/>
        <v>0.7974369476552986</v>
      </c>
      <c r="U5028" s="12">
        <f t="shared" si="474"/>
        <v>0.78814460269103159</v>
      </c>
      <c r="V5028" s="30">
        <f t="shared" si="471"/>
        <v>0.36637589041095892</v>
      </c>
      <c r="W5028" s="46">
        <f t="shared" si="472"/>
        <v>-7.9743694765529848E-3</v>
      </c>
      <c r="X5028" s="33">
        <f t="shared" si="473"/>
        <v>2.3750282342240043E-2</v>
      </c>
    </row>
    <row r="5029" spans="19:24" x14ac:dyDescent="0.25">
      <c r="S5029" s="44">
        <f t="shared" si="469"/>
        <v>48079</v>
      </c>
      <c r="T5029" s="12">
        <f t="shared" si="470"/>
        <v>0.79475986535375742</v>
      </c>
      <c r="U5029" s="12">
        <f t="shared" si="474"/>
        <v>0.7854934259662425</v>
      </c>
      <c r="V5029" s="30">
        <f t="shared" si="471"/>
        <v>0.36634849315068496</v>
      </c>
      <c r="W5029" s="46">
        <f t="shared" si="472"/>
        <v>-7.9475986535375732E-3</v>
      </c>
      <c r="X5029" s="33">
        <f t="shared" si="473"/>
        <v>2.3750240829967101E-2</v>
      </c>
    </row>
    <row r="5030" spans="19:24" x14ac:dyDescent="0.25">
      <c r="S5030" s="44">
        <f t="shared" si="469"/>
        <v>48080</v>
      </c>
      <c r="T5030" s="12">
        <f t="shared" si="470"/>
        <v>0.79208278305221635</v>
      </c>
      <c r="U5030" s="12">
        <f t="shared" si="474"/>
        <v>0.78284224924145307</v>
      </c>
      <c r="V5030" s="30">
        <f t="shared" si="471"/>
        <v>0.36632109589041095</v>
      </c>
      <c r="W5030" s="46">
        <f t="shared" si="472"/>
        <v>-7.9208278305221615E-3</v>
      </c>
      <c r="X5030" s="33">
        <f t="shared" si="473"/>
        <v>2.3750199317694155E-2</v>
      </c>
    </row>
    <row r="5031" spans="19:24" x14ac:dyDescent="0.25">
      <c r="S5031" s="44">
        <f t="shared" si="469"/>
        <v>48081</v>
      </c>
      <c r="T5031" s="12">
        <f t="shared" si="470"/>
        <v>0.78940570075067495</v>
      </c>
      <c r="U5031" s="12">
        <f t="shared" si="474"/>
        <v>0.78019107251666386</v>
      </c>
      <c r="V5031" s="30">
        <f t="shared" si="471"/>
        <v>0.366293698630137</v>
      </c>
      <c r="W5031" s="46">
        <f t="shared" si="472"/>
        <v>-7.8940570075067482E-3</v>
      </c>
      <c r="X5031" s="33">
        <f t="shared" si="473"/>
        <v>2.3750157805421213E-2</v>
      </c>
    </row>
    <row r="5032" spans="19:24" x14ac:dyDescent="0.25">
      <c r="S5032" s="44">
        <f t="shared" si="469"/>
        <v>48082</v>
      </c>
      <c r="T5032" s="12">
        <f t="shared" si="470"/>
        <v>0.78672861844913367</v>
      </c>
      <c r="U5032" s="12">
        <f t="shared" si="474"/>
        <v>0.77753989579187444</v>
      </c>
      <c r="V5032" s="30">
        <f t="shared" si="471"/>
        <v>0.36626630136986305</v>
      </c>
      <c r="W5032" s="46">
        <f t="shared" si="472"/>
        <v>-7.8672861844913348E-3</v>
      </c>
      <c r="X5032" s="33">
        <f t="shared" si="473"/>
        <v>2.3750116293148271E-2</v>
      </c>
    </row>
    <row r="5033" spans="19:24" x14ac:dyDescent="0.25">
      <c r="S5033" s="44">
        <f t="shared" si="469"/>
        <v>48083</v>
      </c>
      <c r="T5033" s="12">
        <f t="shared" si="470"/>
        <v>0.7840515361475926</v>
      </c>
      <c r="U5033" s="12">
        <f t="shared" si="474"/>
        <v>0.77488871906708523</v>
      </c>
      <c r="V5033" s="30">
        <f t="shared" si="471"/>
        <v>0.36623890410958904</v>
      </c>
      <c r="W5033" s="46">
        <f t="shared" si="472"/>
        <v>-7.8405153614759249E-3</v>
      </c>
      <c r="X5033" s="33">
        <f t="shared" si="473"/>
        <v>2.3750074780875329E-2</v>
      </c>
    </row>
    <row r="5034" spans="19:24" x14ac:dyDescent="0.25">
      <c r="S5034" s="44">
        <f t="shared" si="469"/>
        <v>48084</v>
      </c>
      <c r="T5034" s="12">
        <f t="shared" si="470"/>
        <v>0.78137445384605142</v>
      </c>
      <c r="U5034" s="12">
        <f t="shared" si="474"/>
        <v>0.77223754234229591</v>
      </c>
      <c r="V5034" s="30">
        <f t="shared" si="471"/>
        <v>0.36621150684931503</v>
      </c>
      <c r="W5034" s="46">
        <f t="shared" si="472"/>
        <v>-7.8137445384605132E-3</v>
      </c>
      <c r="X5034" s="33">
        <f t="shared" si="473"/>
        <v>2.3750033268602377E-2</v>
      </c>
    </row>
    <row r="5035" spans="19:24" x14ac:dyDescent="0.25">
      <c r="S5035" s="44">
        <f t="shared" si="469"/>
        <v>48085</v>
      </c>
      <c r="T5035" s="12">
        <f t="shared" si="470"/>
        <v>0.77869737154451024</v>
      </c>
      <c r="U5035" s="12">
        <f t="shared" si="474"/>
        <v>0.76958636561750648</v>
      </c>
      <c r="V5035" s="30">
        <f t="shared" si="471"/>
        <v>0.36618410958904113</v>
      </c>
      <c r="W5035" s="46">
        <f t="shared" si="472"/>
        <v>-7.7869737154451016E-3</v>
      </c>
      <c r="X5035" s="33">
        <f t="shared" si="473"/>
        <v>2.3749991756329438E-2</v>
      </c>
    </row>
    <row r="5036" spans="19:24" x14ac:dyDescent="0.25">
      <c r="S5036" s="44">
        <f t="shared" si="469"/>
        <v>48086</v>
      </c>
      <c r="T5036" s="12">
        <f t="shared" si="470"/>
        <v>0.77602028924296895</v>
      </c>
      <c r="U5036" s="12">
        <f t="shared" si="474"/>
        <v>0.76693518889271706</v>
      </c>
      <c r="V5036" s="30">
        <f t="shared" si="471"/>
        <v>0.36615671232876712</v>
      </c>
      <c r="W5036" s="46">
        <f t="shared" si="472"/>
        <v>-7.7602028924296882E-3</v>
      </c>
      <c r="X5036" s="33">
        <f t="shared" si="473"/>
        <v>2.3749950244056493E-2</v>
      </c>
    </row>
    <row r="5037" spans="19:24" x14ac:dyDescent="0.25">
      <c r="S5037" s="44">
        <f t="shared" si="469"/>
        <v>48087</v>
      </c>
      <c r="T5037" s="12">
        <f t="shared" si="470"/>
        <v>0.77334320694142777</v>
      </c>
      <c r="U5037" s="12">
        <f t="shared" si="474"/>
        <v>0.76428401216792785</v>
      </c>
      <c r="V5037" s="30">
        <f t="shared" si="471"/>
        <v>0.36612931506849311</v>
      </c>
      <c r="W5037" s="46">
        <f t="shared" si="472"/>
        <v>-7.7334320694142766E-3</v>
      </c>
      <c r="X5037" s="33">
        <f t="shared" si="473"/>
        <v>2.3749908731783544E-2</v>
      </c>
    </row>
    <row r="5038" spans="19:24" x14ac:dyDescent="0.25">
      <c r="S5038" s="44">
        <f t="shared" si="469"/>
        <v>48088</v>
      </c>
      <c r="T5038" s="12">
        <f t="shared" si="470"/>
        <v>0.77066612463988671</v>
      </c>
      <c r="U5038" s="12">
        <f t="shared" si="474"/>
        <v>0.76163283544313864</v>
      </c>
      <c r="V5038" s="30">
        <f t="shared" si="471"/>
        <v>0.36610191780821916</v>
      </c>
      <c r="W5038" s="46">
        <f t="shared" si="472"/>
        <v>-7.7066612463988658E-3</v>
      </c>
      <c r="X5038" s="33">
        <f t="shared" si="473"/>
        <v>2.3749867219510602E-2</v>
      </c>
    </row>
    <row r="5039" spans="19:24" x14ac:dyDescent="0.25">
      <c r="S5039" s="44">
        <f t="shared" si="469"/>
        <v>48089</v>
      </c>
      <c r="T5039" s="12">
        <f t="shared" si="470"/>
        <v>0.76798904233834542</v>
      </c>
      <c r="U5039" s="12">
        <f t="shared" si="474"/>
        <v>0.75898165871834933</v>
      </c>
      <c r="V5039" s="30">
        <f t="shared" si="471"/>
        <v>0.36607452054794526</v>
      </c>
      <c r="W5039" s="46">
        <f t="shared" si="472"/>
        <v>-7.6798904233834533E-3</v>
      </c>
      <c r="X5039" s="33">
        <f t="shared" si="473"/>
        <v>2.3749825707237666E-2</v>
      </c>
    </row>
    <row r="5040" spans="19:24" x14ac:dyDescent="0.25">
      <c r="S5040" s="44">
        <f t="shared" si="469"/>
        <v>48090</v>
      </c>
      <c r="T5040" s="12">
        <f t="shared" si="470"/>
        <v>0.76531196003680413</v>
      </c>
      <c r="U5040" s="12">
        <f t="shared" si="474"/>
        <v>0.7563304819935599</v>
      </c>
      <c r="V5040" s="30">
        <f t="shared" si="471"/>
        <v>0.36604712328767125</v>
      </c>
      <c r="W5040" s="46">
        <f t="shared" si="472"/>
        <v>-7.6531196003680399E-3</v>
      </c>
      <c r="X5040" s="33">
        <f t="shared" si="473"/>
        <v>2.3749784194964717E-2</v>
      </c>
    </row>
    <row r="5041" spans="19:24" x14ac:dyDescent="0.25">
      <c r="S5041" s="44">
        <f t="shared" si="469"/>
        <v>48091</v>
      </c>
      <c r="T5041" s="12">
        <f t="shared" si="470"/>
        <v>0.76263487773526295</v>
      </c>
      <c r="U5041" s="12">
        <f t="shared" si="474"/>
        <v>0.75367930526877058</v>
      </c>
      <c r="V5041" s="30">
        <f t="shared" si="471"/>
        <v>0.3660197260273973</v>
      </c>
      <c r="W5041" s="46">
        <f t="shared" si="472"/>
        <v>-7.6263487773526283E-3</v>
      </c>
      <c r="X5041" s="33">
        <f t="shared" si="473"/>
        <v>2.3749742682691779E-2</v>
      </c>
    </row>
    <row r="5042" spans="19:24" x14ac:dyDescent="0.25">
      <c r="S5042" s="44">
        <f t="shared" si="469"/>
        <v>48092</v>
      </c>
      <c r="T5042" s="12">
        <f t="shared" si="470"/>
        <v>0.75995779543372177</v>
      </c>
      <c r="U5042" s="12">
        <f t="shared" si="474"/>
        <v>0.75102812854398149</v>
      </c>
      <c r="V5042" s="30">
        <f t="shared" si="471"/>
        <v>0.36599232876712329</v>
      </c>
      <c r="W5042" s="46">
        <f t="shared" si="472"/>
        <v>-7.5995779543372166E-3</v>
      </c>
      <c r="X5042" s="33">
        <f t="shared" si="473"/>
        <v>2.374970117041883E-2</v>
      </c>
    </row>
    <row r="5043" spans="19:24" x14ac:dyDescent="0.25">
      <c r="S5043" s="44">
        <f t="shared" ref="S5043:S5106" si="475">+S5042+1</f>
        <v>48093</v>
      </c>
      <c r="T5043" s="12">
        <f t="shared" si="470"/>
        <v>0.75728071313218071</v>
      </c>
      <c r="U5043" s="12">
        <f t="shared" si="474"/>
        <v>0.74837695181919206</v>
      </c>
      <c r="V5043" s="30">
        <f t="shared" si="471"/>
        <v>0.36596493150684928</v>
      </c>
      <c r="W5043" s="46">
        <f t="shared" si="472"/>
        <v>-7.5728071313218058E-3</v>
      </c>
      <c r="X5043" s="33">
        <f t="shared" si="473"/>
        <v>2.3749659658145884E-2</v>
      </c>
    </row>
    <row r="5044" spans="19:24" x14ac:dyDescent="0.25">
      <c r="S5044" s="44">
        <f t="shared" si="475"/>
        <v>48094</v>
      </c>
      <c r="T5044" s="12">
        <f t="shared" si="470"/>
        <v>0.75460363083063942</v>
      </c>
      <c r="U5044" s="12">
        <f t="shared" si="474"/>
        <v>0.74572577509440274</v>
      </c>
      <c r="V5044" s="30">
        <f t="shared" si="471"/>
        <v>0.36593753424657538</v>
      </c>
      <c r="W5044" s="46">
        <f t="shared" si="472"/>
        <v>-7.5460363083063933E-3</v>
      </c>
      <c r="X5044" s="33">
        <f t="shared" si="473"/>
        <v>2.3749618145872942E-2</v>
      </c>
    </row>
    <row r="5045" spans="19:24" x14ac:dyDescent="0.25">
      <c r="S5045" s="44">
        <f t="shared" si="475"/>
        <v>48095</v>
      </c>
      <c r="T5045" s="12">
        <f t="shared" si="470"/>
        <v>0.75192654852909824</v>
      </c>
      <c r="U5045" s="12">
        <f t="shared" si="474"/>
        <v>0.74307459836961365</v>
      </c>
      <c r="V5045" s="30">
        <f t="shared" si="471"/>
        <v>0.36591013698630137</v>
      </c>
      <c r="W5045" s="46">
        <f t="shared" si="472"/>
        <v>-7.5192654852909808E-3</v>
      </c>
      <c r="X5045" s="33">
        <f t="shared" si="473"/>
        <v>2.37495766336E-2</v>
      </c>
    </row>
    <row r="5046" spans="19:24" x14ac:dyDescent="0.25">
      <c r="S5046" s="44">
        <f t="shared" si="475"/>
        <v>48096</v>
      </c>
      <c r="T5046" s="12">
        <f t="shared" si="470"/>
        <v>0.74924946622755706</v>
      </c>
      <c r="U5046" s="12">
        <f t="shared" si="474"/>
        <v>0.74042342164482422</v>
      </c>
      <c r="V5046" s="30">
        <f t="shared" si="471"/>
        <v>0.36588273972602736</v>
      </c>
      <c r="W5046" s="46">
        <f t="shared" si="472"/>
        <v>-7.4924946622755692E-3</v>
      </c>
      <c r="X5046" s="33">
        <f t="shared" si="473"/>
        <v>2.3749535121327051E-2</v>
      </c>
    </row>
    <row r="5047" spans="19:24" x14ac:dyDescent="0.25">
      <c r="S5047" s="44">
        <f t="shared" si="475"/>
        <v>48097</v>
      </c>
      <c r="T5047" s="12">
        <f t="shared" si="470"/>
        <v>0.74657238392601588</v>
      </c>
      <c r="U5047" s="12">
        <f t="shared" si="474"/>
        <v>0.73777224492003501</v>
      </c>
      <c r="V5047" s="30">
        <f t="shared" si="471"/>
        <v>0.36585534246575346</v>
      </c>
      <c r="W5047" s="46">
        <f t="shared" si="472"/>
        <v>-7.4657238392601575E-3</v>
      </c>
      <c r="X5047" s="33">
        <f t="shared" si="473"/>
        <v>2.3749493609054116E-2</v>
      </c>
    </row>
    <row r="5048" spans="19:24" x14ac:dyDescent="0.25">
      <c r="S5048" s="44">
        <f t="shared" si="475"/>
        <v>48098</v>
      </c>
      <c r="T5048" s="12">
        <f t="shared" si="470"/>
        <v>0.74389530162447459</v>
      </c>
      <c r="U5048" s="12">
        <f t="shared" si="474"/>
        <v>0.7351210681952457</v>
      </c>
      <c r="V5048" s="30">
        <f t="shared" si="471"/>
        <v>0.36582794520547945</v>
      </c>
      <c r="W5048" s="46">
        <f t="shared" si="472"/>
        <v>-7.438953016244745E-3</v>
      </c>
      <c r="X5048" s="33">
        <f t="shared" si="473"/>
        <v>2.3749452096781167E-2</v>
      </c>
    </row>
    <row r="5049" spans="19:24" x14ac:dyDescent="0.25">
      <c r="S5049" s="44">
        <f t="shared" si="475"/>
        <v>48099</v>
      </c>
      <c r="T5049" s="12">
        <f t="shared" si="470"/>
        <v>0.7412182193229333</v>
      </c>
      <c r="U5049" s="12">
        <f t="shared" si="474"/>
        <v>0.73246989147045638</v>
      </c>
      <c r="V5049" s="30">
        <f t="shared" si="471"/>
        <v>0.3658005479452055</v>
      </c>
      <c r="W5049" s="46">
        <f t="shared" si="472"/>
        <v>-7.4121821932293316E-3</v>
      </c>
      <c r="X5049" s="33">
        <f t="shared" si="473"/>
        <v>2.3749410584508225E-2</v>
      </c>
    </row>
    <row r="5050" spans="19:24" x14ac:dyDescent="0.25">
      <c r="S5050" s="44">
        <f t="shared" si="475"/>
        <v>48100</v>
      </c>
      <c r="T5050" s="12">
        <f t="shared" si="470"/>
        <v>0.73854113702139224</v>
      </c>
      <c r="U5050" s="12">
        <f t="shared" si="474"/>
        <v>0.72981871474566695</v>
      </c>
      <c r="V5050" s="30">
        <f t="shared" si="471"/>
        <v>0.36577315068493149</v>
      </c>
      <c r="W5050" s="46">
        <f t="shared" si="472"/>
        <v>-7.3854113702139209E-3</v>
      </c>
      <c r="X5050" s="33">
        <f t="shared" si="473"/>
        <v>2.374936907223528E-2</v>
      </c>
    </row>
    <row r="5051" spans="19:24" x14ac:dyDescent="0.25">
      <c r="S5051" s="44">
        <f t="shared" si="475"/>
        <v>48101</v>
      </c>
      <c r="T5051" s="12">
        <f t="shared" si="470"/>
        <v>0.73586405471985095</v>
      </c>
      <c r="U5051" s="12">
        <f t="shared" si="474"/>
        <v>0.72716753802087764</v>
      </c>
      <c r="V5051" s="30">
        <f t="shared" si="471"/>
        <v>0.36574575342465754</v>
      </c>
      <c r="W5051" s="46">
        <f t="shared" si="472"/>
        <v>-7.3586405471985084E-3</v>
      </c>
      <c r="X5051" s="33">
        <f t="shared" si="473"/>
        <v>2.3749327559962338E-2</v>
      </c>
    </row>
    <row r="5052" spans="19:24" x14ac:dyDescent="0.25">
      <c r="S5052" s="44">
        <f t="shared" si="475"/>
        <v>48102</v>
      </c>
      <c r="T5052" s="12">
        <f t="shared" si="470"/>
        <v>0.73318697241830988</v>
      </c>
      <c r="U5052" s="12">
        <f t="shared" si="474"/>
        <v>0.72451636129608854</v>
      </c>
      <c r="V5052" s="30">
        <f t="shared" si="471"/>
        <v>0.36571835616438358</v>
      </c>
      <c r="W5052" s="46">
        <f t="shared" si="472"/>
        <v>-7.3318697241830976E-3</v>
      </c>
      <c r="X5052" s="33">
        <f t="shared" si="473"/>
        <v>2.3749286047689395E-2</v>
      </c>
    </row>
    <row r="5053" spans="19:24" x14ac:dyDescent="0.25">
      <c r="S5053" s="44">
        <f t="shared" si="475"/>
        <v>48103</v>
      </c>
      <c r="T5053" s="12">
        <f t="shared" si="470"/>
        <v>0.7305098901167687</v>
      </c>
      <c r="U5053" s="12">
        <f t="shared" si="474"/>
        <v>0.72186518457129911</v>
      </c>
      <c r="V5053" s="30">
        <f t="shared" si="471"/>
        <v>0.36569095890410963</v>
      </c>
      <c r="W5053" s="46">
        <f t="shared" si="472"/>
        <v>-7.3050989011676859E-3</v>
      </c>
      <c r="X5053" s="33">
        <f t="shared" si="473"/>
        <v>2.3749244535416447E-2</v>
      </c>
    </row>
    <row r="5054" spans="19:24" x14ac:dyDescent="0.25">
      <c r="S5054" s="44">
        <f t="shared" si="475"/>
        <v>48104</v>
      </c>
      <c r="T5054" s="12">
        <f t="shared" si="470"/>
        <v>0.72783280781522752</v>
      </c>
      <c r="U5054" s="12">
        <f t="shared" si="474"/>
        <v>0.7192140078465098</v>
      </c>
      <c r="V5054" s="30">
        <f t="shared" si="471"/>
        <v>0.36566356164383562</v>
      </c>
      <c r="W5054" s="46">
        <f t="shared" si="472"/>
        <v>-7.2783280781522743E-3</v>
      </c>
      <c r="X5054" s="33">
        <f t="shared" si="473"/>
        <v>2.3749203023143504E-2</v>
      </c>
    </row>
    <row r="5055" spans="19:24" x14ac:dyDescent="0.25">
      <c r="S5055" s="44">
        <f t="shared" si="475"/>
        <v>48105</v>
      </c>
      <c r="T5055" s="12">
        <f t="shared" si="470"/>
        <v>0.72515572551368623</v>
      </c>
      <c r="U5055" s="12">
        <f t="shared" si="474"/>
        <v>0.71656283112172059</v>
      </c>
      <c r="V5055" s="30">
        <f t="shared" si="471"/>
        <v>0.36563616438356161</v>
      </c>
      <c r="W5055" s="46">
        <f t="shared" si="472"/>
        <v>-7.2515572551368609E-3</v>
      </c>
      <c r="X5055" s="33">
        <f t="shared" si="473"/>
        <v>2.3749161510870559E-2</v>
      </c>
    </row>
    <row r="5056" spans="19:24" x14ac:dyDescent="0.25">
      <c r="S5056" s="44">
        <f t="shared" si="475"/>
        <v>48106</v>
      </c>
      <c r="T5056" s="12">
        <f t="shared" si="470"/>
        <v>0.72247864321214506</v>
      </c>
      <c r="U5056" s="12">
        <f t="shared" si="474"/>
        <v>0.71391165439693116</v>
      </c>
      <c r="V5056" s="30">
        <f t="shared" si="471"/>
        <v>0.36560876712328771</v>
      </c>
      <c r="W5056" s="46">
        <f t="shared" si="472"/>
        <v>-7.2247864321214493E-3</v>
      </c>
      <c r="X5056" s="33">
        <f t="shared" si="473"/>
        <v>2.374911999859762E-2</v>
      </c>
    </row>
    <row r="5057" spans="19:24" x14ac:dyDescent="0.25">
      <c r="S5057" s="44">
        <f t="shared" si="475"/>
        <v>48107</v>
      </c>
      <c r="T5057" s="12">
        <f t="shared" si="470"/>
        <v>0.71980156091060388</v>
      </c>
      <c r="U5057" s="12">
        <f t="shared" si="474"/>
        <v>0.71126047767214207</v>
      </c>
      <c r="V5057" s="30">
        <f t="shared" si="471"/>
        <v>0.36558136986301371</v>
      </c>
      <c r="W5057" s="46">
        <f t="shared" si="472"/>
        <v>-7.1980156091060376E-3</v>
      </c>
      <c r="X5057" s="33">
        <f t="shared" si="473"/>
        <v>2.3749078486324675E-2</v>
      </c>
    </row>
    <row r="5058" spans="19:24" x14ac:dyDescent="0.25">
      <c r="S5058" s="44">
        <f t="shared" si="475"/>
        <v>48108</v>
      </c>
      <c r="T5058" s="12">
        <f t="shared" si="470"/>
        <v>0.71712447860906281</v>
      </c>
      <c r="U5058" s="12">
        <f t="shared" si="474"/>
        <v>0.70860930094735275</v>
      </c>
      <c r="V5058" s="30">
        <f t="shared" si="471"/>
        <v>0.3655539726027397</v>
      </c>
      <c r="W5058" s="46">
        <f t="shared" si="472"/>
        <v>-7.1712447860906268E-3</v>
      </c>
      <c r="X5058" s="33">
        <f t="shared" si="473"/>
        <v>2.3749036974051726E-2</v>
      </c>
    </row>
    <row r="5059" spans="19:24" x14ac:dyDescent="0.25">
      <c r="S5059" s="44">
        <f t="shared" si="475"/>
        <v>48109</v>
      </c>
      <c r="T5059" s="12">
        <f t="shared" si="470"/>
        <v>0.71444739630752141</v>
      </c>
      <c r="U5059" s="12">
        <f t="shared" si="474"/>
        <v>0.70595812422256321</v>
      </c>
      <c r="V5059" s="30">
        <f t="shared" si="471"/>
        <v>0.36552657534246574</v>
      </c>
      <c r="W5059" s="46">
        <f t="shared" si="472"/>
        <v>-7.1444739630752126E-3</v>
      </c>
      <c r="X5059" s="33">
        <f t="shared" si="473"/>
        <v>2.3748995461778784E-2</v>
      </c>
    </row>
    <row r="5060" spans="19:24" x14ac:dyDescent="0.25">
      <c r="S5060" s="44">
        <f t="shared" si="475"/>
        <v>48110</v>
      </c>
      <c r="T5060" s="12">
        <f t="shared" si="470"/>
        <v>0.71177031400598023</v>
      </c>
      <c r="U5060" s="12">
        <f t="shared" si="474"/>
        <v>0.70330694749777378</v>
      </c>
      <c r="V5060" s="30">
        <f t="shared" si="471"/>
        <v>0.36549917808219179</v>
      </c>
      <c r="W5060" s="46">
        <f t="shared" si="472"/>
        <v>-7.117703140059801E-3</v>
      </c>
      <c r="X5060" s="33">
        <f t="shared" si="473"/>
        <v>2.3748953949505838E-2</v>
      </c>
    </row>
    <row r="5061" spans="19:24" x14ac:dyDescent="0.25">
      <c r="S5061" s="44">
        <f t="shared" si="475"/>
        <v>48111</v>
      </c>
      <c r="T5061" s="12">
        <f t="shared" ref="T5061:T5124" si="476">DurMod(S5061,B$2,$F$7:$G$37,$T$3)</f>
        <v>0.70909323170443894</v>
      </c>
      <c r="U5061" s="12">
        <f t="shared" si="474"/>
        <v>0.70065577077298458</v>
      </c>
      <c r="V5061" s="30">
        <f t="shared" ref="V5061:V5124" si="477">+$U$3*($S$5512-S5061)/365+$T$3*(S5061-$S$4)/365</f>
        <v>0.36547178082191784</v>
      </c>
      <c r="W5061" s="46">
        <f t="shared" ref="W5061:W5124" si="478">+-T5061*($U$3-$T$3)</f>
        <v>-7.0909323170443884E-3</v>
      </c>
      <c r="X5061" s="33">
        <f t="shared" ref="X5061:X5124" si="479">+(V5061+W5061)*365/($S$5512-$S$4)</f>
        <v>2.3748912437232903E-2</v>
      </c>
    </row>
    <row r="5062" spans="19:24" x14ac:dyDescent="0.25">
      <c r="S5062" s="44">
        <f t="shared" si="475"/>
        <v>48112</v>
      </c>
      <c r="T5062" s="12">
        <f t="shared" si="476"/>
        <v>0.70641614940289776</v>
      </c>
      <c r="U5062" s="12">
        <f t="shared" ref="U5062:U5125" si="480">DurMod($S5062,$B$2,$F$7:$G$37,U$3)</f>
        <v>0.69800459404819537</v>
      </c>
      <c r="V5062" s="30">
        <f t="shared" si="477"/>
        <v>0.36544438356164383</v>
      </c>
      <c r="W5062" s="46">
        <f t="shared" si="478"/>
        <v>-7.0641614940289768E-3</v>
      </c>
      <c r="X5062" s="33">
        <f t="shared" si="479"/>
        <v>2.3748870924959951E-2</v>
      </c>
    </row>
    <row r="5063" spans="19:24" x14ac:dyDescent="0.25">
      <c r="S5063" s="44">
        <f t="shared" si="475"/>
        <v>48113</v>
      </c>
      <c r="T5063" s="12">
        <f t="shared" si="476"/>
        <v>0.70373906710135681</v>
      </c>
      <c r="U5063" s="12">
        <f t="shared" si="480"/>
        <v>0.69535341732340616</v>
      </c>
      <c r="V5063" s="30">
        <f t="shared" si="477"/>
        <v>0.36541698630136987</v>
      </c>
      <c r="W5063" s="46">
        <f t="shared" si="478"/>
        <v>-7.0373906710135669E-3</v>
      </c>
      <c r="X5063" s="33">
        <f t="shared" si="479"/>
        <v>2.3748829412687012E-2</v>
      </c>
    </row>
    <row r="5064" spans="19:24" x14ac:dyDescent="0.25">
      <c r="S5064" s="44">
        <f t="shared" si="475"/>
        <v>48114</v>
      </c>
      <c r="T5064" s="12">
        <f t="shared" si="476"/>
        <v>0.70106198479981541</v>
      </c>
      <c r="U5064" s="12">
        <f t="shared" si="480"/>
        <v>0.69270224059861696</v>
      </c>
      <c r="V5064" s="30">
        <f t="shared" si="477"/>
        <v>0.36538958904109592</v>
      </c>
      <c r="W5064" s="46">
        <f t="shared" si="478"/>
        <v>-7.0106198479981527E-3</v>
      </c>
      <c r="X5064" s="33">
        <f t="shared" si="479"/>
        <v>2.3748787900414067E-2</v>
      </c>
    </row>
    <row r="5065" spans="19:24" x14ac:dyDescent="0.25">
      <c r="S5065" s="44">
        <f t="shared" si="475"/>
        <v>48115</v>
      </c>
      <c r="T5065" s="12">
        <f t="shared" si="476"/>
        <v>0.69838490249827423</v>
      </c>
      <c r="U5065" s="12">
        <f t="shared" si="480"/>
        <v>0.69005106387382753</v>
      </c>
      <c r="V5065" s="30">
        <f t="shared" si="477"/>
        <v>0.36536219178082197</v>
      </c>
      <c r="W5065" s="46">
        <f t="shared" si="478"/>
        <v>-6.983849024982741E-3</v>
      </c>
      <c r="X5065" s="33">
        <f t="shared" si="479"/>
        <v>2.3748746388141128E-2</v>
      </c>
    </row>
    <row r="5066" spans="19:24" x14ac:dyDescent="0.25">
      <c r="S5066" s="44">
        <f t="shared" si="475"/>
        <v>48116</v>
      </c>
      <c r="T5066" s="12">
        <f t="shared" si="476"/>
        <v>0.69570782019673305</v>
      </c>
      <c r="U5066" s="12">
        <f t="shared" si="480"/>
        <v>0.68739988714903821</v>
      </c>
      <c r="V5066" s="30">
        <f t="shared" si="477"/>
        <v>0.36533479452054796</v>
      </c>
      <c r="W5066" s="46">
        <f t="shared" si="478"/>
        <v>-6.9570782019673294E-3</v>
      </c>
      <c r="X5066" s="33">
        <f t="shared" si="479"/>
        <v>2.3748704875868176E-2</v>
      </c>
    </row>
    <row r="5067" spans="19:24" x14ac:dyDescent="0.25">
      <c r="S5067" s="44">
        <f t="shared" si="475"/>
        <v>48117</v>
      </c>
      <c r="T5067" s="12">
        <f t="shared" si="476"/>
        <v>0.69303073789519209</v>
      </c>
      <c r="U5067" s="12">
        <f t="shared" si="480"/>
        <v>0.68474871042424912</v>
      </c>
      <c r="V5067" s="30">
        <f t="shared" si="477"/>
        <v>0.365307397260274</v>
      </c>
      <c r="W5067" s="46">
        <f t="shared" si="478"/>
        <v>-6.9303073789519203E-3</v>
      </c>
      <c r="X5067" s="33">
        <f t="shared" si="479"/>
        <v>2.374866336359524E-2</v>
      </c>
    </row>
    <row r="5068" spans="19:24" x14ac:dyDescent="0.25">
      <c r="S5068" s="44">
        <f t="shared" si="475"/>
        <v>48118</v>
      </c>
      <c r="T5068" s="12">
        <f t="shared" si="476"/>
        <v>0.69035365559365081</v>
      </c>
      <c r="U5068" s="12">
        <f t="shared" si="480"/>
        <v>0.68209753369945969</v>
      </c>
      <c r="V5068" s="30">
        <f t="shared" si="477"/>
        <v>0.36528000000000005</v>
      </c>
      <c r="W5068" s="46">
        <f t="shared" si="478"/>
        <v>-6.9035365559365069E-3</v>
      </c>
      <c r="X5068" s="33">
        <f t="shared" si="479"/>
        <v>2.3748621851322291E-2</v>
      </c>
    </row>
    <row r="5069" spans="19:24" x14ac:dyDescent="0.25">
      <c r="S5069" s="44">
        <f t="shared" si="475"/>
        <v>48119</v>
      </c>
      <c r="T5069" s="12">
        <f t="shared" si="476"/>
        <v>0.68767657329210941</v>
      </c>
      <c r="U5069" s="12">
        <f t="shared" si="480"/>
        <v>0.67944635697467037</v>
      </c>
      <c r="V5069" s="30">
        <f t="shared" si="477"/>
        <v>0.36525260273972604</v>
      </c>
      <c r="W5069" s="46">
        <f t="shared" si="478"/>
        <v>-6.8767657329210927E-3</v>
      </c>
      <c r="X5069" s="33">
        <f t="shared" si="479"/>
        <v>2.3748580339049346E-2</v>
      </c>
    </row>
    <row r="5070" spans="19:24" x14ac:dyDescent="0.25">
      <c r="S5070" s="44">
        <f t="shared" si="475"/>
        <v>48120</v>
      </c>
      <c r="T5070" s="12">
        <f t="shared" si="476"/>
        <v>0.68499949099056834</v>
      </c>
      <c r="U5070" s="12">
        <f t="shared" si="480"/>
        <v>0.67679518024988095</v>
      </c>
      <c r="V5070" s="30">
        <f t="shared" si="477"/>
        <v>0.36522520547945209</v>
      </c>
      <c r="W5070" s="46">
        <f t="shared" si="478"/>
        <v>-6.8499949099056819E-3</v>
      </c>
      <c r="X5070" s="33">
        <f t="shared" si="479"/>
        <v>2.3748538826776404E-2</v>
      </c>
    </row>
    <row r="5071" spans="19:24" x14ac:dyDescent="0.25">
      <c r="S5071" s="44">
        <f t="shared" si="475"/>
        <v>48121</v>
      </c>
      <c r="T5071" s="12">
        <f t="shared" si="476"/>
        <v>0.68232240868902705</v>
      </c>
      <c r="U5071" s="12">
        <f t="shared" si="480"/>
        <v>0.67414400352509185</v>
      </c>
      <c r="V5071" s="30">
        <f t="shared" si="477"/>
        <v>0.36519780821917808</v>
      </c>
      <c r="W5071" s="46">
        <f t="shared" si="478"/>
        <v>-6.8232240868902694E-3</v>
      </c>
      <c r="X5071" s="33">
        <f t="shared" si="479"/>
        <v>2.3748497314503455E-2</v>
      </c>
    </row>
    <row r="5072" spans="19:24" x14ac:dyDescent="0.25">
      <c r="S5072" s="44">
        <f t="shared" si="475"/>
        <v>48122</v>
      </c>
      <c r="T5072" s="12">
        <f t="shared" si="476"/>
        <v>0.67964532638748598</v>
      </c>
      <c r="U5072" s="12">
        <f t="shared" si="480"/>
        <v>0.67149282680030253</v>
      </c>
      <c r="V5072" s="30">
        <f t="shared" si="477"/>
        <v>0.36517041095890407</v>
      </c>
      <c r="W5072" s="46">
        <f t="shared" si="478"/>
        <v>-6.7964532638748586E-3</v>
      </c>
      <c r="X5072" s="33">
        <f t="shared" si="479"/>
        <v>2.3748455802230513E-2</v>
      </c>
    </row>
    <row r="5073" spans="19:24" x14ac:dyDescent="0.25">
      <c r="S5073" s="44">
        <f t="shared" si="475"/>
        <v>48123</v>
      </c>
      <c r="T5073" s="12">
        <f t="shared" si="476"/>
        <v>0.67696824408594469</v>
      </c>
      <c r="U5073" s="12">
        <f t="shared" si="480"/>
        <v>0.66884165007551299</v>
      </c>
      <c r="V5073" s="30">
        <f t="shared" si="477"/>
        <v>0.36514301369863017</v>
      </c>
      <c r="W5073" s="46">
        <f t="shared" si="478"/>
        <v>-6.7696824408594461E-3</v>
      </c>
      <c r="X5073" s="33">
        <f t="shared" si="479"/>
        <v>2.3748414289957571E-2</v>
      </c>
    </row>
    <row r="5074" spans="19:24" x14ac:dyDescent="0.25">
      <c r="S5074" s="44">
        <f t="shared" si="475"/>
        <v>48124</v>
      </c>
      <c r="T5074" s="12">
        <f t="shared" si="476"/>
        <v>0.67429116178440363</v>
      </c>
      <c r="U5074" s="12">
        <f t="shared" si="480"/>
        <v>0.66619047335072379</v>
      </c>
      <c r="V5074" s="30">
        <f t="shared" si="477"/>
        <v>0.36511561643835616</v>
      </c>
      <c r="W5074" s="46">
        <f t="shared" si="478"/>
        <v>-6.7429116178440354E-3</v>
      </c>
      <c r="X5074" s="33">
        <f t="shared" si="479"/>
        <v>2.3748372777684629E-2</v>
      </c>
    </row>
    <row r="5075" spans="19:24" x14ac:dyDescent="0.25">
      <c r="S5075" s="44">
        <f t="shared" si="475"/>
        <v>48125</v>
      </c>
      <c r="T5075" s="12">
        <f t="shared" si="476"/>
        <v>0.67161407948286234</v>
      </c>
      <c r="U5075" s="12">
        <f t="shared" si="480"/>
        <v>0.66353929662593458</v>
      </c>
      <c r="V5075" s="30">
        <f t="shared" si="477"/>
        <v>0.36508821917808221</v>
      </c>
      <c r="W5075" s="46">
        <f t="shared" si="478"/>
        <v>-6.716140794828622E-3</v>
      </c>
      <c r="X5075" s="33">
        <f t="shared" si="479"/>
        <v>2.3748331265411683E-2</v>
      </c>
    </row>
    <row r="5076" spans="19:24" x14ac:dyDescent="0.25">
      <c r="S5076" s="44">
        <f t="shared" si="475"/>
        <v>48126</v>
      </c>
      <c r="T5076" s="12">
        <f t="shared" si="476"/>
        <v>0.66893699718132127</v>
      </c>
      <c r="U5076" s="12">
        <f t="shared" si="480"/>
        <v>0.66088811990114527</v>
      </c>
      <c r="V5076" s="30">
        <f t="shared" si="477"/>
        <v>0.3650608219178082</v>
      </c>
      <c r="W5076" s="46">
        <f t="shared" si="478"/>
        <v>-6.6893699718132121E-3</v>
      </c>
      <c r="X5076" s="33">
        <f t="shared" si="479"/>
        <v>2.3748289753138741E-2</v>
      </c>
    </row>
    <row r="5077" spans="19:24" x14ac:dyDescent="0.25">
      <c r="S5077" s="44">
        <f t="shared" si="475"/>
        <v>48127</v>
      </c>
      <c r="T5077" s="12">
        <f t="shared" si="476"/>
        <v>0.66625991487977998</v>
      </c>
      <c r="U5077" s="12">
        <f t="shared" si="480"/>
        <v>0.65823694317635584</v>
      </c>
      <c r="V5077" s="30">
        <f t="shared" si="477"/>
        <v>0.3650334246575343</v>
      </c>
      <c r="W5077" s="46">
        <f t="shared" si="478"/>
        <v>-6.6625991487977987E-3</v>
      </c>
      <c r="X5077" s="33">
        <f t="shared" si="479"/>
        <v>2.3748248240865799E-2</v>
      </c>
    </row>
    <row r="5078" spans="19:24" x14ac:dyDescent="0.25">
      <c r="S5078" s="44">
        <f t="shared" si="475"/>
        <v>48128</v>
      </c>
      <c r="T5078" s="12">
        <f t="shared" si="476"/>
        <v>0.6635828325782388</v>
      </c>
      <c r="U5078" s="12">
        <f t="shared" si="480"/>
        <v>0.65558576645156685</v>
      </c>
      <c r="V5078" s="30">
        <f t="shared" si="477"/>
        <v>0.36500602739726029</v>
      </c>
      <c r="W5078" s="46">
        <f t="shared" si="478"/>
        <v>-6.635828325782387E-3</v>
      </c>
      <c r="X5078" s="33">
        <f t="shared" si="479"/>
        <v>2.374820672859285E-2</v>
      </c>
    </row>
    <row r="5079" spans="19:24" x14ac:dyDescent="0.25">
      <c r="S5079" s="44">
        <f t="shared" si="475"/>
        <v>48129</v>
      </c>
      <c r="T5079" s="12">
        <f t="shared" si="476"/>
        <v>0.6609057502766974</v>
      </c>
      <c r="U5079" s="12">
        <f t="shared" si="480"/>
        <v>0.65293458972677743</v>
      </c>
      <c r="V5079" s="30">
        <f t="shared" si="477"/>
        <v>0.36497863013698634</v>
      </c>
      <c r="W5079" s="46">
        <f t="shared" si="478"/>
        <v>-6.6090575027669728E-3</v>
      </c>
      <c r="X5079" s="33">
        <f t="shared" si="479"/>
        <v>2.3748165216319908E-2</v>
      </c>
    </row>
    <row r="5080" spans="19:24" x14ac:dyDescent="0.25">
      <c r="S5080" s="44">
        <f t="shared" si="475"/>
        <v>48130</v>
      </c>
      <c r="T5080" s="12">
        <f t="shared" si="476"/>
        <v>0.65822866797515622</v>
      </c>
      <c r="U5080" s="12">
        <f t="shared" si="480"/>
        <v>0.650283413001988</v>
      </c>
      <c r="V5080" s="30">
        <f t="shared" si="477"/>
        <v>0.36495123287671233</v>
      </c>
      <c r="W5080" s="46">
        <f t="shared" si="478"/>
        <v>-6.5822866797515612E-3</v>
      </c>
      <c r="X5080" s="33">
        <f t="shared" si="479"/>
        <v>2.3748123704046963E-2</v>
      </c>
    </row>
    <row r="5081" spans="19:24" x14ac:dyDescent="0.25">
      <c r="S5081" s="44">
        <f t="shared" si="475"/>
        <v>48131</v>
      </c>
      <c r="T5081" s="12">
        <f t="shared" si="476"/>
        <v>0.65555158567361504</v>
      </c>
      <c r="U5081" s="12">
        <f t="shared" si="480"/>
        <v>0.64763223627719868</v>
      </c>
      <c r="V5081" s="30">
        <f t="shared" si="477"/>
        <v>0.36492383561643837</v>
      </c>
      <c r="W5081" s="46">
        <f t="shared" si="478"/>
        <v>-6.5555158567361495E-3</v>
      </c>
      <c r="X5081" s="33">
        <f t="shared" si="479"/>
        <v>2.374808219177402E-2</v>
      </c>
    </row>
    <row r="5082" spans="19:24" x14ac:dyDescent="0.25">
      <c r="S5082" s="44">
        <f t="shared" si="475"/>
        <v>48132</v>
      </c>
      <c r="T5082" s="12">
        <f t="shared" si="476"/>
        <v>0.65287450337207398</v>
      </c>
      <c r="U5082" s="12">
        <f t="shared" si="480"/>
        <v>0.64498105955240947</v>
      </c>
      <c r="V5082" s="30">
        <f t="shared" si="477"/>
        <v>0.36489643835616442</v>
      </c>
      <c r="W5082" s="46">
        <f t="shared" si="478"/>
        <v>-6.5287450337207387E-3</v>
      </c>
      <c r="X5082" s="33">
        <f t="shared" si="479"/>
        <v>2.3748040679501078E-2</v>
      </c>
    </row>
    <row r="5083" spans="19:24" x14ac:dyDescent="0.25">
      <c r="S5083" s="44">
        <f t="shared" si="475"/>
        <v>48133</v>
      </c>
      <c r="T5083" s="12">
        <f t="shared" si="476"/>
        <v>0.6501974210705328</v>
      </c>
      <c r="U5083" s="12">
        <f t="shared" si="480"/>
        <v>0.64232988282762027</v>
      </c>
      <c r="V5083" s="30">
        <f t="shared" si="477"/>
        <v>0.36486904109589041</v>
      </c>
      <c r="W5083" s="46">
        <f t="shared" si="478"/>
        <v>-6.5019742107053271E-3</v>
      </c>
      <c r="X5083" s="33">
        <f t="shared" si="479"/>
        <v>2.3747999167228136E-2</v>
      </c>
    </row>
    <row r="5084" spans="19:24" x14ac:dyDescent="0.25">
      <c r="S5084" s="44">
        <f t="shared" si="475"/>
        <v>48134</v>
      </c>
      <c r="T5084" s="12">
        <f t="shared" si="476"/>
        <v>0.64752033876899162</v>
      </c>
      <c r="U5084" s="12">
        <f t="shared" si="480"/>
        <v>0.63967870610283084</v>
      </c>
      <c r="V5084" s="30">
        <f t="shared" si="477"/>
        <v>0.3648416438356164</v>
      </c>
      <c r="W5084" s="46">
        <f t="shared" si="478"/>
        <v>-6.4752033876899154E-3</v>
      </c>
      <c r="X5084" s="33">
        <f t="shared" si="479"/>
        <v>2.3747957654955184E-2</v>
      </c>
    </row>
    <row r="5085" spans="19:24" x14ac:dyDescent="0.25">
      <c r="S5085" s="44">
        <f t="shared" si="475"/>
        <v>48135</v>
      </c>
      <c r="T5085" s="12">
        <f t="shared" si="476"/>
        <v>0.64484325646745033</v>
      </c>
      <c r="U5085" s="12">
        <f t="shared" si="480"/>
        <v>0.63702752937804175</v>
      </c>
      <c r="V5085" s="30">
        <f t="shared" si="477"/>
        <v>0.36481424657534245</v>
      </c>
      <c r="W5085" s="46">
        <f t="shared" si="478"/>
        <v>-6.4484325646745021E-3</v>
      </c>
      <c r="X5085" s="33">
        <f t="shared" si="479"/>
        <v>2.3747916142682249E-2</v>
      </c>
    </row>
    <row r="5086" spans="19:24" x14ac:dyDescent="0.25">
      <c r="S5086" s="44">
        <f t="shared" si="475"/>
        <v>48136</v>
      </c>
      <c r="T5086" s="12">
        <f t="shared" si="476"/>
        <v>0.64216617416590926</v>
      </c>
      <c r="U5086" s="12">
        <f t="shared" si="480"/>
        <v>0.63437635265325221</v>
      </c>
      <c r="V5086" s="30">
        <f t="shared" si="477"/>
        <v>0.3647868493150685</v>
      </c>
      <c r="W5086" s="46">
        <f t="shared" si="478"/>
        <v>-6.4216617416590913E-3</v>
      </c>
      <c r="X5086" s="33">
        <f t="shared" si="479"/>
        <v>2.37478746304093E-2</v>
      </c>
    </row>
    <row r="5087" spans="19:24" x14ac:dyDescent="0.25">
      <c r="S5087" s="44">
        <f t="shared" si="475"/>
        <v>48137</v>
      </c>
      <c r="T5087" s="12">
        <f t="shared" si="476"/>
        <v>0.63948909186436809</v>
      </c>
      <c r="U5087" s="12">
        <f t="shared" si="480"/>
        <v>0.631725175928463</v>
      </c>
      <c r="V5087" s="30">
        <f t="shared" si="477"/>
        <v>0.36475945205479454</v>
      </c>
      <c r="W5087" s="46">
        <f t="shared" si="478"/>
        <v>-6.3948909186436797E-3</v>
      </c>
      <c r="X5087" s="33">
        <f t="shared" si="479"/>
        <v>2.3747833118136358E-2</v>
      </c>
    </row>
    <row r="5088" spans="19:24" x14ac:dyDescent="0.25">
      <c r="S5088" s="44">
        <f t="shared" si="475"/>
        <v>48138</v>
      </c>
      <c r="T5088" s="12">
        <f t="shared" si="476"/>
        <v>0.6368120095628268</v>
      </c>
      <c r="U5088" s="12">
        <f t="shared" si="480"/>
        <v>0.62907399920367379</v>
      </c>
      <c r="V5088" s="30">
        <f t="shared" si="477"/>
        <v>0.36473205479452053</v>
      </c>
      <c r="W5088" s="46">
        <f t="shared" si="478"/>
        <v>-6.3681200956282671E-3</v>
      </c>
      <c r="X5088" s="33">
        <f t="shared" si="479"/>
        <v>2.3747791605863412E-2</v>
      </c>
    </row>
    <row r="5089" spans="19:24" x14ac:dyDescent="0.25">
      <c r="S5089" s="44">
        <f t="shared" si="475"/>
        <v>48139</v>
      </c>
      <c r="T5089" s="12">
        <f t="shared" si="476"/>
        <v>0.63413492726128551</v>
      </c>
      <c r="U5089" s="12">
        <f t="shared" si="480"/>
        <v>0.62642282247888437</v>
      </c>
      <c r="V5089" s="30">
        <f t="shared" si="477"/>
        <v>0.36470465753424663</v>
      </c>
      <c r="W5089" s="46">
        <f t="shared" si="478"/>
        <v>-6.3413492726128538E-3</v>
      </c>
      <c r="X5089" s="33">
        <f t="shared" si="479"/>
        <v>2.3747750093590474E-2</v>
      </c>
    </row>
    <row r="5090" spans="19:24" x14ac:dyDescent="0.25">
      <c r="S5090" s="44">
        <f t="shared" si="475"/>
        <v>48140</v>
      </c>
      <c r="T5090" s="12">
        <f t="shared" si="476"/>
        <v>0.63145784495974444</v>
      </c>
      <c r="U5090" s="12">
        <f t="shared" si="480"/>
        <v>0.62377164575409505</v>
      </c>
      <c r="V5090" s="30">
        <f t="shared" si="477"/>
        <v>0.36467726027397263</v>
      </c>
      <c r="W5090" s="46">
        <f t="shared" si="478"/>
        <v>-6.3145784495974439E-3</v>
      </c>
      <c r="X5090" s="33">
        <f t="shared" si="479"/>
        <v>2.3747708581317528E-2</v>
      </c>
    </row>
    <row r="5091" spans="19:24" x14ac:dyDescent="0.25">
      <c r="S5091" s="44">
        <f t="shared" si="475"/>
        <v>48141</v>
      </c>
      <c r="T5091" s="12">
        <f t="shared" si="476"/>
        <v>0.62878076265820315</v>
      </c>
      <c r="U5091" s="12">
        <f t="shared" si="480"/>
        <v>0.62112046902930584</v>
      </c>
      <c r="V5091" s="30">
        <f t="shared" si="477"/>
        <v>0.36464986301369867</v>
      </c>
      <c r="W5091" s="46">
        <f t="shared" si="478"/>
        <v>-6.2878076265820305E-3</v>
      </c>
      <c r="X5091" s="33">
        <f t="shared" si="479"/>
        <v>2.3747667069044586E-2</v>
      </c>
    </row>
    <row r="5092" spans="19:24" x14ac:dyDescent="0.25">
      <c r="S5092" s="44">
        <f t="shared" si="475"/>
        <v>48142</v>
      </c>
      <c r="T5092" s="12">
        <f t="shared" si="476"/>
        <v>0.62610368035666197</v>
      </c>
      <c r="U5092" s="12">
        <f t="shared" si="480"/>
        <v>0.61846929230451653</v>
      </c>
      <c r="V5092" s="30">
        <f t="shared" si="477"/>
        <v>0.36462246575342466</v>
      </c>
      <c r="W5092" s="46">
        <f t="shared" si="478"/>
        <v>-6.2610368035666188E-3</v>
      </c>
      <c r="X5092" s="33">
        <f t="shared" si="479"/>
        <v>2.3747625556771637E-2</v>
      </c>
    </row>
    <row r="5093" spans="19:24" x14ac:dyDescent="0.25">
      <c r="S5093" s="44">
        <f t="shared" si="475"/>
        <v>48143</v>
      </c>
      <c r="T5093" s="12">
        <f t="shared" si="476"/>
        <v>0.6234265980551208</v>
      </c>
      <c r="U5093" s="12">
        <f t="shared" si="480"/>
        <v>0.61581811557972732</v>
      </c>
      <c r="V5093" s="30">
        <f t="shared" si="477"/>
        <v>0.36459506849315071</v>
      </c>
      <c r="W5093" s="46">
        <f t="shared" si="478"/>
        <v>-6.2342659805512072E-3</v>
      </c>
      <c r="X5093" s="33">
        <f t="shared" si="479"/>
        <v>2.3747584044498695E-2</v>
      </c>
    </row>
    <row r="5094" spans="19:24" x14ac:dyDescent="0.25">
      <c r="S5094" s="44">
        <f t="shared" si="475"/>
        <v>48144</v>
      </c>
      <c r="T5094" s="12">
        <f t="shared" si="476"/>
        <v>0.62074951575357962</v>
      </c>
      <c r="U5094" s="12">
        <f t="shared" si="480"/>
        <v>0.61316693885493789</v>
      </c>
      <c r="V5094" s="30">
        <f t="shared" si="477"/>
        <v>0.36456767123287676</v>
      </c>
      <c r="W5094" s="46">
        <f t="shared" si="478"/>
        <v>-6.2074951575357955E-3</v>
      </c>
      <c r="X5094" s="33">
        <f t="shared" si="479"/>
        <v>2.3747542532225753E-2</v>
      </c>
    </row>
    <row r="5095" spans="19:24" x14ac:dyDescent="0.25">
      <c r="S5095" s="44">
        <f t="shared" si="475"/>
        <v>48145</v>
      </c>
      <c r="T5095" s="12">
        <f t="shared" si="476"/>
        <v>0.61807243345203844</v>
      </c>
      <c r="U5095" s="12">
        <f t="shared" si="480"/>
        <v>0.6105157621301488</v>
      </c>
      <c r="V5095" s="30">
        <f t="shared" si="477"/>
        <v>0.36454027397260275</v>
      </c>
      <c r="W5095" s="46">
        <f t="shared" si="478"/>
        <v>-6.180724334520383E-3</v>
      </c>
      <c r="X5095" s="33">
        <f t="shared" si="479"/>
        <v>2.3747501019952807E-2</v>
      </c>
    </row>
    <row r="5096" spans="19:24" x14ac:dyDescent="0.25">
      <c r="S5096" s="44">
        <f t="shared" si="475"/>
        <v>48146</v>
      </c>
      <c r="T5096" s="12">
        <f t="shared" si="476"/>
        <v>0.61539535115049726</v>
      </c>
      <c r="U5096" s="12">
        <f t="shared" si="480"/>
        <v>0.60786458540535937</v>
      </c>
      <c r="V5096" s="30">
        <f t="shared" si="477"/>
        <v>0.36451287671232874</v>
      </c>
      <c r="W5096" s="46">
        <f t="shared" si="478"/>
        <v>-6.1539535115049714E-3</v>
      </c>
      <c r="X5096" s="33">
        <f t="shared" si="479"/>
        <v>2.3747459507679858E-2</v>
      </c>
    </row>
    <row r="5097" spans="19:24" x14ac:dyDescent="0.25">
      <c r="S5097" s="44">
        <f t="shared" si="475"/>
        <v>48147</v>
      </c>
      <c r="T5097" s="12">
        <f t="shared" si="476"/>
        <v>0.61271826884895608</v>
      </c>
      <c r="U5097" s="12">
        <f t="shared" si="480"/>
        <v>0.60521340868057016</v>
      </c>
      <c r="V5097" s="30">
        <f t="shared" si="477"/>
        <v>0.36448547945205478</v>
      </c>
      <c r="W5097" s="46">
        <f t="shared" si="478"/>
        <v>-6.1271826884895597E-3</v>
      </c>
      <c r="X5097" s="33">
        <f t="shared" si="479"/>
        <v>2.3747417995406916E-2</v>
      </c>
    </row>
    <row r="5098" spans="19:24" x14ac:dyDescent="0.25">
      <c r="S5098" s="44">
        <f t="shared" si="475"/>
        <v>48148</v>
      </c>
      <c r="T5098" s="12">
        <f t="shared" si="476"/>
        <v>0.6100411865474149</v>
      </c>
      <c r="U5098" s="12">
        <f t="shared" si="480"/>
        <v>0.60256223195578074</v>
      </c>
      <c r="V5098" s="30">
        <f t="shared" si="477"/>
        <v>0.36445808219178083</v>
      </c>
      <c r="W5098" s="46">
        <f t="shared" si="478"/>
        <v>-6.1004118654741481E-3</v>
      </c>
      <c r="X5098" s="33">
        <f t="shared" si="479"/>
        <v>2.3747376483133974E-2</v>
      </c>
    </row>
    <row r="5099" spans="19:24" x14ac:dyDescent="0.25">
      <c r="S5099" s="44">
        <f t="shared" si="475"/>
        <v>48149</v>
      </c>
      <c r="T5099" s="12">
        <f t="shared" si="476"/>
        <v>0.60736410424587362</v>
      </c>
      <c r="U5099" s="12">
        <f t="shared" si="480"/>
        <v>0.59991105523099142</v>
      </c>
      <c r="V5099" s="30">
        <f t="shared" si="477"/>
        <v>0.36443068493150688</v>
      </c>
      <c r="W5099" s="46">
        <f t="shared" si="478"/>
        <v>-6.0736410424587356E-3</v>
      </c>
      <c r="X5099" s="33">
        <f t="shared" si="479"/>
        <v>2.3747334970861036E-2</v>
      </c>
    </row>
    <row r="5100" spans="19:24" x14ac:dyDescent="0.25">
      <c r="S5100" s="44">
        <f t="shared" si="475"/>
        <v>48150</v>
      </c>
      <c r="T5100" s="12">
        <f t="shared" si="476"/>
        <v>0.60468702194433244</v>
      </c>
      <c r="U5100" s="12">
        <f t="shared" si="480"/>
        <v>0.5972598785062021</v>
      </c>
      <c r="V5100" s="30">
        <f t="shared" si="477"/>
        <v>0.36440328767123287</v>
      </c>
      <c r="W5100" s="46">
        <f t="shared" si="478"/>
        <v>-6.0468702194433231E-3</v>
      </c>
      <c r="X5100" s="33">
        <f t="shared" si="479"/>
        <v>2.3747293458588087E-2</v>
      </c>
    </row>
    <row r="5101" spans="19:24" x14ac:dyDescent="0.25">
      <c r="S5101" s="44">
        <f t="shared" si="475"/>
        <v>48151</v>
      </c>
      <c r="T5101" s="12">
        <f t="shared" si="476"/>
        <v>0.60200993964279126</v>
      </c>
      <c r="U5101" s="12">
        <f t="shared" si="480"/>
        <v>0.5946087017814129</v>
      </c>
      <c r="V5101" s="30">
        <f t="shared" si="477"/>
        <v>0.36437589041095891</v>
      </c>
      <c r="W5101" s="46">
        <f t="shared" si="478"/>
        <v>-6.0200993964279114E-3</v>
      </c>
      <c r="X5101" s="33">
        <f t="shared" si="479"/>
        <v>2.3747251946315145E-2</v>
      </c>
    </row>
    <row r="5102" spans="19:24" x14ac:dyDescent="0.25">
      <c r="S5102" s="44">
        <f t="shared" si="475"/>
        <v>48152</v>
      </c>
      <c r="T5102" s="12">
        <f t="shared" si="476"/>
        <v>0.59933285734124997</v>
      </c>
      <c r="U5102" s="12">
        <f t="shared" si="480"/>
        <v>0.59195752505662347</v>
      </c>
      <c r="V5102" s="30">
        <f t="shared" si="477"/>
        <v>0.36434849315068496</v>
      </c>
      <c r="W5102" s="46">
        <f t="shared" si="478"/>
        <v>-5.9933285734124989E-3</v>
      </c>
      <c r="X5102" s="33">
        <f t="shared" si="479"/>
        <v>2.3747210434042203E-2</v>
      </c>
    </row>
    <row r="5103" spans="19:24" x14ac:dyDescent="0.25">
      <c r="S5103" s="44">
        <f t="shared" si="475"/>
        <v>48153</v>
      </c>
      <c r="T5103" s="12">
        <f t="shared" si="476"/>
        <v>0.5966557750397089</v>
      </c>
      <c r="U5103" s="12">
        <f t="shared" si="480"/>
        <v>0.58930634833183426</v>
      </c>
      <c r="V5103" s="30">
        <f t="shared" si="477"/>
        <v>0.36432109589041101</v>
      </c>
      <c r="W5103" s="46">
        <f t="shared" si="478"/>
        <v>-5.9665577503970882E-3</v>
      </c>
      <c r="X5103" s="33">
        <f t="shared" si="479"/>
        <v>2.3747168921769261E-2</v>
      </c>
    </row>
    <row r="5104" spans="19:24" x14ac:dyDescent="0.25">
      <c r="S5104" s="44">
        <f t="shared" si="475"/>
        <v>48154</v>
      </c>
      <c r="T5104" s="12">
        <f t="shared" si="476"/>
        <v>0.59397869273816772</v>
      </c>
      <c r="U5104" s="12">
        <f t="shared" si="480"/>
        <v>0.58665517160704483</v>
      </c>
      <c r="V5104" s="30">
        <f t="shared" si="477"/>
        <v>0.364293698630137</v>
      </c>
      <c r="W5104" s="46">
        <f t="shared" si="478"/>
        <v>-5.9397869273816765E-3</v>
      </c>
      <c r="X5104" s="33">
        <f t="shared" si="479"/>
        <v>2.3747127409496315E-2</v>
      </c>
    </row>
    <row r="5105" spans="19:24" x14ac:dyDescent="0.25">
      <c r="S5105" s="44">
        <f t="shared" si="475"/>
        <v>48155</v>
      </c>
      <c r="T5105" s="12">
        <f t="shared" si="476"/>
        <v>0.59130161043662655</v>
      </c>
      <c r="U5105" s="12">
        <f t="shared" si="480"/>
        <v>0.58400399488225563</v>
      </c>
      <c r="V5105" s="30">
        <f t="shared" si="477"/>
        <v>0.36426630136986299</v>
      </c>
      <c r="W5105" s="46">
        <f t="shared" si="478"/>
        <v>-5.9130161043662649E-3</v>
      </c>
      <c r="X5105" s="33">
        <f t="shared" si="479"/>
        <v>2.3747085897223366E-2</v>
      </c>
    </row>
    <row r="5106" spans="19:24" x14ac:dyDescent="0.25">
      <c r="S5106" s="44">
        <f t="shared" si="475"/>
        <v>48156</v>
      </c>
      <c r="T5106" s="12">
        <f t="shared" si="476"/>
        <v>0.58862452813508537</v>
      </c>
      <c r="U5106" s="12">
        <f t="shared" si="480"/>
        <v>0.58135281815746631</v>
      </c>
      <c r="V5106" s="30">
        <f t="shared" si="477"/>
        <v>0.36423890410958903</v>
      </c>
      <c r="W5106" s="46">
        <f t="shared" si="478"/>
        <v>-5.8862452813508524E-3</v>
      </c>
      <c r="X5106" s="33">
        <f t="shared" si="479"/>
        <v>2.3747044384950424E-2</v>
      </c>
    </row>
    <row r="5107" spans="19:24" x14ac:dyDescent="0.25">
      <c r="S5107" s="44">
        <f t="shared" ref="S5107:S5170" si="481">+S5106+1</f>
        <v>48157</v>
      </c>
      <c r="T5107" s="12">
        <f t="shared" si="476"/>
        <v>0.58594744583354408</v>
      </c>
      <c r="U5107" s="12">
        <f t="shared" si="480"/>
        <v>0.57870164143267711</v>
      </c>
      <c r="V5107" s="30">
        <f t="shared" si="477"/>
        <v>0.36421150684931508</v>
      </c>
      <c r="W5107" s="46">
        <f t="shared" si="478"/>
        <v>-5.8594744583354398E-3</v>
      </c>
      <c r="X5107" s="33">
        <f t="shared" si="479"/>
        <v>2.3747002872677482E-2</v>
      </c>
    </row>
    <row r="5108" spans="19:24" x14ac:dyDescent="0.25">
      <c r="S5108" s="44">
        <f t="shared" si="481"/>
        <v>48158</v>
      </c>
      <c r="T5108" s="12">
        <f t="shared" si="476"/>
        <v>0.58327036353200301</v>
      </c>
      <c r="U5108" s="12">
        <f t="shared" si="480"/>
        <v>0.57605046470788779</v>
      </c>
      <c r="V5108" s="30">
        <f t="shared" si="477"/>
        <v>0.36418410958904107</v>
      </c>
      <c r="W5108" s="46">
        <f t="shared" si="478"/>
        <v>-5.8327036353200291E-3</v>
      </c>
      <c r="X5108" s="33">
        <f t="shared" si="479"/>
        <v>2.3746961360404537E-2</v>
      </c>
    </row>
    <row r="5109" spans="19:24" x14ac:dyDescent="0.25">
      <c r="S5109" s="44">
        <f t="shared" si="481"/>
        <v>48159</v>
      </c>
      <c r="T5109" s="12">
        <f t="shared" si="476"/>
        <v>0.58059328123046172</v>
      </c>
      <c r="U5109" s="12">
        <f t="shared" si="480"/>
        <v>0.57339928798309847</v>
      </c>
      <c r="V5109" s="30">
        <f t="shared" si="477"/>
        <v>0.36415671232876712</v>
      </c>
      <c r="W5109" s="46">
        <f t="shared" si="478"/>
        <v>-5.8059328123046166E-3</v>
      </c>
      <c r="X5109" s="33">
        <f t="shared" si="479"/>
        <v>2.3746919848131594E-2</v>
      </c>
    </row>
    <row r="5110" spans="19:24" x14ac:dyDescent="0.25">
      <c r="S5110" s="44">
        <f t="shared" si="481"/>
        <v>48160</v>
      </c>
      <c r="T5110" s="12">
        <f t="shared" si="476"/>
        <v>0.57791619892892043</v>
      </c>
      <c r="U5110" s="12">
        <f t="shared" si="480"/>
        <v>0.57074811125830904</v>
      </c>
      <c r="V5110" s="30">
        <f t="shared" si="477"/>
        <v>0.36412931506849311</v>
      </c>
      <c r="W5110" s="46">
        <f t="shared" si="478"/>
        <v>-5.7791619892892032E-3</v>
      </c>
      <c r="X5110" s="33">
        <f t="shared" si="479"/>
        <v>2.3746878335858645E-2</v>
      </c>
    </row>
    <row r="5111" spans="19:24" x14ac:dyDescent="0.25">
      <c r="S5111" s="44">
        <f t="shared" si="481"/>
        <v>48161</v>
      </c>
      <c r="T5111" s="12">
        <f t="shared" si="476"/>
        <v>0.57523911662737914</v>
      </c>
      <c r="U5111" s="12">
        <f t="shared" si="480"/>
        <v>0.56809693453351973</v>
      </c>
      <c r="V5111" s="30">
        <f t="shared" si="477"/>
        <v>0.36410191780821921</v>
      </c>
      <c r="W5111" s="46">
        <f t="shared" si="478"/>
        <v>-5.7523911662737907E-3</v>
      </c>
      <c r="X5111" s="33">
        <f t="shared" si="479"/>
        <v>2.374683682358571E-2</v>
      </c>
    </row>
    <row r="5112" spans="19:24" x14ac:dyDescent="0.25">
      <c r="S5112" s="44">
        <f t="shared" si="481"/>
        <v>48162</v>
      </c>
      <c r="T5112" s="12">
        <f t="shared" si="476"/>
        <v>0.57256203432583819</v>
      </c>
      <c r="U5112" s="12">
        <f t="shared" si="480"/>
        <v>0.56544575780873041</v>
      </c>
      <c r="V5112" s="30">
        <f t="shared" si="477"/>
        <v>0.3640745205479452</v>
      </c>
      <c r="W5112" s="46">
        <f t="shared" si="478"/>
        <v>-5.7256203432583808E-3</v>
      </c>
      <c r="X5112" s="33">
        <f t="shared" si="479"/>
        <v>2.3746795311312758E-2</v>
      </c>
    </row>
    <row r="5113" spans="19:24" x14ac:dyDescent="0.25">
      <c r="S5113" s="44">
        <f t="shared" si="481"/>
        <v>48163</v>
      </c>
      <c r="T5113" s="12">
        <f t="shared" si="476"/>
        <v>0.5698849520242969</v>
      </c>
      <c r="U5113" s="12">
        <f t="shared" si="480"/>
        <v>0.5627945810839412</v>
      </c>
      <c r="V5113" s="30">
        <f t="shared" si="477"/>
        <v>0.36404712328767125</v>
      </c>
      <c r="W5113" s="46">
        <f t="shared" si="478"/>
        <v>-5.6988495202429683E-3</v>
      </c>
      <c r="X5113" s="33">
        <f t="shared" si="479"/>
        <v>2.3746753799039819E-2</v>
      </c>
    </row>
    <row r="5114" spans="19:24" x14ac:dyDescent="0.25">
      <c r="S5114" s="44">
        <f t="shared" si="481"/>
        <v>48164</v>
      </c>
      <c r="T5114" s="12">
        <f t="shared" si="476"/>
        <v>0.56720786972275572</v>
      </c>
      <c r="U5114" s="12">
        <f t="shared" si="480"/>
        <v>0.56014340435915189</v>
      </c>
      <c r="V5114" s="30">
        <f t="shared" si="477"/>
        <v>0.36401972602739724</v>
      </c>
      <c r="W5114" s="46">
        <f t="shared" si="478"/>
        <v>-5.6720786972275566E-3</v>
      </c>
      <c r="X5114" s="33">
        <f t="shared" si="479"/>
        <v>2.3746712286766874E-2</v>
      </c>
    </row>
    <row r="5115" spans="19:24" x14ac:dyDescent="0.25">
      <c r="S5115" s="44">
        <f t="shared" si="481"/>
        <v>48165</v>
      </c>
      <c r="T5115" s="12">
        <f t="shared" si="476"/>
        <v>0.56453078742121443</v>
      </c>
      <c r="U5115" s="12">
        <f t="shared" si="480"/>
        <v>0.55749222763436279</v>
      </c>
      <c r="V5115" s="30">
        <f t="shared" si="477"/>
        <v>0.36399232876712334</v>
      </c>
      <c r="W5115" s="46">
        <f t="shared" si="478"/>
        <v>-5.6453078742121432E-3</v>
      </c>
      <c r="X5115" s="33">
        <f t="shared" si="479"/>
        <v>2.3746670774493935E-2</v>
      </c>
    </row>
    <row r="5116" spans="19:24" x14ac:dyDescent="0.25">
      <c r="S5116" s="44">
        <f t="shared" si="481"/>
        <v>48166</v>
      </c>
      <c r="T5116" s="12">
        <f t="shared" si="476"/>
        <v>0.56185370511967347</v>
      </c>
      <c r="U5116" s="12">
        <f t="shared" si="480"/>
        <v>0.55484105090957336</v>
      </c>
      <c r="V5116" s="30">
        <f t="shared" si="477"/>
        <v>0.36396493150684933</v>
      </c>
      <c r="W5116" s="46">
        <f t="shared" si="478"/>
        <v>-5.6185370511967342E-3</v>
      </c>
      <c r="X5116" s="33">
        <f t="shared" si="479"/>
        <v>2.3746629262220983E-2</v>
      </c>
    </row>
    <row r="5117" spans="19:24" x14ac:dyDescent="0.25">
      <c r="S5117" s="44">
        <f t="shared" si="481"/>
        <v>48167</v>
      </c>
      <c r="T5117" s="12">
        <f t="shared" si="476"/>
        <v>0.55917662281813219</v>
      </c>
      <c r="U5117" s="12">
        <f t="shared" si="480"/>
        <v>0.55218987418478405</v>
      </c>
      <c r="V5117" s="30">
        <f t="shared" si="477"/>
        <v>0.36393753424657532</v>
      </c>
      <c r="W5117" s="46">
        <f t="shared" si="478"/>
        <v>-5.5917662281813208E-3</v>
      </c>
      <c r="X5117" s="33">
        <f t="shared" si="479"/>
        <v>2.3746587749948041E-2</v>
      </c>
    </row>
    <row r="5118" spans="19:24" x14ac:dyDescent="0.25">
      <c r="S5118" s="44">
        <f t="shared" si="481"/>
        <v>48168</v>
      </c>
      <c r="T5118" s="12">
        <f t="shared" si="476"/>
        <v>0.5564995405165909</v>
      </c>
      <c r="U5118" s="12">
        <f t="shared" si="480"/>
        <v>0.54953869745999473</v>
      </c>
      <c r="V5118" s="30">
        <f t="shared" si="477"/>
        <v>0.36391013698630137</v>
      </c>
      <c r="W5118" s="46">
        <f t="shared" si="478"/>
        <v>-5.5649954051659083E-3</v>
      </c>
      <c r="X5118" s="33">
        <f t="shared" si="479"/>
        <v>2.3746546237675099E-2</v>
      </c>
    </row>
    <row r="5119" spans="19:24" x14ac:dyDescent="0.25">
      <c r="S5119" s="44">
        <f t="shared" si="481"/>
        <v>48169</v>
      </c>
      <c r="T5119" s="12">
        <f t="shared" si="476"/>
        <v>0.55382245821504961</v>
      </c>
      <c r="U5119" s="12">
        <f t="shared" si="480"/>
        <v>0.54688752073520552</v>
      </c>
      <c r="V5119" s="30">
        <f t="shared" si="477"/>
        <v>0.36388273972602736</v>
      </c>
      <c r="W5119" s="46">
        <f t="shared" si="478"/>
        <v>-5.5382245821504949E-3</v>
      </c>
      <c r="X5119" s="33">
        <f t="shared" si="479"/>
        <v>2.3746504725402153E-2</v>
      </c>
    </row>
    <row r="5120" spans="19:24" x14ac:dyDescent="0.25">
      <c r="S5120" s="44">
        <f t="shared" si="481"/>
        <v>48170</v>
      </c>
      <c r="T5120" s="12">
        <f t="shared" si="476"/>
        <v>0.55114537591350843</v>
      </c>
      <c r="U5120" s="12">
        <f t="shared" si="480"/>
        <v>0.5442363440104161</v>
      </c>
      <c r="V5120" s="30">
        <f t="shared" si="477"/>
        <v>0.36385534246575341</v>
      </c>
      <c r="W5120" s="46">
        <f t="shared" si="478"/>
        <v>-5.5114537591350833E-3</v>
      </c>
      <c r="X5120" s="33">
        <f t="shared" si="479"/>
        <v>2.3746463213129211E-2</v>
      </c>
    </row>
    <row r="5121" spans="19:24" x14ac:dyDescent="0.25">
      <c r="S5121" s="44">
        <f t="shared" si="481"/>
        <v>48171</v>
      </c>
      <c r="T5121" s="12">
        <f t="shared" si="476"/>
        <v>0.54846829361196725</v>
      </c>
      <c r="U5121" s="12">
        <f t="shared" si="480"/>
        <v>0.54158516728562689</v>
      </c>
      <c r="V5121" s="30">
        <f t="shared" si="477"/>
        <v>0.36382794520547945</v>
      </c>
      <c r="W5121" s="46">
        <f t="shared" si="478"/>
        <v>-5.4846829361196716E-3</v>
      </c>
      <c r="X5121" s="33">
        <f t="shared" si="479"/>
        <v>2.3746421700856269E-2</v>
      </c>
    </row>
    <row r="5122" spans="19:24" x14ac:dyDescent="0.25">
      <c r="S5122" s="44">
        <f t="shared" si="481"/>
        <v>48172</v>
      </c>
      <c r="T5122" s="12">
        <f t="shared" si="476"/>
        <v>0.54579121131042607</v>
      </c>
      <c r="U5122" s="12">
        <f t="shared" si="480"/>
        <v>0.53893399056083757</v>
      </c>
      <c r="V5122" s="30">
        <f t="shared" si="477"/>
        <v>0.36380054794520544</v>
      </c>
      <c r="W5122" s="46">
        <f t="shared" si="478"/>
        <v>-5.45791211310426E-3</v>
      </c>
      <c r="X5122" s="33">
        <f t="shared" si="479"/>
        <v>2.3746380188583324E-2</v>
      </c>
    </row>
    <row r="5123" spans="19:24" x14ac:dyDescent="0.25">
      <c r="S5123" s="44">
        <f t="shared" si="481"/>
        <v>48173</v>
      </c>
      <c r="T5123" s="12">
        <f t="shared" si="476"/>
        <v>0.54311412900888489</v>
      </c>
      <c r="U5123" s="12">
        <f t="shared" si="480"/>
        <v>0.53628281383604826</v>
      </c>
      <c r="V5123" s="30">
        <f t="shared" si="477"/>
        <v>0.36377315068493155</v>
      </c>
      <c r="W5123" s="46">
        <f t="shared" si="478"/>
        <v>-5.4311412900888483E-3</v>
      </c>
      <c r="X5123" s="33">
        <f t="shared" si="479"/>
        <v>2.3746338676310381E-2</v>
      </c>
    </row>
    <row r="5124" spans="19:24" x14ac:dyDescent="0.25">
      <c r="S5124" s="44">
        <f t="shared" si="481"/>
        <v>48174</v>
      </c>
      <c r="T5124" s="12">
        <f t="shared" si="476"/>
        <v>0.54043704670734372</v>
      </c>
      <c r="U5124" s="12">
        <f t="shared" si="480"/>
        <v>0.53363163711125894</v>
      </c>
      <c r="V5124" s="30">
        <f t="shared" si="477"/>
        <v>0.36374575342465759</v>
      </c>
      <c r="W5124" s="46">
        <f t="shared" si="478"/>
        <v>-5.4043704670734367E-3</v>
      </c>
      <c r="X5124" s="33">
        <f t="shared" si="479"/>
        <v>2.3746297164037439E-2</v>
      </c>
    </row>
    <row r="5125" spans="19:24" x14ac:dyDescent="0.25">
      <c r="S5125" s="44">
        <f t="shared" si="481"/>
        <v>48175</v>
      </c>
      <c r="T5125" s="12">
        <f t="shared" ref="T5125:T5188" si="482">DurMod(S5125,B$2,$F$7:$G$37,$T$3)</f>
        <v>0.53775996440580265</v>
      </c>
      <c r="U5125" s="12">
        <f t="shared" si="480"/>
        <v>0.53098046038646984</v>
      </c>
      <c r="V5125" s="30">
        <f t="shared" ref="V5125:V5188" si="483">+$U$3*($S$5512-S5125)/365+$T$3*(S5125-$S$4)/365</f>
        <v>0.36371835616438358</v>
      </c>
      <c r="W5125" s="46">
        <f t="shared" ref="W5125:W5188" si="484">+-T5125*($U$3-$T$3)</f>
        <v>-5.3775996440580259E-3</v>
      </c>
      <c r="X5125" s="33">
        <f t="shared" ref="X5125:X5188" si="485">+(V5125+W5125)*365/($S$5512-$S$4)</f>
        <v>2.374625565176449E-2</v>
      </c>
    </row>
    <row r="5126" spans="19:24" x14ac:dyDescent="0.25">
      <c r="S5126" s="44">
        <f t="shared" si="481"/>
        <v>48176</v>
      </c>
      <c r="T5126" s="12">
        <f t="shared" si="482"/>
        <v>0.53508288210426125</v>
      </c>
      <c r="U5126" s="12">
        <f t="shared" ref="U5126:U5189" si="486">DurMod($S5126,$B$2,$F$7:$G$37,U$3)</f>
        <v>0.52832928366168042</v>
      </c>
      <c r="V5126" s="30">
        <f t="shared" si="483"/>
        <v>0.36369095890410957</v>
      </c>
      <c r="W5126" s="46">
        <f t="shared" si="484"/>
        <v>-5.3508288210426117E-3</v>
      </c>
      <c r="X5126" s="33">
        <f t="shared" si="485"/>
        <v>2.3746214139491548E-2</v>
      </c>
    </row>
    <row r="5127" spans="19:24" x14ac:dyDescent="0.25">
      <c r="S5127" s="44">
        <f t="shared" si="481"/>
        <v>48177</v>
      </c>
      <c r="T5127" s="12">
        <f t="shared" si="482"/>
        <v>0.53240579980272007</v>
      </c>
      <c r="U5127" s="12">
        <f t="shared" si="486"/>
        <v>0.5256781069368911</v>
      </c>
      <c r="V5127" s="30">
        <f t="shared" si="483"/>
        <v>0.36366356164383562</v>
      </c>
      <c r="W5127" s="46">
        <f t="shared" si="484"/>
        <v>-5.3240579980272E-3</v>
      </c>
      <c r="X5127" s="33">
        <f t="shared" si="485"/>
        <v>2.3746172627218603E-2</v>
      </c>
    </row>
    <row r="5128" spans="19:24" x14ac:dyDescent="0.25">
      <c r="S5128" s="44">
        <f t="shared" si="481"/>
        <v>48178</v>
      </c>
      <c r="T5128" s="12">
        <f t="shared" si="482"/>
        <v>0.529728717501179</v>
      </c>
      <c r="U5128" s="12">
        <f t="shared" si="486"/>
        <v>0.52302693021210189</v>
      </c>
      <c r="V5128" s="30">
        <f t="shared" si="483"/>
        <v>0.36363616438356167</v>
      </c>
      <c r="W5128" s="46">
        <f t="shared" si="484"/>
        <v>-5.2972871750117893E-3</v>
      </c>
      <c r="X5128" s="33">
        <f t="shared" si="485"/>
        <v>2.3746131114945664E-2</v>
      </c>
    </row>
    <row r="5129" spans="19:24" x14ac:dyDescent="0.25">
      <c r="S5129" s="44">
        <f t="shared" si="481"/>
        <v>48179</v>
      </c>
      <c r="T5129" s="12">
        <f t="shared" si="482"/>
        <v>0.5270516351996376</v>
      </c>
      <c r="U5129" s="12">
        <f t="shared" si="486"/>
        <v>0.52037575348731246</v>
      </c>
      <c r="V5129" s="30">
        <f t="shared" si="483"/>
        <v>0.36360876712328766</v>
      </c>
      <c r="W5129" s="46">
        <f t="shared" si="484"/>
        <v>-5.270516351996375E-3</v>
      </c>
      <c r="X5129" s="33">
        <f t="shared" si="485"/>
        <v>2.3746089602672712E-2</v>
      </c>
    </row>
    <row r="5130" spans="19:24" x14ac:dyDescent="0.25">
      <c r="S5130" s="44">
        <f t="shared" si="481"/>
        <v>48180</v>
      </c>
      <c r="T5130" s="12">
        <f t="shared" si="482"/>
        <v>0.52437455289809654</v>
      </c>
      <c r="U5130" s="12">
        <f t="shared" si="486"/>
        <v>0.51772457676252315</v>
      </c>
      <c r="V5130" s="30">
        <f t="shared" si="483"/>
        <v>0.3635813698630137</v>
      </c>
      <c r="W5130" s="46">
        <f t="shared" si="484"/>
        <v>-5.2437455289809642E-3</v>
      </c>
      <c r="X5130" s="33">
        <f t="shared" si="485"/>
        <v>2.374604809039977E-2</v>
      </c>
    </row>
    <row r="5131" spans="19:24" x14ac:dyDescent="0.25">
      <c r="S5131" s="44">
        <f t="shared" si="481"/>
        <v>48181</v>
      </c>
      <c r="T5131" s="12">
        <f t="shared" si="482"/>
        <v>0.52169747059655536</v>
      </c>
      <c r="U5131" s="12">
        <f t="shared" si="486"/>
        <v>0.51507340003773394</v>
      </c>
      <c r="V5131" s="30">
        <f t="shared" si="483"/>
        <v>0.36355397260273969</v>
      </c>
      <c r="W5131" s="46">
        <f t="shared" si="484"/>
        <v>-5.2169747059655526E-3</v>
      </c>
      <c r="X5131" s="33">
        <f t="shared" si="485"/>
        <v>2.3746006578126828E-2</v>
      </c>
    </row>
    <row r="5132" spans="19:24" x14ac:dyDescent="0.25">
      <c r="S5132" s="44">
        <f t="shared" si="481"/>
        <v>48182</v>
      </c>
      <c r="T5132" s="12">
        <f t="shared" si="482"/>
        <v>0.51902038829501418</v>
      </c>
      <c r="U5132" s="12">
        <f t="shared" si="486"/>
        <v>0.51242222331294451</v>
      </c>
      <c r="V5132" s="30">
        <f t="shared" si="483"/>
        <v>0.36352657534246574</v>
      </c>
      <c r="W5132" s="46">
        <f t="shared" si="484"/>
        <v>-5.190203882950141E-3</v>
      </c>
      <c r="X5132" s="33">
        <f t="shared" si="485"/>
        <v>2.3745965065853882E-2</v>
      </c>
    </row>
    <row r="5133" spans="19:24" x14ac:dyDescent="0.25">
      <c r="S5133" s="44">
        <f t="shared" si="481"/>
        <v>48183</v>
      </c>
      <c r="T5133" s="12">
        <f t="shared" si="482"/>
        <v>0.516343305993473</v>
      </c>
      <c r="U5133" s="12">
        <f t="shared" si="486"/>
        <v>0.5097710465881552</v>
      </c>
      <c r="V5133" s="30">
        <f t="shared" si="483"/>
        <v>0.36349917808219179</v>
      </c>
      <c r="W5133" s="46">
        <f t="shared" si="484"/>
        <v>-5.1634330599347293E-3</v>
      </c>
      <c r="X5133" s="33">
        <f t="shared" si="485"/>
        <v>2.374592355358094E-2</v>
      </c>
    </row>
    <row r="5134" spans="19:24" x14ac:dyDescent="0.25">
      <c r="S5134" s="44">
        <f t="shared" si="481"/>
        <v>48184</v>
      </c>
      <c r="T5134" s="12">
        <f t="shared" si="482"/>
        <v>0.51366622369193182</v>
      </c>
      <c r="U5134" s="12">
        <f t="shared" si="486"/>
        <v>0.50711986986336599</v>
      </c>
      <c r="V5134" s="30">
        <f t="shared" si="483"/>
        <v>0.36347178082191778</v>
      </c>
      <c r="W5134" s="46">
        <f t="shared" si="484"/>
        <v>-5.1366622369193177E-3</v>
      </c>
      <c r="X5134" s="33">
        <f t="shared" si="485"/>
        <v>2.3745882041307991E-2</v>
      </c>
    </row>
    <row r="5135" spans="19:24" x14ac:dyDescent="0.25">
      <c r="S5135" s="44">
        <f t="shared" si="481"/>
        <v>48185</v>
      </c>
      <c r="T5135" s="12">
        <f t="shared" si="482"/>
        <v>0.51098914139039064</v>
      </c>
      <c r="U5135" s="12">
        <f t="shared" si="486"/>
        <v>0.50446869313857678</v>
      </c>
      <c r="V5135" s="30">
        <f t="shared" si="483"/>
        <v>0.36344438356164382</v>
      </c>
      <c r="W5135" s="46">
        <f t="shared" si="484"/>
        <v>-5.109891413903906E-3</v>
      </c>
      <c r="X5135" s="33">
        <f t="shared" si="485"/>
        <v>2.3745840529035056E-2</v>
      </c>
    </row>
    <row r="5136" spans="19:24" x14ac:dyDescent="0.25">
      <c r="S5136" s="44">
        <f t="shared" si="481"/>
        <v>48186</v>
      </c>
      <c r="T5136" s="12">
        <f t="shared" si="482"/>
        <v>0.50831205908884947</v>
      </c>
      <c r="U5136" s="12">
        <f t="shared" si="486"/>
        <v>0.50181751641378747</v>
      </c>
      <c r="V5136" s="30">
        <f t="shared" si="483"/>
        <v>0.36341698630136993</v>
      </c>
      <c r="W5136" s="46">
        <f t="shared" si="484"/>
        <v>-5.0831205908884935E-3</v>
      </c>
      <c r="X5136" s="33">
        <f t="shared" si="485"/>
        <v>2.3745799016762114E-2</v>
      </c>
    </row>
    <row r="5137" spans="19:24" x14ac:dyDescent="0.25">
      <c r="S5137" s="44">
        <f t="shared" si="481"/>
        <v>48187</v>
      </c>
      <c r="T5137" s="12">
        <f t="shared" si="482"/>
        <v>0.50563497678730818</v>
      </c>
      <c r="U5137" s="12">
        <f t="shared" si="486"/>
        <v>0.4991663396889981</v>
      </c>
      <c r="V5137" s="30">
        <f t="shared" si="483"/>
        <v>0.36338958904109592</v>
      </c>
      <c r="W5137" s="46">
        <f t="shared" si="484"/>
        <v>-5.056349767873081E-3</v>
      </c>
      <c r="X5137" s="33">
        <f t="shared" si="485"/>
        <v>2.3745757504489165E-2</v>
      </c>
    </row>
    <row r="5138" spans="19:24" x14ac:dyDescent="0.25">
      <c r="S5138" s="44">
        <f t="shared" si="481"/>
        <v>48188</v>
      </c>
      <c r="T5138" s="12">
        <f t="shared" si="482"/>
        <v>0.502957894485767</v>
      </c>
      <c r="U5138" s="12">
        <f t="shared" si="486"/>
        <v>0.49651516296420889</v>
      </c>
      <c r="V5138" s="30">
        <f t="shared" si="483"/>
        <v>0.36336219178082191</v>
      </c>
      <c r="W5138" s="46">
        <f t="shared" si="484"/>
        <v>-5.0295789448576694E-3</v>
      </c>
      <c r="X5138" s="33">
        <f t="shared" si="485"/>
        <v>2.3745715992216219E-2</v>
      </c>
    </row>
    <row r="5139" spans="19:24" x14ac:dyDescent="0.25">
      <c r="S5139" s="44">
        <f t="shared" si="481"/>
        <v>48189</v>
      </c>
      <c r="T5139" s="12">
        <f t="shared" si="482"/>
        <v>0.50028081218422571</v>
      </c>
      <c r="U5139" s="12">
        <f t="shared" si="486"/>
        <v>0.49386398623941952</v>
      </c>
      <c r="V5139" s="30">
        <f t="shared" si="483"/>
        <v>0.36333479452054795</v>
      </c>
      <c r="W5139" s="46">
        <f t="shared" si="484"/>
        <v>-5.002808121842256E-3</v>
      </c>
      <c r="X5139" s="33">
        <f t="shared" si="485"/>
        <v>2.3745674479943277E-2</v>
      </c>
    </row>
    <row r="5140" spans="19:24" x14ac:dyDescent="0.25">
      <c r="S5140" s="44">
        <f t="shared" si="481"/>
        <v>48190</v>
      </c>
      <c r="T5140" s="12">
        <f t="shared" si="482"/>
        <v>0.49760372988268459</v>
      </c>
      <c r="U5140" s="12">
        <f t="shared" si="486"/>
        <v>0.4912128095146302</v>
      </c>
      <c r="V5140" s="30">
        <f t="shared" si="483"/>
        <v>0.363307397260274</v>
      </c>
      <c r="W5140" s="46">
        <f t="shared" si="484"/>
        <v>-4.9760372988268452E-3</v>
      </c>
      <c r="X5140" s="33">
        <f t="shared" si="485"/>
        <v>2.3745632967670335E-2</v>
      </c>
    </row>
    <row r="5141" spans="19:24" x14ac:dyDescent="0.25">
      <c r="S5141" s="44">
        <f t="shared" si="481"/>
        <v>48191</v>
      </c>
      <c r="T5141" s="12">
        <f t="shared" si="482"/>
        <v>0.49492664758114335</v>
      </c>
      <c r="U5141" s="12">
        <f t="shared" si="486"/>
        <v>0.48856163278984099</v>
      </c>
      <c r="V5141" s="30">
        <f t="shared" si="483"/>
        <v>0.36327999999999999</v>
      </c>
      <c r="W5141" s="46">
        <f t="shared" si="484"/>
        <v>-4.9492664758114327E-3</v>
      </c>
      <c r="X5141" s="33">
        <f t="shared" si="485"/>
        <v>2.374559145539739E-2</v>
      </c>
    </row>
    <row r="5142" spans="19:24" x14ac:dyDescent="0.25">
      <c r="S5142" s="44">
        <f t="shared" si="481"/>
        <v>48192</v>
      </c>
      <c r="T5142" s="12">
        <f t="shared" si="482"/>
        <v>0.49224956527960217</v>
      </c>
      <c r="U5142" s="12">
        <f t="shared" si="486"/>
        <v>0.48591045606505162</v>
      </c>
      <c r="V5142" s="30">
        <f t="shared" si="483"/>
        <v>0.36325260273972604</v>
      </c>
      <c r="W5142" s="46">
        <f t="shared" si="484"/>
        <v>-4.9224956527960211E-3</v>
      </c>
      <c r="X5142" s="33">
        <f t="shared" si="485"/>
        <v>2.3745549943124448E-2</v>
      </c>
    </row>
    <row r="5143" spans="19:24" x14ac:dyDescent="0.25">
      <c r="S5143" s="44">
        <f t="shared" si="481"/>
        <v>48193</v>
      </c>
      <c r="T5143" s="12">
        <f t="shared" si="482"/>
        <v>0.48957248297806105</v>
      </c>
      <c r="U5143" s="12">
        <f t="shared" si="486"/>
        <v>0.4832592793402623</v>
      </c>
      <c r="V5143" s="30">
        <f t="shared" si="483"/>
        <v>0.36322520547945203</v>
      </c>
      <c r="W5143" s="46">
        <f t="shared" si="484"/>
        <v>-4.8957248297806094E-3</v>
      </c>
      <c r="X5143" s="33">
        <f t="shared" si="485"/>
        <v>2.3745508430851499E-2</v>
      </c>
    </row>
    <row r="5144" spans="19:24" x14ac:dyDescent="0.25">
      <c r="S5144" s="44">
        <f t="shared" si="481"/>
        <v>48194</v>
      </c>
      <c r="T5144" s="12">
        <f t="shared" si="482"/>
        <v>0.48689540067651982</v>
      </c>
      <c r="U5144" s="12">
        <f t="shared" si="486"/>
        <v>0.48060810261547304</v>
      </c>
      <c r="V5144" s="30">
        <f t="shared" si="483"/>
        <v>0.36319780821917813</v>
      </c>
      <c r="W5144" s="46">
        <f t="shared" si="484"/>
        <v>-4.8689540067651978E-3</v>
      </c>
      <c r="X5144" s="33">
        <f t="shared" si="485"/>
        <v>2.3745466918578564E-2</v>
      </c>
    </row>
    <row r="5145" spans="19:24" x14ac:dyDescent="0.25">
      <c r="S5145" s="44">
        <f t="shared" si="481"/>
        <v>48195</v>
      </c>
      <c r="T5145" s="12">
        <f t="shared" si="482"/>
        <v>0.4842183183749787</v>
      </c>
      <c r="U5145" s="12">
        <f t="shared" si="486"/>
        <v>0.47795692589068378</v>
      </c>
      <c r="V5145" s="30">
        <f t="shared" si="483"/>
        <v>0.36317041095890412</v>
      </c>
      <c r="W5145" s="46">
        <f t="shared" si="484"/>
        <v>-4.8421831837497861E-3</v>
      </c>
      <c r="X5145" s="33">
        <f t="shared" si="485"/>
        <v>2.3745425406305615E-2</v>
      </c>
    </row>
    <row r="5146" spans="19:24" x14ac:dyDescent="0.25">
      <c r="S5146" s="44">
        <f t="shared" si="481"/>
        <v>48196</v>
      </c>
      <c r="T5146" s="12">
        <f t="shared" si="482"/>
        <v>0.48154123607343735</v>
      </c>
      <c r="U5146" s="12">
        <f t="shared" si="486"/>
        <v>0.47530574916589452</v>
      </c>
      <c r="V5146" s="30">
        <f t="shared" si="483"/>
        <v>0.36314301369863011</v>
      </c>
      <c r="W5146" s="46">
        <f t="shared" si="484"/>
        <v>-4.8154123607343727E-3</v>
      </c>
      <c r="X5146" s="33">
        <f t="shared" si="485"/>
        <v>2.3745383894032673E-2</v>
      </c>
    </row>
    <row r="5147" spans="19:24" x14ac:dyDescent="0.25">
      <c r="S5147" s="44">
        <f t="shared" si="481"/>
        <v>48197</v>
      </c>
      <c r="T5147" s="12">
        <f t="shared" si="482"/>
        <v>0.73068741586202912</v>
      </c>
      <c r="U5147" s="12">
        <f t="shared" si="486"/>
        <v>0.72302557147371715</v>
      </c>
      <c r="V5147" s="30">
        <f t="shared" si="483"/>
        <v>0.36311561643835616</v>
      </c>
      <c r="W5147" s="46">
        <f t="shared" si="484"/>
        <v>-7.3068741586202902E-3</v>
      </c>
      <c r="X5147" s="33">
        <f t="shared" si="485"/>
        <v>2.3578466037055844E-2</v>
      </c>
    </row>
    <row r="5148" spans="19:24" x14ac:dyDescent="0.25">
      <c r="S5148" s="44">
        <f t="shared" si="481"/>
        <v>48198</v>
      </c>
      <c r="T5148" s="12">
        <f t="shared" si="482"/>
        <v>0.72801033356048772</v>
      </c>
      <c r="U5148" s="12">
        <f t="shared" si="486"/>
        <v>0.72037439474892795</v>
      </c>
      <c r="V5148" s="30">
        <f t="shared" si="483"/>
        <v>0.36308821917808221</v>
      </c>
      <c r="W5148" s="46">
        <f t="shared" si="484"/>
        <v>-7.2801033356048759E-3</v>
      </c>
      <c r="X5148" s="33">
        <f t="shared" si="485"/>
        <v>2.3578424524782902E-2</v>
      </c>
    </row>
    <row r="5149" spans="19:24" x14ac:dyDescent="0.25">
      <c r="S5149" s="44">
        <f t="shared" si="481"/>
        <v>48199</v>
      </c>
      <c r="T5149" s="12">
        <f t="shared" si="482"/>
        <v>0.72533325125894677</v>
      </c>
      <c r="U5149" s="12">
        <f t="shared" si="486"/>
        <v>0.71772321802413852</v>
      </c>
      <c r="V5149" s="30">
        <f t="shared" si="483"/>
        <v>0.36306082191780825</v>
      </c>
      <c r="W5149" s="46">
        <f t="shared" si="484"/>
        <v>-7.2533325125894669E-3</v>
      </c>
      <c r="X5149" s="33">
        <f t="shared" si="485"/>
        <v>2.357838301250996E-2</v>
      </c>
    </row>
    <row r="5150" spans="19:24" x14ac:dyDescent="0.25">
      <c r="S5150" s="44">
        <f t="shared" si="481"/>
        <v>48200</v>
      </c>
      <c r="T5150" s="12">
        <f t="shared" si="482"/>
        <v>0.72265616895740559</v>
      </c>
      <c r="U5150" s="12">
        <f t="shared" si="486"/>
        <v>0.7150720412993492</v>
      </c>
      <c r="V5150" s="30">
        <f t="shared" si="483"/>
        <v>0.3630334246575343</v>
      </c>
      <c r="W5150" s="46">
        <f t="shared" si="484"/>
        <v>-7.2265616895740544E-3</v>
      </c>
      <c r="X5150" s="33">
        <f t="shared" si="485"/>
        <v>2.3578341500237018E-2</v>
      </c>
    </row>
    <row r="5151" spans="19:24" x14ac:dyDescent="0.25">
      <c r="S5151" s="44">
        <f t="shared" si="481"/>
        <v>48201</v>
      </c>
      <c r="T5151" s="12">
        <f t="shared" si="482"/>
        <v>0.71997908665586441</v>
      </c>
      <c r="U5151" s="12">
        <f t="shared" si="486"/>
        <v>0.71242086457456</v>
      </c>
      <c r="V5151" s="30">
        <f t="shared" si="483"/>
        <v>0.36300602739726029</v>
      </c>
      <c r="W5151" s="46">
        <f t="shared" si="484"/>
        <v>-7.1997908665586427E-3</v>
      </c>
      <c r="X5151" s="33">
        <f t="shared" si="485"/>
        <v>2.3578299987964069E-2</v>
      </c>
    </row>
    <row r="5152" spans="19:24" x14ac:dyDescent="0.25">
      <c r="S5152" s="44">
        <f t="shared" si="481"/>
        <v>48202</v>
      </c>
      <c r="T5152" s="12">
        <f t="shared" si="482"/>
        <v>0.71730200435432323</v>
      </c>
      <c r="U5152" s="12">
        <f t="shared" si="486"/>
        <v>0.70976968784977079</v>
      </c>
      <c r="V5152" s="30">
        <f t="shared" si="483"/>
        <v>0.36297863013698628</v>
      </c>
      <c r="W5152" s="46">
        <f t="shared" si="484"/>
        <v>-7.1730200435432311E-3</v>
      </c>
      <c r="X5152" s="33">
        <f t="shared" si="485"/>
        <v>2.3578258475691123E-2</v>
      </c>
    </row>
    <row r="5153" spans="19:24" x14ac:dyDescent="0.25">
      <c r="S5153" s="44">
        <f t="shared" si="481"/>
        <v>48203</v>
      </c>
      <c r="T5153" s="12">
        <f t="shared" si="482"/>
        <v>0.71462492205278194</v>
      </c>
      <c r="U5153" s="12">
        <f t="shared" si="486"/>
        <v>0.70711851112498136</v>
      </c>
      <c r="V5153" s="30">
        <f t="shared" si="483"/>
        <v>0.36295123287671238</v>
      </c>
      <c r="W5153" s="46">
        <f t="shared" si="484"/>
        <v>-7.1462492205278186E-3</v>
      </c>
      <c r="X5153" s="33">
        <f t="shared" si="485"/>
        <v>2.3578216963418185E-2</v>
      </c>
    </row>
    <row r="5154" spans="19:24" x14ac:dyDescent="0.25">
      <c r="S5154" s="44">
        <f t="shared" si="481"/>
        <v>48204</v>
      </c>
      <c r="T5154" s="12">
        <f t="shared" si="482"/>
        <v>0.71194783975124087</v>
      </c>
      <c r="U5154" s="12">
        <f t="shared" si="486"/>
        <v>0.70446733440019205</v>
      </c>
      <c r="V5154" s="30">
        <f t="shared" si="483"/>
        <v>0.36292383561643837</v>
      </c>
      <c r="W5154" s="46">
        <f t="shared" si="484"/>
        <v>-7.1194783975124078E-3</v>
      </c>
      <c r="X5154" s="33">
        <f t="shared" si="485"/>
        <v>2.3578175451145239E-2</v>
      </c>
    </row>
    <row r="5155" spans="19:24" x14ac:dyDescent="0.25">
      <c r="S5155" s="44">
        <f t="shared" si="481"/>
        <v>48205</v>
      </c>
      <c r="T5155" s="12">
        <f t="shared" si="482"/>
        <v>0.70927075744969947</v>
      </c>
      <c r="U5155" s="12">
        <f t="shared" si="486"/>
        <v>0.70181615767540262</v>
      </c>
      <c r="V5155" s="30">
        <f t="shared" si="483"/>
        <v>0.36289643835616436</v>
      </c>
      <c r="W5155" s="46">
        <f t="shared" si="484"/>
        <v>-7.0927075744969936E-3</v>
      </c>
      <c r="X5155" s="33">
        <f t="shared" si="485"/>
        <v>2.357813393887229E-2</v>
      </c>
    </row>
    <row r="5156" spans="19:24" x14ac:dyDescent="0.25">
      <c r="S5156" s="44">
        <f t="shared" si="481"/>
        <v>48206</v>
      </c>
      <c r="T5156" s="12">
        <f t="shared" si="482"/>
        <v>0.70659367514815841</v>
      </c>
      <c r="U5156" s="12">
        <f t="shared" si="486"/>
        <v>0.69916498095061341</v>
      </c>
      <c r="V5156" s="30">
        <f t="shared" si="483"/>
        <v>0.36286904109589041</v>
      </c>
      <c r="W5156" s="46">
        <f t="shared" si="484"/>
        <v>-7.0659367514815828E-3</v>
      </c>
      <c r="X5156" s="33">
        <f t="shared" si="485"/>
        <v>2.3578092426599348E-2</v>
      </c>
    </row>
    <row r="5157" spans="19:24" x14ac:dyDescent="0.25">
      <c r="S5157" s="44">
        <f t="shared" si="481"/>
        <v>48207</v>
      </c>
      <c r="T5157" s="12">
        <f t="shared" si="482"/>
        <v>0.70391659284661712</v>
      </c>
      <c r="U5157" s="12">
        <f t="shared" si="486"/>
        <v>0.6965138042258241</v>
      </c>
      <c r="V5157" s="30">
        <f t="shared" si="483"/>
        <v>0.36284164383561646</v>
      </c>
      <c r="W5157" s="46">
        <f t="shared" si="484"/>
        <v>-7.0391659284661703E-3</v>
      </c>
      <c r="X5157" s="33">
        <f t="shared" si="485"/>
        <v>2.3578050914326406E-2</v>
      </c>
    </row>
    <row r="5158" spans="19:24" x14ac:dyDescent="0.25">
      <c r="S5158" s="44">
        <f t="shared" si="481"/>
        <v>48208</v>
      </c>
      <c r="T5158" s="12">
        <f t="shared" si="482"/>
        <v>0.70123951054507594</v>
      </c>
      <c r="U5158" s="12">
        <f t="shared" si="486"/>
        <v>0.69386262750103478</v>
      </c>
      <c r="V5158" s="30">
        <f t="shared" si="483"/>
        <v>0.36281424657534245</v>
      </c>
      <c r="W5158" s="46">
        <f t="shared" si="484"/>
        <v>-7.0123951054507586E-3</v>
      </c>
      <c r="X5158" s="33">
        <f t="shared" si="485"/>
        <v>2.357800940205346E-2</v>
      </c>
    </row>
    <row r="5159" spans="19:24" x14ac:dyDescent="0.25">
      <c r="S5159" s="44">
        <f t="shared" si="481"/>
        <v>48209</v>
      </c>
      <c r="T5159" s="12">
        <f t="shared" si="482"/>
        <v>0.69856242824353487</v>
      </c>
      <c r="U5159" s="12">
        <f t="shared" si="486"/>
        <v>0.69121145077624557</v>
      </c>
      <c r="V5159" s="30">
        <f t="shared" si="483"/>
        <v>0.36278684931506849</v>
      </c>
      <c r="W5159" s="46">
        <f t="shared" si="484"/>
        <v>-6.9856242824353479E-3</v>
      </c>
      <c r="X5159" s="33">
        <f t="shared" si="485"/>
        <v>2.3577967889780518E-2</v>
      </c>
    </row>
    <row r="5160" spans="19:24" x14ac:dyDescent="0.25">
      <c r="S5160" s="44">
        <f t="shared" si="481"/>
        <v>48210</v>
      </c>
      <c r="T5160" s="12">
        <f t="shared" si="482"/>
        <v>0.69588534594199347</v>
      </c>
      <c r="U5160" s="12">
        <f t="shared" si="486"/>
        <v>0.68856027405145626</v>
      </c>
      <c r="V5160" s="30">
        <f t="shared" si="483"/>
        <v>0.36275945205479454</v>
      </c>
      <c r="W5160" s="46">
        <f t="shared" si="484"/>
        <v>-6.9588534594199336E-3</v>
      </c>
      <c r="X5160" s="33">
        <f t="shared" si="485"/>
        <v>2.3577926377507576E-2</v>
      </c>
    </row>
    <row r="5161" spans="19:24" x14ac:dyDescent="0.25">
      <c r="S5161" s="44">
        <f t="shared" si="481"/>
        <v>48211</v>
      </c>
      <c r="T5161" s="12">
        <f t="shared" si="482"/>
        <v>0.69320826364045252</v>
      </c>
      <c r="U5161" s="12">
        <f t="shared" si="486"/>
        <v>0.68590909732666716</v>
      </c>
      <c r="V5161" s="30">
        <f t="shared" si="483"/>
        <v>0.36273205479452059</v>
      </c>
      <c r="W5161" s="46">
        <f t="shared" si="484"/>
        <v>-6.9320826364045237E-3</v>
      </c>
      <c r="X5161" s="33">
        <f t="shared" si="485"/>
        <v>2.3577884865234634E-2</v>
      </c>
    </row>
    <row r="5162" spans="19:24" x14ac:dyDescent="0.25">
      <c r="S5162" s="44">
        <f t="shared" si="481"/>
        <v>48212</v>
      </c>
      <c r="T5162" s="12">
        <f t="shared" si="482"/>
        <v>0.69053118133891123</v>
      </c>
      <c r="U5162" s="12">
        <f t="shared" si="486"/>
        <v>0.68325792060187773</v>
      </c>
      <c r="V5162" s="30">
        <f t="shared" si="483"/>
        <v>0.36270465753424663</v>
      </c>
      <c r="W5162" s="46">
        <f t="shared" si="484"/>
        <v>-6.9053118133891112E-3</v>
      </c>
      <c r="X5162" s="33">
        <f t="shared" si="485"/>
        <v>2.3577843352961692E-2</v>
      </c>
    </row>
    <row r="5163" spans="19:24" x14ac:dyDescent="0.25">
      <c r="S5163" s="44">
        <f t="shared" si="481"/>
        <v>48213</v>
      </c>
      <c r="T5163" s="12">
        <f t="shared" si="482"/>
        <v>0.68785409903736994</v>
      </c>
      <c r="U5163" s="12">
        <f t="shared" si="486"/>
        <v>0.68060674387708853</v>
      </c>
      <c r="V5163" s="30">
        <f t="shared" si="483"/>
        <v>0.36267726027397262</v>
      </c>
      <c r="W5163" s="46">
        <f t="shared" si="484"/>
        <v>-6.8785409903736987E-3</v>
      </c>
      <c r="X5163" s="33">
        <f t="shared" si="485"/>
        <v>2.3577801840688747E-2</v>
      </c>
    </row>
    <row r="5164" spans="19:24" x14ac:dyDescent="0.25">
      <c r="S5164" s="44">
        <f t="shared" si="481"/>
        <v>48214</v>
      </c>
      <c r="T5164" s="12">
        <f t="shared" si="482"/>
        <v>0.68517701673582876</v>
      </c>
      <c r="U5164" s="12">
        <f t="shared" si="486"/>
        <v>0.6779555671522991</v>
      </c>
      <c r="V5164" s="30">
        <f t="shared" si="483"/>
        <v>0.36264986301369861</v>
      </c>
      <c r="W5164" s="46">
        <f t="shared" si="484"/>
        <v>-6.8517701673582862E-3</v>
      </c>
      <c r="X5164" s="33">
        <f t="shared" si="485"/>
        <v>2.3577760328415798E-2</v>
      </c>
    </row>
    <row r="5165" spans="19:24" x14ac:dyDescent="0.25">
      <c r="S5165" s="44">
        <f t="shared" si="481"/>
        <v>48215</v>
      </c>
      <c r="T5165" s="12">
        <f t="shared" si="482"/>
        <v>0.68249993443428758</v>
      </c>
      <c r="U5165" s="12">
        <f t="shared" si="486"/>
        <v>0.67530439042750978</v>
      </c>
      <c r="V5165" s="30">
        <f t="shared" si="483"/>
        <v>0.36262246575342472</v>
      </c>
      <c r="W5165" s="46">
        <f t="shared" si="484"/>
        <v>-6.8249993443428745E-3</v>
      </c>
      <c r="X5165" s="33">
        <f t="shared" si="485"/>
        <v>2.3577718816142863E-2</v>
      </c>
    </row>
    <row r="5166" spans="19:24" x14ac:dyDescent="0.25">
      <c r="S5166" s="44">
        <f t="shared" si="481"/>
        <v>48216</v>
      </c>
      <c r="T5166" s="12">
        <f t="shared" si="482"/>
        <v>0.6798228521327464</v>
      </c>
      <c r="U5166" s="12">
        <f t="shared" si="486"/>
        <v>0.67265321370272046</v>
      </c>
      <c r="V5166" s="30">
        <f t="shared" si="483"/>
        <v>0.36259506849315071</v>
      </c>
      <c r="W5166" s="46">
        <f t="shared" si="484"/>
        <v>-6.7982285213274629E-3</v>
      </c>
      <c r="X5166" s="33">
        <f t="shared" si="485"/>
        <v>2.3577677303869914E-2</v>
      </c>
    </row>
    <row r="5167" spans="19:24" x14ac:dyDescent="0.25">
      <c r="S5167" s="44">
        <f t="shared" si="481"/>
        <v>48217</v>
      </c>
      <c r="T5167" s="12">
        <f t="shared" si="482"/>
        <v>0.67714576983120511</v>
      </c>
      <c r="U5167" s="12">
        <f t="shared" si="486"/>
        <v>0.67000203697793104</v>
      </c>
      <c r="V5167" s="30">
        <f t="shared" si="483"/>
        <v>0.3625676712328767</v>
      </c>
      <c r="W5167" s="46">
        <f t="shared" si="484"/>
        <v>-6.7714576983120504E-3</v>
      </c>
      <c r="X5167" s="33">
        <f t="shared" si="485"/>
        <v>2.3577635791596968E-2</v>
      </c>
    </row>
    <row r="5168" spans="19:24" x14ac:dyDescent="0.25">
      <c r="S5168" s="44">
        <f t="shared" si="481"/>
        <v>48218</v>
      </c>
      <c r="T5168" s="12">
        <f t="shared" si="482"/>
        <v>0.67446868752966405</v>
      </c>
      <c r="U5168" s="12">
        <f t="shared" si="486"/>
        <v>0.66735086025314183</v>
      </c>
      <c r="V5168" s="30">
        <f t="shared" si="483"/>
        <v>0.36254027397260274</v>
      </c>
      <c r="W5168" s="46">
        <f t="shared" si="484"/>
        <v>-6.7446868752966396E-3</v>
      </c>
      <c r="X5168" s="33">
        <f t="shared" si="485"/>
        <v>2.3577594279324026E-2</v>
      </c>
    </row>
    <row r="5169" spans="19:24" x14ac:dyDescent="0.25">
      <c r="S5169" s="44">
        <f t="shared" si="481"/>
        <v>48219</v>
      </c>
      <c r="T5169" s="12">
        <f t="shared" si="482"/>
        <v>0.67179160522812287</v>
      </c>
      <c r="U5169" s="12">
        <f t="shared" si="486"/>
        <v>0.66469968352835263</v>
      </c>
      <c r="V5169" s="30">
        <f t="shared" si="483"/>
        <v>0.36251287671232879</v>
      </c>
      <c r="W5169" s="46">
        <f t="shared" si="484"/>
        <v>-6.7179160522812279E-3</v>
      </c>
      <c r="X5169" s="33">
        <f t="shared" si="485"/>
        <v>2.3577552767051084E-2</v>
      </c>
    </row>
    <row r="5170" spans="19:24" x14ac:dyDescent="0.25">
      <c r="S5170" s="44">
        <f t="shared" si="481"/>
        <v>48220</v>
      </c>
      <c r="T5170" s="12">
        <f t="shared" si="482"/>
        <v>0.66911452292658158</v>
      </c>
      <c r="U5170" s="12">
        <f t="shared" si="486"/>
        <v>0.66204850680356331</v>
      </c>
      <c r="V5170" s="30">
        <f t="shared" si="483"/>
        <v>0.36248547945205478</v>
      </c>
      <c r="W5170" s="46">
        <f t="shared" si="484"/>
        <v>-6.6911452292658146E-3</v>
      </c>
      <c r="X5170" s="33">
        <f t="shared" si="485"/>
        <v>2.3577511254778135E-2</v>
      </c>
    </row>
    <row r="5171" spans="19:24" x14ac:dyDescent="0.25">
      <c r="S5171" s="44">
        <f t="shared" ref="S5171:S5234" si="487">+S5170+1</f>
        <v>48221</v>
      </c>
      <c r="T5171" s="12">
        <f t="shared" si="482"/>
        <v>0.66643744062504062</v>
      </c>
      <c r="U5171" s="12">
        <f t="shared" si="486"/>
        <v>0.6593973300787741</v>
      </c>
      <c r="V5171" s="30">
        <f t="shared" si="483"/>
        <v>0.36245808219178083</v>
      </c>
      <c r="W5171" s="46">
        <f t="shared" si="484"/>
        <v>-6.6643744062504055E-3</v>
      </c>
      <c r="X5171" s="33">
        <f t="shared" si="485"/>
        <v>2.3577469742505193E-2</v>
      </c>
    </row>
    <row r="5172" spans="19:24" x14ac:dyDescent="0.25">
      <c r="S5172" s="44">
        <f t="shared" si="487"/>
        <v>48222</v>
      </c>
      <c r="T5172" s="12">
        <f t="shared" si="482"/>
        <v>0.66376035832349922</v>
      </c>
      <c r="U5172" s="12">
        <f t="shared" si="486"/>
        <v>0.65674615335398479</v>
      </c>
      <c r="V5172" s="30">
        <f t="shared" si="483"/>
        <v>0.36243068493150687</v>
      </c>
      <c r="W5172" s="46">
        <f t="shared" si="484"/>
        <v>-6.6376035832349913E-3</v>
      </c>
      <c r="X5172" s="33">
        <f t="shared" si="485"/>
        <v>2.3577428230232251E-2</v>
      </c>
    </row>
    <row r="5173" spans="19:24" x14ac:dyDescent="0.25">
      <c r="S5173" s="44">
        <f t="shared" si="487"/>
        <v>48223</v>
      </c>
      <c r="T5173" s="12">
        <f t="shared" si="482"/>
        <v>0.66108327602195804</v>
      </c>
      <c r="U5173" s="12">
        <f t="shared" si="486"/>
        <v>0.65409497662919536</v>
      </c>
      <c r="V5173" s="30">
        <f t="shared" si="483"/>
        <v>0.36240328767123287</v>
      </c>
      <c r="W5173" s="46">
        <f t="shared" si="484"/>
        <v>-6.6108327602195796E-3</v>
      </c>
      <c r="X5173" s="33">
        <f t="shared" si="485"/>
        <v>2.3577386717959305E-2</v>
      </c>
    </row>
    <row r="5174" spans="19:24" x14ac:dyDescent="0.25">
      <c r="S5174" s="44">
        <f t="shared" si="487"/>
        <v>48224</v>
      </c>
      <c r="T5174" s="12">
        <f t="shared" si="482"/>
        <v>0.65840619372041687</v>
      </c>
      <c r="U5174" s="12">
        <f t="shared" si="486"/>
        <v>0.65144379990440615</v>
      </c>
      <c r="V5174" s="30">
        <f t="shared" si="483"/>
        <v>0.36237589041095897</v>
      </c>
      <c r="W5174" s="46">
        <f t="shared" si="484"/>
        <v>-6.584061937204168E-3</v>
      </c>
      <c r="X5174" s="33">
        <f t="shared" si="485"/>
        <v>2.3577345205686363E-2</v>
      </c>
    </row>
    <row r="5175" spans="19:24" x14ac:dyDescent="0.25">
      <c r="S5175" s="44">
        <f t="shared" si="487"/>
        <v>48225</v>
      </c>
      <c r="T5175" s="12">
        <f t="shared" si="482"/>
        <v>0.65572911141887558</v>
      </c>
      <c r="U5175" s="12">
        <f t="shared" si="486"/>
        <v>0.64879262317961683</v>
      </c>
      <c r="V5175" s="30">
        <f t="shared" si="483"/>
        <v>0.36234849315068496</v>
      </c>
      <c r="W5175" s="46">
        <f t="shared" si="484"/>
        <v>-6.5572911141887546E-3</v>
      </c>
      <c r="X5175" s="33">
        <f t="shared" si="485"/>
        <v>2.3577303693413421E-2</v>
      </c>
    </row>
    <row r="5176" spans="19:24" x14ac:dyDescent="0.25">
      <c r="S5176" s="44">
        <f t="shared" si="487"/>
        <v>48226</v>
      </c>
      <c r="T5176" s="12">
        <f t="shared" si="482"/>
        <v>0.65305202911733451</v>
      </c>
      <c r="U5176" s="12">
        <f t="shared" si="486"/>
        <v>0.64614144645482763</v>
      </c>
      <c r="V5176" s="30">
        <f t="shared" si="483"/>
        <v>0.36232109589041095</v>
      </c>
      <c r="W5176" s="46">
        <f t="shared" si="484"/>
        <v>-6.5305202911733438E-3</v>
      </c>
      <c r="X5176" s="33">
        <f t="shared" si="485"/>
        <v>2.3577262181140472E-2</v>
      </c>
    </row>
    <row r="5177" spans="19:24" x14ac:dyDescent="0.25">
      <c r="S5177" s="44">
        <f t="shared" si="487"/>
        <v>48227</v>
      </c>
      <c r="T5177" s="12">
        <f t="shared" si="482"/>
        <v>0.65037494681579333</v>
      </c>
      <c r="U5177" s="12">
        <f t="shared" si="486"/>
        <v>0.64349026973003831</v>
      </c>
      <c r="V5177" s="30">
        <f t="shared" si="483"/>
        <v>0.362293698630137</v>
      </c>
      <c r="W5177" s="46">
        <f t="shared" si="484"/>
        <v>-6.5037494681579322E-3</v>
      </c>
      <c r="X5177" s="33">
        <f t="shared" si="485"/>
        <v>2.3577220668867527E-2</v>
      </c>
    </row>
    <row r="5178" spans="19:24" x14ac:dyDescent="0.25">
      <c r="S5178" s="44">
        <f t="shared" si="487"/>
        <v>48228</v>
      </c>
      <c r="T5178" s="12">
        <f t="shared" si="482"/>
        <v>0.64769786451425204</v>
      </c>
      <c r="U5178" s="12">
        <f t="shared" si="486"/>
        <v>0.64083909300524899</v>
      </c>
      <c r="V5178" s="30">
        <f t="shared" si="483"/>
        <v>0.36226630136986304</v>
      </c>
      <c r="W5178" s="46">
        <f t="shared" si="484"/>
        <v>-6.4769786451425197E-3</v>
      </c>
      <c r="X5178" s="33">
        <f t="shared" si="485"/>
        <v>2.3577179156594592E-2</v>
      </c>
    </row>
    <row r="5179" spans="19:24" x14ac:dyDescent="0.25">
      <c r="S5179" s="44">
        <f t="shared" si="487"/>
        <v>48229</v>
      </c>
      <c r="T5179" s="12">
        <f t="shared" si="482"/>
        <v>0.64502078221271086</v>
      </c>
      <c r="U5179" s="12">
        <f t="shared" si="486"/>
        <v>0.63818791628045979</v>
      </c>
      <c r="V5179" s="30">
        <f t="shared" si="483"/>
        <v>0.36223890410958903</v>
      </c>
      <c r="W5179" s="46">
        <f t="shared" si="484"/>
        <v>-6.450207822127108E-3</v>
      </c>
      <c r="X5179" s="33">
        <f t="shared" si="485"/>
        <v>2.3577137644321639E-2</v>
      </c>
    </row>
    <row r="5180" spans="19:24" x14ac:dyDescent="0.25">
      <c r="S5180" s="44">
        <f t="shared" si="487"/>
        <v>48230</v>
      </c>
      <c r="T5180" s="12">
        <f t="shared" si="482"/>
        <v>0.64234369991116957</v>
      </c>
      <c r="U5180" s="12">
        <f t="shared" si="486"/>
        <v>0.63553673955567036</v>
      </c>
      <c r="V5180" s="30">
        <f t="shared" si="483"/>
        <v>0.36221150684931508</v>
      </c>
      <c r="W5180" s="46">
        <f t="shared" si="484"/>
        <v>-6.4234369991116947E-3</v>
      </c>
      <c r="X5180" s="33">
        <f t="shared" si="485"/>
        <v>2.3577096132048701E-2</v>
      </c>
    </row>
    <row r="5181" spans="19:24" x14ac:dyDescent="0.25">
      <c r="S5181" s="44">
        <f t="shared" si="487"/>
        <v>48231</v>
      </c>
      <c r="T5181" s="12">
        <f t="shared" si="482"/>
        <v>0.6396666176096284</v>
      </c>
      <c r="U5181" s="12">
        <f t="shared" si="486"/>
        <v>0.63288556283088104</v>
      </c>
      <c r="V5181" s="30">
        <f t="shared" si="483"/>
        <v>0.36218410958904107</v>
      </c>
      <c r="W5181" s="46">
        <f t="shared" si="484"/>
        <v>-6.396666176096283E-3</v>
      </c>
      <c r="X5181" s="33">
        <f t="shared" si="485"/>
        <v>2.3577054619775755E-2</v>
      </c>
    </row>
    <row r="5182" spans="19:24" x14ac:dyDescent="0.25">
      <c r="S5182" s="44">
        <f t="shared" si="487"/>
        <v>48232</v>
      </c>
      <c r="T5182" s="12">
        <f t="shared" si="482"/>
        <v>0.63698953530808733</v>
      </c>
      <c r="U5182" s="12">
        <f t="shared" si="486"/>
        <v>0.63023438610609173</v>
      </c>
      <c r="V5182" s="30">
        <f t="shared" si="483"/>
        <v>0.36215671232876712</v>
      </c>
      <c r="W5182" s="46">
        <f t="shared" si="484"/>
        <v>-6.3698953530808722E-3</v>
      </c>
      <c r="X5182" s="33">
        <f t="shared" si="485"/>
        <v>2.3577013107502813E-2</v>
      </c>
    </row>
    <row r="5183" spans="19:24" x14ac:dyDescent="0.25">
      <c r="S5183" s="44">
        <f t="shared" si="487"/>
        <v>48233</v>
      </c>
      <c r="T5183" s="12">
        <f t="shared" si="482"/>
        <v>0.63431245300654604</v>
      </c>
      <c r="U5183" s="12">
        <f t="shared" si="486"/>
        <v>0.62758320938130241</v>
      </c>
      <c r="V5183" s="30">
        <f t="shared" si="483"/>
        <v>0.36212931506849316</v>
      </c>
      <c r="W5183" s="46">
        <f t="shared" si="484"/>
        <v>-6.3431245300654597E-3</v>
      </c>
      <c r="X5183" s="33">
        <f t="shared" si="485"/>
        <v>2.3576971595229864E-2</v>
      </c>
    </row>
    <row r="5184" spans="19:24" x14ac:dyDescent="0.25">
      <c r="S5184" s="44">
        <f t="shared" si="487"/>
        <v>48234</v>
      </c>
      <c r="T5184" s="12">
        <f t="shared" si="482"/>
        <v>0.63163537070500486</v>
      </c>
      <c r="U5184" s="12">
        <f t="shared" si="486"/>
        <v>0.6249320326565132</v>
      </c>
      <c r="V5184" s="30">
        <f t="shared" si="483"/>
        <v>0.36210191780821921</v>
      </c>
      <c r="W5184" s="46">
        <f t="shared" si="484"/>
        <v>-6.3163537070500472E-3</v>
      </c>
      <c r="X5184" s="33">
        <f t="shared" si="485"/>
        <v>2.3576930082956929E-2</v>
      </c>
    </row>
    <row r="5185" spans="19:24" x14ac:dyDescent="0.25">
      <c r="S5185" s="44">
        <f t="shared" si="487"/>
        <v>48235</v>
      </c>
      <c r="T5185" s="12">
        <f t="shared" si="482"/>
        <v>0.62895828840346368</v>
      </c>
      <c r="U5185" s="12">
        <f t="shared" si="486"/>
        <v>0.62228085593172389</v>
      </c>
      <c r="V5185" s="30">
        <f t="shared" si="483"/>
        <v>0.3620745205479452</v>
      </c>
      <c r="W5185" s="46">
        <f t="shared" si="484"/>
        <v>-6.2895828840346356E-3</v>
      </c>
      <c r="X5185" s="33">
        <f t="shared" si="485"/>
        <v>2.357688857068398E-2</v>
      </c>
    </row>
    <row r="5186" spans="19:24" x14ac:dyDescent="0.25">
      <c r="S5186" s="44">
        <f t="shared" si="487"/>
        <v>48236</v>
      </c>
      <c r="T5186" s="12">
        <f t="shared" si="482"/>
        <v>0.62628120610192251</v>
      </c>
      <c r="U5186" s="12">
        <f t="shared" si="486"/>
        <v>0.61962967920693457</v>
      </c>
      <c r="V5186" s="30">
        <f t="shared" si="483"/>
        <v>0.3620471232876713</v>
      </c>
      <c r="W5186" s="46">
        <f t="shared" si="484"/>
        <v>-6.2628120610192239E-3</v>
      </c>
      <c r="X5186" s="33">
        <f t="shared" si="485"/>
        <v>2.3576847058411045E-2</v>
      </c>
    </row>
    <row r="5187" spans="19:24" x14ac:dyDescent="0.25">
      <c r="S5187" s="44">
        <f t="shared" si="487"/>
        <v>48237</v>
      </c>
      <c r="T5187" s="12">
        <f t="shared" si="482"/>
        <v>0.62360412380038122</v>
      </c>
      <c r="U5187" s="12">
        <f t="shared" si="486"/>
        <v>0.61697850248214525</v>
      </c>
      <c r="V5187" s="30">
        <f t="shared" si="483"/>
        <v>0.36201972602739729</v>
      </c>
      <c r="W5187" s="46">
        <f t="shared" si="484"/>
        <v>-6.2360412380038114E-3</v>
      </c>
      <c r="X5187" s="33">
        <f t="shared" si="485"/>
        <v>2.3576805546138092E-2</v>
      </c>
    </row>
    <row r="5188" spans="19:24" x14ac:dyDescent="0.25">
      <c r="S5188" s="44">
        <f t="shared" si="487"/>
        <v>48238</v>
      </c>
      <c r="T5188" s="12">
        <f t="shared" si="482"/>
        <v>0.62092704149884015</v>
      </c>
      <c r="U5188" s="12">
        <f t="shared" si="486"/>
        <v>0.61432732575735594</v>
      </c>
      <c r="V5188" s="30">
        <f t="shared" si="483"/>
        <v>0.36199232876712328</v>
      </c>
      <c r="W5188" s="46">
        <f t="shared" si="484"/>
        <v>-6.2092704149884007E-3</v>
      </c>
      <c r="X5188" s="33">
        <f t="shared" si="485"/>
        <v>2.3576764033865143E-2</v>
      </c>
    </row>
    <row r="5189" spans="19:24" x14ac:dyDescent="0.25">
      <c r="S5189" s="44">
        <f t="shared" si="487"/>
        <v>48239</v>
      </c>
      <c r="T5189" s="12">
        <f t="shared" ref="T5189:T5252" si="488">DurMod(S5189,B$2,$F$7:$G$37,$T$3)</f>
        <v>0.61824995919729897</v>
      </c>
      <c r="U5189" s="12">
        <f t="shared" si="486"/>
        <v>0.61167614903256662</v>
      </c>
      <c r="V5189" s="30">
        <f t="shared" ref="V5189:V5252" si="489">+$U$3*($S$5512-S5189)/365+$T$3*(S5189-$S$4)/365</f>
        <v>0.36196493150684933</v>
      </c>
      <c r="W5189" s="46">
        <f t="shared" ref="W5189:W5252" si="490">+-T5189*($U$3-$T$3)</f>
        <v>-6.182499591972989E-3</v>
      </c>
      <c r="X5189" s="33">
        <f t="shared" ref="X5189:X5252" si="491">+(V5189+W5189)*365/($S$5512-$S$4)</f>
        <v>2.3576722521592208E-2</v>
      </c>
    </row>
    <row r="5190" spans="19:24" x14ac:dyDescent="0.25">
      <c r="S5190" s="44">
        <f t="shared" si="487"/>
        <v>48240</v>
      </c>
      <c r="T5190" s="12">
        <f t="shared" si="488"/>
        <v>0.61557287689575768</v>
      </c>
      <c r="U5190" s="12">
        <f t="shared" ref="U5190:U5253" si="492">DurMod($S5190,$B$2,$F$7:$G$37,U$3)</f>
        <v>0.60902497230777741</v>
      </c>
      <c r="V5190" s="30">
        <f t="shared" si="489"/>
        <v>0.36193753424657532</v>
      </c>
      <c r="W5190" s="46">
        <f t="shared" si="490"/>
        <v>-6.1557287689575756E-3</v>
      </c>
      <c r="X5190" s="33">
        <f t="shared" si="491"/>
        <v>2.3576681009319256E-2</v>
      </c>
    </row>
    <row r="5191" spans="19:24" x14ac:dyDescent="0.25">
      <c r="S5191" s="44">
        <f t="shared" si="487"/>
        <v>48241</v>
      </c>
      <c r="T5191" s="12">
        <f t="shared" si="488"/>
        <v>0.61289579459421661</v>
      </c>
      <c r="U5191" s="12">
        <f t="shared" si="492"/>
        <v>0.6063737955829881</v>
      </c>
      <c r="V5191" s="30">
        <f t="shared" si="489"/>
        <v>0.36191013698630137</v>
      </c>
      <c r="W5191" s="46">
        <f t="shared" si="490"/>
        <v>-6.1289579459421649E-3</v>
      </c>
      <c r="X5191" s="33">
        <f t="shared" si="491"/>
        <v>2.3576639497046317E-2</v>
      </c>
    </row>
    <row r="5192" spans="19:24" x14ac:dyDescent="0.25">
      <c r="S5192" s="44">
        <f t="shared" si="487"/>
        <v>48242</v>
      </c>
      <c r="T5192" s="12">
        <f t="shared" si="488"/>
        <v>0.61021871229267544</v>
      </c>
      <c r="U5192" s="12">
        <f t="shared" si="492"/>
        <v>0.60372261885819889</v>
      </c>
      <c r="V5192" s="30">
        <f t="shared" si="489"/>
        <v>0.36188273972602741</v>
      </c>
      <c r="W5192" s="46">
        <f t="shared" si="490"/>
        <v>-6.1021871229267532E-3</v>
      </c>
      <c r="X5192" s="33">
        <f t="shared" si="491"/>
        <v>2.3576597984773372E-2</v>
      </c>
    </row>
    <row r="5193" spans="19:24" x14ac:dyDescent="0.25">
      <c r="S5193" s="44">
        <f t="shared" si="487"/>
        <v>48243</v>
      </c>
      <c r="T5193" s="12">
        <f t="shared" si="488"/>
        <v>0.60754162999113415</v>
      </c>
      <c r="U5193" s="12">
        <f t="shared" si="492"/>
        <v>0.60107144213340957</v>
      </c>
      <c r="V5193" s="30">
        <f t="shared" si="489"/>
        <v>0.3618553424657534</v>
      </c>
      <c r="W5193" s="46">
        <f t="shared" si="490"/>
        <v>-6.0754162999113407E-3</v>
      </c>
      <c r="X5193" s="33">
        <f t="shared" si="491"/>
        <v>2.357655647250043E-2</v>
      </c>
    </row>
    <row r="5194" spans="19:24" x14ac:dyDescent="0.25">
      <c r="S5194" s="44">
        <f t="shared" si="487"/>
        <v>48244</v>
      </c>
      <c r="T5194" s="12">
        <f t="shared" si="488"/>
        <v>0.60486454768959286</v>
      </c>
      <c r="U5194" s="12">
        <f t="shared" si="492"/>
        <v>0.59842026540862026</v>
      </c>
      <c r="V5194" s="30">
        <f t="shared" si="489"/>
        <v>0.3618279452054794</v>
      </c>
      <c r="W5194" s="46">
        <f t="shared" si="490"/>
        <v>-6.0486454768959273E-3</v>
      </c>
      <c r="X5194" s="33">
        <f t="shared" si="491"/>
        <v>2.3576514960227481E-2</v>
      </c>
    </row>
    <row r="5195" spans="19:24" x14ac:dyDescent="0.25">
      <c r="S5195" s="44">
        <f t="shared" si="487"/>
        <v>48245</v>
      </c>
      <c r="T5195" s="12">
        <f t="shared" si="488"/>
        <v>0.60218746538805168</v>
      </c>
      <c r="U5195" s="12">
        <f t="shared" si="492"/>
        <v>0.59576908868383094</v>
      </c>
      <c r="V5195" s="30">
        <f t="shared" si="489"/>
        <v>0.3618005479452055</v>
      </c>
      <c r="W5195" s="46">
        <f t="shared" si="490"/>
        <v>-6.0218746538805157E-3</v>
      </c>
      <c r="X5195" s="33">
        <f t="shared" si="491"/>
        <v>2.3576473447954539E-2</v>
      </c>
    </row>
    <row r="5196" spans="19:24" x14ac:dyDescent="0.25">
      <c r="S5196" s="44">
        <f t="shared" si="487"/>
        <v>48246</v>
      </c>
      <c r="T5196" s="12">
        <f t="shared" si="488"/>
        <v>0.5995103830865105</v>
      </c>
      <c r="U5196" s="12">
        <f t="shared" si="492"/>
        <v>0.59311791195904162</v>
      </c>
      <c r="V5196" s="30">
        <f t="shared" si="489"/>
        <v>0.36177315068493154</v>
      </c>
      <c r="W5196" s="46">
        <f t="shared" si="490"/>
        <v>-5.995103830865104E-3</v>
      </c>
      <c r="X5196" s="33">
        <f t="shared" si="491"/>
        <v>2.3576431935681597E-2</v>
      </c>
    </row>
    <row r="5197" spans="19:24" x14ac:dyDescent="0.25">
      <c r="S5197" s="44">
        <f t="shared" si="487"/>
        <v>48247</v>
      </c>
      <c r="T5197" s="12">
        <f t="shared" si="488"/>
        <v>0.59683330078496932</v>
      </c>
      <c r="U5197" s="12">
        <f t="shared" si="492"/>
        <v>0.5904667352342523</v>
      </c>
      <c r="V5197" s="30">
        <f t="shared" si="489"/>
        <v>0.36174575342465753</v>
      </c>
      <c r="W5197" s="46">
        <f t="shared" si="490"/>
        <v>-5.9683330078496924E-3</v>
      </c>
      <c r="X5197" s="33">
        <f t="shared" si="491"/>
        <v>2.3576390423408651E-2</v>
      </c>
    </row>
    <row r="5198" spans="19:24" x14ac:dyDescent="0.25">
      <c r="S5198" s="44">
        <f t="shared" si="487"/>
        <v>48248</v>
      </c>
      <c r="T5198" s="12">
        <f t="shared" si="488"/>
        <v>0.59415621848342814</v>
      </c>
      <c r="U5198" s="12">
        <f t="shared" si="492"/>
        <v>0.58781555850946288</v>
      </c>
      <c r="V5198" s="30">
        <f t="shared" si="489"/>
        <v>0.36171835616438358</v>
      </c>
      <c r="W5198" s="46">
        <f t="shared" si="490"/>
        <v>-5.9415621848342808E-3</v>
      </c>
      <c r="X5198" s="33">
        <f t="shared" si="491"/>
        <v>2.3576348911135709E-2</v>
      </c>
    </row>
    <row r="5199" spans="19:24" x14ac:dyDescent="0.25">
      <c r="S5199" s="44">
        <f t="shared" si="487"/>
        <v>48249</v>
      </c>
      <c r="T5199" s="12">
        <f t="shared" si="488"/>
        <v>0.59147913618188697</v>
      </c>
      <c r="U5199" s="12">
        <f t="shared" si="492"/>
        <v>0.58516438178467367</v>
      </c>
      <c r="V5199" s="30">
        <f t="shared" si="489"/>
        <v>0.36169095890410963</v>
      </c>
      <c r="W5199" s="46">
        <f t="shared" si="490"/>
        <v>-5.9147913618188691E-3</v>
      </c>
      <c r="X5199" s="33">
        <f t="shared" si="491"/>
        <v>2.3576307398862767E-2</v>
      </c>
    </row>
    <row r="5200" spans="19:24" x14ac:dyDescent="0.25">
      <c r="S5200" s="44">
        <f t="shared" si="487"/>
        <v>48250</v>
      </c>
      <c r="T5200" s="12">
        <f t="shared" si="488"/>
        <v>0.58880205388034579</v>
      </c>
      <c r="U5200" s="12">
        <f t="shared" si="492"/>
        <v>0.58251320505988435</v>
      </c>
      <c r="V5200" s="30">
        <f t="shared" si="489"/>
        <v>0.36166356164383562</v>
      </c>
      <c r="W5200" s="46">
        <f t="shared" si="490"/>
        <v>-5.8880205388034566E-3</v>
      </c>
      <c r="X5200" s="33">
        <f t="shared" si="491"/>
        <v>2.3576265886589825E-2</v>
      </c>
    </row>
    <row r="5201" spans="19:24" x14ac:dyDescent="0.25">
      <c r="S5201" s="44">
        <f t="shared" si="487"/>
        <v>48251</v>
      </c>
      <c r="T5201" s="12">
        <f t="shared" si="488"/>
        <v>0.58612497157880461</v>
      </c>
      <c r="U5201" s="12">
        <f t="shared" si="492"/>
        <v>0.57986202833509504</v>
      </c>
      <c r="V5201" s="30">
        <f t="shared" si="489"/>
        <v>0.36163616438356166</v>
      </c>
      <c r="W5201" s="46">
        <f t="shared" si="490"/>
        <v>-5.861249715788045E-3</v>
      </c>
      <c r="X5201" s="33">
        <f t="shared" si="491"/>
        <v>2.3576224374316879E-2</v>
      </c>
    </row>
    <row r="5202" spans="19:24" x14ac:dyDescent="0.25">
      <c r="S5202" s="44">
        <f t="shared" si="487"/>
        <v>48252</v>
      </c>
      <c r="T5202" s="12">
        <f t="shared" si="488"/>
        <v>0.58344788927726343</v>
      </c>
      <c r="U5202" s="12">
        <f t="shared" si="492"/>
        <v>0.57721085161030594</v>
      </c>
      <c r="V5202" s="30">
        <f t="shared" si="489"/>
        <v>0.36160876712328766</v>
      </c>
      <c r="W5202" s="46">
        <f t="shared" si="490"/>
        <v>-5.8344788927726333E-3</v>
      </c>
      <c r="X5202" s="33">
        <f t="shared" si="491"/>
        <v>2.3576182862043937E-2</v>
      </c>
    </row>
    <row r="5203" spans="19:24" x14ac:dyDescent="0.25">
      <c r="S5203" s="44">
        <f t="shared" si="487"/>
        <v>48253</v>
      </c>
      <c r="T5203" s="12">
        <f t="shared" si="488"/>
        <v>0.58077080697572214</v>
      </c>
      <c r="U5203" s="12">
        <f t="shared" si="492"/>
        <v>0.57455967488551651</v>
      </c>
      <c r="V5203" s="30">
        <f t="shared" si="489"/>
        <v>0.3615813698630137</v>
      </c>
      <c r="W5203" s="46">
        <f t="shared" si="490"/>
        <v>-5.8077080697572208E-3</v>
      </c>
      <c r="X5203" s="33">
        <f t="shared" si="491"/>
        <v>2.3576141349770988E-2</v>
      </c>
    </row>
    <row r="5204" spans="19:24" x14ac:dyDescent="0.25">
      <c r="S5204" s="44">
        <f t="shared" si="487"/>
        <v>48254</v>
      </c>
      <c r="T5204" s="12">
        <f t="shared" si="488"/>
        <v>0.57809372467418085</v>
      </c>
      <c r="U5204" s="12">
        <f t="shared" si="492"/>
        <v>0.5719084981607272</v>
      </c>
      <c r="V5204" s="30">
        <f t="shared" si="489"/>
        <v>0.36155397260273975</v>
      </c>
      <c r="W5204" s="46">
        <f t="shared" si="490"/>
        <v>-5.7809372467418074E-3</v>
      </c>
      <c r="X5204" s="33">
        <f t="shared" si="491"/>
        <v>2.3576099837498046E-2</v>
      </c>
    </row>
    <row r="5205" spans="19:24" x14ac:dyDescent="0.25">
      <c r="S5205" s="44">
        <f t="shared" si="487"/>
        <v>48255</v>
      </c>
      <c r="T5205" s="12">
        <f t="shared" si="488"/>
        <v>0.57541664237263979</v>
      </c>
      <c r="U5205" s="12">
        <f t="shared" si="492"/>
        <v>0.56925732143593777</v>
      </c>
      <c r="V5205" s="30">
        <f t="shared" si="489"/>
        <v>0.36152657534246574</v>
      </c>
      <c r="W5205" s="46">
        <f t="shared" si="490"/>
        <v>-5.7541664237263966E-3</v>
      </c>
      <c r="X5205" s="33">
        <f t="shared" si="491"/>
        <v>2.3576058325225101E-2</v>
      </c>
    </row>
    <row r="5206" spans="19:24" x14ac:dyDescent="0.25">
      <c r="S5206" s="44">
        <f t="shared" si="487"/>
        <v>48256</v>
      </c>
      <c r="T5206" s="12">
        <f t="shared" si="488"/>
        <v>0.57273956007109872</v>
      </c>
      <c r="U5206" s="12">
        <f t="shared" si="492"/>
        <v>0.56660614471114856</v>
      </c>
      <c r="V5206" s="30">
        <f t="shared" si="489"/>
        <v>0.36149917808219173</v>
      </c>
      <c r="W5206" s="46">
        <f t="shared" si="490"/>
        <v>-5.7273956007109867E-3</v>
      </c>
      <c r="X5206" s="33">
        <f t="shared" si="491"/>
        <v>2.3576016812952152E-2</v>
      </c>
    </row>
    <row r="5207" spans="19:24" x14ac:dyDescent="0.25">
      <c r="S5207" s="44">
        <f t="shared" si="487"/>
        <v>48257</v>
      </c>
      <c r="T5207" s="12">
        <f t="shared" si="488"/>
        <v>0.57006247776955732</v>
      </c>
      <c r="U5207" s="12">
        <f t="shared" si="492"/>
        <v>0.56395496798635925</v>
      </c>
      <c r="V5207" s="30">
        <f t="shared" si="489"/>
        <v>0.36147178082191778</v>
      </c>
      <c r="W5207" s="46">
        <f t="shared" si="490"/>
        <v>-5.7006247776955725E-3</v>
      </c>
      <c r="X5207" s="33">
        <f t="shared" si="491"/>
        <v>2.3575975300679217E-2</v>
      </c>
    </row>
    <row r="5208" spans="19:24" x14ac:dyDescent="0.25">
      <c r="S5208" s="44">
        <f t="shared" si="487"/>
        <v>48258</v>
      </c>
      <c r="T5208" s="12">
        <f t="shared" si="488"/>
        <v>0.56738539546801614</v>
      </c>
      <c r="U5208" s="12">
        <f t="shared" si="492"/>
        <v>0.56130379126156993</v>
      </c>
      <c r="V5208" s="30">
        <f t="shared" si="489"/>
        <v>0.36144438356164388</v>
      </c>
      <c r="W5208" s="46">
        <f t="shared" si="490"/>
        <v>-5.6738539546801608E-3</v>
      </c>
      <c r="X5208" s="33">
        <f t="shared" si="491"/>
        <v>2.3575933788406275E-2</v>
      </c>
    </row>
    <row r="5209" spans="19:24" x14ac:dyDescent="0.25">
      <c r="S5209" s="44">
        <f t="shared" si="487"/>
        <v>48259</v>
      </c>
      <c r="T5209" s="12">
        <f t="shared" si="488"/>
        <v>0.56470831316647496</v>
      </c>
      <c r="U5209" s="12">
        <f t="shared" si="492"/>
        <v>0.55865261453678072</v>
      </c>
      <c r="V5209" s="30">
        <f t="shared" si="489"/>
        <v>0.36141698630136987</v>
      </c>
      <c r="W5209" s="46">
        <f t="shared" si="490"/>
        <v>-5.6470831316647483E-3</v>
      </c>
      <c r="X5209" s="33">
        <f t="shared" si="491"/>
        <v>2.3575892276133326E-2</v>
      </c>
    </row>
    <row r="5210" spans="19:24" x14ac:dyDescent="0.25">
      <c r="S5210" s="44">
        <f t="shared" si="487"/>
        <v>48260</v>
      </c>
      <c r="T5210" s="12">
        <f t="shared" si="488"/>
        <v>0.56203123086493378</v>
      </c>
      <c r="U5210" s="12">
        <f t="shared" si="492"/>
        <v>0.55600143781199141</v>
      </c>
      <c r="V5210" s="30">
        <f t="shared" si="489"/>
        <v>0.36138958904109592</v>
      </c>
      <c r="W5210" s="46">
        <f t="shared" si="490"/>
        <v>-5.6203123086493367E-3</v>
      </c>
      <c r="X5210" s="33">
        <f t="shared" si="491"/>
        <v>2.3575850763860384E-2</v>
      </c>
    </row>
    <row r="5211" spans="19:24" x14ac:dyDescent="0.25">
      <c r="S5211" s="44">
        <f t="shared" si="487"/>
        <v>48261</v>
      </c>
      <c r="T5211" s="12">
        <f t="shared" si="488"/>
        <v>0.55935414856339261</v>
      </c>
      <c r="U5211" s="12">
        <f t="shared" si="492"/>
        <v>0.55335026108720231</v>
      </c>
      <c r="V5211" s="30">
        <f t="shared" si="489"/>
        <v>0.36136219178082191</v>
      </c>
      <c r="W5211" s="46">
        <f t="shared" si="490"/>
        <v>-5.5935414856339251E-3</v>
      </c>
      <c r="X5211" s="33">
        <f t="shared" si="491"/>
        <v>2.3575809251587442E-2</v>
      </c>
    </row>
    <row r="5212" spans="19:24" x14ac:dyDescent="0.25">
      <c r="S5212" s="44">
        <f t="shared" si="487"/>
        <v>48262</v>
      </c>
      <c r="T5212" s="12">
        <f t="shared" si="488"/>
        <v>0.55667706626185143</v>
      </c>
      <c r="U5212" s="12">
        <f t="shared" si="492"/>
        <v>0.55069908436241277</v>
      </c>
      <c r="V5212" s="30">
        <f t="shared" si="489"/>
        <v>0.36133479452054795</v>
      </c>
      <c r="W5212" s="46">
        <f t="shared" si="490"/>
        <v>-5.5667706626185134E-3</v>
      </c>
      <c r="X5212" s="33">
        <f t="shared" si="491"/>
        <v>2.3575767739314496E-2</v>
      </c>
    </row>
    <row r="5213" spans="19:24" x14ac:dyDescent="0.25">
      <c r="S5213" s="44">
        <f t="shared" si="487"/>
        <v>48263</v>
      </c>
      <c r="T5213" s="12">
        <f t="shared" si="488"/>
        <v>0.55399998396031014</v>
      </c>
      <c r="U5213" s="12">
        <f t="shared" si="492"/>
        <v>0.54804790763762345</v>
      </c>
      <c r="V5213" s="30">
        <f t="shared" si="489"/>
        <v>0.361307397260274</v>
      </c>
      <c r="W5213" s="46">
        <f t="shared" si="490"/>
        <v>-5.5399998396031009E-3</v>
      </c>
      <c r="X5213" s="33">
        <f t="shared" si="491"/>
        <v>2.3575726227041554E-2</v>
      </c>
    </row>
    <row r="5214" spans="19:24" x14ac:dyDescent="0.25">
      <c r="S5214" s="44">
        <f t="shared" si="487"/>
        <v>48264</v>
      </c>
      <c r="T5214" s="12">
        <f t="shared" si="488"/>
        <v>0.55132290165876907</v>
      </c>
      <c r="U5214" s="12">
        <f t="shared" si="492"/>
        <v>0.54539673091283425</v>
      </c>
      <c r="V5214" s="30">
        <f t="shared" si="489"/>
        <v>0.36127999999999999</v>
      </c>
      <c r="W5214" s="46">
        <f t="shared" si="490"/>
        <v>-5.5132290165876901E-3</v>
      </c>
      <c r="X5214" s="33">
        <f t="shared" si="491"/>
        <v>2.3575684714768605E-2</v>
      </c>
    </row>
    <row r="5215" spans="19:24" x14ac:dyDescent="0.25">
      <c r="S5215" s="44">
        <f t="shared" si="487"/>
        <v>48265</v>
      </c>
      <c r="T5215" s="12">
        <f t="shared" si="488"/>
        <v>0.54864581935722789</v>
      </c>
      <c r="U5215" s="12">
        <f t="shared" si="492"/>
        <v>0.54274555418804482</v>
      </c>
      <c r="V5215" s="30">
        <f t="shared" si="489"/>
        <v>0.36125260273972598</v>
      </c>
      <c r="W5215" s="46">
        <f t="shared" si="490"/>
        <v>-5.4864581935722785E-3</v>
      </c>
      <c r="X5215" s="33">
        <f t="shared" si="491"/>
        <v>2.3575643202495659E-2</v>
      </c>
    </row>
    <row r="5216" spans="19:24" x14ac:dyDescent="0.25">
      <c r="S5216" s="44">
        <f t="shared" si="487"/>
        <v>48266</v>
      </c>
      <c r="T5216" s="12">
        <f t="shared" si="488"/>
        <v>0.54596873705568671</v>
      </c>
      <c r="U5216" s="12">
        <f t="shared" si="492"/>
        <v>0.54009437746325573</v>
      </c>
      <c r="V5216" s="30">
        <f t="shared" si="489"/>
        <v>0.36122520547945208</v>
      </c>
      <c r="W5216" s="46">
        <f t="shared" si="490"/>
        <v>-5.459687370556866E-3</v>
      </c>
      <c r="X5216" s="33">
        <f t="shared" si="491"/>
        <v>2.3575601690222721E-2</v>
      </c>
    </row>
    <row r="5217" spans="19:24" x14ac:dyDescent="0.25">
      <c r="S5217" s="44">
        <f t="shared" si="487"/>
        <v>48267</v>
      </c>
      <c r="T5217" s="12">
        <f t="shared" si="488"/>
        <v>0.54329165475414543</v>
      </c>
      <c r="U5217" s="12">
        <f t="shared" si="492"/>
        <v>0.5374432007384663</v>
      </c>
      <c r="V5217" s="30">
        <f t="shared" si="489"/>
        <v>0.36119780821917807</v>
      </c>
      <c r="W5217" s="46">
        <f t="shared" si="490"/>
        <v>-5.4329165475414535E-3</v>
      </c>
      <c r="X5217" s="33">
        <f t="shared" si="491"/>
        <v>2.3575560177949775E-2</v>
      </c>
    </row>
    <row r="5218" spans="19:24" x14ac:dyDescent="0.25">
      <c r="S5218" s="44">
        <f t="shared" si="487"/>
        <v>48268</v>
      </c>
      <c r="T5218" s="12">
        <f t="shared" si="488"/>
        <v>0.54061457245260414</v>
      </c>
      <c r="U5218" s="12">
        <f t="shared" si="492"/>
        <v>0.53479202401367709</v>
      </c>
      <c r="V5218" s="30">
        <f t="shared" si="489"/>
        <v>0.36117041095890412</v>
      </c>
      <c r="W5218" s="46">
        <f t="shared" si="490"/>
        <v>-5.4061457245260409E-3</v>
      </c>
      <c r="X5218" s="33">
        <f t="shared" si="491"/>
        <v>2.3575518665676833E-2</v>
      </c>
    </row>
    <row r="5219" spans="19:24" x14ac:dyDescent="0.25">
      <c r="S5219" s="44">
        <f t="shared" si="487"/>
        <v>48269</v>
      </c>
      <c r="T5219" s="12">
        <f t="shared" si="488"/>
        <v>0.53793749015106296</v>
      </c>
      <c r="U5219" s="12">
        <f t="shared" si="492"/>
        <v>0.53214084728888777</v>
      </c>
      <c r="V5219" s="30">
        <f t="shared" si="489"/>
        <v>0.36114301369863011</v>
      </c>
      <c r="W5219" s="46">
        <f t="shared" si="490"/>
        <v>-5.3793749015106284E-3</v>
      </c>
      <c r="X5219" s="33">
        <f t="shared" si="491"/>
        <v>2.3575477153403888E-2</v>
      </c>
    </row>
    <row r="5220" spans="19:24" x14ac:dyDescent="0.25">
      <c r="S5220" s="44">
        <f t="shared" si="487"/>
        <v>48270</v>
      </c>
      <c r="T5220" s="12">
        <f t="shared" si="488"/>
        <v>0.53526040784952189</v>
      </c>
      <c r="U5220" s="12">
        <f t="shared" si="492"/>
        <v>0.52948967056409835</v>
      </c>
      <c r="V5220" s="30">
        <f t="shared" si="489"/>
        <v>0.36111561643835621</v>
      </c>
      <c r="W5220" s="46">
        <f t="shared" si="490"/>
        <v>-5.3526040784952177E-3</v>
      </c>
      <c r="X5220" s="33">
        <f t="shared" si="491"/>
        <v>2.3575435641130949E-2</v>
      </c>
    </row>
    <row r="5221" spans="19:24" x14ac:dyDescent="0.25">
      <c r="S5221" s="44">
        <f t="shared" si="487"/>
        <v>48271</v>
      </c>
      <c r="T5221" s="12">
        <f t="shared" si="488"/>
        <v>0.5325833255479806</v>
      </c>
      <c r="U5221" s="12">
        <f t="shared" si="492"/>
        <v>0.52683849383930914</v>
      </c>
      <c r="V5221" s="30">
        <f t="shared" si="489"/>
        <v>0.3610882191780822</v>
      </c>
      <c r="W5221" s="46">
        <f t="shared" si="490"/>
        <v>-5.3258332554798051E-3</v>
      </c>
      <c r="X5221" s="33">
        <f t="shared" si="491"/>
        <v>2.3575394128858004E-2</v>
      </c>
    </row>
    <row r="5222" spans="19:24" x14ac:dyDescent="0.25">
      <c r="S5222" s="44">
        <f t="shared" si="487"/>
        <v>48272</v>
      </c>
      <c r="T5222" s="12">
        <f t="shared" si="488"/>
        <v>0.52990624324643942</v>
      </c>
      <c r="U5222" s="12">
        <f t="shared" si="492"/>
        <v>0.52418731711451994</v>
      </c>
      <c r="V5222" s="30">
        <f t="shared" si="489"/>
        <v>0.36106082191780825</v>
      </c>
      <c r="W5222" s="46">
        <f t="shared" si="490"/>
        <v>-5.2990624324643935E-3</v>
      </c>
      <c r="X5222" s="33">
        <f t="shared" si="491"/>
        <v>2.3575352616585062E-2</v>
      </c>
    </row>
    <row r="5223" spans="19:24" x14ac:dyDescent="0.25">
      <c r="S5223" s="44">
        <f t="shared" si="487"/>
        <v>48273</v>
      </c>
      <c r="T5223" s="12">
        <f t="shared" si="488"/>
        <v>0.52722916094489825</v>
      </c>
      <c r="U5223" s="12">
        <f t="shared" si="492"/>
        <v>0.52153614038973051</v>
      </c>
      <c r="V5223" s="30">
        <f t="shared" si="489"/>
        <v>0.36103342465753424</v>
      </c>
      <c r="W5223" s="46">
        <f t="shared" si="490"/>
        <v>-5.2722916094489819E-3</v>
      </c>
      <c r="X5223" s="33">
        <f t="shared" si="491"/>
        <v>2.3575311104312113E-2</v>
      </c>
    </row>
    <row r="5224" spans="19:24" x14ac:dyDescent="0.25">
      <c r="S5224" s="44">
        <f t="shared" si="487"/>
        <v>48274</v>
      </c>
      <c r="T5224" s="12">
        <f t="shared" si="488"/>
        <v>0.52455207864335707</v>
      </c>
      <c r="U5224" s="12">
        <f t="shared" si="492"/>
        <v>0.51888496366494119</v>
      </c>
      <c r="V5224" s="30">
        <f t="shared" si="489"/>
        <v>0.36100602739726029</v>
      </c>
      <c r="W5224" s="46">
        <f t="shared" si="490"/>
        <v>-5.2455207864335702E-3</v>
      </c>
      <c r="X5224" s="33">
        <f t="shared" si="491"/>
        <v>2.3575269592039171E-2</v>
      </c>
    </row>
    <row r="5225" spans="19:24" x14ac:dyDescent="0.25">
      <c r="S5225" s="44">
        <f t="shared" si="487"/>
        <v>48275</v>
      </c>
      <c r="T5225" s="12">
        <f t="shared" si="488"/>
        <v>0.52187499634181578</v>
      </c>
      <c r="U5225" s="12">
        <f t="shared" si="492"/>
        <v>0.51623378694015198</v>
      </c>
      <c r="V5225" s="30">
        <f t="shared" si="489"/>
        <v>0.36097863013698633</v>
      </c>
      <c r="W5225" s="46">
        <f t="shared" si="490"/>
        <v>-5.2187499634181568E-3</v>
      </c>
      <c r="X5225" s="33">
        <f t="shared" si="491"/>
        <v>2.3575228079766229E-2</v>
      </c>
    </row>
    <row r="5226" spans="19:24" x14ac:dyDescent="0.25">
      <c r="S5226" s="44">
        <f t="shared" si="487"/>
        <v>48276</v>
      </c>
      <c r="T5226" s="12">
        <f t="shared" si="488"/>
        <v>0.5191979140402746</v>
      </c>
      <c r="U5226" s="12">
        <f t="shared" si="492"/>
        <v>0.51358261021536256</v>
      </c>
      <c r="V5226" s="30">
        <f t="shared" si="489"/>
        <v>0.36095123287671232</v>
      </c>
      <c r="W5226" s="46">
        <f t="shared" si="490"/>
        <v>-5.1919791404027452E-3</v>
      </c>
      <c r="X5226" s="33">
        <f t="shared" si="491"/>
        <v>2.3575186567493283E-2</v>
      </c>
    </row>
    <row r="5227" spans="19:24" x14ac:dyDescent="0.25">
      <c r="S5227" s="44">
        <f t="shared" si="487"/>
        <v>48277</v>
      </c>
      <c r="T5227" s="12">
        <f t="shared" si="488"/>
        <v>0.51652083173873353</v>
      </c>
      <c r="U5227" s="12">
        <f t="shared" si="492"/>
        <v>0.51093143349057324</v>
      </c>
      <c r="V5227" s="30">
        <f t="shared" si="489"/>
        <v>0.36092383561643837</v>
      </c>
      <c r="W5227" s="46">
        <f t="shared" si="490"/>
        <v>-5.1652083173873344E-3</v>
      </c>
      <c r="X5227" s="33">
        <f t="shared" si="491"/>
        <v>2.3575145055220341E-2</v>
      </c>
    </row>
    <row r="5228" spans="19:24" x14ac:dyDescent="0.25">
      <c r="S5228" s="44">
        <f t="shared" si="487"/>
        <v>48278</v>
      </c>
      <c r="T5228" s="12">
        <f t="shared" si="488"/>
        <v>0.51384374943719224</v>
      </c>
      <c r="U5228" s="12">
        <f t="shared" si="492"/>
        <v>0.50828025676578414</v>
      </c>
      <c r="V5228" s="30">
        <f t="shared" si="489"/>
        <v>0.36089643835616436</v>
      </c>
      <c r="W5228" s="46">
        <f t="shared" si="490"/>
        <v>-5.1384374943719219E-3</v>
      </c>
      <c r="X5228" s="33">
        <f t="shared" si="491"/>
        <v>2.3575103542947392E-2</v>
      </c>
    </row>
    <row r="5229" spans="19:24" x14ac:dyDescent="0.25">
      <c r="S5229" s="44">
        <f t="shared" si="487"/>
        <v>48279</v>
      </c>
      <c r="T5229" s="12">
        <f t="shared" si="488"/>
        <v>0.51116666713565106</v>
      </c>
      <c r="U5229" s="12">
        <f t="shared" si="492"/>
        <v>0.50562908004099472</v>
      </c>
      <c r="V5229" s="30">
        <f t="shared" si="489"/>
        <v>0.36086904109589041</v>
      </c>
      <c r="W5229" s="46">
        <f t="shared" si="490"/>
        <v>-5.1116666713565103E-3</v>
      </c>
      <c r="X5229" s="33">
        <f t="shared" si="491"/>
        <v>2.357506203067445E-2</v>
      </c>
    </row>
    <row r="5230" spans="19:24" x14ac:dyDescent="0.25">
      <c r="S5230" s="44">
        <f t="shared" si="487"/>
        <v>48280</v>
      </c>
      <c r="T5230" s="12">
        <f t="shared" si="488"/>
        <v>0.50848958483410989</v>
      </c>
      <c r="U5230" s="12">
        <f t="shared" si="492"/>
        <v>0.50297790331620551</v>
      </c>
      <c r="V5230" s="30">
        <f t="shared" si="489"/>
        <v>0.36084164383561645</v>
      </c>
      <c r="W5230" s="46">
        <f t="shared" si="490"/>
        <v>-5.0848958483410978E-3</v>
      </c>
      <c r="X5230" s="33">
        <f t="shared" si="491"/>
        <v>2.3575020518401508E-2</v>
      </c>
    </row>
    <row r="5231" spans="19:24" x14ac:dyDescent="0.25">
      <c r="S5231" s="44">
        <f t="shared" si="487"/>
        <v>48281</v>
      </c>
      <c r="T5231" s="12">
        <f t="shared" si="488"/>
        <v>0.50581250253256871</v>
      </c>
      <c r="U5231" s="12">
        <f t="shared" si="492"/>
        <v>0.50032672659141619</v>
      </c>
      <c r="V5231" s="30">
        <f t="shared" si="489"/>
        <v>0.36081424657534245</v>
      </c>
      <c r="W5231" s="46">
        <f t="shared" si="490"/>
        <v>-5.0581250253256861E-3</v>
      </c>
      <c r="X5231" s="33">
        <f t="shared" si="491"/>
        <v>2.3574979006128562E-2</v>
      </c>
    </row>
    <row r="5232" spans="19:24" x14ac:dyDescent="0.25">
      <c r="S5232" s="44">
        <f t="shared" si="487"/>
        <v>48282</v>
      </c>
      <c r="T5232" s="12">
        <f t="shared" si="488"/>
        <v>0.50313542023102742</v>
      </c>
      <c r="U5232" s="12">
        <f t="shared" si="492"/>
        <v>0.49767554986662682</v>
      </c>
      <c r="V5232" s="30">
        <f t="shared" si="489"/>
        <v>0.36078684931506855</v>
      </c>
      <c r="W5232" s="46">
        <f t="shared" si="490"/>
        <v>-5.0313542023102736E-3</v>
      </c>
      <c r="X5232" s="33">
        <f t="shared" si="491"/>
        <v>2.3574937493855624E-2</v>
      </c>
    </row>
    <row r="5233" spans="19:24" x14ac:dyDescent="0.25">
      <c r="S5233" s="44">
        <f t="shared" si="487"/>
        <v>48283</v>
      </c>
      <c r="T5233" s="12">
        <f t="shared" si="488"/>
        <v>0.50045833792948635</v>
      </c>
      <c r="U5233" s="12">
        <f t="shared" si="492"/>
        <v>0.49502437314183767</v>
      </c>
      <c r="V5233" s="30">
        <f t="shared" si="489"/>
        <v>0.36075945205479454</v>
      </c>
      <c r="W5233" s="46">
        <f t="shared" si="490"/>
        <v>-5.0045833792948628E-3</v>
      </c>
      <c r="X5233" s="33">
        <f t="shared" si="491"/>
        <v>2.3574895981582671E-2</v>
      </c>
    </row>
    <row r="5234" spans="19:24" x14ac:dyDescent="0.25">
      <c r="S5234" s="44">
        <f t="shared" si="487"/>
        <v>48284</v>
      </c>
      <c r="T5234" s="12">
        <f t="shared" si="488"/>
        <v>0.49778125562794517</v>
      </c>
      <c r="U5234" s="12">
        <f t="shared" si="492"/>
        <v>0.49237319641704813</v>
      </c>
      <c r="V5234" s="30">
        <f t="shared" si="489"/>
        <v>0.36073205479452058</v>
      </c>
      <c r="W5234" s="46">
        <f t="shared" si="490"/>
        <v>-4.9778125562794512E-3</v>
      </c>
      <c r="X5234" s="33">
        <f t="shared" si="491"/>
        <v>2.3574854469309736E-2</v>
      </c>
    </row>
    <row r="5235" spans="19:24" x14ac:dyDescent="0.25">
      <c r="S5235" s="44">
        <f t="shared" ref="S5235:S5298" si="493">+S5234+1</f>
        <v>48285</v>
      </c>
      <c r="T5235" s="12">
        <f t="shared" si="488"/>
        <v>0.49510417332640394</v>
      </c>
      <c r="U5235" s="12">
        <f t="shared" si="492"/>
        <v>0.48972201969225893</v>
      </c>
      <c r="V5235" s="30">
        <f t="shared" si="489"/>
        <v>0.36070465753424658</v>
      </c>
      <c r="W5235" s="46">
        <f t="shared" si="490"/>
        <v>-4.9510417332640387E-3</v>
      </c>
      <c r="X5235" s="33">
        <f t="shared" si="491"/>
        <v>2.3574812957036787E-2</v>
      </c>
    </row>
    <row r="5236" spans="19:24" x14ac:dyDescent="0.25">
      <c r="S5236" s="44">
        <f t="shared" si="493"/>
        <v>48286</v>
      </c>
      <c r="T5236" s="12">
        <f t="shared" si="488"/>
        <v>0.49242709102486271</v>
      </c>
      <c r="U5236" s="12">
        <f t="shared" si="492"/>
        <v>0.48707084296746972</v>
      </c>
      <c r="V5236" s="30">
        <f t="shared" si="489"/>
        <v>0.36067726027397262</v>
      </c>
      <c r="W5236" s="46">
        <f t="shared" si="490"/>
        <v>-4.9242709102486262E-3</v>
      </c>
      <c r="X5236" s="33">
        <f t="shared" si="491"/>
        <v>2.3574771444763849E-2</v>
      </c>
    </row>
    <row r="5237" spans="19:24" x14ac:dyDescent="0.25">
      <c r="S5237" s="44">
        <f t="shared" si="493"/>
        <v>48287</v>
      </c>
      <c r="T5237" s="12">
        <f t="shared" si="488"/>
        <v>0.48975000872332147</v>
      </c>
      <c r="U5237" s="12">
        <f t="shared" si="492"/>
        <v>0.48441966624268035</v>
      </c>
      <c r="V5237" s="30">
        <f t="shared" si="489"/>
        <v>0.36064986301369867</v>
      </c>
      <c r="W5237" s="46">
        <f t="shared" si="490"/>
        <v>-4.8975000872332137E-3</v>
      </c>
      <c r="X5237" s="33">
        <f t="shared" si="491"/>
        <v>2.35747299324909E-2</v>
      </c>
    </row>
    <row r="5238" spans="19:24" x14ac:dyDescent="0.25">
      <c r="S5238" s="44">
        <f t="shared" si="493"/>
        <v>48288</v>
      </c>
      <c r="T5238" s="12">
        <f t="shared" si="488"/>
        <v>0.48707292642178035</v>
      </c>
      <c r="U5238" s="12">
        <f t="shared" si="492"/>
        <v>0.48176848951789125</v>
      </c>
      <c r="V5238" s="30">
        <f t="shared" si="489"/>
        <v>0.36062246575342466</v>
      </c>
      <c r="W5238" s="46">
        <f t="shared" si="490"/>
        <v>-4.8707292642178029E-3</v>
      </c>
      <c r="X5238" s="33">
        <f t="shared" si="491"/>
        <v>2.3574688420217958E-2</v>
      </c>
    </row>
    <row r="5239" spans="19:24" x14ac:dyDescent="0.25">
      <c r="S5239" s="44">
        <f t="shared" si="493"/>
        <v>48289</v>
      </c>
      <c r="T5239" s="12">
        <f t="shared" si="488"/>
        <v>0.48439584412023917</v>
      </c>
      <c r="U5239" s="12">
        <f t="shared" si="492"/>
        <v>0.47911731279310188</v>
      </c>
      <c r="V5239" s="30">
        <f t="shared" si="489"/>
        <v>0.36059506849315071</v>
      </c>
      <c r="W5239" s="46">
        <f t="shared" si="490"/>
        <v>-4.8439584412023912E-3</v>
      </c>
      <c r="X5239" s="33">
        <f t="shared" si="491"/>
        <v>2.3574646907945015E-2</v>
      </c>
    </row>
    <row r="5240" spans="19:24" x14ac:dyDescent="0.25">
      <c r="S5240" s="44">
        <f t="shared" si="493"/>
        <v>48290</v>
      </c>
      <c r="T5240" s="12">
        <f t="shared" si="488"/>
        <v>0.48171876181869794</v>
      </c>
      <c r="U5240" s="12">
        <f t="shared" si="492"/>
        <v>0.47646613606831245</v>
      </c>
      <c r="V5240" s="30">
        <f t="shared" si="489"/>
        <v>0.3605676712328767</v>
      </c>
      <c r="W5240" s="46">
        <f t="shared" si="490"/>
        <v>-4.8171876181869787E-3</v>
      </c>
      <c r="X5240" s="33">
        <f t="shared" si="491"/>
        <v>2.3574605395672063E-2</v>
      </c>
    </row>
    <row r="5241" spans="19:24" x14ac:dyDescent="0.25">
      <c r="S5241" s="44">
        <f t="shared" si="493"/>
        <v>48291</v>
      </c>
      <c r="T5241" s="12">
        <f t="shared" si="488"/>
        <v>0.47904167951715676</v>
      </c>
      <c r="U5241" s="12">
        <f t="shared" si="492"/>
        <v>0.47381495934352319</v>
      </c>
      <c r="V5241" s="30">
        <f t="shared" si="489"/>
        <v>0.36054027397260274</v>
      </c>
      <c r="W5241" s="46">
        <f t="shared" si="490"/>
        <v>-4.7904167951715671E-3</v>
      </c>
      <c r="X5241" s="33">
        <f t="shared" si="491"/>
        <v>2.3574563883399128E-2</v>
      </c>
    </row>
    <row r="5242" spans="19:24" x14ac:dyDescent="0.25">
      <c r="S5242" s="44">
        <f t="shared" si="493"/>
        <v>48292</v>
      </c>
      <c r="T5242" s="12">
        <f t="shared" si="488"/>
        <v>0.47636459721561542</v>
      </c>
      <c r="U5242" s="12">
        <f t="shared" si="492"/>
        <v>0.47116378261873387</v>
      </c>
      <c r="V5242" s="30">
        <f t="shared" si="489"/>
        <v>0.36051287671232879</v>
      </c>
      <c r="W5242" s="46">
        <f t="shared" si="490"/>
        <v>-4.7636459721561537E-3</v>
      </c>
      <c r="X5242" s="33">
        <f t="shared" si="491"/>
        <v>2.3574522371126179E-2</v>
      </c>
    </row>
    <row r="5243" spans="19:24" x14ac:dyDescent="0.25">
      <c r="S5243" s="44">
        <f t="shared" si="493"/>
        <v>48293</v>
      </c>
      <c r="T5243" s="12">
        <f t="shared" si="488"/>
        <v>0.47368751491407435</v>
      </c>
      <c r="U5243" s="12">
        <f t="shared" si="492"/>
        <v>0.4685126058939445</v>
      </c>
      <c r="V5243" s="30">
        <f t="shared" si="489"/>
        <v>0.36048547945205478</v>
      </c>
      <c r="W5243" s="46">
        <f t="shared" si="490"/>
        <v>-4.7368751491407429E-3</v>
      </c>
      <c r="X5243" s="33">
        <f t="shared" si="491"/>
        <v>2.3574480858853237E-2</v>
      </c>
    </row>
    <row r="5244" spans="19:24" x14ac:dyDescent="0.25">
      <c r="S5244" s="44">
        <f t="shared" si="493"/>
        <v>48294</v>
      </c>
      <c r="T5244" s="12">
        <f t="shared" si="488"/>
        <v>0.47101043261253311</v>
      </c>
      <c r="U5244" s="12">
        <f t="shared" si="492"/>
        <v>0.46586142916915529</v>
      </c>
      <c r="V5244" s="30">
        <f t="shared" si="489"/>
        <v>0.36045808219178083</v>
      </c>
      <c r="W5244" s="46">
        <f t="shared" si="490"/>
        <v>-4.7101043261253304E-3</v>
      </c>
      <c r="X5244" s="33">
        <f t="shared" si="491"/>
        <v>2.3574439346580291E-2</v>
      </c>
    </row>
    <row r="5245" spans="19:24" x14ac:dyDescent="0.25">
      <c r="S5245" s="44">
        <f t="shared" si="493"/>
        <v>48295</v>
      </c>
      <c r="T5245" s="12">
        <f t="shared" si="488"/>
        <v>0.46833335031099188</v>
      </c>
      <c r="U5245" s="12">
        <f t="shared" si="492"/>
        <v>0.46321025244436598</v>
      </c>
      <c r="V5245" s="30">
        <f t="shared" si="489"/>
        <v>0.36043068493150687</v>
      </c>
      <c r="W5245" s="46">
        <f t="shared" si="490"/>
        <v>-4.6833335031099179E-3</v>
      </c>
      <c r="X5245" s="33">
        <f t="shared" si="491"/>
        <v>2.3574397834307353E-2</v>
      </c>
    </row>
    <row r="5246" spans="19:24" x14ac:dyDescent="0.25">
      <c r="S5246" s="44">
        <f t="shared" si="493"/>
        <v>48296</v>
      </c>
      <c r="T5246" s="12">
        <f t="shared" si="488"/>
        <v>0.46565626800945076</v>
      </c>
      <c r="U5246" s="12">
        <f t="shared" si="492"/>
        <v>0.46055907571957672</v>
      </c>
      <c r="V5246" s="30">
        <f t="shared" si="489"/>
        <v>0.36040328767123292</v>
      </c>
      <c r="W5246" s="46">
        <f t="shared" si="490"/>
        <v>-4.6565626800945071E-3</v>
      </c>
      <c r="X5246" s="33">
        <f t="shared" si="491"/>
        <v>2.3574356322034407E-2</v>
      </c>
    </row>
    <row r="5247" spans="19:24" x14ac:dyDescent="0.25">
      <c r="S5247" s="44">
        <f t="shared" si="493"/>
        <v>48297</v>
      </c>
      <c r="T5247" s="12">
        <f t="shared" si="488"/>
        <v>0.46297918570790947</v>
      </c>
      <c r="U5247" s="12">
        <f t="shared" si="492"/>
        <v>0.45790789899478745</v>
      </c>
      <c r="V5247" s="30">
        <f t="shared" si="489"/>
        <v>0.36037589041095891</v>
      </c>
      <c r="W5247" s="46">
        <f t="shared" si="490"/>
        <v>-4.6297918570790937E-3</v>
      </c>
      <c r="X5247" s="33">
        <f t="shared" si="491"/>
        <v>2.3574314809761465E-2</v>
      </c>
    </row>
    <row r="5248" spans="19:24" x14ac:dyDescent="0.25">
      <c r="S5248" s="44">
        <f t="shared" si="493"/>
        <v>48298</v>
      </c>
      <c r="T5248" s="12">
        <f t="shared" si="488"/>
        <v>0.46030210340636835</v>
      </c>
      <c r="U5248" s="12">
        <f t="shared" si="492"/>
        <v>0.45525672226999808</v>
      </c>
      <c r="V5248" s="30">
        <f t="shared" si="489"/>
        <v>0.36034849315068496</v>
      </c>
      <c r="W5248" s="46">
        <f t="shared" si="490"/>
        <v>-4.603021034063683E-3</v>
      </c>
      <c r="X5248" s="33">
        <f t="shared" si="491"/>
        <v>2.3574273297488516E-2</v>
      </c>
    </row>
    <row r="5249" spans="19:24" x14ac:dyDescent="0.25">
      <c r="S5249" s="44">
        <f t="shared" si="493"/>
        <v>48299</v>
      </c>
      <c r="T5249" s="12">
        <f t="shared" si="488"/>
        <v>0.45762502110482717</v>
      </c>
      <c r="U5249" s="12">
        <f t="shared" si="492"/>
        <v>0.45260554554520882</v>
      </c>
      <c r="V5249" s="30">
        <f t="shared" si="489"/>
        <v>0.36032109589041095</v>
      </c>
      <c r="W5249" s="46">
        <f t="shared" si="490"/>
        <v>-4.5762502110482713E-3</v>
      </c>
      <c r="X5249" s="33">
        <f t="shared" si="491"/>
        <v>2.3574231785215571E-2</v>
      </c>
    </row>
    <row r="5250" spans="19:24" x14ac:dyDescent="0.25">
      <c r="S5250" s="44">
        <f t="shared" si="493"/>
        <v>48300</v>
      </c>
      <c r="T5250" s="12">
        <f t="shared" si="488"/>
        <v>0.45494793880328599</v>
      </c>
      <c r="U5250" s="12">
        <f t="shared" si="492"/>
        <v>0.44995436882041961</v>
      </c>
      <c r="V5250" s="30">
        <f t="shared" si="489"/>
        <v>0.36029369863013699</v>
      </c>
      <c r="W5250" s="46">
        <f t="shared" si="490"/>
        <v>-4.5494793880328588E-3</v>
      </c>
      <c r="X5250" s="33">
        <f t="shared" si="491"/>
        <v>2.3574190272942632E-2</v>
      </c>
    </row>
    <row r="5251" spans="19:24" x14ac:dyDescent="0.25">
      <c r="S5251" s="44">
        <f t="shared" si="493"/>
        <v>48301</v>
      </c>
      <c r="T5251" s="12">
        <f t="shared" si="488"/>
        <v>0.45227085650174476</v>
      </c>
      <c r="U5251" s="12">
        <f t="shared" si="492"/>
        <v>0.44730319209563024</v>
      </c>
      <c r="V5251" s="30">
        <f t="shared" si="489"/>
        <v>0.36026630136986304</v>
      </c>
      <c r="W5251" s="46">
        <f t="shared" si="490"/>
        <v>-4.5227085650174472E-3</v>
      </c>
      <c r="X5251" s="33">
        <f t="shared" si="491"/>
        <v>2.3574148760669687E-2</v>
      </c>
    </row>
    <row r="5252" spans="19:24" x14ac:dyDescent="0.25">
      <c r="S5252" s="44">
        <f t="shared" si="493"/>
        <v>48302</v>
      </c>
      <c r="T5252" s="12">
        <f t="shared" si="488"/>
        <v>0.44959377420020363</v>
      </c>
      <c r="U5252" s="12">
        <f t="shared" si="492"/>
        <v>0.44465201537084093</v>
      </c>
      <c r="V5252" s="30">
        <f t="shared" si="489"/>
        <v>0.36023890410958903</v>
      </c>
      <c r="W5252" s="46">
        <f t="shared" si="490"/>
        <v>-4.4959377420020355E-3</v>
      </c>
      <c r="X5252" s="33">
        <f t="shared" si="491"/>
        <v>2.3574107248396745E-2</v>
      </c>
    </row>
    <row r="5253" spans="19:24" x14ac:dyDescent="0.25">
      <c r="S5253" s="44">
        <f t="shared" si="493"/>
        <v>48303</v>
      </c>
      <c r="T5253" s="12">
        <f t="shared" ref="T5253:T5316" si="494">DurMod(S5253,B$2,$F$7:$G$37,$T$3)</f>
        <v>0.4469166918986624</v>
      </c>
      <c r="U5253" s="12">
        <f t="shared" si="492"/>
        <v>0.44200083864605155</v>
      </c>
      <c r="V5253" s="30">
        <f t="shared" ref="V5253:V5316" si="495">+$U$3*($S$5512-S5253)/365+$T$3*(S5253-$S$4)/365</f>
        <v>0.36021150684931502</v>
      </c>
      <c r="W5253" s="46">
        <f t="shared" ref="W5253:W5316" si="496">+-T5253*($U$3-$T$3)</f>
        <v>-4.469166918986623E-3</v>
      </c>
      <c r="X5253" s="33">
        <f t="shared" ref="X5253:X5316" si="497">+(V5253+W5253)*365/($S$5512-$S$4)</f>
        <v>2.3574065736123796E-2</v>
      </c>
    </row>
    <row r="5254" spans="19:24" x14ac:dyDescent="0.25">
      <c r="S5254" s="44">
        <f t="shared" si="493"/>
        <v>48304</v>
      </c>
      <c r="T5254" s="12">
        <f t="shared" si="494"/>
        <v>0.44423960959712117</v>
      </c>
      <c r="U5254" s="12">
        <f t="shared" ref="U5254:U5317" si="498">DurMod($S5254,$B$2,$F$7:$G$37,U$3)</f>
        <v>0.43934966192126235</v>
      </c>
      <c r="V5254" s="30">
        <f t="shared" si="495"/>
        <v>0.36018410958904112</v>
      </c>
      <c r="W5254" s="46">
        <f t="shared" si="496"/>
        <v>-4.4423960959712114E-3</v>
      </c>
      <c r="X5254" s="33">
        <f t="shared" si="497"/>
        <v>2.357402422385086E-2</v>
      </c>
    </row>
    <row r="5255" spans="19:24" x14ac:dyDescent="0.25">
      <c r="S5255" s="44">
        <f t="shared" si="493"/>
        <v>48305</v>
      </c>
      <c r="T5255" s="12">
        <f t="shared" si="494"/>
        <v>0.44156252729557993</v>
      </c>
      <c r="U5255" s="12">
        <f t="shared" si="498"/>
        <v>0.43669848519647303</v>
      </c>
      <c r="V5255" s="30">
        <f t="shared" si="495"/>
        <v>0.36015671232876711</v>
      </c>
      <c r="W5255" s="46">
        <f t="shared" si="496"/>
        <v>-4.4156252729557989E-3</v>
      </c>
      <c r="X5255" s="33">
        <f t="shared" si="497"/>
        <v>2.3573982711577908E-2</v>
      </c>
    </row>
    <row r="5256" spans="19:24" x14ac:dyDescent="0.25">
      <c r="S5256" s="44">
        <f t="shared" si="493"/>
        <v>48306</v>
      </c>
      <c r="T5256" s="12">
        <f t="shared" si="494"/>
        <v>0.43888544499403875</v>
      </c>
      <c r="U5256" s="12">
        <f t="shared" si="498"/>
        <v>0.43404730847168371</v>
      </c>
      <c r="V5256" s="30">
        <f t="shared" si="495"/>
        <v>0.36012931506849316</v>
      </c>
      <c r="W5256" s="46">
        <f t="shared" si="496"/>
        <v>-4.3888544499403872E-3</v>
      </c>
      <c r="X5256" s="33">
        <f t="shared" si="497"/>
        <v>2.3573941199304973E-2</v>
      </c>
    </row>
    <row r="5257" spans="19:24" x14ac:dyDescent="0.25">
      <c r="S5257" s="44">
        <f t="shared" si="493"/>
        <v>48307</v>
      </c>
      <c r="T5257" s="12">
        <f t="shared" si="494"/>
        <v>0.43620836269249758</v>
      </c>
      <c r="U5257" s="12">
        <f t="shared" si="498"/>
        <v>0.4313961317468944</v>
      </c>
      <c r="V5257" s="30">
        <f t="shared" si="495"/>
        <v>0.36010191780821915</v>
      </c>
      <c r="W5257" s="46">
        <f t="shared" si="496"/>
        <v>-4.3620836269249747E-3</v>
      </c>
      <c r="X5257" s="33">
        <f t="shared" si="497"/>
        <v>2.3573899687032024E-2</v>
      </c>
    </row>
    <row r="5258" spans="19:24" x14ac:dyDescent="0.25">
      <c r="S5258" s="44">
        <f t="shared" si="493"/>
        <v>48308</v>
      </c>
      <c r="T5258" s="12">
        <f t="shared" si="494"/>
        <v>0.43353128039095629</v>
      </c>
      <c r="U5258" s="12">
        <f t="shared" si="498"/>
        <v>0.42874495502210513</v>
      </c>
      <c r="V5258" s="30">
        <f t="shared" si="495"/>
        <v>0.36007452054794525</v>
      </c>
      <c r="W5258" s="46">
        <f t="shared" si="496"/>
        <v>-4.3353128039095622E-3</v>
      </c>
      <c r="X5258" s="33">
        <f t="shared" si="497"/>
        <v>2.3573858174759082E-2</v>
      </c>
    </row>
    <row r="5259" spans="19:24" x14ac:dyDescent="0.25">
      <c r="S5259" s="44">
        <f t="shared" si="493"/>
        <v>48309</v>
      </c>
      <c r="T5259" s="12">
        <f t="shared" si="494"/>
        <v>0.43085419808941522</v>
      </c>
      <c r="U5259" s="12">
        <f t="shared" si="498"/>
        <v>0.42609377829731587</v>
      </c>
      <c r="V5259" s="30">
        <f t="shared" si="495"/>
        <v>0.36004712328767124</v>
      </c>
      <c r="W5259" s="46">
        <f t="shared" si="496"/>
        <v>-4.3085419808941514E-3</v>
      </c>
      <c r="X5259" s="33">
        <f t="shared" si="497"/>
        <v>2.3573816662486136E-2</v>
      </c>
    </row>
    <row r="5260" spans="19:24" x14ac:dyDescent="0.25">
      <c r="S5260" s="44">
        <f t="shared" si="493"/>
        <v>48310</v>
      </c>
      <c r="T5260" s="12">
        <f t="shared" si="494"/>
        <v>0.42817711578787404</v>
      </c>
      <c r="U5260" s="12">
        <f t="shared" si="498"/>
        <v>0.4234426015725265</v>
      </c>
      <c r="V5260" s="30">
        <f t="shared" si="495"/>
        <v>0.36001972602739729</v>
      </c>
      <c r="W5260" s="46">
        <f t="shared" si="496"/>
        <v>-4.2817711578787398E-3</v>
      </c>
      <c r="X5260" s="33">
        <f t="shared" si="497"/>
        <v>2.3573775150213194E-2</v>
      </c>
    </row>
    <row r="5261" spans="19:24" x14ac:dyDescent="0.25">
      <c r="S5261" s="44">
        <f t="shared" si="493"/>
        <v>48311</v>
      </c>
      <c r="T5261" s="12">
        <f t="shared" si="494"/>
        <v>0.42550003348633286</v>
      </c>
      <c r="U5261" s="12">
        <f t="shared" si="498"/>
        <v>0.42079142484773718</v>
      </c>
      <c r="V5261" s="30">
        <f t="shared" si="495"/>
        <v>0.35999232876712328</v>
      </c>
      <c r="W5261" s="46">
        <f t="shared" si="496"/>
        <v>-4.2550003348633281E-3</v>
      </c>
      <c r="X5261" s="33">
        <f t="shared" si="497"/>
        <v>2.3573733637940252E-2</v>
      </c>
    </row>
    <row r="5262" spans="19:24" x14ac:dyDescent="0.25">
      <c r="S5262" s="44">
        <f t="shared" si="493"/>
        <v>48312</v>
      </c>
      <c r="T5262" s="12">
        <f t="shared" si="494"/>
        <v>0.42282295118479152</v>
      </c>
      <c r="U5262" s="12">
        <f t="shared" si="498"/>
        <v>0.41814024812294787</v>
      </c>
      <c r="V5262" s="30">
        <f t="shared" si="495"/>
        <v>0.35996493150684933</v>
      </c>
      <c r="W5262" s="46">
        <f t="shared" si="496"/>
        <v>-4.2282295118479148E-3</v>
      </c>
      <c r="X5262" s="33">
        <f t="shared" si="497"/>
        <v>2.3573692125667303E-2</v>
      </c>
    </row>
    <row r="5263" spans="19:24" x14ac:dyDescent="0.25">
      <c r="S5263" s="44">
        <f t="shared" si="493"/>
        <v>48313</v>
      </c>
      <c r="T5263" s="12">
        <f t="shared" si="494"/>
        <v>0.4201458688832504</v>
      </c>
      <c r="U5263" s="12">
        <f t="shared" si="498"/>
        <v>0.41548907139815866</v>
      </c>
      <c r="V5263" s="30">
        <f t="shared" si="495"/>
        <v>0.35993753424657537</v>
      </c>
      <c r="W5263" s="46">
        <f t="shared" si="496"/>
        <v>-4.2014586888325031E-3</v>
      </c>
      <c r="X5263" s="33">
        <f t="shared" si="497"/>
        <v>2.3573650613394361E-2</v>
      </c>
    </row>
    <row r="5264" spans="19:24" x14ac:dyDescent="0.25">
      <c r="S5264" s="44">
        <f t="shared" si="493"/>
        <v>48314</v>
      </c>
      <c r="T5264" s="12">
        <f t="shared" si="494"/>
        <v>0.41746878658170922</v>
      </c>
      <c r="U5264" s="12">
        <f t="shared" si="498"/>
        <v>0.41283789467336929</v>
      </c>
      <c r="V5264" s="30">
        <f t="shared" si="495"/>
        <v>0.35991013698630137</v>
      </c>
      <c r="W5264" s="46">
        <f t="shared" si="496"/>
        <v>-4.1746878658170915E-3</v>
      </c>
      <c r="X5264" s="33">
        <f t="shared" si="497"/>
        <v>2.3573609101121416E-2</v>
      </c>
    </row>
    <row r="5265" spans="19:24" x14ac:dyDescent="0.25">
      <c r="S5265" s="44">
        <f t="shared" si="493"/>
        <v>48315</v>
      </c>
      <c r="T5265" s="12">
        <f t="shared" si="494"/>
        <v>0.41479170428016804</v>
      </c>
      <c r="U5265" s="12">
        <f t="shared" si="498"/>
        <v>0.41018671794858008</v>
      </c>
      <c r="V5265" s="30">
        <f t="shared" si="495"/>
        <v>0.35988273972602736</v>
      </c>
      <c r="W5265" s="46">
        <f t="shared" si="496"/>
        <v>-4.1479170428016798E-3</v>
      </c>
      <c r="X5265" s="33">
        <f t="shared" si="497"/>
        <v>2.3573567588848467E-2</v>
      </c>
    </row>
    <row r="5266" spans="19:24" x14ac:dyDescent="0.25">
      <c r="S5266" s="44">
        <f t="shared" si="493"/>
        <v>48316</v>
      </c>
      <c r="T5266" s="12">
        <f t="shared" si="494"/>
        <v>0.41211462197862686</v>
      </c>
      <c r="U5266" s="12">
        <f t="shared" si="498"/>
        <v>0.40753554122379065</v>
      </c>
      <c r="V5266" s="30">
        <f t="shared" si="495"/>
        <v>0.35985534246575346</v>
      </c>
      <c r="W5266" s="46">
        <f t="shared" si="496"/>
        <v>-4.1211462197862682E-3</v>
      </c>
      <c r="X5266" s="33">
        <f t="shared" si="497"/>
        <v>2.3573526076575532E-2</v>
      </c>
    </row>
    <row r="5267" spans="19:24" x14ac:dyDescent="0.25">
      <c r="S5267" s="44">
        <f t="shared" si="493"/>
        <v>48317</v>
      </c>
      <c r="T5267" s="12">
        <f t="shared" si="494"/>
        <v>0.40943753967708557</v>
      </c>
      <c r="U5267" s="12">
        <f t="shared" si="498"/>
        <v>0.4048843644990015</v>
      </c>
      <c r="V5267" s="30">
        <f t="shared" si="495"/>
        <v>0.35982794520547945</v>
      </c>
      <c r="W5267" s="46">
        <f t="shared" si="496"/>
        <v>-4.0943753967708548E-3</v>
      </c>
      <c r="X5267" s="33">
        <f t="shared" si="497"/>
        <v>2.3573484564302583E-2</v>
      </c>
    </row>
    <row r="5268" spans="19:24" x14ac:dyDescent="0.25">
      <c r="S5268" s="44">
        <f t="shared" si="493"/>
        <v>48318</v>
      </c>
      <c r="T5268" s="12">
        <f t="shared" si="494"/>
        <v>0.40676045737554439</v>
      </c>
      <c r="U5268" s="12">
        <f t="shared" si="498"/>
        <v>0.40223318777421219</v>
      </c>
      <c r="V5268" s="30">
        <f t="shared" si="495"/>
        <v>0.3598005479452055</v>
      </c>
      <c r="W5268" s="46">
        <f t="shared" si="496"/>
        <v>-4.0676045737554432E-3</v>
      </c>
      <c r="X5268" s="33">
        <f t="shared" si="497"/>
        <v>2.357344305202964E-2</v>
      </c>
    </row>
    <row r="5269" spans="19:24" x14ac:dyDescent="0.25">
      <c r="S5269" s="44">
        <f t="shared" si="493"/>
        <v>48319</v>
      </c>
      <c r="T5269" s="12">
        <f t="shared" si="494"/>
        <v>0.40408337507400321</v>
      </c>
      <c r="U5269" s="12">
        <f t="shared" si="498"/>
        <v>0.39958201104942287</v>
      </c>
      <c r="V5269" s="30">
        <f t="shared" si="495"/>
        <v>0.35977315068493149</v>
      </c>
      <c r="W5269" s="46">
        <f t="shared" si="496"/>
        <v>-4.0408337507400315E-3</v>
      </c>
      <c r="X5269" s="33">
        <f t="shared" si="497"/>
        <v>2.3573401539756695E-2</v>
      </c>
    </row>
    <row r="5270" spans="19:24" x14ac:dyDescent="0.25">
      <c r="S5270" s="44">
        <f t="shared" si="493"/>
        <v>48320</v>
      </c>
      <c r="T5270" s="12">
        <f t="shared" si="494"/>
        <v>0.40140629277246198</v>
      </c>
      <c r="U5270" s="12">
        <f t="shared" si="498"/>
        <v>0.39693083432463355</v>
      </c>
      <c r="V5270" s="30">
        <f t="shared" si="495"/>
        <v>0.35974575342465753</v>
      </c>
      <c r="W5270" s="46">
        <f t="shared" si="496"/>
        <v>-4.014062927724619E-3</v>
      </c>
      <c r="X5270" s="33">
        <f t="shared" si="497"/>
        <v>2.3573360027483753E-2</v>
      </c>
    </row>
    <row r="5271" spans="19:24" x14ac:dyDescent="0.25">
      <c r="S5271" s="44">
        <f t="shared" si="493"/>
        <v>48321</v>
      </c>
      <c r="T5271" s="12">
        <f t="shared" si="494"/>
        <v>0.39872921047092086</v>
      </c>
      <c r="U5271" s="12">
        <f t="shared" si="498"/>
        <v>0.39427965759984435</v>
      </c>
      <c r="V5271" s="30">
        <f t="shared" si="495"/>
        <v>0.35971835616438358</v>
      </c>
      <c r="W5271" s="46">
        <f t="shared" si="496"/>
        <v>-3.9872921047092082E-3</v>
      </c>
      <c r="X5271" s="33">
        <f t="shared" si="497"/>
        <v>2.3573318515210811E-2</v>
      </c>
    </row>
    <row r="5272" spans="19:24" x14ac:dyDescent="0.25">
      <c r="S5272" s="44">
        <f t="shared" si="493"/>
        <v>48322</v>
      </c>
      <c r="T5272" s="12">
        <f t="shared" si="494"/>
        <v>0.39605212816937957</v>
      </c>
      <c r="U5272" s="12">
        <f t="shared" si="498"/>
        <v>0.39162848087505486</v>
      </c>
      <c r="V5272" s="30">
        <f t="shared" si="495"/>
        <v>0.35969095890410963</v>
      </c>
      <c r="W5272" s="46">
        <f t="shared" si="496"/>
        <v>-3.9605212816937949E-3</v>
      </c>
      <c r="X5272" s="33">
        <f t="shared" si="497"/>
        <v>2.3573277002937869E-2</v>
      </c>
    </row>
    <row r="5273" spans="19:24" x14ac:dyDescent="0.25">
      <c r="S5273" s="44">
        <f t="shared" si="493"/>
        <v>48323</v>
      </c>
      <c r="T5273" s="12">
        <f t="shared" si="494"/>
        <v>0.39337504586783839</v>
      </c>
      <c r="U5273" s="12">
        <f t="shared" si="498"/>
        <v>0.3889773041502656</v>
      </c>
      <c r="V5273" s="30">
        <f t="shared" si="495"/>
        <v>0.35966356164383562</v>
      </c>
      <c r="W5273" s="46">
        <f t="shared" si="496"/>
        <v>-3.9337504586783832E-3</v>
      </c>
      <c r="X5273" s="33">
        <f t="shared" si="497"/>
        <v>2.357323549066492E-2</v>
      </c>
    </row>
    <row r="5274" spans="19:24" x14ac:dyDescent="0.25">
      <c r="S5274" s="44">
        <f t="shared" si="493"/>
        <v>48324</v>
      </c>
      <c r="T5274" s="12">
        <f t="shared" si="494"/>
        <v>0.39069796356629716</v>
      </c>
      <c r="U5274" s="12">
        <f t="shared" si="498"/>
        <v>0.3863261274254764</v>
      </c>
      <c r="V5274" s="30">
        <f t="shared" si="495"/>
        <v>0.35963616438356161</v>
      </c>
      <c r="W5274" s="46">
        <f t="shared" si="496"/>
        <v>-3.9069796356629707E-3</v>
      </c>
      <c r="X5274" s="33">
        <f t="shared" si="497"/>
        <v>2.3573193978391978E-2</v>
      </c>
    </row>
    <row r="5275" spans="19:24" x14ac:dyDescent="0.25">
      <c r="S5275" s="44">
        <f t="shared" si="493"/>
        <v>48325</v>
      </c>
      <c r="T5275" s="12">
        <f t="shared" si="494"/>
        <v>0.38802088126475609</v>
      </c>
      <c r="U5275" s="12">
        <f t="shared" si="498"/>
        <v>0.38367495070068708</v>
      </c>
      <c r="V5275" s="30">
        <f t="shared" si="495"/>
        <v>0.35960876712328771</v>
      </c>
      <c r="W5275" s="46">
        <f t="shared" si="496"/>
        <v>-3.8802088126475604E-3</v>
      </c>
      <c r="X5275" s="33">
        <f t="shared" si="497"/>
        <v>2.3573152466119039E-2</v>
      </c>
    </row>
    <row r="5276" spans="19:24" x14ac:dyDescent="0.25">
      <c r="S5276" s="44">
        <f t="shared" si="493"/>
        <v>48326</v>
      </c>
      <c r="T5276" s="12">
        <f t="shared" si="494"/>
        <v>0.38534379896321491</v>
      </c>
      <c r="U5276" s="12">
        <f t="shared" si="498"/>
        <v>0.38102377397589776</v>
      </c>
      <c r="V5276" s="30">
        <f t="shared" si="495"/>
        <v>0.3595813698630137</v>
      </c>
      <c r="W5276" s="46">
        <f t="shared" si="496"/>
        <v>-3.8534379896321487E-3</v>
      </c>
      <c r="X5276" s="33">
        <f t="shared" si="497"/>
        <v>2.357311095384609E-2</v>
      </c>
    </row>
    <row r="5277" spans="19:24" x14ac:dyDescent="0.25">
      <c r="S5277" s="44">
        <f t="shared" si="493"/>
        <v>48327</v>
      </c>
      <c r="T5277" s="12">
        <f t="shared" si="494"/>
        <v>0.38266671666167368</v>
      </c>
      <c r="U5277" s="12">
        <f t="shared" si="498"/>
        <v>0.37837259725110844</v>
      </c>
      <c r="V5277" s="30">
        <f t="shared" si="495"/>
        <v>0.35955397260273969</v>
      </c>
      <c r="W5277" s="46">
        <f t="shared" si="496"/>
        <v>-3.8266671666167362E-3</v>
      </c>
      <c r="X5277" s="33">
        <f t="shared" si="497"/>
        <v>2.3573069441573145E-2</v>
      </c>
    </row>
    <row r="5278" spans="19:24" x14ac:dyDescent="0.25">
      <c r="S5278" s="44">
        <f t="shared" si="493"/>
        <v>48328</v>
      </c>
      <c r="T5278" s="12">
        <f t="shared" si="494"/>
        <v>0.3799896343601325</v>
      </c>
      <c r="U5278" s="12">
        <f t="shared" si="498"/>
        <v>0.37572142052631918</v>
      </c>
      <c r="V5278" s="30">
        <f t="shared" si="495"/>
        <v>0.35952657534246574</v>
      </c>
      <c r="W5278" s="46">
        <f t="shared" si="496"/>
        <v>-3.7998963436013246E-3</v>
      </c>
      <c r="X5278" s="33">
        <f t="shared" si="497"/>
        <v>2.3573027929300203E-2</v>
      </c>
    </row>
    <row r="5279" spans="19:24" x14ac:dyDescent="0.25">
      <c r="S5279" s="44">
        <f t="shared" si="493"/>
        <v>48329</v>
      </c>
      <c r="T5279" s="12">
        <f t="shared" si="494"/>
        <v>0.37731255205859121</v>
      </c>
      <c r="U5279" s="12">
        <f t="shared" si="498"/>
        <v>0.37307024380152987</v>
      </c>
      <c r="V5279" s="30">
        <f t="shared" si="495"/>
        <v>0.35949917808219178</v>
      </c>
      <c r="W5279" s="46">
        <f t="shared" si="496"/>
        <v>-3.7731255205859116E-3</v>
      </c>
      <c r="X5279" s="33">
        <f t="shared" si="497"/>
        <v>2.3572986417027261E-2</v>
      </c>
    </row>
    <row r="5280" spans="19:24" x14ac:dyDescent="0.25">
      <c r="S5280" s="44">
        <f t="shared" si="493"/>
        <v>48330</v>
      </c>
      <c r="T5280" s="12">
        <f t="shared" si="494"/>
        <v>0.37463546975705003</v>
      </c>
      <c r="U5280" s="12">
        <f t="shared" si="498"/>
        <v>0.3704190670767406</v>
      </c>
      <c r="V5280" s="30">
        <f t="shared" si="495"/>
        <v>0.35947178082191783</v>
      </c>
      <c r="W5280" s="46">
        <f t="shared" si="496"/>
        <v>-3.7463546975704995E-3</v>
      </c>
      <c r="X5280" s="33">
        <f t="shared" si="497"/>
        <v>2.3572944904754319E-2</v>
      </c>
    </row>
    <row r="5281" spans="19:24" x14ac:dyDescent="0.25">
      <c r="S5281" s="44">
        <f t="shared" si="493"/>
        <v>48331</v>
      </c>
      <c r="T5281" s="12">
        <f t="shared" si="494"/>
        <v>0.37195838745550891</v>
      </c>
      <c r="U5281" s="12">
        <f t="shared" si="498"/>
        <v>0.36776789035195129</v>
      </c>
      <c r="V5281" s="30">
        <f t="shared" si="495"/>
        <v>0.35944438356164382</v>
      </c>
      <c r="W5281" s="46">
        <f t="shared" si="496"/>
        <v>-3.7195838745550883E-3</v>
      </c>
      <c r="X5281" s="33">
        <f t="shared" si="497"/>
        <v>2.357290339248137E-2</v>
      </c>
    </row>
    <row r="5282" spans="19:24" x14ac:dyDescent="0.25">
      <c r="S5282" s="44">
        <f t="shared" si="493"/>
        <v>48332</v>
      </c>
      <c r="T5282" s="12">
        <f t="shared" si="494"/>
        <v>0.36928130515396762</v>
      </c>
      <c r="U5282" s="12">
        <f t="shared" si="498"/>
        <v>0.36511671362716192</v>
      </c>
      <c r="V5282" s="30">
        <f t="shared" si="495"/>
        <v>0.35941698630136987</v>
      </c>
      <c r="W5282" s="46">
        <f t="shared" si="496"/>
        <v>-3.6928130515396758E-3</v>
      </c>
      <c r="X5282" s="33">
        <f t="shared" si="497"/>
        <v>2.3572861880208427E-2</v>
      </c>
    </row>
    <row r="5283" spans="19:24" x14ac:dyDescent="0.25">
      <c r="S5283" s="44">
        <f t="shared" si="493"/>
        <v>48333</v>
      </c>
      <c r="T5283" s="12">
        <f t="shared" si="494"/>
        <v>0.36660422285242639</v>
      </c>
      <c r="U5283" s="12">
        <f t="shared" si="498"/>
        <v>0.36246553690237271</v>
      </c>
      <c r="V5283" s="30">
        <f t="shared" si="495"/>
        <v>0.35938958904109591</v>
      </c>
      <c r="W5283" s="46">
        <f t="shared" si="496"/>
        <v>-3.6660422285242633E-3</v>
      </c>
      <c r="X5283" s="33">
        <f t="shared" si="497"/>
        <v>2.3572820367935485E-2</v>
      </c>
    </row>
    <row r="5284" spans="19:24" x14ac:dyDescent="0.25">
      <c r="S5284" s="44">
        <f t="shared" si="493"/>
        <v>48334</v>
      </c>
      <c r="T5284" s="12">
        <f t="shared" si="494"/>
        <v>0.36392714055088526</v>
      </c>
      <c r="U5284" s="12">
        <f t="shared" si="498"/>
        <v>0.35981436017758334</v>
      </c>
      <c r="V5284" s="30">
        <f t="shared" si="495"/>
        <v>0.35936219178082196</v>
      </c>
      <c r="W5284" s="46">
        <f t="shared" si="496"/>
        <v>-3.6392714055088521E-3</v>
      </c>
      <c r="X5284" s="33">
        <f t="shared" si="497"/>
        <v>2.3572778855662543E-2</v>
      </c>
    </row>
    <row r="5285" spans="19:24" x14ac:dyDescent="0.25">
      <c r="S5285" s="44">
        <f t="shared" si="493"/>
        <v>48335</v>
      </c>
      <c r="T5285" s="12">
        <f t="shared" si="494"/>
        <v>0.36125005824934397</v>
      </c>
      <c r="U5285" s="12">
        <f t="shared" si="498"/>
        <v>0.35716318345279408</v>
      </c>
      <c r="V5285" s="30">
        <f t="shared" si="495"/>
        <v>0.35933479452054795</v>
      </c>
      <c r="W5285" s="46">
        <f t="shared" si="496"/>
        <v>-3.6125005824934392E-3</v>
      </c>
      <c r="X5285" s="33">
        <f t="shared" si="497"/>
        <v>2.3572737343389598E-2</v>
      </c>
    </row>
    <row r="5286" spans="19:24" x14ac:dyDescent="0.25">
      <c r="S5286" s="44">
        <f t="shared" si="493"/>
        <v>48336</v>
      </c>
      <c r="T5286" s="12">
        <f t="shared" si="494"/>
        <v>0.35857297594780285</v>
      </c>
      <c r="U5286" s="12">
        <f t="shared" si="498"/>
        <v>0.35451200672800481</v>
      </c>
      <c r="V5286" s="30">
        <f t="shared" si="495"/>
        <v>0.35930739726027394</v>
      </c>
      <c r="W5286" s="46">
        <f t="shared" si="496"/>
        <v>-3.5857297594780279E-3</v>
      </c>
      <c r="X5286" s="33">
        <f t="shared" si="497"/>
        <v>2.3572695831116649E-2</v>
      </c>
    </row>
    <row r="5287" spans="19:24" x14ac:dyDescent="0.25">
      <c r="S5287" s="44">
        <f t="shared" si="493"/>
        <v>48337</v>
      </c>
      <c r="T5287" s="12">
        <f t="shared" si="494"/>
        <v>0.35589589364626162</v>
      </c>
      <c r="U5287" s="12">
        <f t="shared" si="498"/>
        <v>0.35186083000321544</v>
      </c>
      <c r="V5287" s="30">
        <f t="shared" si="495"/>
        <v>0.35928000000000004</v>
      </c>
      <c r="W5287" s="46">
        <f t="shared" si="496"/>
        <v>-3.5589589364626154E-3</v>
      </c>
      <c r="X5287" s="33">
        <f t="shared" si="497"/>
        <v>2.3572654318843707E-2</v>
      </c>
    </row>
    <row r="5288" spans="19:24" x14ac:dyDescent="0.25">
      <c r="S5288" s="44">
        <f t="shared" si="493"/>
        <v>48338</v>
      </c>
      <c r="T5288" s="12">
        <f t="shared" si="494"/>
        <v>0.35321881134472055</v>
      </c>
      <c r="U5288" s="12">
        <f t="shared" si="498"/>
        <v>0.34920965327842624</v>
      </c>
      <c r="V5288" s="30">
        <f t="shared" si="495"/>
        <v>0.35925260273972603</v>
      </c>
      <c r="W5288" s="46">
        <f t="shared" si="496"/>
        <v>-3.5321881134472051E-3</v>
      </c>
      <c r="X5288" s="33">
        <f t="shared" si="497"/>
        <v>2.3572612806570765E-2</v>
      </c>
    </row>
    <row r="5289" spans="19:24" x14ac:dyDescent="0.25">
      <c r="S5289" s="44">
        <f t="shared" si="493"/>
        <v>48339</v>
      </c>
      <c r="T5289" s="12">
        <f t="shared" si="494"/>
        <v>0.35054172904317932</v>
      </c>
      <c r="U5289" s="12">
        <f t="shared" si="498"/>
        <v>0.34655847655363697</v>
      </c>
      <c r="V5289" s="30">
        <f t="shared" si="495"/>
        <v>0.35922520547945203</v>
      </c>
      <c r="W5289" s="46">
        <f t="shared" si="496"/>
        <v>-3.5054172904317926E-3</v>
      </c>
      <c r="X5289" s="33">
        <f t="shared" si="497"/>
        <v>2.3572571294297819E-2</v>
      </c>
    </row>
    <row r="5290" spans="19:24" x14ac:dyDescent="0.25">
      <c r="S5290" s="44">
        <f t="shared" si="493"/>
        <v>48340</v>
      </c>
      <c r="T5290" s="12">
        <f t="shared" si="494"/>
        <v>0.34786464674163814</v>
      </c>
      <c r="U5290" s="12">
        <f t="shared" si="498"/>
        <v>0.3439072998288476</v>
      </c>
      <c r="V5290" s="30">
        <f t="shared" si="495"/>
        <v>0.35919780821917807</v>
      </c>
      <c r="W5290" s="46">
        <f t="shared" si="496"/>
        <v>-3.4786464674163809E-3</v>
      </c>
      <c r="X5290" s="33">
        <f t="shared" si="497"/>
        <v>2.3572529782024877E-2</v>
      </c>
    </row>
    <row r="5291" spans="19:24" x14ac:dyDescent="0.25">
      <c r="S5291" s="44">
        <f t="shared" si="493"/>
        <v>48341</v>
      </c>
      <c r="T5291" s="12">
        <f t="shared" si="494"/>
        <v>0.34518756444009691</v>
      </c>
      <c r="U5291" s="12">
        <f t="shared" si="498"/>
        <v>0.3412561231040584</v>
      </c>
      <c r="V5291" s="30">
        <f t="shared" si="495"/>
        <v>0.35917041095890412</v>
      </c>
      <c r="W5291" s="46">
        <f t="shared" si="496"/>
        <v>-3.4518756444009684E-3</v>
      </c>
      <c r="X5291" s="33">
        <f t="shared" si="497"/>
        <v>2.3572488269751935E-2</v>
      </c>
    </row>
    <row r="5292" spans="19:24" x14ac:dyDescent="0.25">
      <c r="S5292" s="44">
        <f t="shared" si="493"/>
        <v>48342</v>
      </c>
      <c r="T5292" s="12">
        <f t="shared" si="494"/>
        <v>0.34251048213855567</v>
      </c>
      <c r="U5292" s="12">
        <f t="shared" si="498"/>
        <v>0.33860494637926897</v>
      </c>
      <c r="V5292" s="30">
        <f t="shared" si="495"/>
        <v>0.35914301369863016</v>
      </c>
      <c r="W5292" s="46">
        <f t="shared" si="496"/>
        <v>-3.4251048213855564E-3</v>
      </c>
      <c r="X5292" s="33">
        <f t="shared" si="497"/>
        <v>2.3572446757478986E-2</v>
      </c>
    </row>
    <row r="5293" spans="19:24" x14ac:dyDescent="0.25">
      <c r="S5293" s="44">
        <f t="shared" si="493"/>
        <v>48343</v>
      </c>
      <c r="T5293" s="12">
        <f t="shared" si="494"/>
        <v>0.33983339983701444</v>
      </c>
      <c r="U5293" s="12">
        <f t="shared" si="498"/>
        <v>0.33595376965447971</v>
      </c>
      <c r="V5293" s="30">
        <f t="shared" si="495"/>
        <v>0.35911561643835621</v>
      </c>
      <c r="W5293" s="46">
        <f t="shared" si="496"/>
        <v>-3.3983339983701438E-3</v>
      </c>
      <c r="X5293" s="33">
        <f t="shared" si="497"/>
        <v>2.3572405245206051E-2</v>
      </c>
    </row>
    <row r="5294" spans="19:24" x14ac:dyDescent="0.25">
      <c r="S5294" s="44">
        <f t="shared" si="493"/>
        <v>48344</v>
      </c>
      <c r="T5294" s="12">
        <f t="shared" si="494"/>
        <v>0.33715631753547332</v>
      </c>
      <c r="U5294" s="12">
        <f t="shared" si="498"/>
        <v>0.33330259292969039</v>
      </c>
      <c r="V5294" s="30">
        <f t="shared" si="495"/>
        <v>0.3590882191780822</v>
      </c>
      <c r="W5294" s="46">
        <f t="shared" si="496"/>
        <v>-3.3715631753547326E-3</v>
      </c>
      <c r="X5294" s="33">
        <f t="shared" si="497"/>
        <v>2.3572363732933099E-2</v>
      </c>
    </row>
    <row r="5295" spans="19:24" x14ac:dyDescent="0.25">
      <c r="S5295" s="44">
        <f t="shared" si="493"/>
        <v>48345</v>
      </c>
      <c r="T5295" s="12">
        <f t="shared" si="494"/>
        <v>0.33447923523393208</v>
      </c>
      <c r="U5295" s="12">
        <f t="shared" si="498"/>
        <v>0.33065141620490118</v>
      </c>
      <c r="V5295" s="30">
        <f t="shared" si="495"/>
        <v>0.35906082191780819</v>
      </c>
      <c r="W5295" s="46">
        <f t="shared" si="496"/>
        <v>-3.3447923523393201E-3</v>
      </c>
      <c r="X5295" s="33">
        <f t="shared" si="497"/>
        <v>2.3572322220660157E-2</v>
      </c>
    </row>
    <row r="5296" spans="19:24" x14ac:dyDescent="0.25">
      <c r="S5296" s="44">
        <f t="shared" si="493"/>
        <v>48346</v>
      </c>
      <c r="T5296" s="12">
        <f t="shared" si="494"/>
        <v>0.33180215293239096</v>
      </c>
      <c r="U5296" s="12">
        <f t="shared" si="498"/>
        <v>0.32800023948011187</v>
      </c>
      <c r="V5296" s="30">
        <f t="shared" si="495"/>
        <v>0.35903342465753429</v>
      </c>
      <c r="W5296" s="46">
        <f t="shared" si="496"/>
        <v>-3.3180215293239089E-3</v>
      </c>
      <c r="X5296" s="33">
        <f t="shared" si="497"/>
        <v>2.3572280708387214E-2</v>
      </c>
    </row>
    <row r="5297" spans="19:24" x14ac:dyDescent="0.25">
      <c r="S5297" s="44">
        <f t="shared" si="493"/>
        <v>48347</v>
      </c>
      <c r="T5297" s="12">
        <f t="shared" si="494"/>
        <v>0.32912507063084967</v>
      </c>
      <c r="U5297" s="12">
        <f t="shared" si="498"/>
        <v>0.32534906275532249</v>
      </c>
      <c r="V5297" s="30">
        <f t="shared" si="495"/>
        <v>0.35900602739726029</v>
      </c>
      <c r="W5297" s="46">
        <f t="shared" si="496"/>
        <v>-3.2912507063084964E-3</v>
      </c>
      <c r="X5297" s="33">
        <f t="shared" si="497"/>
        <v>2.3572239196114272E-2</v>
      </c>
    </row>
    <row r="5298" spans="19:24" x14ac:dyDescent="0.25">
      <c r="S5298" s="44">
        <f t="shared" si="493"/>
        <v>48348</v>
      </c>
      <c r="T5298" s="12">
        <f t="shared" si="494"/>
        <v>0.32644798832930855</v>
      </c>
      <c r="U5298" s="12">
        <f t="shared" si="498"/>
        <v>0.32269788603053323</v>
      </c>
      <c r="V5298" s="30">
        <f t="shared" si="495"/>
        <v>0.35897863013698633</v>
      </c>
      <c r="W5298" s="46">
        <f t="shared" si="496"/>
        <v>-3.2644798832930848E-3</v>
      </c>
      <c r="X5298" s="33">
        <f t="shared" si="497"/>
        <v>2.3572197683841327E-2</v>
      </c>
    </row>
    <row r="5299" spans="19:24" x14ac:dyDescent="0.25">
      <c r="S5299" s="44">
        <f t="shared" ref="S5299:S5362" si="499">+S5298+1</f>
        <v>48349</v>
      </c>
      <c r="T5299" s="12">
        <f t="shared" si="494"/>
        <v>0.32377090602776731</v>
      </c>
      <c r="U5299" s="12">
        <f t="shared" si="498"/>
        <v>0.32004670930574386</v>
      </c>
      <c r="V5299" s="30">
        <f t="shared" si="495"/>
        <v>0.35895123287671232</v>
      </c>
      <c r="W5299" s="46">
        <f t="shared" si="496"/>
        <v>-3.2377090602776727E-3</v>
      </c>
      <c r="X5299" s="33">
        <f t="shared" si="497"/>
        <v>2.3572156171568385E-2</v>
      </c>
    </row>
    <row r="5300" spans="19:24" x14ac:dyDescent="0.25">
      <c r="S5300" s="44">
        <f t="shared" si="499"/>
        <v>48350</v>
      </c>
      <c r="T5300" s="12">
        <f t="shared" si="494"/>
        <v>0.32109382372622619</v>
      </c>
      <c r="U5300" s="12">
        <f t="shared" si="498"/>
        <v>0.31739553258095471</v>
      </c>
      <c r="V5300" s="30">
        <f t="shared" si="495"/>
        <v>0.35892383561643837</v>
      </c>
      <c r="W5300" s="46">
        <f t="shared" si="496"/>
        <v>-3.2109382372622615E-3</v>
      </c>
      <c r="X5300" s="33">
        <f t="shared" si="497"/>
        <v>2.3572114659295443E-2</v>
      </c>
    </row>
    <row r="5301" spans="19:24" x14ac:dyDescent="0.25">
      <c r="S5301" s="44">
        <f t="shared" si="499"/>
        <v>48351</v>
      </c>
      <c r="T5301" s="12">
        <f t="shared" si="494"/>
        <v>0.3184167414246849</v>
      </c>
      <c r="U5301" s="12">
        <f t="shared" si="498"/>
        <v>0.31474435585616539</v>
      </c>
      <c r="V5301" s="30">
        <f t="shared" si="495"/>
        <v>0.35889643835616442</v>
      </c>
      <c r="W5301" s="46">
        <f t="shared" si="496"/>
        <v>-3.1841674142468485E-3</v>
      </c>
      <c r="X5301" s="33">
        <f t="shared" si="497"/>
        <v>2.3572073147022494E-2</v>
      </c>
    </row>
    <row r="5302" spans="19:24" x14ac:dyDescent="0.25">
      <c r="S5302" s="44">
        <f t="shared" si="499"/>
        <v>48352</v>
      </c>
      <c r="T5302" s="12">
        <f t="shared" si="494"/>
        <v>0.31573965912314378</v>
      </c>
      <c r="U5302" s="12">
        <f t="shared" si="498"/>
        <v>0.31209317913137602</v>
      </c>
      <c r="V5302" s="30">
        <f t="shared" si="495"/>
        <v>0.35886904109589041</v>
      </c>
      <c r="W5302" s="46">
        <f t="shared" si="496"/>
        <v>-3.1573965912314373E-3</v>
      </c>
      <c r="X5302" s="33">
        <f t="shared" si="497"/>
        <v>2.3572031634749552E-2</v>
      </c>
    </row>
    <row r="5303" spans="19:24" x14ac:dyDescent="0.25">
      <c r="S5303" s="44">
        <f t="shared" si="499"/>
        <v>48353</v>
      </c>
      <c r="T5303" s="12">
        <f t="shared" si="494"/>
        <v>0.31306257682160249</v>
      </c>
      <c r="U5303" s="12">
        <f t="shared" si="498"/>
        <v>0.3094420024065867</v>
      </c>
      <c r="V5303" s="30">
        <f t="shared" si="495"/>
        <v>0.3588416438356164</v>
      </c>
      <c r="W5303" s="46">
        <f t="shared" si="496"/>
        <v>-3.1306257682160244E-3</v>
      </c>
      <c r="X5303" s="33">
        <f t="shared" si="497"/>
        <v>2.3571990122476606E-2</v>
      </c>
    </row>
    <row r="5304" spans="19:24" x14ac:dyDescent="0.25">
      <c r="S5304" s="44">
        <f t="shared" si="499"/>
        <v>48354</v>
      </c>
      <c r="T5304" s="12">
        <f t="shared" si="494"/>
        <v>0.31038549452006131</v>
      </c>
      <c r="U5304" s="12">
        <f t="shared" si="498"/>
        <v>0.30679082568179744</v>
      </c>
      <c r="V5304" s="30">
        <f t="shared" si="495"/>
        <v>0.3588142465753425</v>
      </c>
      <c r="W5304" s="46">
        <f t="shared" si="496"/>
        <v>-3.1038549452006127E-3</v>
      </c>
      <c r="X5304" s="33">
        <f t="shared" si="497"/>
        <v>2.3571948610203668E-2</v>
      </c>
    </row>
    <row r="5305" spans="19:24" x14ac:dyDescent="0.25">
      <c r="S5305" s="44">
        <f t="shared" si="499"/>
        <v>48355</v>
      </c>
      <c r="T5305" s="12">
        <f t="shared" si="494"/>
        <v>0.30770841221852013</v>
      </c>
      <c r="U5305" s="12">
        <f t="shared" si="498"/>
        <v>0.30413964895700812</v>
      </c>
      <c r="V5305" s="30">
        <f t="shared" si="495"/>
        <v>0.35878684931506855</v>
      </c>
      <c r="W5305" s="46">
        <f t="shared" si="496"/>
        <v>-3.0770841221852007E-3</v>
      </c>
      <c r="X5305" s="33">
        <f t="shared" si="497"/>
        <v>2.3571907097930722E-2</v>
      </c>
    </row>
    <row r="5306" spans="19:24" x14ac:dyDescent="0.25">
      <c r="S5306" s="44">
        <f t="shared" si="499"/>
        <v>48356</v>
      </c>
      <c r="T5306" s="12">
        <f t="shared" si="494"/>
        <v>0.30503132991697901</v>
      </c>
      <c r="U5306" s="12">
        <f t="shared" si="498"/>
        <v>0.30148847223221881</v>
      </c>
      <c r="V5306" s="30">
        <f t="shared" si="495"/>
        <v>0.35875945205479454</v>
      </c>
      <c r="W5306" s="46">
        <f t="shared" si="496"/>
        <v>-3.0503132991697894E-3</v>
      </c>
      <c r="X5306" s="33">
        <f t="shared" si="497"/>
        <v>2.357186558565778E-2</v>
      </c>
    </row>
    <row r="5307" spans="19:24" x14ac:dyDescent="0.25">
      <c r="S5307" s="44">
        <f t="shared" si="499"/>
        <v>48357</v>
      </c>
      <c r="T5307" s="12">
        <f t="shared" si="494"/>
        <v>0.30235424761543767</v>
      </c>
      <c r="U5307" s="12">
        <f t="shared" si="498"/>
        <v>0.29883729550742955</v>
      </c>
      <c r="V5307" s="30">
        <f t="shared" si="495"/>
        <v>0.35873205479452058</v>
      </c>
      <c r="W5307" s="46">
        <f t="shared" si="496"/>
        <v>-3.0235424761543761E-3</v>
      </c>
      <c r="X5307" s="33">
        <f t="shared" si="497"/>
        <v>2.3571824073384831E-2</v>
      </c>
    </row>
    <row r="5308" spans="19:24" x14ac:dyDescent="0.25">
      <c r="S5308" s="44">
        <f t="shared" si="499"/>
        <v>48358</v>
      </c>
      <c r="T5308" s="12">
        <f t="shared" si="494"/>
        <v>0.2996771653138966</v>
      </c>
      <c r="U5308" s="12">
        <f t="shared" si="498"/>
        <v>0.29618611878264028</v>
      </c>
      <c r="V5308" s="30">
        <f t="shared" si="495"/>
        <v>0.35870465753424663</v>
      </c>
      <c r="W5308" s="46">
        <f t="shared" si="496"/>
        <v>-2.9967716531389657E-3</v>
      </c>
      <c r="X5308" s="33">
        <f t="shared" si="497"/>
        <v>2.3571782561111896E-2</v>
      </c>
    </row>
    <row r="5309" spans="19:24" x14ac:dyDescent="0.25">
      <c r="S5309" s="44">
        <f t="shared" si="499"/>
        <v>48359</v>
      </c>
      <c r="T5309" s="12">
        <f t="shared" si="494"/>
        <v>0.29700008301235536</v>
      </c>
      <c r="U5309" s="12">
        <f t="shared" si="498"/>
        <v>0.29353494205785097</v>
      </c>
      <c r="V5309" s="30">
        <f t="shared" si="495"/>
        <v>0.35867726027397262</v>
      </c>
      <c r="W5309" s="46">
        <f t="shared" si="496"/>
        <v>-2.9700008301235532E-3</v>
      </c>
      <c r="X5309" s="33">
        <f t="shared" si="497"/>
        <v>2.3571741048838944E-2</v>
      </c>
    </row>
    <row r="5310" spans="19:24" x14ac:dyDescent="0.25">
      <c r="S5310" s="44">
        <f t="shared" si="499"/>
        <v>48360</v>
      </c>
      <c r="T5310" s="12">
        <f t="shared" si="494"/>
        <v>0.29432300071081419</v>
      </c>
      <c r="U5310" s="12">
        <f t="shared" si="498"/>
        <v>0.29088376533306159</v>
      </c>
      <c r="V5310" s="30">
        <f t="shared" si="495"/>
        <v>0.35864986301369867</v>
      </c>
      <c r="W5310" s="46">
        <f t="shared" si="496"/>
        <v>-2.9432300071081416E-3</v>
      </c>
      <c r="X5310" s="33">
        <f t="shared" si="497"/>
        <v>2.3571699536566001E-2</v>
      </c>
    </row>
    <row r="5311" spans="19:24" x14ac:dyDescent="0.25">
      <c r="S5311" s="44">
        <f t="shared" si="499"/>
        <v>48361</v>
      </c>
      <c r="T5311" s="12">
        <f t="shared" si="494"/>
        <v>0.2916459184092729</v>
      </c>
      <c r="U5311" s="12">
        <f t="shared" si="498"/>
        <v>0.28823258860827233</v>
      </c>
      <c r="V5311" s="30">
        <f t="shared" si="495"/>
        <v>0.35862246575342466</v>
      </c>
      <c r="W5311" s="46">
        <f t="shared" si="496"/>
        <v>-2.9164591840927286E-3</v>
      </c>
      <c r="X5311" s="33">
        <f t="shared" si="497"/>
        <v>2.3571658024293059E-2</v>
      </c>
    </row>
    <row r="5312" spans="19:24" x14ac:dyDescent="0.25">
      <c r="S5312" s="44">
        <f t="shared" si="499"/>
        <v>48362</v>
      </c>
      <c r="T5312" s="12">
        <f t="shared" si="494"/>
        <v>0.28896883610773177</v>
      </c>
      <c r="U5312" s="12">
        <f t="shared" si="498"/>
        <v>0.28558141188348302</v>
      </c>
      <c r="V5312" s="30">
        <f t="shared" si="495"/>
        <v>0.35859506849315065</v>
      </c>
      <c r="W5312" s="46">
        <f t="shared" si="496"/>
        <v>-2.8896883610773174E-3</v>
      </c>
      <c r="X5312" s="33">
        <f t="shared" si="497"/>
        <v>2.3571616512020107E-2</v>
      </c>
    </row>
    <row r="5313" spans="19:24" x14ac:dyDescent="0.25">
      <c r="S5313" s="44">
        <f t="shared" si="499"/>
        <v>48363</v>
      </c>
      <c r="T5313" s="12">
        <f t="shared" si="494"/>
        <v>0.28629175380619054</v>
      </c>
      <c r="U5313" s="12">
        <f t="shared" si="498"/>
        <v>0.28293023515869375</v>
      </c>
      <c r="V5313" s="30">
        <f t="shared" si="495"/>
        <v>0.35856767123287675</v>
      </c>
      <c r="W5313" s="46">
        <f t="shared" si="496"/>
        <v>-2.8629175380619049E-3</v>
      </c>
      <c r="X5313" s="33">
        <f t="shared" si="497"/>
        <v>2.3571574999747168E-2</v>
      </c>
    </row>
    <row r="5314" spans="19:24" x14ac:dyDescent="0.25">
      <c r="S5314" s="44">
        <f t="shared" si="499"/>
        <v>48364</v>
      </c>
      <c r="T5314" s="12">
        <f t="shared" si="494"/>
        <v>0.28361467150464942</v>
      </c>
      <c r="U5314" s="12">
        <f t="shared" si="498"/>
        <v>0.28027905843390449</v>
      </c>
      <c r="V5314" s="30">
        <f t="shared" si="495"/>
        <v>0.35854027397260274</v>
      </c>
      <c r="W5314" s="46">
        <f t="shared" si="496"/>
        <v>-2.8361467150464937E-3</v>
      </c>
      <c r="X5314" s="33">
        <f t="shared" si="497"/>
        <v>2.3571533487474223E-2</v>
      </c>
    </row>
    <row r="5315" spans="19:24" x14ac:dyDescent="0.25">
      <c r="S5315" s="44">
        <f t="shared" si="499"/>
        <v>48365</v>
      </c>
      <c r="T5315" s="12">
        <f t="shared" si="494"/>
        <v>0.28093758920310818</v>
      </c>
      <c r="U5315" s="12">
        <f t="shared" si="498"/>
        <v>0.27762788170911512</v>
      </c>
      <c r="V5315" s="30">
        <f t="shared" si="495"/>
        <v>0.35851287671232873</v>
      </c>
      <c r="W5315" s="46">
        <f t="shared" si="496"/>
        <v>-2.8093758920310816E-3</v>
      </c>
      <c r="X5315" s="33">
        <f t="shared" si="497"/>
        <v>2.3571491975201281E-2</v>
      </c>
    </row>
    <row r="5316" spans="19:24" x14ac:dyDescent="0.25">
      <c r="S5316" s="44">
        <f t="shared" si="499"/>
        <v>48366</v>
      </c>
      <c r="T5316" s="12">
        <f t="shared" si="494"/>
        <v>0.27826050690156695</v>
      </c>
      <c r="U5316" s="12">
        <f t="shared" si="498"/>
        <v>0.2749767049843258</v>
      </c>
      <c r="V5316" s="30">
        <f t="shared" si="495"/>
        <v>0.35848547945205478</v>
      </c>
      <c r="W5316" s="46">
        <f t="shared" si="496"/>
        <v>-2.7826050690156691E-3</v>
      </c>
      <c r="X5316" s="33">
        <f t="shared" si="497"/>
        <v>2.3571450462928335E-2</v>
      </c>
    </row>
    <row r="5317" spans="19:24" x14ac:dyDescent="0.25">
      <c r="S5317" s="44">
        <f t="shared" si="499"/>
        <v>48367</v>
      </c>
      <c r="T5317" s="12">
        <f t="shared" ref="T5317:T5380" si="500">DurMod(S5317,B$2,$F$7:$G$37,$T$3)</f>
        <v>0.27558342460002577</v>
      </c>
      <c r="U5317" s="12">
        <f t="shared" si="498"/>
        <v>0.2723255282595366</v>
      </c>
      <c r="V5317" s="30">
        <f t="shared" ref="V5317:V5380" si="501">+$U$3*($S$5512-S5317)/365+$T$3*(S5317-$S$4)/365</f>
        <v>0.35845808219178088</v>
      </c>
      <c r="W5317" s="46">
        <f t="shared" ref="W5317:W5380" si="502">+-T5317*($U$3-$T$3)</f>
        <v>-2.7558342460002575E-3</v>
      </c>
      <c r="X5317" s="33">
        <f t="shared" ref="X5317:X5380" si="503">+(V5317+W5317)*365/($S$5512-$S$4)</f>
        <v>2.3571408950655397E-2</v>
      </c>
    </row>
    <row r="5318" spans="19:24" x14ac:dyDescent="0.25">
      <c r="S5318" s="44">
        <f t="shared" si="499"/>
        <v>48368</v>
      </c>
      <c r="T5318" s="12">
        <f t="shared" si="500"/>
        <v>0.27290634229848459</v>
      </c>
      <c r="U5318" s="12">
        <f t="shared" ref="U5318:U5381" si="504">DurMod($S5318,$B$2,$F$7:$G$37,U$3)</f>
        <v>0.26967435153474734</v>
      </c>
      <c r="V5318" s="30">
        <f t="shared" si="501"/>
        <v>0.35843068493150687</v>
      </c>
      <c r="W5318" s="46">
        <f t="shared" si="502"/>
        <v>-2.7290634229848454E-3</v>
      </c>
      <c r="X5318" s="33">
        <f t="shared" si="503"/>
        <v>2.3571367438382451E-2</v>
      </c>
    </row>
    <row r="5319" spans="19:24" x14ac:dyDescent="0.25">
      <c r="S5319" s="44">
        <f t="shared" si="499"/>
        <v>48369</v>
      </c>
      <c r="T5319" s="12">
        <f t="shared" si="500"/>
        <v>0.27022925999694342</v>
      </c>
      <c r="U5319" s="12">
        <f t="shared" si="504"/>
        <v>0.26702317480995802</v>
      </c>
      <c r="V5319" s="30">
        <f t="shared" si="501"/>
        <v>0.35840328767123292</v>
      </c>
      <c r="W5319" s="46">
        <f t="shared" si="502"/>
        <v>-2.7022925999694337E-3</v>
      </c>
      <c r="X5319" s="33">
        <f t="shared" si="503"/>
        <v>2.3571325926109509E-2</v>
      </c>
    </row>
    <row r="5320" spans="19:24" x14ac:dyDescent="0.25">
      <c r="S5320" s="44">
        <f t="shared" si="499"/>
        <v>48370</v>
      </c>
      <c r="T5320" s="12">
        <f t="shared" si="500"/>
        <v>0.26755217769540224</v>
      </c>
      <c r="U5320" s="12">
        <f t="shared" si="504"/>
        <v>0.2643719980851687</v>
      </c>
      <c r="V5320" s="30">
        <f t="shared" si="501"/>
        <v>0.35837589041095891</v>
      </c>
      <c r="W5320" s="46">
        <f t="shared" si="502"/>
        <v>-2.6755217769540221E-3</v>
      </c>
      <c r="X5320" s="33">
        <f t="shared" si="503"/>
        <v>2.357128441383656E-2</v>
      </c>
    </row>
    <row r="5321" spans="19:24" x14ac:dyDescent="0.25">
      <c r="S5321" s="44">
        <f t="shared" si="499"/>
        <v>48371</v>
      </c>
      <c r="T5321" s="12">
        <f t="shared" si="500"/>
        <v>0.264875095393861</v>
      </c>
      <c r="U5321" s="12">
        <f t="shared" si="504"/>
        <v>0.26172082136037933</v>
      </c>
      <c r="V5321" s="30">
        <f t="shared" si="501"/>
        <v>0.35834849315068495</v>
      </c>
      <c r="W5321" s="46">
        <f t="shared" si="502"/>
        <v>-2.6487509539386096E-3</v>
      </c>
      <c r="X5321" s="33">
        <f t="shared" si="503"/>
        <v>2.3571242901563618E-2</v>
      </c>
    </row>
    <row r="5322" spans="19:24" x14ac:dyDescent="0.25">
      <c r="S5322" s="44">
        <f t="shared" si="499"/>
        <v>48372</v>
      </c>
      <c r="T5322" s="12">
        <f t="shared" si="500"/>
        <v>0.26219801309231983</v>
      </c>
      <c r="U5322" s="12">
        <f t="shared" si="504"/>
        <v>0.25906964463559007</v>
      </c>
      <c r="V5322" s="30">
        <f t="shared" si="501"/>
        <v>0.358321095890411</v>
      </c>
      <c r="W5322" s="46">
        <f t="shared" si="502"/>
        <v>-2.6219801309231979E-3</v>
      </c>
      <c r="X5322" s="33">
        <f t="shared" si="503"/>
        <v>2.3571201389290676E-2</v>
      </c>
    </row>
    <row r="5323" spans="19:24" x14ac:dyDescent="0.25">
      <c r="S5323" s="44">
        <f t="shared" si="499"/>
        <v>48373</v>
      </c>
      <c r="T5323" s="12">
        <f t="shared" si="500"/>
        <v>0.25952093079077865</v>
      </c>
      <c r="U5323" s="12">
        <f t="shared" si="504"/>
        <v>0.25641846791080086</v>
      </c>
      <c r="V5323" s="30">
        <f t="shared" si="501"/>
        <v>0.35829369863013699</v>
      </c>
      <c r="W5323" s="46">
        <f t="shared" si="502"/>
        <v>-2.5952093079077859E-3</v>
      </c>
      <c r="X5323" s="33">
        <f t="shared" si="503"/>
        <v>2.3571159877017731E-2</v>
      </c>
    </row>
    <row r="5324" spans="19:24" x14ac:dyDescent="0.25">
      <c r="S5324" s="44">
        <f t="shared" si="499"/>
        <v>48374</v>
      </c>
      <c r="T5324" s="12">
        <f t="shared" si="500"/>
        <v>0.25684384848923736</v>
      </c>
      <c r="U5324" s="12">
        <f t="shared" si="504"/>
        <v>0.25376729118601149</v>
      </c>
      <c r="V5324" s="30">
        <f t="shared" si="501"/>
        <v>0.35826630136986298</v>
      </c>
      <c r="W5324" s="46">
        <f t="shared" si="502"/>
        <v>-2.5684384848923734E-3</v>
      </c>
      <c r="X5324" s="33">
        <f t="shared" si="503"/>
        <v>2.3571118364744788E-2</v>
      </c>
    </row>
    <row r="5325" spans="19:24" x14ac:dyDescent="0.25">
      <c r="S5325" s="44">
        <f t="shared" si="499"/>
        <v>48375</v>
      </c>
      <c r="T5325" s="12">
        <f t="shared" si="500"/>
        <v>0.25416676618769624</v>
      </c>
      <c r="U5325" s="12">
        <f t="shared" si="504"/>
        <v>0.25111611446122217</v>
      </c>
      <c r="V5325" s="30">
        <f t="shared" si="501"/>
        <v>0.35823890410958908</v>
      </c>
      <c r="W5325" s="46">
        <f t="shared" si="502"/>
        <v>-2.5416676618769622E-3</v>
      </c>
      <c r="X5325" s="33">
        <f t="shared" si="503"/>
        <v>2.3571076852471846E-2</v>
      </c>
    </row>
    <row r="5326" spans="19:24" x14ac:dyDescent="0.25">
      <c r="S5326" s="44">
        <f t="shared" si="499"/>
        <v>48376</v>
      </c>
      <c r="T5326" s="12">
        <f t="shared" si="500"/>
        <v>0.251489683886155</v>
      </c>
      <c r="U5326" s="12">
        <f t="shared" si="504"/>
        <v>0.24846493773643286</v>
      </c>
      <c r="V5326" s="30">
        <f t="shared" si="501"/>
        <v>0.35821150684931508</v>
      </c>
      <c r="W5326" s="46">
        <f t="shared" si="502"/>
        <v>-2.5148968388615496E-3</v>
      </c>
      <c r="X5326" s="33">
        <f t="shared" si="503"/>
        <v>2.3571035340198897E-2</v>
      </c>
    </row>
    <row r="5327" spans="19:24" x14ac:dyDescent="0.25">
      <c r="S5327" s="44">
        <f t="shared" si="499"/>
        <v>48377</v>
      </c>
      <c r="T5327" s="12">
        <f t="shared" si="500"/>
        <v>0.24881260158461388</v>
      </c>
      <c r="U5327" s="12">
        <f t="shared" si="504"/>
        <v>0.24581376101164362</v>
      </c>
      <c r="V5327" s="30">
        <f t="shared" si="501"/>
        <v>0.35818410958904107</v>
      </c>
      <c r="W5327" s="46">
        <f t="shared" si="502"/>
        <v>-2.4881260158461384E-3</v>
      </c>
      <c r="X5327" s="33">
        <f t="shared" si="503"/>
        <v>2.3570993827925952E-2</v>
      </c>
    </row>
    <row r="5328" spans="19:24" x14ac:dyDescent="0.25">
      <c r="S5328" s="44">
        <f t="shared" si="499"/>
        <v>48378</v>
      </c>
      <c r="T5328" s="12">
        <f t="shared" si="500"/>
        <v>0.24613551928307265</v>
      </c>
      <c r="U5328" s="12">
        <f t="shared" si="504"/>
        <v>0.24316258428685431</v>
      </c>
      <c r="V5328" s="30">
        <f t="shared" si="501"/>
        <v>0.35815671232876711</v>
      </c>
      <c r="W5328" s="46">
        <f t="shared" si="502"/>
        <v>-2.4613551928307259E-3</v>
      </c>
      <c r="X5328" s="33">
        <f t="shared" si="503"/>
        <v>2.357095231565301E-2</v>
      </c>
    </row>
    <row r="5329" spans="19:24" x14ac:dyDescent="0.25">
      <c r="S5329" s="44">
        <f t="shared" si="499"/>
        <v>48379</v>
      </c>
      <c r="T5329" s="12">
        <f t="shared" si="500"/>
        <v>0.24345843698153141</v>
      </c>
      <c r="U5329" s="12">
        <f t="shared" si="504"/>
        <v>0.24051140756206496</v>
      </c>
      <c r="V5329" s="30">
        <f t="shared" si="501"/>
        <v>0.35812931506849321</v>
      </c>
      <c r="W5329" s="46">
        <f t="shared" si="502"/>
        <v>-2.4345843698153138E-3</v>
      </c>
      <c r="X5329" s="33">
        <f t="shared" si="503"/>
        <v>2.3570910803380071E-2</v>
      </c>
    </row>
    <row r="5330" spans="19:24" x14ac:dyDescent="0.25">
      <c r="S5330" s="44">
        <f t="shared" si="499"/>
        <v>48380</v>
      </c>
      <c r="T5330" s="12">
        <f t="shared" si="500"/>
        <v>0.48990606118203894</v>
      </c>
      <c r="U5330" s="12">
        <f t="shared" si="504"/>
        <v>0.48516534063644151</v>
      </c>
      <c r="V5330" s="30">
        <f t="shared" si="501"/>
        <v>0.35810191780821921</v>
      </c>
      <c r="W5330" s="46">
        <f t="shared" si="502"/>
        <v>-4.8990606118203888E-3</v>
      </c>
      <c r="X5330" s="33">
        <f t="shared" si="503"/>
        <v>2.3405781204917497E-2</v>
      </c>
    </row>
    <row r="5331" spans="19:24" x14ac:dyDescent="0.25">
      <c r="S5331" s="44">
        <f t="shared" si="499"/>
        <v>48381</v>
      </c>
      <c r="T5331" s="12">
        <f t="shared" si="500"/>
        <v>0.48722897888049771</v>
      </c>
      <c r="U5331" s="12">
        <f t="shared" si="504"/>
        <v>0.48251416391165214</v>
      </c>
      <c r="V5331" s="30">
        <f t="shared" si="501"/>
        <v>0.35807452054794525</v>
      </c>
      <c r="W5331" s="46">
        <f t="shared" si="502"/>
        <v>-4.8722897888049763E-3</v>
      </c>
      <c r="X5331" s="33">
        <f t="shared" si="503"/>
        <v>2.3405739692644551E-2</v>
      </c>
    </row>
    <row r="5332" spans="19:24" x14ac:dyDescent="0.25">
      <c r="S5332" s="44">
        <f t="shared" si="499"/>
        <v>48382</v>
      </c>
      <c r="T5332" s="12">
        <f t="shared" si="500"/>
        <v>0.48455189657895653</v>
      </c>
      <c r="U5332" s="12">
        <f t="shared" si="504"/>
        <v>0.47986298718686288</v>
      </c>
      <c r="V5332" s="30">
        <f t="shared" si="501"/>
        <v>0.35804712328767124</v>
      </c>
      <c r="W5332" s="46">
        <f t="shared" si="502"/>
        <v>-4.8455189657895647E-3</v>
      </c>
      <c r="X5332" s="33">
        <f t="shared" si="503"/>
        <v>2.3405698180371609E-2</v>
      </c>
    </row>
    <row r="5333" spans="19:24" x14ac:dyDescent="0.25">
      <c r="S5333" s="44">
        <f t="shared" si="499"/>
        <v>48383</v>
      </c>
      <c r="T5333" s="12">
        <f t="shared" si="500"/>
        <v>0.4818748142774153</v>
      </c>
      <c r="U5333" s="12">
        <f t="shared" si="504"/>
        <v>0.47721181046207356</v>
      </c>
      <c r="V5333" s="30">
        <f t="shared" si="501"/>
        <v>0.35801972602739729</v>
      </c>
      <c r="W5333" s="46">
        <f t="shared" si="502"/>
        <v>-4.8187481427741522E-3</v>
      </c>
      <c r="X5333" s="33">
        <f t="shared" si="503"/>
        <v>2.3405656668098664E-2</v>
      </c>
    </row>
    <row r="5334" spans="19:24" x14ac:dyDescent="0.25">
      <c r="S5334" s="44">
        <f t="shared" si="499"/>
        <v>48384</v>
      </c>
      <c r="T5334" s="12">
        <f t="shared" si="500"/>
        <v>0.47919773197587417</v>
      </c>
      <c r="U5334" s="12">
        <f t="shared" si="504"/>
        <v>0.4745606337372843</v>
      </c>
      <c r="V5334" s="30">
        <f t="shared" si="501"/>
        <v>0.35799232876712334</v>
      </c>
      <c r="W5334" s="46">
        <f t="shared" si="502"/>
        <v>-4.7919773197587414E-3</v>
      </c>
      <c r="X5334" s="33">
        <f t="shared" si="503"/>
        <v>2.3405615155825725E-2</v>
      </c>
    </row>
    <row r="5335" spans="19:24" x14ac:dyDescent="0.25">
      <c r="S5335" s="44">
        <f t="shared" si="499"/>
        <v>48385</v>
      </c>
      <c r="T5335" s="12">
        <f t="shared" si="500"/>
        <v>0.476520649674333</v>
      </c>
      <c r="U5335" s="12">
        <f t="shared" si="504"/>
        <v>0.47190945701249504</v>
      </c>
      <c r="V5335" s="30">
        <f t="shared" si="501"/>
        <v>0.35796493150684933</v>
      </c>
      <c r="W5335" s="46">
        <f t="shared" si="502"/>
        <v>-4.7652064967433289E-3</v>
      </c>
      <c r="X5335" s="33">
        <f t="shared" si="503"/>
        <v>2.3405573643552773E-2</v>
      </c>
    </row>
    <row r="5336" spans="19:24" x14ac:dyDescent="0.25">
      <c r="S5336" s="44">
        <f t="shared" si="499"/>
        <v>48386</v>
      </c>
      <c r="T5336" s="12">
        <f t="shared" si="500"/>
        <v>0.47384356737279176</v>
      </c>
      <c r="U5336" s="12">
        <f t="shared" si="504"/>
        <v>0.46925828028770572</v>
      </c>
      <c r="V5336" s="30">
        <f t="shared" si="501"/>
        <v>0.35793753424657532</v>
      </c>
      <c r="W5336" s="46">
        <f t="shared" si="502"/>
        <v>-4.7384356737279172E-3</v>
      </c>
      <c r="X5336" s="33">
        <f t="shared" si="503"/>
        <v>2.340553213127983E-2</v>
      </c>
    </row>
    <row r="5337" spans="19:24" x14ac:dyDescent="0.25">
      <c r="S5337" s="44">
        <f t="shared" si="499"/>
        <v>48387</v>
      </c>
      <c r="T5337" s="12">
        <f t="shared" si="500"/>
        <v>0.47116648507125058</v>
      </c>
      <c r="U5337" s="12">
        <f t="shared" si="504"/>
        <v>0.46660710356291646</v>
      </c>
      <c r="V5337" s="30">
        <f t="shared" si="501"/>
        <v>0.35791013698630136</v>
      </c>
      <c r="W5337" s="46">
        <f t="shared" si="502"/>
        <v>-4.7116648507125047E-3</v>
      </c>
      <c r="X5337" s="33">
        <f t="shared" si="503"/>
        <v>2.3405490619006888E-2</v>
      </c>
    </row>
    <row r="5338" spans="19:24" x14ac:dyDescent="0.25">
      <c r="S5338" s="44">
        <f t="shared" si="499"/>
        <v>48388</v>
      </c>
      <c r="T5338" s="12">
        <f t="shared" si="500"/>
        <v>0.46848940276970935</v>
      </c>
      <c r="U5338" s="12">
        <f t="shared" si="504"/>
        <v>0.46395592683812709</v>
      </c>
      <c r="V5338" s="30">
        <f t="shared" si="501"/>
        <v>0.35788273972602741</v>
      </c>
      <c r="W5338" s="46">
        <f t="shared" si="502"/>
        <v>-4.6848940276970931E-3</v>
      </c>
      <c r="X5338" s="33">
        <f t="shared" si="503"/>
        <v>2.3405449106733943E-2</v>
      </c>
    </row>
    <row r="5339" spans="19:24" x14ac:dyDescent="0.25">
      <c r="S5339" s="44">
        <f t="shared" si="499"/>
        <v>48389</v>
      </c>
      <c r="T5339" s="12">
        <f t="shared" si="500"/>
        <v>0.46581232046816812</v>
      </c>
      <c r="U5339" s="12">
        <f t="shared" si="504"/>
        <v>0.46130475011333782</v>
      </c>
      <c r="V5339" s="30">
        <f t="shared" si="501"/>
        <v>0.3578553424657534</v>
      </c>
      <c r="W5339" s="46">
        <f t="shared" si="502"/>
        <v>-4.6581232046816806E-3</v>
      </c>
      <c r="X5339" s="33">
        <f t="shared" si="503"/>
        <v>2.3405407594461001E-2</v>
      </c>
    </row>
    <row r="5340" spans="19:24" x14ac:dyDescent="0.25">
      <c r="S5340" s="44">
        <f t="shared" si="499"/>
        <v>48390</v>
      </c>
      <c r="T5340" s="12">
        <f t="shared" si="500"/>
        <v>0.46313523816662699</v>
      </c>
      <c r="U5340" s="12">
        <f t="shared" si="504"/>
        <v>0.45865357338854845</v>
      </c>
      <c r="V5340" s="30">
        <f t="shared" si="501"/>
        <v>0.35782794520547945</v>
      </c>
      <c r="W5340" s="46">
        <f t="shared" si="502"/>
        <v>-4.6313523816662689E-3</v>
      </c>
      <c r="X5340" s="33">
        <f t="shared" si="503"/>
        <v>2.3405366082188052E-2</v>
      </c>
    </row>
    <row r="5341" spans="19:24" x14ac:dyDescent="0.25">
      <c r="S5341" s="44">
        <f t="shared" si="499"/>
        <v>48391</v>
      </c>
      <c r="T5341" s="12">
        <f t="shared" si="500"/>
        <v>0.46045815586508571</v>
      </c>
      <c r="U5341" s="12">
        <f t="shared" si="504"/>
        <v>0.45600239666375919</v>
      </c>
      <c r="V5341" s="30">
        <f t="shared" si="501"/>
        <v>0.35780054794520549</v>
      </c>
      <c r="W5341" s="46">
        <f t="shared" si="502"/>
        <v>-4.6045815586508564E-3</v>
      </c>
      <c r="X5341" s="33">
        <f t="shared" si="503"/>
        <v>2.3405324569915117E-2</v>
      </c>
    </row>
    <row r="5342" spans="19:24" x14ac:dyDescent="0.25">
      <c r="S5342" s="44">
        <f t="shared" si="499"/>
        <v>48392</v>
      </c>
      <c r="T5342" s="12">
        <f t="shared" si="500"/>
        <v>0.45778107356354458</v>
      </c>
      <c r="U5342" s="12">
        <f t="shared" si="504"/>
        <v>0.45335121993896993</v>
      </c>
      <c r="V5342" s="30">
        <f t="shared" si="501"/>
        <v>0.35777315068493154</v>
      </c>
      <c r="W5342" s="46">
        <f t="shared" si="502"/>
        <v>-4.5778107356354448E-3</v>
      </c>
      <c r="X5342" s="33">
        <f t="shared" si="503"/>
        <v>2.3405283057642168E-2</v>
      </c>
    </row>
    <row r="5343" spans="19:24" x14ac:dyDescent="0.25">
      <c r="S5343" s="44">
        <f t="shared" si="499"/>
        <v>48393</v>
      </c>
      <c r="T5343" s="12">
        <f t="shared" si="500"/>
        <v>0.45510399126200335</v>
      </c>
      <c r="U5343" s="12">
        <f t="shared" si="504"/>
        <v>0.45070004321418056</v>
      </c>
      <c r="V5343" s="30">
        <f t="shared" si="501"/>
        <v>0.35774575342465759</v>
      </c>
      <c r="W5343" s="46">
        <f t="shared" si="502"/>
        <v>-4.5510399126200331E-3</v>
      </c>
      <c r="X5343" s="33">
        <f t="shared" si="503"/>
        <v>2.3405241545369226E-2</v>
      </c>
    </row>
    <row r="5344" spans="19:24" x14ac:dyDescent="0.25">
      <c r="S5344" s="44">
        <f t="shared" si="499"/>
        <v>48394</v>
      </c>
      <c r="T5344" s="12">
        <f t="shared" si="500"/>
        <v>0.45242690896046212</v>
      </c>
      <c r="U5344" s="12">
        <f t="shared" si="504"/>
        <v>0.4480488664893913</v>
      </c>
      <c r="V5344" s="30">
        <f t="shared" si="501"/>
        <v>0.35771835616438358</v>
      </c>
      <c r="W5344" s="46">
        <f t="shared" si="502"/>
        <v>-4.5242690896046206E-3</v>
      </c>
      <c r="X5344" s="33">
        <f t="shared" si="503"/>
        <v>2.340520003309628E-2</v>
      </c>
    </row>
    <row r="5345" spans="19:24" x14ac:dyDescent="0.25">
      <c r="S5345" s="44">
        <f t="shared" si="499"/>
        <v>48395</v>
      </c>
      <c r="T5345" s="12">
        <f t="shared" si="500"/>
        <v>0.44974982665892099</v>
      </c>
      <c r="U5345" s="12">
        <f t="shared" si="504"/>
        <v>0.44539768976460203</v>
      </c>
      <c r="V5345" s="30">
        <f t="shared" si="501"/>
        <v>0.35769095890410957</v>
      </c>
      <c r="W5345" s="46">
        <f t="shared" si="502"/>
        <v>-4.497498266589209E-3</v>
      </c>
      <c r="X5345" s="33">
        <f t="shared" si="503"/>
        <v>2.3405158520823338E-2</v>
      </c>
    </row>
    <row r="5346" spans="19:24" x14ac:dyDescent="0.25">
      <c r="S5346" s="44">
        <f t="shared" si="499"/>
        <v>48396</v>
      </c>
      <c r="T5346" s="12">
        <f t="shared" si="500"/>
        <v>0.44707274435737976</v>
      </c>
      <c r="U5346" s="12">
        <f t="shared" si="504"/>
        <v>0.44274651303981266</v>
      </c>
      <c r="V5346" s="30">
        <f t="shared" si="501"/>
        <v>0.35766356164383567</v>
      </c>
      <c r="W5346" s="46">
        <f t="shared" si="502"/>
        <v>-4.4707274435737965E-3</v>
      </c>
      <c r="X5346" s="33">
        <f t="shared" si="503"/>
        <v>2.3405117008550396E-2</v>
      </c>
    </row>
    <row r="5347" spans="19:24" x14ac:dyDescent="0.25">
      <c r="S5347" s="44">
        <f t="shared" si="499"/>
        <v>48397</v>
      </c>
      <c r="T5347" s="12">
        <f t="shared" si="500"/>
        <v>0.44439566205583858</v>
      </c>
      <c r="U5347" s="12">
        <f t="shared" si="504"/>
        <v>0.4400953363150234</v>
      </c>
      <c r="V5347" s="30">
        <f t="shared" si="501"/>
        <v>0.35763616438356166</v>
      </c>
      <c r="W5347" s="46">
        <f t="shared" si="502"/>
        <v>-4.4439566205583848E-3</v>
      </c>
      <c r="X5347" s="33">
        <f t="shared" si="503"/>
        <v>2.3405075496277447E-2</v>
      </c>
    </row>
    <row r="5348" spans="19:24" x14ac:dyDescent="0.25">
      <c r="S5348" s="44">
        <f t="shared" si="499"/>
        <v>48398</v>
      </c>
      <c r="T5348" s="12">
        <f t="shared" si="500"/>
        <v>0.4417185797542974</v>
      </c>
      <c r="U5348" s="12">
        <f t="shared" si="504"/>
        <v>0.43744415959023414</v>
      </c>
      <c r="V5348" s="30">
        <f t="shared" si="501"/>
        <v>0.35760876712328765</v>
      </c>
      <c r="W5348" s="46">
        <f t="shared" si="502"/>
        <v>-4.4171857975429732E-3</v>
      </c>
      <c r="X5348" s="33">
        <f t="shared" si="503"/>
        <v>2.3405033984004505E-2</v>
      </c>
    </row>
    <row r="5349" spans="19:24" x14ac:dyDescent="0.25">
      <c r="S5349" s="44">
        <f t="shared" si="499"/>
        <v>48399</v>
      </c>
      <c r="T5349" s="12">
        <f t="shared" si="500"/>
        <v>0.43904149745275622</v>
      </c>
      <c r="U5349" s="12">
        <f t="shared" si="504"/>
        <v>0.43479298286544482</v>
      </c>
      <c r="V5349" s="30">
        <f t="shared" si="501"/>
        <v>0.3575813698630137</v>
      </c>
      <c r="W5349" s="46">
        <f t="shared" si="502"/>
        <v>-4.3904149745275615E-3</v>
      </c>
      <c r="X5349" s="33">
        <f t="shared" si="503"/>
        <v>2.340499247173156E-2</v>
      </c>
    </row>
    <row r="5350" spans="19:24" x14ac:dyDescent="0.25">
      <c r="S5350" s="44">
        <f t="shared" si="499"/>
        <v>48400</v>
      </c>
      <c r="T5350" s="12">
        <f t="shared" si="500"/>
        <v>0.43636441515121499</v>
      </c>
      <c r="U5350" s="12">
        <f t="shared" si="504"/>
        <v>0.4321418061406555</v>
      </c>
      <c r="V5350" s="30">
        <f t="shared" si="501"/>
        <v>0.35755397260273969</v>
      </c>
      <c r="W5350" s="46">
        <f t="shared" si="502"/>
        <v>-4.363644151512149E-3</v>
      </c>
      <c r="X5350" s="33">
        <f t="shared" si="503"/>
        <v>2.3404950959458617E-2</v>
      </c>
    </row>
    <row r="5351" spans="19:24" x14ac:dyDescent="0.25">
      <c r="S5351" s="44">
        <f t="shared" si="499"/>
        <v>48401</v>
      </c>
      <c r="T5351" s="12">
        <f t="shared" si="500"/>
        <v>0.43368733284967381</v>
      </c>
      <c r="U5351" s="12">
        <f t="shared" si="504"/>
        <v>0.42949062941586624</v>
      </c>
      <c r="V5351" s="30">
        <f t="shared" si="501"/>
        <v>0.35752657534246574</v>
      </c>
      <c r="W5351" s="46">
        <f t="shared" si="502"/>
        <v>-4.3368733284967374E-3</v>
      </c>
      <c r="X5351" s="33">
        <f t="shared" si="503"/>
        <v>2.3404909447185672E-2</v>
      </c>
    </row>
    <row r="5352" spans="19:24" x14ac:dyDescent="0.25">
      <c r="S5352" s="44">
        <f t="shared" si="499"/>
        <v>48402</v>
      </c>
      <c r="T5352" s="12">
        <f t="shared" si="500"/>
        <v>0.43101025054813263</v>
      </c>
      <c r="U5352" s="12">
        <f t="shared" si="504"/>
        <v>0.42683945269107693</v>
      </c>
      <c r="V5352" s="30">
        <f t="shared" si="501"/>
        <v>0.35749917808219178</v>
      </c>
      <c r="W5352" s="46">
        <f t="shared" si="502"/>
        <v>-4.3101025054813258E-3</v>
      </c>
      <c r="X5352" s="33">
        <f t="shared" si="503"/>
        <v>2.3404867934912733E-2</v>
      </c>
    </row>
    <row r="5353" spans="19:24" x14ac:dyDescent="0.25">
      <c r="S5353" s="44">
        <f t="shared" si="499"/>
        <v>48403</v>
      </c>
      <c r="T5353" s="12">
        <f t="shared" si="500"/>
        <v>0.4283331682465914</v>
      </c>
      <c r="U5353" s="12">
        <f t="shared" si="504"/>
        <v>0.42418827596628761</v>
      </c>
      <c r="V5353" s="30">
        <f t="shared" si="501"/>
        <v>0.35747178082191783</v>
      </c>
      <c r="W5353" s="46">
        <f t="shared" si="502"/>
        <v>-4.2833316824659132E-3</v>
      </c>
      <c r="X5353" s="33">
        <f t="shared" si="503"/>
        <v>2.3404826422639788E-2</v>
      </c>
    </row>
    <row r="5354" spans="19:24" x14ac:dyDescent="0.25">
      <c r="S5354" s="44">
        <f t="shared" si="499"/>
        <v>48404</v>
      </c>
      <c r="T5354" s="12">
        <f t="shared" si="500"/>
        <v>0.42565608594505022</v>
      </c>
      <c r="U5354" s="12">
        <f t="shared" si="504"/>
        <v>0.42153709924149829</v>
      </c>
      <c r="V5354" s="30">
        <f t="shared" si="501"/>
        <v>0.35744438356164382</v>
      </c>
      <c r="W5354" s="46">
        <f t="shared" si="502"/>
        <v>-4.2565608594505016E-3</v>
      </c>
      <c r="X5354" s="33">
        <f t="shared" si="503"/>
        <v>2.3404784910366846E-2</v>
      </c>
    </row>
    <row r="5355" spans="19:24" x14ac:dyDescent="0.25">
      <c r="S5355" s="44">
        <f t="shared" si="499"/>
        <v>48405</v>
      </c>
      <c r="T5355" s="12">
        <f t="shared" si="500"/>
        <v>0.42297900364350899</v>
      </c>
      <c r="U5355" s="12">
        <f t="shared" si="504"/>
        <v>0.41888592251670903</v>
      </c>
      <c r="V5355" s="30">
        <f t="shared" si="501"/>
        <v>0.35741698630136992</v>
      </c>
      <c r="W5355" s="46">
        <f t="shared" si="502"/>
        <v>-4.2297900364350891E-3</v>
      </c>
      <c r="X5355" s="33">
        <f t="shared" si="503"/>
        <v>2.3404743398093904E-2</v>
      </c>
    </row>
    <row r="5356" spans="19:24" x14ac:dyDescent="0.25">
      <c r="S5356" s="44">
        <f t="shared" si="499"/>
        <v>48406</v>
      </c>
      <c r="T5356" s="12">
        <f t="shared" si="500"/>
        <v>0.42030192134196781</v>
      </c>
      <c r="U5356" s="12">
        <f t="shared" si="504"/>
        <v>0.41623474579191971</v>
      </c>
      <c r="V5356" s="30">
        <f t="shared" si="501"/>
        <v>0.35738958904109591</v>
      </c>
      <c r="W5356" s="46">
        <f t="shared" si="502"/>
        <v>-4.2030192134196774E-3</v>
      </c>
      <c r="X5356" s="33">
        <f t="shared" si="503"/>
        <v>2.3404701885820955E-2</v>
      </c>
    </row>
    <row r="5357" spans="19:24" x14ac:dyDescent="0.25">
      <c r="S5357" s="44">
        <f t="shared" si="499"/>
        <v>48407</v>
      </c>
      <c r="T5357" s="12">
        <f t="shared" si="500"/>
        <v>0.41762483904042663</v>
      </c>
      <c r="U5357" s="12">
        <f t="shared" si="504"/>
        <v>0.41358356906713045</v>
      </c>
      <c r="V5357" s="30">
        <f t="shared" si="501"/>
        <v>0.3573621917808219</v>
      </c>
      <c r="W5357" s="46">
        <f t="shared" si="502"/>
        <v>-4.1762483904042658E-3</v>
      </c>
      <c r="X5357" s="33">
        <f t="shared" si="503"/>
        <v>2.3404660373548009E-2</v>
      </c>
    </row>
    <row r="5358" spans="19:24" x14ac:dyDescent="0.25">
      <c r="S5358" s="44">
        <f t="shared" si="499"/>
        <v>48408</v>
      </c>
      <c r="T5358" s="12">
        <f t="shared" si="500"/>
        <v>0.41494775673888545</v>
      </c>
      <c r="U5358" s="12">
        <f t="shared" si="504"/>
        <v>0.41093239234234119</v>
      </c>
      <c r="V5358" s="30">
        <f t="shared" si="501"/>
        <v>0.35733479452054795</v>
      </c>
      <c r="W5358" s="46">
        <f t="shared" si="502"/>
        <v>-4.1494775673888542E-3</v>
      </c>
      <c r="X5358" s="33">
        <f t="shared" si="503"/>
        <v>2.3404618861275067E-2</v>
      </c>
    </row>
    <row r="5359" spans="19:24" x14ac:dyDescent="0.25">
      <c r="S5359" s="44">
        <f t="shared" si="499"/>
        <v>48409</v>
      </c>
      <c r="T5359" s="12">
        <f t="shared" si="500"/>
        <v>0.41227067443734422</v>
      </c>
      <c r="U5359" s="12">
        <f t="shared" si="504"/>
        <v>0.40828121561755187</v>
      </c>
      <c r="V5359" s="30">
        <f t="shared" si="501"/>
        <v>0.357307397260274</v>
      </c>
      <c r="W5359" s="46">
        <f t="shared" si="502"/>
        <v>-4.1227067443734416E-3</v>
      </c>
      <c r="X5359" s="33">
        <f t="shared" si="503"/>
        <v>2.3404577349002125E-2</v>
      </c>
    </row>
    <row r="5360" spans="19:24" x14ac:dyDescent="0.25">
      <c r="S5360" s="44">
        <f t="shared" si="499"/>
        <v>48410</v>
      </c>
      <c r="T5360" s="12">
        <f t="shared" si="500"/>
        <v>0.40959359213580304</v>
      </c>
      <c r="U5360" s="12">
        <f t="shared" si="504"/>
        <v>0.40563003889276261</v>
      </c>
      <c r="V5360" s="30">
        <f t="shared" si="501"/>
        <v>0.35727999999999999</v>
      </c>
      <c r="W5360" s="46">
        <f t="shared" si="502"/>
        <v>-4.09593592135803E-3</v>
      </c>
      <c r="X5360" s="33">
        <f t="shared" si="503"/>
        <v>2.3404535836729176E-2</v>
      </c>
    </row>
    <row r="5361" spans="19:24" x14ac:dyDescent="0.25">
      <c r="S5361" s="44">
        <f t="shared" si="499"/>
        <v>48411</v>
      </c>
      <c r="T5361" s="12">
        <f t="shared" si="500"/>
        <v>0.40691650983426186</v>
      </c>
      <c r="U5361" s="12">
        <f t="shared" si="504"/>
        <v>0.4029788621679733</v>
      </c>
      <c r="V5361" s="30">
        <f t="shared" si="501"/>
        <v>0.35725260273972603</v>
      </c>
      <c r="W5361" s="46">
        <f t="shared" si="502"/>
        <v>-4.0691650983426184E-3</v>
      </c>
      <c r="X5361" s="33">
        <f t="shared" si="503"/>
        <v>2.3404494324456234E-2</v>
      </c>
    </row>
    <row r="5362" spans="19:24" x14ac:dyDescent="0.25">
      <c r="S5362" s="44">
        <f t="shared" si="499"/>
        <v>48412</v>
      </c>
      <c r="T5362" s="12">
        <f t="shared" si="500"/>
        <v>0.40423942753272063</v>
      </c>
      <c r="U5362" s="12">
        <f t="shared" si="504"/>
        <v>0.40032768544318398</v>
      </c>
      <c r="V5362" s="30">
        <f t="shared" si="501"/>
        <v>0.35722520547945202</v>
      </c>
      <c r="W5362" s="46">
        <f t="shared" si="502"/>
        <v>-4.0423942753272058E-3</v>
      </c>
      <c r="X5362" s="33">
        <f t="shared" si="503"/>
        <v>2.3404452812183289E-2</v>
      </c>
    </row>
    <row r="5363" spans="19:24" x14ac:dyDescent="0.25">
      <c r="S5363" s="44">
        <f t="shared" ref="S5363:S5426" si="505">+S5362+1</f>
        <v>48413</v>
      </c>
      <c r="T5363" s="12">
        <f t="shared" si="500"/>
        <v>0.40156234523117945</v>
      </c>
      <c r="U5363" s="12">
        <f t="shared" si="504"/>
        <v>0.39767650871839461</v>
      </c>
      <c r="V5363" s="30">
        <f t="shared" si="501"/>
        <v>0.35719780821917807</v>
      </c>
      <c r="W5363" s="46">
        <f t="shared" si="502"/>
        <v>-4.0156234523117942E-3</v>
      </c>
      <c r="X5363" s="33">
        <f t="shared" si="503"/>
        <v>2.340441129991035E-2</v>
      </c>
    </row>
    <row r="5364" spans="19:24" x14ac:dyDescent="0.25">
      <c r="S5364" s="44">
        <f t="shared" si="505"/>
        <v>48414</v>
      </c>
      <c r="T5364" s="12">
        <f t="shared" si="500"/>
        <v>0.39888526292963822</v>
      </c>
      <c r="U5364" s="12">
        <f t="shared" si="504"/>
        <v>0.39502533199360534</v>
      </c>
      <c r="V5364" s="30">
        <f t="shared" si="501"/>
        <v>0.35717041095890412</v>
      </c>
      <c r="W5364" s="46">
        <f t="shared" si="502"/>
        <v>-3.9888526292963817E-3</v>
      </c>
      <c r="X5364" s="33">
        <f t="shared" si="503"/>
        <v>2.3404369787637404E-2</v>
      </c>
    </row>
    <row r="5365" spans="19:24" x14ac:dyDescent="0.25">
      <c r="S5365" s="44">
        <f t="shared" si="505"/>
        <v>48415</v>
      </c>
      <c r="T5365" s="12">
        <f t="shared" si="500"/>
        <v>0.3962081806280971</v>
      </c>
      <c r="U5365" s="12">
        <f t="shared" si="504"/>
        <v>0.39237415526881608</v>
      </c>
      <c r="V5365" s="30">
        <f t="shared" si="501"/>
        <v>0.35714301369863016</v>
      </c>
      <c r="W5365" s="46">
        <f t="shared" si="502"/>
        <v>-3.9620818062809701E-3</v>
      </c>
      <c r="X5365" s="33">
        <f t="shared" si="503"/>
        <v>2.3404328275364462E-2</v>
      </c>
    </row>
    <row r="5366" spans="19:24" x14ac:dyDescent="0.25">
      <c r="S5366" s="44">
        <f t="shared" si="505"/>
        <v>48416</v>
      </c>
      <c r="T5366" s="12">
        <f t="shared" si="500"/>
        <v>0.39353109832655586</v>
      </c>
      <c r="U5366" s="12">
        <f t="shared" si="504"/>
        <v>0.38972297854402677</v>
      </c>
      <c r="V5366" s="30">
        <f t="shared" si="501"/>
        <v>0.35711561643835615</v>
      </c>
      <c r="W5366" s="46">
        <f t="shared" si="502"/>
        <v>-3.9353109832655584E-3</v>
      </c>
      <c r="X5366" s="33">
        <f t="shared" si="503"/>
        <v>2.3404286763091513E-2</v>
      </c>
    </row>
    <row r="5367" spans="19:24" x14ac:dyDescent="0.25">
      <c r="S5367" s="44">
        <f t="shared" si="505"/>
        <v>48417</v>
      </c>
      <c r="T5367" s="12">
        <f t="shared" si="500"/>
        <v>0.39085401602501468</v>
      </c>
      <c r="U5367" s="12">
        <f t="shared" si="504"/>
        <v>0.38707180181923745</v>
      </c>
      <c r="V5367" s="30">
        <f t="shared" si="501"/>
        <v>0.35708821917808226</v>
      </c>
      <c r="W5367" s="46">
        <f t="shared" si="502"/>
        <v>-3.9085401602501459E-3</v>
      </c>
      <c r="X5367" s="33">
        <f t="shared" si="503"/>
        <v>2.3404245250818578E-2</v>
      </c>
    </row>
    <row r="5368" spans="19:24" x14ac:dyDescent="0.25">
      <c r="S5368" s="44">
        <f t="shared" si="505"/>
        <v>48418</v>
      </c>
      <c r="T5368" s="12">
        <f t="shared" si="500"/>
        <v>0.38817693372347345</v>
      </c>
      <c r="U5368" s="12">
        <f t="shared" si="504"/>
        <v>0.38442062509444813</v>
      </c>
      <c r="V5368" s="30">
        <f t="shared" si="501"/>
        <v>0.35706082191780825</v>
      </c>
      <c r="W5368" s="46">
        <f t="shared" si="502"/>
        <v>-3.8817693372347338E-3</v>
      </c>
      <c r="X5368" s="33">
        <f t="shared" si="503"/>
        <v>2.3404203738545629E-2</v>
      </c>
    </row>
    <row r="5369" spans="19:24" x14ac:dyDescent="0.25">
      <c r="S5369" s="44">
        <f t="shared" si="505"/>
        <v>48419</v>
      </c>
      <c r="T5369" s="12">
        <f t="shared" si="500"/>
        <v>0.38549985142193222</v>
      </c>
      <c r="U5369" s="12">
        <f t="shared" si="504"/>
        <v>0.38176944836965887</v>
      </c>
      <c r="V5369" s="30">
        <f t="shared" si="501"/>
        <v>0.35703342465753424</v>
      </c>
      <c r="W5369" s="46">
        <f t="shared" si="502"/>
        <v>-3.8549985142193217E-3</v>
      </c>
      <c r="X5369" s="33">
        <f t="shared" si="503"/>
        <v>2.3404162226272684E-2</v>
      </c>
    </row>
    <row r="5370" spans="19:24" x14ac:dyDescent="0.25">
      <c r="S5370" s="44">
        <f t="shared" si="505"/>
        <v>48420</v>
      </c>
      <c r="T5370" s="12">
        <f t="shared" si="500"/>
        <v>0.38282276912039104</v>
      </c>
      <c r="U5370" s="12">
        <f t="shared" si="504"/>
        <v>0.37911827164486961</v>
      </c>
      <c r="V5370" s="30">
        <f t="shared" si="501"/>
        <v>0.35700602739726028</v>
      </c>
      <c r="W5370" s="46">
        <f t="shared" si="502"/>
        <v>-3.8282276912039097E-3</v>
      </c>
      <c r="X5370" s="33">
        <f t="shared" si="503"/>
        <v>2.3404120713999742E-2</v>
      </c>
    </row>
    <row r="5371" spans="19:24" x14ac:dyDescent="0.25">
      <c r="S5371" s="44">
        <f t="shared" si="505"/>
        <v>48421</v>
      </c>
      <c r="T5371" s="12">
        <f t="shared" si="500"/>
        <v>0.38014568681884991</v>
      </c>
      <c r="U5371" s="12">
        <f t="shared" si="504"/>
        <v>0.37646709492008029</v>
      </c>
      <c r="V5371" s="30">
        <f t="shared" si="501"/>
        <v>0.35697863013698627</v>
      </c>
      <c r="W5371" s="46">
        <f t="shared" si="502"/>
        <v>-3.8014568681884985E-3</v>
      </c>
      <c r="X5371" s="33">
        <f t="shared" si="503"/>
        <v>2.3404079201726796E-2</v>
      </c>
    </row>
    <row r="5372" spans="19:24" x14ac:dyDescent="0.25">
      <c r="S5372" s="44">
        <f t="shared" si="505"/>
        <v>48422</v>
      </c>
      <c r="T5372" s="12">
        <f t="shared" si="500"/>
        <v>0.37746860451730868</v>
      </c>
      <c r="U5372" s="12">
        <f t="shared" si="504"/>
        <v>0.37381591819529097</v>
      </c>
      <c r="V5372" s="30">
        <f t="shared" si="501"/>
        <v>0.35695123287671232</v>
      </c>
      <c r="W5372" s="46">
        <f t="shared" si="502"/>
        <v>-3.7746860451730864E-3</v>
      </c>
      <c r="X5372" s="33">
        <f t="shared" si="503"/>
        <v>2.3404037689453854E-2</v>
      </c>
    </row>
    <row r="5373" spans="19:24" x14ac:dyDescent="0.25">
      <c r="S5373" s="44">
        <f t="shared" si="505"/>
        <v>48423</v>
      </c>
      <c r="T5373" s="12">
        <f t="shared" si="500"/>
        <v>0.3747915222157675</v>
      </c>
      <c r="U5373" s="12">
        <f t="shared" si="504"/>
        <v>0.37116474147050166</v>
      </c>
      <c r="V5373" s="30">
        <f t="shared" si="501"/>
        <v>0.35692383561643837</v>
      </c>
      <c r="W5373" s="46">
        <f t="shared" si="502"/>
        <v>-3.7479152221576743E-3</v>
      </c>
      <c r="X5373" s="33">
        <f t="shared" si="503"/>
        <v>2.3403996177180912E-2</v>
      </c>
    </row>
    <row r="5374" spans="19:24" x14ac:dyDescent="0.25">
      <c r="S5374" s="44">
        <f t="shared" si="505"/>
        <v>48424</v>
      </c>
      <c r="T5374" s="12">
        <f t="shared" si="500"/>
        <v>0.37211443991422632</v>
      </c>
      <c r="U5374" s="12">
        <f t="shared" si="504"/>
        <v>0.36851356474571234</v>
      </c>
      <c r="V5374" s="30">
        <f t="shared" si="501"/>
        <v>0.35689643835616436</v>
      </c>
      <c r="W5374" s="46">
        <f t="shared" si="502"/>
        <v>-3.7211443991422627E-3</v>
      </c>
      <c r="X5374" s="33">
        <f t="shared" si="503"/>
        <v>2.3403954664907963E-2</v>
      </c>
    </row>
    <row r="5375" spans="19:24" x14ac:dyDescent="0.25">
      <c r="S5375" s="44">
        <f t="shared" si="505"/>
        <v>48425</v>
      </c>
      <c r="T5375" s="12">
        <f t="shared" si="500"/>
        <v>0.36943735761268509</v>
      </c>
      <c r="U5375" s="12">
        <f t="shared" si="504"/>
        <v>0.36586238802092308</v>
      </c>
      <c r="V5375" s="30">
        <f t="shared" si="501"/>
        <v>0.35686904109589035</v>
      </c>
      <c r="W5375" s="46">
        <f t="shared" si="502"/>
        <v>-3.6943735761268501E-3</v>
      </c>
      <c r="X5375" s="33">
        <f t="shared" si="503"/>
        <v>2.3403913152635018E-2</v>
      </c>
    </row>
    <row r="5376" spans="19:24" x14ac:dyDescent="0.25">
      <c r="S5376" s="44">
        <f t="shared" si="505"/>
        <v>48426</v>
      </c>
      <c r="T5376" s="12">
        <f t="shared" si="500"/>
        <v>0.36676027531114386</v>
      </c>
      <c r="U5376" s="12">
        <f t="shared" si="504"/>
        <v>0.36321121129613382</v>
      </c>
      <c r="V5376" s="30">
        <f t="shared" si="501"/>
        <v>0.35684164383561645</v>
      </c>
      <c r="W5376" s="46">
        <f t="shared" si="502"/>
        <v>-3.6676027531114381E-3</v>
      </c>
      <c r="X5376" s="33">
        <f t="shared" si="503"/>
        <v>2.3403871640362079E-2</v>
      </c>
    </row>
    <row r="5377" spans="19:24" x14ac:dyDescent="0.25">
      <c r="S5377" s="44">
        <f t="shared" si="505"/>
        <v>48427</v>
      </c>
      <c r="T5377" s="12">
        <f t="shared" si="500"/>
        <v>0.36408319300960273</v>
      </c>
      <c r="U5377" s="12">
        <f t="shared" si="504"/>
        <v>0.3605600345713445</v>
      </c>
      <c r="V5377" s="30">
        <f t="shared" si="501"/>
        <v>0.3568142465753425</v>
      </c>
      <c r="W5377" s="46">
        <f t="shared" si="502"/>
        <v>-3.6408319300960269E-3</v>
      </c>
      <c r="X5377" s="33">
        <f t="shared" si="503"/>
        <v>2.3403830128089137E-2</v>
      </c>
    </row>
    <row r="5378" spans="19:24" x14ac:dyDescent="0.25">
      <c r="S5378" s="44">
        <f t="shared" si="505"/>
        <v>48428</v>
      </c>
      <c r="T5378" s="12">
        <f t="shared" si="500"/>
        <v>0.3614061107080615</v>
      </c>
      <c r="U5378" s="12">
        <f t="shared" si="504"/>
        <v>0.35790885784655518</v>
      </c>
      <c r="V5378" s="30">
        <f t="shared" si="501"/>
        <v>0.35678684931506849</v>
      </c>
      <c r="W5378" s="46">
        <f t="shared" si="502"/>
        <v>-3.6140611070806144E-3</v>
      </c>
      <c r="X5378" s="33">
        <f t="shared" si="503"/>
        <v>2.3403788615816191E-2</v>
      </c>
    </row>
    <row r="5379" spans="19:24" x14ac:dyDescent="0.25">
      <c r="S5379" s="44">
        <f t="shared" si="505"/>
        <v>48429</v>
      </c>
      <c r="T5379" s="12">
        <f t="shared" si="500"/>
        <v>0.35872902840652027</v>
      </c>
      <c r="U5379" s="12">
        <f t="shared" si="504"/>
        <v>0.35525768112176587</v>
      </c>
      <c r="V5379" s="30">
        <f t="shared" si="501"/>
        <v>0.35675945205479453</v>
      </c>
      <c r="W5379" s="46">
        <f t="shared" si="502"/>
        <v>-3.5872902840652023E-3</v>
      </c>
      <c r="X5379" s="33">
        <f t="shared" si="503"/>
        <v>2.3403747103543249E-2</v>
      </c>
    </row>
    <row r="5380" spans="19:24" x14ac:dyDescent="0.25">
      <c r="S5380" s="44">
        <f t="shared" si="505"/>
        <v>48430</v>
      </c>
      <c r="T5380" s="12">
        <f t="shared" si="500"/>
        <v>0.35605194610497909</v>
      </c>
      <c r="U5380" s="12">
        <f t="shared" si="504"/>
        <v>0.35260650439697661</v>
      </c>
      <c r="V5380" s="30">
        <f t="shared" si="501"/>
        <v>0.35673205479452058</v>
      </c>
      <c r="W5380" s="46">
        <f t="shared" si="502"/>
        <v>-3.5605194610497902E-3</v>
      </c>
      <c r="X5380" s="33">
        <f t="shared" si="503"/>
        <v>2.3403705591270307E-2</v>
      </c>
    </row>
    <row r="5381" spans="19:24" x14ac:dyDescent="0.25">
      <c r="S5381" s="44">
        <f t="shared" si="505"/>
        <v>48431</v>
      </c>
      <c r="T5381" s="12">
        <f t="shared" ref="T5381:T5444" si="506">DurMod(S5381,B$2,$F$7:$G$37,$T$3)</f>
        <v>0.35337486380343797</v>
      </c>
      <c r="U5381" s="12">
        <f t="shared" si="504"/>
        <v>0.34995532767218734</v>
      </c>
      <c r="V5381" s="30">
        <f t="shared" ref="V5381:V5444" si="507">+$U$3*($S$5512-S5381)/365+$T$3*(S5381-$S$4)/365</f>
        <v>0.35670465753424663</v>
      </c>
      <c r="W5381" s="46">
        <f t="shared" ref="W5381:W5444" si="508">+-T5381*($U$3-$T$3)</f>
        <v>-3.533748638034379E-3</v>
      </c>
      <c r="X5381" s="33">
        <f t="shared" ref="X5381:X5444" si="509">+(V5381+W5381)*365/($S$5512-$S$4)</f>
        <v>2.3403664078997358E-2</v>
      </c>
    </row>
    <row r="5382" spans="19:24" x14ac:dyDescent="0.25">
      <c r="S5382" s="44">
        <f t="shared" si="505"/>
        <v>48432</v>
      </c>
      <c r="T5382" s="12">
        <f t="shared" si="506"/>
        <v>0.35069778150189679</v>
      </c>
      <c r="U5382" s="12">
        <f t="shared" ref="U5382:U5445" si="510">DurMod($S5382,$B$2,$F$7:$G$37,U$3)</f>
        <v>0.34730415094739803</v>
      </c>
      <c r="V5382" s="30">
        <f t="shared" si="507"/>
        <v>0.35667726027397262</v>
      </c>
      <c r="W5382" s="46">
        <f t="shared" si="508"/>
        <v>-3.5069778150189673E-3</v>
      </c>
      <c r="X5382" s="33">
        <f t="shared" si="509"/>
        <v>2.3403622566724416E-2</v>
      </c>
    </row>
    <row r="5383" spans="19:24" x14ac:dyDescent="0.25">
      <c r="S5383" s="44">
        <f t="shared" si="505"/>
        <v>48433</v>
      </c>
      <c r="T5383" s="12">
        <f t="shared" si="506"/>
        <v>0.34802069920035555</v>
      </c>
      <c r="U5383" s="12">
        <f t="shared" si="510"/>
        <v>0.34465297422260865</v>
      </c>
      <c r="V5383" s="30">
        <f t="shared" si="507"/>
        <v>0.35664986301369861</v>
      </c>
      <c r="W5383" s="46">
        <f t="shared" si="508"/>
        <v>-3.4802069920035548E-3</v>
      </c>
      <c r="X5383" s="33">
        <f t="shared" si="509"/>
        <v>2.3403581054451471E-2</v>
      </c>
    </row>
    <row r="5384" spans="19:24" x14ac:dyDescent="0.25">
      <c r="S5384" s="44">
        <f t="shared" si="505"/>
        <v>48434</v>
      </c>
      <c r="T5384" s="12">
        <f t="shared" si="506"/>
        <v>0.34534361689881432</v>
      </c>
      <c r="U5384" s="12">
        <f t="shared" si="510"/>
        <v>0.34200179749781939</v>
      </c>
      <c r="V5384" s="30">
        <f t="shared" si="507"/>
        <v>0.35662246575342471</v>
      </c>
      <c r="W5384" s="46">
        <f t="shared" si="508"/>
        <v>-3.4534361689881428E-3</v>
      </c>
      <c r="X5384" s="33">
        <f t="shared" si="509"/>
        <v>2.3403539542178532E-2</v>
      </c>
    </row>
    <row r="5385" spans="19:24" x14ac:dyDescent="0.25">
      <c r="S5385" s="44">
        <f t="shared" si="505"/>
        <v>48435</v>
      </c>
      <c r="T5385" s="12">
        <f t="shared" si="506"/>
        <v>0.34266653459727309</v>
      </c>
      <c r="U5385" s="12">
        <f t="shared" si="510"/>
        <v>0.33935062077303008</v>
      </c>
      <c r="V5385" s="30">
        <f t="shared" si="507"/>
        <v>0.3565950684931507</v>
      </c>
      <c r="W5385" s="46">
        <f t="shared" si="508"/>
        <v>-3.4266653459727302E-3</v>
      </c>
      <c r="X5385" s="33">
        <f t="shared" si="509"/>
        <v>2.340349802990558E-2</v>
      </c>
    </row>
    <row r="5386" spans="19:24" x14ac:dyDescent="0.25">
      <c r="S5386" s="44">
        <f t="shared" si="505"/>
        <v>48436</v>
      </c>
      <c r="T5386" s="12">
        <f t="shared" si="506"/>
        <v>0.33998945229573196</v>
      </c>
      <c r="U5386" s="12">
        <f t="shared" si="510"/>
        <v>0.33669944404824087</v>
      </c>
      <c r="V5386" s="30">
        <f t="shared" si="507"/>
        <v>0.35656767123287669</v>
      </c>
      <c r="W5386" s="46">
        <f t="shared" si="508"/>
        <v>-3.399894522957319E-3</v>
      </c>
      <c r="X5386" s="33">
        <f t="shared" si="509"/>
        <v>2.3403456517632638E-2</v>
      </c>
    </row>
    <row r="5387" spans="19:24" x14ac:dyDescent="0.25">
      <c r="S5387" s="44">
        <f t="shared" si="505"/>
        <v>48437</v>
      </c>
      <c r="T5387" s="12">
        <f t="shared" si="506"/>
        <v>0.33731236999419073</v>
      </c>
      <c r="U5387" s="12">
        <f t="shared" si="510"/>
        <v>0.3340482673234515</v>
      </c>
      <c r="V5387" s="30">
        <f t="shared" si="507"/>
        <v>0.35654027397260274</v>
      </c>
      <c r="W5387" s="46">
        <f t="shared" si="508"/>
        <v>-3.373123699941907E-3</v>
      </c>
      <c r="X5387" s="33">
        <f t="shared" si="509"/>
        <v>2.3403415005359696E-2</v>
      </c>
    </row>
    <row r="5388" spans="19:24" x14ac:dyDescent="0.25">
      <c r="S5388" s="44">
        <f t="shared" si="505"/>
        <v>48438</v>
      </c>
      <c r="T5388" s="12">
        <f t="shared" si="506"/>
        <v>0.3346352876926495</v>
      </c>
      <c r="U5388" s="12">
        <f t="shared" si="510"/>
        <v>0.33139709059866218</v>
      </c>
      <c r="V5388" s="30">
        <f t="shared" si="507"/>
        <v>0.35651287671232879</v>
      </c>
      <c r="W5388" s="46">
        <f t="shared" si="508"/>
        <v>-3.3463528769264944E-3</v>
      </c>
      <c r="X5388" s="33">
        <f t="shared" si="509"/>
        <v>2.3403373493086754E-2</v>
      </c>
    </row>
    <row r="5389" spans="19:24" x14ac:dyDescent="0.25">
      <c r="S5389" s="44">
        <f t="shared" si="505"/>
        <v>48439</v>
      </c>
      <c r="T5389" s="12">
        <f t="shared" si="506"/>
        <v>0.33195820539110837</v>
      </c>
      <c r="U5389" s="12">
        <f t="shared" si="510"/>
        <v>0.32874591387387286</v>
      </c>
      <c r="V5389" s="30">
        <f t="shared" si="507"/>
        <v>0.35648547945205483</v>
      </c>
      <c r="W5389" s="46">
        <f t="shared" si="508"/>
        <v>-3.3195820539110832E-3</v>
      </c>
      <c r="X5389" s="33">
        <f t="shared" si="509"/>
        <v>2.3403331980813808E-2</v>
      </c>
    </row>
    <row r="5390" spans="19:24" x14ac:dyDescent="0.25">
      <c r="S5390" s="44">
        <f t="shared" si="505"/>
        <v>48440</v>
      </c>
      <c r="T5390" s="12">
        <f t="shared" si="506"/>
        <v>0.32928112308956714</v>
      </c>
      <c r="U5390" s="12">
        <f t="shared" si="510"/>
        <v>0.3260947371490836</v>
      </c>
      <c r="V5390" s="30">
        <f t="shared" si="507"/>
        <v>0.35645808219178082</v>
      </c>
      <c r="W5390" s="46">
        <f t="shared" si="508"/>
        <v>-3.2928112308956707E-3</v>
      </c>
      <c r="X5390" s="33">
        <f t="shared" si="509"/>
        <v>2.3403290468540863E-2</v>
      </c>
    </row>
    <row r="5391" spans="19:24" x14ac:dyDescent="0.25">
      <c r="S5391" s="44">
        <f t="shared" si="505"/>
        <v>48441</v>
      </c>
      <c r="T5391" s="12">
        <f t="shared" si="506"/>
        <v>0.32660404078802596</v>
      </c>
      <c r="U5391" s="12">
        <f t="shared" si="510"/>
        <v>0.32344356042429434</v>
      </c>
      <c r="V5391" s="30">
        <f t="shared" si="507"/>
        <v>0.35643068493150687</v>
      </c>
      <c r="W5391" s="46">
        <f t="shared" si="508"/>
        <v>-3.2660404078802591E-3</v>
      </c>
      <c r="X5391" s="33">
        <f t="shared" si="509"/>
        <v>2.3403248956267924E-2</v>
      </c>
    </row>
    <row r="5392" spans="19:24" x14ac:dyDescent="0.25">
      <c r="S5392" s="44">
        <f t="shared" si="505"/>
        <v>48442</v>
      </c>
      <c r="T5392" s="12">
        <f t="shared" si="506"/>
        <v>0.32392695848648478</v>
      </c>
      <c r="U5392" s="12">
        <f t="shared" si="510"/>
        <v>0.32079238369950508</v>
      </c>
      <c r="V5392" s="30">
        <f t="shared" si="507"/>
        <v>0.35640328767123286</v>
      </c>
      <c r="W5392" s="46">
        <f t="shared" si="508"/>
        <v>-3.2392695848648474E-3</v>
      </c>
      <c r="X5392" s="33">
        <f t="shared" si="509"/>
        <v>2.3403207443994972E-2</v>
      </c>
    </row>
    <row r="5393" spans="19:24" x14ac:dyDescent="0.25">
      <c r="S5393" s="44">
        <f t="shared" si="505"/>
        <v>48443</v>
      </c>
      <c r="T5393" s="12">
        <f t="shared" si="506"/>
        <v>0.32124987618494355</v>
      </c>
      <c r="U5393" s="12">
        <f t="shared" si="510"/>
        <v>0.31814120697471571</v>
      </c>
      <c r="V5393" s="30">
        <f t="shared" si="507"/>
        <v>0.35637589041095896</v>
      </c>
      <c r="W5393" s="46">
        <f t="shared" si="508"/>
        <v>-3.2124987618494349E-3</v>
      </c>
      <c r="X5393" s="33">
        <f t="shared" si="509"/>
        <v>2.3403165931722036E-2</v>
      </c>
    </row>
    <row r="5394" spans="19:24" x14ac:dyDescent="0.25">
      <c r="S5394" s="44">
        <f t="shared" si="505"/>
        <v>48444</v>
      </c>
      <c r="T5394" s="12">
        <f t="shared" si="506"/>
        <v>0.31857279388340237</v>
      </c>
      <c r="U5394" s="12">
        <f t="shared" si="510"/>
        <v>0.31549003024992645</v>
      </c>
      <c r="V5394" s="30">
        <f t="shared" si="507"/>
        <v>0.35634849315068495</v>
      </c>
      <c r="W5394" s="46">
        <f t="shared" si="508"/>
        <v>-3.1857279388340233E-3</v>
      </c>
      <c r="X5394" s="33">
        <f t="shared" si="509"/>
        <v>2.3403124419449087E-2</v>
      </c>
    </row>
    <row r="5395" spans="19:24" x14ac:dyDescent="0.25">
      <c r="S5395" s="44">
        <f t="shared" si="505"/>
        <v>48445</v>
      </c>
      <c r="T5395" s="12">
        <f t="shared" si="506"/>
        <v>0.31589571158186119</v>
      </c>
      <c r="U5395" s="12">
        <f t="shared" si="510"/>
        <v>0.31283885352513707</v>
      </c>
      <c r="V5395" s="30">
        <f t="shared" si="507"/>
        <v>0.35632109589041094</v>
      </c>
      <c r="W5395" s="46">
        <f t="shared" si="508"/>
        <v>-3.1589571158186116E-3</v>
      </c>
      <c r="X5395" s="33">
        <f t="shared" si="509"/>
        <v>2.3403082907176145E-2</v>
      </c>
    </row>
    <row r="5396" spans="19:24" x14ac:dyDescent="0.25">
      <c r="S5396" s="44">
        <f t="shared" si="505"/>
        <v>48446</v>
      </c>
      <c r="T5396" s="12">
        <f t="shared" si="506"/>
        <v>0.31321862928031996</v>
      </c>
      <c r="U5396" s="12">
        <f t="shared" si="510"/>
        <v>0.31018767680034787</v>
      </c>
      <c r="V5396" s="30">
        <f t="shared" si="507"/>
        <v>0.35629369863013699</v>
      </c>
      <c r="W5396" s="46">
        <f t="shared" si="508"/>
        <v>-3.1321862928031991E-3</v>
      </c>
      <c r="X5396" s="33">
        <f t="shared" si="509"/>
        <v>2.34030413949032E-2</v>
      </c>
    </row>
    <row r="5397" spans="19:24" x14ac:dyDescent="0.25">
      <c r="S5397" s="44">
        <f t="shared" si="505"/>
        <v>48447</v>
      </c>
      <c r="T5397" s="12">
        <f t="shared" si="506"/>
        <v>0.31054154697877878</v>
      </c>
      <c r="U5397" s="12">
        <f t="shared" si="510"/>
        <v>0.30753650007555855</v>
      </c>
      <c r="V5397" s="30">
        <f t="shared" si="507"/>
        <v>0.35626630136986304</v>
      </c>
      <c r="W5397" s="46">
        <f t="shared" si="508"/>
        <v>-3.1054154697877875E-3</v>
      </c>
      <c r="X5397" s="33">
        <f t="shared" si="509"/>
        <v>2.3402999882630261E-2</v>
      </c>
    </row>
    <row r="5398" spans="19:24" x14ac:dyDescent="0.25">
      <c r="S5398" s="44">
        <f t="shared" si="505"/>
        <v>48448</v>
      </c>
      <c r="T5398" s="12">
        <f t="shared" si="506"/>
        <v>0.30786446467723749</v>
      </c>
      <c r="U5398" s="12">
        <f t="shared" si="510"/>
        <v>0.30488532335076923</v>
      </c>
      <c r="V5398" s="30">
        <f t="shared" si="507"/>
        <v>0.35623890410958903</v>
      </c>
      <c r="W5398" s="46">
        <f t="shared" si="508"/>
        <v>-3.0786446467723745E-3</v>
      </c>
      <c r="X5398" s="33">
        <f t="shared" si="509"/>
        <v>2.3402958370357316E-2</v>
      </c>
    </row>
    <row r="5399" spans="19:24" x14ac:dyDescent="0.25">
      <c r="S5399" s="44">
        <f t="shared" si="505"/>
        <v>48449</v>
      </c>
      <c r="T5399" s="12">
        <f t="shared" si="506"/>
        <v>0.30518738237569643</v>
      </c>
      <c r="U5399" s="12">
        <f t="shared" si="510"/>
        <v>0.30223414662597997</v>
      </c>
      <c r="V5399" s="30">
        <f t="shared" si="507"/>
        <v>0.35621150684931507</v>
      </c>
      <c r="W5399" s="46">
        <f t="shared" si="508"/>
        <v>-3.0518738237569638E-3</v>
      </c>
      <c r="X5399" s="33">
        <f t="shared" si="509"/>
        <v>2.3402916858084367E-2</v>
      </c>
    </row>
    <row r="5400" spans="19:24" x14ac:dyDescent="0.25">
      <c r="S5400" s="44">
        <f t="shared" si="505"/>
        <v>48450</v>
      </c>
      <c r="T5400" s="12">
        <f t="shared" si="506"/>
        <v>0.30251030007415519</v>
      </c>
      <c r="U5400" s="12">
        <f t="shared" si="510"/>
        <v>0.29958296990119065</v>
      </c>
      <c r="V5400" s="30">
        <f t="shared" si="507"/>
        <v>0.35618410958904106</v>
      </c>
      <c r="W5400" s="46">
        <f t="shared" si="508"/>
        <v>-3.0251030007415513E-3</v>
      </c>
      <c r="X5400" s="33">
        <f t="shared" si="509"/>
        <v>2.3402875345811425E-2</v>
      </c>
    </row>
    <row r="5401" spans="19:24" x14ac:dyDescent="0.25">
      <c r="S5401" s="44">
        <f t="shared" si="505"/>
        <v>48451</v>
      </c>
      <c r="T5401" s="12">
        <f t="shared" si="506"/>
        <v>0.29983321777261401</v>
      </c>
      <c r="U5401" s="12">
        <f t="shared" si="510"/>
        <v>0.29693179317640134</v>
      </c>
      <c r="V5401" s="30">
        <f t="shared" si="507"/>
        <v>0.35615671232876717</v>
      </c>
      <c r="W5401" s="46">
        <f t="shared" si="508"/>
        <v>-2.9983321777261396E-3</v>
      </c>
      <c r="X5401" s="33">
        <f t="shared" si="509"/>
        <v>2.3402833833538483E-2</v>
      </c>
    </row>
    <row r="5402" spans="19:24" x14ac:dyDescent="0.25">
      <c r="S5402" s="44">
        <f t="shared" si="505"/>
        <v>48452</v>
      </c>
      <c r="T5402" s="12">
        <f t="shared" si="506"/>
        <v>0.29715613547107284</v>
      </c>
      <c r="U5402" s="12">
        <f t="shared" si="510"/>
        <v>0.29428061645161208</v>
      </c>
      <c r="V5402" s="30">
        <f t="shared" si="507"/>
        <v>0.35612931506849316</v>
      </c>
      <c r="W5402" s="46">
        <f t="shared" si="508"/>
        <v>-2.971561354710728E-3</v>
      </c>
      <c r="X5402" s="33">
        <f t="shared" si="509"/>
        <v>2.3402792321265541E-2</v>
      </c>
    </row>
    <row r="5403" spans="19:24" x14ac:dyDescent="0.25">
      <c r="S5403" s="44">
        <f t="shared" si="505"/>
        <v>48453</v>
      </c>
      <c r="T5403" s="12">
        <f t="shared" si="506"/>
        <v>0.29447905316953155</v>
      </c>
      <c r="U5403" s="12">
        <f t="shared" si="510"/>
        <v>0.29162943972682276</v>
      </c>
      <c r="V5403" s="30">
        <f t="shared" si="507"/>
        <v>0.3561019178082192</v>
      </c>
      <c r="W5403" s="46">
        <f t="shared" si="508"/>
        <v>-2.944790531695315E-3</v>
      </c>
      <c r="X5403" s="33">
        <f t="shared" si="509"/>
        <v>2.3402750808992595E-2</v>
      </c>
    </row>
    <row r="5404" spans="19:24" x14ac:dyDescent="0.25">
      <c r="S5404" s="44">
        <f t="shared" si="505"/>
        <v>48454</v>
      </c>
      <c r="T5404" s="12">
        <f t="shared" si="506"/>
        <v>0.29180197086799031</v>
      </c>
      <c r="U5404" s="12">
        <f t="shared" si="510"/>
        <v>0.28897826300203344</v>
      </c>
      <c r="V5404" s="30">
        <f t="shared" si="507"/>
        <v>0.35607452054794519</v>
      </c>
      <c r="W5404" s="46">
        <f t="shared" si="508"/>
        <v>-2.9180197086799025E-3</v>
      </c>
      <c r="X5404" s="33">
        <f t="shared" si="509"/>
        <v>2.3402709296719653E-2</v>
      </c>
    </row>
    <row r="5405" spans="19:24" x14ac:dyDescent="0.25">
      <c r="S5405" s="44">
        <f t="shared" si="505"/>
        <v>48455</v>
      </c>
      <c r="T5405" s="12">
        <f t="shared" si="506"/>
        <v>0.28912488856644919</v>
      </c>
      <c r="U5405" s="12">
        <f t="shared" si="510"/>
        <v>0.28632708627724418</v>
      </c>
      <c r="V5405" s="30">
        <f t="shared" si="507"/>
        <v>0.3560471232876713</v>
      </c>
      <c r="W5405" s="46">
        <f t="shared" si="508"/>
        <v>-2.8912488856644913E-3</v>
      </c>
      <c r="X5405" s="33">
        <f t="shared" si="509"/>
        <v>2.3402667784446711E-2</v>
      </c>
    </row>
    <row r="5406" spans="19:24" x14ac:dyDescent="0.25">
      <c r="S5406" s="44">
        <f t="shared" si="505"/>
        <v>48456</v>
      </c>
      <c r="T5406" s="12">
        <f t="shared" si="506"/>
        <v>0.28644780626490801</v>
      </c>
      <c r="U5406" s="12">
        <f t="shared" si="510"/>
        <v>0.28367590955245492</v>
      </c>
      <c r="V5406" s="30">
        <f t="shared" si="507"/>
        <v>0.35601972602739729</v>
      </c>
      <c r="W5406" s="46">
        <f t="shared" si="508"/>
        <v>-2.8644780626490797E-3</v>
      </c>
      <c r="X5406" s="33">
        <f t="shared" si="509"/>
        <v>2.3402626272173769E-2</v>
      </c>
    </row>
    <row r="5407" spans="19:24" x14ac:dyDescent="0.25">
      <c r="S5407" s="44">
        <f t="shared" si="505"/>
        <v>48457</v>
      </c>
      <c r="T5407" s="12">
        <f t="shared" si="506"/>
        <v>0.28377072396336678</v>
      </c>
      <c r="U5407" s="12">
        <f t="shared" si="510"/>
        <v>0.28102473282766555</v>
      </c>
      <c r="V5407" s="30">
        <f t="shared" si="507"/>
        <v>0.35599232876712328</v>
      </c>
      <c r="W5407" s="46">
        <f t="shared" si="508"/>
        <v>-2.8377072396336672E-3</v>
      </c>
      <c r="X5407" s="33">
        <f t="shared" si="509"/>
        <v>2.3402584759900816E-2</v>
      </c>
    </row>
    <row r="5408" spans="19:24" x14ac:dyDescent="0.25">
      <c r="S5408" s="44">
        <f t="shared" si="505"/>
        <v>48458</v>
      </c>
      <c r="T5408" s="12">
        <f t="shared" si="506"/>
        <v>0.28109364166182554</v>
      </c>
      <c r="U5408" s="12">
        <f t="shared" si="510"/>
        <v>0.27837355610287629</v>
      </c>
      <c r="V5408" s="30">
        <f t="shared" si="507"/>
        <v>0.35596493150684932</v>
      </c>
      <c r="W5408" s="46">
        <f t="shared" si="508"/>
        <v>-2.8109364166182551E-3</v>
      </c>
      <c r="X5408" s="33">
        <f t="shared" si="509"/>
        <v>2.3402543247627874E-2</v>
      </c>
    </row>
    <row r="5409" spans="19:24" x14ac:dyDescent="0.25">
      <c r="S5409" s="44">
        <f t="shared" si="505"/>
        <v>48459</v>
      </c>
      <c r="T5409" s="12">
        <f t="shared" si="506"/>
        <v>0.27841655936028442</v>
      </c>
      <c r="U5409" s="12">
        <f t="shared" si="510"/>
        <v>0.27572237937808691</v>
      </c>
      <c r="V5409" s="30">
        <f t="shared" si="507"/>
        <v>0.35593753424657537</v>
      </c>
      <c r="W5409" s="46">
        <f t="shared" si="508"/>
        <v>-2.7841655936028439E-3</v>
      </c>
      <c r="X5409" s="33">
        <f t="shared" si="509"/>
        <v>2.3402501735354932E-2</v>
      </c>
    </row>
    <row r="5410" spans="19:24" x14ac:dyDescent="0.25">
      <c r="S5410" s="44">
        <f t="shared" si="505"/>
        <v>48460</v>
      </c>
      <c r="T5410" s="12">
        <f t="shared" si="506"/>
        <v>0.27573947705874324</v>
      </c>
      <c r="U5410" s="12">
        <f t="shared" si="510"/>
        <v>0.27307120265329765</v>
      </c>
      <c r="V5410" s="30">
        <f t="shared" si="507"/>
        <v>0.35591013698630136</v>
      </c>
      <c r="W5410" s="46">
        <f t="shared" si="508"/>
        <v>-2.7573947705874322E-3</v>
      </c>
      <c r="X5410" s="33">
        <f t="shared" si="509"/>
        <v>2.3402460223081987E-2</v>
      </c>
    </row>
    <row r="5411" spans="19:24" x14ac:dyDescent="0.25">
      <c r="S5411" s="44">
        <f t="shared" si="505"/>
        <v>48461</v>
      </c>
      <c r="T5411" s="12">
        <f t="shared" si="506"/>
        <v>0.27306239475720201</v>
      </c>
      <c r="U5411" s="12">
        <f t="shared" si="510"/>
        <v>0.27042002592850833</v>
      </c>
      <c r="V5411" s="30">
        <f t="shared" si="507"/>
        <v>0.35588273972602741</v>
      </c>
      <c r="W5411" s="46">
        <f t="shared" si="508"/>
        <v>-2.7306239475720197E-3</v>
      </c>
      <c r="X5411" s="33">
        <f t="shared" si="509"/>
        <v>2.3402418710809045E-2</v>
      </c>
    </row>
    <row r="5412" spans="19:24" x14ac:dyDescent="0.25">
      <c r="S5412" s="44">
        <f t="shared" si="505"/>
        <v>48462</v>
      </c>
      <c r="T5412" s="12">
        <f t="shared" si="506"/>
        <v>0.27038531245566078</v>
      </c>
      <c r="U5412" s="12">
        <f t="shared" si="510"/>
        <v>0.26776884920371902</v>
      </c>
      <c r="V5412" s="30">
        <f t="shared" si="507"/>
        <v>0.3558553424657534</v>
      </c>
      <c r="W5412" s="46">
        <f t="shared" si="508"/>
        <v>-2.7038531245566072E-3</v>
      </c>
      <c r="X5412" s="33">
        <f t="shared" si="509"/>
        <v>2.3402377198536096E-2</v>
      </c>
    </row>
    <row r="5413" spans="19:24" x14ac:dyDescent="0.25">
      <c r="S5413" s="44">
        <f t="shared" si="505"/>
        <v>48463</v>
      </c>
      <c r="T5413" s="12">
        <f t="shared" si="506"/>
        <v>0.26770823015411965</v>
      </c>
      <c r="U5413" s="12">
        <f t="shared" si="510"/>
        <v>0.26511767247892976</v>
      </c>
      <c r="V5413" s="30">
        <f t="shared" si="507"/>
        <v>0.35582794520547945</v>
      </c>
      <c r="W5413" s="46">
        <f t="shared" si="508"/>
        <v>-2.677082301541196E-3</v>
      </c>
      <c r="X5413" s="33">
        <f t="shared" si="509"/>
        <v>2.3402335686263161E-2</v>
      </c>
    </row>
    <row r="5414" spans="19:24" x14ac:dyDescent="0.25">
      <c r="S5414" s="44">
        <f t="shared" si="505"/>
        <v>48464</v>
      </c>
      <c r="T5414" s="12">
        <f t="shared" si="506"/>
        <v>0.26503114785257842</v>
      </c>
      <c r="U5414" s="12">
        <f t="shared" si="510"/>
        <v>0.26246649575414049</v>
      </c>
      <c r="V5414" s="30">
        <f t="shared" si="507"/>
        <v>0.35580054794520549</v>
      </c>
      <c r="W5414" s="46">
        <f t="shared" si="508"/>
        <v>-2.6503114785257839E-3</v>
      </c>
      <c r="X5414" s="33">
        <f t="shared" si="509"/>
        <v>2.3402294173990212E-2</v>
      </c>
    </row>
    <row r="5415" spans="19:24" x14ac:dyDescent="0.25">
      <c r="S5415" s="44">
        <f t="shared" si="505"/>
        <v>48465</v>
      </c>
      <c r="T5415" s="12">
        <f t="shared" si="506"/>
        <v>0.26235406555103724</v>
      </c>
      <c r="U5415" s="12">
        <f t="shared" si="510"/>
        <v>0.25981531902935118</v>
      </c>
      <c r="V5415" s="30">
        <f t="shared" si="507"/>
        <v>0.35577315068493154</v>
      </c>
      <c r="W5415" s="46">
        <f t="shared" si="508"/>
        <v>-2.6235406555103718E-3</v>
      </c>
      <c r="X5415" s="33">
        <f t="shared" si="509"/>
        <v>2.340225266171727E-2</v>
      </c>
    </row>
    <row r="5416" spans="19:24" x14ac:dyDescent="0.25">
      <c r="S5416" s="44">
        <f t="shared" si="505"/>
        <v>48466</v>
      </c>
      <c r="T5416" s="12">
        <f t="shared" si="506"/>
        <v>0.25967698324949606</v>
      </c>
      <c r="U5416" s="12">
        <f t="shared" si="510"/>
        <v>0.25716414230456186</v>
      </c>
      <c r="V5416" s="30">
        <f t="shared" si="507"/>
        <v>0.35574575342465753</v>
      </c>
      <c r="W5416" s="46">
        <f t="shared" si="508"/>
        <v>-2.5967698324949602E-3</v>
      </c>
      <c r="X5416" s="33">
        <f t="shared" si="509"/>
        <v>2.3402211149444324E-2</v>
      </c>
    </row>
    <row r="5417" spans="19:24" x14ac:dyDescent="0.25">
      <c r="S5417" s="44">
        <f t="shared" si="505"/>
        <v>48467</v>
      </c>
      <c r="T5417" s="12">
        <f t="shared" si="506"/>
        <v>0.25699990094795483</v>
      </c>
      <c r="U5417" s="12">
        <f t="shared" si="510"/>
        <v>0.2545129655797726</v>
      </c>
      <c r="V5417" s="30">
        <f t="shared" si="507"/>
        <v>0.35571835616438358</v>
      </c>
      <c r="W5417" s="46">
        <f t="shared" si="508"/>
        <v>-2.5699990094795477E-3</v>
      </c>
      <c r="X5417" s="33">
        <f t="shared" si="509"/>
        <v>2.3402169637171382E-2</v>
      </c>
    </row>
    <row r="5418" spans="19:24" x14ac:dyDescent="0.25">
      <c r="S5418" s="44">
        <f t="shared" si="505"/>
        <v>48468</v>
      </c>
      <c r="T5418" s="12">
        <f t="shared" si="506"/>
        <v>0.2543228186464136</v>
      </c>
      <c r="U5418" s="12">
        <f t="shared" si="510"/>
        <v>0.25186178885498323</v>
      </c>
      <c r="V5418" s="30">
        <f t="shared" si="507"/>
        <v>0.35569095890410962</v>
      </c>
      <c r="W5418" s="46">
        <f t="shared" si="508"/>
        <v>-2.5432281864641356E-3</v>
      </c>
      <c r="X5418" s="33">
        <f t="shared" si="509"/>
        <v>2.340212812489844E-2</v>
      </c>
    </row>
    <row r="5419" spans="19:24" x14ac:dyDescent="0.25">
      <c r="S5419" s="44">
        <f t="shared" si="505"/>
        <v>48469</v>
      </c>
      <c r="T5419" s="12">
        <f t="shared" si="506"/>
        <v>0.25164573634487247</v>
      </c>
      <c r="U5419" s="12">
        <f t="shared" si="510"/>
        <v>0.24921061213019396</v>
      </c>
      <c r="V5419" s="30">
        <f t="shared" si="507"/>
        <v>0.35566356164383561</v>
      </c>
      <c r="W5419" s="46">
        <f t="shared" si="508"/>
        <v>-2.5164573634487244E-3</v>
      </c>
      <c r="X5419" s="33">
        <f t="shared" si="509"/>
        <v>2.3402086612625491E-2</v>
      </c>
    </row>
    <row r="5420" spans="19:24" x14ac:dyDescent="0.25">
      <c r="S5420" s="44">
        <f t="shared" si="505"/>
        <v>48470</v>
      </c>
      <c r="T5420" s="12">
        <f t="shared" si="506"/>
        <v>0.24896865404333129</v>
      </c>
      <c r="U5420" s="12">
        <f t="shared" si="510"/>
        <v>0.2465594354054047</v>
      </c>
      <c r="V5420" s="30">
        <f t="shared" si="507"/>
        <v>0.35563616438356166</v>
      </c>
      <c r="W5420" s="46">
        <f t="shared" si="508"/>
        <v>-2.4896865404333128E-3</v>
      </c>
      <c r="X5420" s="33">
        <f t="shared" si="509"/>
        <v>2.3402045100352549E-2</v>
      </c>
    </row>
    <row r="5421" spans="19:24" x14ac:dyDescent="0.25">
      <c r="S5421" s="44">
        <f t="shared" si="505"/>
        <v>48471</v>
      </c>
      <c r="T5421" s="12">
        <f t="shared" si="506"/>
        <v>0.24629157174179006</v>
      </c>
      <c r="U5421" s="12">
        <f t="shared" si="510"/>
        <v>0.24390825868061539</v>
      </c>
      <c r="V5421" s="30">
        <f t="shared" si="507"/>
        <v>0.35560876712328765</v>
      </c>
      <c r="W5421" s="46">
        <f t="shared" si="508"/>
        <v>-2.4629157174179002E-3</v>
      </c>
      <c r="X5421" s="33">
        <f t="shared" si="509"/>
        <v>2.3402003588079603E-2</v>
      </c>
    </row>
    <row r="5422" spans="19:24" x14ac:dyDescent="0.25">
      <c r="S5422" s="44">
        <f t="shared" si="505"/>
        <v>48472</v>
      </c>
      <c r="T5422" s="12">
        <f t="shared" si="506"/>
        <v>0.24361448944024888</v>
      </c>
      <c r="U5422" s="12">
        <f t="shared" si="510"/>
        <v>0.2412570819558261</v>
      </c>
      <c r="V5422" s="30">
        <f t="shared" si="507"/>
        <v>0.3555813698630137</v>
      </c>
      <c r="W5422" s="46">
        <f t="shared" si="508"/>
        <v>-2.4361448944024886E-3</v>
      </c>
      <c r="X5422" s="33">
        <f t="shared" si="509"/>
        <v>2.3401962075806661E-2</v>
      </c>
    </row>
    <row r="5423" spans="19:24" x14ac:dyDescent="0.25">
      <c r="S5423" s="44">
        <f t="shared" si="505"/>
        <v>48473</v>
      </c>
      <c r="T5423" s="12">
        <f t="shared" si="506"/>
        <v>0.24093740713870765</v>
      </c>
      <c r="U5423" s="12">
        <f t="shared" si="510"/>
        <v>0.23860590523103675</v>
      </c>
      <c r="V5423" s="30">
        <f t="shared" si="507"/>
        <v>0.35555397260273974</v>
      </c>
      <c r="W5423" s="46">
        <f t="shared" si="508"/>
        <v>-2.4093740713870761E-3</v>
      </c>
      <c r="X5423" s="33">
        <f t="shared" si="509"/>
        <v>2.3401920563533719E-2</v>
      </c>
    </row>
    <row r="5424" spans="19:24" x14ac:dyDescent="0.25">
      <c r="S5424" s="44">
        <f t="shared" si="505"/>
        <v>48474</v>
      </c>
      <c r="T5424" s="12">
        <f t="shared" si="506"/>
        <v>0.23826032483716644</v>
      </c>
      <c r="U5424" s="12">
        <f t="shared" si="510"/>
        <v>0.23595472850624749</v>
      </c>
      <c r="V5424" s="30">
        <f t="shared" si="507"/>
        <v>0.35552657534246573</v>
      </c>
      <c r="W5424" s="46">
        <f t="shared" si="508"/>
        <v>-2.382603248371664E-3</v>
      </c>
      <c r="X5424" s="33">
        <f t="shared" si="509"/>
        <v>2.340187905126077E-2</v>
      </c>
    </row>
    <row r="5425" spans="19:24" x14ac:dyDescent="0.25">
      <c r="S5425" s="44">
        <f t="shared" si="505"/>
        <v>48475</v>
      </c>
      <c r="T5425" s="12">
        <f t="shared" si="506"/>
        <v>0.23558324253562526</v>
      </c>
      <c r="U5425" s="12">
        <f t="shared" si="510"/>
        <v>0.2333035517814582</v>
      </c>
      <c r="V5425" s="30">
        <f t="shared" si="507"/>
        <v>0.35549917808219178</v>
      </c>
      <c r="W5425" s="46">
        <f t="shared" si="508"/>
        <v>-2.3558324253562524E-3</v>
      </c>
      <c r="X5425" s="33">
        <f t="shared" si="509"/>
        <v>2.3401837538987828E-2</v>
      </c>
    </row>
    <row r="5426" spans="19:24" x14ac:dyDescent="0.25">
      <c r="S5426" s="44">
        <f t="shared" si="505"/>
        <v>48476</v>
      </c>
      <c r="T5426" s="12">
        <f t="shared" si="506"/>
        <v>0.23290616023408406</v>
      </c>
      <c r="U5426" s="12">
        <f t="shared" si="510"/>
        <v>0.23065237505666891</v>
      </c>
      <c r="V5426" s="30">
        <f t="shared" si="507"/>
        <v>0.35547178082191783</v>
      </c>
      <c r="W5426" s="46">
        <f t="shared" si="508"/>
        <v>-2.3290616023408403E-3</v>
      </c>
      <c r="X5426" s="33">
        <f t="shared" si="509"/>
        <v>2.3401796026714886E-2</v>
      </c>
    </row>
    <row r="5427" spans="19:24" x14ac:dyDescent="0.25">
      <c r="S5427" s="44">
        <f t="shared" ref="S5427:S5490" si="511">+S5426+1</f>
        <v>48477</v>
      </c>
      <c r="T5427" s="12">
        <f t="shared" si="506"/>
        <v>0.23022907793254285</v>
      </c>
      <c r="U5427" s="12">
        <f t="shared" si="510"/>
        <v>0.2280011983318796</v>
      </c>
      <c r="V5427" s="30">
        <f t="shared" si="507"/>
        <v>0.35544438356164387</v>
      </c>
      <c r="W5427" s="46">
        <f t="shared" si="508"/>
        <v>-2.3022907793254282E-3</v>
      </c>
      <c r="X5427" s="33">
        <f t="shared" si="509"/>
        <v>2.3401754514441944E-2</v>
      </c>
    </row>
    <row r="5428" spans="19:24" x14ac:dyDescent="0.25">
      <c r="S5428" s="44">
        <f t="shared" si="511"/>
        <v>48478</v>
      </c>
      <c r="T5428" s="12">
        <f t="shared" si="506"/>
        <v>0.22755199563100167</v>
      </c>
      <c r="U5428" s="12">
        <f t="shared" si="510"/>
        <v>0.22535002160709028</v>
      </c>
      <c r="V5428" s="30">
        <f t="shared" si="507"/>
        <v>0.35541698630136986</v>
      </c>
      <c r="W5428" s="46">
        <f t="shared" si="508"/>
        <v>-2.2755199563100166E-3</v>
      </c>
      <c r="X5428" s="33">
        <f t="shared" si="509"/>
        <v>2.3401713002168999E-2</v>
      </c>
    </row>
    <row r="5429" spans="19:24" x14ac:dyDescent="0.25">
      <c r="S5429" s="44">
        <f t="shared" si="511"/>
        <v>48479</v>
      </c>
      <c r="T5429" s="12">
        <f t="shared" si="506"/>
        <v>0.22487491332946052</v>
      </c>
      <c r="U5429" s="12">
        <f t="shared" si="510"/>
        <v>0.22269884488230099</v>
      </c>
      <c r="V5429" s="30">
        <f t="shared" si="507"/>
        <v>0.35538958904109591</v>
      </c>
      <c r="W5429" s="46">
        <f t="shared" si="508"/>
        <v>-2.2487491332946049E-3</v>
      </c>
      <c r="X5429" s="33">
        <f t="shared" si="509"/>
        <v>2.3401671489896057E-2</v>
      </c>
    </row>
    <row r="5430" spans="19:24" x14ac:dyDescent="0.25">
      <c r="S5430" s="44">
        <f t="shared" si="511"/>
        <v>48480</v>
      </c>
      <c r="T5430" s="12">
        <f t="shared" si="506"/>
        <v>0.22219783102791932</v>
      </c>
      <c r="U5430" s="12">
        <f t="shared" si="510"/>
        <v>0.22004766815751173</v>
      </c>
      <c r="V5430" s="30">
        <f t="shared" si="507"/>
        <v>0.35536219178082196</v>
      </c>
      <c r="W5430" s="46">
        <f t="shared" si="508"/>
        <v>-2.2219783102791929E-3</v>
      </c>
      <c r="X5430" s="33">
        <f t="shared" si="509"/>
        <v>2.3401629977623115E-2</v>
      </c>
    </row>
    <row r="5431" spans="19:24" x14ac:dyDescent="0.25">
      <c r="S5431" s="44">
        <f t="shared" si="511"/>
        <v>48481</v>
      </c>
      <c r="T5431" s="12">
        <f t="shared" si="506"/>
        <v>0.21952074872637811</v>
      </c>
      <c r="U5431" s="12">
        <f t="shared" si="510"/>
        <v>0.21739649143272244</v>
      </c>
      <c r="V5431" s="30">
        <f t="shared" si="507"/>
        <v>0.35533479452054795</v>
      </c>
      <c r="W5431" s="46">
        <f t="shared" si="508"/>
        <v>-2.1952074872637808E-3</v>
      </c>
      <c r="X5431" s="33">
        <f t="shared" si="509"/>
        <v>2.3401588465350169E-2</v>
      </c>
    </row>
    <row r="5432" spans="19:24" x14ac:dyDescent="0.25">
      <c r="S5432" s="44">
        <f t="shared" si="511"/>
        <v>48482</v>
      </c>
      <c r="T5432" s="12">
        <f t="shared" si="506"/>
        <v>0.21684366642483688</v>
      </c>
      <c r="U5432" s="12">
        <f t="shared" si="510"/>
        <v>0.21474531470793312</v>
      </c>
      <c r="V5432" s="30">
        <f t="shared" si="507"/>
        <v>0.35530739726027399</v>
      </c>
      <c r="W5432" s="46">
        <f t="shared" si="508"/>
        <v>-2.1684366642483683E-3</v>
      </c>
      <c r="X5432" s="33">
        <f t="shared" si="509"/>
        <v>2.3401546953077227E-2</v>
      </c>
    </row>
    <row r="5433" spans="19:24" x14ac:dyDescent="0.25">
      <c r="S5433" s="44">
        <f t="shared" si="511"/>
        <v>48483</v>
      </c>
      <c r="T5433" s="12">
        <f t="shared" si="506"/>
        <v>0.21416658412329567</v>
      </c>
      <c r="U5433" s="12">
        <f t="shared" si="510"/>
        <v>0.2120941379831438</v>
      </c>
      <c r="V5433" s="30">
        <f t="shared" si="507"/>
        <v>0.35527999999999998</v>
      </c>
      <c r="W5433" s="46">
        <f t="shared" si="508"/>
        <v>-2.1416658412329562E-3</v>
      </c>
      <c r="X5433" s="33">
        <f t="shared" si="509"/>
        <v>2.3401505440804278E-2</v>
      </c>
    </row>
    <row r="5434" spans="19:24" x14ac:dyDescent="0.25">
      <c r="S5434" s="44">
        <f t="shared" si="511"/>
        <v>48484</v>
      </c>
      <c r="T5434" s="12">
        <f t="shared" si="506"/>
        <v>0.21148950182175449</v>
      </c>
      <c r="U5434" s="12">
        <f t="shared" si="510"/>
        <v>0.20944296125835452</v>
      </c>
      <c r="V5434" s="30">
        <f t="shared" si="507"/>
        <v>0.35525260273972598</v>
      </c>
      <c r="W5434" s="46">
        <f t="shared" si="508"/>
        <v>-2.1148950182175445E-3</v>
      </c>
      <c r="X5434" s="33">
        <f t="shared" si="509"/>
        <v>2.3401463928531333E-2</v>
      </c>
    </row>
    <row r="5435" spans="19:24" x14ac:dyDescent="0.25">
      <c r="S5435" s="44">
        <f t="shared" si="511"/>
        <v>48485</v>
      </c>
      <c r="T5435" s="12">
        <f t="shared" si="506"/>
        <v>0.20881241952021334</v>
      </c>
      <c r="U5435" s="12">
        <f t="shared" si="510"/>
        <v>0.20679178453356525</v>
      </c>
      <c r="V5435" s="30">
        <f t="shared" si="507"/>
        <v>0.35522520547945208</v>
      </c>
      <c r="W5435" s="46">
        <f t="shared" si="508"/>
        <v>-2.0881241952021333E-3</v>
      </c>
      <c r="X5435" s="33">
        <f t="shared" si="509"/>
        <v>2.340142241625839E-2</v>
      </c>
    </row>
    <row r="5436" spans="19:24" x14ac:dyDescent="0.25">
      <c r="S5436" s="44">
        <f t="shared" si="511"/>
        <v>48486</v>
      </c>
      <c r="T5436" s="12">
        <f t="shared" si="506"/>
        <v>0.20613533721867211</v>
      </c>
      <c r="U5436" s="12">
        <f t="shared" si="510"/>
        <v>0.20414060780877594</v>
      </c>
      <c r="V5436" s="30">
        <f t="shared" si="507"/>
        <v>0.35519780821917807</v>
      </c>
      <c r="W5436" s="46">
        <f t="shared" si="508"/>
        <v>-2.0613533721867208E-3</v>
      </c>
      <c r="X5436" s="33">
        <f t="shared" si="509"/>
        <v>2.3401380903985448E-2</v>
      </c>
    </row>
    <row r="5437" spans="19:24" x14ac:dyDescent="0.25">
      <c r="S5437" s="44">
        <f t="shared" si="511"/>
        <v>48487</v>
      </c>
      <c r="T5437" s="12">
        <f t="shared" si="506"/>
        <v>0.20345825491713093</v>
      </c>
      <c r="U5437" s="12">
        <f t="shared" si="510"/>
        <v>0.20148943108398662</v>
      </c>
      <c r="V5437" s="30">
        <f t="shared" si="507"/>
        <v>0.35517041095890411</v>
      </c>
      <c r="W5437" s="46">
        <f t="shared" si="508"/>
        <v>-2.0345825491713092E-3</v>
      </c>
      <c r="X5437" s="33">
        <f t="shared" si="509"/>
        <v>2.3401339391712506E-2</v>
      </c>
    </row>
    <row r="5438" spans="19:24" x14ac:dyDescent="0.25">
      <c r="S5438" s="44">
        <f t="shared" si="511"/>
        <v>48488</v>
      </c>
      <c r="T5438" s="12">
        <f t="shared" si="506"/>
        <v>0.20078117261558973</v>
      </c>
      <c r="U5438" s="12">
        <f t="shared" si="510"/>
        <v>0.1988382543591973</v>
      </c>
      <c r="V5438" s="30">
        <f t="shared" si="507"/>
        <v>0.35514301369863011</v>
      </c>
      <c r="W5438" s="46">
        <f t="shared" si="508"/>
        <v>-2.0078117261558971E-3</v>
      </c>
      <c r="X5438" s="33">
        <f t="shared" si="509"/>
        <v>2.3401297879439557E-2</v>
      </c>
    </row>
    <row r="5439" spans="19:24" x14ac:dyDescent="0.25">
      <c r="S5439" s="44">
        <f t="shared" si="511"/>
        <v>48489</v>
      </c>
      <c r="T5439" s="12">
        <f t="shared" si="506"/>
        <v>0.19810409031404852</v>
      </c>
      <c r="U5439" s="12">
        <f t="shared" si="510"/>
        <v>0.19618707763440804</v>
      </c>
      <c r="V5439" s="30">
        <f t="shared" si="507"/>
        <v>0.35511561643835621</v>
      </c>
      <c r="W5439" s="46">
        <f t="shared" si="508"/>
        <v>-1.981040903140485E-3</v>
      </c>
      <c r="X5439" s="33">
        <f t="shared" si="509"/>
        <v>2.3401256367166615E-2</v>
      </c>
    </row>
    <row r="5440" spans="19:24" x14ac:dyDescent="0.25">
      <c r="S5440" s="44">
        <f t="shared" si="511"/>
        <v>48490</v>
      </c>
      <c r="T5440" s="12">
        <f t="shared" si="506"/>
        <v>0.19542700801250734</v>
      </c>
      <c r="U5440" s="12">
        <f t="shared" si="510"/>
        <v>0.19353590090961878</v>
      </c>
      <c r="V5440" s="30">
        <f t="shared" si="507"/>
        <v>0.3550882191780822</v>
      </c>
      <c r="W5440" s="46">
        <f t="shared" si="508"/>
        <v>-1.9542700801250729E-3</v>
      </c>
      <c r="X5440" s="33">
        <f t="shared" si="509"/>
        <v>2.3401214854893673E-2</v>
      </c>
    </row>
    <row r="5441" spans="19:24" x14ac:dyDescent="0.25">
      <c r="S5441" s="44">
        <f t="shared" si="511"/>
        <v>48491</v>
      </c>
      <c r="T5441" s="12">
        <f t="shared" si="506"/>
        <v>0.19274992571096614</v>
      </c>
      <c r="U5441" s="12">
        <f t="shared" si="510"/>
        <v>0.19088472418482944</v>
      </c>
      <c r="V5441" s="30">
        <f t="shared" si="507"/>
        <v>0.35506082191780824</v>
      </c>
      <c r="W5441" s="46">
        <f t="shared" si="508"/>
        <v>-1.9274992571096611E-3</v>
      </c>
      <c r="X5441" s="33">
        <f t="shared" si="509"/>
        <v>2.3401173342620731E-2</v>
      </c>
    </row>
    <row r="5442" spans="19:24" x14ac:dyDescent="0.25">
      <c r="S5442" s="44">
        <f t="shared" si="511"/>
        <v>48492</v>
      </c>
      <c r="T5442" s="12">
        <f t="shared" si="506"/>
        <v>0.19007284340942493</v>
      </c>
      <c r="U5442" s="12">
        <f t="shared" si="510"/>
        <v>0.18823354746004015</v>
      </c>
      <c r="V5442" s="30">
        <f t="shared" si="507"/>
        <v>0.35503342465753424</v>
      </c>
      <c r="W5442" s="46">
        <f t="shared" si="508"/>
        <v>-1.900728434094249E-3</v>
      </c>
      <c r="X5442" s="33">
        <f t="shared" si="509"/>
        <v>2.3401131830347786E-2</v>
      </c>
    </row>
    <row r="5443" spans="19:24" x14ac:dyDescent="0.25">
      <c r="S5443" s="44">
        <f t="shared" si="511"/>
        <v>48493</v>
      </c>
      <c r="T5443" s="12">
        <f t="shared" si="506"/>
        <v>0.1873957611078837</v>
      </c>
      <c r="U5443" s="12">
        <f t="shared" si="510"/>
        <v>0.18558237073525083</v>
      </c>
      <c r="V5443" s="30">
        <f t="shared" si="507"/>
        <v>0.35500602739726028</v>
      </c>
      <c r="W5443" s="46">
        <f t="shared" si="508"/>
        <v>-1.8739576110788367E-3</v>
      </c>
      <c r="X5443" s="33">
        <f t="shared" si="509"/>
        <v>2.3401090318074844E-2</v>
      </c>
    </row>
    <row r="5444" spans="19:24" x14ac:dyDescent="0.25">
      <c r="S5444" s="44">
        <f t="shared" si="511"/>
        <v>48494</v>
      </c>
      <c r="T5444" s="12">
        <f t="shared" si="506"/>
        <v>0.18471867880634255</v>
      </c>
      <c r="U5444" s="12">
        <f t="shared" si="510"/>
        <v>0.18293119401046154</v>
      </c>
      <c r="V5444" s="30">
        <f t="shared" si="507"/>
        <v>0.35497863013698633</v>
      </c>
      <c r="W5444" s="46">
        <f t="shared" si="508"/>
        <v>-1.8471867880634251E-3</v>
      </c>
      <c r="X5444" s="33">
        <f t="shared" si="509"/>
        <v>2.3401048805801895E-2</v>
      </c>
    </row>
    <row r="5445" spans="19:24" x14ac:dyDescent="0.25">
      <c r="S5445" s="44">
        <f t="shared" si="511"/>
        <v>48495</v>
      </c>
      <c r="T5445" s="12">
        <f t="shared" ref="T5445:T5508" si="512">DurMod(S5445,B$2,$F$7:$G$37,$T$3)</f>
        <v>0.18204159650480134</v>
      </c>
      <c r="U5445" s="12">
        <f t="shared" si="510"/>
        <v>0.18028001728567225</v>
      </c>
      <c r="V5445" s="30">
        <f t="shared" ref="V5445:V5508" si="513">+$U$3*($S$5512-S5445)/365+$T$3*(S5445-$S$4)/365</f>
        <v>0.35495123287671232</v>
      </c>
      <c r="W5445" s="46">
        <f t="shared" ref="W5445:W5508" si="514">+-T5445*($U$3-$T$3)</f>
        <v>-1.8204159650480132E-3</v>
      </c>
      <c r="X5445" s="33">
        <f t="shared" ref="X5445:X5508" si="515">+(V5445+W5445)*365/($S$5512-$S$4)</f>
        <v>2.3401007293528953E-2</v>
      </c>
    </row>
    <row r="5446" spans="19:24" x14ac:dyDescent="0.25">
      <c r="S5446" s="44">
        <f t="shared" si="511"/>
        <v>48496</v>
      </c>
      <c r="T5446" s="12">
        <f t="shared" si="512"/>
        <v>0.17936451420326016</v>
      </c>
      <c r="U5446" s="12">
        <f t="shared" ref="U5446:U5509" si="516">DurMod($S5446,$B$2,$F$7:$G$37,U$3)</f>
        <v>0.17762884056088296</v>
      </c>
      <c r="V5446" s="30">
        <f t="shared" si="513"/>
        <v>0.35492383561643831</v>
      </c>
      <c r="W5446" s="46">
        <f t="shared" si="514"/>
        <v>-1.7936451420326014E-3</v>
      </c>
      <c r="X5446" s="33">
        <f t="shared" si="515"/>
        <v>2.3400965781256007E-2</v>
      </c>
    </row>
    <row r="5447" spans="19:24" x14ac:dyDescent="0.25">
      <c r="S5447" s="44">
        <f t="shared" si="511"/>
        <v>48497</v>
      </c>
      <c r="T5447" s="12">
        <f t="shared" si="512"/>
        <v>0.17668743190171896</v>
      </c>
      <c r="U5447" s="12">
        <f t="shared" si="516"/>
        <v>0.17497766383609367</v>
      </c>
      <c r="V5447" s="30">
        <f t="shared" si="513"/>
        <v>0.35489643835616441</v>
      </c>
      <c r="W5447" s="46">
        <f t="shared" si="514"/>
        <v>-1.7668743190171893E-3</v>
      </c>
      <c r="X5447" s="33">
        <f t="shared" si="515"/>
        <v>2.3400924268983068E-2</v>
      </c>
    </row>
    <row r="5448" spans="19:24" x14ac:dyDescent="0.25">
      <c r="S5448" s="44">
        <f t="shared" si="511"/>
        <v>48498</v>
      </c>
      <c r="T5448" s="12">
        <f t="shared" si="512"/>
        <v>0.17401034960017775</v>
      </c>
      <c r="U5448" s="12">
        <f t="shared" si="516"/>
        <v>0.17232648711130436</v>
      </c>
      <c r="V5448" s="30">
        <f t="shared" si="513"/>
        <v>0.3548690410958904</v>
      </c>
      <c r="W5448" s="46">
        <f t="shared" si="514"/>
        <v>-1.7401034960017772E-3</v>
      </c>
      <c r="X5448" s="33">
        <f t="shared" si="515"/>
        <v>2.3400882756710123E-2</v>
      </c>
    </row>
    <row r="5449" spans="19:24" x14ac:dyDescent="0.25">
      <c r="S5449" s="44">
        <f t="shared" si="511"/>
        <v>48499</v>
      </c>
      <c r="T5449" s="12">
        <f t="shared" si="512"/>
        <v>0.17133326729863654</v>
      </c>
      <c r="U5449" s="12">
        <f t="shared" si="516"/>
        <v>0.16967531038651507</v>
      </c>
      <c r="V5449" s="30">
        <f t="shared" si="513"/>
        <v>0.35484164383561645</v>
      </c>
      <c r="W5449" s="46">
        <f t="shared" si="514"/>
        <v>-1.7133326729863651E-3</v>
      </c>
      <c r="X5449" s="33">
        <f t="shared" si="515"/>
        <v>2.3400841244437181E-2</v>
      </c>
    </row>
    <row r="5450" spans="19:24" x14ac:dyDescent="0.25">
      <c r="S5450" s="44">
        <f t="shared" si="511"/>
        <v>48500</v>
      </c>
      <c r="T5450" s="12">
        <f t="shared" si="512"/>
        <v>0.16865618499709539</v>
      </c>
      <c r="U5450" s="12">
        <f t="shared" si="516"/>
        <v>0.16702413366172578</v>
      </c>
      <c r="V5450" s="30">
        <f t="shared" si="513"/>
        <v>0.35481424657534244</v>
      </c>
      <c r="W5450" s="46">
        <f t="shared" si="514"/>
        <v>-1.6865618499709537E-3</v>
      </c>
      <c r="X5450" s="33">
        <f t="shared" si="515"/>
        <v>2.3400799732164235E-2</v>
      </c>
    </row>
    <row r="5451" spans="19:24" x14ac:dyDescent="0.25">
      <c r="S5451" s="44">
        <f t="shared" si="511"/>
        <v>48501</v>
      </c>
      <c r="T5451" s="12">
        <f t="shared" si="512"/>
        <v>0.16597910269555416</v>
      </c>
      <c r="U5451" s="12">
        <f t="shared" si="516"/>
        <v>0.16437295693693646</v>
      </c>
      <c r="V5451" s="30">
        <f t="shared" si="513"/>
        <v>0.35478684931506854</v>
      </c>
      <c r="W5451" s="46">
        <f t="shared" si="514"/>
        <v>-1.6597910269555414E-3</v>
      </c>
      <c r="X5451" s="33">
        <f t="shared" si="515"/>
        <v>2.3400758219891297E-2</v>
      </c>
    </row>
    <row r="5452" spans="19:24" x14ac:dyDescent="0.25">
      <c r="S5452" s="44">
        <f t="shared" si="511"/>
        <v>48502</v>
      </c>
      <c r="T5452" s="12">
        <f t="shared" si="512"/>
        <v>0.16330202039401301</v>
      </c>
      <c r="U5452" s="12">
        <f t="shared" si="516"/>
        <v>0.16172178021214714</v>
      </c>
      <c r="V5452" s="30">
        <f t="shared" si="513"/>
        <v>0.35475945205479453</v>
      </c>
      <c r="W5452" s="46">
        <f t="shared" si="514"/>
        <v>-1.6330202039401298E-3</v>
      </c>
      <c r="X5452" s="33">
        <f t="shared" si="515"/>
        <v>2.3400716707618351E-2</v>
      </c>
    </row>
    <row r="5453" spans="19:24" x14ac:dyDescent="0.25">
      <c r="S5453" s="44">
        <f t="shared" si="511"/>
        <v>48503</v>
      </c>
      <c r="T5453" s="12">
        <f t="shared" si="512"/>
        <v>0.16062493809247178</v>
      </c>
      <c r="U5453" s="12">
        <f t="shared" si="516"/>
        <v>0.15907060348735788</v>
      </c>
      <c r="V5453" s="30">
        <f t="shared" si="513"/>
        <v>0.35473205479452058</v>
      </c>
      <c r="W5453" s="46">
        <f t="shared" si="514"/>
        <v>-1.6062493809247175E-3</v>
      </c>
      <c r="X5453" s="33">
        <f t="shared" si="515"/>
        <v>2.3400675195345402E-2</v>
      </c>
    </row>
    <row r="5454" spans="19:24" x14ac:dyDescent="0.25">
      <c r="S5454" s="44">
        <f t="shared" si="511"/>
        <v>48504</v>
      </c>
      <c r="T5454" s="12">
        <f t="shared" si="512"/>
        <v>0.15794785579093057</v>
      </c>
      <c r="U5454" s="12">
        <f t="shared" si="516"/>
        <v>0.15641942676256856</v>
      </c>
      <c r="V5454" s="30">
        <f t="shared" si="513"/>
        <v>0.35470465753424657</v>
      </c>
      <c r="W5454" s="46">
        <f t="shared" si="514"/>
        <v>-1.5794785579093054E-3</v>
      </c>
      <c r="X5454" s="33">
        <f t="shared" si="515"/>
        <v>2.340063368307246E-2</v>
      </c>
    </row>
    <row r="5455" spans="19:24" x14ac:dyDescent="0.25">
      <c r="S5455" s="44">
        <f t="shared" si="511"/>
        <v>48505</v>
      </c>
      <c r="T5455" s="12">
        <f t="shared" si="512"/>
        <v>0.15527077348938939</v>
      </c>
      <c r="U5455" s="12">
        <f t="shared" si="516"/>
        <v>0.15376825003777927</v>
      </c>
      <c r="V5455" s="30">
        <f t="shared" si="513"/>
        <v>0.35467726027397262</v>
      </c>
      <c r="W5455" s="46">
        <f t="shared" si="514"/>
        <v>-1.5527077348938937E-3</v>
      </c>
      <c r="X5455" s="33">
        <f t="shared" si="515"/>
        <v>2.3400592170799515E-2</v>
      </c>
    </row>
    <row r="5456" spans="19:24" x14ac:dyDescent="0.25">
      <c r="S5456" s="44">
        <f t="shared" si="511"/>
        <v>48506</v>
      </c>
      <c r="T5456" s="12">
        <f t="shared" si="512"/>
        <v>0.15259369118784816</v>
      </c>
      <c r="U5456" s="12">
        <f t="shared" si="516"/>
        <v>0.15111707331298996</v>
      </c>
      <c r="V5456" s="30">
        <f t="shared" si="513"/>
        <v>0.35464986301369866</v>
      </c>
      <c r="W5456" s="46">
        <f t="shared" si="514"/>
        <v>-1.5259369118784812E-3</v>
      </c>
      <c r="X5456" s="33">
        <f t="shared" si="515"/>
        <v>2.3400550658526576E-2</v>
      </c>
    </row>
    <row r="5457" spans="19:24" x14ac:dyDescent="0.25">
      <c r="S5457" s="44">
        <f t="shared" si="511"/>
        <v>48507</v>
      </c>
      <c r="T5457" s="12">
        <f t="shared" si="512"/>
        <v>0.14991660888630701</v>
      </c>
      <c r="U5457" s="12">
        <f t="shared" si="516"/>
        <v>0.1484658965882007</v>
      </c>
      <c r="V5457" s="30">
        <f t="shared" si="513"/>
        <v>0.35462246575342465</v>
      </c>
      <c r="W5457" s="46">
        <f t="shared" si="514"/>
        <v>-1.4991660888630698E-3</v>
      </c>
      <c r="X5457" s="33">
        <f t="shared" si="515"/>
        <v>2.3400509146253624E-2</v>
      </c>
    </row>
    <row r="5458" spans="19:24" x14ac:dyDescent="0.25">
      <c r="S5458" s="44">
        <f t="shared" si="511"/>
        <v>48508</v>
      </c>
      <c r="T5458" s="12">
        <f t="shared" si="512"/>
        <v>0.1472395265847658</v>
      </c>
      <c r="U5458" s="12">
        <f t="shared" si="516"/>
        <v>0.14581471986341135</v>
      </c>
      <c r="V5458" s="30">
        <f t="shared" si="513"/>
        <v>0.3545950684931507</v>
      </c>
      <c r="W5458" s="46">
        <f t="shared" si="514"/>
        <v>-1.4723952658476577E-3</v>
      </c>
      <c r="X5458" s="33">
        <f t="shared" si="515"/>
        <v>2.3400467633980689E-2</v>
      </c>
    </row>
    <row r="5459" spans="19:24" x14ac:dyDescent="0.25">
      <c r="S5459" s="44">
        <f t="shared" si="511"/>
        <v>48509</v>
      </c>
      <c r="T5459" s="12">
        <f t="shared" si="512"/>
        <v>0.14456244428322459</v>
      </c>
      <c r="U5459" s="12">
        <f t="shared" si="516"/>
        <v>0.14316354313862206</v>
      </c>
      <c r="V5459" s="30">
        <f t="shared" si="513"/>
        <v>0.35456767123287669</v>
      </c>
      <c r="W5459" s="46">
        <f t="shared" si="514"/>
        <v>-1.4456244428322457E-3</v>
      </c>
      <c r="X5459" s="33">
        <f t="shared" si="515"/>
        <v>2.340042612170774E-2</v>
      </c>
    </row>
    <row r="5460" spans="19:24" x14ac:dyDescent="0.25">
      <c r="S5460" s="44">
        <f t="shared" si="511"/>
        <v>48510</v>
      </c>
      <c r="T5460" s="12">
        <f t="shared" si="512"/>
        <v>0.14188536198168339</v>
      </c>
      <c r="U5460" s="12">
        <f t="shared" si="516"/>
        <v>0.14051236641383275</v>
      </c>
      <c r="V5460" s="30">
        <f t="shared" si="513"/>
        <v>0.35454027397260274</v>
      </c>
      <c r="W5460" s="46">
        <f t="shared" si="514"/>
        <v>-1.4188536198168336E-3</v>
      </c>
      <c r="X5460" s="33">
        <f t="shared" si="515"/>
        <v>2.3400384609434798E-2</v>
      </c>
    </row>
    <row r="5461" spans="19:24" x14ac:dyDescent="0.25">
      <c r="S5461" s="44">
        <f t="shared" si="511"/>
        <v>48511</v>
      </c>
      <c r="T5461" s="12">
        <f t="shared" si="512"/>
        <v>0.13920827968014221</v>
      </c>
      <c r="U5461" s="12">
        <f t="shared" si="516"/>
        <v>0.13786118968904348</v>
      </c>
      <c r="V5461" s="30">
        <f t="shared" si="513"/>
        <v>0.35451287671232878</v>
      </c>
      <c r="W5461" s="46">
        <f t="shared" si="514"/>
        <v>-1.3920827968014219E-3</v>
      </c>
      <c r="X5461" s="33">
        <f t="shared" si="515"/>
        <v>2.3400343097161852E-2</v>
      </c>
    </row>
    <row r="5462" spans="19:24" x14ac:dyDescent="0.25">
      <c r="S5462" s="44">
        <f t="shared" si="511"/>
        <v>48512</v>
      </c>
      <c r="T5462" s="12">
        <f t="shared" si="512"/>
        <v>0.136531197378601</v>
      </c>
      <c r="U5462" s="12">
        <f t="shared" si="516"/>
        <v>0.13521001296425419</v>
      </c>
      <c r="V5462" s="30">
        <f t="shared" si="513"/>
        <v>0.35448547945205483</v>
      </c>
      <c r="W5462" s="46">
        <f t="shared" si="514"/>
        <v>-1.3653119737860099E-3</v>
      </c>
      <c r="X5462" s="33">
        <f t="shared" si="515"/>
        <v>2.340030158488891E-2</v>
      </c>
    </row>
    <row r="5463" spans="19:24" x14ac:dyDescent="0.25">
      <c r="S5463" s="44">
        <f t="shared" si="511"/>
        <v>48513</v>
      </c>
      <c r="T5463" s="12">
        <f t="shared" si="512"/>
        <v>0.1338541150770598</v>
      </c>
      <c r="U5463" s="12">
        <f t="shared" si="516"/>
        <v>0.13255883623946488</v>
      </c>
      <c r="V5463" s="30">
        <f t="shared" si="513"/>
        <v>0.35445808219178082</v>
      </c>
      <c r="W5463" s="46">
        <f t="shared" si="514"/>
        <v>-1.3385411507705978E-3</v>
      </c>
      <c r="X5463" s="33">
        <f t="shared" si="515"/>
        <v>2.3400260072615968E-2</v>
      </c>
    </row>
    <row r="5464" spans="19:24" x14ac:dyDescent="0.25">
      <c r="S5464" s="44">
        <f t="shared" si="511"/>
        <v>48514</v>
      </c>
      <c r="T5464" s="12">
        <f t="shared" si="512"/>
        <v>0.13117703277551862</v>
      </c>
      <c r="U5464" s="12">
        <f t="shared" si="516"/>
        <v>0.12990765951467562</v>
      </c>
      <c r="V5464" s="30">
        <f t="shared" si="513"/>
        <v>0.35443068493150692</v>
      </c>
      <c r="W5464" s="46">
        <f t="shared" si="514"/>
        <v>-1.3117703277551859E-3</v>
      </c>
      <c r="X5464" s="33">
        <f t="shared" si="515"/>
        <v>2.3400218560343026E-2</v>
      </c>
    </row>
    <row r="5465" spans="19:24" x14ac:dyDescent="0.25">
      <c r="S5465" s="44">
        <f t="shared" si="511"/>
        <v>48515</v>
      </c>
      <c r="T5465" s="12">
        <f t="shared" si="512"/>
        <v>0.12849995047397741</v>
      </c>
      <c r="U5465" s="12">
        <f t="shared" si="516"/>
        <v>0.12725648278988627</v>
      </c>
      <c r="V5465" s="30">
        <f t="shared" si="513"/>
        <v>0.35440328767123291</v>
      </c>
      <c r="W5465" s="46">
        <f t="shared" si="514"/>
        <v>-1.2849995047397738E-3</v>
      </c>
      <c r="X5465" s="33">
        <f t="shared" si="515"/>
        <v>2.3400177048070077E-2</v>
      </c>
    </row>
    <row r="5466" spans="19:24" x14ac:dyDescent="0.25">
      <c r="S5466" s="44">
        <f t="shared" si="511"/>
        <v>48516</v>
      </c>
      <c r="T5466" s="12">
        <f t="shared" si="512"/>
        <v>0.12582286817243624</v>
      </c>
      <c r="U5466" s="12">
        <f t="shared" si="516"/>
        <v>0.12460530606509697</v>
      </c>
      <c r="V5466" s="30">
        <f t="shared" si="513"/>
        <v>0.3543758904109589</v>
      </c>
      <c r="W5466" s="46">
        <f t="shared" si="514"/>
        <v>-1.2582286817243622E-3</v>
      </c>
      <c r="X5466" s="33">
        <f t="shared" si="515"/>
        <v>2.3400135535797131E-2</v>
      </c>
    </row>
    <row r="5467" spans="19:24" x14ac:dyDescent="0.25">
      <c r="S5467" s="44">
        <f t="shared" si="511"/>
        <v>48517</v>
      </c>
      <c r="T5467" s="12">
        <f t="shared" si="512"/>
        <v>0.12314578587089504</v>
      </c>
      <c r="U5467" s="12">
        <f t="shared" si="516"/>
        <v>0.12195412934030768</v>
      </c>
      <c r="V5467" s="30">
        <f t="shared" si="513"/>
        <v>0.35434849315068495</v>
      </c>
      <c r="W5467" s="46">
        <f t="shared" si="514"/>
        <v>-1.2314578587089503E-3</v>
      </c>
      <c r="X5467" s="33">
        <f t="shared" si="515"/>
        <v>2.3400094023524189E-2</v>
      </c>
    </row>
    <row r="5468" spans="19:24" x14ac:dyDescent="0.25">
      <c r="S5468" s="44">
        <f t="shared" si="511"/>
        <v>48518</v>
      </c>
      <c r="T5468" s="12">
        <f t="shared" si="512"/>
        <v>0.12046870356935382</v>
      </c>
      <c r="U5468" s="12">
        <f t="shared" si="516"/>
        <v>0.1193029526155184</v>
      </c>
      <c r="V5468" s="30">
        <f t="shared" si="513"/>
        <v>0.354321095890411</v>
      </c>
      <c r="W5468" s="46">
        <f t="shared" si="514"/>
        <v>-1.204687035693538E-3</v>
      </c>
      <c r="X5468" s="33">
        <f t="shared" si="515"/>
        <v>2.3400052511251247E-2</v>
      </c>
    </row>
    <row r="5469" spans="19:24" x14ac:dyDescent="0.25">
      <c r="S5469" s="44">
        <f t="shared" si="511"/>
        <v>48519</v>
      </c>
      <c r="T5469" s="12">
        <f t="shared" si="512"/>
        <v>0.11779162126781265</v>
      </c>
      <c r="U5469" s="12">
        <f t="shared" si="516"/>
        <v>0.11665177589072909</v>
      </c>
      <c r="V5469" s="30">
        <f t="shared" si="513"/>
        <v>0.35429369863013699</v>
      </c>
      <c r="W5469" s="46">
        <f t="shared" si="514"/>
        <v>-1.1779162126781262E-3</v>
      </c>
      <c r="X5469" s="33">
        <f t="shared" si="515"/>
        <v>2.3400010998978305E-2</v>
      </c>
    </row>
    <row r="5470" spans="19:24" x14ac:dyDescent="0.25">
      <c r="S5470" s="44">
        <f t="shared" si="511"/>
        <v>48520</v>
      </c>
      <c r="T5470" s="12">
        <f t="shared" si="512"/>
        <v>0.11511453896627144</v>
      </c>
      <c r="U5470" s="12">
        <f t="shared" si="516"/>
        <v>0.11400059916593981</v>
      </c>
      <c r="V5470" s="30">
        <f t="shared" si="513"/>
        <v>0.35426630136986303</v>
      </c>
      <c r="W5470" s="46">
        <f t="shared" si="514"/>
        <v>-1.1511453896627143E-3</v>
      </c>
      <c r="X5470" s="33">
        <f t="shared" si="515"/>
        <v>2.339996948670536E-2</v>
      </c>
    </row>
    <row r="5471" spans="19:24" x14ac:dyDescent="0.25">
      <c r="S5471" s="44">
        <f t="shared" si="511"/>
        <v>48521</v>
      </c>
      <c r="T5471" s="12">
        <f t="shared" si="512"/>
        <v>0.11243745666473023</v>
      </c>
      <c r="U5471" s="12">
        <f t="shared" si="516"/>
        <v>0.11134942244115049</v>
      </c>
      <c r="V5471" s="30">
        <f t="shared" si="513"/>
        <v>0.35423890410958903</v>
      </c>
      <c r="W5471" s="46">
        <f t="shared" si="514"/>
        <v>-1.1243745666473022E-3</v>
      </c>
      <c r="X5471" s="33">
        <f t="shared" si="515"/>
        <v>2.3399927974432411E-2</v>
      </c>
    </row>
    <row r="5472" spans="19:24" x14ac:dyDescent="0.25">
      <c r="S5472" s="44">
        <f t="shared" si="511"/>
        <v>48522</v>
      </c>
      <c r="T5472" s="12">
        <f t="shared" si="512"/>
        <v>0.10976037436318904</v>
      </c>
      <c r="U5472" s="12">
        <f t="shared" si="516"/>
        <v>0.10869824571636121</v>
      </c>
      <c r="V5472" s="30">
        <f t="shared" si="513"/>
        <v>0.35421150684931502</v>
      </c>
      <c r="W5472" s="46">
        <f t="shared" si="514"/>
        <v>-1.0976037436318902E-3</v>
      </c>
      <c r="X5472" s="33">
        <f t="shared" si="515"/>
        <v>2.3399886462159469E-2</v>
      </c>
    </row>
    <row r="5473" spans="19:24" x14ac:dyDescent="0.25">
      <c r="S5473" s="44">
        <f t="shared" si="511"/>
        <v>48523</v>
      </c>
      <c r="T5473" s="12">
        <f t="shared" si="512"/>
        <v>0.10708329206164784</v>
      </c>
      <c r="U5473" s="12">
        <f t="shared" si="516"/>
        <v>0.1060470689915719</v>
      </c>
      <c r="V5473" s="30">
        <f t="shared" si="513"/>
        <v>0.35418410958904112</v>
      </c>
      <c r="W5473" s="46">
        <f t="shared" si="514"/>
        <v>-1.0708329206164781E-3</v>
      </c>
      <c r="X5473" s="33">
        <f t="shared" si="515"/>
        <v>2.3399844949886527E-2</v>
      </c>
    </row>
    <row r="5474" spans="19:24" x14ac:dyDescent="0.25">
      <c r="S5474" s="44">
        <f t="shared" si="511"/>
        <v>48524</v>
      </c>
      <c r="T5474" s="12">
        <f t="shared" si="512"/>
        <v>0.10440620976010666</v>
      </c>
      <c r="U5474" s="12">
        <f t="shared" si="516"/>
        <v>0.10339589226678261</v>
      </c>
      <c r="V5474" s="30">
        <f t="shared" si="513"/>
        <v>0.35415671232876716</v>
      </c>
      <c r="W5474" s="46">
        <f t="shared" si="514"/>
        <v>-1.0440620976010664E-3</v>
      </c>
      <c r="X5474" s="33">
        <f t="shared" si="515"/>
        <v>2.3399803437613585E-2</v>
      </c>
    </row>
    <row r="5475" spans="19:24" x14ac:dyDescent="0.25">
      <c r="S5475" s="44">
        <f t="shared" si="511"/>
        <v>48525</v>
      </c>
      <c r="T5475" s="12">
        <f t="shared" si="512"/>
        <v>0.10172912745856545</v>
      </c>
      <c r="U5475" s="12">
        <f t="shared" si="516"/>
        <v>0.10074471554199331</v>
      </c>
      <c r="V5475" s="30">
        <f t="shared" si="513"/>
        <v>0.35412931506849316</v>
      </c>
      <c r="W5475" s="46">
        <f t="shared" si="514"/>
        <v>-1.0172912745856544E-3</v>
      </c>
      <c r="X5475" s="33">
        <f t="shared" si="515"/>
        <v>2.3399761925340639E-2</v>
      </c>
    </row>
    <row r="5476" spans="19:24" x14ac:dyDescent="0.25">
      <c r="S5476" s="44">
        <f t="shared" si="511"/>
        <v>48526</v>
      </c>
      <c r="T5476" s="12">
        <f t="shared" si="512"/>
        <v>9.905204515702426E-2</v>
      </c>
      <c r="U5476" s="12">
        <f t="shared" si="516"/>
        <v>9.8093538817204021E-2</v>
      </c>
      <c r="V5476" s="30">
        <f t="shared" si="513"/>
        <v>0.3541019178082192</v>
      </c>
      <c r="W5476" s="46">
        <f t="shared" si="514"/>
        <v>-9.9052045157024251E-4</v>
      </c>
      <c r="X5476" s="33">
        <f t="shared" si="515"/>
        <v>2.3399720413067697E-2</v>
      </c>
    </row>
    <row r="5477" spans="19:24" x14ac:dyDescent="0.25">
      <c r="S5477" s="44">
        <f t="shared" si="511"/>
        <v>48527</v>
      </c>
      <c r="T5477" s="12">
        <f t="shared" si="512"/>
        <v>9.6374962855483054E-2</v>
      </c>
      <c r="U5477" s="12">
        <f t="shared" si="516"/>
        <v>9.5442362092414718E-2</v>
      </c>
      <c r="V5477" s="30">
        <f t="shared" si="513"/>
        <v>0.35407452054794519</v>
      </c>
      <c r="W5477" s="46">
        <f t="shared" si="514"/>
        <v>-9.6374962855483044E-4</v>
      </c>
      <c r="X5477" s="33">
        <f t="shared" si="515"/>
        <v>2.3399678900794748E-2</v>
      </c>
    </row>
    <row r="5478" spans="19:24" x14ac:dyDescent="0.25">
      <c r="S5478" s="44">
        <f t="shared" si="511"/>
        <v>48528</v>
      </c>
      <c r="T5478" s="12">
        <f t="shared" si="512"/>
        <v>9.3697880553941862E-2</v>
      </c>
      <c r="U5478" s="12">
        <f t="shared" si="516"/>
        <v>9.2791185367625414E-2</v>
      </c>
      <c r="V5478" s="30">
        <f t="shared" si="513"/>
        <v>0.35404712328767124</v>
      </c>
      <c r="W5478" s="46">
        <f t="shared" si="514"/>
        <v>-9.3697880553941847E-4</v>
      </c>
      <c r="X5478" s="33">
        <f t="shared" si="515"/>
        <v>2.3399637388521806E-2</v>
      </c>
    </row>
    <row r="5479" spans="19:24" x14ac:dyDescent="0.25">
      <c r="S5479" s="44">
        <f t="shared" si="511"/>
        <v>48529</v>
      </c>
      <c r="T5479" s="12">
        <f t="shared" si="512"/>
        <v>9.102079825240067E-2</v>
      </c>
      <c r="U5479" s="12">
        <f t="shared" si="516"/>
        <v>9.0140008642836139E-2</v>
      </c>
      <c r="V5479" s="30">
        <f t="shared" si="513"/>
        <v>0.35401972602739729</v>
      </c>
      <c r="W5479" s="46">
        <f t="shared" si="514"/>
        <v>-9.1020798252400661E-4</v>
      </c>
      <c r="X5479" s="33">
        <f t="shared" si="515"/>
        <v>2.3399595876248864E-2</v>
      </c>
    </row>
    <row r="5480" spans="19:24" x14ac:dyDescent="0.25">
      <c r="S5480" s="44">
        <f t="shared" si="511"/>
        <v>48530</v>
      </c>
      <c r="T5480" s="12">
        <f t="shared" si="512"/>
        <v>8.8343715950859478E-2</v>
      </c>
      <c r="U5480" s="12">
        <f t="shared" si="516"/>
        <v>8.7488831918046822E-2</v>
      </c>
      <c r="V5480" s="30">
        <f t="shared" si="513"/>
        <v>0.35399232876712322</v>
      </c>
      <c r="W5480" s="46">
        <f t="shared" si="514"/>
        <v>-8.8343715950859464E-4</v>
      </c>
      <c r="X5480" s="33">
        <f t="shared" si="515"/>
        <v>2.3399554363975911E-2</v>
      </c>
    </row>
    <row r="5481" spans="19:24" x14ac:dyDescent="0.25">
      <c r="S5481" s="44">
        <f t="shared" si="511"/>
        <v>48531</v>
      </c>
      <c r="T5481" s="12">
        <f t="shared" si="512"/>
        <v>8.5666633649318272E-2</v>
      </c>
      <c r="U5481" s="12">
        <f t="shared" si="516"/>
        <v>8.4837655193257533E-2</v>
      </c>
      <c r="V5481" s="30">
        <f t="shared" si="513"/>
        <v>0.35396493150684932</v>
      </c>
      <c r="W5481" s="46">
        <f t="shared" si="514"/>
        <v>-8.5666633649318256E-4</v>
      </c>
      <c r="X5481" s="33">
        <f t="shared" si="515"/>
        <v>2.3399512851702976E-2</v>
      </c>
    </row>
    <row r="5482" spans="19:24" x14ac:dyDescent="0.25">
      <c r="S5482" s="44">
        <f t="shared" si="511"/>
        <v>48532</v>
      </c>
      <c r="T5482" s="12">
        <f t="shared" si="512"/>
        <v>8.298955134777708E-2</v>
      </c>
      <c r="U5482" s="12">
        <f t="shared" si="516"/>
        <v>8.218647846846823E-2</v>
      </c>
      <c r="V5482" s="30">
        <f t="shared" si="513"/>
        <v>0.35393753424657537</v>
      </c>
      <c r="W5482" s="46">
        <f t="shared" si="514"/>
        <v>-8.298955134777707E-4</v>
      </c>
      <c r="X5482" s="33">
        <f t="shared" si="515"/>
        <v>2.3399471339430034E-2</v>
      </c>
    </row>
    <row r="5483" spans="19:24" x14ac:dyDescent="0.25">
      <c r="S5483" s="44">
        <f t="shared" si="511"/>
        <v>48533</v>
      </c>
      <c r="T5483" s="12">
        <f t="shared" si="512"/>
        <v>8.0312469046235888E-2</v>
      </c>
      <c r="U5483" s="12">
        <f t="shared" si="516"/>
        <v>7.9535301743678927E-2</v>
      </c>
      <c r="V5483" s="30">
        <f t="shared" si="513"/>
        <v>0.35391013698630136</v>
      </c>
      <c r="W5483" s="46">
        <f t="shared" si="514"/>
        <v>-8.0312469046235873E-4</v>
      </c>
      <c r="X5483" s="33">
        <f t="shared" si="515"/>
        <v>2.3399429827157085E-2</v>
      </c>
    </row>
    <row r="5484" spans="19:24" x14ac:dyDescent="0.25">
      <c r="S5484" s="44">
        <f t="shared" si="511"/>
        <v>48534</v>
      </c>
      <c r="T5484" s="12">
        <f t="shared" si="512"/>
        <v>7.7635386744694709E-2</v>
      </c>
      <c r="U5484" s="12">
        <f t="shared" si="516"/>
        <v>7.6884125018889651E-2</v>
      </c>
      <c r="V5484" s="30">
        <f t="shared" si="513"/>
        <v>0.35388273972602735</v>
      </c>
      <c r="W5484" s="46">
        <f t="shared" si="514"/>
        <v>-7.7635386744694698E-4</v>
      </c>
      <c r="X5484" s="33">
        <f t="shared" si="515"/>
        <v>2.339938831488414E-2</v>
      </c>
    </row>
    <row r="5485" spans="19:24" x14ac:dyDescent="0.25">
      <c r="S5485" s="44">
        <f t="shared" si="511"/>
        <v>48535</v>
      </c>
      <c r="T5485" s="12">
        <f t="shared" si="512"/>
        <v>7.4958304443153503E-2</v>
      </c>
      <c r="U5485" s="12">
        <f t="shared" si="516"/>
        <v>7.4232948294100334E-2</v>
      </c>
      <c r="V5485" s="30">
        <f t="shared" si="513"/>
        <v>0.35385534246575345</v>
      </c>
      <c r="W5485" s="46">
        <f t="shared" si="514"/>
        <v>-7.495830444315349E-4</v>
      </c>
      <c r="X5485" s="33">
        <f t="shared" si="515"/>
        <v>2.3399346802611201E-2</v>
      </c>
    </row>
    <row r="5486" spans="19:24" x14ac:dyDescent="0.25">
      <c r="S5486" s="44">
        <f t="shared" si="511"/>
        <v>48536</v>
      </c>
      <c r="T5486" s="12">
        <f t="shared" si="512"/>
        <v>7.2281222141612311E-2</v>
      </c>
      <c r="U5486" s="12">
        <f t="shared" si="516"/>
        <v>7.1581771569311031E-2</v>
      </c>
      <c r="V5486" s="30">
        <f t="shared" si="513"/>
        <v>0.35382794520547944</v>
      </c>
      <c r="W5486" s="46">
        <f t="shared" si="514"/>
        <v>-7.2281222141612304E-4</v>
      </c>
      <c r="X5486" s="33">
        <f t="shared" si="515"/>
        <v>2.3399305290338256E-2</v>
      </c>
    </row>
    <row r="5487" spans="19:24" x14ac:dyDescent="0.25">
      <c r="S5487" s="44">
        <f t="shared" si="511"/>
        <v>48537</v>
      </c>
      <c r="T5487" s="12">
        <f t="shared" si="512"/>
        <v>6.9604139840071105E-2</v>
      </c>
      <c r="U5487" s="12">
        <f t="shared" si="516"/>
        <v>6.8930594844521756E-2</v>
      </c>
      <c r="V5487" s="30">
        <f t="shared" si="513"/>
        <v>0.35380054794520549</v>
      </c>
      <c r="W5487" s="46">
        <f t="shared" si="514"/>
        <v>-6.9604139840071097E-4</v>
      </c>
      <c r="X5487" s="33">
        <f t="shared" si="515"/>
        <v>2.3399263778065314E-2</v>
      </c>
    </row>
    <row r="5488" spans="19:24" x14ac:dyDescent="0.25">
      <c r="S5488" s="44">
        <f t="shared" si="511"/>
        <v>48538</v>
      </c>
      <c r="T5488" s="12">
        <f t="shared" si="512"/>
        <v>6.6927057538529899E-2</v>
      </c>
      <c r="U5488" s="12">
        <f t="shared" si="516"/>
        <v>6.6279418119732439E-2</v>
      </c>
      <c r="V5488" s="30">
        <f t="shared" si="513"/>
        <v>0.35377315068493154</v>
      </c>
      <c r="W5488" s="46">
        <f t="shared" si="514"/>
        <v>-6.6927057538529889E-4</v>
      </c>
      <c r="X5488" s="33">
        <f t="shared" si="515"/>
        <v>2.3399222265792372E-2</v>
      </c>
    </row>
    <row r="5489" spans="19:24" x14ac:dyDescent="0.25">
      <c r="S5489" s="44">
        <f t="shared" si="511"/>
        <v>48539</v>
      </c>
      <c r="T5489" s="12">
        <f t="shared" si="512"/>
        <v>6.4249975236988707E-2</v>
      </c>
      <c r="U5489" s="12">
        <f t="shared" si="516"/>
        <v>6.3628241394943136E-2</v>
      </c>
      <c r="V5489" s="30">
        <f t="shared" si="513"/>
        <v>0.35374575342465753</v>
      </c>
      <c r="W5489" s="46">
        <f t="shared" si="514"/>
        <v>-6.4249975236988692E-4</v>
      </c>
      <c r="X5489" s="33">
        <f t="shared" si="515"/>
        <v>2.3399180753519426E-2</v>
      </c>
    </row>
    <row r="5490" spans="19:24" x14ac:dyDescent="0.25">
      <c r="S5490" s="44">
        <f t="shared" si="511"/>
        <v>48540</v>
      </c>
      <c r="T5490" s="12">
        <f t="shared" si="512"/>
        <v>6.1572892935447522E-2</v>
      </c>
      <c r="U5490" s="12">
        <f t="shared" si="516"/>
        <v>6.0977064670153854E-2</v>
      </c>
      <c r="V5490" s="30">
        <f t="shared" si="513"/>
        <v>0.35371835616438357</v>
      </c>
      <c r="W5490" s="46">
        <f t="shared" si="514"/>
        <v>-6.1572892935447517E-4</v>
      </c>
      <c r="X5490" s="33">
        <f t="shared" si="515"/>
        <v>2.3399139241246484E-2</v>
      </c>
    </row>
    <row r="5491" spans="19:24" x14ac:dyDescent="0.25">
      <c r="S5491" s="44">
        <f t="shared" ref="S5491:S5554" si="517">+S5490+1</f>
        <v>48541</v>
      </c>
      <c r="T5491" s="12">
        <f t="shared" si="512"/>
        <v>5.8895810633906323E-2</v>
      </c>
      <c r="U5491" s="12">
        <f t="shared" si="516"/>
        <v>5.8325887945364543E-2</v>
      </c>
      <c r="V5491" s="30">
        <f t="shared" si="513"/>
        <v>0.35369095890410962</v>
      </c>
      <c r="W5491" s="46">
        <f t="shared" si="514"/>
        <v>-5.8895810633906309E-4</v>
      </c>
      <c r="X5491" s="33">
        <f t="shared" si="515"/>
        <v>2.3399097728973542E-2</v>
      </c>
    </row>
    <row r="5492" spans="19:24" x14ac:dyDescent="0.25">
      <c r="S5492" s="44">
        <f t="shared" si="517"/>
        <v>48542</v>
      </c>
      <c r="T5492" s="12">
        <f t="shared" si="512"/>
        <v>5.6218728332365124E-2</v>
      </c>
      <c r="U5492" s="12">
        <f t="shared" si="516"/>
        <v>5.5674711220575254E-2</v>
      </c>
      <c r="V5492" s="30">
        <f t="shared" si="513"/>
        <v>0.35366356164383567</v>
      </c>
      <c r="W5492" s="46">
        <f t="shared" si="514"/>
        <v>-5.6218728332365112E-4</v>
      </c>
      <c r="X5492" s="33">
        <f t="shared" si="515"/>
        <v>2.33990562167006E-2</v>
      </c>
    </row>
    <row r="5493" spans="19:24" x14ac:dyDescent="0.25">
      <c r="S5493" s="44">
        <f t="shared" si="517"/>
        <v>48543</v>
      </c>
      <c r="T5493" s="12">
        <f t="shared" si="512"/>
        <v>5.3541646030823925E-2</v>
      </c>
      <c r="U5493" s="12">
        <f t="shared" si="516"/>
        <v>5.3023534495785951E-2</v>
      </c>
      <c r="V5493" s="30">
        <f t="shared" si="513"/>
        <v>0.3536361643835616</v>
      </c>
      <c r="W5493" s="46">
        <f t="shared" si="514"/>
        <v>-5.3541646030823915E-4</v>
      </c>
      <c r="X5493" s="33">
        <f t="shared" si="515"/>
        <v>2.3399014704427647E-2</v>
      </c>
    </row>
    <row r="5494" spans="19:24" x14ac:dyDescent="0.25">
      <c r="S5494" s="44">
        <f t="shared" si="517"/>
        <v>48544</v>
      </c>
      <c r="T5494" s="12">
        <f t="shared" si="512"/>
        <v>5.0864563729282733E-2</v>
      </c>
      <c r="U5494" s="12">
        <f t="shared" si="516"/>
        <v>5.0372357770996655E-2</v>
      </c>
      <c r="V5494" s="30">
        <f t="shared" si="513"/>
        <v>0.3536087671232877</v>
      </c>
      <c r="W5494" s="46">
        <f t="shared" si="514"/>
        <v>-5.0864563729282729E-4</v>
      </c>
      <c r="X5494" s="33">
        <f t="shared" si="515"/>
        <v>2.3398973192154709E-2</v>
      </c>
    </row>
    <row r="5495" spans="19:24" x14ac:dyDescent="0.25">
      <c r="S5495" s="44">
        <f t="shared" si="517"/>
        <v>48545</v>
      </c>
      <c r="T5495" s="12">
        <f t="shared" si="512"/>
        <v>4.8187481427741534E-2</v>
      </c>
      <c r="U5495" s="12">
        <f t="shared" si="516"/>
        <v>4.7721181046207359E-2</v>
      </c>
      <c r="V5495" s="30">
        <f t="shared" si="513"/>
        <v>0.35358136986301375</v>
      </c>
      <c r="W5495" s="46">
        <f t="shared" si="514"/>
        <v>-4.8187481427741527E-4</v>
      </c>
      <c r="X5495" s="33">
        <f t="shared" si="515"/>
        <v>2.3398931679881767E-2</v>
      </c>
    </row>
    <row r="5496" spans="19:24" x14ac:dyDescent="0.25">
      <c r="S5496" s="44">
        <f t="shared" si="517"/>
        <v>48546</v>
      </c>
      <c r="T5496" s="12">
        <f t="shared" si="512"/>
        <v>4.5510399126200342E-2</v>
      </c>
      <c r="U5496" s="12">
        <f t="shared" si="516"/>
        <v>4.5070004321418063E-2</v>
      </c>
      <c r="V5496" s="30">
        <f t="shared" si="513"/>
        <v>0.35355397260273969</v>
      </c>
      <c r="W5496" s="46">
        <f t="shared" si="514"/>
        <v>-4.5510399126200336E-4</v>
      </c>
      <c r="X5496" s="33">
        <f t="shared" si="515"/>
        <v>2.3398890167608814E-2</v>
      </c>
    </row>
    <row r="5497" spans="19:24" x14ac:dyDescent="0.25">
      <c r="S5497" s="44">
        <f t="shared" si="517"/>
        <v>48547</v>
      </c>
      <c r="T5497" s="12">
        <f t="shared" si="512"/>
        <v>4.2833316824659143E-2</v>
      </c>
      <c r="U5497" s="12">
        <f t="shared" si="516"/>
        <v>4.2418827596628766E-2</v>
      </c>
      <c r="V5497" s="30">
        <f t="shared" si="513"/>
        <v>0.35352657534246573</v>
      </c>
      <c r="W5497" s="46">
        <f t="shared" si="514"/>
        <v>-4.2833316824659139E-4</v>
      </c>
      <c r="X5497" s="33">
        <f t="shared" si="515"/>
        <v>2.3398848655335872E-2</v>
      </c>
    </row>
    <row r="5498" spans="19:24" x14ac:dyDescent="0.25">
      <c r="S5498" s="44">
        <f t="shared" si="517"/>
        <v>48548</v>
      </c>
      <c r="T5498" s="12">
        <f t="shared" si="512"/>
        <v>4.0156234523117944E-2</v>
      </c>
      <c r="U5498" s="12">
        <f t="shared" si="516"/>
        <v>3.9767650871839463E-2</v>
      </c>
      <c r="V5498" s="30">
        <f t="shared" si="513"/>
        <v>0.35349917808219183</v>
      </c>
      <c r="W5498" s="46">
        <f t="shared" si="514"/>
        <v>-4.0156234523117937E-4</v>
      </c>
      <c r="X5498" s="33">
        <f t="shared" si="515"/>
        <v>2.339880714306293E-2</v>
      </c>
    </row>
    <row r="5499" spans="19:24" x14ac:dyDescent="0.25">
      <c r="S5499" s="44">
        <f t="shared" si="517"/>
        <v>48549</v>
      </c>
      <c r="T5499" s="12">
        <f t="shared" si="512"/>
        <v>3.7479152221576745E-2</v>
      </c>
      <c r="U5499" s="12">
        <f t="shared" si="516"/>
        <v>3.7116474147050174E-2</v>
      </c>
      <c r="V5499" s="30">
        <f t="shared" si="513"/>
        <v>0.35347178082191782</v>
      </c>
      <c r="W5499" s="46">
        <f t="shared" si="514"/>
        <v>-3.747915222157674E-4</v>
      </c>
      <c r="X5499" s="33">
        <f t="shared" si="515"/>
        <v>2.3398765630789988E-2</v>
      </c>
    </row>
    <row r="5500" spans="19:24" x14ac:dyDescent="0.25">
      <c r="S5500" s="44">
        <f t="shared" si="517"/>
        <v>48550</v>
      </c>
      <c r="T5500" s="12">
        <f t="shared" si="512"/>
        <v>3.4802069920035553E-2</v>
      </c>
      <c r="U5500" s="12">
        <f t="shared" si="516"/>
        <v>3.4465297422260871E-2</v>
      </c>
      <c r="V5500" s="30">
        <f t="shared" si="513"/>
        <v>0.35344438356164387</v>
      </c>
      <c r="W5500" s="46">
        <f t="shared" si="514"/>
        <v>-3.4802069920035548E-4</v>
      </c>
      <c r="X5500" s="33">
        <f t="shared" si="515"/>
        <v>2.3398724118517043E-2</v>
      </c>
    </row>
    <row r="5501" spans="19:24" x14ac:dyDescent="0.25">
      <c r="S5501" s="44">
        <f t="shared" si="517"/>
        <v>48551</v>
      </c>
      <c r="T5501" s="12">
        <f t="shared" si="512"/>
        <v>3.2124987618494354E-2</v>
      </c>
      <c r="U5501" s="12">
        <f t="shared" si="516"/>
        <v>3.1814120697471568E-2</v>
      </c>
      <c r="V5501" s="30">
        <f t="shared" si="513"/>
        <v>0.35341698630136986</v>
      </c>
      <c r="W5501" s="46">
        <f t="shared" si="514"/>
        <v>-3.2124987618494346E-4</v>
      </c>
      <c r="X5501" s="33">
        <f t="shared" si="515"/>
        <v>2.3398682606244101E-2</v>
      </c>
    </row>
    <row r="5502" spans="19:24" x14ac:dyDescent="0.25">
      <c r="S5502" s="44">
        <f t="shared" si="517"/>
        <v>48552</v>
      </c>
      <c r="T5502" s="12">
        <f t="shared" si="512"/>
        <v>2.9447905316953162E-2</v>
      </c>
      <c r="U5502" s="12">
        <f t="shared" si="516"/>
        <v>2.9162943972682275E-2</v>
      </c>
      <c r="V5502" s="30">
        <f t="shared" si="513"/>
        <v>0.35338958904109591</v>
      </c>
      <c r="W5502" s="46">
        <f t="shared" si="514"/>
        <v>-2.9447905316953155E-4</v>
      </c>
      <c r="X5502" s="33">
        <f t="shared" si="515"/>
        <v>2.3398641093971159E-2</v>
      </c>
    </row>
    <row r="5503" spans="19:24" x14ac:dyDescent="0.25">
      <c r="S5503" s="44">
        <f t="shared" si="517"/>
        <v>48553</v>
      </c>
      <c r="T5503" s="12">
        <f t="shared" si="512"/>
        <v>2.6770823015411959E-2</v>
      </c>
      <c r="U5503" s="12">
        <f t="shared" si="516"/>
        <v>2.6511767247892976E-2</v>
      </c>
      <c r="V5503" s="30">
        <f t="shared" si="513"/>
        <v>0.35336219178082195</v>
      </c>
      <c r="W5503" s="46">
        <f t="shared" si="514"/>
        <v>-2.6770823015411952E-4</v>
      </c>
      <c r="X5503" s="33">
        <f t="shared" si="515"/>
        <v>2.3398599581698216E-2</v>
      </c>
    </row>
    <row r="5504" spans="19:24" x14ac:dyDescent="0.25">
      <c r="S5504" s="44">
        <f t="shared" si="517"/>
        <v>48554</v>
      </c>
      <c r="T5504" s="12">
        <f t="shared" si="512"/>
        <v>2.4093740713870767E-2</v>
      </c>
      <c r="U5504" s="12">
        <f t="shared" si="516"/>
        <v>2.3860590523103679E-2</v>
      </c>
      <c r="V5504" s="30">
        <f t="shared" si="513"/>
        <v>0.353334794520548</v>
      </c>
      <c r="W5504" s="46">
        <f t="shared" si="514"/>
        <v>-2.4093740713870764E-4</v>
      </c>
      <c r="X5504" s="33">
        <f t="shared" si="515"/>
        <v>2.3398558069425267E-2</v>
      </c>
    </row>
    <row r="5505" spans="19:24" x14ac:dyDescent="0.25">
      <c r="S5505" s="44">
        <f t="shared" si="517"/>
        <v>48555</v>
      </c>
      <c r="T5505" s="12">
        <f t="shared" si="512"/>
        <v>2.1416658412329568E-2</v>
      </c>
      <c r="U5505" s="12">
        <f t="shared" si="516"/>
        <v>2.120941379831438E-2</v>
      </c>
      <c r="V5505" s="30">
        <f t="shared" si="513"/>
        <v>0.35330739726027394</v>
      </c>
      <c r="W5505" s="46">
        <f t="shared" si="514"/>
        <v>-2.1416658412329564E-4</v>
      </c>
      <c r="X5505" s="33">
        <f t="shared" si="515"/>
        <v>2.3398516557152322E-2</v>
      </c>
    </row>
    <row r="5506" spans="19:24" x14ac:dyDescent="0.25">
      <c r="S5506" s="44">
        <f t="shared" si="517"/>
        <v>48556</v>
      </c>
      <c r="T5506" s="12">
        <f t="shared" si="512"/>
        <v>1.8739576110788376E-2</v>
      </c>
      <c r="U5506" s="12">
        <f t="shared" si="516"/>
        <v>1.8558237073525087E-2</v>
      </c>
      <c r="V5506" s="30">
        <f t="shared" si="513"/>
        <v>0.35328000000000004</v>
      </c>
      <c r="W5506" s="46">
        <f t="shared" si="514"/>
        <v>-1.8739576110788373E-4</v>
      </c>
      <c r="X5506" s="33">
        <f t="shared" si="515"/>
        <v>2.3398475044879383E-2</v>
      </c>
    </row>
    <row r="5507" spans="19:24" x14ac:dyDescent="0.25">
      <c r="S5507" s="44">
        <f t="shared" si="517"/>
        <v>48557</v>
      </c>
      <c r="T5507" s="12">
        <f t="shared" si="512"/>
        <v>1.6062493809247177E-2</v>
      </c>
      <c r="U5507" s="12">
        <f t="shared" si="516"/>
        <v>1.5907060348735787E-2</v>
      </c>
      <c r="V5507" s="30">
        <f t="shared" si="513"/>
        <v>0.35325260273972608</v>
      </c>
      <c r="W5507" s="46">
        <f t="shared" si="514"/>
        <v>-1.6062493809247173E-4</v>
      </c>
      <c r="X5507" s="33">
        <f t="shared" si="515"/>
        <v>2.3398433532606438E-2</v>
      </c>
    </row>
    <row r="5508" spans="19:24" x14ac:dyDescent="0.25">
      <c r="S5508" s="44">
        <f t="shared" si="517"/>
        <v>48558</v>
      </c>
      <c r="T5508" s="12">
        <f t="shared" si="512"/>
        <v>1.338541150770598E-2</v>
      </c>
      <c r="U5508" s="12">
        <f t="shared" si="516"/>
        <v>1.3255883623946488E-2</v>
      </c>
      <c r="V5508" s="30">
        <f t="shared" si="513"/>
        <v>0.35322520547945202</v>
      </c>
      <c r="W5508" s="46">
        <f t="shared" si="514"/>
        <v>-1.3385411507705976E-4</v>
      </c>
      <c r="X5508" s="33">
        <f t="shared" si="515"/>
        <v>2.3398392020333492E-2</v>
      </c>
    </row>
    <row r="5509" spans="19:24" x14ac:dyDescent="0.25">
      <c r="S5509" s="44">
        <f t="shared" si="517"/>
        <v>48559</v>
      </c>
      <c r="T5509" s="12">
        <f t="shared" ref="T5509:T5513" si="518">DurMod(S5509,B$2,$F$7:$G$37,$T$3)</f>
        <v>1.0708329206164786E-2</v>
      </c>
      <c r="U5509" s="12">
        <f t="shared" si="516"/>
        <v>1.0604706899157193E-2</v>
      </c>
      <c r="V5509" s="30">
        <f t="shared" ref="V5509:V5512" si="519">+$U$3*($S$5512-S5509)/365+$T$3*(S5509-$S$4)/365</f>
        <v>0.35319780821917807</v>
      </c>
      <c r="W5509" s="46">
        <f t="shared" ref="W5509:W5512" si="520">+-T5509*($U$3-$T$3)</f>
        <v>-1.0708329206164785E-4</v>
      </c>
      <c r="X5509" s="33">
        <f t="shared" ref="X5509:X5512" si="521">+(V5509+W5509)*365/($S$5512-$S$4)</f>
        <v>2.339835050806055E-2</v>
      </c>
    </row>
    <row r="5510" spans="19:24" x14ac:dyDescent="0.25">
      <c r="S5510" s="44">
        <f t="shared" si="517"/>
        <v>48560</v>
      </c>
      <c r="T5510" s="12">
        <f t="shared" si="518"/>
        <v>8.0312469046235884E-3</v>
      </c>
      <c r="U5510" s="12">
        <f t="shared" ref="U5510:U5513" si="522">DurMod($S5510,$B$2,$F$7:$G$37,U$3)</f>
        <v>7.9535301743678937E-3</v>
      </c>
      <c r="V5510" s="30">
        <f t="shared" si="519"/>
        <v>0.35317041095890417</v>
      </c>
      <c r="W5510" s="46">
        <f t="shared" si="520"/>
        <v>-8.0312469046235865E-5</v>
      </c>
      <c r="X5510" s="33">
        <f t="shared" si="521"/>
        <v>2.3398308995787612E-2</v>
      </c>
    </row>
    <row r="5511" spans="19:24" x14ac:dyDescent="0.25">
      <c r="S5511" s="44">
        <f t="shared" si="517"/>
        <v>48561</v>
      </c>
      <c r="T5511" s="12">
        <f t="shared" si="518"/>
        <v>5.354164603082392E-3</v>
      </c>
      <c r="U5511" s="12">
        <f t="shared" si="522"/>
        <v>5.3023534495785958E-3</v>
      </c>
      <c r="V5511" s="30">
        <f t="shared" si="519"/>
        <v>0.35314301369863016</v>
      </c>
      <c r="W5511" s="46">
        <f t="shared" si="520"/>
        <v>-5.354164603082391E-5</v>
      </c>
      <c r="X5511" s="33">
        <f t="shared" si="521"/>
        <v>2.3398267483514659E-2</v>
      </c>
    </row>
    <row r="5512" spans="19:24" x14ac:dyDescent="0.25">
      <c r="S5512" s="44">
        <f t="shared" si="517"/>
        <v>48562</v>
      </c>
      <c r="T5512" s="12">
        <f t="shared" si="518"/>
        <v>2.677082301541196E-3</v>
      </c>
      <c r="U5512" s="12">
        <f t="shared" si="522"/>
        <v>2.6511767247892975E-3</v>
      </c>
      <c r="V5512" s="30">
        <f t="shared" si="519"/>
        <v>0.35311561643835621</v>
      </c>
      <c r="W5512" s="46">
        <f t="shared" si="520"/>
        <v>-2.6770823015411955E-5</v>
      </c>
      <c r="X5512" s="33">
        <f t="shared" si="521"/>
        <v>2.3398225971241724E-2</v>
      </c>
    </row>
    <row r="5513" spans="19:24" x14ac:dyDescent="0.25">
      <c r="S5513" s="44"/>
      <c r="T5513" s="12"/>
      <c r="U5513" s="12"/>
    </row>
    <row r="5514" spans="19:24" x14ac:dyDescent="0.25">
      <c r="S5514" s="44"/>
    </row>
    <row r="5515" spans="19:24" x14ac:dyDescent="0.25">
      <c r="S5515" s="44"/>
    </row>
    <row r="5516" spans="19:24" x14ac:dyDescent="0.25">
      <c r="S5516" s="44"/>
    </row>
    <row r="5517" spans="19:24" x14ac:dyDescent="0.25">
      <c r="S5517" s="44"/>
    </row>
    <row r="5518" spans="19:24" x14ac:dyDescent="0.25">
      <c r="S5518" s="44"/>
    </row>
    <row r="5519" spans="19:24" x14ac:dyDescent="0.25">
      <c r="S5519" s="44"/>
    </row>
    <row r="5520" spans="19:24" x14ac:dyDescent="0.25">
      <c r="S5520" s="44"/>
    </row>
    <row r="5521" spans="19:19" x14ac:dyDescent="0.25">
      <c r="S5521" s="44"/>
    </row>
    <row r="5522" spans="19:19" x14ac:dyDescent="0.25">
      <c r="S5522" s="44"/>
    </row>
    <row r="5523" spans="19:19" x14ac:dyDescent="0.25">
      <c r="S5523" s="44"/>
    </row>
    <row r="5524" spans="19:19" x14ac:dyDescent="0.25">
      <c r="S5524" s="44"/>
    </row>
    <row r="5525" spans="19:19" x14ac:dyDescent="0.25">
      <c r="S5525" s="44"/>
    </row>
    <row r="5526" spans="19:19" x14ac:dyDescent="0.25">
      <c r="S5526" s="44"/>
    </row>
    <row r="5527" spans="19:19" x14ac:dyDescent="0.25">
      <c r="S5527" s="44"/>
    </row>
    <row r="5528" spans="19:19" x14ac:dyDescent="0.25">
      <c r="S5528" s="44"/>
    </row>
    <row r="5529" spans="19:19" x14ac:dyDescent="0.25">
      <c r="S5529" s="44"/>
    </row>
    <row r="5530" spans="19:19" x14ac:dyDescent="0.25">
      <c r="S5530" s="44"/>
    </row>
    <row r="5531" spans="19:19" x14ac:dyDescent="0.25">
      <c r="S5531" s="44"/>
    </row>
    <row r="5532" spans="19:19" x14ac:dyDescent="0.25">
      <c r="S5532" s="44"/>
    </row>
    <row r="5533" spans="19:19" x14ac:dyDescent="0.25">
      <c r="S5533" s="44"/>
    </row>
    <row r="5534" spans="19:19" x14ac:dyDescent="0.25">
      <c r="S5534" s="44"/>
    </row>
    <row r="5535" spans="19:19" x14ac:dyDescent="0.25">
      <c r="S5535" s="44"/>
    </row>
    <row r="5536" spans="19:19" x14ac:dyDescent="0.25">
      <c r="S5536" s="44"/>
    </row>
    <row r="5537" spans="19:19" x14ac:dyDescent="0.25">
      <c r="S5537" s="44"/>
    </row>
    <row r="5538" spans="19:19" x14ac:dyDescent="0.25">
      <c r="S5538" s="44"/>
    </row>
    <row r="5539" spans="19:19" x14ac:dyDescent="0.25">
      <c r="S5539" s="44"/>
    </row>
    <row r="5540" spans="19:19" x14ac:dyDescent="0.25">
      <c r="S5540" s="44"/>
    </row>
    <row r="5541" spans="19:19" x14ac:dyDescent="0.25">
      <c r="S5541" s="44"/>
    </row>
    <row r="5542" spans="19:19" x14ac:dyDescent="0.25">
      <c r="S5542" s="44"/>
    </row>
    <row r="5543" spans="19:19" x14ac:dyDescent="0.25">
      <c r="S5543" s="44"/>
    </row>
    <row r="5544" spans="19:19" x14ac:dyDescent="0.25">
      <c r="S5544" s="44"/>
    </row>
    <row r="5545" spans="19:19" x14ac:dyDescent="0.25">
      <c r="S5545" s="44"/>
    </row>
    <row r="5546" spans="19:19" x14ac:dyDescent="0.25">
      <c r="S5546" s="44"/>
    </row>
    <row r="5547" spans="19:19" x14ac:dyDescent="0.25">
      <c r="S5547" s="44"/>
    </row>
    <row r="5548" spans="19:19" x14ac:dyDescent="0.25">
      <c r="S5548" s="44"/>
    </row>
    <row r="5549" spans="19:19" x14ac:dyDescent="0.25">
      <c r="S5549" s="44"/>
    </row>
    <row r="5550" spans="19:19" x14ac:dyDescent="0.25">
      <c r="S5550" s="44"/>
    </row>
    <row r="5551" spans="19:19" x14ac:dyDescent="0.25">
      <c r="S5551" s="44"/>
    </row>
    <row r="5552" spans="19:19" x14ac:dyDescent="0.25">
      <c r="S5552" s="44"/>
    </row>
    <row r="5553" spans="19:19" x14ac:dyDescent="0.25">
      <c r="S5553" s="44"/>
    </row>
    <row r="5554" spans="19:19" x14ac:dyDescent="0.25">
      <c r="S5554" s="44"/>
    </row>
    <row r="5555" spans="19:19" x14ac:dyDescent="0.25">
      <c r="S5555" s="44"/>
    </row>
    <row r="5556" spans="19:19" x14ac:dyDescent="0.25">
      <c r="S5556" s="44"/>
    </row>
    <row r="5557" spans="19:19" x14ac:dyDescent="0.25">
      <c r="S5557" s="44"/>
    </row>
    <row r="5558" spans="19:19" x14ac:dyDescent="0.25">
      <c r="S5558" s="44"/>
    </row>
    <row r="5559" spans="19:19" x14ac:dyDescent="0.25">
      <c r="S5559" s="44"/>
    </row>
    <row r="5560" spans="19:19" x14ac:dyDescent="0.25">
      <c r="S5560" s="44"/>
    </row>
    <row r="5561" spans="19:19" x14ac:dyDescent="0.25">
      <c r="S5561" s="44"/>
    </row>
    <row r="5562" spans="19:19" x14ac:dyDescent="0.25">
      <c r="S5562" s="44"/>
    </row>
    <row r="5563" spans="19:19" x14ac:dyDescent="0.25">
      <c r="S5563" s="44"/>
    </row>
    <row r="5564" spans="19:19" x14ac:dyDescent="0.25">
      <c r="S5564" s="44"/>
    </row>
    <row r="5565" spans="19:19" x14ac:dyDescent="0.25">
      <c r="S5565" s="44"/>
    </row>
    <row r="5566" spans="19:19" x14ac:dyDescent="0.25">
      <c r="S5566" s="44"/>
    </row>
    <row r="5567" spans="19:19" x14ac:dyDescent="0.25">
      <c r="S5567" s="44"/>
    </row>
    <row r="5568" spans="19:19" x14ac:dyDescent="0.25">
      <c r="S5568" s="44"/>
    </row>
    <row r="5569" spans="19:19" x14ac:dyDescent="0.25">
      <c r="S5569" s="44"/>
    </row>
    <row r="5570" spans="19:19" x14ac:dyDescent="0.25">
      <c r="S5570" s="44"/>
    </row>
    <row r="5571" spans="19:19" x14ac:dyDescent="0.25">
      <c r="S5571" s="44"/>
    </row>
    <row r="5572" spans="19:19" x14ac:dyDescent="0.25">
      <c r="S5572" s="44"/>
    </row>
    <row r="5573" spans="19:19" x14ac:dyDescent="0.25">
      <c r="S5573" s="44"/>
    </row>
    <row r="5574" spans="19:19" x14ac:dyDescent="0.25">
      <c r="S5574" s="44"/>
    </row>
    <row r="5575" spans="19:19" x14ac:dyDescent="0.25">
      <c r="S5575" s="44"/>
    </row>
    <row r="5576" spans="19:19" x14ac:dyDescent="0.25">
      <c r="S5576" s="44"/>
    </row>
    <row r="5577" spans="19:19" x14ac:dyDescent="0.25">
      <c r="S5577" s="44"/>
    </row>
    <row r="5578" spans="19:19" x14ac:dyDescent="0.25">
      <c r="S5578" s="44"/>
    </row>
    <row r="5579" spans="19:19" x14ac:dyDescent="0.25">
      <c r="S5579" s="44"/>
    </row>
    <row r="5580" spans="19:19" x14ac:dyDescent="0.25">
      <c r="S5580" s="44"/>
    </row>
    <row r="5581" spans="19:19" x14ac:dyDescent="0.25">
      <c r="S5581" s="44"/>
    </row>
    <row r="5582" spans="19:19" x14ac:dyDescent="0.25">
      <c r="S5582" s="44"/>
    </row>
    <row r="5583" spans="19:19" x14ac:dyDescent="0.25">
      <c r="S5583" s="44"/>
    </row>
    <row r="5584" spans="19:19" x14ac:dyDescent="0.25">
      <c r="S5584" s="44"/>
    </row>
    <row r="5585" spans="19:19" x14ac:dyDescent="0.25">
      <c r="S5585" s="44"/>
    </row>
    <row r="5586" spans="19:19" x14ac:dyDescent="0.25">
      <c r="S5586" s="44"/>
    </row>
    <row r="5587" spans="19:19" x14ac:dyDescent="0.25">
      <c r="S5587" s="44"/>
    </row>
    <row r="5588" spans="19:19" x14ac:dyDescent="0.25">
      <c r="S5588" s="44"/>
    </row>
    <row r="5589" spans="19:19" x14ac:dyDescent="0.25">
      <c r="S5589" s="44"/>
    </row>
    <row r="5590" spans="19:19" x14ac:dyDescent="0.25">
      <c r="S5590" s="44"/>
    </row>
    <row r="5591" spans="19:19" x14ac:dyDescent="0.25">
      <c r="S5591" s="44"/>
    </row>
    <row r="5592" spans="19:19" x14ac:dyDescent="0.25">
      <c r="S5592" s="44"/>
    </row>
    <row r="5593" spans="19:19" x14ac:dyDescent="0.25">
      <c r="S5593" s="44"/>
    </row>
    <row r="5594" spans="19:19" x14ac:dyDescent="0.25">
      <c r="S5594" s="44"/>
    </row>
    <row r="5595" spans="19:19" x14ac:dyDescent="0.25">
      <c r="S5595" s="44"/>
    </row>
    <row r="5596" spans="19:19" x14ac:dyDescent="0.25">
      <c r="S5596" s="44"/>
    </row>
    <row r="5597" spans="19:19" x14ac:dyDescent="0.25">
      <c r="S5597" s="44"/>
    </row>
    <row r="5598" spans="19:19" x14ac:dyDescent="0.25">
      <c r="S5598" s="44"/>
    </row>
    <row r="5599" spans="19:19" x14ac:dyDescent="0.25">
      <c r="S5599" s="44"/>
    </row>
    <row r="5600" spans="19:19" x14ac:dyDescent="0.25">
      <c r="S5600" s="44"/>
    </row>
    <row r="5601" spans="19:19" x14ac:dyDescent="0.25">
      <c r="S5601" s="44"/>
    </row>
    <row r="5602" spans="19:19" x14ac:dyDescent="0.25">
      <c r="S5602" s="44"/>
    </row>
    <row r="5603" spans="19:19" x14ac:dyDescent="0.25">
      <c r="S5603" s="44"/>
    </row>
    <row r="5604" spans="19:19" x14ac:dyDescent="0.25">
      <c r="S5604" s="44"/>
    </row>
    <row r="5605" spans="19:19" x14ac:dyDescent="0.25">
      <c r="S5605" s="44"/>
    </row>
    <row r="5606" spans="19:19" x14ac:dyDescent="0.25">
      <c r="S5606" s="44"/>
    </row>
    <row r="5607" spans="19:19" x14ac:dyDescent="0.25">
      <c r="S5607" s="44"/>
    </row>
    <row r="5608" spans="19:19" x14ac:dyDescent="0.25">
      <c r="S5608" s="44"/>
    </row>
    <row r="5609" spans="19:19" x14ac:dyDescent="0.25">
      <c r="S5609" s="44"/>
    </row>
    <row r="5610" spans="19:19" x14ac:dyDescent="0.25">
      <c r="S5610" s="44"/>
    </row>
    <row r="5611" spans="19:19" x14ac:dyDescent="0.25">
      <c r="S5611" s="44"/>
    </row>
    <row r="5612" spans="19:19" x14ac:dyDescent="0.25">
      <c r="S5612" s="44"/>
    </row>
    <row r="5613" spans="19:19" x14ac:dyDescent="0.25">
      <c r="S5613" s="44"/>
    </row>
    <row r="5614" spans="19:19" x14ac:dyDescent="0.25">
      <c r="S5614" s="44"/>
    </row>
    <row r="5615" spans="19:19" x14ac:dyDescent="0.25">
      <c r="S5615" s="44"/>
    </row>
    <row r="5616" spans="19:19" x14ac:dyDescent="0.25">
      <c r="S5616" s="44"/>
    </row>
    <row r="5617" spans="19:19" x14ac:dyDescent="0.25">
      <c r="S5617" s="44"/>
    </row>
    <row r="5618" spans="19:19" x14ac:dyDescent="0.25">
      <c r="S5618" s="44"/>
    </row>
    <row r="5619" spans="19:19" x14ac:dyDescent="0.25">
      <c r="S5619" s="44"/>
    </row>
    <row r="5620" spans="19:19" x14ac:dyDescent="0.25">
      <c r="S5620" s="44"/>
    </row>
    <row r="5621" spans="19:19" x14ac:dyDescent="0.25">
      <c r="S5621" s="44"/>
    </row>
    <row r="5622" spans="19:19" x14ac:dyDescent="0.25">
      <c r="S5622" s="44"/>
    </row>
    <row r="5623" spans="19:19" x14ac:dyDescent="0.25">
      <c r="S5623" s="44"/>
    </row>
    <row r="5624" spans="19:19" x14ac:dyDescent="0.25">
      <c r="S5624" s="44"/>
    </row>
    <row r="5625" spans="19:19" x14ac:dyDescent="0.25">
      <c r="S5625" s="44"/>
    </row>
    <row r="5626" spans="19:19" x14ac:dyDescent="0.25">
      <c r="S5626" s="44"/>
    </row>
    <row r="5627" spans="19:19" x14ac:dyDescent="0.25">
      <c r="S5627" s="44"/>
    </row>
    <row r="5628" spans="19:19" x14ac:dyDescent="0.25">
      <c r="S5628" s="44"/>
    </row>
    <row r="5629" spans="19:19" x14ac:dyDescent="0.25">
      <c r="S5629" s="44"/>
    </row>
    <row r="5630" spans="19:19" x14ac:dyDescent="0.25">
      <c r="S5630" s="44"/>
    </row>
    <row r="5631" spans="19:19" x14ac:dyDescent="0.25">
      <c r="S5631" s="44"/>
    </row>
    <row r="5632" spans="19:19" x14ac:dyDescent="0.25">
      <c r="S5632" s="44"/>
    </row>
    <row r="5633" spans="19:19" x14ac:dyDescent="0.25">
      <c r="S5633" s="44"/>
    </row>
    <row r="5634" spans="19:19" x14ac:dyDescent="0.25">
      <c r="S5634" s="44"/>
    </row>
    <row r="5635" spans="19:19" x14ac:dyDescent="0.25">
      <c r="S5635" s="44"/>
    </row>
    <row r="5636" spans="19:19" x14ac:dyDescent="0.25">
      <c r="S5636" s="44"/>
    </row>
    <row r="5637" spans="19:19" x14ac:dyDescent="0.25">
      <c r="S5637" s="44"/>
    </row>
    <row r="5638" spans="19:19" x14ac:dyDescent="0.25">
      <c r="S5638" s="44"/>
    </row>
    <row r="5639" spans="19:19" x14ac:dyDescent="0.25">
      <c r="S5639" s="44"/>
    </row>
    <row r="5640" spans="19:19" x14ac:dyDescent="0.25">
      <c r="S5640" s="44"/>
    </row>
    <row r="5641" spans="19:19" x14ac:dyDescent="0.25">
      <c r="S5641" s="44"/>
    </row>
    <row r="5642" spans="19:19" x14ac:dyDescent="0.25">
      <c r="S5642" s="44"/>
    </row>
    <row r="5643" spans="19:19" x14ac:dyDescent="0.25">
      <c r="S5643" s="44"/>
    </row>
    <row r="5644" spans="19:19" x14ac:dyDescent="0.25">
      <c r="S5644" s="44"/>
    </row>
    <row r="5645" spans="19:19" x14ac:dyDescent="0.25">
      <c r="S5645" s="44"/>
    </row>
    <row r="5646" spans="19:19" x14ac:dyDescent="0.25">
      <c r="S5646" s="44"/>
    </row>
    <row r="5647" spans="19:19" x14ac:dyDescent="0.25">
      <c r="S5647" s="44"/>
    </row>
    <row r="5648" spans="19:19" x14ac:dyDescent="0.25">
      <c r="S5648" s="44"/>
    </row>
    <row r="5649" spans="19:19" x14ac:dyDescent="0.25">
      <c r="S5649" s="44"/>
    </row>
    <row r="5650" spans="19:19" x14ac:dyDescent="0.25">
      <c r="S5650" s="44"/>
    </row>
    <row r="5651" spans="19:19" x14ac:dyDescent="0.25">
      <c r="S5651" s="44"/>
    </row>
    <row r="5652" spans="19:19" x14ac:dyDescent="0.25">
      <c r="S5652" s="44"/>
    </row>
    <row r="5653" spans="19:19" x14ac:dyDescent="0.25">
      <c r="S5653" s="44"/>
    </row>
    <row r="5654" spans="19:19" x14ac:dyDescent="0.25">
      <c r="S5654" s="44"/>
    </row>
    <row r="5655" spans="19:19" x14ac:dyDescent="0.25">
      <c r="S5655" s="44"/>
    </row>
    <row r="5656" spans="19:19" x14ac:dyDescent="0.25">
      <c r="S5656" s="44"/>
    </row>
    <row r="5657" spans="19:19" x14ac:dyDescent="0.25">
      <c r="S5657" s="44"/>
    </row>
    <row r="5658" spans="19:19" x14ac:dyDescent="0.25">
      <c r="S5658" s="44"/>
    </row>
    <row r="5659" spans="19:19" x14ac:dyDescent="0.25">
      <c r="S5659" s="44"/>
    </row>
    <row r="5660" spans="19:19" x14ac:dyDescent="0.25">
      <c r="S5660" s="44"/>
    </row>
    <row r="5661" spans="19:19" x14ac:dyDescent="0.25">
      <c r="S5661" s="44"/>
    </row>
    <row r="5662" spans="19:19" x14ac:dyDescent="0.25">
      <c r="S5662" s="44"/>
    </row>
    <row r="5663" spans="19:19" x14ac:dyDescent="0.25">
      <c r="S5663" s="44"/>
    </row>
    <row r="5664" spans="19:19" x14ac:dyDescent="0.25">
      <c r="S5664" s="44"/>
    </row>
    <row r="5665" spans="19:19" x14ac:dyDescent="0.25">
      <c r="S5665" s="44"/>
    </row>
    <row r="5666" spans="19:19" x14ac:dyDescent="0.25">
      <c r="S5666" s="44"/>
    </row>
    <row r="5667" spans="19:19" x14ac:dyDescent="0.25">
      <c r="S5667" s="44"/>
    </row>
    <row r="5668" spans="19:19" x14ac:dyDescent="0.25">
      <c r="S5668" s="44"/>
    </row>
    <row r="5669" spans="19:19" x14ac:dyDescent="0.25">
      <c r="S5669" s="44"/>
    </row>
    <row r="5670" spans="19:19" x14ac:dyDescent="0.25">
      <c r="S5670" s="44"/>
    </row>
    <row r="5671" spans="19:19" x14ac:dyDescent="0.25">
      <c r="S5671" s="44"/>
    </row>
    <row r="5672" spans="19:19" x14ac:dyDescent="0.25">
      <c r="S5672" s="44"/>
    </row>
    <row r="5673" spans="19:19" x14ac:dyDescent="0.25">
      <c r="S5673" s="44"/>
    </row>
    <row r="5674" spans="19:19" x14ac:dyDescent="0.25">
      <c r="S5674" s="44"/>
    </row>
    <row r="5675" spans="19:19" x14ac:dyDescent="0.25">
      <c r="S5675" s="44"/>
    </row>
    <row r="5676" spans="19:19" x14ac:dyDescent="0.25">
      <c r="S5676" s="44"/>
    </row>
    <row r="5677" spans="19:19" x14ac:dyDescent="0.25">
      <c r="S5677" s="44"/>
    </row>
    <row r="5678" spans="19:19" x14ac:dyDescent="0.25">
      <c r="S5678" s="44"/>
    </row>
    <row r="5679" spans="19:19" x14ac:dyDescent="0.25">
      <c r="S5679" s="44"/>
    </row>
    <row r="5680" spans="19:19" x14ac:dyDescent="0.25">
      <c r="S5680" s="44"/>
    </row>
    <row r="5681" spans="19:19" x14ac:dyDescent="0.25">
      <c r="S5681" s="44"/>
    </row>
    <row r="5682" spans="19:19" x14ac:dyDescent="0.25">
      <c r="S5682" s="44"/>
    </row>
    <row r="5683" spans="19:19" x14ac:dyDescent="0.25">
      <c r="S5683" s="44"/>
    </row>
    <row r="5684" spans="19:19" x14ac:dyDescent="0.25">
      <c r="S5684" s="44"/>
    </row>
    <row r="5685" spans="19:19" x14ac:dyDescent="0.25">
      <c r="S5685" s="44"/>
    </row>
    <row r="5686" spans="19:19" x14ac:dyDescent="0.25">
      <c r="S5686" s="44"/>
    </row>
    <row r="5687" spans="19:19" x14ac:dyDescent="0.25">
      <c r="S5687" s="44"/>
    </row>
    <row r="5688" spans="19:19" x14ac:dyDescent="0.25">
      <c r="S5688" s="44"/>
    </row>
    <row r="5689" spans="19:19" x14ac:dyDescent="0.25">
      <c r="S5689" s="44"/>
    </row>
    <row r="5690" spans="19:19" x14ac:dyDescent="0.25">
      <c r="S5690" s="44"/>
    </row>
    <row r="5691" spans="19:19" x14ac:dyDescent="0.25">
      <c r="S5691" s="44"/>
    </row>
    <row r="5692" spans="19:19" x14ac:dyDescent="0.25">
      <c r="S5692" s="44"/>
    </row>
    <row r="5693" spans="19:19" x14ac:dyDescent="0.25">
      <c r="S5693" s="44"/>
    </row>
    <row r="5694" spans="19:19" x14ac:dyDescent="0.25">
      <c r="S5694" s="44"/>
    </row>
    <row r="5695" spans="19:19" x14ac:dyDescent="0.25">
      <c r="S5695" s="44"/>
    </row>
    <row r="5696" spans="19:19" x14ac:dyDescent="0.25">
      <c r="S5696" s="44"/>
    </row>
    <row r="5697" spans="19:19" x14ac:dyDescent="0.25">
      <c r="S5697" s="44"/>
    </row>
    <row r="5698" spans="19:19" x14ac:dyDescent="0.25">
      <c r="S5698" s="44"/>
    </row>
    <row r="5699" spans="19:19" x14ac:dyDescent="0.25">
      <c r="S5699" s="44"/>
    </row>
    <row r="5700" spans="19:19" x14ac:dyDescent="0.25">
      <c r="S5700" s="44"/>
    </row>
    <row r="5701" spans="19:19" x14ac:dyDescent="0.25">
      <c r="S5701" s="44"/>
    </row>
    <row r="5702" spans="19:19" x14ac:dyDescent="0.25">
      <c r="S5702" s="44"/>
    </row>
    <row r="5703" spans="19:19" x14ac:dyDescent="0.25">
      <c r="S5703" s="44"/>
    </row>
    <row r="5704" spans="19:19" x14ac:dyDescent="0.25">
      <c r="S5704" s="44"/>
    </row>
    <row r="5705" spans="19:19" x14ac:dyDescent="0.25">
      <c r="S5705" s="44"/>
    </row>
    <row r="5706" spans="19:19" x14ac:dyDescent="0.25">
      <c r="S5706" s="44"/>
    </row>
    <row r="5707" spans="19:19" x14ac:dyDescent="0.25">
      <c r="S5707" s="44"/>
    </row>
    <row r="5708" spans="19:19" x14ac:dyDescent="0.25">
      <c r="S5708" s="44"/>
    </row>
    <row r="5709" spans="19:19" x14ac:dyDescent="0.25">
      <c r="S5709" s="44"/>
    </row>
  </sheetData>
  <mergeCells count="2">
    <mergeCell ref="A6:G6"/>
    <mergeCell ref="J6:P6"/>
  </mergeCells>
  <phoneticPr fontId="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"/>
  <sheetViews>
    <sheetView workbookViewId="0">
      <selection activeCell="D3" sqref="D3"/>
    </sheetView>
  </sheetViews>
  <sheetFormatPr baseColWidth="10" defaultColWidth="9.140625" defaultRowHeight="15" x14ac:dyDescent="0.25"/>
  <cols>
    <col min="1" max="1" width="11.5703125" bestFit="1" customWidth="1"/>
    <col min="2" max="2" width="9.140625" customWidth="1"/>
    <col min="3" max="3" width="12.140625" bestFit="1" customWidth="1"/>
    <col min="4" max="4" width="10.42578125" bestFit="1" customWidth="1"/>
    <col min="7" max="7" width="10.7109375" bestFit="1" customWidth="1"/>
  </cols>
  <sheetData>
    <row r="1" spans="1:15" x14ac:dyDescent="0.25">
      <c r="A1" t="s">
        <v>23</v>
      </c>
      <c r="C1" s="1" t="s">
        <v>16</v>
      </c>
      <c r="D1" s="1">
        <v>41497</v>
      </c>
      <c r="F1" s="2" t="s">
        <v>7</v>
      </c>
      <c r="G1" s="3" t="s">
        <v>8</v>
      </c>
      <c r="H1" s="3" t="s">
        <v>9</v>
      </c>
      <c r="I1" s="3" t="s">
        <v>10</v>
      </c>
      <c r="J1" s="3" t="s">
        <v>11</v>
      </c>
      <c r="K1" s="3" t="s">
        <v>12</v>
      </c>
      <c r="L1" s="13"/>
    </row>
    <row r="2" spans="1:15" x14ac:dyDescent="0.25">
      <c r="C2" t="s">
        <v>17</v>
      </c>
      <c r="D2" s="33">
        <v>2.24E-2</v>
      </c>
      <c r="F2" s="41"/>
      <c r="G2" s="42"/>
      <c r="H2" s="42"/>
      <c r="I2" s="42"/>
      <c r="J2" s="42"/>
      <c r="K2" s="42"/>
      <c r="L2" s="43"/>
    </row>
    <row r="3" spans="1:15" x14ac:dyDescent="0.25">
      <c r="C3" t="s">
        <v>22</v>
      </c>
      <c r="D3" s="12" t="e">
        <f>DurBCU(A1,D2,D1)</f>
        <v>#VALUE!</v>
      </c>
      <c r="F3" s="23">
        <v>0</v>
      </c>
      <c r="G3" s="22">
        <v>39904</v>
      </c>
      <c r="H3" s="21">
        <v>0</v>
      </c>
      <c r="I3" s="21">
        <v>0</v>
      </c>
      <c r="J3" s="21">
        <v>100</v>
      </c>
      <c r="K3" s="21">
        <v>0</v>
      </c>
      <c r="L3" s="17"/>
      <c r="O3" s="20"/>
    </row>
    <row r="4" spans="1:15" x14ac:dyDescent="0.25">
      <c r="F4" s="23">
        <v>1</v>
      </c>
      <c r="G4" s="22">
        <v>40087</v>
      </c>
      <c r="H4" s="21">
        <v>1.5</v>
      </c>
      <c r="I4" s="21">
        <v>0</v>
      </c>
      <c r="J4" s="21">
        <v>100</v>
      </c>
      <c r="K4" s="21">
        <v>1.5</v>
      </c>
      <c r="L4" s="17"/>
      <c r="O4" s="20"/>
    </row>
    <row r="5" spans="1:15" x14ac:dyDescent="0.25">
      <c r="F5" s="23">
        <v>2</v>
      </c>
      <c r="G5" s="22">
        <v>40269</v>
      </c>
      <c r="H5" s="21">
        <v>1.5</v>
      </c>
      <c r="I5" s="21">
        <v>0</v>
      </c>
      <c r="J5" s="21">
        <v>100</v>
      </c>
      <c r="K5" s="21">
        <v>1.5</v>
      </c>
      <c r="L5" s="17"/>
      <c r="O5" s="20"/>
    </row>
    <row r="6" spans="1:15" x14ac:dyDescent="0.25">
      <c r="F6" s="23">
        <v>3</v>
      </c>
      <c r="G6" s="22">
        <v>40452</v>
      </c>
      <c r="H6" s="21">
        <v>1.5</v>
      </c>
      <c r="I6" s="21">
        <v>0</v>
      </c>
      <c r="J6" s="21">
        <v>100</v>
      </c>
      <c r="K6" s="21">
        <v>1.5</v>
      </c>
      <c r="L6" s="17"/>
      <c r="O6" s="20"/>
    </row>
    <row r="7" spans="1:15" x14ac:dyDescent="0.25">
      <c r="F7" s="23">
        <v>4</v>
      </c>
      <c r="G7" s="22">
        <v>40634</v>
      </c>
      <c r="H7" s="21">
        <v>1.5</v>
      </c>
      <c r="I7" s="21">
        <v>0</v>
      </c>
      <c r="J7" s="21">
        <v>100</v>
      </c>
      <c r="K7" s="21">
        <v>1.5</v>
      </c>
      <c r="L7" s="17"/>
      <c r="O7" s="20"/>
    </row>
    <row r="8" spans="1:15" x14ac:dyDescent="0.25">
      <c r="F8" s="23">
        <v>5</v>
      </c>
      <c r="G8" s="22">
        <v>40817</v>
      </c>
      <c r="H8" s="21">
        <v>1.5</v>
      </c>
      <c r="I8" s="21">
        <v>0</v>
      </c>
      <c r="J8" s="21">
        <v>100</v>
      </c>
      <c r="K8" s="21">
        <v>1.5</v>
      </c>
      <c r="L8" s="17"/>
      <c r="O8" s="20"/>
    </row>
    <row r="9" spans="1:15" x14ac:dyDescent="0.25">
      <c r="F9" s="23">
        <v>6</v>
      </c>
      <c r="G9" s="22">
        <v>41000</v>
      </c>
      <c r="H9" s="21">
        <v>1.5</v>
      </c>
      <c r="I9" s="21">
        <v>0</v>
      </c>
      <c r="J9" s="21">
        <v>100</v>
      </c>
      <c r="K9" s="21">
        <v>1.5</v>
      </c>
      <c r="L9" s="17"/>
      <c r="O9" s="20"/>
    </row>
    <row r="10" spans="1:15" x14ac:dyDescent="0.25">
      <c r="F10" s="23">
        <v>7</v>
      </c>
      <c r="G10" s="22">
        <v>41183</v>
      </c>
      <c r="H10" s="21">
        <v>1.5</v>
      </c>
      <c r="I10" s="21">
        <v>0</v>
      </c>
      <c r="J10" s="21">
        <v>100</v>
      </c>
      <c r="K10" s="21">
        <v>1.5</v>
      </c>
      <c r="L10" s="17"/>
      <c r="O10" s="20"/>
    </row>
    <row r="11" spans="1:15" x14ac:dyDescent="0.25">
      <c r="F11" s="23">
        <v>8</v>
      </c>
      <c r="G11" s="22">
        <v>41365</v>
      </c>
      <c r="H11" s="21">
        <v>1.5</v>
      </c>
      <c r="I11" s="21">
        <v>0</v>
      </c>
      <c r="J11" s="21">
        <v>100</v>
      </c>
      <c r="K11" s="21">
        <v>1.5</v>
      </c>
      <c r="L11" s="17"/>
      <c r="O11" s="20"/>
    </row>
    <row r="12" spans="1:15" x14ac:dyDescent="0.25">
      <c r="F12" s="23">
        <v>9</v>
      </c>
      <c r="G12" s="22">
        <v>41548</v>
      </c>
      <c r="H12" s="21">
        <v>1.5</v>
      </c>
      <c r="I12" s="21">
        <v>0</v>
      </c>
      <c r="J12" s="21">
        <v>100</v>
      </c>
      <c r="K12" s="21">
        <v>1.5</v>
      </c>
      <c r="L12" s="17">
        <f>(G12-$D$1)/365</f>
        <v>0.13972602739726028</v>
      </c>
      <c r="O12" s="20"/>
    </row>
    <row r="13" spans="1:15" ht="15.75" thickBot="1" x14ac:dyDescent="0.3">
      <c r="F13" s="24">
        <v>10</v>
      </c>
      <c r="G13" s="25">
        <v>41730</v>
      </c>
      <c r="H13" s="26">
        <v>1.5</v>
      </c>
      <c r="I13" s="26">
        <v>100</v>
      </c>
      <c r="J13" s="26">
        <v>0</v>
      </c>
      <c r="K13" s="26">
        <v>101.5</v>
      </c>
      <c r="L13" s="14">
        <f>(G13-$D$1)/365</f>
        <v>0.63835616438356169</v>
      </c>
      <c r="O13" s="20"/>
    </row>
  </sheetData>
  <mergeCells count="1">
    <mergeCell ref="F2:L2"/>
  </mergeCells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2:B6"/>
  <sheetViews>
    <sheetView workbookViewId="0">
      <selection activeCell="G20" sqref="G20:G21"/>
    </sheetView>
  </sheetViews>
  <sheetFormatPr baseColWidth="10" defaultColWidth="11.42578125" defaultRowHeight="15" x14ac:dyDescent="0.25"/>
  <cols>
    <col min="1" max="1" width="12.7109375" bestFit="1" customWidth="1"/>
  </cols>
  <sheetData>
    <row r="2" spans="1:2" x14ac:dyDescent="0.25">
      <c r="A2" t="s">
        <v>6</v>
      </c>
      <c r="B2" s="19">
        <v>0.08</v>
      </c>
    </row>
    <row r="3" spans="1:2" x14ac:dyDescent="0.25">
      <c r="A3" t="s">
        <v>18</v>
      </c>
      <c r="B3" s="19">
        <v>0.05</v>
      </c>
    </row>
    <row r="4" spans="1:2" x14ac:dyDescent="0.25">
      <c r="A4" t="s">
        <v>14</v>
      </c>
      <c r="B4">
        <v>10</v>
      </c>
    </row>
    <row r="5" spans="1:2" x14ac:dyDescent="0.25">
      <c r="A5" t="s">
        <v>19</v>
      </c>
      <c r="B5">
        <f>VP_Cupones(B2,B3,B4)</f>
        <v>80.52785516465616</v>
      </c>
    </row>
    <row r="6" spans="1:2" x14ac:dyDescent="0.25">
      <c r="A6" t="s">
        <v>20</v>
      </c>
      <c r="B6" s="15">
        <f>Busca_Tir(B5,B3,B4)</f>
        <v>7.9999985973202389E-2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O58"/>
  <sheetViews>
    <sheetView workbookViewId="0">
      <selection activeCell="K24" sqref="K24"/>
    </sheetView>
  </sheetViews>
  <sheetFormatPr baseColWidth="10" defaultColWidth="9.140625" defaultRowHeight="15" x14ac:dyDescent="0.25"/>
  <cols>
    <col min="2" max="4" width="10.7109375" bestFit="1" customWidth="1"/>
  </cols>
  <sheetData>
    <row r="2" spans="1:15" ht="15.75" thickBot="1" x14ac:dyDescent="0.3">
      <c r="A2" t="s">
        <v>13</v>
      </c>
      <c r="D2" t="s">
        <v>24</v>
      </c>
      <c r="I2" t="s">
        <v>13</v>
      </c>
      <c r="L2" t="s">
        <v>21</v>
      </c>
    </row>
    <row r="3" spans="1:15" x14ac:dyDescent="0.25">
      <c r="A3" s="27" t="s">
        <v>7</v>
      </c>
      <c r="B3" s="28" t="s">
        <v>8</v>
      </c>
      <c r="C3" s="28" t="s">
        <v>9</v>
      </c>
      <c r="D3" s="28" t="s">
        <v>10</v>
      </c>
      <c r="E3" s="28" t="s">
        <v>11</v>
      </c>
      <c r="F3" s="28" t="s">
        <v>12</v>
      </c>
      <c r="G3" s="29" t="s">
        <v>14</v>
      </c>
      <c r="I3" s="2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4" t="s">
        <v>14</v>
      </c>
    </row>
    <row r="4" spans="1:15" x14ac:dyDescent="0.25">
      <c r="A4" s="38"/>
      <c r="B4" s="39"/>
      <c r="C4" s="39"/>
      <c r="D4" s="39"/>
      <c r="E4" s="39"/>
      <c r="F4" s="39"/>
      <c r="G4" s="40"/>
      <c r="I4" s="41"/>
      <c r="J4" s="42"/>
      <c r="K4" s="42"/>
      <c r="L4" s="42"/>
      <c r="M4" s="42"/>
      <c r="N4" s="42"/>
      <c r="O4" s="43"/>
    </row>
    <row r="5" spans="1:15" x14ac:dyDescent="0.25">
      <c r="A5" s="23">
        <v>0</v>
      </c>
      <c r="B5" s="22">
        <v>39575</v>
      </c>
      <c r="C5" s="21">
        <v>0</v>
      </c>
      <c r="D5" s="21">
        <v>0</v>
      </c>
      <c r="E5" s="21">
        <v>100</v>
      </c>
      <c r="F5" s="21">
        <v>0</v>
      </c>
      <c r="G5" s="11"/>
      <c r="I5" s="5">
        <v>0</v>
      </c>
      <c r="J5" s="16">
        <v>40057</v>
      </c>
      <c r="K5" s="6">
        <v>0</v>
      </c>
      <c r="L5" s="6">
        <v>0</v>
      </c>
      <c r="M5" s="6">
        <v>100</v>
      </c>
      <c r="N5" s="6">
        <v>0</v>
      </c>
      <c r="O5" s="17"/>
    </row>
    <row r="6" spans="1:15" x14ac:dyDescent="0.25">
      <c r="A6" s="23">
        <v>1</v>
      </c>
      <c r="B6" s="22">
        <v>39759</v>
      </c>
      <c r="C6" s="21">
        <v>1.7349000000000001</v>
      </c>
      <c r="D6" s="21">
        <v>0</v>
      </c>
      <c r="E6" s="21">
        <v>100</v>
      </c>
      <c r="F6" s="21">
        <v>1.7349000000000001</v>
      </c>
      <c r="G6" s="7"/>
      <c r="I6" s="5">
        <v>1</v>
      </c>
      <c r="J6" s="16">
        <v>40238</v>
      </c>
      <c r="K6" s="6">
        <v>1.75</v>
      </c>
      <c r="L6" s="6">
        <v>0</v>
      </c>
      <c r="M6" s="6">
        <v>100</v>
      </c>
      <c r="N6" s="6">
        <v>1.75</v>
      </c>
      <c r="O6" s="17"/>
    </row>
    <row r="7" spans="1:15" x14ac:dyDescent="0.25">
      <c r="A7" s="23">
        <v>2</v>
      </c>
      <c r="B7" s="22">
        <v>39940</v>
      </c>
      <c r="C7" s="21">
        <v>1.7349000000000001</v>
      </c>
      <c r="D7" s="21">
        <v>0</v>
      </c>
      <c r="E7" s="21">
        <v>100</v>
      </c>
      <c r="F7" s="21">
        <v>1.7349000000000001</v>
      </c>
      <c r="G7" s="7"/>
      <c r="I7" s="5">
        <v>2</v>
      </c>
      <c r="J7" s="16">
        <v>40422</v>
      </c>
      <c r="K7" s="6">
        <v>1.75</v>
      </c>
      <c r="L7" s="6">
        <v>0</v>
      </c>
      <c r="M7" s="6">
        <v>100</v>
      </c>
      <c r="N7" s="6">
        <v>1.75</v>
      </c>
      <c r="O7" s="7"/>
    </row>
    <row r="8" spans="1:15" x14ac:dyDescent="0.25">
      <c r="A8" s="23">
        <v>3</v>
      </c>
      <c r="B8" s="22">
        <v>40124</v>
      </c>
      <c r="C8" s="21">
        <v>1.7349000000000001</v>
      </c>
      <c r="D8" s="21">
        <v>0</v>
      </c>
      <c r="E8" s="21">
        <v>100</v>
      </c>
      <c r="F8" s="21">
        <v>1.7349000000000001</v>
      </c>
      <c r="G8" s="7"/>
      <c r="I8" s="5">
        <v>3</v>
      </c>
      <c r="J8" s="16">
        <v>40603</v>
      </c>
      <c r="K8" s="6">
        <v>1.75</v>
      </c>
      <c r="L8" s="6">
        <v>0</v>
      </c>
      <c r="M8" s="6">
        <v>100</v>
      </c>
      <c r="N8" s="6">
        <v>1.75</v>
      </c>
      <c r="O8" s="7"/>
    </row>
    <row r="9" spans="1:15" x14ac:dyDescent="0.25">
      <c r="A9" s="23">
        <v>4</v>
      </c>
      <c r="B9" s="22">
        <v>40305</v>
      </c>
      <c r="C9" s="21">
        <v>1.7349000000000001</v>
      </c>
      <c r="D9" s="21">
        <v>0</v>
      </c>
      <c r="E9" s="21">
        <v>100</v>
      </c>
      <c r="F9" s="21">
        <v>1.7349000000000001</v>
      </c>
      <c r="G9" s="7"/>
      <c r="I9" s="5">
        <v>4</v>
      </c>
      <c r="J9" s="16">
        <v>40787</v>
      </c>
      <c r="K9" s="6">
        <v>1.75</v>
      </c>
      <c r="L9" s="6">
        <v>0</v>
      </c>
      <c r="M9" s="6">
        <v>100</v>
      </c>
      <c r="N9" s="6">
        <v>1.75</v>
      </c>
      <c r="O9" s="7"/>
    </row>
    <row r="10" spans="1:15" x14ac:dyDescent="0.25">
      <c r="A10" s="23">
        <v>5</v>
      </c>
      <c r="B10" s="22">
        <v>40489</v>
      </c>
      <c r="C10" s="21">
        <v>1.7349000000000001</v>
      </c>
      <c r="D10" s="21">
        <v>0</v>
      </c>
      <c r="E10" s="21">
        <v>100</v>
      </c>
      <c r="F10" s="21">
        <v>1.7349000000000001</v>
      </c>
      <c r="G10" s="7"/>
      <c r="I10" s="5">
        <v>5</v>
      </c>
      <c r="J10" s="16">
        <v>40969</v>
      </c>
      <c r="K10" s="6">
        <v>1.75</v>
      </c>
      <c r="L10" s="6">
        <v>0</v>
      </c>
      <c r="M10" s="6">
        <v>100</v>
      </c>
      <c r="N10" s="6">
        <v>1.75</v>
      </c>
      <c r="O10" s="7"/>
    </row>
    <row r="11" spans="1:15" x14ac:dyDescent="0.25">
      <c r="A11" s="23">
        <v>6</v>
      </c>
      <c r="B11" s="22">
        <v>40670</v>
      </c>
      <c r="C11" s="21">
        <v>1.7349000000000001</v>
      </c>
      <c r="D11" s="21">
        <v>0</v>
      </c>
      <c r="E11" s="21">
        <v>100</v>
      </c>
      <c r="F11" s="21">
        <v>1.7349000000000001</v>
      </c>
      <c r="G11" s="7"/>
      <c r="I11" s="5">
        <v>6</v>
      </c>
      <c r="J11" s="16">
        <v>41153</v>
      </c>
      <c r="K11" s="6">
        <v>1.75</v>
      </c>
      <c r="L11" s="6">
        <v>0</v>
      </c>
      <c r="M11" s="6">
        <v>100</v>
      </c>
      <c r="N11" s="6">
        <v>1.75</v>
      </c>
      <c r="O11" s="7"/>
    </row>
    <row r="12" spans="1:15" x14ac:dyDescent="0.25">
      <c r="A12" s="23">
        <v>7</v>
      </c>
      <c r="B12" s="22">
        <v>40854</v>
      </c>
      <c r="C12" s="21">
        <v>1.7349000000000001</v>
      </c>
      <c r="D12" s="21">
        <v>0</v>
      </c>
      <c r="E12" s="21">
        <v>100</v>
      </c>
      <c r="F12" s="21">
        <v>1.7349000000000001</v>
      </c>
      <c r="G12" s="7"/>
      <c r="I12" s="5">
        <v>7</v>
      </c>
      <c r="J12" s="16">
        <v>41334</v>
      </c>
      <c r="K12" s="6">
        <v>1.75</v>
      </c>
      <c r="L12" s="6">
        <v>0</v>
      </c>
      <c r="M12" s="6">
        <v>100</v>
      </c>
      <c r="N12" s="6">
        <v>1.75</v>
      </c>
      <c r="O12" s="7"/>
    </row>
    <row r="13" spans="1:15" x14ac:dyDescent="0.25">
      <c r="A13" s="23">
        <v>8</v>
      </c>
      <c r="B13" s="22">
        <v>41036</v>
      </c>
      <c r="C13" s="21">
        <v>1.7349000000000001</v>
      </c>
      <c r="D13" s="21">
        <v>0</v>
      </c>
      <c r="E13" s="21">
        <v>100</v>
      </c>
      <c r="F13" s="21">
        <v>1.7349000000000001</v>
      </c>
      <c r="G13" s="7"/>
      <c r="I13" s="5">
        <v>8</v>
      </c>
      <c r="J13" s="16">
        <v>41518</v>
      </c>
      <c r="K13" s="6">
        <v>1.75</v>
      </c>
      <c r="L13" s="6">
        <v>0</v>
      </c>
      <c r="M13" s="6">
        <v>100</v>
      </c>
      <c r="N13" s="6">
        <v>1.75</v>
      </c>
      <c r="O13" s="7"/>
    </row>
    <row r="14" spans="1:15" x14ac:dyDescent="0.25">
      <c r="A14" s="23">
        <v>9</v>
      </c>
      <c r="B14" s="22">
        <v>41220</v>
      </c>
      <c r="C14" s="21">
        <v>1.7349000000000001</v>
      </c>
      <c r="D14" s="21">
        <v>0</v>
      </c>
      <c r="E14" s="21">
        <v>100</v>
      </c>
      <c r="F14" s="21">
        <v>1.7349000000000001</v>
      </c>
      <c r="G14" s="7"/>
      <c r="I14" s="5">
        <v>9</v>
      </c>
      <c r="J14" s="16">
        <v>41699</v>
      </c>
      <c r="K14" s="6">
        <v>1.75</v>
      </c>
      <c r="L14" s="6">
        <v>0</v>
      </c>
      <c r="M14" s="6">
        <v>100</v>
      </c>
      <c r="N14" s="6">
        <v>1.75</v>
      </c>
      <c r="O14" s="7"/>
    </row>
    <row r="15" spans="1:15" ht="15.75" thickBot="1" x14ac:dyDescent="0.3">
      <c r="A15" s="23">
        <v>10</v>
      </c>
      <c r="B15" s="22">
        <v>41401</v>
      </c>
      <c r="C15" s="21">
        <v>1.7349000000000001</v>
      </c>
      <c r="D15" s="21">
        <v>0</v>
      </c>
      <c r="E15" s="21">
        <v>100</v>
      </c>
      <c r="F15" s="21">
        <v>1.7349000000000001</v>
      </c>
      <c r="G15" s="7"/>
      <c r="I15" s="8">
        <v>10</v>
      </c>
      <c r="J15" s="18">
        <v>41883</v>
      </c>
      <c r="K15" s="9">
        <v>1.75</v>
      </c>
      <c r="L15" s="9">
        <v>100</v>
      </c>
      <c r="M15" s="9">
        <v>0</v>
      </c>
      <c r="N15" s="9">
        <v>101.75</v>
      </c>
      <c r="O15" s="10"/>
    </row>
    <row r="16" spans="1:15" x14ac:dyDescent="0.25">
      <c r="A16" s="23">
        <v>11</v>
      </c>
      <c r="B16" s="22">
        <v>41585</v>
      </c>
      <c r="C16" s="21">
        <v>1.7349000000000001</v>
      </c>
      <c r="D16" s="21">
        <v>0</v>
      </c>
      <c r="E16" s="21">
        <v>100</v>
      </c>
      <c r="F16" s="21">
        <v>1.7349000000000001</v>
      </c>
      <c r="G16" s="31"/>
    </row>
    <row r="17" spans="1:8" x14ac:dyDescent="0.25">
      <c r="A17" s="23">
        <v>12</v>
      </c>
      <c r="B17" s="22">
        <v>41766</v>
      </c>
      <c r="C17" s="21">
        <v>1.7349000000000001</v>
      </c>
      <c r="D17" s="21">
        <v>0</v>
      </c>
      <c r="E17" s="21">
        <v>100</v>
      </c>
      <c r="F17" s="21">
        <v>1.7349000000000001</v>
      </c>
      <c r="G17" s="31"/>
    </row>
    <row r="18" spans="1:8" x14ac:dyDescent="0.25">
      <c r="A18" s="23">
        <v>13</v>
      </c>
      <c r="B18" s="22">
        <v>41950</v>
      </c>
      <c r="C18" s="21">
        <v>1.7349000000000001</v>
      </c>
      <c r="D18" s="21">
        <v>0</v>
      </c>
      <c r="E18" s="21">
        <v>100</v>
      </c>
      <c r="F18" s="21">
        <v>1.7349000000000001</v>
      </c>
      <c r="G18" s="31"/>
    </row>
    <row r="19" spans="1:8" x14ac:dyDescent="0.25">
      <c r="A19" s="23">
        <v>14</v>
      </c>
      <c r="B19" s="22">
        <v>42131</v>
      </c>
      <c r="C19" s="21">
        <v>1.7349000000000001</v>
      </c>
      <c r="D19" s="21">
        <v>0</v>
      </c>
      <c r="E19" s="21">
        <v>100</v>
      </c>
      <c r="F19" s="21">
        <v>1.7349000000000001</v>
      </c>
      <c r="G19" s="31"/>
    </row>
    <row r="20" spans="1:8" x14ac:dyDescent="0.25">
      <c r="A20" s="23">
        <v>15</v>
      </c>
      <c r="B20" s="22">
        <v>42315</v>
      </c>
      <c r="C20" s="21">
        <v>1.7349000000000001</v>
      </c>
      <c r="D20" s="21">
        <v>0</v>
      </c>
      <c r="E20" s="21">
        <v>100</v>
      </c>
      <c r="F20" s="21">
        <v>1.7349000000000001</v>
      </c>
      <c r="G20" s="31"/>
    </row>
    <row r="21" spans="1:8" x14ac:dyDescent="0.25">
      <c r="A21" s="23">
        <v>16</v>
      </c>
      <c r="B21" s="22">
        <v>42497</v>
      </c>
      <c r="C21" s="21">
        <v>1.7349000000000001</v>
      </c>
      <c r="D21" s="21">
        <v>0</v>
      </c>
      <c r="E21" s="21">
        <v>100</v>
      </c>
      <c r="F21" s="21">
        <v>1.7349000000000001</v>
      </c>
      <c r="G21" s="31"/>
    </row>
    <row r="22" spans="1:8" x14ac:dyDescent="0.25">
      <c r="A22" s="23">
        <v>17</v>
      </c>
      <c r="B22" s="22">
        <v>42681</v>
      </c>
      <c r="C22" s="21">
        <v>1.7349000000000001</v>
      </c>
      <c r="D22" s="21">
        <v>0</v>
      </c>
      <c r="E22" s="21">
        <v>100</v>
      </c>
      <c r="F22" s="21">
        <v>1.7349000000000001</v>
      </c>
      <c r="G22" s="31"/>
    </row>
    <row r="23" spans="1:8" x14ac:dyDescent="0.25">
      <c r="A23" s="23">
        <v>18</v>
      </c>
      <c r="B23" s="22">
        <v>42862</v>
      </c>
      <c r="C23" s="21">
        <v>1.7349000000000001</v>
      </c>
      <c r="D23" s="21">
        <v>0</v>
      </c>
      <c r="E23" s="21">
        <v>100</v>
      </c>
      <c r="F23" s="21">
        <v>1.7349000000000001</v>
      </c>
      <c r="G23" s="31"/>
    </row>
    <row r="24" spans="1:8" x14ac:dyDescent="0.25">
      <c r="A24" s="23">
        <v>19</v>
      </c>
      <c r="B24" s="22">
        <v>43046</v>
      </c>
      <c r="C24" s="21">
        <v>1.7349000000000001</v>
      </c>
      <c r="D24" s="21">
        <v>0</v>
      </c>
      <c r="E24" s="21">
        <v>100</v>
      </c>
      <c r="F24" s="21">
        <v>1.7349000000000001</v>
      </c>
      <c r="G24" s="31"/>
    </row>
    <row r="25" spans="1:8" ht="15.75" thickBot="1" x14ac:dyDescent="0.3">
      <c r="A25" s="24">
        <v>20</v>
      </c>
      <c r="B25" s="25">
        <v>43227</v>
      </c>
      <c r="C25" s="26">
        <v>1.7349000000000001</v>
      </c>
      <c r="D25" s="26">
        <v>100</v>
      </c>
      <c r="E25" s="26">
        <v>0</v>
      </c>
      <c r="F25" s="26">
        <v>101.7349</v>
      </c>
      <c r="G25" s="32"/>
    </row>
    <row r="28" spans="1:8" x14ac:dyDescent="0.25">
      <c r="B28" s="34">
        <f t="array" ref="B28:G57">construyeTabla(A6:F25,20,I6:N15,10)</f>
        <v>1</v>
      </c>
      <c r="C28" s="35">
        <v>39759</v>
      </c>
      <c r="D28" s="37">
        <v>1.7349000000000001</v>
      </c>
      <c r="E28" s="36">
        <v>0</v>
      </c>
      <c r="F28" s="36">
        <v>100</v>
      </c>
      <c r="G28" s="36">
        <v>1.7349000000000001</v>
      </c>
      <c r="H28" s="34"/>
    </row>
    <row r="29" spans="1:8" x14ac:dyDescent="0.25">
      <c r="B29" s="34">
        <v>2</v>
      </c>
      <c r="C29" s="35">
        <v>39940</v>
      </c>
      <c r="D29" s="37">
        <v>1.7349000000000001</v>
      </c>
      <c r="E29" s="36">
        <v>0</v>
      </c>
      <c r="F29" s="36">
        <v>100</v>
      </c>
      <c r="G29" s="36">
        <v>1.7349000000000001</v>
      </c>
      <c r="H29" s="34"/>
    </row>
    <row r="30" spans="1:8" x14ac:dyDescent="0.25">
      <c r="B30" s="34">
        <v>3</v>
      </c>
      <c r="C30" s="35">
        <v>40124</v>
      </c>
      <c r="D30" s="37">
        <v>1.7349000000000001</v>
      </c>
      <c r="E30" s="36">
        <v>0</v>
      </c>
      <c r="F30" s="36">
        <v>100</v>
      </c>
      <c r="G30" s="36">
        <v>1.7349000000000001</v>
      </c>
      <c r="H30" s="34"/>
    </row>
    <row r="31" spans="1:8" x14ac:dyDescent="0.25">
      <c r="B31" s="34">
        <v>4</v>
      </c>
      <c r="C31" s="35">
        <v>40238</v>
      </c>
      <c r="D31" s="37">
        <v>1.75</v>
      </c>
      <c r="E31" s="36">
        <v>0</v>
      </c>
      <c r="F31" s="36">
        <v>100</v>
      </c>
      <c r="G31" s="36">
        <v>1.75</v>
      </c>
      <c r="H31" s="34"/>
    </row>
    <row r="32" spans="1:8" x14ac:dyDescent="0.25">
      <c r="B32" s="34">
        <v>5</v>
      </c>
      <c r="C32" s="35">
        <v>40305</v>
      </c>
      <c r="D32" s="37">
        <v>1.7349000000000001</v>
      </c>
      <c r="E32" s="36">
        <v>0</v>
      </c>
      <c r="F32" s="36">
        <v>100</v>
      </c>
      <c r="G32" s="36">
        <v>1.7349000000000001</v>
      </c>
      <c r="H32" s="34"/>
    </row>
    <row r="33" spans="2:8" x14ac:dyDescent="0.25">
      <c r="B33" s="34">
        <v>6</v>
      </c>
      <c r="C33" s="35">
        <v>40422</v>
      </c>
      <c r="D33" s="37">
        <v>1.75</v>
      </c>
      <c r="E33" s="36">
        <v>0</v>
      </c>
      <c r="F33" s="36">
        <v>100</v>
      </c>
      <c r="G33" s="36">
        <v>1.75</v>
      </c>
      <c r="H33" s="34"/>
    </row>
    <row r="34" spans="2:8" x14ac:dyDescent="0.25">
      <c r="B34" s="34">
        <v>7</v>
      </c>
      <c r="C34" s="35">
        <v>40489</v>
      </c>
      <c r="D34" s="37">
        <v>1.7349000000000001</v>
      </c>
      <c r="E34" s="36">
        <v>0</v>
      </c>
      <c r="F34" s="36">
        <v>100</v>
      </c>
      <c r="G34" s="36">
        <v>1.7349000000000001</v>
      </c>
    </row>
    <row r="35" spans="2:8" x14ac:dyDescent="0.25">
      <c r="B35" s="34">
        <v>8</v>
      </c>
      <c r="C35" s="35">
        <v>40603</v>
      </c>
      <c r="D35" s="37">
        <v>1.75</v>
      </c>
      <c r="E35" s="36">
        <v>0</v>
      </c>
      <c r="F35" s="36">
        <v>100</v>
      </c>
      <c r="G35" s="36">
        <v>1.75</v>
      </c>
    </row>
    <row r="36" spans="2:8" x14ac:dyDescent="0.25">
      <c r="B36" s="34">
        <v>9</v>
      </c>
      <c r="C36" s="35">
        <v>40670</v>
      </c>
      <c r="D36" s="37">
        <v>1.7349000000000001</v>
      </c>
      <c r="E36" s="36">
        <v>0</v>
      </c>
      <c r="F36" s="36">
        <v>100</v>
      </c>
      <c r="G36" s="36">
        <v>1.7349000000000001</v>
      </c>
    </row>
    <row r="37" spans="2:8" x14ac:dyDescent="0.25">
      <c r="B37" s="34">
        <v>10</v>
      </c>
      <c r="C37" s="35">
        <v>40787</v>
      </c>
      <c r="D37" s="37">
        <v>1.75</v>
      </c>
      <c r="E37" s="36">
        <v>0</v>
      </c>
      <c r="F37" s="36">
        <v>100</v>
      </c>
      <c r="G37" s="36">
        <v>1.75</v>
      </c>
    </row>
    <row r="38" spans="2:8" x14ac:dyDescent="0.25">
      <c r="B38" s="34">
        <v>11</v>
      </c>
      <c r="C38" s="35">
        <v>40854</v>
      </c>
      <c r="D38" s="37">
        <v>1.7349000000000001</v>
      </c>
      <c r="E38" s="36">
        <v>0</v>
      </c>
      <c r="F38" s="36">
        <v>100</v>
      </c>
      <c r="G38" s="36">
        <v>1.7349000000000001</v>
      </c>
    </row>
    <row r="39" spans="2:8" x14ac:dyDescent="0.25">
      <c r="B39" s="34">
        <v>12</v>
      </c>
      <c r="C39" s="35">
        <v>40969</v>
      </c>
      <c r="D39" s="37">
        <v>1.75</v>
      </c>
      <c r="E39" s="36">
        <v>0</v>
      </c>
      <c r="F39" s="36">
        <v>100</v>
      </c>
      <c r="G39" s="36">
        <v>1.75</v>
      </c>
    </row>
    <row r="40" spans="2:8" x14ac:dyDescent="0.25">
      <c r="B40" s="34">
        <v>13</v>
      </c>
      <c r="C40" s="35">
        <v>41036</v>
      </c>
      <c r="D40" s="37">
        <v>1.7349000000000001</v>
      </c>
      <c r="E40" s="36">
        <v>0</v>
      </c>
      <c r="F40" s="36">
        <v>100</v>
      </c>
      <c r="G40" s="36">
        <v>1.7349000000000001</v>
      </c>
    </row>
    <row r="41" spans="2:8" x14ac:dyDescent="0.25">
      <c r="B41" s="34">
        <v>14</v>
      </c>
      <c r="C41" s="35">
        <v>41153</v>
      </c>
      <c r="D41" s="37">
        <v>1.75</v>
      </c>
      <c r="E41" s="36">
        <v>0</v>
      </c>
      <c r="F41" s="36">
        <v>100</v>
      </c>
      <c r="G41" s="36">
        <v>1.75</v>
      </c>
    </row>
    <row r="42" spans="2:8" x14ac:dyDescent="0.25">
      <c r="B42" s="34">
        <v>15</v>
      </c>
      <c r="C42" s="35">
        <v>41220</v>
      </c>
      <c r="D42" s="37">
        <v>1.7349000000000001</v>
      </c>
      <c r="E42" s="36">
        <v>0</v>
      </c>
      <c r="F42" s="36">
        <v>100</v>
      </c>
      <c r="G42" s="36">
        <v>1.7349000000000001</v>
      </c>
    </row>
    <row r="43" spans="2:8" x14ac:dyDescent="0.25">
      <c r="B43" s="34">
        <v>16</v>
      </c>
      <c r="C43" s="35">
        <v>41334</v>
      </c>
      <c r="D43" s="37">
        <v>1.75</v>
      </c>
      <c r="E43" s="36">
        <v>0</v>
      </c>
      <c r="F43" s="36">
        <v>100</v>
      </c>
      <c r="G43" s="36">
        <v>1.75</v>
      </c>
    </row>
    <row r="44" spans="2:8" x14ac:dyDescent="0.25">
      <c r="B44" s="34">
        <v>17</v>
      </c>
      <c r="C44" s="35">
        <v>41401</v>
      </c>
      <c r="D44" s="37">
        <v>1.7349000000000001</v>
      </c>
      <c r="E44" s="36">
        <v>0</v>
      </c>
      <c r="F44" s="36">
        <v>100</v>
      </c>
      <c r="G44" s="36">
        <v>1.7349000000000001</v>
      </c>
    </row>
    <row r="45" spans="2:8" x14ac:dyDescent="0.25">
      <c r="B45" s="34">
        <v>18</v>
      </c>
      <c r="C45" s="35">
        <v>41518</v>
      </c>
      <c r="D45" s="37">
        <v>1.75</v>
      </c>
      <c r="E45" s="36">
        <v>0</v>
      </c>
      <c r="F45" s="36">
        <v>100</v>
      </c>
      <c r="G45" s="36">
        <v>1.75</v>
      </c>
    </row>
    <row r="46" spans="2:8" x14ac:dyDescent="0.25">
      <c r="B46" s="34">
        <v>19</v>
      </c>
      <c r="C46" s="35">
        <v>41585</v>
      </c>
      <c r="D46" s="37">
        <v>1.7349000000000001</v>
      </c>
      <c r="E46" s="36">
        <v>0</v>
      </c>
      <c r="F46" s="36">
        <v>100</v>
      </c>
      <c r="G46" s="36">
        <v>1.7349000000000001</v>
      </c>
    </row>
    <row r="47" spans="2:8" x14ac:dyDescent="0.25">
      <c r="B47" s="34">
        <v>20</v>
      </c>
      <c r="C47" s="35">
        <v>41699</v>
      </c>
      <c r="D47" s="37">
        <v>1.75</v>
      </c>
      <c r="E47" s="36">
        <v>0</v>
      </c>
      <c r="F47" s="36">
        <v>100</v>
      </c>
      <c r="G47" s="36">
        <v>1.75</v>
      </c>
    </row>
    <row r="48" spans="2:8" x14ac:dyDescent="0.25">
      <c r="B48" s="34">
        <v>21</v>
      </c>
      <c r="C48" s="35">
        <v>41766</v>
      </c>
      <c r="D48" s="37">
        <v>1.7349000000000001</v>
      </c>
      <c r="E48" s="36">
        <v>0</v>
      </c>
      <c r="F48" s="36">
        <v>100</v>
      </c>
      <c r="G48" s="36">
        <v>1.7349000000000001</v>
      </c>
    </row>
    <row r="49" spans="2:7" x14ac:dyDescent="0.25">
      <c r="B49" s="34">
        <v>22</v>
      </c>
      <c r="C49" s="35">
        <v>41883</v>
      </c>
      <c r="D49" s="37">
        <v>1.75</v>
      </c>
      <c r="E49" s="36">
        <v>100</v>
      </c>
      <c r="F49" s="36">
        <v>0</v>
      </c>
      <c r="G49" s="36">
        <v>101.75</v>
      </c>
    </row>
    <row r="50" spans="2:7" x14ac:dyDescent="0.25">
      <c r="B50" s="34">
        <v>23</v>
      </c>
      <c r="C50" s="35">
        <v>41950</v>
      </c>
      <c r="D50" s="37">
        <v>1.7349000000000001</v>
      </c>
      <c r="E50" s="36">
        <v>0</v>
      </c>
      <c r="F50" s="36">
        <v>100</v>
      </c>
      <c r="G50" s="36">
        <v>1.7349000000000001</v>
      </c>
    </row>
    <row r="51" spans="2:7" x14ac:dyDescent="0.25">
      <c r="B51" s="34">
        <v>24</v>
      </c>
      <c r="C51" s="35">
        <v>42131</v>
      </c>
      <c r="D51" s="37">
        <v>1.7349000000000001</v>
      </c>
      <c r="E51" s="36">
        <v>0</v>
      </c>
      <c r="F51" s="36">
        <v>100</v>
      </c>
      <c r="G51" s="36">
        <v>1.7349000000000001</v>
      </c>
    </row>
    <row r="52" spans="2:7" x14ac:dyDescent="0.25">
      <c r="B52" s="34">
        <v>25</v>
      </c>
      <c r="C52" s="35">
        <v>42315</v>
      </c>
      <c r="D52" s="37">
        <v>1.7349000000000001</v>
      </c>
      <c r="E52" s="36">
        <v>0</v>
      </c>
      <c r="F52" s="36">
        <v>100</v>
      </c>
      <c r="G52" s="36">
        <v>1.7349000000000001</v>
      </c>
    </row>
    <row r="53" spans="2:7" x14ac:dyDescent="0.25">
      <c r="B53" s="34">
        <v>26</v>
      </c>
      <c r="C53" s="35">
        <v>42497</v>
      </c>
      <c r="D53" s="37">
        <v>1.7349000000000001</v>
      </c>
      <c r="E53" s="36">
        <v>0</v>
      </c>
      <c r="F53" s="36">
        <v>100</v>
      </c>
      <c r="G53" s="36">
        <v>1.7349000000000001</v>
      </c>
    </row>
    <row r="54" spans="2:7" x14ac:dyDescent="0.25">
      <c r="B54" s="34">
        <v>27</v>
      </c>
      <c r="C54" s="35">
        <v>42681</v>
      </c>
      <c r="D54" s="37">
        <v>1.7349000000000001</v>
      </c>
      <c r="E54" s="36">
        <v>0</v>
      </c>
      <c r="F54" s="36">
        <v>100</v>
      </c>
      <c r="G54" s="36">
        <v>1.7349000000000001</v>
      </c>
    </row>
    <row r="55" spans="2:7" x14ac:dyDescent="0.25">
      <c r="B55" s="34">
        <v>28</v>
      </c>
      <c r="C55" s="35">
        <v>42862</v>
      </c>
      <c r="D55" s="37">
        <v>1.7349000000000001</v>
      </c>
      <c r="E55" s="36">
        <v>0</v>
      </c>
      <c r="F55" s="36">
        <v>100</v>
      </c>
      <c r="G55" s="36">
        <v>1.7349000000000001</v>
      </c>
    </row>
    <row r="56" spans="2:7" x14ac:dyDescent="0.25">
      <c r="B56" s="34">
        <v>29</v>
      </c>
      <c r="C56" s="35">
        <v>43046</v>
      </c>
      <c r="D56" s="37">
        <v>1.7349000000000001</v>
      </c>
      <c r="E56" s="36">
        <v>0</v>
      </c>
      <c r="F56" s="36">
        <v>100</v>
      </c>
      <c r="G56" s="36">
        <v>1.7349000000000001</v>
      </c>
    </row>
    <row r="57" spans="2:7" x14ac:dyDescent="0.25">
      <c r="B57" s="34">
        <v>30</v>
      </c>
      <c r="C57" s="35">
        <v>43227</v>
      </c>
      <c r="D57" s="37">
        <v>1.7349000000000001</v>
      </c>
      <c r="E57" s="34">
        <v>100</v>
      </c>
      <c r="F57" s="34">
        <v>0</v>
      </c>
      <c r="G57" s="34">
        <v>101.7349</v>
      </c>
    </row>
    <row r="58" spans="2:7" x14ac:dyDescent="0.25">
      <c r="B58" s="34"/>
      <c r="C58" s="34"/>
      <c r="D58" s="34"/>
      <c r="E58" s="34"/>
      <c r="F58" s="34"/>
      <c r="G58" s="34"/>
    </row>
  </sheetData>
  <mergeCells count="2">
    <mergeCell ref="A4:G4"/>
    <mergeCell ref="I4: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interpola</vt:lpstr>
      <vt:lpstr>Duracion</vt:lpstr>
      <vt:lpstr>BCU</vt:lpstr>
      <vt:lpstr>TIR</vt:lpstr>
      <vt:lpstr>Datos</vt:lpstr>
      <vt:lpstr>PosicionDatos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</dc:creator>
  <cp:lastModifiedBy>Diego Posch Ponce</cp:lastModifiedBy>
  <dcterms:created xsi:type="dcterms:W3CDTF">2010-08-16T02:12:42Z</dcterms:created>
  <dcterms:modified xsi:type="dcterms:W3CDTF">2018-05-24T23:19:40Z</dcterms:modified>
</cp:coreProperties>
</file>
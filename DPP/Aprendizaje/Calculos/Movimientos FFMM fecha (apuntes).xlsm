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oschp\Credicorp\Aprendizaje\"/>
    </mc:Choice>
  </mc:AlternateContent>
  <bookViews>
    <workbookView xWindow="0" yWindow="0" windowWidth="28800" windowHeight="12210" tabRatio="911" firstSheet="1" activeTab="2" xr2:uid="{00000000-000D-0000-FFFF-FFFF00000000}"/>
  </bookViews>
  <sheets>
    <sheet name="INFORME FF.MM." sheetId="34" r:id="rId1"/>
    <sheet name="Parametros automatización" sheetId="31" r:id="rId2"/>
    <sheet name="RESUMEN" sheetId="1" r:id="rId3"/>
    <sheet name="LIQUIDEZ" sheetId="2" r:id="rId4"/>
    <sheet name="RENTA" sheetId="4" r:id="rId5"/>
    <sheet name="DEUDA 360" sheetId="21" r:id="rId6"/>
    <sheet name="MACRO" sheetId="25" r:id="rId7"/>
    <sheet name="ESTRATEGIA" sheetId="6" r:id="rId8"/>
    <sheet name="INDICE CHILE" sheetId="7" r:id="rId9"/>
    <sheet name="MONEY MARKET" sheetId="19" r:id="rId10"/>
    <sheet name="LATAM" sheetId="27" r:id="rId11"/>
    <sheet name="GLOBALES" sheetId="8" r:id="rId12"/>
    <sheet name="INTERNAC." sheetId="9" r:id="rId13"/>
    <sheet name="Aportes Capital Clp" sheetId="29" r:id="rId14"/>
    <sheet name="Retiro Capital CLP" sheetId="33" r:id="rId15"/>
    <sheet name="Aporte Capital Dolar" sheetId="32" r:id="rId16"/>
    <sheet name="Retiro Capital Dolar" sheetId="28" r:id="rId17"/>
    <sheet name="Hoja3" sheetId="30" state="hidden" r:id="rId18"/>
  </sheets>
  <definedNames>
    <definedName name="_xlnm._FilterDatabase" localSheetId="15" hidden="1">'Aporte Capital Dolar'!$A$1:$L$3</definedName>
    <definedName name="_xlnm._FilterDatabase" localSheetId="13" hidden="1">'Aportes Capital Clp'!$A$1:$O$45</definedName>
    <definedName name="_xlnm._FilterDatabase" localSheetId="5" hidden="1">'DEUDA 360'!$A$4:$J$193</definedName>
    <definedName name="_xlnm._FilterDatabase" localSheetId="12" hidden="1">INTERNAC.!$A$4:$K$200</definedName>
    <definedName name="_xlnm._FilterDatabase" localSheetId="10" hidden="1">LATAM!$A$4:$J$199</definedName>
    <definedName name="_xlnm._FilterDatabase" localSheetId="3" hidden="1">LIQUIDEZ!$A$4:$K$197</definedName>
    <definedName name="_xlnm._FilterDatabase" localSheetId="9" hidden="1">'MONEY MARKET'!$A$4:$J$199</definedName>
    <definedName name="_xlnm._FilterDatabase" localSheetId="1" hidden="1">'Parametros automatización'!$B$2:$C$62</definedName>
    <definedName name="_xlnm._FilterDatabase" localSheetId="4" hidden="1">RENTA!$A$4:$J$200</definedName>
    <definedName name="_xlnm._FilterDatabase" localSheetId="14" hidden="1">'Retiro Capital CLP'!$A$1:$O$45</definedName>
    <definedName name="_xlnm._FilterDatabase" localSheetId="16" hidden="1">'Retiro Capital Dolar'!$A$1:$O$5</definedName>
    <definedName name="_xlnm.Print_Area" localSheetId="2">RESUMEN!$A$1:$U$34</definedName>
  </definedNames>
  <calcPr calcId="171027"/>
  <fileRecoveryPr autoRecover="0"/>
</workbook>
</file>

<file path=xl/calcChain.xml><?xml version="1.0" encoding="utf-8"?>
<calcChain xmlns="http://schemas.openxmlformats.org/spreadsheetml/2006/main">
  <c r="A11" i="1" l="1"/>
  <c r="G202" i="4" l="1"/>
  <c r="E30" i="1" s="1"/>
  <c r="C3" i="34" s="1"/>
  <c r="G202" i="9" l="1"/>
  <c r="C202" i="9"/>
  <c r="G201" i="9"/>
  <c r="C201" i="9"/>
  <c r="G202" i="8"/>
  <c r="C202" i="8"/>
  <c r="G201" i="8"/>
  <c r="C201" i="8"/>
  <c r="G202" i="27"/>
  <c r="C202" i="27"/>
  <c r="G201" i="27"/>
  <c r="C201" i="27"/>
  <c r="G202" i="19"/>
  <c r="C202" i="19"/>
  <c r="G201" i="19"/>
  <c r="C201" i="19"/>
  <c r="G202" i="7"/>
  <c r="C202" i="7"/>
  <c r="G201" i="7"/>
  <c r="C201" i="7"/>
  <c r="G202" i="6"/>
  <c r="K30" i="1" s="1"/>
  <c r="C202" i="6"/>
  <c r="G201" i="6"/>
  <c r="C201" i="6"/>
  <c r="G202" i="25"/>
  <c r="C202" i="25"/>
  <c r="G201" i="25"/>
  <c r="C201" i="25"/>
  <c r="G202" i="21"/>
  <c r="C202" i="21"/>
  <c r="G201" i="21"/>
  <c r="C201" i="21"/>
  <c r="G202" i="2"/>
  <c r="C202" i="2"/>
  <c r="G201" i="2"/>
  <c r="C201" i="2"/>
  <c r="C202" i="4" l="1"/>
  <c r="E18" i="1" s="1"/>
  <c r="E20" i="1" s="1"/>
  <c r="B3" i="34" s="1"/>
  <c r="G201" i="4"/>
  <c r="E28" i="1" s="1"/>
  <c r="C201" i="4"/>
  <c r="E21" i="1" s="1"/>
  <c r="U30" i="1"/>
  <c r="U18" i="1"/>
  <c r="U20" i="1" s="1"/>
  <c r="B11" i="34" s="1"/>
  <c r="U28" i="1"/>
  <c r="U21" i="1"/>
  <c r="S30" i="1"/>
  <c r="S18" i="1"/>
  <c r="S20" i="1" s="1"/>
  <c r="B10" i="34" s="1"/>
  <c r="S28" i="1"/>
  <c r="S21" i="1"/>
  <c r="Q30" i="1"/>
  <c r="Q18" i="1"/>
  <c r="Q20" i="1" s="1"/>
  <c r="B9" i="34" s="1"/>
  <c r="Q28" i="1"/>
  <c r="Q21" i="1"/>
  <c r="O30" i="1"/>
  <c r="C8" i="34" s="1"/>
  <c r="O18" i="1"/>
  <c r="O20" i="1" s="1"/>
  <c r="B8" i="34" s="1"/>
  <c r="O28" i="1"/>
  <c r="O21" i="1"/>
  <c r="M30" i="1"/>
  <c r="M18" i="1"/>
  <c r="M20" i="1" s="1"/>
  <c r="B7" i="34" s="1"/>
  <c r="M28" i="1"/>
  <c r="M21" i="1"/>
  <c r="I30" i="1"/>
  <c r="C5" i="34" s="1"/>
  <c r="I18" i="1"/>
  <c r="I20" i="1" s="1"/>
  <c r="B5" i="34" s="1"/>
  <c r="I28" i="1"/>
  <c r="I21" i="1"/>
  <c r="K18" i="1"/>
  <c r="K20" i="1" s="1"/>
  <c r="B6" i="34" s="1"/>
  <c r="K28" i="1"/>
  <c r="K21" i="1"/>
  <c r="G30" i="1"/>
  <c r="C4" i="34" s="1"/>
  <c r="G18" i="1"/>
  <c r="G20" i="1" s="1"/>
  <c r="B4" i="34" s="1"/>
  <c r="G28" i="1"/>
  <c r="G21" i="1"/>
  <c r="C30" i="1"/>
  <c r="C28" i="1"/>
  <c r="C21" i="1"/>
  <c r="C18" i="1"/>
  <c r="C20" i="1" s="1"/>
  <c r="C2" i="34" l="1"/>
  <c r="W30" i="1"/>
  <c r="W21" i="1"/>
  <c r="W18" i="1"/>
  <c r="B2" i="34"/>
  <c r="W20" i="1" l="1"/>
  <c r="W28" i="1"/>
</calcChain>
</file>

<file path=xl/sharedStrings.xml><?xml version="1.0" encoding="utf-8"?>
<sst xmlns="http://schemas.openxmlformats.org/spreadsheetml/2006/main" count="938" uniqueCount="238">
  <si>
    <t>APORTES 12:00 HRS.</t>
  </si>
  <si>
    <t>APORTES 14:00 HRS.</t>
  </si>
  <si>
    <t>TOTAL APORTES DIA</t>
  </si>
  <si>
    <t>LIQUIDEZ</t>
  </si>
  <si>
    <t>RENTA ESTRATEGICA</t>
  </si>
  <si>
    <t>ACC. INDICE CHILE</t>
  </si>
  <si>
    <t>RENTA INTERNACIONAL</t>
  </si>
  <si>
    <t>COMISION DE SALIDA</t>
  </si>
  <si>
    <t>RESCATES</t>
  </si>
  <si>
    <t>INVERSIONES</t>
  </si>
  <si>
    <t>DESTINO FONDOS</t>
  </si>
  <si>
    <t>PESOS / CUOTAS</t>
  </si>
  <si>
    <t>APORTE  $</t>
  </si>
  <si>
    <t>N° DE RESCATES INGRESADOS</t>
  </si>
  <si>
    <t>RENTA FIJA NACIONAL     ( $ )</t>
  </si>
  <si>
    <t>RENTA VARIABLE NACIONAL              ( $ )</t>
  </si>
  <si>
    <t>-</t>
  </si>
  <si>
    <t xml:space="preserve"> </t>
  </si>
  <si>
    <t>RUT</t>
  </si>
  <si>
    <t>CTA</t>
  </si>
  <si>
    <t>RESCATES PAGADOS MISMO DIA</t>
  </si>
  <si>
    <t>NO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</si>
  <si>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</si>
  <si>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MONTO RESCATES APROX.  ($)  O (USD)</t>
  </si>
  <si>
    <t>FECHA</t>
  </si>
  <si>
    <t>MONEY</t>
  </si>
  <si>
    <t>GLOBALES</t>
  </si>
  <si>
    <t xml:space="preserve">INTERNACIONAL           </t>
  </si>
  <si>
    <t xml:space="preserve">  </t>
  </si>
  <si>
    <t>DEUDA 360</t>
  </si>
  <si>
    <t>ESTRATEGICAS</t>
  </si>
  <si>
    <t>MACRO 1,5</t>
  </si>
  <si>
    <t>LATAM</t>
  </si>
  <si>
    <t>45501-06</t>
  </si>
  <si>
    <t>52516-02</t>
  </si>
  <si>
    <t>800-05327-03</t>
  </si>
  <si>
    <t>800-14811-08</t>
  </si>
  <si>
    <t>45498-02</t>
  </si>
  <si>
    <t>45487-07</t>
  </si>
  <si>
    <t>99723-04</t>
  </si>
  <si>
    <t>54899-05</t>
  </si>
  <si>
    <t>54878-02</t>
  </si>
  <si>
    <t>SIGA FFMM</t>
  </si>
  <si>
    <t>N° DE APORTES INGRESADOS</t>
  </si>
  <si>
    <t>TOTALES</t>
  </si>
  <si>
    <t>Fondo</t>
  </si>
  <si>
    <t>LATAMIG_B</t>
  </si>
  <si>
    <t>MONEYB</t>
  </si>
  <si>
    <t>DEUDA360_D</t>
  </si>
  <si>
    <t>DEUDA360_F</t>
  </si>
  <si>
    <t>ESTRATEGII</t>
  </si>
  <si>
    <t>RENTAB</t>
  </si>
  <si>
    <t>LIQUIDEZB</t>
  </si>
  <si>
    <t>MACRO1.5_B</t>
  </si>
  <si>
    <t>LIQUIDEZF</t>
  </si>
  <si>
    <t>INDICEB</t>
  </si>
  <si>
    <t>INTERNACB</t>
  </si>
  <si>
    <t>DEUDA360_B</t>
  </si>
  <si>
    <t>LIQUIDEZI</t>
  </si>
  <si>
    <t>RENTAA</t>
  </si>
  <si>
    <t>MONEYF</t>
  </si>
  <si>
    <t>MONEYI</t>
  </si>
  <si>
    <t>DEUDA360_E</t>
  </si>
  <si>
    <t>DEUDA360_I</t>
  </si>
  <si>
    <t>ESTRATEGIB</t>
  </si>
  <si>
    <t>ESTRATEGID</t>
  </si>
  <si>
    <t>INTERNACD</t>
  </si>
  <si>
    <t>INTERNACI</t>
  </si>
  <si>
    <t>INDICEI</t>
  </si>
  <si>
    <t>LATAMIG_I</t>
  </si>
  <si>
    <t>LATAMIG_U</t>
  </si>
  <si>
    <t>ESTRATEGIE</t>
  </si>
  <si>
    <t>ESTRATEGIF</t>
  </si>
  <si>
    <t>MACRO1.5_D</t>
  </si>
  <si>
    <t>MACRO1.5_E</t>
  </si>
  <si>
    <t>MACRO1.5_F</t>
  </si>
  <si>
    <t>MACRO1.5_I</t>
  </si>
  <si>
    <t>GLOBALESIE</t>
  </si>
  <si>
    <t>RENTAD</t>
  </si>
  <si>
    <t>GLOBALESIA</t>
  </si>
  <si>
    <t>GLOBALESIB</t>
  </si>
  <si>
    <t>GLOBALESIC</t>
  </si>
  <si>
    <t>GLOBALESID</t>
  </si>
  <si>
    <t>GLOBALESIF</t>
  </si>
  <si>
    <t>GLOBALESII</t>
  </si>
  <si>
    <t>LIQUIDEZA</t>
  </si>
  <si>
    <t>RENTA</t>
  </si>
  <si>
    <t>ESTRATEGIA</t>
  </si>
  <si>
    <t>MACRO</t>
  </si>
  <si>
    <t>INDICE CHILE</t>
  </si>
  <si>
    <t>MONEY MARKET</t>
  </si>
  <si>
    <t>INTERNAC.</t>
  </si>
  <si>
    <t>MONTO TOTAL APORTES</t>
  </si>
  <si>
    <t>CANTIDAD APORTES</t>
  </si>
  <si>
    <t>CANTIDAD RESCATES</t>
  </si>
  <si>
    <t>MONTO TOTAL RESCATES</t>
  </si>
  <si>
    <t>LIQUIDEZG</t>
  </si>
  <si>
    <t>RENTAC</t>
  </si>
  <si>
    <t>RENTAG</t>
  </si>
  <si>
    <t>DEUDA360_A</t>
  </si>
  <si>
    <t>DEUDA360IM</t>
  </si>
  <si>
    <t>MACRO1.5_A</t>
  </si>
  <si>
    <t>MACRO1.5IM</t>
  </si>
  <si>
    <t>ESTRATEGIC</t>
  </si>
  <si>
    <t>ESTRATEGIG</t>
  </si>
  <si>
    <t>INDICEA</t>
  </si>
  <si>
    <t>INDICEC</t>
  </si>
  <si>
    <t>INDICED</t>
  </si>
  <si>
    <t>INDICEG</t>
  </si>
  <si>
    <t>LATAMIG_A</t>
  </si>
  <si>
    <t>LATAMIG_IM</t>
  </si>
  <si>
    <t>GLOBALESIG</t>
  </si>
  <si>
    <t>INTERNACA</t>
  </si>
  <si>
    <t>INTERNACC</t>
  </si>
  <si>
    <t>INTERNACG</t>
  </si>
  <si>
    <t>SERIES</t>
  </si>
  <si>
    <t>FONDOS</t>
  </si>
  <si>
    <t>Codigo_Fdo</t>
  </si>
  <si>
    <t>Aportes</t>
  </si>
  <si>
    <t>Rescates T+1</t>
  </si>
  <si>
    <t>Agente</t>
  </si>
  <si>
    <t>Secuencia</t>
  </si>
  <si>
    <t>Rut cliente</t>
  </si>
  <si>
    <t>Cuenta</t>
  </si>
  <si>
    <t>Movimiento</t>
  </si>
  <si>
    <t>Exención</t>
  </si>
  <si>
    <t>Cuota</t>
  </si>
  <si>
    <t>Precio</t>
  </si>
  <si>
    <t>Monto</t>
  </si>
  <si>
    <t>Comisión</t>
  </si>
  <si>
    <t>Emisor</t>
  </si>
  <si>
    <t>Vía Ingreso</t>
  </si>
  <si>
    <t>Ind</t>
  </si>
  <si>
    <t>Rein.</t>
  </si>
  <si>
    <t>AID</t>
  </si>
  <si>
    <t>8404373-7</t>
  </si>
  <si>
    <t>N</t>
  </si>
  <si>
    <t>IM TRUST</t>
  </si>
  <si>
    <t>GI07</t>
  </si>
  <si>
    <t>17083836-K</t>
  </si>
  <si>
    <t>13028428-0</t>
  </si>
  <si>
    <t>GI76</t>
  </si>
  <si>
    <t>76592514-2</t>
  </si>
  <si>
    <t>GI28</t>
  </si>
  <si>
    <t>11472232-4</t>
  </si>
  <si>
    <t>76064937-6</t>
  </si>
  <si>
    <t>77127710-1</t>
  </si>
  <si>
    <t>GI08</t>
  </si>
  <si>
    <t>17404764-2</t>
  </si>
  <si>
    <t>76335960-3</t>
  </si>
  <si>
    <t>Manual</t>
  </si>
  <si>
    <t>G120</t>
  </si>
  <si>
    <t>13961884-K</t>
  </si>
  <si>
    <t>FOL</t>
  </si>
  <si>
    <t>76143607-4</t>
  </si>
  <si>
    <t>15320430-6</t>
  </si>
  <si>
    <t>R</t>
  </si>
  <si>
    <t>G112</t>
  </si>
  <si>
    <t>16368820-4</t>
  </si>
  <si>
    <t>GI38</t>
  </si>
  <si>
    <t>78450880-3</t>
  </si>
  <si>
    <t>76217542-8</t>
  </si>
  <si>
    <t>9617929-4</t>
  </si>
  <si>
    <t>SWSP</t>
  </si>
  <si>
    <t>87826200-K</t>
  </si>
  <si>
    <t>GI72</t>
  </si>
  <si>
    <t>1123938-2</t>
  </si>
  <si>
    <t>77320500-0</t>
  </si>
  <si>
    <t>PIC</t>
  </si>
  <si>
    <t>78292700-0</t>
  </si>
  <si>
    <t>76040395-4</t>
  </si>
  <si>
    <t>76400251-2</t>
  </si>
  <si>
    <t>GI11</t>
  </si>
  <si>
    <t>76045314-5</t>
  </si>
  <si>
    <t>77420730-9</t>
  </si>
  <si>
    <t>G122</t>
  </si>
  <si>
    <t>79849440-6</t>
  </si>
  <si>
    <t>12069300-K</t>
  </si>
  <si>
    <t>GI37</t>
  </si>
  <si>
    <t>2226278-5</t>
  </si>
  <si>
    <t>8527713-8</t>
  </si>
  <si>
    <t>78083490-0</t>
  </si>
  <si>
    <t>BCB</t>
  </si>
  <si>
    <t>77360560-2</t>
  </si>
  <si>
    <t>GI77</t>
  </si>
  <si>
    <t>96529300-0</t>
  </si>
  <si>
    <t>76524559-1</t>
  </si>
  <si>
    <t>GI10</t>
  </si>
  <si>
    <t>13255421-8</t>
  </si>
  <si>
    <t>18396536-0</t>
  </si>
  <si>
    <t>76564050-4</t>
  </si>
  <si>
    <t>76433080-3</t>
  </si>
  <si>
    <t>76353759-5</t>
  </si>
  <si>
    <t>RENTAI</t>
  </si>
  <si>
    <t>76219269-1</t>
  </si>
  <si>
    <t>M</t>
  </si>
  <si>
    <t>23038890-3</t>
  </si>
  <si>
    <t>C</t>
  </si>
  <si>
    <t>78009210-6</t>
  </si>
  <si>
    <t>G111</t>
  </si>
  <si>
    <t>76042841-8</t>
  </si>
  <si>
    <t>GI35</t>
  </si>
  <si>
    <t>76412027-2</t>
  </si>
  <si>
    <t>7617437-7</t>
  </si>
  <si>
    <t>76170159-2</t>
  </si>
  <si>
    <t>GI57</t>
  </si>
  <si>
    <t>8595803-8</t>
  </si>
  <si>
    <t>78321150-5</t>
  </si>
  <si>
    <t>GI83</t>
  </si>
  <si>
    <t>96602570-0</t>
  </si>
  <si>
    <t>G124</t>
  </si>
  <si>
    <t>76743538-K</t>
  </si>
  <si>
    <t>77240290-2</t>
  </si>
  <si>
    <t>76153448-3</t>
  </si>
  <si>
    <t>78757390-8</t>
  </si>
  <si>
    <t>6597635-8</t>
  </si>
  <si>
    <t>5896773-4</t>
  </si>
  <si>
    <t>76681682-7</t>
  </si>
  <si>
    <t>79685190-2</t>
  </si>
  <si>
    <t>10782786-2</t>
  </si>
  <si>
    <t>5891772-9</t>
  </si>
  <si>
    <t>18393746-4</t>
  </si>
  <si>
    <t>96904050-6</t>
  </si>
  <si>
    <t>Observación</t>
  </si>
  <si>
    <t>ALON</t>
  </si>
  <si>
    <t>10629935-8</t>
  </si>
  <si>
    <t>76326901-9</t>
  </si>
  <si>
    <t>79868170-2</t>
  </si>
  <si>
    <t>76020284-3</t>
  </si>
  <si>
    <t>20807600-0</t>
  </si>
  <si>
    <t>MFO</t>
  </si>
  <si>
    <t>6616086-6</t>
  </si>
  <si>
    <t>77404270-9</t>
  </si>
  <si>
    <t>76186798-9</t>
  </si>
  <si>
    <t>78536880-0</t>
  </si>
  <si>
    <t>96814410-3</t>
  </si>
  <si>
    <t>GI46</t>
  </si>
  <si>
    <t>76232926-3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</si>
</sst>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 * #,##0_ ;_ * \-#,##0_ ;_ * &quot;-&quot;_ ;_ @_ "/>
    <numFmt numFmtId="165" formatCode="_(* #,##0.00_);_(* \(#,##0.00\);_(* &quot;-&quot;??_);_(@_)"/>
    <numFmt numFmtId="166" formatCode="_-* #,##0_-;\-* #,##0_-;_-* &quot;-&quot;??_-;_-@_-"/>
    <numFmt numFmtId="167" formatCode="[$-F800]dddd\,\ mmmm\ dd\,\ yyyy"/>
    <numFmt numFmtId="168" formatCode="_-* #,##0.0_-;\-* #,##0.0_-;_-* &quot;-&quot;??_-;_-@_-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indexed="9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9"/>
      <color rgb="FF2E75B6"/>
      <name val="Tahoma"/>
      <family val="2"/>
    </font>
    <font>
      <sz val="9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b/>
      <sz val="10"/>
      <color rgb="FF000000"/>
      <name val="Calibri"/>
      <family val="2"/>
    </font>
    <font>
      <b/>
      <sz val="10"/>
      <color indexed="9"/>
      <name val="Arial"/>
      <family val="2"/>
    </font>
    <font>
      <b/>
      <sz val="10"/>
      <color indexed="1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1"/>
      <color indexed="9"/>
      <name val="ARIAL"/>
      <family val="2"/>
    </font>
    <font>
      <b/>
      <sz val="8"/>
      <color rgb="FF000000"/>
      <name val="Courier New"/>
      <family val="3"/>
    </font>
    <font>
      <b/>
      <sz val="12"/>
      <color indexed="9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i/>
      <sz val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2013">
    <xf numFmtId="0" fontId="0" fillId="0" borderId="0"/>
    <xf numFmtId="165" fontId="16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165" fontId="15" fillId="0" borderId="0" applyFont="0" applyFill="0" applyBorder="0" applyAlignment="0" applyProtection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>
      <alignment vertical="top"/>
    </xf>
    <xf numFmtId="0" fontId="14" fillId="0" borderId="0">
      <alignment vertical="top"/>
    </xf>
    <xf numFmtId="0" fontId="4" fillId="0" borderId="0"/>
    <xf numFmtId="0" fontId="18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>
      <alignment vertical="top"/>
    </xf>
    <xf numFmtId="0" fontId="14" fillId="0" borderId="0">
      <alignment vertical="top"/>
    </xf>
    <xf numFmtId="0" fontId="19" fillId="0" borderId="0">
      <alignment vertical="top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>
      <alignment vertical="top"/>
    </xf>
    <xf numFmtId="0" fontId="1" fillId="0" borderId="0"/>
    <xf numFmtId="164" fontId="21" fillId="0" borderId="0" applyFont="0" applyFill="0" applyBorder="0" applyAlignment="0" applyProtection="0"/>
  </cellStyleXfs>
  <cellXfs count="157">
    <xf numFmtId="0" fontId="0" fillId="0" borderId="0" xfId="0"/>
    <xf numFmtId="0" fontId="0" fillId="3" borderId="0" xfId="0" applyFill="1"/>
    <xf numFmtId="3" fontId="0" fillId="3" borderId="0" xfId="0" applyNumberFormat="1" applyFill="1"/>
    <xf numFmtId="0" fontId="12" fillId="4" borderId="13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15" fillId="11" borderId="8" xfId="0" applyFont="1" applyFill="1" applyBorder="1" applyAlignment="1">
      <alignment horizontal="left"/>
    </xf>
    <xf numFmtId="0" fontId="15" fillId="11" borderId="9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0" xfId="0" applyFill="1"/>
    <xf numFmtId="3" fontId="12" fillId="11" borderId="14" xfId="0" applyNumberFormat="1" applyFont="1" applyFill="1" applyBorder="1"/>
    <xf numFmtId="3" fontId="0" fillId="11" borderId="0" xfId="0" applyNumberFormat="1" applyFill="1" applyBorder="1"/>
    <xf numFmtId="0" fontId="12" fillId="11" borderId="0" xfId="0" applyFont="1" applyFill="1" applyBorder="1"/>
    <xf numFmtId="0" fontId="15" fillId="11" borderId="0" xfId="0" applyFont="1" applyFill="1" applyBorder="1" applyAlignment="1">
      <alignment horizontal="center"/>
    </xf>
    <xf numFmtId="3" fontId="0" fillId="11" borderId="0" xfId="0" applyNumberFormat="1" applyFill="1"/>
    <xf numFmtId="14" fontId="0" fillId="0" borderId="0" xfId="0" applyNumberFormat="1"/>
    <xf numFmtId="4" fontId="0" fillId="0" borderId="0" xfId="0" applyNumberFormat="1"/>
    <xf numFmtId="0" fontId="0" fillId="11" borderId="0" xfId="0" applyFill="1" applyAlignment="1">
      <alignment horizontal="center"/>
    </xf>
    <xf numFmtId="0" fontId="0" fillId="0" borderId="0" xfId="0" applyFill="1"/>
    <xf numFmtId="4" fontId="15" fillId="11" borderId="8" xfId="0" applyNumberFormat="1" applyFont="1" applyFill="1" applyBorder="1" applyAlignment="1">
      <alignment horizontal="center"/>
    </xf>
    <xf numFmtId="3" fontId="14" fillId="11" borderId="0" xfId="0" applyNumberFormat="1" applyFont="1" applyFill="1" applyBorder="1" applyAlignment="1">
      <alignment horizontal="right"/>
    </xf>
    <xf numFmtId="0" fontId="14" fillId="11" borderId="8" xfId="0" applyFont="1" applyFill="1" applyBorder="1"/>
    <xf numFmtId="0" fontId="12" fillId="11" borderId="6" xfId="0" applyFont="1" applyFill="1" applyBorder="1"/>
    <xf numFmtId="0" fontId="15" fillId="11" borderId="8" xfId="0" applyFont="1" applyFill="1" applyBorder="1" applyAlignment="1">
      <alignment horizontal="center"/>
    </xf>
    <xf numFmtId="0" fontId="12" fillId="11" borderId="10" xfId="0" applyFont="1" applyFill="1" applyBorder="1"/>
    <xf numFmtId="0" fontId="12" fillId="11" borderId="11" xfId="0" applyFont="1" applyFill="1" applyBorder="1"/>
    <xf numFmtId="3" fontId="12" fillId="11" borderId="0" xfId="0" applyNumberFormat="1" applyFont="1" applyFill="1" applyBorder="1"/>
    <xf numFmtId="3" fontId="15" fillId="11" borderId="6" xfId="0" applyNumberFormat="1" applyFont="1" applyFill="1" applyBorder="1" applyAlignment="1">
      <alignment horizontal="right"/>
    </xf>
    <xf numFmtId="3" fontId="15" fillId="11" borderId="6" xfId="0" applyNumberFormat="1" applyFont="1" applyFill="1" applyBorder="1"/>
    <xf numFmtId="0" fontId="12" fillId="4" borderId="15" xfId="0" applyFont="1" applyFill="1" applyBorder="1" applyAlignment="1">
      <alignment horizontal="center"/>
    </xf>
    <xf numFmtId="3" fontId="12" fillId="4" borderId="12" xfId="0" applyNumberFormat="1" applyFont="1" applyFill="1" applyBorder="1" applyAlignment="1">
      <alignment horizontal="center"/>
    </xf>
    <xf numFmtId="3" fontId="12" fillId="11" borderId="12" xfId="0" applyNumberFormat="1" applyFont="1" applyFill="1" applyBorder="1"/>
    <xf numFmtId="0" fontId="14" fillId="11" borderId="0" xfId="0" applyFont="1" applyFill="1" applyBorder="1"/>
    <xf numFmtId="3" fontId="14" fillId="11" borderId="6" xfId="0" applyNumberFormat="1" applyFont="1" applyFill="1" applyBorder="1" applyAlignment="1">
      <alignment horizontal="right"/>
    </xf>
    <xf numFmtId="3" fontId="14" fillId="11" borderId="11" xfId="0" applyNumberFormat="1" applyFont="1" applyFill="1" applyBorder="1" applyAlignment="1">
      <alignment horizontal="right"/>
    </xf>
    <xf numFmtId="0" fontId="13" fillId="11" borderId="0" xfId="0" applyFont="1" applyFill="1" applyBorder="1" applyAlignment="1">
      <alignment horizontal="center" vertical="center"/>
    </xf>
    <xf numFmtId="3" fontId="12" fillId="11" borderId="0" xfId="0" applyNumberFormat="1" applyFont="1" applyFill="1" applyBorder="1" applyAlignment="1">
      <alignment horizontal="center"/>
    </xf>
    <xf numFmtId="0" fontId="14" fillId="11" borderId="9" xfId="0" applyFont="1" applyFill="1" applyBorder="1"/>
    <xf numFmtId="0" fontId="12" fillId="11" borderId="1" xfId="0" applyFont="1" applyFill="1" applyBorder="1" applyAlignment="1"/>
    <xf numFmtId="0" fontId="12" fillId="11" borderId="14" xfId="0" applyFont="1" applyFill="1" applyBorder="1" applyAlignment="1"/>
    <xf numFmtId="4" fontId="15" fillId="11" borderId="3" xfId="0" applyNumberFormat="1" applyFont="1" applyFill="1" applyBorder="1" applyAlignment="1">
      <alignment horizontal="center"/>
    </xf>
    <xf numFmtId="0" fontId="15" fillId="11" borderId="4" xfId="0" applyFont="1" applyFill="1" applyBorder="1" applyAlignment="1">
      <alignment horizontal="center"/>
    </xf>
    <xf numFmtId="0" fontId="15" fillId="11" borderId="9" xfId="0" applyFont="1" applyFill="1" applyBorder="1" applyAlignment="1">
      <alignment horizontal="center"/>
    </xf>
    <xf numFmtId="0" fontId="15" fillId="11" borderId="10" xfId="0" applyFont="1" applyFill="1" applyBorder="1" applyAlignment="1">
      <alignment horizontal="center"/>
    </xf>
    <xf numFmtId="3" fontId="15" fillId="11" borderId="11" xfId="0" applyNumberFormat="1" applyFont="1" applyFill="1" applyBorder="1"/>
    <xf numFmtId="14" fontId="0" fillId="0" borderId="0" xfId="0" applyNumberFormat="1" applyFill="1"/>
    <xf numFmtId="4" fontId="0" fillId="0" borderId="0" xfId="0" applyNumberFormat="1" applyFill="1"/>
    <xf numFmtId="0" fontId="15" fillId="0" borderId="0" xfId="20"/>
    <xf numFmtId="14" fontId="15" fillId="0" borderId="0" xfId="20" applyNumberFormat="1"/>
    <xf numFmtId="4" fontId="15" fillId="0" borderId="0" xfId="20" applyNumberFormat="1"/>
    <xf numFmtId="0" fontId="15" fillId="0" borderId="0" xfId="20"/>
    <xf numFmtId="14" fontId="15" fillId="0" borderId="0" xfId="20" applyNumberFormat="1"/>
    <xf numFmtId="4" fontId="15" fillId="0" borderId="0" xfId="20" applyNumberFormat="1"/>
    <xf numFmtId="3" fontId="20" fillId="0" borderId="0" xfId="0" applyNumberFormat="1" applyFont="1"/>
    <xf numFmtId="164" fontId="0" fillId="0" borderId="0" xfId="2012" applyFont="1" applyFill="1"/>
    <xf numFmtId="0" fontId="22" fillId="0" borderId="0" xfId="0" applyFont="1"/>
    <xf numFmtId="0" fontId="23" fillId="14" borderId="16" xfId="0" applyFont="1" applyFill="1" applyBorder="1" applyAlignment="1">
      <alignment horizontal="center"/>
    </xf>
    <xf numFmtId="0" fontId="24" fillId="11" borderId="0" xfId="0" applyFont="1" applyFill="1"/>
    <xf numFmtId="0" fontId="25" fillId="11" borderId="16" xfId="20" applyFont="1" applyFill="1" applyBorder="1"/>
    <xf numFmtId="0" fontId="25" fillId="11" borderId="0" xfId="0" applyFont="1" applyFill="1"/>
    <xf numFmtId="0" fontId="0" fillId="0" borderId="0" xfId="0" applyNumberFormat="1" applyFill="1"/>
    <xf numFmtId="0" fontId="27" fillId="3" borderId="0" xfId="0" applyFont="1" applyFill="1"/>
    <xf numFmtId="0" fontId="27" fillId="11" borderId="0" xfId="0" applyFont="1" applyFill="1"/>
    <xf numFmtId="0" fontId="27" fillId="0" borderId="0" xfId="0" applyFont="1"/>
    <xf numFmtId="14" fontId="27" fillId="11" borderId="0" xfId="0" applyNumberFormat="1" applyFont="1" applyFill="1"/>
    <xf numFmtId="0" fontId="28" fillId="0" borderId="11" xfId="0" applyFont="1" applyBorder="1" applyAlignment="1">
      <alignment horizontal="right" vertical="center"/>
    </xf>
    <xf numFmtId="0" fontId="29" fillId="2" borderId="0" xfId="0" applyFont="1" applyFill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29" fillId="11" borderId="0" xfId="0" applyFont="1" applyFill="1" applyAlignment="1">
      <alignment horizontal="center" vertical="center" wrapText="1"/>
    </xf>
    <xf numFmtId="0" fontId="27" fillId="11" borderId="0" xfId="0" applyFont="1" applyFill="1" applyAlignment="1">
      <alignment horizontal="center" vertical="center" wrapText="1"/>
    </xf>
    <xf numFmtId="3" fontId="33" fillId="4" borderId="0" xfId="0" applyNumberFormat="1" applyFont="1" applyFill="1"/>
    <xf numFmtId="3" fontId="34" fillId="4" borderId="0" xfId="0" applyNumberFormat="1" applyFont="1" applyFill="1"/>
    <xf numFmtId="3" fontId="34" fillId="11" borderId="0" xfId="0" applyNumberFormat="1" applyFont="1" applyFill="1"/>
    <xf numFmtId="4" fontId="33" fillId="4" borderId="0" xfId="0" applyNumberFormat="1" applyFont="1" applyFill="1"/>
    <xf numFmtId="4" fontId="33" fillId="11" borderId="0" xfId="0" applyNumberFormat="1" applyFont="1" applyFill="1"/>
    <xf numFmtId="3" fontId="27" fillId="3" borderId="0" xfId="0" applyNumberFormat="1" applyFont="1" applyFill="1"/>
    <xf numFmtId="3" fontId="27" fillId="11" borderId="0" xfId="0" applyNumberFormat="1" applyFont="1" applyFill="1"/>
    <xf numFmtId="3" fontId="33" fillId="11" borderId="0" xfId="0" applyNumberFormat="1" applyFont="1" applyFill="1"/>
    <xf numFmtId="0" fontId="35" fillId="11" borderId="0" xfId="0" applyFont="1" applyFill="1"/>
    <xf numFmtId="3" fontId="36" fillId="2" borderId="0" xfId="0" applyNumberFormat="1" applyFont="1" applyFill="1" applyAlignment="1">
      <alignment horizontal="right"/>
    </xf>
    <xf numFmtId="0" fontId="35" fillId="3" borderId="0" xfId="0" applyFont="1" applyFill="1"/>
    <xf numFmtId="3" fontId="36" fillId="11" borderId="0" xfId="0" applyNumberFormat="1" applyFont="1" applyFill="1" applyAlignment="1">
      <alignment horizontal="right"/>
    </xf>
    <xf numFmtId="3" fontId="35" fillId="3" borderId="0" xfId="0" applyNumberFormat="1" applyFont="1" applyFill="1"/>
    <xf numFmtId="4" fontId="36" fillId="11" borderId="0" xfId="0" applyNumberFormat="1" applyFont="1" applyFill="1" applyAlignment="1">
      <alignment horizontal="right"/>
    </xf>
    <xf numFmtId="4" fontId="37" fillId="0" borderId="0" xfId="0" applyNumberFormat="1" applyFont="1"/>
    <xf numFmtId="0" fontId="35" fillId="0" borderId="0" xfId="0" applyFont="1"/>
    <xf numFmtId="0" fontId="29" fillId="6" borderId="2" xfId="0" applyFont="1" applyFill="1" applyBorder="1" applyAlignment="1">
      <alignment horizontal="center" vertical="center" wrapText="1"/>
    </xf>
    <xf numFmtId="3" fontId="38" fillId="5" borderId="1" xfId="0" applyNumberFormat="1" applyFont="1" applyFill="1" applyBorder="1" applyAlignment="1">
      <alignment horizontal="center"/>
    </xf>
    <xf numFmtId="3" fontId="38" fillId="11" borderId="1" xfId="0" applyNumberFormat="1" applyFont="1" applyFill="1" applyBorder="1" applyAlignment="1">
      <alignment horizontal="center"/>
    </xf>
    <xf numFmtId="3" fontId="38" fillId="11" borderId="0" xfId="0" applyNumberFormat="1" applyFont="1" applyFill="1" applyBorder="1" applyAlignment="1">
      <alignment horizontal="center"/>
    </xf>
    <xf numFmtId="43" fontId="27" fillId="11" borderId="0" xfId="0" applyNumberFormat="1" applyFont="1" applyFill="1"/>
    <xf numFmtId="4" fontId="27" fillId="3" borderId="0" xfId="0" applyNumberFormat="1" applyFont="1" applyFill="1"/>
    <xf numFmtId="4" fontId="27" fillId="11" borderId="0" xfId="0" applyNumberFormat="1" applyFont="1" applyFill="1"/>
    <xf numFmtId="168" fontId="27" fillId="3" borderId="0" xfId="1" applyNumberFormat="1" applyFont="1" applyFill="1"/>
    <xf numFmtId="168" fontId="39" fillId="11" borderId="0" xfId="1" applyNumberFormat="1" applyFont="1" applyFill="1"/>
    <xf numFmtId="168" fontId="27" fillId="11" borderId="0" xfId="1" applyNumberFormat="1" applyFont="1" applyFill="1"/>
    <xf numFmtId="168" fontId="27" fillId="3" borderId="0" xfId="1" applyNumberFormat="1" applyFont="1" applyFill="1" applyBorder="1" applyAlignment="1">
      <alignment horizontal="center" vertical="center" wrapText="1"/>
    </xf>
    <xf numFmtId="0" fontId="39" fillId="11" borderId="0" xfId="0" applyFont="1" applyFill="1"/>
    <xf numFmtId="4" fontId="37" fillId="0" borderId="0" xfId="0" applyNumberFormat="1" applyFont="1" applyAlignment="1">
      <alignment wrapText="1"/>
    </xf>
    <xf numFmtId="3" fontId="27" fillId="13" borderId="0" xfId="0" applyNumberFormat="1" applyFont="1" applyFill="1"/>
    <xf numFmtId="3" fontId="40" fillId="13" borderId="0" xfId="0" applyNumberFormat="1" applyFont="1" applyFill="1"/>
    <xf numFmtId="3" fontId="40" fillId="3" borderId="0" xfId="0" applyNumberFormat="1" applyFont="1" applyFill="1"/>
    <xf numFmtId="0" fontId="29" fillId="7" borderId="7" xfId="0" applyFont="1" applyFill="1" applyBorder="1" applyAlignment="1">
      <alignment horizontal="center" vertical="center" wrapText="1"/>
    </xf>
    <xf numFmtId="0" fontId="41" fillId="12" borderId="1" xfId="0" applyFont="1" applyFill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42" fillId="11" borderId="1" xfId="0" applyFont="1" applyFill="1" applyBorder="1" applyAlignment="1">
      <alignment horizontal="center"/>
    </xf>
    <xf numFmtId="0" fontId="42" fillId="12" borderId="1" xfId="0" applyFont="1" applyFill="1" applyBorder="1" applyAlignment="1">
      <alignment horizontal="center"/>
    </xf>
    <xf numFmtId="0" fontId="42" fillId="11" borderId="0" xfId="0" applyFont="1" applyFill="1" applyBorder="1" applyAlignment="1">
      <alignment horizontal="center"/>
    </xf>
    <xf numFmtId="0" fontId="43" fillId="11" borderId="14" xfId="0" applyFont="1" applyFill="1" applyBorder="1" applyAlignment="1">
      <alignment horizontal="center" vertical="center" wrapText="1"/>
    </xf>
    <xf numFmtId="3" fontId="33" fillId="11" borderId="14" xfId="0" applyNumberFormat="1" applyFont="1" applyFill="1" applyBorder="1" applyAlignment="1">
      <alignment horizontal="right"/>
    </xf>
    <xf numFmtId="3" fontId="42" fillId="11" borderId="14" xfId="0" applyNumberFormat="1" applyFont="1" applyFill="1" applyBorder="1"/>
    <xf numFmtId="0" fontId="42" fillId="11" borderId="0" xfId="0" applyFont="1" applyFill="1"/>
    <xf numFmtId="4" fontId="42" fillId="11" borderId="14" xfId="0" applyNumberFormat="1" applyFont="1" applyFill="1" applyBorder="1"/>
    <xf numFmtId="4" fontId="42" fillId="11" borderId="0" xfId="0" applyNumberFormat="1" applyFont="1" applyFill="1" applyBorder="1"/>
    <xf numFmtId="0" fontId="42" fillId="3" borderId="0" xfId="0" applyFont="1" applyFill="1"/>
    <xf numFmtId="3" fontId="42" fillId="11" borderId="0" xfId="0" applyNumberFormat="1" applyFont="1" applyFill="1"/>
    <xf numFmtId="3" fontId="42" fillId="3" borderId="0" xfId="0" applyNumberFormat="1" applyFont="1" applyFill="1"/>
    <xf numFmtId="3" fontId="33" fillId="11" borderId="0" xfId="0" applyNumberFormat="1" applyFont="1" applyFill="1" applyAlignment="1">
      <alignment horizontal="right"/>
    </xf>
    <xf numFmtId="3" fontId="33" fillId="3" borderId="0" xfId="0" applyNumberFormat="1" applyFont="1" applyFill="1" applyAlignment="1">
      <alignment horizontal="right"/>
    </xf>
    <xf numFmtId="3" fontId="27" fillId="11" borderId="0" xfId="0" applyNumberFormat="1" applyFont="1" applyFill="1" applyBorder="1"/>
    <xf numFmtId="4" fontId="36" fillId="2" borderId="0" xfId="0" applyNumberFormat="1" applyFont="1" applyFill="1" applyAlignment="1">
      <alignment horizontal="right"/>
    </xf>
    <xf numFmtId="166" fontId="27" fillId="3" borderId="0" xfId="1" applyNumberFormat="1" applyFont="1" applyFill="1"/>
    <xf numFmtId="166" fontId="27" fillId="3" borderId="0" xfId="0" applyNumberFormat="1" applyFont="1" applyFill="1"/>
    <xf numFmtId="165" fontId="27" fillId="3" borderId="0" xfId="1" applyFont="1" applyFill="1"/>
    <xf numFmtId="0" fontId="44" fillId="15" borderId="17" xfId="0" applyFont="1" applyFill="1" applyBorder="1" applyAlignment="1">
      <alignment horizontal="center" vertical="center"/>
    </xf>
    <xf numFmtId="0" fontId="44" fillId="15" borderId="18" xfId="0" applyFont="1" applyFill="1" applyBorder="1" applyAlignment="1">
      <alignment horizontal="center" vertical="center"/>
    </xf>
    <xf numFmtId="0" fontId="45" fillId="0" borderId="0" xfId="0" applyFont="1"/>
    <xf numFmtId="0" fontId="45" fillId="0" borderId="16" xfId="0" applyFont="1" applyBorder="1" applyAlignment="1">
      <alignment horizontal="center" vertical="center"/>
    </xf>
    <xf numFmtId="3" fontId="45" fillId="0" borderId="16" xfId="0" applyNumberFormat="1" applyFont="1" applyBorder="1" applyAlignment="1">
      <alignment horizontal="center" vertical="center"/>
    </xf>
    <xf numFmtId="0" fontId="45" fillId="16" borderId="16" xfId="0" applyFont="1" applyFill="1" applyBorder="1" applyAlignment="1">
      <alignment horizontal="center" vertical="center"/>
    </xf>
    <xf numFmtId="3" fontId="45" fillId="16" borderId="16" xfId="0" applyNumberFormat="1" applyFont="1" applyFill="1" applyBorder="1" applyAlignment="1">
      <alignment horizontal="center" vertical="center"/>
    </xf>
    <xf numFmtId="4" fontId="45" fillId="0" borderId="16" xfId="0" applyNumberFormat="1" applyFont="1" applyBorder="1" applyAlignment="1">
      <alignment horizontal="center" vertical="center"/>
    </xf>
    <xf numFmtId="4" fontId="45" fillId="16" borderId="16" xfId="0" applyNumberFormat="1" applyFont="1" applyFill="1" applyBorder="1" applyAlignment="1">
      <alignment horizontal="center" vertical="center"/>
    </xf>
    <xf numFmtId="4" fontId="20" fillId="0" borderId="0" xfId="0" applyNumberFormat="1" applyFont="1"/>
    <xf numFmtId="164" fontId="0" fillId="0" borderId="0" xfId="2012" applyFont="1"/>
    <xf numFmtId="0" fontId="26" fillId="11" borderId="0" xfId="0" applyFont="1" applyFill="1" applyAlignment="1">
      <alignment horizontal="center"/>
    </xf>
    <xf numFmtId="0" fontId="29" fillId="2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3" fontId="27" fillId="3" borderId="0" xfId="0" applyNumberFormat="1" applyFont="1" applyFill="1" applyBorder="1" applyAlignment="1">
      <alignment horizontal="center"/>
    </xf>
    <xf numFmtId="167" fontId="29" fillId="2" borderId="0" xfId="0" applyNumberFormat="1" applyFont="1" applyFill="1" applyAlignment="1">
      <alignment horizontal="center" vertical="center" wrapText="1"/>
    </xf>
    <xf numFmtId="0" fontId="30" fillId="4" borderId="0" xfId="0" applyFont="1" applyFill="1" applyAlignment="1">
      <alignment horizontal="center"/>
    </xf>
    <xf numFmtId="0" fontId="30" fillId="8" borderId="0" xfId="0" applyFont="1" applyFill="1" applyAlignment="1">
      <alignment horizontal="left"/>
    </xf>
    <xf numFmtId="0" fontId="29" fillId="6" borderId="0" xfId="0" applyFont="1" applyFill="1" applyAlignment="1">
      <alignment horizontal="center"/>
    </xf>
    <xf numFmtId="0" fontId="31" fillId="2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13" fillId="10" borderId="3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</cellXfs>
  <cellStyles count="2013">
    <cellStyle name="Millares" xfId="1" builtinId="3"/>
    <cellStyle name="Millares [0]" xfId="2012" builtinId="6"/>
    <cellStyle name="Millares 2" xfId="8" xr:uid="{00000000-0005-0000-0000-000001000000}"/>
    <cellStyle name="Normal" xfId="0" builtinId="0"/>
    <cellStyle name="Normal 10" xfId="33" xr:uid="{00000000-0005-0000-0000-000003000000}"/>
    <cellStyle name="Normal 10 2" xfId="102" xr:uid="{00000000-0005-0000-0000-000004000000}"/>
    <cellStyle name="Normal 10 2 2" xfId="351" xr:uid="{00000000-0005-0000-0000-000005000000}"/>
    <cellStyle name="Normal 10 2 2 2" xfId="850" xr:uid="{00000000-0005-0000-0000-000006000000}"/>
    <cellStyle name="Normal 10 2 2 2 2" xfId="1852" xr:uid="{00000000-0005-0000-0000-000007000000}"/>
    <cellStyle name="Normal 10 2 2 3" xfId="1356" xr:uid="{00000000-0005-0000-0000-000008000000}"/>
    <cellStyle name="Normal 10 2 3" xfId="602" xr:uid="{00000000-0005-0000-0000-000009000000}"/>
    <cellStyle name="Normal 10 2 3 2" xfId="1604" xr:uid="{00000000-0005-0000-0000-00000A000000}"/>
    <cellStyle name="Normal 10 2 4" xfId="1108" xr:uid="{00000000-0005-0000-0000-00000B000000}"/>
    <cellStyle name="Normal 10 3" xfId="148" xr:uid="{00000000-0005-0000-0000-00000C000000}"/>
    <cellStyle name="Normal 10 3 2" xfId="397" xr:uid="{00000000-0005-0000-0000-00000D000000}"/>
    <cellStyle name="Normal 10 3 2 2" xfId="896" xr:uid="{00000000-0005-0000-0000-00000E000000}"/>
    <cellStyle name="Normal 10 3 2 2 2" xfId="1898" xr:uid="{00000000-0005-0000-0000-00000F000000}"/>
    <cellStyle name="Normal 10 3 2 3" xfId="1402" xr:uid="{00000000-0005-0000-0000-000010000000}"/>
    <cellStyle name="Normal 10 3 3" xfId="648" xr:uid="{00000000-0005-0000-0000-000011000000}"/>
    <cellStyle name="Normal 10 3 3 2" xfId="1650" xr:uid="{00000000-0005-0000-0000-000012000000}"/>
    <cellStyle name="Normal 10 3 4" xfId="1154" xr:uid="{00000000-0005-0000-0000-000013000000}"/>
    <cellStyle name="Normal 10 4" xfId="235" xr:uid="{00000000-0005-0000-0000-000014000000}"/>
    <cellStyle name="Normal 10 4 2" xfId="484" xr:uid="{00000000-0005-0000-0000-000015000000}"/>
    <cellStyle name="Normal 10 4 2 2" xfId="983" xr:uid="{00000000-0005-0000-0000-000016000000}"/>
    <cellStyle name="Normal 10 4 2 2 2" xfId="1985" xr:uid="{00000000-0005-0000-0000-000017000000}"/>
    <cellStyle name="Normal 10 4 2 3" xfId="1489" xr:uid="{00000000-0005-0000-0000-000018000000}"/>
    <cellStyle name="Normal 10 4 3" xfId="735" xr:uid="{00000000-0005-0000-0000-000019000000}"/>
    <cellStyle name="Normal 10 4 3 2" xfId="1737" xr:uid="{00000000-0005-0000-0000-00001A000000}"/>
    <cellStyle name="Normal 10 4 4" xfId="1241" xr:uid="{00000000-0005-0000-0000-00001B000000}"/>
    <cellStyle name="Normal 10 5" xfId="282" xr:uid="{00000000-0005-0000-0000-00001C000000}"/>
    <cellStyle name="Normal 10 5 2" xfId="782" xr:uid="{00000000-0005-0000-0000-00001D000000}"/>
    <cellStyle name="Normal 10 5 2 2" xfId="1784" xr:uid="{00000000-0005-0000-0000-00001E000000}"/>
    <cellStyle name="Normal 10 5 3" xfId="1288" xr:uid="{00000000-0005-0000-0000-00001F000000}"/>
    <cellStyle name="Normal 10 6" xfId="534" xr:uid="{00000000-0005-0000-0000-000020000000}"/>
    <cellStyle name="Normal 10 6 2" xfId="1536" xr:uid="{00000000-0005-0000-0000-000021000000}"/>
    <cellStyle name="Normal 10 7" xfId="1040" xr:uid="{00000000-0005-0000-0000-000022000000}"/>
    <cellStyle name="Normal 11" xfId="34" xr:uid="{00000000-0005-0000-0000-000023000000}"/>
    <cellStyle name="Normal 11 2" xfId="103" xr:uid="{00000000-0005-0000-0000-000024000000}"/>
    <cellStyle name="Normal 11 2 2" xfId="352" xr:uid="{00000000-0005-0000-0000-000025000000}"/>
    <cellStyle name="Normal 11 2 2 2" xfId="851" xr:uid="{00000000-0005-0000-0000-000026000000}"/>
    <cellStyle name="Normal 11 2 2 2 2" xfId="1853" xr:uid="{00000000-0005-0000-0000-000027000000}"/>
    <cellStyle name="Normal 11 2 2 3" xfId="1357" xr:uid="{00000000-0005-0000-0000-000028000000}"/>
    <cellStyle name="Normal 11 2 3" xfId="603" xr:uid="{00000000-0005-0000-0000-000029000000}"/>
    <cellStyle name="Normal 11 2 3 2" xfId="1605" xr:uid="{00000000-0005-0000-0000-00002A000000}"/>
    <cellStyle name="Normal 11 2 4" xfId="1109" xr:uid="{00000000-0005-0000-0000-00002B000000}"/>
    <cellStyle name="Normal 11 3" xfId="149" xr:uid="{00000000-0005-0000-0000-00002C000000}"/>
    <cellStyle name="Normal 11 3 2" xfId="398" xr:uid="{00000000-0005-0000-0000-00002D000000}"/>
    <cellStyle name="Normal 11 3 2 2" xfId="897" xr:uid="{00000000-0005-0000-0000-00002E000000}"/>
    <cellStyle name="Normal 11 3 2 2 2" xfId="1899" xr:uid="{00000000-0005-0000-0000-00002F000000}"/>
    <cellStyle name="Normal 11 3 2 3" xfId="1403" xr:uid="{00000000-0005-0000-0000-000030000000}"/>
    <cellStyle name="Normal 11 3 3" xfId="649" xr:uid="{00000000-0005-0000-0000-000031000000}"/>
    <cellStyle name="Normal 11 3 3 2" xfId="1651" xr:uid="{00000000-0005-0000-0000-000032000000}"/>
    <cellStyle name="Normal 11 3 4" xfId="1155" xr:uid="{00000000-0005-0000-0000-000033000000}"/>
    <cellStyle name="Normal 11 4" xfId="236" xr:uid="{00000000-0005-0000-0000-000034000000}"/>
    <cellStyle name="Normal 11 4 2" xfId="485" xr:uid="{00000000-0005-0000-0000-000035000000}"/>
    <cellStyle name="Normal 11 4 2 2" xfId="984" xr:uid="{00000000-0005-0000-0000-000036000000}"/>
    <cellStyle name="Normal 11 4 2 2 2" xfId="1986" xr:uid="{00000000-0005-0000-0000-000037000000}"/>
    <cellStyle name="Normal 11 4 2 3" xfId="1490" xr:uid="{00000000-0005-0000-0000-000038000000}"/>
    <cellStyle name="Normal 11 4 3" xfId="736" xr:uid="{00000000-0005-0000-0000-000039000000}"/>
    <cellStyle name="Normal 11 4 3 2" xfId="1738" xr:uid="{00000000-0005-0000-0000-00003A000000}"/>
    <cellStyle name="Normal 11 4 4" xfId="1242" xr:uid="{00000000-0005-0000-0000-00003B000000}"/>
    <cellStyle name="Normal 11 5" xfId="283" xr:uid="{00000000-0005-0000-0000-00003C000000}"/>
    <cellStyle name="Normal 11 5 2" xfId="783" xr:uid="{00000000-0005-0000-0000-00003D000000}"/>
    <cellStyle name="Normal 11 5 2 2" xfId="1785" xr:uid="{00000000-0005-0000-0000-00003E000000}"/>
    <cellStyle name="Normal 11 5 3" xfId="1289" xr:uid="{00000000-0005-0000-0000-00003F000000}"/>
    <cellStyle name="Normal 11 6" xfId="535" xr:uid="{00000000-0005-0000-0000-000040000000}"/>
    <cellStyle name="Normal 11 6 2" xfId="1537" xr:uid="{00000000-0005-0000-0000-000041000000}"/>
    <cellStyle name="Normal 11 7" xfId="1041" xr:uid="{00000000-0005-0000-0000-000042000000}"/>
    <cellStyle name="Normal 12" xfId="77" xr:uid="{00000000-0005-0000-0000-000043000000}"/>
    <cellStyle name="Normal 12 2" xfId="326" xr:uid="{00000000-0005-0000-0000-000044000000}"/>
    <cellStyle name="Normal 12 2 2" xfId="826" xr:uid="{00000000-0005-0000-0000-000045000000}"/>
    <cellStyle name="Normal 12 2 2 2" xfId="1828" xr:uid="{00000000-0005-0000-0000-000046000000}"/>
    <cellStyle name="Normal 12 2 3" xfId="1332" xr:uid="{00000000-0005-0000-0000-000047000000}"/>
    <cellStyle name="Normal 12 3" xfId="578" xr:uid="{00000000-0005-0000-0000-000048000000}"/>
    <cellStyle name="Normal 12 3 2" xfId="1580" xr:uid="{00000000-0005-0000-0000-000049000000}"/>
    <cellStyle name="Normal 12 4" xfId="1084" xr:uid="{00000000-0005-0000-0000-00004A000000}"/>
    <cellStyle name="Normal 13" xfId="78" xr:uid="{00000000-0005-0000-0000-00004B000000}"/>
    <cellStyle name="Normal 13 2" xfId="327" xr:uid="{00000000-0005-0000-0000-00004C000000}"/>
    <cellStyle name="Normal 14" xfId="79" xr:uid="{00000000-0005-0000-0000-00004D000000}"/>
    <cellStyle name="Normal 14 2" xfId="328" xr:uid="{00000000-0005-0000-0000-00004E000000}"/>
    <cellStyle name="Normal 14 2 2" xfId="827" xr:uid="{00000000-0005-0000-0000-00004F000000}"/>
    <cellStyle name="Normal 14 2 2 2" xfId="1829" xr:uid="{00000000-0005-0000-0000-000050000000}"/>
    <cellStyle name="Normal 14 2 3" xfId="1333" xr:uid="{00000000-0005-0000-0000-000051000000}"/>
    <cellStyle name="Normal 14 3" xfId="579" xr:uid="{00000000-0005-0000-0000-000052000000}"/>
    <cellStyle name="Normal 14 3 2" xfId="1581" xr:uid="{00000000-0005-0000-0000-000053000000}"/>
    <cellStyle name="Normal 14 4" xfId="1085" xr:uid="{00000000-0005-0000-0000-000054000000}"/>
    <cellStyle name="Normal 15" xfId="212" xr:uid="{00000000-0005-0000-0000-000055000000}"/>
    <cellStyle name="Normal 15 2" xfId="461" xr:uid="{00000000-0005-0000-0000-000056000000}"/>
    <cellStyle name="Normal 15 2 2" xfId="960" xr:uid="{00000000-0005-0000-0000-000057000000}"/>
    <cellStyle name="Normal 15 2 2 2" xfId="1962" xr:uid="{00000000-0005-0000-0000-000058000000}"/>
    <cellStyle name="Normal 15 2 3" xfId="1466" xr:uid="{00000000-0005-0000-0000-000059000000}"/>
    <cellStyle name="Normal 15 3" xfId="712" xr:uid="{00000000-0005-0000-0000-00005A000000}"/>
    <cellStyle name="Normal 15 3 2" xfId="1714" xr:uid="{00000000-0005-0000-0000-00005B000000}"/>
    <cellStyle name="Normal 15 4" xfId="1218" xr:uid="{00000000-0005-0000-0000-00005C000000}"/>
    <cellStyle name="Normal 16" xfId="259" xr:uid="{00000000-0005-0000-0000-00005D000000}"/>
    <cellStyle name="Normal 16 2" xfId="759" xr:uid="{00000000-0005-0000-0000-00005E000000}"/>
    <cellStyle name="Normal 16 2 2" xfId="1761" xr:uid="{00000000-0005-0000-0000-00005F000000}"/>
    <cellStyle name="Normal 16 3" xfId="1265" xr:uid="{00000000-0005-0000-0000-000060000000}"/>
    <cellStyle name="Normal 17" xfId="508" xr:uid="{00000000-0005-0000-0000-000061000000}"/>
    <cellStyle name="Normal 18" xfId="509" xr:uid="{00000000-0005-0000-0000-000062000000}"/>
    <cellStyle name="Normal 19" xfId="510" xr:uid="{00000000-0005-0000-0000-000063000000}"/>
    <cellStyle name="Normal 19 2" xfId="1007" xr:uid="{00000000-0005-0000-0000-000064000000}"/>
    <cellStyle name="Normal 19 2 2" xfId="2009" xr:uid="{00000000-0005-0000-0000-000065000000}"/>
    <cellStyle name="Normal 19 3" xfId="1513" xr:uid="{00000000-0005-0000-0000-000066000000}"/>
    <cellStyle name="Normal 2" xfId="2" xr:uid="{00000000-0005-0000-0000-000067000000}"/>
    <cellStyle name="Normal 2 2" xfId="9" xr:uid="{00000000-0005-0000-0000-000068000000}"/>
    <cellStyle name="Normal 2 3" xfId="1012" xr:uid="{00000000-0005-0000-0000-000069000000}"/>
    <cellStyle name="Normal 20" xfId="511" xr:uid="{00000000-0005-0000-0000-00006A000000}"/>
    <cellStyle name="Normal 20 2" xfId="1008" xr:uid="{00000000-0005-0000-0000-00006B000000}"/>
    <cellStyle name="Normal 21" xfId="1009" xr:uid="{00000000-0005-0000-0000-00006C000000}"/>
    <cellStyle name="Normal 22" xfId="1010" xr:uid="{00000000-0005-0000-0000-00006D000000}"/>
    <cellStyle name="Normal 22 2" xfId="2010" xr:uid="{00000000-0005-0000-0000-00006E000000}"/>
    <cellStyle name="Normal 3" xfId="3" xr:uid="{00000000-0005-0000-0000-00006F000000}"/>
    <cellStyle name="Normal 3 10" xfId="192" xr:uid="{00000000-0005-0000-0000-000070000000}"/>
    <cellStyle name="Normal 3 10 2" xfId="441" xr:uid="{00000000-0005-0000-0000-000071000000}"/>
    <cellStyle name="Normal 3 10 2 2" xfId="940" xr:uid="{00000000-0005-0000-0000-000072000000}"/>
    <cellStyle name="Normal 3 10 2 2 2" xfId="1942" xr:uid="{00000000-0005-0000-0000-000073000000}"/>
    <cellStyle name="Normal 3 10 2 3" xfId="1446" xr:uid="{00000000-0005-0000-0000-000074000000}"/>
    <cellStyle name="Normal 3 10 3" xfId="692" xr:uid="{00000000-0005-0000-0000-000075000000}"/>
    <cellStyle name="Normal 3 10 3 2" xfId="1694" xr:uid="{00000000-0005-0000-0000-000076000000}"/>
    <cellStyle name="Normal 3 10 4" xfId="1198" xr:uid="{00000000-0005-0000-0000-000077000000}"/>
    <cellStyle name="Normal 3 11" xfId="213" xr:uid="{00000000-0005-0000-0000-000078000000}"/>
    <cellStyle name="Normal 3 11 2" xfId="462" xr:uid="{00000000-0005-0000-0000-000079000000}"/>
    <cellStyle name="Normal 3 11 2 2" xfId="961" xr:uid="{00000000-0005-0000-0000-00007A000000}"/>
    <cellStyle name="Normal 3 11 2 2 2" xfId="1963" xr:uid="{00000000-0005-0000-0000-00007B000000}"/>
    <cellStyle name="Normal 3 11 2 3" xfId="1467" xr:uid="{00000000-0005-0000-0000-00007C000000}"/>
    <cellStyle name="Normal 3 11 3" xfId="713" xr:uid="{00000000-0005-0000-0000-00007D000000}"/>
    <cellStyle name="Normal 3 11 3 2" xfId="1715" xr:uid="{00000000-0005-0000-0000-00007E000000}"/>
    <cellStyle name="Normal 3 11 4" xfId="1219" xr:uid="{00000000-0005-0000-0000-00007F000000}"/>
    <cellStyle name="Normal 3 12" xfId="260" xr:uid="{00000000-0005-0000-0000-000080000000}"/>
    <cellStyle name="Normal 3 12 2" xfId="760" xr:uid="{00000000-0005-0000-0000-000081000000}"/>
    <cellStyle name="Normal 3 12 2 2" xfId="1762" xr:uid="{00000000-0005-0000-0000-000082000000}"/>
    <cellStyle name="Normal 3 12 3" xfId="1266" xr:uid="{00000000-0005-0000-0000-000083000000}"/>
    <cellStyle name="Normal 3 13" xfId="10" xr:uid="{00000000-0005-0000-0000-000084000000}"/>
    <cellStyle name="Normal 3 13 2" xfId="1018" xr:uid="{00000000-0005-0000-0000-000085000000}"/>
    <cellStyle name="Normal 3 14" xfId="512" xr:uid="{00000000-0005-0000-0000-000086000000}"/>
    <cellStyle name="Normal 3 14 2" xfId="1514" xr:uid="{00000000-0005-0000-0000-000087000000}"/>
    <cellStyle name="Normal 3 15" xfId="1013" xr:uid="{00000000-0005-0000-0000-000088000000}"/>
    <cellStyle name="Normal 3 2" xfId="11" xr:uid="{00000000-0005-0000-0000-000089000000}"/>
    <cellStyle name="Normal 3 2 10" xfId="214" xr:uid="{00000000-0005-0000-0000-00008A000000}"/>
    <cellStyle name="Normal 3 2 10 2" xfId="463" xr:uid="{00000000-0005-0000-0000-00008B000000}"/>
    <cellStyle name="Normal 3 2 10 2 2" xfId="962" xr:uid="{00000000-0005-0000-0000-00008C000000}"/>
    <cellStyle name="Normal 3 2 10 2 2 2" xfId="1964" xr:uid="{00000000-0005-0000-0000-00008D000000}"/>
    <cellStyle name="Normal 3 2 10 2 3" xfId="1468" xr:uid="{00000000-0005-0000-0000-00008E000000}"/>
    <cellStyle name="Normal 3 2 10 3" xfId="714" xr:uid="{00000000-0005-0000-0000-00008F000000}"/>
    <cellStyle name="Normal 3 2 10 3 2" xfId="1716" xr:uid="{00000000-0005-0000-0000-000090000000}"/>
    <cellStyle name="Normal 3 2 10 4" xfId="1220" xr:uid="{00000000-0005-0000-0000-000091000000}"/>
    <cellStyle name="Normal 3 2 11" xfId="261" xr:uid="{00000000-0005-0000-0000-000092000000}"/>
    <cellStyle name="Normal 3 2 11 2" xfId="761" xr:uid="{00000000-0005-0000-0000-000093000000}"/>
    <cellStyle name="Normal 3 2 11 2 2" xfId="1763" xr:uid="{00000000-0005-0000-0000-000094000000}"/>
    <cellStyle name="Normal 3 2 11 3" xfId="1267" xr:uid="{00000000-0005-0000-0000-000095000000}"/>
    <cellStyle name="Normal 3 2 12" xfId="513" xr:uid="{00000000-0005-0000-0000-000096000000}"/>
    <cellStyle name="Normal 3 2 12 2" xfId="1515" xr:uid="{00000000-0005-0000-0000-000097000000}"/>
    <cellStyle name="Normal 3 2 13" xfId="1019" xr:uid="{00000000-0005-0000-0000-000098000000}"/>
    <cellStyle name="Normal 3 2 2" xfId="13" xr:uid="{00000000-0005-0000-0000-000099000000}"/>
    <cellStyle name="Normal 3 2 2 10" xfId="263" xr:uid="{00000000-0005-0000-0000-00009A000000}"/>
    <cellStyle name="Normal 3 2 2 10 2" xfId="763" xr:uid="{00000000-0005-0000-0000-00009B000000}"/>
    <cellStyle name="Normal 3 2 2 10 2 2" xfId="1765" xr:uid="{00000000-0005-0000-0000-00009C000000}"/>
    <cellStyle name="Normal 3 2 2 10 3" xfId="1269" xr:uid="{00000000-0005-0000-0000-00009D000000}"/>
    <cellStyle name="Normal 3 2 2 11" xfId="515" xr:uid="{00000000-0005-0000-0000-00009E000000}"/>
    <cellStyle name="Normal 3 2 2 11 2" xfId="1517" xr:uid="{00000000-0005-0000-0000-00009F000000}"/>
    <cellStyle name="Normal 3 2 2 12" xfId="1021" xr:uid="{00000000-0005-0000-0000-0000A0000000}"/>
    <cellStyle name="Normal 3 2 2 2" xfId="17" xr:uid="{00000000-0005-0000-0000-0000A1000000}"/>
    <cellStyle name="Normal 3 2 2 2 10" xfId="519" xr:uid="{00000000-0005-0000-0000-0000A2000000}"/>
    <cellStyle name="Normal 3 2 2 2 10 2" xfId="1521" xr:uid="{00000000-0005-0000-0000-0000A3000000}"/>
    <cellStyle name="Normal 3 2 2 2 11" xfId="1025" xr:uid="{00000000-0005-0000-0000-0000A4000000}"/>
    <cellStyle name="Normal 3 2 2 2 2" xfId="28" xr:uid="{00000000-0005-0000-0000-0000A5000000}"/>
    <cellStyle name="Normal 3 2 2 2 2 10" xfId="1035" xr:uid="{00000000-0005-0000-0000-0000A6000000}"/>
    <cellStyle name="Normal 3 2 2 2 2 2" xfId="52" xr:uid="{00000000-0005-0000-0000-0000A7000000}"/>
    <cellStyle name="Normal 3 2 2 2 2 2 2" xfId="121" xr:uid="{00000000-0005-0000-0000-0000A8000000}"/>
    <cellStyle name="Normal 3 2 2 2 2 2 2 2" xfId="370" xr:uid="{00000000-0005-0000-0000-0000A9000000}"/>
    <cellStyle name="Normal 3 2 2 2 2 2 2 2 2" xfId="869" xr:uid="{00000000-0005-0000-0000-0000AA000000}"/>
    <cellStyle name="Normal 3 2 2 2 2 2 2 2 2 2" xfId="1871" xr:uid="{00000000-0005-0000-0000-0000AB000000}"/>
    <cellStyle name="Normal 3 2 2 2 2 2 2 2 3" xfId="1375" xr:uid="{00000000-0005-0000-0000-0000AC000000}"/>
    <cellStyle name="Normal 3 2 2 2 2 2 2 3" xfId="621" xr:uid="{00000000-0005-0000-0000-0000AD000000}"/>
    <cellStyle name="Normal 3 2 2 2 2 2 2 3 2" xfId="1623" xr:uid="{00000000-0005-0000-0000-0000AE000000}"/>
    <cellStyle name="Normal 3 2 2 2 2 2 2 4" xfId="1127" xr:uid="{00000000-0005-0000-0000-0000AF000000}"/>
    <cellStyle name="Normal 3 2 2 2 2 2 3" xfId="167" xr:uid="{00000000-0005-0000-0000-0000B0000000}"/>
    <cellStyle name="Normal 3 2 2 2 2 2 3 2" xfId="416" xr:uid="{00000000-0005-0000-0000-0000B1000000}"/>
    <cellStyle name="Normal 3 2 2 2 2 2 3 2 2" xfId="915" xr:uid="{00000000-0005-0000-0000-0000B2000000}"/>
    <cellStyle name="Normal 3 2 2 2 2 2 3 2 2 2" xfId="1917" xr:uid="{00000000-0005-0000-0000-0000B3000000}"/>
    <cellStyle name="Normal 3 2 2 2 2 2 3 2 3" xfId="1421" xr:uid="{00000000-0005-0000-0000-0000B4000000}"/>
    <cellStyle name="Normal 3 2 2 2 2 2 3 3" xfId="667" xr:uid="{00000000-0005-0000-0000-0000B5000000}"/>
    <cellStyle name="Normal 3 2 2 2 2 2 3 3 2" xfId="1669" xr:uid="{00000000-0005-0000-0000-0000B6000000}"/>
    <cellStyle name="Normal 3 2 2 2 2 2 3 4" xfId="1173" xr:uid="{00000000-0005-0000-0000-0000B7000000}"/>
    <cellStyle name="Normal 3 2 2 2 2 2 4" xfId="254" xr:uid="{00000000-0005-0000-0000-0000B8000000}"/>
    <cellStyle name="Normal 3 2 2 2 2 2 4 2" xfId="503" xr:uid="{00000000-0005-0000-0000-0000B9000000}"/>
    <cellStyle name="Normal 3 2 2 2 2 2 4 2 2" xfId="1002" xr:uid="{00000000-0005-0000-0000-0000BA000000}"/>
    <cellStyle name="Normal 3 2 2 2 2 2 4 2 2 2" xfId="2004" xr:uid="{00000000-0005-0000-0000-0000BB000000}"/>
    <cellStyle name="Normal 3 2 2 2 2 2 4 2 3" xfId="1508" xr:uid="{00000000-0005-0000-0000-0000BC000000}"/>
    <cellStyle name="Normal 3 2 2 2 2 2 4 3" xfId="754" xr:uid="{00000000-0005-0000-0000-0000BD000000}"/>
    <cellStyle name="Normal 3 2 2 2 2 2 4 3 2" xfId="1756" xr:uid="{00000000-0005-0000-0000-0000BE000000}"/>
    <cellStyle name="Normal 3 2 2 2 2 2 4 4" xfId="1260" xr:uid="{00000000-0005-0000-0000-0000BF000000}"/>
    <cellStyle name="Normal 3 2 2 2 2 2 5" xfId="301" xr:uid="{00000000-0005-0000-0000-0000C0000000}"/>
    <cellStyle name="Normal 3 2 2 2 2 2 5 2" xfId="801" xr:uid="{00000000-0005-0000-0000-0000C1000000}"/>
    <cellStyle name="Normal 3 2 2 2 2 2 5 2 2" xfId="1803" xr:uid="{00000000-0005-0000-0000-0000C2000000}"/>
    <cellStyle name="Normal 3 2 2 2 2 2 5 3" xfId="1307" xr:uid="{00000000-0005-0000-0000-0000C3000000}"/>
    <cellStyle name="Normal 3 2 2 2 2 2 6" xfId="553" xr:uid="{00000000-0005-0000-0000-0000C4000000}"/>
    <cellStyle name="Normal 3 2 2 2 2 2 6 2" xfId="1555" xr:uid="{00000000-0005-0000-0000-0000C5000000}"/>
    <cellStyle name="Normal 3 2 2 2 2 2 7" xfId="1059" xr:uid="{00000000-0005-0000-0000-0000C6000000}"/>
    <cellStyle name="Normal 3 2 2 2 2 3" xfId="74" xr:uid="{00000000-0005-0000-0000-0000C7000000}"/>
    <cellStyle name="Normal 3 2 2 2 2 3 2" xfId="189" xr:uid="{00000000-0005-0000-0000-0000C8000000}"/>
    <cellStyle name="Normal 3 2 2 2 2 3 2 2" xfId="438" xr:uid="{00000000-0005-0000-0000-0000C9000000}"/>
    <cellStyle name="Normal 3 2 2 2 2 3 2 2 2" xfId="937" xr:uid="{00000000-0005-0000-0000-0000CA000000}"/>
    <cellStyle name="Normal 3 2 2 2 2 3 2 2 2 2" xfId="1939" xr:uid="{00000000-0005-0000-0000-0000CB000000}"/>
    <cellStyle name="Normal 3 2 2 2 2 3 2 2 3" xfId="1443" xr:uid="{00000000-0005-0000-0000-0000CC000000}"/>
    <cellStyle name="Normal 3 2 2 2 2 3 2 3" xfId="689" xr:uid="{00000000-0005-0000-0000-0000CD000000}"/>
    <cellStyle name="Normal 3 2 2 2 2 3 2 3 2" xfId="1691" xr:uid="{00000000-0005-0000-0000-0000CE000000}"/>
    <cellStyle name="Normal 3 2 2 2 2 3 2 4" xfId="1195" xr:uid="{00000000-0005-0000-0000-0000CF000000}"/>
    <cellStyle name="Normal 3 2 2 2 2 3 3" xfId="323" xr:uid="{00000000-0005-0000-0000-0000D0000000}"/>
    <cellStyle name="Normal 3 2 2 2 2 3 3 2" xfId="823" xr:uid="{00000000-0005-0000-0000-0000D1000000}"/>
    <cellStyle name="Normal 3 2 2 2 2 3 3 2 2" xfId="1825" xr:uid="{00000000-0005-0000-0000-0000D2000000}"/>
    <cellStyle name="Normal 3 2 2 2 2 3 3 3" xfId="1329" xr:uid="{00000000-0005-0000-0000-0000D3000000}"/>
    <cellStyle name="Normal 3 2 2 2 2 3 4" xfId="575" xr:uid="{00000000-0005-0000-0000-0000D4000000}"/>
    <cellStyle name="Normal 3 2 2 2 2 3 4 2" xfId="1577" xr:uid="{00000000-0005-0000-0000-0000D5000000}"/>
    <cellStyle name="Normal 3 2 2 2 2 3 5" xfId="1081" xr:uid="{00000000-0005-0000-0000-0000D6000000}"/>
    <cellStyle name="Normal 3 2 2 2 2 4" xfId="97" xr:uid="{00000000-0005-0000-0000-0000D7000000}"/>
    <cellStyle name="Normal 3 2 2 2 2 4 2" xfId="346" xr:uid="{00000000-0005-0000-0000-0000D8000000}"/>
    <cellStyle name="Normal 3 2 2 2 2 4 2 2" xfId="845" xr:uid="{00000000-0005-0000-0000-0000D9000000}"/>
    <cellStyle name="Normal 3 2 2 2 2 4 2 2 2" xfId="1847" xr:uid="{00000000-0005-0000-0000-0000DA000000}"/>
    <cellStyle name="Normal 3 2 2 2 2 4 2 3" xfId="1351" xr:uid="{00000000-0005-0000-0000-0000DB000000}"/>
    <cellStyle name="Normal 3 2 2 2 2 4 3" xfId="597" xr:uid="{00000000-0005-0000-0000-0000DC000000}"/>
    <cellStyle name="Normal 3 2 2 2 2 4 3 2" xfId="1599" xr:uid="{00000000-0005-0000-0000-0000DD000000}"/>
    <cellStyle name="Normal 3 2 2 2 2 4 4" xfId="1103" xr:uid="{00000000-0005-0000-0000-0000DE000000}"/>
    <cellStyle name="Normal 3 2 2 2 2 5" xfId="143" xr:uid="{00000000-0005-0000-0000-0000DF000000}"/>
    <cellStyle name="Normal 3 2 2 2 2 5 2" xfId="392" xr:uid="{00000000-0005-0000-0000-0000E0000000}"/>
    <cellStyle name="Normal 3 2 2 2 2 5 2 2" xfId="891" xr:uid="{00000000-0005-0000-0000-0000E1000000}"/>
    <cellStyle name="Normal 3 2 2 2 2 5 2 2 2" xfId="1893" xr:uid="{00000000-0005-0000-0000-0000E2000000}"/>
    <cellStyle name="Normal 3 2 2 2 2 5 2 3" xfId="1397" xr:uid="{00000000-0005-0000-0000-0000E3000000}"/>
    <cellStyle name="Normal 3 2 2 2 2 5 3" xfId="643" xr:uid="{00000000-0005-0000-0000-0000E4000000}"/>
    <cellStyle name="Normal 3 2 2 2 2 5 3 2" xfId="1645" xr:uid="{00000000-0005-0000-0000-0000E5000000}"/>
    <cellStyle name="Normal 3 2 2 2 2 5 4" xfId="1149" xr:uid="{00000000-0005-0000-0000-0000E6000000}"/>
    <cellStyle name="Normal 3 2 2 2 2 6" xfId="209" xr:uid="{00000000-0005-0000-0000-0000E7000000}"/>
    <cellStyle name="Normal 3 2 2 2 2 6 2" xfId="458" xr:uid="{00000000-0005-0000-0000-0000E8000000}"/>
    <cellStyle name="Normal 3 2 2 2 2 6 2 2" xfId="957" xr:uid="{00000000-0005-0000-0000-0000E9000000}"/>
    <cellStyle name="Normal 3 2 2 2 2 6 2 2 2" xfId="1959" xr:uid="{00000000-0005-0000-0000-0000EA000000}"/>
    <cellStyle name="Normal 3 2 2 2 2 6 2 3" xfId="1463" xr:uid="{00000000-0005-0000-0000-0000EB000000}"/>
    <cellStyle name="Normal 3 2 2 2 2 6 3" xfId="709" xr:uid="{00000000-0005-0000-0000-0000EC000000}"/>
    <cellStyle name="Normal 3 2 2 2 2 6 3 2" xfId="1711" xr:uid="{00000000-0005-0000-0000-0000ED000000}"/>
    <cellStyle name="Normal 3 2 2 2 2 6 4" xfId="1215" xr:uid="{00000000-0005-0000-0000-0000EE000000}"/>
    <cellStyle name="Normal 3 2 2 2 2 7" xfId="230" xr:uid="{00000000-0005-0000-0000-0000EF000000}"/>
    <cellStyle name="Normal 3 2 2 2 2 7 2" xfId="479" xr:uid="{00000000-0005-0000-0000-0000F0000000}"/>
    <cellStyle name="Normal 3 2 2 2 2 7 2 2" xfId="978" xr:uid="{00000000-0005-0000-0000-0000F1000000}"/>
    <cellStyle name="Normal 3 2 2 2 2 7 2 2 2" xfId="1980" xr:uid="{00000000-0005-0000-0000-0000F2000000}"/>
    <cellStyle name="Normal 3 2 2 2 2 7 2 3" xfId="1484" xr:uid="{00000000-0005-0000-0000-0000F3000000}"/>
    <cellStyle name="Normal 3 2 2 2 2 7 3" xfId="730" xr:uid="{00000000-0005-0000-0000-0000F4000000}"/>
    <cellStyle name="Normal 3 2 2 2 2 7 3 2" xfId="1732" xr:uid="{00000000-0005-0000-0000-0000F5000000}"/>
    <cellStyle name="Normal 3 2 2 2 2 7 4" xfId="1236" xr:uid="{00000000-0005-0000-0000-0000F6000000}"/>
    <cellStyle name="Normal 3 2 2 2 2 8" xfId="277" xr:uid="{00000000-0005-0000-0000-0000F7000000}"/>
    <cellStyle name="Normal 3 2 2 2 2 8 2" xfId="777" xr:uid="{00000000-0005-0000-0000-0000F8000000}"/>
    <cellStyle name="Normal 3 2 2 2 2 8 2 2" xfId="1779" xr:uid="{00000000-0005-0000-0000-0000F9000000}"/>
    <cellStyle name="Normal 3 2 2 2 2 8 3" xfId="1283" xr:uid="{00000000-0005-0000-0000-0000FA000000}"/>
    <cellStyle name="Normal 3 2 2 2 2 9" xfId="529" xr:uid="{00000000-0005-0000-0000-0000FB000000}"/>
    <cellStyle name="Normal 3 2 2 2 2 9 2" xfId="1531" xr:uid="{00000000-0005-0000-0000-0000FC000000}"/>
    <cellStyle name="Normal 3 2 2 2 3" xfId="42" xr:uid="{00000000-0005-0000-0000-0000FD000000}"/>
    <cellStyle name="Normal 3 2 2 2 3 2" xfId="111" xr:uid="{00000000-0005-0000-0000-0000FE000000}"/>
    <cellStyle name="Normal 3 2 2 2 3 2 2" xfId="360" xr:uid="{00000000-0005-0000-0000-0000FF000000}"/>
    <cellStyle name="Normal 3 2 2 2 3 2 2 2" xfId="859" xr:uid="{00000000-0005-0000-0000-000000010000}"/>
    <cellStyle name="Normal 3 2 2 2 3 2 2 2 2" xfId="1861" xr:uid="{00000000-0005-0000-0000-000001010000}"/>
    <cellStyle name="Normal 3 2 2 2 3 2 2 3" xfId="1365" xr:uid="{00000000-0005-0000-0000-000002010000}"/>
    <cellStyle name="Normal 3 2 2 2 3 2 3" xfId="611" xr:uid="{00000000-0005-0000-0000-000003010000}"/>
    <cellStyle name="Normal 3 2 2 2 3 2 3 2" xfId="1613" xr:uid="{00000000-0005-0000-0000-000004010000}"/>
    <cellStyle name="Normal 3 2 2 2 3 2 4" xfId="1117" xr:uid="{00000000-0005-0000-0000-000005010000}"/>
    <cellStyle name="Normal 3 2 2 2 3 3" xfId="157" xr:uid="{00000000-0005-0000-0000-000006010000}"/>
    <cellStyle name="Normal 3 2 2 2 3 3 2" xfId="406" xr:uid="{00000000-0005-0000-0000-000007010000}"/>
    <cellStyle name="Normal 3 2 2 2 3 3 2 2" xfId="905" xr:uid="{00000000-0005-0000-0000-000008010000}"/>
    <cellStyle name="Normal 3 2 2 2 3 3 2 2 2" xfId="1907" xr:uid="{00000000-0005-0000-0000-000009010000}"/>
    <cellStyle name="Normal 3 2 2 2 3 3 2 3" xfId="1411" xr:uid="{00000000-0005-0000-0000-00000A010000}"/>
    <cellStyle name="Normal 3 2 2 2 3 3 3" xfId="657" xr:uid="{00000000-0005-0000-0000-00000B010000}"/>
    <cellStyle name="Normal 3 2 2 2 3 3 3 2" xfId="1659" xr:uid="{00000000-0005-0000-0000-00000C010000}"/>
    <cellStyle name="Normal 3 2 2 2 3 3 4" xfId="1163" xr:uid="{00000000-0005-0000-0000-00000D010000}"/>
    <cellStyle name="Normal 3 2 2 2 3 4" xfId="244" xr:uid="{00000000-0005-0000-0000-00000E010000}"/>
    <cellStyle name="Normal 3 2 2 2 3 4 2" xfId="493" xr:uid="{00000000-0005-0000-0000-00000F010000}"/>
    <cellStyle name="Normal 3 2 2 2 3 4 2 2" xfId="992" xr:uid="{00000000-0005-0000-0000-000010010000}"/>
    <cellStyle name="Normal 3 2 2 2 3 4 2 2 2" xfId="1994" xr:uid="{00000000-0005-0000-0000-000011010000}"/>
    <cellStyle name="Normal 3 2 2 2 3 4 2 3" xfId="1498" xr:uid="{00000000-0005-0000-0000-000012010000}"/>
    <cellStyle name="Normal 3 2 2 2 3 4 3" xfId="744" xr:uid="{00000000-0005-0000-0000-000013010000}"/>
    <cellStyle name="Normal 3 2 2 2 3 4 3 2" xfId="1746" xr:uid="{00000000-0005-0000-0000-000014010000}"/>
    <cellStyle name="Normal 3 2 2 2 3 4 4" xfId="1250" xr:uid="{00000000-0005-0000-0000-000015010000}"/>
    <cellStyle name="Normal 3 2 2 2 3 5" xfId="291" xr:uid="{00000000-0005-0000-0000-000016010000}"/>
    <cellStyle name="Normal 3 2 2 2 3 5 2" xfId="791" xr:uid="{00000000-0005-0000-0000-000017010000}"/>
    <cellStyle name="Normal 3 2 2 2 3 5 2 2" xfId="1793" xr:uid="{00000000-0005-0000-0000-000018010000}"/>
    <cellStyle name="Normal 3 2 2 2 3 5 3" xfId="1297" xr:uid="{00000000-0005-0000-0000-000019010000}"/>
    <cellStyle name="Normal 3 2 2 2 3 6" xfId="543" xr:uid="{00000000-0005-0000-0000-00001A010000}"/>
    <cellStyle name="Normal 3 2 2 2 3 6 2" xfId="1545" xr:uid="{00000000-0005-0000-0000-00001B010000}"/>
    <cellStyle name="Normal 3 2 2 2 3 7" xfId="1049" xr:uid="{00000000-0005-0000-0000-00001C010000}"/>
    <cellStyle name="Normal 3 2 2 2 4" xfId="64" xr:uid="{00000000-0005-0000-0000-00001D010000}"/>
    <cellStyle name="Normal 3 2 2 2 4 2" xfId="179" xr:uid="{00000000-0005-0000-0000-00001E010000}"/>
    <cellStyle name="Normal 3 2 2 2 4 2 2" xfId="428" xr:uid="{00000000-0005-0000-0000-00001F010000}"/>
    <cellStyle name="Normal 3 2 2 2 4 2 2 2" xfId="927" xr:uid="{00000000-0005-0000-0000-000020010000}"/>
    <cellStyle name="Normal 3 2 2 2 4 2 2 2 2" xfId="1929" xr:uid="{00000000-0005-0000-0000-000021010000}"/>
    <cellStyle name="Normal 3 2 2 2 4 2 2 3" xfId="1433" xr:uid="{00000000-0005-0000-0000-000022010000}"/>
    <cellStyle name="Normal 3 2 2 2 4 2 3" xfId="679" xr:uid="{00000000-0005-0000-0000-000023010000}"/>
    <cellStyle name="Normal 3 2 2 2 4 2 3 2" xfId="1681" xr:uid="{00000000-0005-0000-0000-000024010000}"/>
    <cellStyle name="Normal 3 2 2 2 4 2 4" xfId="1185" xr:uid="{00000000-0005-0000-0000-000025010000}"/>
    <cellStyle name="Normal 3 2 2 2 4 3" xfId="313" xr:uid="{00000000-0005-0000-0000-000026010000}"/>
    <cellStyle name="Normal 3 2 2 2 4 3 2" xfId="813" xr:uid="{00000000-0005-0000-0000-000027010000}"/>
    <cellStyle name="Normal 3 2 2 2 4 3 2 2" xfId="1815" xr:uid="{00000000-0005-0000-0000-000028010000}"/>
    <cellStyle name="Normal 3 2 2 2 4 3 3" xfId="1319" xr:uid="{00000000-0005-0000-0000-000029010000}"/>
    <cellStyle name="Normal 3 2 2 2 4 4" xfId="565" xr:uid="{00000000-0005-0000-0000-00002A010000}"/>
    <cellStyle name="Normal 3 2 2 2 4 4 2" xfId="1567" xr:uid="{00000000-0005-0000-0000-00002B010000}"/>
    <cellStyle name="Normal 3 2 2 2 4 5" xfId="1071" xr:uid="{00000000-0005-0000-0000-00002C010000}"/>
    <cellStyle name="Normal 3 2 2 2 5" xfId="87" xr:uid="{00000000-0005-0000-0000-00002D010000}"/>
    <cellStyle name="Normal 3 2 2 2 5 2" xfId="336" xr:uid="{00000000-0005-0000-0000-00002E010000}"/>
    <cellStyle name="Normal 3 2 2 2 5 2 2" xfId="835" xr:uid="{00000000-0005-0000-0000-00002F010000}"/>
    <cellStyle name="Normal 3 2 2 2 5 2 2 2" xfId="1837" xr:uid="{00000000-0005-0000-0000-000030010000}"/>
    <cellStyle name="Normal 3 2 2 2 5 2 3" xfId="1341" xr:uid="{00000000-0005-0000-0000-000031010000}"/>
    <cellStyle name="Normal 3 2 2 2 5 3" xfId="587" xr:uid="{00000000-0005-0000-0000-000032010000}"/>
    <cellStyle name="Normal 3 2 2 2 5 3 2" xfId="1589" xr:uid="{00000000-0005-0000-0000-000033010000}"/>
    <cellStyle name="Normal 3 2 2 2 5 4" xfId="1093" xr:uid="{00000000-0005-0000-0000-000034010000}"/>
    <cellStyle name="Normal 3 2 2 2 6" xfId="133" xr:uid="{00000000-0005-0000-0000-000035010000}"/>
    <cellStyle name="Normal 3 2 2 2 6 2" xfId="382" xr:uid="{00000000-0005-0000-0000-000036010000}"/>
    <cellStyle name="Normal 3 2 2 2 6 2 2" xfId="881" xr:uid="{00000000-0005-0000-0000-000037010000}"/>
    <cellStyle name="Normal 3 2 2 2 6 2 2 2" xfId="1883" xr:uid="{00000000-0005-0000-0000-000038010000}"/>
    <cellStyle name="Normal 3 2 2 2 6 2 3" xfId="1387" xr:uid="{00000000-0005-0000-0000-000039010000}"/>
    <cellStyle name="Normal 3 2 2 2 6 3" xfId="633" xr:uid="{00000000-0005-0000-0000-00003A010000}"/>
    <cellStyle name="Normal 3 2 2 2 6 3 2" xfId="1635" xr:uid="{00000000-0005-0000-0000-00003B010000}"/>
    <cellStyle name="Normal 3 2 2 2 6 4" xfId="1139" xr:uid="{00000000-0005-0000-0000-00003C010000}"/>
    <cellStyle name="Normal 3 2 2 2 7" xfId="199" xr:uid="{00000000-0005-0000-0000-00003D010000}"/>
    <cellStyle name="Normal 3 2 2 2 7 2" xfId="448" xr:uid="{00000000-0005-0000-0000-00003E010000}"/>
    <cellStyle name="Normal 3 2 2 2 7 2 2" xfId="947" xr:uid="{00000000-0005-0000-0000-00003F010000}"/>
    <cellStyle name="Normal 3 2 2 2 7 2 2 2" xfId="1949" xr:uid="{00000000-0005-0000-0000-000040010000}"/>
    <cellStyle name="Normal 3 2 2 2 7 2 3" xfId="1453" xr:uid="{00000000-0005-0000-0000-000041010000}"/>
    <cellStyle name="Normal 3 2 2 2 7 3" xfId="699" xr:uid="{00000000-0005-0000-0000-000042010000}"/>
    <cellStyle name="Normal 3 2 2 2 7 3 2" xfId="1701" xr:uid="{00000000-0005-0000-0000-000043010000}"/>
    <cellStyle name="Normal 3 2 2 2 7 4" xfId="1205" xr:uid="{00000000-0005-0000-0000-000044010000}"/>
    <cellStyle name="Normal 3 2 2 2 8" xfId="220" xr:uid="{00000000-0005-0000-0000-000045010000}"/>
    <cellStyle name="Normal 3 2 2 2 8 2" xfId="469" xr:uid="{00000000-0005-0000-0000-000046010000}"/>
    <cellStyle name="Normal 3 2 2 2 8 2 2" xfId="968" xr:uid="{00000000-0005-0000-0000-000047010000}"/>
    <cellStyle name="Normal 3 2 2 2 8 2 2 2" xfId="1970" xr:uid="{00000000-0005-0000-0000-000048010000}"/>
    <cellStyle name="Normal 3 2 2 2 8 2 3" xfId="1474" xr:uid="{00000000-0005-0000-0000-000049010000}"/>
    <cellStyle name="Normal 3 2 2 2 8 3" xfId="720" xr:uid="{00000000-0005-0000-0000-00004A010000}"/>
    <cellStyle name="Normal 3 2 2 2 8 3 2" xfId="1722" xr:uid="{00000000-0005-0000-0000-00004B010000}"/>
    <cellStyle name="Normal 3 2 2 2 8 4" xfId="1226" xr:uid="{00000000-0005-0000-0000-00004C010000}"/>
    <cellStyle name="Normal 3 2 2 2 9" xfId="267" xr:uid="{00000000-0005-0000-0000-00004D010000}"/>
    <cellStyle name="Normal 3 2 2 2 9 2" xfId="767" xr:uid="{00000000-0005-0000-0000-00004E010000}"/>
    <cellStyle name="Normal 3 2 2 2 9 2 2" xfId="1769" xr:uid="{00000000-0005-0000-0000-00004F010000}"/>
    <cellStyle name="Normal 3 2 2 2 9 3" xfId="1273" xr:uid="{00000000-0005-0000-0000-000050010000}"/>
    <cellStyle name="Normal 3 2 2 3" xfId="24" xr:uid="{00000000-0005-0000-0000-000051010000}"/>
    <cellStyle name="Normal 3 2 2 3 10" xfId="1031" xr:uid="{00000000-0005-0000-0000-000052010000}"/>
    <cellStyle name="Normal 3 2 2 3 2" xfId="48" xr:uid="{00000000-0005-0000-0000-000053010000}"/>
    <cellStyle name="Normal 3 2 2 3 2 2" xfId="117" xr:uid="{00000000-0005-0000-0000-000054010000}"/>
    <cellStyle name="Normal 3 2 2 3 2 2 2" xfId="366" xr:uid="{00000000-0005-0000-0000-000055010000}"/>
    <cellStyle name="Normal 3 2 2 3 2 2 2 2" xfId="865" xr:uid="{00000000-0005-0000-0000-000056010000}"/>
    <cellStyle name="Normal 3 2 2 3 2 2 2 2 2" xfId="1867" xr:uid="{00000000-0005-0000-0000-000057010000}"/>
    <cellStyle name="Normal 3 2 2 3 2 2 2 3" xfId="1371" xr:uid="{00000000-0005-0000-0000-000058010000}"/>
    <cellStyle name="Normal 3 2 2 3 2 2 3" xfId="617" xr:uid="{00000000-0005-0000-0000-000059010000}"/>
    <cellStyle name="Normal 3 2 2 3 2 2 3 2" xfId="1619" xr:uid="{00000000-0005-0000-0000-00005A010000}"/>
    <cellStyle name="Normal 3 2 2 3 2 2 4" xfId="1123" xr:uid="{00000000-0005-0000-0000-00005B010000}"/>
    <cellStyle name="Normal 3 2 2 3 2 3" xfId="163" xr:uid="{00000000-0005-0000-0000-00005C010000}"/>
    <cellStyle name="Normal 3 2 2 3 2 3 2" xfId="412" xr:uid="{00000000-0005-0000-0000-00005D010000}"/>
    <cellStyle name="Normal 3 2 2 3 2 3 2 2" xfId="911" xr:uid="{00000000-0005-0000-0000-00005E010000}"/>
    <cellStyle name="Normal 3 2 2 3 2 3 2 2 2" xfId="1913" xr:uid="{00000000-0005-0000-0000-00005F010000}"/>
    <cellStyle name="Normal 3 2 2 3 2 3 2 3" xfId="1417" xr:uid="{00000000-0005-0000-0000-000060010000}"/>
    <cellStyle name="Normal 3 2 2 3 2 3 3" xfId="663" xr:uid="{00000000-0005-0000-0000-000061010000}"/>
    <cellStyle name="Normal 3 2 2 3 2 3 3 2" xfId="1665" xr:uid="{00000000-0005-0000-0000-000062010000}"/>
    <cellStyle name="Normal 3 2 2 3 2 3 4" xfId="1169" xr:uid="{00000000-0005-0000-0000-000063010000}"/>
    <cellStyle name="Normal 3 2 2 3 2 4" xfId="250" xr:uid="{00000000-0005-0000-0000-000064010000}"/>
    <cellStyle name="Normal 3 2 2 3 2 4 2" xfId="499" xr:uid="{00000000-0005-0000-0000-000065010000}"/>
    <cellStyle name="Normal 3 2 2 3 2 4 2 2" xfId="998" xr:uid="{00000000-0005-0000-0000-000066010000}"/>
    <cellStyle name="Normal 3 2 2 3 2 4 2 2 2" xfId="2000" xr:uid="{00000000-0005-0000-0000-000067010000}"/>
    <cellStyle name="Normal 3 2 2 3 2 4 2 3" xfId="1504" xr:uid="{00000000-0005-0000-0000-000068010000}"/>
    <cellStyle name="Normal 3 2 2 3 2 4 3" xfId="750" xr:uid="{00000000-0005-0000-0000-000069010000}"/>
    <cellStyle name="Normal 3 2 2 3 2 4 3 2" xfId="1752" xr:uid="{00000000-0005-0000-0000-00006A010000}"/>
    <cellStyle name="Normal 3 2 2 3 2 4 4" xfId="1256" xr:uid="{00000000-0005-0000-0000-00006B010000}"/>
    <cellStyle name="Normal 3 2 2 3 2 5" xfId="297" xr:uid="{00000000-0005-0000-0000-00006C010000}"/>
    <cellStyle name="Normal 3 2 2 3 2 5 2" xfId="797" xr:uid="{00000000-0005-0000-0000-00006D010000}"/>
    <cellStyle name="Normal 3 2 2 3 2 5 2 2" xfId="1799" xr:uid="{00000000-0005-0000-0000-00006E010000}"/>
    <cellStyle name="Normal 3 2 2 3 2 5 3" xfId="1303" xr:uid="{00000000-0005-0000-0000-00006F010000}"/>
    <cellStyle name="Normal 3 2 2 3 2 6" xfId="549" xr:uid="{00000000-0005-0000-0000-000070010000}"/>
    <cellStyle name="Normal 3 2 2 3 2 6 2" xfId="1551" xr:uid="{00000000-0005-0000-0000-000071010000}"/>
    <cellStyle name="Normal 3 2 2 3 2 7" xfId="1055" xr:uid="{00000000-0005-0000-0000-000072010000}"/>
    <cellStyle name="Normal 3 2 2 3 3" xfId="70" xr:uid="{00000000-0005-0000-0000-000073010000}"/>
    <cellStyle name="Normal 3 2 2 3 3 2" xfId="185" xr:uid="{00000000-0005-0000-0000-000074010000}"/>
    <cellStyle name="Normal 3 2 2 3 3 2 2" xfId="434" xr:uid="{00000000-0005-0000-0000-000075010000}"/>
    <cellStyle name="Normal 3 2 2 3 3 2 2 2" xfId="933" xr:uid="{00000000-0005-0000-0000-000076010000}"/>
    <cellStyle name="Normal 3 2 2 3 3 2 2 2 2" xfId="1935" xr:uid="{00000000-0005-0000-0000-000077010000}"/>
    <cellStyle name="Normal 3 2 2 3 3 2 2 3" xfId="1439" xr:uid="{00000000-0005-0000-0000-000078010000}"/>
    <cellStyle name="Normal 3 2 2 3 3 2 3" xfId="685" xr:uid="{00000000-0005-0000-0000-000079010000}"/>
    <cellStyle name="Normal 3 2 2 3 3 2 3 2" xfId="1687" xr:uid="{00000000-0005-0000-0000-00007A010000}"/>
    <cellStyle name="Normal 3 2 2 3 3 2 4" xfId="1191" xr:uid="{00000000-0005-0000-0000-00007B010000}"/>
    <cellStyle name="Normal 3 2 2 3 3 3" xfId="319" xr:uid="{00000000-0005-0000-0000-00007C010000}"/>
    <cellStyle name="Normal 3 2 2 3 3 3 2" xfId="819" xr:uid="{00000000-0005-0000-0000-00007D010000}"/>
    <cellStyle name="Normal 3 2 2 3 3 3 2 2" xfId="1821" xr:uid="{00000000-0005-0000-0000-00007E010000}"/>
    <cellStyle name="Normal 3 2 2 3 3 3 3" xfId="1325" xr:uid="{00000000-0005-0000-0000-00007F010000}"/>
    <cellStyle name="Normal 3 2 2 3 3 4" xfId="571" xr:uid="{00000000-0005-0000-0000-000080010000}"/>
    <cellStyle name="Normal 3 2 2 3 3 4 2" xfId="1573" xr:uid="{00000000-0005-0000-0000-000081010000}"/>
    <cellStyle name="Normal 3 2 2 3 3 5" xfId="1077" xr:uid="{00000000-0005-0000-0000-000082010000}"/>
    <cellStyle name="Normal 3 2 2 3 4" xfId="93" xr:uid="{00000000-0005-0000-0000-000083010000}"/>
    <cellStyle name="Normal 3 2 2 3 4 2" xfId="342" xr:uid="{00000000-0005-0000-0000-000084010000}"/>
    <cellStyle name="Normal 3 2 2 3 4 2 2" xfId="841" xr:uid="{00000000-0005-0000-0000-000085010000}"/>
    <cellStyle name="Normal 3 2 2 3 4 2 2 2" xfId="1843" xr:uid="{00000000-0005-0000-0000-000086010000}"/>
    <cellStyle name="Normal 3 2 2 3 4 2 3" xfId="1347" xr:uid="{00000000-0005-0000-0000-000087010000}"/>
    <cellStyle name="Normal 3 2 2 3 4 3" xfId="593" xr:uid="{00000000-0005-0000-0000-000088010000}"/>
    <cellStyle name="Normal 3 2 2 3 4 3 2" xfId="1595" xr:uid="{00000000-0005-0000-0000-000089010000}"/>
    <cellStyle name="Normal 3 2 2 3 4 4" xfId="1099" xr:uid="{00000000-0005-0000-0000-00008A010000}"/>
    <cellStyle name="Normal 3 2 2 3 5" xfId="139" xr:uid="{00000000-0005-0000-0000-00008B010000}"/>
    <cellStyle name="Normal 3 2 2 3 5 2" xfId="388" xr:uid="{00000000-0005-0000-0000-00008C010000}"/>
    <cellStyle name="Normal 3 2 2 3 5 2 2" xfId="887" xr:uid="{00000000-0005-0000-0000-00008D010000}"/>
    <cellStyle name="Normal 3 2 2 3 5 2 2 2" xfId="1889" xr:uid="{00000000-0005-0000-0000-00008E010000}"/>
    <cellStyle name="Normal 3 2 2 3 5 2 3" xfId="1393" xr:uid="{00000000-0005-0000-0000-00008F010000}"/>
    <cellStyle name="Normal 3 2 2 3 5 3" xfId="639" xr:uid="{00000000-0005-0000-0000-000090010000}"/>
    <cellStyle name="Normal 3 2 2 3 5 3 2" xfId="1641" xr:uid="{00000000-0005-0000-0000-000091010000}"/>
    <cellStyle name="Normal 3 2 2 3 5 4" xfId="1145" xr:uid="{00000000-0005-0000-0000-000092010000}"/>
    <cellStyle name="Normal 3 2 2 3 6" xfId="205" xr:uid="{00000000-0005-0000-0000-000093010000}"/>
    <cellStyle name="Normal 3 2 2 3 6 2" xfId="454" xr:uid="{00000000-0005-0000-0000-000094010000}"/>
    <cellStyle name="Normal 3 2 2 3 6 2 2" xfId="953" xr:uid="{00000000-0005-0000-0000-000095010000}"/>
    <cellStyle name="Normal 3 2 2 3 6 2 2 2" xfId="1955" xr:uid="{00000000-0005-0000-0000-000096010000}"/>
    <cellStyle name="Normal 3 2 2 3 6 2 3" xfId="1459" xr:uid="{00000000-0005-0000-0000-000097010000}"/>
    <cellStyle name="Normal 3 2 2 3 6 3" xfId="705" xr:uid="{00000000-0005-0000-0000-000098010000}"/>
    <cellStyle name="Normal 3 2 2 3 6 3 2" xfId="1707" xr:uid="{00000000-0005-0000-0000-000099010000}"/>
    <cellStyle name="Normal 3 2 2 3 6 4" xfId="1211" xr:uid="{00000000-0005-0000-0000-00009A010000}"/>
    <cellStyle name="Normal 3 2 2 3 7" xfId="226" xr:uid="{00000000-0005-0000-0000-00009B010000}"/>
    <cellStyle name="Normal 3 2 2 3 7 2" xfId="475" xr:uid="{00000000-0005-0000-0000-00009C010000}"/>
    <cellStyle name="Normal 3 2 2 3 7 2 2" xfId="974" xr:uid="{00000000-0005-0000-0000-00009D010000}"/>
    <cellStyle name="Normal 3 2 2 3 7 2 2 2" xfId="1976" xr:uid="{00000000-0005-0000-0000-00009E010000}"/>
    <cellStyle name="Normal 3 2 2 3 7 2 3" xfId="1480" xr:uid="{00000000-0005-0000-0000-00009F010000}"/>
    <cellStyle name="Normal 3 2 2 3 7 3" xfId="726" xr:uid="{00000000-0005-0000-0000-0000A0010000}"/>
    <cellStyle name="Normal 3 2 2 3 7 3 2" xfId="1728" xr:uid="{00000000-0005-0000-0000-0000A1010000}"/>
    <cellStyle name="Normal 3 2 2 3 7 4" xfId="1232" xr:uid="{00000000-0005-0000-0000-0000A2010000}"/>
    <cellStyle name="Normal 3 2 2 3 8" xfId="273" xr:uid="{00000000-0005-0000-0000-0000A3010000}"/>
    <cellStyle name="Normal 3 2 2 3 8 2" xfId="773" xr:uid="{00000000-0005-0000-0000-0000A4010000}"/>
    <cellStyle name="Normal 3 2 2 3 8 2 2" xfId="1775" xr:uid="{00000000-0005-0000-0000-0000A5010000}"/>
    <cellStyle name="Normal 3 2 2 3 8 3" xfId="1279" xr:uid="{00000000-0005-0000-0000-0000A6010000}"/>
    <cellStyle name="Normal 3 2 2 3 9" xfId="525" xr:uid="{00000000-0005-0000-0000-0000A7010000}"/>
    <cellStyle name="Normal 3 2 2 3 9 2" xfId="1527" xr:uid="{00000000-0005-0000-0000-0000A8010000}"/>
    <cellStyle name="Normal 3 2 2 4" xfId="38" xr:uid="{00000000-0005-0000-0000-0000A9010000}"/>
    <cellStyle name="Normal 3 2 2 4 2" xfId="107" xr:uid="{00000000-0005-0000-0000-0000AA010000}"/>
    <cellStyle name="Normal 3 2 2 4 2 2" xfId="356" xr:uid="{00000000-0005-0000-0000-0000AB010000}"/>
    <cellStyle name="Normal 3 2 2 4 2 2 2" xfId="855" xr:uid="{00000000-0005-0000-0000-0000AC010000}"/>
    <cellStyle name="Normal 3 2 2 4 2 2 2 2" xfId="1857" xr:uid="{00000000-0005-0000-0000-0000AD010000}"/>
    <cellStyle name="Normal 3 2 2 4 2 2 3" xfId="1361" xr:uid="{00000000-0005-0000-0000-0000AE010000}"/>
    <cellStyle name="Normal 3 2 2 4 2 3" xfId="607" xr:uid="{00000000-0005-0000-0000-0000AF010000}"/>
    <cellStyle name="Normal 3 2 2 4 2 3 2" xfId="1609" xr:uid="{00000000-0005-0000-0000-0000B0010000}"/>
    <cellStyle name="Normal 3 2 2 4 2 4" xfId="1113" xr:uid="{00000000-0005-0000-0000-0000B1010000}"/>
    <cellStyle name="Normal 3 2 2 4 3" xfId="153" xr:uid="{00000000-0005-0000-0000-0000B2010000}"/>
    <cellStyle name="Normal 3 2 2 4 3 2" xfId="402" xr:uid="{00000000-0005-0000-0000-0000B3010000}"/>
    <cellStyle name="Normal 3 2 2 4 3 2 2" xfId="901" xr:uid="{00000000-0005-0000-0000-0000B4010000}"/>
    <cellStyle name="Normal 3 2 2 4 3 2 2 2" xfId="1903" xr:uid="{00000000-0005-0000-0000-0000B5010000}"/>
    <cellStyle name="Normal 3 2 2 4 3 2 3" xfId="1407" xr:uid="{00000000-0005-0000-0000-0000B6010000}"/>
    <cellStyle name="Normal 3 2 2 4 3 3" xfId="653" xr:uid="{00000000-0005-0000-0000-0000B7010000}"/>
    <cellStyle name="Normal 3 2 2 4 3 3 2" xfId="1655" xr:uid="{00000000-0005-0000-0000-0000B8010000}"/>
    <cellStyle name="Normal 3 2 2 4 3 4" xfId="1159" xr:uid="{00000000-0005-0000-0000-0000B9010000}"/>
    <cellStyle name="Normal 3 2 2 4 4" xfId="240" xr:uid="{00000000-0005-0000-0000-0000BA010000}"/>
    <cellStyle name="Normal 3 2 2 4 4 2" xfId="489" xr:uid="{00000000-0005-0000-0000-0000BB010000}"/>
    <cellStyle name="Normal 3 2 2 4 4 2 2" xfId="988" xr:uid="{00000000-0005-0000-0000-0000BC010000}"/>
    <cellStyle name="Normal 3 2 2 4 4 2 2 2" xfId="1990" xr:uid="{00000000-0005-0000-0000-0000BD010000}"/>
    <cellStyle name="Normal 3 2 2 4 4 2 3" xfId="1494" xr:uid="{00000000-0005-0000-0000-0000BE010000}"/>
    <cellStyle name="Normal 3 2 2 4 4 3" xfId="740" xr:uid="{00000000-0005-0000-0000-0000BF010000}"/>
    <cellStyle name="Normal 3 2 2 4 4 3 2" xfId="1742" xr:uid="{00000000-0005-0000-0000-0000C0010000}"/>
    <cellStyle name="Normal 3 2 2 4 4 4" xfId="1246" xr:uid="{00000000-0005-0000-0000-0000C1010000}"/>
    <cellStyle name="Normal 3 2 2 4 5" xfId="287" xr:uid="{00000000-0005-0000-0000-0000C2010000}"/>
    <cellStyle name="Normal 3 2 2 4 5 2" xfId="787" xr:uid="{00000000-0005-0000-0000-0000C3010000}"/>
    <cellStyle name="Normal 3 2 2 4 5 2 2" xfId="1789" xr:uid="{00000000-0005-0000-0000-0000C4010000}"/>
    <cellStyle name="Normal 3 2 2 4 5 3" xfId="1293" xr:uid="{00000000-0005-0000-0000-0000C5010000}"/>
    <cellStyle name="Normal 3 2 2 4 6" xfId="539" xr:uid="{00000000-0005-0000-0000-0000C6010000}"/>
    <cellStyle name="Normal 3 2 2 4 6 2" xfId="1541" xr:uid="{00000000-0005-0000-0000-0000C7010000}"/>
    <cellStyle name="Normal 3 2 2 4 7" xfId="1045" xr:uid="{00000000-0005-0000-0000-0000C8010000}"/>
    <cellStyle name="Normal 3 2 2 5" xfId="60" xr:uid="{00000000-0005-0000-0000-0000C9010000}"/>
    <cellStyle name="Normal 3 2 2 5 2" xfId="175" xr:uid="{00000000-0005-0000-0000-0000CA010000}"/>
    <cellStyle name="Normal 3 2 2 5 2 2" xfId="424" xr:uid="{00000000-0005-0000-0000-0000CB010000}"/>
    <cellStyle name="Normal 3 2 2 5 2 2 2" xfId="923" xr:uid="{00000000-0005-0000-0000-0000CC010000}"/>
    <cellStyle name="Normal 3 2 2 5 2 2 2 2" xfId="1925" xr:uid="{00000000-0005-0000-0000-0000CD010000}"/>
    <cellStyle name="Normal 3 2 2 5 2 2 3" xfId="1429" xr:uid="{00000000-0005-0000-0000-0000CE010000}"/>
    <cellStyle name="Normal 3 2 2 5 2 3" xfId="675" xr:uid="{00000000-0005-0000-0000-0000CF010000}"/>
    <cellStyle name="Normal 3 2 2 5 2 3 2" xfId="1677" xr:uid="{00000000-0005-0000-0000-0000D0010000}"/>
    <cellStyle name="Normal 3 2 2 5 2 4" xfId="1181" xr:uid="{00000000-0005-0000-0000-0000D1010000}"/>
    <cellStyle name="Normal 3 2 2 5 3" xfId="309" xr:uid="{00000000-0005-0000-0000-0000D2010000}"/>
    <cellStyle name="Normal 3 2 2 5 3 2" xfId="809" xr:uid="{00000000-0005-0000-0000-0000D3010000}"/>
    <cellStyle name="Normal 3 2 2 5 3 2 2" xfId="1811" xr:uid="{00000000-0005-0000-0000-0000D4010000}"/>
    <cellStyle name="Normal 3 2 2 5 3 3" xfId="1315" xr:uid="{00000000-0005-0000-0000-0000D5010000}"/>
    <cellStyle name="Normal 3 2 2 5 4" xfId="561" xr:uid="{00000000-0005-0000-0000-0000D6010000}"/>
    <cellStyle name="Normal 3 2 2 5 4 2" xfId="1563" xr:uid="{00000000-0005-0000-0000-0000D7010000}"/>
    <cellStyle name="Normal 3 2 2 5 5" xfId="1067" xr:uid="{00000000-0005-0000-0000-0000D8010000}"/>
    <cellStyle name="Normal 3 2 2 6" xfId="83" xr:uid="{00000000-0005-0000-0000-0000D9010000}"/>
    <cellStyle name="Normal 3 2 2 6 2" xfId="332" xr:uid="{00000000-0005-0000-0000-0000DA010000}"/>
    <cellStyle name="Normal 3 2 2 6 2 2" xfId="831" xr:uid="{00000000-0005-0000-0000-0000DB010000}"/>
    <cellStyle name="Normal 3 2 2 6 2 2 2" xfId="1833" xr:uid="{00000000-0005-0000-0000-0000DC010000}"/>
    <cellStyle name="Normal 3 2 2 6 2 3" xfId="1337" xr:uid="{00000000-0005-0000-0000-0000DD010000}"/>
    <cellStyle name="Normal 3 2 2 6 3" xfId="583" xr:uid="{00000000-0005-0000-0000-0000DE010000}"/>
    <cellStyle name="Normal 3 2 2 6 3 2" xfId="1585" xr:uid="{00000000-0005-0000-0000-0000DF010000}"/>
    <cellStyle name="Normal 3 2 2 6 4" xfId="1089" xr:uid="{00000000-0005-0000-0000-0000E0010000}"/>
    <cellStyle name="Normal 3 2 2 7" xfId="129" xr:uid="{00000000-0005-0000-0000-0000E1010000}"/>
    <cellStyle name="Normal 3 2 2 7 2" xfId="378" xr:uid="{00000000-0005-0000-0000-0000E2010000}"/>
    <cellStyle name="Normal 3 2 2 7 2 2" xfId="877" xr:uid="{00000000-0005-0000-0000-0000E3010000}"/>
    <cellStyle name="Normal 3 2 2 7 2 2 2" xfId="1879" xr:uid="{00000000-0005-0000-0000-0000E4010000}"/>
    <cellStyle name="Normal 3 2 2 7 2 3" xfId="1383" xr:uid="{00000000-0005-0000-0000-0000E5010000}"/>
    <cellStyle name="Normal 3 2 2 7 3" xfId="629" xr:uid="{00000000-0005-0000-0000-0000E6010000}"/>
    <cellStyle name="Normal 3 2 2 7 3 2" xfId="1631" xr:uid="{00000000-0005-0000-0000-0000E7010000}"/>
    <cellStyle name="Normal 3 2 2 7 4" xfId="1135" xr:uid="{00000000-0005-0000-0000-0000E8010000}"/>
    <cellStyle name="Normal 3 2 2 8" xfId="195" xr:uid="{00000000-0005-0000-0000-0000E9010000}"/>
    <cellStyle name="Normal 3 2 2 8 2" xfId="444" xr:uid="{00000000-0005-0000-0000-0000EA010000}"/>
    <cellStyle name="Normal 3 2 2 8 2 2" xfId="943" xr:uid="{00000000-0005-0000-0000-0000EB010000}"/>
    <cellStyle name="Normal 3 2 2 8 2 2 2" xfId="1945" xr:uid="{00000000-0005-0000-0000-0000EC010000}"/>
    <cellStyle name="Normal 3 2 2 8 2 3" xfId="1449" xr:uid="{00000000-0005-0000-0000-0000ED010000}"/>
    <cellStyle name="Normal 3 2 2 8 3" xfId="695" xr:uid="{00000000-0005-0000-0000-0000EE010000}"/>
    <cellStyle name="Normal 3 2 2 8 3 2" xfId="1697" xr:uid="{00000000-0005-0000-0000-0000EF010000}"/>
    <cellStyle name="Normal 3 2 2 8 4" xfId="1201" xr:uid="{00000000-0005-0000-0000-0000F0010000}"/>
    <cellStyle name="Normal 3 2 2 9" xfId="216" xr:uid="{00000000-0005-0000-0000-0000F1010000}"/>
    <cellStyle name="Normal 3 2 2 9 2" xfId="465" xr:uid="{00000000-0005-0000-0000-0000F2010000}"/>
    <cellStyle name="Normal 3 2 2 9 2 2" xfId="964" xr:uid="{00000000-0005-0000-0000-0000F3010000}"/>
    <cellStyle name="Normal 3 2 2 9 2 2 2" xfId="1966" xr:uid="{00000000-0005-0000-0000-0000F4010000}"/>
    <cellStyle name="Normal 3 2 2 9 2 3" xfId="1470" xr:uid="{00000000-0005-0000-0000-0000F5010000}"/>
    <cellStyle name="Normal 3 2 2 9 3" xfId="716" xr:uid="{00000000-0005-0000-0000-0000F6010000}"/>
    <cellStyle name="Normal 3 2 2 9 3 2" xfId="1718" xr:uid="{00000000-0005-0000-0000-0000F7010000}"/>
    <cellStyle name="Normal 3 2 2 9 4" xfId="1222" xr:uid="{00000000-0005-0000-0000-0000F8010000}"/>
    <cellStyle name="Normal 3 2 3" xfId="15" xr:uid="{00000000-0005-0000-0000-0000F9010000}"/>
    <cellStyle name="Normal 3 2 3 10" xfId="517" xr:uid="{00000000-0005-0000-0000-0000FA010000}"/>
    <cellStyle name="Normal 3 2 3 10 2" xfId="1519" xr:uid="{00000000-0005-0000-0000-0000FB010000}"/>
    <cellStyle name="Normal 3 2 3 11" xfId="1023" xr:uid="{00000000-0005-0000-0000-0000FC010000}"/>
    <cellStyle name="Normal 3 2 3 2" xfId="26" xr:uid="{00000000-0005-0000-0000-0000FD010000}"/>
    <cellStyle name="Normal 3 2 3 2 10" xfId="1033" xr:uid="{00000000-0005-0000-0000-0000FE010000}"/>
    <cellStyle name="Normal 3 2 3 2 2" xfId="50" xr:uid="{00000000-0005-0000-0000-0000FF010000}"/>
    <cellStyle name="Normal 3 2 3 2 2 2" xfId="119" xr:uid="{00000000-0005-0000-0000-000000020000}"/>
    <cellStyle name="Normal 3 2 3 2 2 2 2" xfId="368" xr:uid="{00000000-0005-0000-0000-000001020000}"/>
    <cellStyle name="Normal 3 2 3 2 2 2 2 2" xfId="867" xr:uid="{00000000-0005-0000-0000-000002020000}"/>
    <cellStyle name="Normal 3 2 3 2 2 2 2 2 2" xfId="1869" xr:uid="{00000000-0005-0000-0000-000003020000}"/>
    <cellStyle name="Normal 3 2 3 2 2 2 2 3" xfId="1373" xr:uid="{00000000-0005-0000-0000-000004020000}"/>
    <cellStyle name="Normal 3 2 3 2 2 2 3" xfId="619" xr:uid="{00000000-0005-0000-0000-000005020000}"/>
    <cellStyle name="Normal 3 2 3 2 2 2 3 2" xfId="1621" xr:uid="{00000000-0005-0000-0000-000006020000}"/>
    <cellStyle name="Normal 3 2 3 2 2 2 4" xfId="1125" xr:uid="{00000000-0005-0000-0000-000007020000}"/>
    <cellStyle name="Normal 3 2 3 2 2 3" xfId="165" xr:uid="{00000000-0005-0000-0000-000008020000}"/>
    <cellStyle name="Normal 3 2 3 2 2 3 2" xfId="414" xr:uid="{00000000-0005-0000-0000-000009020000}"/>
    <cellStyle name="Normal 3 2 3 2 2 3 2 2" xfId="913" xr:uid="{00000000-0005-0000-0000-00000A020000}"/>
    <cellStyle name="Normal 3 2 3 2 2 3 2 2 2" xfId="1915" xr:uid="{00000000-0005-0000-0000-00000B020000}"/>
    <cellStyle name="Normal 3 2 3 2 2 3 2 3" xfId="1419" xr:uid="{00000000-0005-0000-0000-00000C020000}"/>
    <cellStyle name="Normal 3 2 3 2 2 3 3" xfId="665" xr:uid="{00000000-0005-0000-0000-00000D020000}"/>
    <cellStyle name="Normal 3 2 3 2 2 3 3 2" xfId="1667" xr:uid="{00000000-0005-0000-0000-00000E020000}"/>
    <cellStyle name="Normal 3 2 3 2 2 3 4" xfId="1171" xr:uid="{00000000-0005-0000-0000-00000F020000}"/>
    <cellStyle name="Normal 3 2 3 2 2 4" xfId="252" xr:uid="{00000000-0005-0000-0000-000010020000}"/>
    <cellStyle name="Normal 3 2 3 2 2 4 2" xfId="501" xr:uid="{00000000-0005-0000-0000-000011020000}"/>
    <cellStyle name="Normal 3 2 3 2 2 4 2 2" xfId="1000" xr:uid="{00000000-0005-0000-0000-000012020000}"/>
    <cellStyle name="Normal 3 2 3 2 2 4 2 2 2" xfId="2002" xr:uid="{00000000-0005-0000-0000-000013020000}"/>
    <cellStyle name="Normal 3 2 3 2 2 4 2 3" xfId="1506" xr:uid="{00000000-0005-0000-0000-000014020000}"/>
    <cellStyle name="Normal 3 2 3 2 2 4 3" xfId="752" xr:uid="{00000000-0005-0000-0000-000015020000}"/>
    <cellStyle name="Normal 3 2 3 2 2 4 3 2" xfId="1754" xr:uid="{00000000-0005-0000-0000-000016020000}"/>
    <cellStyle name="Normal 3 2 3 2 2 4 4" xfId="1258" xr:uid="{00000000-0005-0000-0000-000017020000}"/>
    <cellStyle name="Normal 3 2 3 2 2 5" xfId="299" xr:uid="{00000000-0005-0000-0000-000018020000}"/>
    <cellStyle name="Normal 3 2 3 2 2 5 2" xfId="799" xr:uid="{00000000-0005-0000-0000-000019020000}"/>
    <cellStyle name="Normal 3 2 3 2 2 5 2 2" xfId="1801" xr:uid="{00000000-0005-0000-0000-00001A020000}"/>
    <cellStyle name="Normal 3 2 3 2 2 5 3" xfId="1305" xr:uid="{00000000-0005-0000-0000-00001B020000}"/>
    <cellStyle name="Normal 3 2 3 2 2 6" xfId="551" xr:uid="{00000000-0005-0000-0000-00001C020000}"/>
    <cellStyle name="Normal 3 2 3 2 2 6 2" xfId="1553" xr:uid="{00000000-0005-0000-0000-00001D020000}"/>
    <cellStyle name="Normal 3 2 3 2 2 7" xfId="1057" xr:uid="{00000000-0005-0000-0000-00001E020000}"/>
    <cellStyle name="Normal 3 2 3 2 3" xfId="72" xr:uid="{00000000-0005-0000-0000-00001F020000}"/>
    <cellStyle name="Normal 3 2 3 2 3 2" xfId="187" xr:uid="{00000000-0005-0000-0000-000020020000}"/>
    <cellStyle name="Normal 3 2 3 2 3 2 2" xfId="436" xr:uid="{00000000-0005-0000-0000-000021020000}"/>
    <cellStyle name="Normal 3 2 3 2 3 2 2 2" xfId="935" xr:uid="{00000000-0005-0000-0000-000022020000}"/>
    <cellStyle name="Normal 3 2 3 2 3 2 2 2 2" xfId="1937" xr:uid="{00000000-0005-0000-0000-000023020000}"/>
    <cellStyle name="Normal 3 2 3 2 3 2 2 3" xfId="1441" xr:uid="{00000000-0005-0000-0000-000024020000}"/>
    <cellStyle name="Normal 3 2 3 2 3 2 3" xfId="687" xr:uid="{00000000-0005-0000-0000-000025020000}"/>
    <cellStyle name="Normal 3 2 3 2 3 2 3 2" xfId="1689" xr:uid="{00000000-0005-0000-0000-000026020000}"/>
    <cellStyle name="Normal 3 2 3 2 3 2 4" xfId="1193" xr:uid="{00000000-0005-0000-0000-000027020000}"/>
    <cellStyle name="Normal 3 2 3 2 3 3" xfId="321" xr:uid="{00000000-0005-0000-0000-000028020000}"/>
    <cellStyle name="Normal 3 2 3 2 3 3 2" xfId="821" xr:uid="{00000000-0005-0000-0000-000029020000}"/>
    <cellStyle name="Normal 3 2 3 2 3 3 2 2" xfId="1823" xr:uid="{00000000-0005-0000-0000-00002A020000}"/>
    <cellStyle name="Normal 3 2 3 2 3 3 3" xfId="1327" xr:uid="{00000000-0005-0000-0000-00002B020000}"/>
    <cellStyle name="Normal 3 2 3 2 3 4" xfId="573" xr:uid="{00000000-0005-0000-0000-00002C020000}"/>
    <cellStyle name="Normal 3 2 3 2 3 4 2" xfId="1575" xr:uid="{00000000-0005-0000-0000-00002D020000}"/>
    <cellStyle name="Normal 3 2 3 2 3 5" xfId="1079" xr:uid="{00000000-0005-0000-0000-00002E020000}"/>
    <cellStyle name="Normal 3 2 3 2 4" xfId="95" xr:uid="{00000000-0005-0000-0000-00002F020000}"/>
    <cellStyle name="Normal 3 2 3 2 4 2" xfId="344" xr:uid="{00000000-0005-0000-0000-000030020000}"/>
    <cellStyle name="Normal 3 2 3 2 4 2 2" xfId="843" xr:uid="{00000000-0005-0000-0000-000031020000}"/>
    <cellStyle name="Normal 3 2 3 2 4 2 2 2" xfId="1845" xr:uid="{00000000-0005-0000-0000-000032020000}"/>
    <cellStyle name="Normal 3 2 3 2 4 2 3" xfId="1349" xr:uid="{00000000-0005-0000-0000-000033020000}"/>
    <cellStyle name="Normal 3 2 3 2 4 3" xfId="595" xr:uid="{00000000-0005-0000-0000-000034020000}"/>
    <cellStyle name="Normal 3 2 3 2 4 3 2" xfId="1597" xr:uid="{00000000-0005-0000-0000-000035020000}"/>
    <cellStyle name="Normal 3 2 3 2 4 4" xfId="1101" xr:uid="{00000000-0005-0000-0000-000036020000}"/>
    <cellStyle name="Normal 3 2 3 2 5" xfId="141" xr:uid="{00000000-0005-0000-0000-000037020000}"/>
    <cellStyle name="Normal 3 2 3 2 5 2" xfId="390" xr:uid="{00000000-0005-0000-0000-000038020000}"/>
    <cellStyle name="Normal 3 2 3 2 5 2 2" xfId="889" xr:uid="{00000000-0005-0000-0000-000039020000}"/>
    <cellStyle name="Normal 3 2 3 2 5 2 2 2" xfId="1891" xr:uid="{00000000-0005-0000-0000-00003A020000}"/>
    <cellStyle name="Normal 3 2 3 2 5 2 3" xfId="1395" xr:uid="{00000000-0005-0000-0000-00003B020000}"/>
    <cellStyle name="Normal 3 2 3 2 5 3" xfId="641" xr:uid="{00000000-0005-0000-0000-00003C020000}"/>
    <cellStyle name="Normal 3 2 3 2 5 3 2" xfId="1643" xr:uid="{00000000-0005-0000-0000-00003D020000}"/>
    <cellStyle name="Normal 3 2 3 2 5 4" xfId="1147" xr:uid="{00000000-0005-0000-0000-00003E020000}"/>
    <cellStyle name="Normal 3 2 3 2 6" xfId="207" xr:uid="{00000000-0005-0000-0000-00003F020000}"/>
    <cellStyle name="Normal 3 2 3 2 6 2" xfId="456" xr:uid="{00000000-0005-0000-0000-000040020000}"/>
    <cellStyle name="Normal 3 2 3 2 6 2 2" xfId="955" xr:uid="{00000000-0005-0000-0000-000041020000}"/>
    <cellStyle name="Normal 3 2 3 2 6 2 2 2" xfId="1957" xr:uid="{00000000-0005-0000-0000-000042020000}"/>
    <cellStyle name="Normal 3 2 3 2 6 2 3" xfId="1461" xr:uid="{00000000-0005-0000-0000-000043020000}"/>
    <cellStyle name="Normal 3 2 3 2 6 3" xfId="707" xr:uid="{00000000-0005-0000-0000-000044020000}"/>
    <cellStyle name="Normal 3 2 3 2 6 3 2" xfId="1709" xr:uid="{00000000-0005-0000-0000-000045020000}"/>
    <cellStyle name="Normal 3 2 3 2 6 4" xfId="1213" xr:uid="{00000000-0005-0000-0000-000046020000}"/>
    <cellStyle name="Normal 3 2 3 2 7" xfId="228" xr:uid="{00000000-0005-0000-0000-000047020000}"/>
    <cellStyle name="Normal 3 2 3 2 7 2" xfId="477" xr:uid="{00000000-0005-0000-0000-000048020000}"/>
    <cellStyle name="Normal 3 2 3 2 7 2 2" xfId="976" xr:uid="{00000000-0005-0000-0000-000049020000}"/>
    <cellStyle name="Normal 3 2 3 2 7 2 2 2" xfId="1978" xr:uid="{00000000-0005-0000-0000-00004A020000}"/>
    <cellStyle name="Normal 3 2 3 2 7 2 3" xfId="1482" xr:uid="{00000000-0005-0000-0000-00004B020000}"/>
    <cellStyle name="Normal 3 2 3 2 7 3" xfId="728" xr:uid="{00000000-0005-0000-0000-00004C020000}"/>
    <cellStyle name="Normal 3 2 3 2 7 3 2" xfId="1730" xr:uid="{00000000-0005-0000-0000-00004D020000}"/>
    <cellStyle name="Normal 3 2 3 2 7 4" xfId="1234" xr:uid="{00000000-0005-0000-0000-00004E020000}"/>
    <cellStyle name="Normal 3 2 3 2 8" xfId="275" xr:uid="{00000000-0005-0000-0000-00004F020000}"/>
    <cellStyle name="Normal 3 2 3 2 8 2" xfId="775" xr:uid="{00000000-0005-0000-0000-000050020000}"/>
    <cellStyle name="Normal 3 2 3 2 8 2 2" xfId="1777" xr:uid="{00000000-0005-0000-0000-000051020000}"/>
    <cellStyle name="Normal 3 2 3 2 8 3" xfId="1281" xr:uid="{00000000-0005-0000-0000-000052020000}"/>
    <cellStyle name="Normal 3 2 3 2 9" xfId="527" xr:uid="{00000000-0005-0000-0000-000053020000}"/>
    <cellStyle name="Normal 3 2 3 2 9 2" xfId="1529" xr:uid="{00000000-0005-0000-0000-000054020000}"/>
    <cellStyle name="Normal 3 2 3 3" xfId="40" xr:uid="{00000000-0005-0000-0000-000055020000}"/>
    <cellStyle name="Normal 3 2 3 3 2" xfId="109" xr:uid="{00000000-0005-0000-0000-000056020000}"/>
    <cellStyle name="Normal 3 2 3 3 2 2" xfId="358" xr:uid="{00000000-0005-0000-0000-000057020000}"/>
    <cellStyle name="Normal 3 2 3 3 2 2 2" xfId="857" xr:uid="{00000000-0005-0000-0000-000058020000}"/>
    <cellStyle name="Normal 3 2 3 3 2 2 2 2" xfId="1859" xr:uid="{00000000-0005-0000-0000-000059020000}"/>
    <cellStyle name="Normal 3 2 3 3 2 2 3" xfId="1363" xr:uid="{00000000-0005-0000-0000-00005A020000}"/>
    <cellStyle name="Normal 3 2 3 3 2 3" xfId="609" xr:uid="{00000000-0005-0000-0000-00005B020000}"/>
    <cellStyle name="Normal 3 2 3 3 2 3 2" xfId="1611" xr:uid="{00000000-0005-0000-0000-00005C020000}"/>
    <cellStyle name="Normal 3 2 3 3 2 4" xfId="1115" xr:uid="{00000000-0005-0000-0000-00005D020000}"/>
    <cellStyle name="Normal 3 2 3 3 3" xfId="155" xr:uid="{00000000-0005-0000-0000-00005E020000}"/>
    <cellStyle name="Normal 3 2 3 3 3 2" xfId="404" xr:uid="{00000000-0005-0000-0000-00005F020000}"/>
    <cellStyle name="Normal 3 2 3 3 3 2 2" xfId="903" xr:uid="{00000000-0005-0000-0000-000060020000}"/>
    <cellStyle name="Normal 3 2 3 3 3 2 2 2" xfId="1905" xr:uid="{00000000-0005-0000-0000-000061020000}"/>
    <cellStyle name="Normal 3 2 3 3 3 2 3" xfId="1409" xr:uid="{00000000-0005-0000-0000-000062020000}"/>
    <cellStyle name="Normal 3 2 3 3 3 3" xfId="655" xr:uid="{00000000-0005-0000-0000-000063020000}"/>
    <cellStyle name="Normal 3 2 3 3 3 3 2" xfId="1657" xr:uid="{00000000-0005-0000-0000-000064020000}"/>
    <cellStyle name="Normal 3 2 3 3 3 4" xfId="1161" xr:uid="{00000000-0005-0000-0000-000065020000}"/>
    <cellStyle name="Normal 3 2 3 3 4" xfId="242" xr:uid="{00000000-0005-0000-0000-000066020000}"/>
    <cellStyle name="Normal 3 2 3 3 4 2" xfId="491" xr:uid="{00000000-0005-0000-0000-000067020000}"/>
    <cellStyle name="Normal 3 2 3 3 4 2 2" xfId="990" xr:uid="{00000000-0005-0000-0000-000068020000}"/>
    <cellStyle name="Normal 3 2 3 3 4 2 2 2" xfId="1992" xr:uid="{00000000-0005-0000-0000-000069020000}"/>
    <cellStyle name="Normal 3 2 3 3 4 2 3" xfId="1496" xr:uid="{00000000-0005-0000-0000-00006A020000}"/>
    <cellStyle name="Normal 3 2 3 3 4 3" xfId="742" xr:uid="{00000000-0005-0000-0000-00006B020000}"/>
    <cellStyle name="Normal 3 2 3 3 4 3 2" xfId="1744" xr:uid="{00000000-0005-0000-0000-00006C020000}"/>
    <cellStyle name="Normal 3 2 3 3 4 4" xfId="1248" xr:uid="{00000000-0005-0000-0000-00006D020000}"/>
    <cellStyle name="Normal 3 2 3 3 5" xfId="289" xr:uid="{00000000-0005-0000-0000-00006E020000}"/>
    <cellStyle name="Normal 3 2 3 3 5 2" xfId="789" xr:uid="{00000000-0005-0000-0000-00006F020000}"/>
    <cellStyle name="Normal 3 2 3 3 5 2 2" xfId="1791" xr:uid="{00000000-0005-0000-0000-000070020000}"/>
    <cellStyle name="Normal 3 2 3 3 5 3" xfId="1295" xr:uid="{00000000-0005-0000-0000-000071020000}"/>
    <cellStyle name="Normal 3 2 3 3 6" xfId="541" xr:uid="{00000000-0005-0000-0000-000072020000}"/>
    <cellStyle name="Normal 3 2 3 3 6 2" xfId="1543" xr:uid="{00000000-0005-0000-0000-000073020000}"/>
    <cellStyle name="Normal 3 2 3 3 7" xfId="1047" xr:uid="{00000000-0005-0000-0000-000074020000}"/>
    <cellStyle name="Normal 3 2 3 4" xfId="62" xr:uid="{00000000-0005-0000-0000-000075020000}"/>
    <cellStyle name="Normal 3 2 3 4 2" xfId="177" xr:uid="{00000000-0005-0000-0000-000076020000}"/>
    <cellStyle name="Normal 3 2 3 4 2 2" xfId="426" xr:uid="{00000000-0005-0000-0000-000077020000}"/>
    <cellStyle name="Normal 3 2 3 4 2 2 2" xfId="925" xr:uid="{00000000-0005-0000-0000-000078020000}"/>
    <cellStyle name="Normal 3 2 3 4 2 2 2 2" xfId="1927" xr:uid="{00000000-0005-0000-0000-000079020000}"/>
    <cellStyle name="Normal 3 2 3 4 2 2 3" xfId="1431" xr:uid="{00000000-0005-0000-0000-00007A020000}"/>
    <cellStyle name="Normal 3 2 3 4 2 3" xfId="677" xr:uid="{00000000-0005-0000-0000-00007B020000}"/>
    <cellStyle name="Normal 3 2 3 4 2 3 2" xfId="1679" xr:uid="{00000000-0005-0000-0000-00007C020000}"/>
    <cellStyle name="Normal 3 2 3 4 2 4" xfId="1183" xr:uid="{00000000-0005-0000-0000-00007D020000}"/>
    <cellStyle name="Normal 3 2 3 4 3" xfId="311" xr:uid="{00000000-0005-0000-0000-00007E020000}"/>
    <cellStyle name="Normal 3 2 3 4 3 2" xfId="811" xr:uid="{00000000-0005-0000-0000-00007F020000}"/>
    <cellStyle name="Normal 3 2 3 4 3 2 2" xfId="1813" xr:uid="{00000000-0005-0000-0000-000080020000}"/>
    <cellStyle name="Normal 3 2 3 4 3 3" xfId="1317" xr:uid="{00000000-0005-0000-0000-000081020000}"/>
    <cellStyle name="Normal 3 2 3 4 4" xfId="563" xr:uid="{00000000-0005-0000-0000-000082020000}"/>
    <cellStyle name="Normal 3 2 3 4 4 2" xfId="1565" xr:uid="{00000000-0005-0000-0000-000083020000}"/>
    <cellStyle name="Normal 3 2 3 4 5" xfId="1069" xr:uid="{00000000-0005-0000-0000-000084020000}"/>
    <cellStyle name="Normal 3 2 3 5" xfId="85" xr:uid="{00000000-0005-0000-0000-000085020000}"/>
    <cellStyle name="Normal 3 2 3 5 2" xfId="334" xr:uid="{00000000-0005-0000-0000-000086020000}"/>
    <cellStyle name="Normal 3 2 3 5 2 2" xfId="833" xr:uid="{00000000-0005-0000-0000-000087020000}"/>
    <cellStyle name="Normal 3 2 3 5 2 2 2" xfId="1835" xr:uid="{00000000-0005-0000-0000-000088020000}"/>
    <cellStyle name="Normal 3 2 3 5 2 3" xfId="1339" xr:uid="{00000000-0005-0000-0000-000089020000}"/>
    <cellStyle name="Normal 3 2 3 5 3" xfId="585" xr:uid="{00000000-0005-0000-0000-00008A020000}"/>
    <cellStyle name="Normal 3 2 3 5 3 2" xfId="1587" xr:uid="{00000000-0005-0000-0000-00008B020000}"/>
    <cellStyle name="Normal 3 2 3 5 4" xfId="1091" xr:uid="{00000000-0005-0000-0000-00008C020000}"/>
    <cellStyle name="Normal 3 2 3 6" xfId="131" xr:uid="{00000000-0005-0000-0000-00008D020000}"/>
    <cellStyle name="Normal 3 2 3 6 2" xfId="380" xr:uid="{00000000-0005-0000-0000-00008E020000}"/>
    <cellStyle name="Normal 3 2 3 6 2 2" xfId="879" xr:uid="{00000000-0005-0000-0000-00008F020000}"/>
    <cellStyle name="Normal 3 2 3 6 2 2 2" xfId="1881" xr:uid="{00000000-0005-0000-0000-000090020000}"/>
    <cellStyle name="Normal 3 2 3 6 2 3" xfId="1385" xr:uid="{00000000-0005-0000-0000-000091020000}"/>
    <cellStyle name="Normal 3 2 3 6 3" xfId="631" xr:uid="{00000000-0005-0000-0000-000092020000}"/>
    <cellStyle name="Normal 3 2 3 6 3 2" xfId="1633" xr:uid="{00000000-0005-0000-0000-000093020000}"/>
    <cellStyle name="Normal 3 2 3 6 4" xfId="1137" xr:uid="{00000000-0005-0000-0000-000094020000}"/>
    <cellStyle name="Normal 3 2 3 7" xfId="197" xr:uid="{00000000-0005-0000-0000-000095020000}"/>
    <cellStyle name="Normal 3 2 3 7 2" xfId="446" xr:uid="{00000000-0005-0000-0000-000096020000}"/>
    <cellStyle name="Normal 3 2 3 7 2 2" xfId="945" xr:uid="{00000000-0005-0000-0000-000097020000}"/>
    <cellStyle name="Normal 3 2 3 7 2 2 2" xfId="1947" xr:uid="{00000000-0005-0000-0000-000098020000}"/>
    <cellStyle name="Normal 3 2 3 7 2 3" xfId="1451" xr:uid="{00000000-0005-0000-0000-000099020000}"/>
    <cellStyle name="Normal 3 2 3 7 3" xfId="697" xr:uid="{00000000-0005-0000-0000-00009A020000}"/>
    <cellStyle name="Normal 3 2 3 7 3 2" xfId="1699" xr:uid="{00000000-0005-0000-0000-00009B020000}"/>
    <cellStyle name="Normal 3 2 3 7 4" xfId="1203" xr:uid="{00000000-0005-0000-0000-00009C020000}"/>
    <cellStyle name="Normal 3 2 3 8" xfId="218" xr:uid="{00000000-0005-0000-0000-00009D020000}"/>
    <cellStyle name="Normal 3 2 3 8 2" xfId="467" xr:uid="{00000000-0005-0000-0000-00009E020000}"/>
    <cellStyle name="Normal 3 2 3 8 2 2" xfId="966" xr:uid="{00000000-0005-0000-0000-00009F020000}"/>
    <cellStyle name="Normal 3 2 3 8 2 2 2" xfId="1968" xr:uid="{00000000-0005-0000-0000-0000A0020000}"/>
    <cellStyle name="Normal 3 2 3 8 2 3" xfId="1472" xr:uid="{00000000-0005-0000-0000-0000A1020000}"/>
    <cellStyle name="Normal 3 2 3 8 3" xfId="718" xr:uid="{00000000-0005-0000-0000-0000A2020000}"/>
    <cellStyle name="Normal 3 2 3 8 3 2" xfId="1720" xr:uid="{00000000-0005-0000-0000-0000A3020000}"/>
    <cellStyle name="Normal 3 2 3 8 4" xfId="1224" xr:uid="{00000000-0005-0000-0000-0000A4020000}"/>
    <cellStyle name="Normal 3 2 3 9" xfId="265" xr:uid="{00000000-0005-0000-0000-0000A5020000}"/>
    <cellStyle name="Normal 3 2 3 9 2" xfId="765" xr:uid="{00000000-0005-0000-0000-0000A6020000}"/>
    <cellStyle name="Normal 3 2 3 9 2 2" xfId="1767" xr:uid="{00000000-0005-0000-0000-0000A7020000}"/>
    <cellStyle name="Normal 3 2 3 9 3" xfId="1271" xr:uid="{00000000-0005-0000-0000-0000A8020000}"/>
    <cellStyle name="Normal 3 2 4" xfId="22" xr:uid="{00000000-0005-0000-0000-0000A9020000}"/>
    <cellStyle name="Normal 3 2 4 10" xfId="1029" xr:uid="{00000000-0005-0000-0000-0000AA020000}"/>
    <cellStyle name="Normal 3 2 4 2" xfId="46" xr:uid="{00000000-0005-0000-0000-0000AB020000}"/>
    <cellStyle name="Normal 3 2 4 2 2" xfId="115" xr:uid="{00000000-0005-0000-0000-0000AC020000}"/>
    <cellStyle name="Normal 3 2 4 2 2 2" xfId="364" xr:uid="{00000000-0005-0000-0000-0000AD020000}"/>
    <cellStyle name="Normal 3 2 4 2 2 2 2" xfId="863" xr:uid="{00000000-0005-0000-0000-0000AE020000}"/>
    <cellStyle name="Normal 3 2 4 2 2 2 2 2" xfId="1865" xr:uid="{00000000-0005-0000-0000-0000AF020000}"/>
    <cellStyle name="Normal 3 2 4 2 2 2 3" xfId="1369" xr:uid="{00000000-0005-0000-0000-0000B0020000}"/>
    <cellStyle name="Normal 3 2 4 2 2 3" xfId="615" xr:uid="{00000000-0005-0000-0000-0000B1020000}"/>
    <cellStyle name="Normal 3 2 4 2 2 3 2" xfId="1617" xr:uid="{00000000-0005-0000-0000-0000B2020000}"/>
    <cellStyle name="Normal 3 2 4 2 2 4" xfId="1121" xr:uid="{00000000-0005-0000-0000-0000B3020000}"/>
    <cellStyle name="Normal 3 2 4 2 3" xfId="161" xr:uid="{00000000-0005-0000-0000-0000B4020000}"/>
    <cellStyle name="Normal 3 2 4 2 3 2" xfId="410" xr:uid="{00000000-0005-0000-0000-0000B5020000}"/>
    <cellStyle name="Normal 3 2 4 2 3 2 2" xfId="909" xr:uid="{00000000-0005-0000-0000-0000B6020000}"/>
    <cellStyle name="Normal 3 2 4 2 3 2 2 2" xfId="1911" xr:uid="{00000000-0005-0000-0000-0000B7020000}"/>
    <cellStyle name="Normal 3 2 4 2 3 2 3" xfId="1415" xr:uid="{00000000-0005-0000-0000-0000B8020000}"/>
    <cellStyle name="Normal 3 2 4 2 3 3" xfId="661" xr:uid="{00000000-0005-0000-0000-0000B9020000}"/>
    <cellStyle name="Normal 3 2 4 2 3 3 2" xfId="1663" xr:uid="{00000000-0005-0000-0000-0000BA020000}"/>
    <cellStyle name="Normal 3 2 4 2 3 4" xfId="1167" xr:uid="{00000000-0005-0000-0000-0000BB020000}"/>
    <cellStyle name="Normal 3 2 4 2 4" xfId="248" xr:uid="{00000000-0005-0000-0000-0000BC020000}"/>
    <cellStyle name="Normal 3 2 4 2 4 2" xfId="497" xr:uid="{00000000-0005-0000-0000-0000BD020000}"/>
    <cellStyle name="Normal 3 2 4 2 4 2 2" xfId="996" xr:uid="{00000000-0005-0000-0000-0000BE020000}"/>
    <cellStyle name="Normal 3 2 4 2 4 2 2 2" xfId="1998" xr:uid="{00000000-0005-0000-0000-0000BF020000}"/>
    <cellStyle name="Normal 3 2 4 2 4 2 3" xfId="1502" xr:uid="{00000000-0005-0000-0000-0000C0020000}"/>
    <cellStyle name="Normal 3 2 4 2 4 3" xfId="748" xr:uid="{00000000-0005-0000-0000-0000C1020000}"/>
    <cellStyle name="Normal 3 2 4 2 4 3 2" xfId="1750" xr:uid="{00000000-0005-0000-0000-0000C2020000}"/>
    <cellStyle name="Normal 3 2 4 2 4 4" xfId="1254" xr:uid="{00000000-0005-0000-0000-0000C3020000}"/>
    <cellStyle name="Normal 3 2 4 2 5" xfId="295" xr:uid="{00000000-0005-0000-0000-0000C4020000}"/>
    <cellStyle name="Normal 3 2 4 2 5 2" xfId="795" xr:uid="{00000000-0005-0000-0000-0000C5020000}"/>
    <cellStyle name="Normal 3 2 4 2 5 2 2" xfId="1797" xr:uid="{00000000-0005-0000-0000-0000C6020000}"/>
    <cellStyle name="Normal 3 2 4 2 5 3" xfId="1301" xr:uid="{00000000-0005-0000-0000-0000C7020000}"/>
    <cellStyle name="Normal 3 2 4 2 6" xfId="547" xr:uid="{00000000-0005-0000-0000-0000C8020000}"/>
    <cellStyle name="Normal 3 2 4 2 6 2" xfId="1549" xr:uid="{00000000-0005-0000-0000-0000C9020000}"/>
    <cellStyle name="Normal 3 2 4 2 7" xfId="1053" xr:uid="{00000000-0005-0000-0000-0000CA020000}"/>
    <cellStyle name="Normal 3 2 4 3" xfId="68" xr:uid="{00000000-0005-0000-0000-0000CB020000}"/>
    <cellStyle name="Normal 3 2 4 3 2" xfId="183" xr:uid="{00000000-0005-0000-0000-0000CC020000}"/>
    <cellStyle name="Normal 3 2 4 3 2 2" xfId="432" xr:uid="{00000000-0005-0000-0000-0000CD020000}"/>
    <cellStyle name="Normal 3 2 4 3 2 2 2" xfId="931" xr:uid="{00000000-0005-0000-0000-0000CE020000}"/>
    <cellStyle name="Normal 3 2 4 3 2 2 2 2" xfId="1933" xr:uid="{00000000-0005-0000-0000-0000CF020000}"/>
    <cellStyle name="Normal 3 2 4 3 2 2 3" xfId="1437" xr:uid="{00000000-0005-0000-0000-0000D0020000}"/>
    <cellStyle name="Normal 3 2 4 3 2 3" xfId="683" xr:uid="{00000000-0005-0000-0000-0000D1020000}"/>
    <cellStyle name="Normal 3 2 4 3 2 3 2" xfId="1685" xr:uid="{00000000-0005-0000-0000-0000D2020000}"/>
    <cellStyle name="Normal 3 2 4 3 2 4" xfId="1189" xr:uid="{00000000-0005-0000-0000-0000D3020000}"/>
    <cellStyle name="Normal 3 2 4 3 3" xfId="317" xr:uid="{00000000-0005-0000-0000-0000D4020000}"/>
    <cellStyle name="Normal 3 2 4 3 3 2" xfId="817" xr:uid="{00000000-0005-0000-0000-0000D5020000}"/>
    <cellStyle name="Normal 3 2 4 3 3 2 2" xfId="1819" xr:uid="{00000000-0005-0000-0000-0000D6020000}"/>
    <cellStyle name="Normal 3 2 4 3 3 3" xfId="1323" xr:uid="{00000000-0005-0000-0000-0000D7020000}"/>
    <cellStyle name="Normal 3 2 4 3 4" xfId="569" xr:uid="{00000000-0005-0000-0000-0000D8020000}"/>
    <cellStyle name="Normal 3 2 4 3 4 2" xfId="1571" xr:uid="{00000000-0005-0000-0000-0000D9020000}"/>
    <cellStyle name="Normal 3 2 4 3 5" xfId="1075" xr:uid="{00000000-0005-0000-0000-0000DA020000}"/>
    <cellStyle name="Normal 3 2 4 4" xfId="91" xr:uid="{00000000-0005-0000-0000-0000DB020000}"/>
    <cellStyle name="Normal 3 2 4 4 2" xfId="340" xr:uid="{00000000-0005-0000-0000-0000DC020000}"/>
    <cellStyle name="Normal 3 2 4 4 2 2" xfId="839" xr:uid="{00000000-0005-0000-0000-0000DD020000}"/>
    <cellStyle name="Normal 3 2 4 4 2 2 2" xfId="1841" xr:uid="{00000000-0005-0000-0000-0000DE020000}"/>
    <cellStyle name="Normal 3 2 4 4 2 3" xfId="1345" xr:uid="{00000000-0005-0000-0000-0000DF020000}"/>
    <cellStyle name="Normal 3 2 4 4 3" xfId="591" xr:uid="{00000000-0005-0000-0000-0000E0020000}"/>
    <cellStyle name="Normal 3 2 4 4 3 2" xfId="1593" xr:uid="{00000000-0005-0000-0000-0000E1020000}"/>
    <cellStyle name="Normal 3 2 4 4 4" xfId="1097" xr:uid="{00000000-0005-0000-0000-0000E2020000}"/>
    <cellStyle name="Normal 3 2 4 5" xfId="137" xr:uid="{00000000-0005-0000-0000-0000E3020000}"/>
    <cellStyle name="Normal 3 2 4 5 2" xfId="386" xr:uid="{00000000-0005-0000-0000-0000E4020000}"/>
    <cellStyle name="Normal 3 2 4 5 2 2" xfId="885" xr:uid="{00000000-0005-0000-0000-0000E5020000}"/>
    <cellStyle name="Normal 3 2 4 5 2 2 2" xfId="1887" xr:uid="{00000000-0005-0000-0000-0000E6020000}"/>
    <cellStyle name="Normal 3 2 4 5 2 3" xfId="1391" xr:uid="{00000000-0005-0000-0000-0000E7020000}"/>
    <cellStyle name="Normal 3 2 4 5 3" xfId="637" xr:uid="{00000000-0005-0000-0000-0000E8020000}"/>
    <cellStyle name="Normal 3 2 4 5 3 2" xfId="1639" xr:uid="{00000000-0005-0000-0000-0000E9020000}"/>
    <cellStyle name="Normal 3 2 4 5 4" xfId="1143" xr:uid="{00000000-0005-0000-0000-0000EA020000}"/>
    <cellStyle name="Normal 3 2 4 6" xfId="203" xr:uid="{00000000-0005-0000-0000-0000EB020000}"/>
    <cellStyle name="Normal 3 2 4 6 2" xfId="452" xr:uid="{00000000-0005-0000-0000-0000EC020000}"/>
    <cellStyle name="Normal 3 2 4 6 2 2" xfId="951" xr:uid="{00000000-0005-0000-0000-0000ED020000}"/>
    <cellStyle name="Normal 3 2 4 6 2 2 2" xfId="1953" xr:uid="{00000000-0005-0000-0000-0000EE020000}"/>
    <cellStyle name="Normal 3 2 4 6 2 3" xfId="1457" xr:uid="{00000000-0005-0000-0000-0000EF020000}"/>
    <cellStyle name="Normal 3 2 4 6 3" xfId="703" xr:uid="{00000000-0005-0000-0000-0000F0020000}"/>
    <cellStyle name="Normal 3 2 4 6 3 2" xfId="1705" xr:uid="{00000000-0005-0000-0000-0000F1020000}"/>
    <cellStyle name="Normal 3 2 4 6 4" xfId="1209" xr:uid="{00000000-0005-0000-0000-0000F2020000}"/>
    <cellStyle name="Normal 3 2 4 7" xfId="224" xr:uid="{00000000-0005-0000-0000-0000F3020000}"/>
    <cellStyle name="Normal 3 2 4 7 2" xfId="473" xr:uid="{00000000-0005-0000-0000-0000F4020000}"/>
    <cellStyle name="Normal 3 2 4 7 2 2" xfId="972" xr:uid="{00000000-0005-0000-0000-0000F5020000}"/>
    <cellStyle name="Normal 3 2 4 7 2 2 2" xfId="1974" xr:uid="{00000000-0005-0000-0000-0000F6020000}"/>
    <cellStyle name="Normal 3 2 4 7 2 3" xfId="1478" xr:uid="{00000000-0005-0000-0000-0000F7020000}"/>
    <cellStyle name="Normal 3 2 4 7 3" xfId="724" xr:uid="{00000000-0005-0000-0000-0000F8020000}"/>
    <cellStyle name="Normal 3 2 4 7 3 2" xfId="1726" xr:uid="{00000000-0005-0000-0000-0000F9020000}"/>
    <cellStyle name="Normal 3 2 4 7 4" xfId="1230" xr:uid="{00000000-0005-0000-0000-0000FA020000}"/>
    <cellStyle name="Normal 3 2 4 8" xfId="271" xr:uid="{00000000-0005-0000-0000-0000FB020000}"/>
    <cellStyle name="Normal 3 2 4 8 2" xfId="771" xr:uid="{00000000-0005-0000-0000-0000FC020000}"/>
    <cellStyle name="Normal 3 2 4 8 2 2" xfId="1773" xr:uid="{00000000-0005-0000-0000-0000FD020000}"/>
    <cellStyle name="Normal 3 2 4 8 3" xfId="1277" xr:uid="{00000000-0005-0000-0000-0000FE020000}"/>
    <cellStyle name="Normal 3 2 4 9" xfId="523" xr:uid="{00000000-0005-0000-0000-0000FF020000}"/>
    <cellStyle name="Normal 3 2 4 9 2" xfId="1525" xr:uid="{00000000-0005-0000-0000-000000030000}"/>
    <cellStyle name="Normal 3 2 5" xfId="36" xr:uid="{00000000-0005-0000-0000-000001030000}"/>
    <cellStyle name="Normal 3 2 5 2" xfId="105" xr:uid="{00000000-0005-0000-0000-000002030000}"/>
    <cellStyle name="Normal 3 2 5 2 2" xfId="354" xr:uid="{00000000-0005-0000-0000-000003030000}"/>
    <cellStyle name="Normal 3 2 5 2 2 2" xfId="853" xr:uid="{00000000-0005-0000-0000-000004030000}"/>
    <cellStyle name="Normal 3 2 5 2 2 2 2" xfId="1855" xr:uid="{00000000-0005-0000-0000-000005030000}"/>
    <cellStyle name="Normal 3 2 5 2 2 3" xfId="1359" xr:uid="{00000000-0005-0000-0000-000006030000}"/>
    <cellStyle name="Normal 3 2 5 2 3" xfId="605" xr:uid="{00000000-0005-0000-0000-000007030000}"/>
    <cellStyle name="Normal 3 2 5 2 3 2" xfId="1607" xr:uid="{00000000-0005-0000-0000-000008030000}"/>
    <cellStyle name="Normal 3 2 5 2 4" xfId="1111" xr:uid="{00000000-0005-0000-0000-000009030000}"/>
    <cellStyle name="Normal 3 2 5 3" xfId="151" xr:uid="{00000000-0005-0000-0000-00000A030000}"/>
    <cellStyle name="Normal 3 2 5 3 2" xfId="400" xr:uid="{00000000-0005-0000-0000-00000B030000}"/>
    <cellStyle name="Normal 3 2 5 3 2 2" xfId="899" xr:uid="{00000000-0005-0000-0000-00000C030000}"/>
    <cellStyle name="Normal 3 2 5 3 2 2 2" xfId="1901" xr:uid="{00000000-0005-0000-0000-00000D030000}"/>
    <cellStyle name="Normal 3 2 5 3 2 3" xfId="1405" xr:uid="{00000000-0005-0000-0000-00000E030000}"/>
    <cellStyle name="Normal 3 2 5 3 3" xfId="651" xr:uid="{00000000-0005-0000-0000-00000F030000}"/>
    <cellStyle name="Normal 3 2 5 3 3 2" xfId="1653" xr:uid="{00000000-0005-0000-0000-000010030000}"/>
    <cellStyle name="Normal 3 2 5 3 4" xfId="1157" xr:uid="{00000000-0005-0000-0000-000011030000}"/>
    <cellStyle name="Normal 3 2 5 4" xfId="238" xr:uid="{00000000-0005-0000-0000-000012030000}"/>
    <cellStyle name="Normal 3 2 5 4 2" xfId="487" xr:uid="{00000000-0005-0000-0000-000013030000}"/>
    <cellStyle name="Normal 3 2 5 4 2 2" xfId="986" xr:uid="{00000000-0005-0000-0000-000014030000}"/>
    <cellStyle name="Normal 3 2 5 4 2 2 2" xfId="1988" xr:uid="{00000000-0005-0000-0000-000015030000}"/>
    <cellStyle name="Normal 3 2 5 4 2 3" xfId="1492" xr:uid="{00000000-0005-0000-0000-000016030000}"/>
    <cellStyle name="Normal 3 2 5 4 3" xfId="738" xr:uid="{00000000-0005-0000-0000-000017030000}"/>
    <cellStyle name="Normal 3 2 5 4 3 2" xfId="1740" xr:uid="{00000000-0005-0000-0000-000018030000}"/>
    <cellStyle name="Normal 3 2 5 4 4" xfId="1244" xr:uid="{00000000-0005-0000-0000-000019030000}"/>
    <cellStyle name="Normal 3 2 5 5" xfId="285" xr:uid="{00000000-0005-0000-0000-00001A030000}"/>
    <cellStyle name="Normal 3 2 5 5 2" xfId="785" xr:uid="{00000000-0005-0000-0000-00001B030000}"/>
    <cellStyle name="Normal 3 2 5 5 2 2" xfId="1787" xr:uid="{00000000-0005-0000-0000-00001C030000}"/>
    <cellStyle name="Normal 3 2 5 5 3" xfId="1291" xr:uid="{00000000-0005-0000-0000-00001D030000}"/>
    <cellStyle name="Normal 3 2 5 6" xfId="537" xr:uid="{00000000-0005-0000-0000-00001E030000}"/>
    <cellStyle name="Normal 3 2 5 6 2" xfId="1539" xr:uid="{00000000-0005-0000-0000-00001F030000}"/>
    <cellStyle name="Normal 3 2 5 7" xfId="1043" xr:uid="{00000000-0005-0000-0000-000020030000}"/>
    <cellStyle name="Normal 3 2 6" xfId="58" xr:uid="{00000000-0005-0000-0000-000021030000}"/>
    <cellStyle name="Normal 3 2 6 2" xfId="173" xr:uid="{00000000-0005-0000-0000-000022030000}"/>
    <cellStyle name="Normal 3 2 6 2 2" xfId="422" xr:uid="{00000000-0005-0000-0000-000023030000}"/>
    <cellStyle name="Normal 3 2 6 2 2 2" xfId="921" xr:uid="{00000000-0005-0000-0000-000024030000}"/>
    <cellStyle name="Normal 3 2 6 2 2 2 2" xfId="1923" xr:uid="{00000000-0005-0000-0000-000025030000}"/>
    <cellStyle name="Normal 3 2 6 2 2 3" xfId="1427" xr:uid="{00000000-0005-0000-0000-000026030000}"/>
    <cellStyle name="Normal 3 2 6 2 3" xfId="673" xr:uid="{00000000-0005-0000-0000-000027030000}"/>
    <cellStyle name="Normal 3 2 6 2 3 2" xfId="1675" xr:uid="{00000000-0005-0000-0000-000028030000}"/>
    <cellStyle name="Normal 3 2 6 2 4" xfId="1179" xr:uid="{00000000-0005-0000-0000-000029030000}"/>
    <cellStyle name="Normal 3 2 6 3" xfId="307" xr:uid="{00000000-0005-0000-0000-00002A030000}"/>
    <cellStyle name="Normal 3 2 6 3 2" xfId="807" xr:uid="{00000000-0005-0000-0000-00002B030000}"/>
    <cellStyle name="Normal 3 2 6 3 2 2" xfId="1809" xr:uid="{00000000-0005-0000-0000-00002C030000}"/>
    <cellStyle name="Normal 3 2 6 3 3" xfId="1313" xr:uid="{00000000-0005-0000-0000-00002D030000}"/>
    <cellStyle name="Normal 3 2 6 4" xfId="559" xr:uid="{00000000-0005-0000-0000-00002E030000}"/>
    <cellStyle name="Normal 3 2 6 4 2" xfId="1561" xr:uid="{00000000-0005-0000-0000-00002F030000}"/>
    <cellStyle name="Normal 3 2 6 5" xfId="1065" xr:uid="{00000000-0005-0000-0000-000030030000}"/>
    <cellStyle name="Normal 3 2 7" xfId="81" xr:uid="{00000000-0005-0000-0000-000031030000}"/>
    <cellStyle name="Normal 3 2 7 2" xfId="330" xr:uid="{00000000-0005-0000-0000-000032030000}"/>
    <cellStyle name="Normal 3 2 7 2 2" xfId="829" xr:uid="{00000000-0005-0000-0000-000033030000}"/>
    <cellStyle name="Normal 3 2 7 2 2 2" xfId="1831" xr:uid="{00000000-0005-0000-0000-000034030000}"/>
    <cellStyle name="Normal 3 2 7 2 3" xfId="1335" xr:uid="{00000000-0005-0000-0000-000035030000}"/>
    <cellStyle name="Normal 3 2 7 3" xfId="581" xr:uid="{00000000-0005-0000-0000-000036030000}"/>
    <cellStyle name="Normal 3 2 7 3 2" xfId="1583" xr:uid="{00000000-0005-0000-0000-000037030000}"/>
    <cellStyle name="Normal 3 2 7 4" xfId="1087" xr:uid="{00000000-0005-0000-0000-000038030000}"/>
    <cellStyle name="Normal 3 2 8" xfId="127" xr:uid="{00000000-0005-0000-0000-000039030000}"/>
    <cellStyle name="Normal 3 2 8 2" xfId="376" xr:uid="{00000000-0005-0000-0000-00003A030000}"/>
    <cellStyle name="Normal 3 2 8 2 2" xfId="875" xr:uid="{00000000-0005-0000-0000-00003B030000}"/>
    <cellStyle name="Normal 3 2 8 2 2 2" xfId="1877" xr:uid="{00000000-0005-0000-0000-00003C030000}"/>
    <cellStyle name="Normal 3 2 8 2 3" xfId="1381" xr:uid="{00000000-0005-0000-0000-00003D030000}"/>
    <cellStyle name="Normal 3 2 8 3" xfId="627" xr:uid="{00000000-0005-0000-0000-00003E030000}"/>
    <cellStyle name="Normal 3 2 8 3 2" xfId="1629" xr:uid="{00000000-0005-0000-0000-00003F030000}"/>
    <cellStyle name="Normal 3 2 8 4" xfId="1133" xr:uid="{00000000-0005-0000-0000-000040030000}"/>
    <cellStyle name="Normal 3 2 9" xfId="193" xr:uid="{00000000-0005-0000-0000-000041030000}"/>
    <cellStyle name="Normal 3 2 9 2" xfId="442" xr:uid="{00000000-0005-0000-0000-000042030000}"/>
    <cellStyle name="Normal 3 2 9 2 2" xfId="941" xr:uid="{00000000-0005-0000-0000-000043030000}"/>
    <cellStyle name="Normal 3 2 9 2 2 2" xfId="1943" xr:uid="{00000000-0005-0000-0000-000044030000}"/>
    <cellStyle name="Normal 3 2 9 2 3" xfId="1447" xr:uid="{00000000-0005-0000-0000-000045030000}"/>
    <cellStyle name="Normal 3 2 9 3" xfId="693" xr:uid="{00000000-0005-0000-0000-000046030000}"/>
    <cellStyle name="Normal 3 2 9 3 2" xfId="1695" xr:uid="{00000000-0005-0000-0000-000047030000}"/>
    <cellStyle name="Normal 3 2 9 4" xfId="1199" xr:uid="{00000000-0005-0000-0000-000048030000}"/>
    <cellStyle name="Normal 3 3" xfId="12" xr:uid="{00000000-0005-0000-0000-000049030000}"/>
    <cellStyle name="Normal 3 3 10" xfId="262" xr:uid="{00000000-0005-0000-0000-00004A030000}"/>
    <cellStyle name="Normal 3 3 10 2" xfId="762" xr:uid="{00000000-0005-0000-0000-00004B030000}"/>
    <cellStyle name="Normal 3 3 10 2 2" xfId="1764" xr:uid="{00000000-0005-0000-0000-00004C030000}"/>
    <cellStyle name="Normal 3 3 10 3" xfId="1268" xr:uid="{00000000-0005-0000-0000-00004D030000}"/>
    <cellStyle name="Normal 3 3 11" xfId="514" xr:uid="{00000000-0005-0000-0000-00004E030000}"/>
    <cellStyle name="Normal 3 3 11 2" xfId="1516" xr:uid="{00000000-0005-0000-0000-00004F030000}"/>
    <cellStyle name="Normal 3 3 12" xfId="1020" xr:uid="{00000000-0005-0000-0000-000050030000}"/>
    <cellStyle name="Normal 3 3 2" xfId="16" xr:uid="{00000000-0005-0000-0000-000051030000}"/>
    <cellStyle name="Normal 3 3 2 10" xfId="518" xr:uid="{00000000-0005-0000-0000-000052030000}"/>
    <cellStyle name="Normal 3 3 2 10 2" xfId="1520" xr:uid="{00000000-0005-0000-0000-000053030000}"/>
    <cellStyle name="Normal 3 3 2 11" xfId="1024" xr:uid="{00000000-0005-0000-0000-000054030000}"/>
    <cellStyle name="Normal 3 3 2 2" xfId="27" xr:uid="{00000000-0005-0000-0000-000055030000}"/>
    <cellStyle name="Normal 3 3 2 2 10" xfId="1034" xr:uid="{00000000-0005-0000-0000-000056030000}"/>
    <cellStyle name="Normal 3 3 2 2 2" xfId="51" xr:uid="{00000000-0005-0000-0000-000057030000}"/>
    <cellStyle name="Normal 3 3 2 2 2 2" xfId="120" xr:uid="{00000000-0005-0000-0000-000058030000}"/>
    <cellStyle name="Normal 3 3 2 2 2 2 2" xfId="369" xr:uid="{00000000-0005-0000-0000-000059030000}"/>
    <cellStyle name="Normal 3 3 2 2 2 2 2 2" xfId="868" xr:uid="{00000000-0005-0000-0000-00005A030000}"/>
    <cellStyle name="Normal 3 3 2 2 2 2 2 2 2" xfId="1870" xr:uid="{00000000-0005-0000-0000-00005B030000}"/>
    <cellStyle name="Normal 3 3 2 2 2 2 2 3" xfId="1374" xr:uid="{00000000-0005-0000-0000-00005C030000}"/>
    <cellStyle name="Normal 3 3 2 2 2 2 3" xfId="620" xr:uid="{00000000-0005-0000-0000-00005D030000}"/>
    <cellStyle name="Normal 3 3 2 2 2 2 3 2" xfId="1622" xr:uid="{00000000-0005-0000-0000-00005E030000}"/>
    <cellStyle name="Normal 3 3 2 2 2 2 4" xfId="1126" xr:uid="{00000000-0005-0000-0000-00005F030000}"/>
    <cellStyle name="Normal 3 3 2 2 2 3" xfId="166" xr:uid="{00000000-0005-0000-0000-000060030000}"/>
    <cellStyle name="Normal 3 3 2 2 2 3 2" xfId="415" xr:uid="{00000000-0005-0000-0000-000061030000}"/>
    <cellStyle name="Normal 3 3 2 2 2 3 2 2" xfId="914" xr:uid="{00000000-0005-0000-0000-000062030000}"/>
    <cellStyle name="Normal 3 3 2 2 2 3 2 2 2" xfId="1916" xr:uid="{00000000-0005-0000-0000-000063030000}"/>
    <cellStyle name="Normal 3 3 2 2 2 3 2 3" xfId="1420" xr:uid="{00000000-0005-0000-0000-000064030000}"/>
    <cellStyle name="Normal 3 3 2 2 2 3 3" xfId="666" xr:uid="{00000000-0005-0000-0000-000065030000}"/>
    <cellStyle name="Normal 3 3 2 2 2 3 3 2" xfId="1668" xr:uid="{00000000-0005-0000-0000-000066030000}"/>
    <cellStyle name="Normal 3 3 2 2 2 3 4" xfId="1172" xr:uid="{00000000-0005-0000-0000-000067030000}"/>
    <cellStyle name="Normal 3 3 2 2 2 4" xfId="253" xr:uid="{00000000-0005-0000-0000-000068030000}"/>
    <cellStyle name="Normal 3 3 2 2 2 4 2" xfId="502" xr:uid="{00000000-0005-0000-0000-000069030000}"/>
    <cellStyle name="Normal 3 3 2 2 2 4 2 2" xfId="1001" xr:uid="{00000000-0005-0000-0000-00006A030000}"/>
    <cellStyle name="Normal 3 3 2 2 2 4 2 2 2" xfId="2003" xr:uid="{00000000-0005-0000-0000-00006B030000}"/>
    <cellStyle name="Normal 3 3 2 2 2 4 2 3" xfId="1507" xr:uid="{00000000-0005-0000-0000-00006C030000}"/>
    <cellStyle name="Normal 3 3 2 2 2 4 3" xfId="753" xr:uid="{00000000-0005-0000-0000-00006D030000}"/>
    <cellStyle name="Normal 3 3 2 2 2 4 3 2" xfId="1755" xr:uid="{00000000-0005-0000-0000-00006E030000}"/>
    <cellStyle name="Normal 3 3 2 2 2 4 4" xfId="1259" xr:uid="{00000000-0005-0000-0000-00006F030000}"/>
    <cellStyle name="Normal 3 3 2 2 2 5" xfId="300" xr:uid="{00000000-0005-0000-0000-000070030000}"/>
    <cellStyle name="Normal 3 3 2 2 2 5 2" xfId="800" xr:uid="{00000000-0005-0000-0000-000071030000}"/>
    <cellStyle name="Normal 3 3 2 2 2 5 2 2" xfId="1802" xr:uid="{00000000-0005-0000-0000-000072030000}"/>
    <cellStyle name="Normal 3 3 2 2 2 5 3" xfId="1306" xr:uid="{00000000-0005-0000-0000-000073030000}"/>
    <cellStyle name="Normal 3 3 2 2 2 6" xfId="552" xr:uid="{00000000-0005-0000-0000-000074030000}"/>
    <cellStyle name="Normal 3 3 2 2 2 6 2" xfId="1554" xr:uid="{00000000-0005-0000-0000-000075030000}"/>
    <cellStyle name="Normal 3 3 2 2 2 7" xfId="1058" xr:uid="{00000000-0005-0000-0000-000076030000}"/>
    <cellStyle name="Normal 3 3 2 2 3" xfId="73" xr:uid="{00000000-0005-0000-0000-000077030000}"/>
    <cellStyle name="Normal 3 3 2 2 3 2" xfId="188" xr:uid="{00000000-0005-0000-0000-000078030000}"/>
    <cellStyle name="Normal 3 3 2 2 3 2 2" xfId="437" xr:uid="{00000000-0005-0000-0000-000079030000}"/>
    <cellStyle name="Normal 3 3 2 2 3 2 2 2" xfId="936" xr:uid="{00000000-0005-0000-0000-00007A030000}"/>
    <cellStyle name="Normal 3 3 2 2 3 2 2 2 2" xfId="1938" xr:uid="{00000000-0005-0000-0000-00007B030000}"/>
    <cellStyle name="Normal 3 3 2 2 3 2 2 3" xfId="1442" xr:uid="{00000000-0005-0000-0000-00007C030000}"/>
    <cellStyle name="Normal 3 3 2 2 3 2 3" xfId="688" xr:uid="{00000000-0005-0000-0000-00007D030000}"/>
    <cellStyle name="Normal 3 3 2 2 3 2 3 2" xfId="1690" xr:uid="{00000000-0005-0000-0000-00007E030000}"/>
    <cellStyle name="Normal 3 3 2 2 3 2 4" xfId="1194" xr:uid="{00000000-0005-0000-0000-00007F030000}"/>
    <cellStyle name="Normal 3 3 2 2 3 3" xfId="322" xr:uid="{00000000-0005-0000-0000-000080030000}"/>
    <cellStyle name="Normal 3 3 2 2 3 3 2" xfId="822" xr:uid="{00000000-0005-0000-0000-000081030000}"/>
    <cellStyle name="Normal 3 3 2 2 3 3 2 2" xfId="1824" xr:uid="{00000000-0005-0000-0000-000082030000}"/>
    <cellStyle name="Normal 3 3 2 2 3 3 3" xfId="1328" xr:uid="{00000000-0005-0000-0000-000083030000}"/>
    <cellStyle name="Normal 3 3 2 2 3 4" xfId="574" xr:uid="{00000000-0005-0000-0000-000084030000}"/>
    <cellStyle name="Normal 3 3 2 2 3 4 2" xfId="1576" xr:uid="{00000000-0005-0000-0000-000085030000}"/>
    <cellStyle name="Normal 3 3 2 2 3 5" xfId="1080" xr:uid="{00000000-0005-0000-0000-000086030000}"/>
    <cellStyle name="Normal 3 3 2 2 4" xfId="96" xr:uid="{00000000-0005-0000-0000-000087030000}"/>
    <cellStyle name="Normal 3 3 2 2 4 2" xfId="345" xr:uid="{00000000-0005-0000-0000-000088030000}"/>
    <cellStyle name="Normal 3 3 2 2 4 2 2" xfId="844" xr:uid="{00000000-0005-0000-0000-000089030000}"/>
    <cellStyle name="Normal 3 3 2 2 4 2 2 2" xfId="1846" xr:uid="{00000000-0005-0000-0000-00008A030000}"/>
    <cellStyle name="Normal 3 3 2 2 4 2 3" xfId="1350" xr:uid="{00000000-0005-0000-0000-00008B030000}"/>
    <cellStyle name="Normal 3 3 2 2 4 3" xfId="596" xr:uid="{00000000-0005-0000-0000-00008C030000}"/>
    <cellStyle name="Normal 3 3 2 2 4 3 2" xfId="1598" xr:uid="{00000000-0005-0000-0000-00008D030000}"/>
    <cellStyle name="Normal 3 3 2 2 4 4" xfId="1102" xr:uid="{00000000-0005-0000-0000-00008E030000}"/>
    <cellStyle name="Normal 3 3 2 2 5" xfId="142" xr:uid="{00000000-0005-0000-0000-00008F030000}"/>
    <cellStyle name="Normal 3 3 2 2 5 2" xfId="391" xr:uid="{00000000-0005-0000-0000-000090030000}"/>
    <cellStyle name="Normal 3 3 2 2 5 2 2" xfId="890" xr:uid="{00000000-0005-0000-0000-000091030000}"/>
    <cellStyle name="Normal 3 3 2 2 5 2 2 2" xfId="1892" xr:uid="{00000000-0005-0000-0000-000092030000}"/>
    <cellStyle name="Normal 3 3 2 2 5 2 3" xfId="1396" xr:uid="{00000000-0005-0000-0000-000093030000}"/>
    <cellStyle name="Normal 3 3 2 2 5 3" xfId="642" xr:uid="{00000000-0005-0000-0000-000094030000}"/>
    <cellStyle name="Normal 3 3 2 2 5 3 2" xfId="1644" xr:uid="{00000000-0005-0000-0000-000095030000}"/>
    <cellStyle name="Normal 3 3 2 2 5 4" xfId="1148" xr:uid="{00000000-0005-0000-0000-000096030000}"/>
    <cellStyle name="Normal 3 3 2 2 6" xfId="208" xr:uid="{00000000-0005-0000-0000-000097030000}"/>
    <cellStyle name="Normal 3 3 2 2 6 2" xfId="457" xr:uid="{00000000-0005-0000-0000-000098030000}"/>
    <cellStyle name="Normal 3 3 2 2 6 2 2" xfId="956" xr:uid="{00000000-0005-0000-0000-000099030000}"/>
    <cellStyle name="Normal 3 3 2 2 6 2 2 2" xfId="1958" xr:uid="{00000000-0005-0000-0000-00009A030000}"/>
    <cellStyle name="Normal 3 3 2 2 6 2 3" xfId="1462" xr:uid="{00000000-0005-0000-0000-00009B030000}"/>
    <cellStyle name="Normal 3 3 2 2 6 3" xfId="708" xr:uid="{00000000-0005-0000-0000-00009C030000}"/>
    <cellStyle name="Normal 3 3 2 2 6 3 2" xfId="1710" xr:uid="{00000000-0005-0000-0000-00009D030000}"/>
    <cellStyle name="Normal 3 3 2 2 6 4" xfId="1214" xr:uid="{00000000-0005-0000-0000-00009E030000}"/>
    <cellStyle name="Normal 3 3 2 2 7" xfId="229" xr:uid="{00000000-0005-0000-0000-00009F030000}"/>
    <cellStyle name="Normal 3 3 2 2 7 2" xfId="478" xr:uid="{00000000-0005-0000-0000-0000A0030000}"/>
    <cellStyle name="Normal 3 3 2 2 7 2 2" xfId="977" xr:uid="{00000000-0005-0000-0000-0000A1030000}"/>
    <cellStyle name="Normal 3 3 2 2 7 2 2 2" xfId="1979" xr:uid="{00000000-0005-0000-0000-0000A2030000}"/>
    <cellStyle name="Normal 3 3 2 2 7 2 3" xfId="1483" xr:uid="{00000000-0005-0000-0000-0000A3030000}"/>
    <cellStyle name="Normal 3 3 2 2 7 3" xfId="729" xr:uid="{00000000-0005-0000-0000-0000A4030000}"/>
    <cellStyle name="Normal 3 3 2 2 7 3 2" xfId="1731" xr:uid="{00000000-0005-0000-0000-0000A5030000}"/>
    <cellStyle name="Normal 3 3 2 2 7 4" xfId="1235" xr:uid="{00000000-0005-0000-0000-0000A6030000}"/>
    <cellStyle name="Normal 3 3 2 2 8" xfId="276" xr:uid="{00000000-0005-0000-0000-0000A7030000}"/>
    <cellStyle name="Normal 3 3 2 2 8 2" xfId="776" xr:uid="{00000000-0005-0000-0000-0000A8030000}"/>
    <cellStyle name="Normal 3 3 2 2 8 2 2" xfId="1778" xr:uid="{00000000-0005-0000-0000-0000A9030000}"/>
    <cellStyle name="Normal 3 3 2 2 8 3" xfId="1282" xr:uid="{00000000-0005-0000-0000-0000AA030000}"/>
    <cellStyle name="Normal 3 3 2 2 9" xfId="528" xr:uid="{00000000-0005-0000-0000-0000AB030000}"/>
    <cellStyle name="Normal 3 3 2 2 9 2" xfId="1530" xr:uid="{00000000-0005-0000-0000-0000AC030000}"/>
    <cellStyle name="Normal 3 3 2 3" xfId="41" xr:uid="{00000000-0005-0000-0000-0000AD030000}"/>
    <cellStyle name="Normal 3 3 2 3 2" xfId="110" xr:uid="{00000000-0005-0000-0000-0000AE030000}"/>
    <cellStyle name="Normal 3 3 2 3 2 2" xfId="359" xr:uid="{00000000-0005-0000-0000-0000AF030000}"/>
    <cellStyle name="Normal 3 3 2 3 2 2 2" xfId="858" xr:uid="{00000000-0005-0000-0000-0000B0030000}"/>
    <cellStyle name="Normal 3 3 2 3 2 2 2 2" xfId="1860" xr:uid="{00000000-0005-0000-0000-0000B1030000}"/>
    <cellStyle name="Normal 3 3 2 3 2 2 3" xfId="1364" xr:uid="{00000000-0005-0000-0000-0000B2030000}"/>
    <cellStyle name="Normal 3 3 2 3 2 3" xfId="610" xr:uid="{00000000-0005-0000-0000-0000B3030000}"/>
    <cellStyle name="Normal 3 3 2 3 2 3 2" xfId="1612" xr:uid="{00000000-0005-0000-0000-0000B4030000}"/>
    <cellStyle name="Normal 3 3 2 3 2 4" xfId="1116" xr:uid="{00000000-0005-0000-0000-0000B5030000}"/>
    <cellStyle name="Normal 3 3 2 3 3" xfId="156" xr:uid="{00000000-0005-0000-0000-0000B6030000}"/>
    <cellStyle name="Normal 3 3 2 3 3 2" xfId="405" xr:uid="{00000000-0005-0000-0000-0000B7030000}"/>
    <cellStyle name="Normal 3 3 2 3 3 2 2" xfId="904" xr:uid="{00000000-0005-0000-0000-0000B8030000}"/>
    <cellStyle name="Normal 3 3 2 3 3 2 2 2" xfId="1906" xr:uid="{00000000-0005-0000-0000-0000B9030000}"/>
    <cellStyle name="Normal 3 3 2 3 3 2 3" xfId="1410" xr:uid="{00000000-0005-0000-0000-0000BA030000}"/>
    <cellStyle name="Normal 3 3 2 3 3 3" xfId="656" xr:uid="{00000000-0005-0000-0000-0000BB030000}"/>
    <cellStyle name="Normal 3 3 2 3 3 3 2" xfId="1658" xr:uid="{00000000-0005-0000-0000-0000BC030000}"/>
    <cellStyle name="Normal 3 3 2 3 3 4" xfId="1162" xr:uid="{00000000-0005-0000-0000-0000BD030000}"/>
    <cellStyle name="Normal 3 3 2 3 4" xfId="243" xr:uid="{00000000-0005-0000-0000-0000BE030000}"/>
    <cellStyle name="Normal 3 3 2 3 4 2" xfId="492" xr:uid="{00000000-0005-0000-0000-0000BF030000}"/>
    <cellStyle name="Normal 3 3 2 3 4 2 2" xfId="991" xr:uid="{00000000-0005-0000-0000-0000C0030000}"/>
    <cellStyle name="Normal 3 3 2 3 4 2 2 2" xfId="1993" xr:uid="{00000000-0005-0000-0000-0000C1030000}"/>
    <cellStyle name="Normal 3 3 2 3 4 2 3" xfId="1497" xr:uid="{00000000-0005-0000-0000-0000C2030000}"/>
    <cellStyle name="Normal 3 3 2 3 4 3" xfId="743" xr:uid="{00000000-0005-0000-0000-0000C3030000}"/>
    <cellStyle name="Normal 3 3 2 3 4 3 2" xfId="1745" xr:uid="{00000000-0005-0000-0000-0000C4030000}"/>
    <cellStyle name="Normal 3 3 2 3 4 4" xfId="1249" xr:uid="{00000000-0005-0000-0000-0000C5030000}"/>
    <cellStyle name="Normal 3 3 2 3 5" xfId="290" xr:uid="{00000000-0005-0000-0000-0000C6030000}"/>
    <cellStyle name="Normal 3 3 2 3 5 2" xfId="790" xr:uid="{00000000-0005-0000-0000-0000C7030000}"/>
    <cellStyle name="Normal 3 3 2 3 5 2 2" xfId="1792" xr:uid="{00000000-0005-0000-0000-0000C8030000}"/>
    <cellStyle name="Normal 3 3 2 3 5 3" xfId="1296" xr:uid="{00000000-0005-0000-0000-0000C9030000}"/>
    <cellStyle name="Normal 3 3 2 3 6" xfId="542" xr:uid="{00000000-0005-0000-0000-0000CA030000}"/>
    <cellStyle name="Normal 3 3 2 3 6 2" xfId="1544" xr:uid="{00000000-0005-0000-0000-0000CB030000}"/>
    <cellStyle name="Normal 3 3 2 3 7" xfId="1048" xr:uid="{00000000-0005-0000-0000-0000CC030000}"/>
    <cellStyle name="Normal 3 3 2 4" xfId="63" xr:uid="{00000000-0005-0000-0000-0000CD030000}"/>
    <cellStyle name="Normal 3 3 2 4 2" xfId="178" xr:uid="{00000000-0005-0000-0000-0000CE030000}"/>
    <cellStyle name="Normal 3 3 2 4 2 2" xfId="427" xr:uid="{00000000-0005-0000-0000-0000CF030000}"/>
    <cellStyle name="Normal 3 3 2 4 2 2 2" xfId="926" xr:uid="{00000000-0005-0000-0000-0000D0030000}"/>
    <cellStyle name="Normal 3 3 2 4 2 2 2 2" xfId="1928" xr:uid="{00000000-0005-0000-0000-0000D1030000}"/>
    <cellStyle name="Normal 3 3 2 4 2 2 3" xfId="1432" xr:uid="{00000000-0005-0000-0000-0000D2030000}"/>
    <cellStyle name="Normal 3 3 2 4 2 3" xfId="678" xr:uid="{00000000-0005-0000-0000-0000D3030000}"/>
    <cellStyle name="Normal 3 3 2 4 2 3 2" xfId="1680" xr:uid="{00000000-0005-0000-0000-0000D4030000}"/>
    <cellStyle name="Normal 3 3 2 4 2 4" xfId="1184" xr:uid="{00000000-0005-0000-0000-0000D5030000}"/>
    <cellStyle name="Normal 3 3 2 4 3" xfId="312" xr:uid="{00000000-0005-0000-0000-0000D6030000}"/>
    <cellStyle name="Normal 3 3 2 4 3 2" xfId="812" xr:uid="{00000000-0005-0000-0000-0000D7030000}"/>
    <cellStyle name="Normal 3 3 2 4 3 2 2" xfId="1814" xr:uid="{00000000-0005-0000-0000-0000D8030000}"/>
    <cellStyle name="Normal 3 3 2 4 3 3" xfId="1318" xr:uid="{00000000-0005-0000-0000-0000D9030000}"/>
    <cellStyle name="Normal 3 3 2 4 4" xfId="564" xr:uid="{00000000-0005-0000-0000-0000DA030000}"/>
    <cellStyle name="Normal 3 3 2 4 4 2" xfId="1566" xr:uid="{00000000-0005-0000-0000-0000DB030000}"/>
    <cellStyle name="Normal 3 3 2 4 5" xfId="1070" xr:uid="{00000000-0005-0000-0000-0000DC030000}"/>
    <cellStyle name="Normal 3 3 2 5" xfId="86" xr:uid="{00000000-0005-0000-0000-0000DD030000}"/>
    <cellStyle name="Normal 3 3 2 5 2" xfId="335" xr:uid="{00000000-0005-0000-0000-0000DE030000}"/>
    <cellStyle name="Normal 3 3 2 5 2 2" xfId="834" xr:uid="{00000000-0005-0000-0000-0000DF030000}"/>
    <cellStyle name="Normal 3 3 2 5 2 2 2" xfId="1836" xr:uid="{00000000-0005-0000-0000-0000E0030000}"/>
    <cellStyle name="Normal 3 3 2 5 2 3" xfId="1340" xr:uid="{00000000-0005-0000-0000-0000E1030000}"/>
    <cellStyle name="Normal 3 3 2 5 3" xfId="586" xr:uid="{00000000-0005-0000-0000-0000E2030000}"/>
    <cellStyle name="Normal 3 3 2 5 3 2" xfId="1588" xr:uid="{00000000-0005-0000-0000-0000E3030000}"/>
    <cellStyle name="Normal 3 3 2 5 4" xfId="1092" xr:uid="{00000000-0005-0000-0000-0000E4030000}"/>
    <cellStyle name="Normal 3 3 2 6" xfId="132" xr:uid="{00000000-0005-0000-0000-0000E5030000}"/>
    <cellStyle name="Normal 3 3 2 6 2" xfId="381" xr:uid="{00000000-0005-0000-0000-0000E6030000}"/>
    <cellStyle name="Normal 3 3 2 6 2 2" xfId="880" xr:uid="{00000000-0005-0000-0000-0000E7030000}"/>
    <cellStyle name="Normal 3 3 2 6 2 2 2" xfId="1882" xr:uid="{00000000-0005-0000-0000-0000E8030000}"/>
    <cellStyle name="Normal 3 3 2 6 2 3" xfId="1386" xr:uid="{00000000-0005-0000-0000-0000E9030000}"/>
    <cellStyle name="Normal 3 3 2 6 3" xfId="632" xr:uid="{00000000-0005-0000-0000-0000EA030000}"/>
    <cellStyle name="Normal 3 3 2 6 3 2" xfId="1634" xr:uid="{00000000-0005-0000-0000-0000EB030000}"/>
    <cellStyle name="Normal 3 3 2 6 4" xfId="1138" xr:uid="{00000000-0005-0000-0000-0000EC030000}"/>
    <cellStyle name="Normal 3 3 2 7" xfId="198" xr:uid="{00000000-0005-0000-0000-0000ED030000}"/>
    <cellStyle name="Normal 3 3 2 7 2" xfId="447" xr:uid="{00000000-0005-0000-0000-0000EE030000}"/>
    <cellStyle name="Normal 3 3 2 7 2 2" xfId="946" xr:uid="{00000000-0005-0000-0000-0000EF030000}"/>
    <cellStyle name="Normal 3 3 2 7 2 2 2" xfId="1948" xr:uid="{00000000-0005-0000-0000-0000F0030000}"/>
    <cellStyle name="Normal 3 3 2 7 2 3" xfId="1452" xr:uid="{00000000-0005-0000-0000-0000F1030000}"/>
    <cellStyle name="Normal 3 3 2 7 3" xfId="698" xr:uid="{00000000-0005-0000-0000-0000F2030000}"/>
    <cellStyle name="Normal 3 3 2 7 3 2" xfId="1700" xr:uid="{00000000-0005-0000-0000-0000F3030000}"/>
    <cellStyle name="Normal 3 3 2 7 4" xfId="1204" xr:uid="{00000000-0005-0000-0000-0000F4030000}"/>
    <cellStyle name="Normal 3 3 2 8" xfId="219" xr:uid="{00000000-0005-0000-0000-0000F5030000}"/>
    <cellStyle name="Normal 3 3 2 8 2" xfId="468" xr:uid="{00000000-0005-0000-0000-0000F6030000}"/>
    <cellStyle name="Normal 3 3 2 8 2 2" xfId="967" xr:uid="{00000000-0005-0000-0000-0000F7030000}"/>
    <cellStyle name="Normal 3 3 2 8 2 2 2" xfId="1969" xr:uid="{00000000-0005-0000-0000-0000F8030000}"/>
    <cellStyle name="Normal 3 3 2 8 2 3" xfId="1473" xr:uid="{00000000-0005-0000-0000-0000F9030000}"/>
    <cellStyle name="Normal 3 3 2 8 3" xfId="719" xr:uid="{00000000-0005-0000-0000-0000FA030000}"/>
    <cellStyle name="Normal 3 3 2 8 3 2" xfId="1721" xr:uid="{00000000-0005-0000-0000-0000FB030000}"/>
    <cellStyle name="Normal 3 3 2 8 4" xfId="1225" xr:uid="{00000000-0005-0000-0000-0000FC030000}"/>
    <cellStyle name="Normal 3 3 2 9" xfId="266" xr:uid="{00000000-0005-0000-0000-0000FD030000}"/>
    <cellStyle name="Normal 3 3 2 9 2" xfId="766" xr:uid="{00000000-0005-0000-0000-0000FE030000}"/>
    <cellStyle name="Normal 3 3 2 9 2 2" xfId="1768" xr:uid="{00000000-0005-0000-0000-0000FF030000}"/>
    <cellStyle name="Normal 3 3 2 9 3" xfId="1272" xr:uid="{00000000-0005-0000-0000-000000040000}"/>
    <cellStyle name="Normal 3 3 3" xfId="23" xr:uid="{00000000-0005-0000-0000-000001040000}"/>
    <cellStyle name="Normal 3 3 3 10" xfId="1030" xr:uid="{00000000-0005-0000-0000-000002040000}"/>
    <cellStyle name="Normal 3 3 3 2" xfId="47" xr:uid="{00000000-0005-0000-0000-000003040000}"/>
    <cellStyle name="Normal 3 3 3 2 2" xfId="116" xr:uid="{00000000-0005-0000-0000-000004040000}"/>
    <cellStyle name="Normal 3 3 3 2 2 2" xfId="365" xr:uid="{00000000-0005-0000-0000-000005040000}"/>
    <cellStyle name="Normal 3 3 3 2 2 2 2" xfId="864" xr:uid="{00000000-0005-0000-0000-000006040000}"/>
    <cellStyle name="Normal 3 3 3 2 2 2 2 2" xfId="1866" xr:uid="{00000000-0005-0000-0000-000007040000}"/>
    <cellStyle name="Normal 3 3 3 2 2 2 3" xfId="1370" xr:uid="{00000000-0005-0000-0000-000008040000}"/>
    <cellStyle name="Normal 3 3 3 2 2 3" xfId="616" xr:uid="{00000000-0005-0000-0000-000009040000}"/>
    <cellStyle name="Normal 3 3 3 2 2 3 2" xfId="1618" xr:uid="{00000000-0005-0000-0000-00000A040000}"/>
    <cellStyle name="Normal 3 3 3 2 2 4" xfId="1122" xr:uid="{00000000-0005-0000-0000-00000B040000}"/>
    <cellStyle name="Normal 3 3 3 2 3" xfId="162" xr:uid="{00000000-0005-0000-0000-00000C040000}"/>
    <cellStyle name="Normal 3 3 3 2 3 2" xfId="411" xr:uid="{00000000-0005-0000-0000-00000D040000}"/>
    <cellStyle name="Normal 3 3 3 2 3 2 2" xfId="910" xr:uid="{00000000-0005-0000-0000-00000E040000}"/>
    <cellStyle name="Normal 3 3 3 2 3 2 2 2" xfId="1912" xr:uid="{00000000-0005-0000-0000-00000F040000}"/>
    <cellStyle name="Normal 3 3 3 2 3 2 3" xfId="1416" xr:uid="{00000000-0005-0000-0000-000010040000}"/>
    <cellStyle name="Normal 3 3 3 2 3 3" xfId="662" xr:uid="{00000000-0005-0000-0000-000011040000}"/>
    <cellStyle name="Normal 3 3 3 2 3 3 2" xfId="1664" xr:uid="{00000000-0005-0000-0000-000012040000}"/>
    <cellStyle name="Normal 3 3 3 2 3 4" xfId="1168" xr:uid="{00000000-0005-0000-0000-000013040000}"/>
    <cellStyle name="Normal 3 3 3 2 4" xfId="249" xr:uid="{00000000-0005-0000-0000-000014040000}"/>
    <cellStyle name="Normal 3 3 3 2 4 2" xfId="498" xr:uid="{00000000-0005-0000-0000-000015040000}"/>
    <cellStyle name="Normal 3 3 3 2 4 2 2" xfId="997" xr:uid="{00000000-0005-0000-0000-000016040000}"/>
    <cellStyle name="Normal 3 3 3 2 4 2 2 2" xfId="1999" xr:uid="{00000000-0005-0000-0000-000017040000}"/>
    <cellStyle name="Normal 3 3 3 2 4 2 3" xfId="1503" xr:uid="{00000000-0005-0000-0000-000018040000}"/>
    <cellStyle name="Normal 3 3 3 2 4 3" xfId="749" xr:uid="{00000000-0005-0000-0000-000019040000}"/>
    <cellStyle name="Normal 3 3 3 2 4 3 2" xfId="1751" xr:uid="{00000000-0005-0000-0000-00001A040000}"/>
    <cellStyle name="Normal 3 3 3 2 4 4" xfId="1255" xr:uid="{00000000-0005-0000-0000-00001B040000}"/>
    <cellStyle name="Normal 3 3 3 2 5" xfId="296" xr:uid="{00000000-0005-0000-0000-00001C040000}"/>
    <cellStyle name="Normal 3 3 3 2 5 2" xfId="796" xr:uid="{00000000-0005-0000-0000-00001D040000}"/>
    <cellStyle name="Normal 3 3 3 2 5 2 2" xfId="1798" xr:uid="{00000000-0005-0000-0000-00001E040000}"/>
    <cellStyle name="Normal 3 3 3 2 5 3" xfId="1302" xr:uid="{00000000-0005-0000-0000-00001F040000}"/>
    <cellStyle name="Normal 3 3 3 2 6" xfId="548" xr:uid="{00000000-0005-0000-0000-000020040000}"/>
    <cellStyle name="Normal 3 3 3 2 6 2" xfId="1550" xr:uid="{00000000-0005-0000-0000-000021040000}"/>
    <cellStyle name="Normal 3 3 3 2 7" xfId="1054" xr:uid="{00000000-0005-0000-0000-000022040000}"/>
    <cellStyle name="Normal 3 3 3 3" xfId="69" xr:uid="{00000000-0005-0000-0000-000023040000}"/>
    <cellStyle name="Normal 3 3 3 3 2" xfId="184" xr:uid="{00000000-0005-0000-0000-000024040000}"/>
    <cellStyle name="Normal 3 3 3 3 2 2" xfId="433" xr:uid="{00000000-0005-0000-0000-000025040000}"/>
    <cellStyle name="Normal 3 3 3 3 2 2 2" xfId="932" xr:uid="{00000000-0005-0000-0000-000026040000}"/>
    <cellStyle name="Normal 3 3 3 3 2 2 2 2" xfId="1934" xr:uid="{00000000-0005-0000-0000-000027040000}"/>
    <cellStyle name="Normal 3 3 3 3 2 2 3" xfId="1438" xr:uid="{00000000-0005-0000-0000-000028040000}"/>
    <cellStyle name="Normal 3 3 3 3 2 3" xfId="684" xr:uid="{00000000-0005-0000-0000-000029040000}"/>
    <cellStyle name="Normal 3 3 3 3 2 3 2" xfId="1686" xr:uid="{00000000-0005-0000-0000-00002A040000}"/>
    <cellStyle name="Normal 3 3 3 3 2 4" xfId="1190" xr:uid="{00000000-0005-0000-0000-00002B040000}"/>
    <cellStyle name="Normal 3 3 3 3 3" xfId="318" xr:uid="{00000000-0005-0000-0000-00002C040000}"/>
    <cellStyle name="Normal 3 3 3 3 3 2" xfId="818" xr:uid="{00000000-0005-0000-0000-00002D040000}"/>
    <cellStyle name="Normal 3 3 3 3 3 2 2" xfId="1820" xr:uid="{00000000-0005-0000-0000-00002E040000}"/>
    <cellStyle name="Normal 3 3 3 3 3 3" xfId="1324" xr:uid="{00000000-0005-0000-0000-00002F040000}"/>
    <cellStyle name="Normal 3 3 3 3 4" xfId="570" xr:uid="{00000000-0005-0000-0000-000030040000}"/>
    <cellStyle name="Normal 3 3 3 3 4 2" xfId="1572" xr:uid="{00000000-0005-0000-0000-000031040000}"/>
    <cellStyle name="Normal 3 3 3 3 5" xfId="1076" xr:uid="{00000000-0005-0000-0000-000032040000}"/>
    <cellStyle name="Normal 3 3 3 4" xfId="92" xr:uid="{00000000-0005-0000-0000-000033040000}"/>
    <cellStyle name="Normal 3 3 3 4 2" xfId="341" xr:uid="{00000000-0005-0000-0000-000034040000}"/>
    <cellStyle name="Normal 3 3 3 4 2 2" xfId="840" xr:uid="{00000000-0005-0000-0000-000035040000}"/>
    <cellStyle name="Normal 3 3 3 4 2 2 2" xfId="1842" xr:uid="{00000000-0005-0000-0000-000036040000}"/>
    <cellStyle name="Normal 3 3 3 4 2 3" xfId="1346" xr:uid="{00000000-0005-0000-0000-000037040000}"/>
    <cellStyle name="Normal 3 3 3 4 3" xfId="592" xr:uid="{00000000-0005-0000-0000-000038040000}"/>
    <cellStyle name="Normal 3 3 3 4 3 2" xfId="1594" xr:uid="{00000000-0005-0000-0000-000039040000}"/>
    <cellStyle name="Normal 3 3 3 4 4" xfId="1098" xr:uid="{00000000-0005-0000-0000-00003A040000}"/>
    <cellStyle name="Normal 3 3 3 5" xfId="138" xr:uid="{00000000-0005-0000-0000-00003B040000}"/>
    <cellStyle name="Normal 3 3 3 5 2" xfId="387" xr:uid="{00000000-0005-0000-0000-00003C040000}"/>
    <cellStyle name="Normal 3 3 3 5 2 2" xfId="886" xr:uid="{00000000-0005-0000-0000-00003D040000}"/>
    <cellStyle name="Normal 3 3 3 5 2 2 2" xfId="1888" xr:uid="{00000000-0005-0000-0000-00003E040000}"/>
    <cellStyle name="Normal 3 3 3 5 2 3" xfId="1392" xr:uid="{00000000-0005-0000-0000-00003F040000}"/>
    <cellStyle name="Normal 3 3 3 5 3" xfId="638" xr:uid="{00000000-0005-0000-0000-000040040000}"/>
    <cellStyle name="Normal 3 3 3 5 3 2" xfId="1640" xr:uid="{00000000-0005-0000-0000-000041040000}"/>
    <cellStyle name="Normal 3 3 3 5 4" xfId="1144" xr:uid="{00000000-0005-0000-0000-000042040000}"/>
    <cellStyle name="Normal 3 3 3 6" xfId="204" xr:uid="{00000000-0005-0000-0000-000043040000}"/>
    <cellStyle name="Normal 3 3 3 6 2" xfId="453" xr:uid="{00000000-0005-0000-0000-000044040000}"/>
    <cellStyle name="Normal 3 3 3 6 2 2" xfId="952" xr:uid="{00000000-0005-0000-0000-000045040000}"/>
    <cellStyle name="Normal 3 3 3 6 2 2 2" xfId="1954" xr:uid="{00000000-0005-0000-0000-000046040000}"/>
    <cellStyle name="Normal 3 3 3 6 2 3" xfId="1458" xr:uid="{00000000-0005-0000-0000-000047040000}"/>
    <cellStyle name="Normal 3 3 3 6 3" xfId="704" xr:uid="{00000000-0005-0000-0000-000048040000}"/>
    <cellStyle name="Normal 3 3 3 6 3 2" xfId="1706" xr:uid="{00000000-0005-0000-0000-000049040000}"/>
    <cellStyle name="Normal 3 3 3 6 4" xfId="1210" xr:uid="{00000000-0005-0000-0000-00004A040000}"/>
    <cellStyle name="Normal 3 3 3 7" xfId="225" xr:uid="{00000000-0005-0000-0000-00004B040000}"/>
    <cellStyle name="Normal 3 3 3 7 2" xfId="474" xr:uid="{00000000-0005-0000-0000-00004C040000}"/>
    <cellStyle name="Normal 3 3 3 7 2 2" xfId="973" xr:uid="{00000000-0005-0000-0000-00004D040000}"/>
    <cellStyle name="Normal 3 3 3 7 2 2 2" xfId="1975" xr:uid="{00000000-0005-0000-0000-00004E040000}"/>
    <cellStyle name="Normal 3 3 3 7 2 3" xfId="1479" xr:uid="{00000000-0005-0000-0000-00004F040000}"/>
    <cellStyle name="Normal 3 3 3 7 3" xfId="725" xr:uid="{00000000-0005-0000-0000-000050040000}"/>
    <cellStyle name="Normal 3 3 3 7 3 2" xfId="1727" xr:uid="{00000000-0005-0000-0000-000051040000}"/>
    <cellStyle name="Normal 3 3 3 7 4" xfId="1231" xr:uid="{00000000-0005-0000-0000-000052040000}"/>
    <cellStyle name="Normal 3 3 3 8" xfId="272" xr:uid="{00000000-0005-0000-0000-000053040000}"/>
    <cellStyle name="Normal 3 3 3 8 2" xfId="772" xr:uid="{00000000-0005-0000-0000-000054040000}"/>
    <cellStyle name="Normal 3 3 3 8 2 2" xfId="1774" xr:uid="{00000000-0005-0000-0000-000055040000}"/>
    <cellStyle name="Normal 3 3 3 8 3" xfId="1278" xr:uid="{00000000-0005-0000-0000-000056040000}"/>
    <cellStyle name="Normal 3 3 3 9" xfId="524" xr:uid="{00000000-0005-0000-0000-000057040000}"/>
    <cellStyle name="Normal 3 3 3 9 2" xfId="1526" xr:uid="{00000000-0005-0000-0000-000058040000}"/>
    <cellStyle name="Normal 3 3 4" xfId="37" xr:uid="{00000000-0005-0000-0000-000059040000}"/>
    <cellStyle name="Normal 3 3 4 2" xfId="106" xr:uid="{00000000-0005-0000-0000-00005A040000}"/>
    <cellStyle name="Normal 3 3 4 2 2" xfId="355" xr:uid="{00000000-0005-0000-0000-00005B040000}"/>
    <cellStyle name="Normal 3 3 4 2 2 2" xfId="854" xr:uid="{00000000-0005-0000-0000-00005C040000}"/>
    <cellStyle name="Normal 3 3 4 2 2 2 2" xfId="1856" xr:uid="{00000000-0005-0000-0000-00005D040000}"/>
    <cellStyle name="Normal 3 3 4 2 2 3" xfId="1360" xr:uid="{00000000-0005-0000-0000-00005E040000}"/>
    <cellStyle name="Normal 3 3 4 2 3" xfId="606" xr:uid="{00000000-0005-0000-0000-00005F040000}"/>
    <cellStyle name="Normal 3 3 4 2 3 2" xfId="1608" xr:uid="{00000000-0005-0000-0000-000060040000}"/>
    <cellStyle name="Normal 3 3 4 2 4" xfId="1112" xr:uid="{00000000-0005-0000-0000-000061040000}"/>
    <cellStyle name="Normal 3 3 4 3" xfId="152" xr:uid="{00000000-0005-0000-0000-000062040000}"/>
    <cellStyle name="Normal 3 3 4 3 2" xfId="401" xr:uid="{00000000-0005-0000-0000-000063040000}"/>
    <cellStyle name="Normal 3 3 4 3 2 2" xfId="900" xr:uid="{00000000-0005-0000-0000-000064040000}"/>
    <cellStyle name="Normal 3 3 4 3 2 2 2" xfId="1902" xr:uid="{00000000-0005-0000-0000-000065040000}"/>
    <cellStyle name="Normal 3 3 4 3 2 3" xfId="1406" xr:uid="{00000000-0005-0000-0000-000066040000}"/>
    <cellStyle name="Normal 3 3 4 3 3" xfId="652" xr:uid="{00000000-0005-0000-0000-000067040000}"/>
    <cellStyle name="Normal 3 3 4 3 3 2" xfId="1654" xr:uid="{00000000-0005-0000-0000-000068040000}"/>
    <cellStyle name="Normal 3 3 4 3 4" xfId="1158" xr:uid="{00000000-0005-0000-0000-000069040000}"/>
    <cellStyle name="Normal 3 3 4 4" xfId="239" xr:uid="{00000000-0005-0000-0000-00006A040000}"/>
    <cellStyle name="Normal 3 3 4 4 2" xfId="488" xr:uid="{00000000-0005-0000-0000-00006B040000}"/>
    <cellStyle name="Normal 3 3 4 4 2 2" xfId="987" xr:uid="{00000000-0005-0000-0000-00006C040000}"/>
    <cellStyle name="Normal 3 3 4 4 2 2 2" xfId="1989" xr:uid="{00000000-0005-0000-0000-00006D040000}"/>
    <cellStyle name="Normal 3 3 4 4 2 3" xfId="1493" xr:uid="{00000000-0005-0000-0000-00006E040000}"/>
    <cellStyle name="Normal 3 3 4 4 3" xfId="739" xr:uid="{00000000-0005-0000-0000-00006F040000}"/>
    <cellStyle name="Normal 3 3 4 4 3 2" xfId="1741" xr:uid="{00000000-0005-0000-0000-000070040000}"/>
    <cellStyle name="Normal 3 3 4 4 4" xfId="1245" xr:uid="{00000000-0005-0000-0000-000071040000}"/>
    <cellStyle name="Normal 3 3 4 5" xfId="286" xr:uid="{00000000-0005-0000-0000-000072040000}"/>
    <cellStyle name="Normal 3 3 4 5 2" xfId="786" xr:uid="{00000000-0005-0000-0000-000073040000}"/>
    <cellStyle name="Normal 3 3 4 5 2 2" xfId="1788" xr:uid="{00000000-0005-0000-0000-000074040000}"/>
    <cellStyle name="Normal 3 3 4 5 3" xfId="1292" xr:uid="{00000000-0005-0000-0000-000075040000}"/>
    <cellStyle name="Normal 3 3 4 6" xfId="538" xr:uid="{00000000-0005-0000-0000-000076040000}"/>
    <cellStyle name="Normal 3 3 4 6 2" xfId="1540" xr:uid="{00000000-0005-0000-0000-000077040000}"/>
    <cellStyle name="Normal 3 3 4 7" xfId="1044" xr:uid="{00000000-0005-0000-0000-000078040000}"/>
    <cellStyle name="Normal 3 3 5" xfId="59" xr:uid="{00000000-0005-0000-0000-000079040000}"/>
    <cellStyle name="Normal 3 3 5 2" xfId="174" xr:uid="{00000000-0005-0000-0000-00007A040000}"/>
    <cellStyle name="Normal 3 3 5 2 2" xfId="423" xr:uid="{00000000-0005-0000-0000-00007B040000}"/>
    <cellStyle name="Normal 3 3 5 2 2 2" xfId="922" xr:uid="{00000000-0005-0000-0000-00007C040000}"/>
    <cellStyle name="Normal 3 3 5 2 2 2 2" xfId="1924" xr:uid="{00000000-0005-0000-0000-00007D040000}"/>
    <cellStyle name="Normal 3 3 5 2 2 3" xfId="1428" xr:uid="{00000000-0005-0000-0000-00007E040000}"/>
    <cellStyle name="Normal 3 3 5 2 3" xfId="674" xr:uid="{00000000-0005-0000-0000-00007F040000}"/>
    <cellStyle name="Normal 3 3 5 2 3 2" xfId="1676" xr:uid="{00000000-0005-0000-0000-000080040000}"/>
    <cellStyle name="Normal 3 3 5 2 4" xfId="1180" xr:uid="{00000000-0005-0000-0000-000081040000}"/>
    <cellStyle name="Normal 3 3 5 3" xfId="308" xr:uid="{00000000-0005-0000-0000-000082040000}"/>
    <cellStyle name="Normal 3 3 5 3 2" xfId="808" xr:uid="{00000000-0005-0000-0000-000083040000}"/>
    <cellStyle name="Normal 3 3 5 3 2 2" xfId="1810" xr:uid="{00000000-0005-0000-0000-000084040000}"/>
    <cellStyle name="Normal 3 3 5 3 3" xfId="1314" xr:uid="{00000000-0005-0000-0000-000085040000}"/>
    <cellStyle name="Normal 3 3 5 4" xfId="560" xr:uid="{00000000-0005-0000-0000-000086040000}"/>
    <cellStyle name="Normal 3 3 5 4 2" xfId="1562" xr:uid="{00000000-0005-0000-0000-000087040000}"/>
    <cellStyle name="Normal 3 3 5 5" xfId="1066" xr:uid="{00000000-0005-0000-0000-000088040000}"/>
    <cellStyle name="Normal 3 3 6" xfId="82" xr:uid="{00000000-0005-0000-0000-000089040000}"/>
    <cellStyle name="Normal 3 3 6 2" xfId="331" xr:uid="{00000000-0005-0000-0000-00008A040000}"/>
    <cellStyle name="Normal 3 3 6 2 2" xfId="830" xr:uid="{00000000-0005-0000-0000-00008B040000}"/>
    <cellStyle name="Normal 3 3 6 2 2 2" xfId="1832" xr:uid="{00000000-0005-0000-0000-00008C040000}"/>
    <cellStyle name="Normal 3 3 6 2 3" xfId="1336" xr:uid="{00000000-0005-0000-0000-00008D040000}"/>
    <cellStyle name="Normal 3 3 6 3" xfId="582" xr:uid="{00000000-0005-0000-0000-00008E040000}"/>
    <cellStyle name="Normal 3 3 6 3 2" xfId="1584" xr:uid="{00000000-0005-0000-0000-00008F040000}"/>
    <cellStyle name="Normal 3 3 6 4" xfId="1088" xr:uid="{00000000-0005-0000-0000-000090040000}"/>
    <cellStyle name="Normal 3 3 7" xfId="128" xr:uid="{00000000-0005-0000-0000-000091040000}"/>
    <cellStyle name="Normal 3 3 7 2" xfId="377" xr:uid="{00000000-0005-0000-0000-000092040000}"/>
    <cellStyle name="Normal 3 3 7 2 2" xfId="876" xr:uid="{00000000-0005-0000-0000-000093040000}"/>
    <cellStyle name="Normal 3 3 7 2 2 2" xfId="1878" xr:uid="{00000000-0005-0000-0000-000094040000}"/>
    <cellStyle name="Normal 3 3 7 2 3" xfId="1382" xr:uid="{00000000-0005-0000-0000-000095040000}"/>
    <cellStyle name="Normal 3 3 7 3" xfId="628" xr:uid="{00000000-0005-0000-0000-000096040000}"/>
    <cellStyle name="Normal 3 3 7 3 2" xfId="1630" xr:uid="{00000000-0005-0000-0000-000097040000}"/>
    <cellStyle name="Normal 3 3 7 4" xfId="1134" xr:uid="{00000000-0005-0000-0000-000098040000}"/>
    <cellStyle name="Normal 3 3 8" xfId="194" xr:uid="{00000000-0005-0000-0000-000099040000}"/>
    <cellStyle name="Normal 3 3 8 2" xfId="443" xr:uid="{00000000-0005-0000-0000-00009A040000}"/>
    <cellStyle name="Normal 3 3 8 2 2" xfId="942" xr:uid="{00000000-0005-0000-0000-00009B040000}"/>
    <cellStyle name="Normal 3 3 8 2 2 2" xfId="1944" xr:uid="{00000000-0005-0000-0000-00009C040000}"/>
    <cellStyle name="Normal 3 3 8 2 3" xfId="1448" xr:uid="{00000000-0005-0000-0000-00009D040000}"/>
    <cellStyle name="Normal 3 3 8 3" xfId="694" xr:uid="{00000000-0005-0000-0000-00009E040000}"/>
    <cellStyle name="Normal 3 3 8 3 2" xfId="1696" xr:uid="{00000000-0005-0000-0000-00009F040000}"/>
    <cellStyle name="Normal 3 3 8 4" xfId="1200" xr:uid="{00000000-0005-0000-0000-0000A0040000}"/>
    <cellStyle name="Normal 3 3 9" xfId="215" xr:uid="{00000000-0005-0000-0000-0000A1040000}"/>
    <cellStyle name="Normal 3 3 9 2" xfId="464" xr:uid="{00000000-0005-0000-0000-0000A2040000}"/>
    <cellStyle name="Normal 3 3 9 2 2" xfId="963" xr:uid="{00000000-0005-0000-0000-0000A3040000}"/>
    <cellStyle name="Normal 3 3 9 2 2 2" xfId="1965" xr:uid="{00000000-0005-0000-0000-0000A4040000}"/>
    <cellStyle name="Normal 3 3 9 2 3" xfId="1469" xr:uid="{00000000-0005-0000-0000-0000A5040000}"/>
    <cellStyle name="Normal 3 3 9 3" xfId="715" xr:uid="{00000000-0005-0000-0000-0000A6040000}"/>
    <cellStyle name="Normal 3 3 9 3 2" xfId="1717" xr:uid="{00000000-0005-0000-0000-0000A7040000}"/>
    <cellStyle name="Normal 3 3 9 4" xfId="1221" xr:uid="{00000000-0005-0000-0000-0000A8040000}"/>
    <cellStyle name="Normal 3 4" xfId="14" xr:uid="{00000000-0005-0000-0000-0000A9040000}"/>
    <cellStyle name="Normal 3 4 10" xfId="516" xr:uid="{00000000-0005-0000-0000-0000AA040000}"/>
    <cellStyle name="Normal 3 4 10 2" xfId="1518" xr:uid="{00000000-0005-0000-0000-0000AB040000}"/>
    <cellStyle name="Normal 3 4 11" xfId="1022" xr:uid="{00000000-0005-0000-0000-0000AC040000}"/>
    <cellStyle name="Normal 3 4 2" xfId="25" xr:uid="{00000000-0005-0000-0000-0000AD040000}"/>
    <cellStyle name="Normal 3 4 2 10" xfId="1032" xr:uid="{00000000-0005-0000-0000-0000AE040000}"/>
    <cellStyle name="Normal 3 4 2 2" xfId="49" xr:uid="{00000000-0005-0000-0000-0000AF040000}"/>
    <cellStyle name="Normal 3 4 2 2 2" xfId="118" xr:uid="{00000000-0005-0000-0000-0000B0040000}"/>
    <cellStyle name="Normal 3 4 2 2 2 2" xfId="367" xr:uid="{00000000-0005-0000-0000-0000B1040000}"/>
    <cellStyle name="Normal 3 4 2 2 2 2 2" xfId="866" xr:uid="{00000000-0005-0000-0000-0000B2040000}"/>
    <cellStyle name="Normal 3 4 2 2 2 2 2 2" xfId="1868" xr:uid="{00000000-0005-0000-0000-0000B3040000}"/>
    <cellStyle name="Normal 3 4 2 2 2 2 3" xfId="1372" xr:uid="{00000000-0005-0000-0000-0000B4040000}"/>
    <cellStyle name="Normal 3 4 2 2 2 3" xfId="618" xr:uid="{00000000-0005-0000-0000-0000B5040000}"/>
    <cellStyle name="Normal 3 4 2 2 2 3 2" xfId="1620" xr:uid="{00000000-0005-0000-0000-0000B6040000}"/>
    <cellStyle name="Normal 3 4 2 2 2 4" xfId="1124" xr:uid="{00000000-0005-0000-0000-0000B7040000}"/>
    <cellStyle name="Normal 3 4 2 2 3" xfId="164" xr:uid="{00000000-0005-0000-0000-0000B8040000}"/>
    <cellStyle name="Normal 3 4 2 2 3 2" xfId="413" xr:uid="{00000000-0005-0000-0000-0000B9040000}"/>
    <cellStyle name="Normal 3 4 2 2 3 2 2" xfId="912" xr:uid="{00000000-0005-0000-0000-0000BA040000}"/>
    <cellStyle name="Normal 3 4 2 2 3 2 2 2" xfId="1914" xr:uid="{00000000-0005-0000-0000-0000BB040000}"/>
    <cellStyle name="Normal 3 4 2 2 3 2 3" xfId="1418" xr:uid="{00000000-0005-0000-0000-0000BC040000}"/>
    <cellStyle name="Normal 3 4 2 2 3 3" xfId="664" xr:uid="{00000000-0005-0000-0000-0000BD040000}"/>
    <cellStyle name="Normal 3 4 2 2 3 3 2" xfId="1666" xr:uid="{00000000-0005-0000-0000-0000BE040000}"/>
    <cellStyle name="Normal 3 4 2 2 3 4" xfId="1170" xr:uid="{00000000-0005-0000-0000-0000BF040000}"/>
    <cellStyle name="Normal 3 4 2 2 4" xfId="251" xr:uid="{00000000-0005-0000-0000-0000C0040000}"/>
    <cellStyle name="Normal 3 4 2 2 4 2" xfId="500" xr:uid="{00000000-0005-0000-0000-0000C1040000}"/>
    <cellStyle name="Normal 3 4 2 2 4 2 2" xfId="999" xr:uid="{00000000-0005-0000-0000-0000C2040000}"/>
    <cellStyle name="Normal 3 4 2 2 4 2 2 2" xfId="2001" xr:uid="{00000000-0005-0000-0000-0000C3040000}"/>
    <cellStyle name="Normal 3 4 2 2 4 2 3" xfId="1505" xr:uid="{00000000-0005-0000-0000-0000C4040000}"/>
    <cellStyle name="Normal 3 4 2 2 4 3" xfId="751" xr:uid="{00000000-0005-0000-0000-0000C5040000}"/>
    <cellStyle name="Normal 3 4 2 2 4 3 2" xfId="1753" xr:uid="{00000000-0005-0000-0000-0000C6040000}"/>
    <cellStyle name="Normal 3 4 2 2 4 4" xfId="1257" xr:uid="{00000000-0005-0000-0000-0000C7040000}"/>
    <cellStyle name="Normal 3 4 2 2 5" xfId="298" xr:uid="{00000000-0005-0000-0000-0000C8040000}"/>
    <cellStyle name="Normal 3 4 2 2 5 2" xfId="798" xr:uid="{00000000-0005-0000-0000-0000C9040000}"/>
    <cellStyle name="Normal 3 4 2 2 5 2 2" xfId="1800" xr:uid="{00000000-0005-0000-0000-0000CA040000}"/>
    <cellStyle name="Normal 3 4 2 2 5 3" xfId="1304" xr:uid="{00000000-0005-0000-0000-0000CB040000}"/>
    <cellStyle name="Normal 3 4 2 2 6" xfId="550" xr:uid="{00000000-0005-0000-0000-0000CC040000}"/>
    <cellStyle name="Normal 3 4 2 2 6 2" xfId="1552" xr:uid="{00000000-0005-0000-0000-0000CD040000}"/>
    <cellStyle name="Normal 3 4 2 2 7" xfId="1056" xr:uid="{00000000-0005-0000-0000-0000CE040000}"/>
    <cellStyle name="Normal 3 4 2 3" xfId="71" xr:uid="{00000000-0005-0000-0000-0000CF040000}"/>
    <cellStyle name="Normal 3 4 2 3 2" xfId="186" xr:uid="{00000000-0005-0000-0000-0000D0040000}"/>
    <cellStyle name="Normal 3 4 2 3 2 2" xfId="435" xr:uid="{00000000-0005-0000-0000-0000D1040000}"/>
    <cellStyle name="Normal 3 4 2 3 2 2 2" xfId="934" xr:uid="{00000000-0005-0000-0000-0000D2040000}"/>
    <cellStyle name="Normal 3 4 2 3 2 2 2 2" xfId="1936" xr:uid="{00000000-0005-0000-0000-0000D3040000}"/>
    <cellStyle name="Normal 3 4 2 3 2 2 3" xfId="1440" xr:uid="{00000000-0005-0000-0000-0000D4040000}"/>
    <cellStyle name="Normal 3 4 2 3 2 3" xfId="686" xr:uid="{00000000-0005-0000-0000-0000D5040000}"/>
    <cellStyle name="Normal 3 4 2 3 2 3 2" xfId="1688" xr:uid="{00000000-0005-0000-0000-0000D6040000}"/>
    <cellStyle name="Normal 3 4 2 3 2 4" xfId="1192" xr:uid="{00000000-0005-0000-0000-0000D7040000}"/>
    <cellStyle name="Normal 3 4 2 3 3" xfId="320" xr:uid="{00000000-0005-0000-0000-0000D8040000}"/>
    <cellStyle name="Normal 3 4 2 3 3 2" xfId="820" xr:uid="{00000000-0005-0000-0000-0000D9040000}"/>
    <cellStyle name="Normal 3 4 2 3 3 2 2" xfId="1822" xr:uid="{00000000-0005-0000-0000-0000DA040000}"/>
    <cellStyle name="Normal 3 4 2 3 3 3" xfId="1326" xr:uid="{00000000-0005-0000-0000-0000DB040000}"/>
    <cellStyle name="Normal 3 4 2 3 4" xfId="572" xr:uid="{00000000-0005-0000-0000-0000DC040000}"/>
    <cellStyle name="Normal 3 4 2 3 4 2" xfId="1574" xr:uid="{00000000-0005-0000-0000-0000DD040000}"/>
    <cellStyle name="Normal 3 4 2 3 5" xfId="1078" xr:uid="{00000000-0005-0000-0000-0000DE040000}"/>
    <cellStyle name="Normal 3 4 2 4" xfId="94" xr:uid="{00000000-0005-0000-0000-0000DF040000}"/>
    <cellStyle name="Normal 3 4 2 4 2" xfId="343" xr:uid="{00000000-0005-0000-0000-0000E0040000}"/>
    <cellStyle name="Normal 3 4 2 4 2 2" xfId="842" xr:uid="{00000000-0005-0000-0000-0000E1040000}"/>
    <cellStyle name="Normal 3 4 2 4 2 2 2" xfId="1844" xr:uid="{00000000-0005-0000-0000-0000E2040000}"/>
    <cellStyle name="Normal 3 4 2 4 2 3" xfId="1348" xr:uid="{00000000-0005-0000-0000-0000E3040000}"/>
    <cellStyle name="Normal 3 4 2 4 3" xfId="594" xr:uid="{00000000-0005-0000-0000-0000E4040000}"/>
    <cellStyle name="Normal 3 4 2 4 3 2" xfId="1596" xr:uid="{00000000-0005-0000-0000-0000E5040000}"/>
    <cellStyle name="Normal 3 4 2 4 4" xfId="1100" xr:uid="{00000000-0005-0000-0000-0000E6040000}"/>
    <cellStyle name="Normal 3 4 2 5" xfId="140" xr:uid="{00000000-0005-0000-0000-0000E7040000}"/>
    <cellStyle name="Normal 3 4 2 5 2" xfId="389" xr:uid="{00000000-0005-0000-0000-0000E8040000}"/>
    <cellStyle name="Normal 3 4 2 5 2 2" xfId="888" xr:uid="{00000000-0005-0000-0000-0000E9040000}"/>
    <cellStyle name="Normal 3 4 2 5 2 2 2" xfId="1890" xr:uid="{00000000-0005-0000-0000-0000EA040000}"/>
    <cellStyle name="Normal 3 4 2 5 2 3" xfId="1394" xr:uid="{00000000-0005-0000-0000-0000EB040000}"/>
    <cellStyle name="Normal 3 4 2 5 3" xfId="640" xr:uid="{00000000-0005-0000-0000-0000EC040000}"/>
    <cellStyle name="Normal 3 4 2 5 3 2" xfId="1642" xr:uid="{00000000-0005-0000-0000-0000ED040000}"/>
    <cellStyle name="Normal 3 4 2 5 4" xfId="1146" xr:uid="{00000000-0005-0000-0000-0000EE040000}"/>
    <cellStyle name="Normal 3 4 2 6" xfId="206" xr:uid="{00000000-0005-0000-0000-0000EF040000}"/>
    <cellStyle name="Normal 3 4 2 6 2" xfId="455" xr:uid="{00000000-0005-0000-0000-0000F0040000}"/>
    <cellStyle name="Normal 3 4 2 6 2 2" xfId="954" xr:uid="{00000000-0005-0000-0000-0000F1040000}"/>
    <cellStyle name="Normal 3 4 2 6 2 2 2" xfId="1956" xr:uid="{00000000-0005-0000-0000-0000F2040000}"/>
    <cellStyle name="Normal 3 4 2 6 2 3" xfId="1460" xr:uid="{00000000-0005-0000-0000-0000F3040000}"/>
    <cellStyle name="Normal 3 4 2 6 3" xfId="706" xr:uid="{00000000-0005-0000-0000-0000F4040000}"/>
    <cellStyle name="Normal 3 4 2 6 3 2" xfId="1708" xr:uid="{00000000-0005-0000-0000-0000F5040000}"/>
    <cellStyle name="Normal 3 4 2 6 4" xfId="1212" xr:uid="{00000000-0005-0000-0000-0000F6040000}"/>
    <cellStyle name="Normal 3 4 2 7" xfId="227" xr:uid="{00000000-0005-0000-0000-0000F7040000}"/>
    <cellStyle name="Normal 3 4 2 7 2" xfId="476" xr:uid="{00000000-0005-0000-0000-0000F8040000}"/>
    <cellStyle name="Normal 3 4 2 7 2 2" xfId="975" xr:uid="{00000000-0005-0000-0000-0000F9040000}"/>
    <cellStyle name="Normal 3 4 2 7 2 2 2" xfId="1977" xr:uid="{00000000-0005-0000-0000-0000FA040000}"/>
    <cellStyle name="Normal 3 4 2 7 2 3" xfId="1481" xr:uid="{00000000-0005-0000-0000-0000FB040000}"/>
    <cellStyle name="Normal 3 4 2 7 3" xfId="727" xr:uid="{00000000-0005-0000-0000-0000FC040000}"/>
    <cellStyle name="Normal 3 4 2 7 3 2" xfId="1729" xr:uid="{00000000-0005-0000-0000-0000FD040000}"/>
    <cellStyle name="Normal 3 4 2 7 4" xfId="1233" xr:uid="{00000000-0005-0000-0000-0000FE040000}"/>
    <cellStyle name="Normal 3 4 2 8" xfId="274" xr:uid="{00000000-0005-0000-0000-0000FF040000}"/>
    <cellStyle name="Normal 3 4 2 8 2" xfId="774" xr:uid="{00000000-0005-0000-0000-000000050000}"/>
    <cellStyle name="Normal 3 4 2 8 2 2" xfId="1776" xr:uid="{00000000-0005-0000-0000-000001050000}"/>
    <cellStyle name="Normal 3 4 2 8 3" xfId="1280" xr:uid="{00000000-0005-0000-0000-000002050000}"/>
    <cellStyle name="Normal 3 4 2 9" xfId="526" xr:uid="{00000000-0005-0000-0000-000003050000}"/>
    <cellStyle name="Normal 3 4 2 9 2" xfId="1528" xr:uid="{00000000-0005-0000-0000-000004050000}"/>
    <cellStyle name="Normal 3 4 3" xfId="39" xr:uid="{00000000-0005-0000-0000-000005050000}"/>
    <cellStyle name="Normal 3 4 3 2" xfId="108" xr:uid="{00000000-0005-0000-0000-000006050000}"/>
    <cellStyle name="Normal 3 4 3 2 2" xfId="357" xr:uid="{00000000-0005-0000-0000-000007050000}"/>
    <cellStyle name="Normal 3 4 3 2 2 2" xfId="856" xr:uid="{00000000-0005-0000-0000-000008050000}"/>
    <cellStyle name="Normal 3 4 3 2 2 2 2" xfId="1858" xr:uid="{00000000-0005-0000-0000-000009050000}"/>
    <cellStyle name="Normal 3 4 3 2 2 3" xfId="1362" xr:uid="{00000000-0005-0000-0000-00000A050000}"/>
    <cellStyle name="Normal 3 4 3 2 3" xfId="608" xr:uid="{00000000-0005-0000-0000-00000B050000}"/>
    <cellStyle name="Normal 3 4 3 2 3 2" xfId="1610" xr:uid="{00000000-0005-0000-0000-00000C050000}"/>
    <cellStyle name="Normal 3 4 3 2 4" xfId="1114" xr:uid="{00000000-0005-0000-0000-00000D050000}"/>
    <cellStyle name="Normal 3 4 3 3" xfId="154" xr:uid="{00000000-0005-0000-0000-00000E050000}"/>
    <cellStyle name="Normal 3 4 3 3 2" xfId="403" xr:uid="{00000000-0005-0000-0000-00000F050000}"/>
    <cellStyle name="Normal 3 4 3 3 2 2" xfId="902" xr:uid="{00000000-0005-0000-0000-000010050000}"/>
    <cellStyle name="Normal 3 4 3 3 2 2 2" xfId="1904" xr:uid="{00000000-0005-0000-0000-000011050000}"/>
    <cellStyle name="Normal 3 4 3 3 2 3" xfId="1408" xr:uid="{00000000-0005-0000-0000-000012050000}"/>
    <cellStyle name="Normal 3 4 3 3 3" xfId="654" xr:uid="{00000000-0005-0000-0000-000013050000}"/>
    <cellStyle name="Normal 3 4 3 3 3 2" xfId="1656" xr:uid="{00000000-0005-0000-0000-000014050000}"/>
    <cellStyle name="Normal 3 4 3 3 4" xfId="1160" xr:uid="{00000000-0005-0000-0000-000015050000}"/>
    <cellStyle name="Normal 3 4 3 4" xfId="241" xr:uid="{00000000-0005-0000-0000-000016050000}"/>
    <cellStyle name="Normal 3 4 3 4 2" xfId="490" xr:uid="{00000000-0005-0000-0000-000017050000}"/>
    <cellStyle name="Normal 3 4 3 4 2 2" xfId="989" xr:uid="{00000000-0005-0000-0000-000018050000}"/>
    <cellStyle name="Normal 3 4 3 4 2 2 2" xfId="1991" xr:uid="{00000000-0005-0000-0000-000019050000}"/>
    <cellStyle name="Normal 3 4 3 4 2 3" xfId="1495" xr:uid="{00000000-0005-0000-0000-00001A050000}"/>
    <cellStyle name="Normal 3 4 3 4 3" xfId="741" xr:uid="{00000000-0005-0000-0000-00001B050000}"/>
    <cellStyle name="Normal 3 4 3 4 3 2" xfId="1743" xr:uid="{00000000-0005-0000-0000-00001C050000}"/>
    <cellStyle name="Normal 3 4 3 4 4" xfId="1247" xr:uid="{00000000-0005-0000-0000-00001D050000}"/>
    <cellStyle name="Normal 3 4 3 5" xfId="288" xr:uid="{00000000-0005-0000-0000-00001E050000}"/>
    <cellStyle name="Normal 3 4 3 5 2" xfId="788" xr:uid="{00000000-0005-0000-0000-00001F050000}"/>
    <cellStyle name="Normal 3 4 3 5 2 2" xfId="1790" xr:uid="{00000000-0005-0000-0000-000020050000}"/>
    <cellStyle name="Normal 3 4 3 5 3" xfId="1294" xr:uid="{00000000-0005-0000-0000-000021050000}"/>
    <cellStyle name="Normal 3 4 3 6" xfId="540" xr:uid="{00000000-0005-0000-0000-000022050000}"/>
    <cellStyle name="Normal 3 4 3 6 2" xfId="1542" xr:uid="{00000000-0005-0000-0000-000023050000}"/>
    <cellStyle name="Normal 3 4 3 7" xfId="1046" xr:uid="{00000000-0005-0000-0000-000024050000}"/>
    <cellStyle name="Normal 3 4 4" xfId="61" xr:uid="{00000000-0005-0000-0000-000025050000}"/>
    <cellStyle name="Normal 3 4 4 2" xfId="176" xr:uid="{00000000-0005-0000-0000-000026050000}"/>
    <cellStyle name="Normal 3 4 4 2 2" xfId="425" xr:uid="{00000000-0005-0000-0000-000027050000}"/>
    <cellStyle name="Normal 3 4 4 2 2 2" xfId="924" xr:uid="{00000000-0005-0000-0000-000028050000}"/>
    <cellStyle name="Normal 3 4 4 2 2 2 2" xfId="1926" xr:uid="{00000000-0005-0000-0000-000029050000}"/>
    <cellStyle name="Normal 3 4 4 2 2 3" xfId="1430" xr:uid="{00000000-0005-0000-0000-00002A050000}"/>
    <cellStyle name="Normal 3 4 4 2 3" xfId="676" xr:uid="{00000000-0005-0000-0000-00002B050000}"/>
    <cellStyle name="Normal 3 4 4 2 3 2" xfId="1678" xr:uid="{00000000-0005-0000-0000-00002C050000}"/>
    <cellStyle name="Normal 3 4 4 2 4" xfId="1182" xr:uid="{00000000-0005-0000-0000-00002D050000}"/>
    <cellStyle name="Normal 3 4 4 3" xfId="310" xr:uid="{00000000-0005-0000-0000-00002E050000}"/>
    <cellStyle name="Normal 3 4 4 3 2" xfId="810" xr:uid="{00000000-0005-0000-0000-00002F050000}"/>
    <cellStyle name="Normal 3 4 4 3 2 2" xfId="1812" xr:uid="{00000000-0005-0000-0000-000030050000}"/>
    <cellStyle name="Normal 3 4 4 3 3" xfId="1316" xr:uid="{00000000-0005-0000-0000-000031050000}"/>
    <cellStyle name="Normal 3 4 4 4" xfId="562" xr:uid="{00000000-0005-0000-0000-000032050000}"/>
    <cellStyle name="Normal 3 4 4 4 2" xfId="1564" xr:uid="{00000000-0005-0000-0000-000033050000}"/>
    <cellStyle name="Normal 3 4 4 5" xfId="1068" xr:uid="{00000000-0005-0000-0000-000034050000}"/>
    <cellStyle name="Normal 3 4 5" xfId="84" xr:uid="{00000000-0005-0000-0000-000035050000}"/>
    <cellStyle name="Normal 3 4 5 2" xfId="333" xr:uid="{00000000-0005-0000-0000-000036050000}"/>
    <cellStyle name="Normal 3 4 5 2 2" xfId="832" xr:uid="{00000000-0005-0000-0000-000037050000}"/>
    <cellStyle name="Normal 3 4 5 2 2 2" xfId="1834" xr:uid="{00000000-0005-0000-0000-000038050000}"/>
    <cellStyle name="Normal 3 4 5 2 3" xfId="1338" xr:uid="{00000000-0005-0000-0000-000039050000}"/>
    <cellStyle name="Normal 3 4 5 3" xfId="584" xr:uid="{00000000-0005-0000-0000-00003A050000}"/>
    <cellStyle name="Normal 3 4 5 3 2" xfId="1586" xr:uid="{00000000-0005-0000-0000-00003B050000}"/>
    <cellStyle name="Normal 3 4 5 4" xfId="1090" xr:uid="{00000000-0005-0000-0000-00003C050000}"/>
    <cellStyle name="Normal 3 4 6" xfId="130" xr:uid="{00000000-0005-0000-0000-00003D050000}"/>
    <cellStyle name="Normal 3 4 6 2" xfId="379" xr:uid="{00000000-0005-0000-0000-00003E050000}"/>
    <cellStyle name="Normal 3 4 6 2 2" xfId="878" xr:uid="{00000000-0005-0000-0000-00003F050000}"/>
    <cellStyle name="Normal 3 4 6 2 2 2" xfId="1880" xr:uid="{00000000-0005-0000-0000-000040050000}"/>
    <cellStyle name="Normal 3 4 6 2 3" xfId="1384" xr:uid="{00000000-0005-0000-0000-000041050000}"/>
    <cellStyle name="Normal 3 4 6 3" xfId="630" xr:uid="{00000000-0005-0000-0000-000042050000}"/>
    <cellStyle name="Normal 3 4 6 3 2" xfId="1632" xr:uid="{00000000-0005-0000-0000-000043050000}"/>
    <cellStyle name="Normal 3 4 6 4" xfId="1136" xr:uid="{00000000-0005-0000-0000-000044050000}"/>
    <cellStyle name="Normal 3 4 7" xfId="196" xr:uid="{00000000-0005-0000-0000-000045050000}"/>
    <cellStyle name="Normal 3 4 7 2" xfId="445" xr:uid="{00000000-0005-0000-0000-000046050000}"/>
    <cellStyle name="Normal 3 4 7 2 2" xfId="944" xr:uid="{00000000-0005-0000-0000-000047050000}"/>
    <cellStyle name="Normal 3 4 7 2 2 2" xfId="1946" xr:uid="{00000000-0005-0000-0000-000048050000}"/>
    <cellStyle name="Normal 3 4 7 2 3" xfId="1450" xr:uid="{00000000-0005-0000-0000-000049050000}"/>
    <cellStyle name="Normal 3 4 7 3" xfId="696" xr:uid="{00000000-0005-0000-0000-00004A050000}"/>
    <cellStyle name="Normal 3 4 7 3 2" xfId="1698" xr:uid="{00000000-0005-0000-0000-00004B050000}"/>
    <cellStyle name="Normal 3 4 7 4" xfId="1202" xr:uid="{00000000-0005-0000-0000-00004C050000}"/>
    <cellStyle name="Normal 3 4 8" xfId="217" xr:uid="{00000000-0005-0000-0000-00004D050000}"/>
    <cellStyle name="Normal 3 4 8 2" xfId="466" xr:uid="{00000000-0005-0000-0000-00004E050000}"/>
    <cellStyle name="Normal 3 4 8 2 2" xfId="965" xr:uid="{00000000-0005-0000-0000-00004F050000}"/>
    <cellStyle name="Normal 3 4 8 2 2 2" xfId="1967" xr:uid="{00000000-0005-0000-0000-000050050000}"/>
    <cellStyle name="Normal 3 4 8 2 3" xfId="1471" xr:uid="{00000000-0005-0000-0000-000051050000}"/>
    <cellStyle name="Normal 3 4 8 3" xfId="717" xr:uid="{00000000-0005-0000-0000-000052050000}"/>
    <cellStyle name="Normal 3 4 8 3 2" xfId="1719" xr:uid="{00000000-0005-0000-0000-000053050000}"/>
    <cellStyle name="Normal 3 4 8 4" xfId="1223" xr:uid="{00000000-0005-0000-0000-000054050000}"/>
    <cellStyle name="Normal 3 4 9" xfId="264" xr:uid="{00000000-0005-0000-0000-000055050000}"/>
    <cellStyle name="Normal 3 4 9 2" xfId="764" xr:uid="{00000000-0005-0000-0000-000056050000}"/>
    <cellStyle name="Normal 3 4 9 2 2" xfId="1766" xr:uid="{00000000-0005-0000-0000-000057050000}"/>
    <cellStyle name="Normal 3 4 9 3" xfId="1270" xr:uid="{00000000-0005-0000-0000-000058050000}"/>
    <cellStyle name="Normal 3 5" xfId="21" xr:uid="{00000000-0005-0000-0000-000059050000}"/>
    <cellStyle name="Normal 3 5 10" xfId="1028" xr:uid="{00000000-0005-0000-0000-00005A050000}"/>
    <cellStyle name="Normal 3 5 2" xfId="45" xr:uid="{00000000-0005-0000-0000-00005B050000}"/>
    <cellStyle name="Normal 3 5 2 2" xfId="114" xr:uid="{00000000-0005-0000-0000-00005C050000}"/>
    <cellStyle name="Normal 3 5 2 2 2" xfId="363" xr:uid="{00000000-0005-0000-0000-00005D050000}"/>
    <cellStyle name="Normal 3 5 2 2 2 2" xfId="862" xr:uid="{00000000-0005-0000-0000-00005E050000}"/>
    <cellStyle name="Normal 3 5 2 2 2 2 2" xfId="1864" xr:uid="{00000000-0005-0000-0000-00005F050000}"/>
    <cellStyle name="Normal 3 5 2 2 2 3" xfId="1368" xr:uid="{00000000-0005-0000-0000-000060050000}"/>
    <cellStyle name="Normal 3 5 2 2 3" xfId="614" xr:uid="{00000000-0005-0000-0000-000061050000}"/>
    <cellStyle name="Normal 3 5 2 2 3 2" xfId="1616" xr:uid="{00000000-0005-0000-0000-000062050000}"/>
    <cellStyle name="Normal 3 5 2 2 4" xfId="1120" xr:uid="{00000000-0005-0000-0000-000063050000}"/>
    <cellStyle name="Normal 3 5 2 3" xfId="160" xr:uid="{00000000-0005-0000-0000-000064050000}"/>
    <cellStyle name="Normal 3 5 2 3 2" xfId="409" xr:uid="{00000000-0005-0000-0000-000065050000}"/>
    <cellStyle name="Normal 3 5 2 3 2 2" xfId="908" xr:uid="{00000000-0005-0000-0000-000066050000}"/>
    <cellStyle name="Normal 3 5 2 3 2 2 2" xfId="1910" xr:uid="{00000000-0005-0000-0000-000067050000}"/>
    <cellStyle name="Normal 3 5 2 3 2 3" xfId="1414" xr:uid="{00000000-0005-0000-0000-000068050000}"/>
    <cellStyle name="Normal 3 5 2 3 3" xfId="660" xr:uid="{00000000-0005-0000-0000-000069050000}"/>
    <cellStyle name="Normal 3 5 2 3 3 2" xfId="1662" xr:uid="{00000000-0005-0000-0000-00006A050000}"/>
    <cellStyle name="Normal 3 5 2 3 4" xfId="1166" xr:uid="{00000000-0005-0000-0000-00006B050000}"/>
    <cellStyle name="Normal 3 5 2 4" xfId="247" xr:uid="{00000000-0005-0000-0000-00006C050000}"/>
    <cellStyle name="Normal 3 5 2 4 2" xfId="496" xr:uid="{00000000-0005-0000-0000-00006D050000}"/>
    <cellStyle name="Normal 3 5 2 4 2 2" xfId="995" xr:uid="{00000000-0005-0000-0000-00006E050000}"/>
    <cellStyle name="Normal 3 5 2 4 2 2 2" xfId="1997" xr:uid="{00000000-0005-0000-0000-00006F050000}"/>
    <cellStyle name="Normal 3 5 2 4 2 3" xfId="1501" xr:uid="{00000000-0005-0000-0000-000070050000}"/>
    <cellStyle name="Normal 3 5 2 4 3" xfId="747" xr:uid="{00000000-0005-0000-0000-000071050000}"/>
    <cellStyle name="Normal 3 5 2 4 3 2" xfId="1749" xr:uid="{00000000-0005-0000-0000-000072050000}"/>
    <cellStyle name="Normal 3 5 2 4 4" xfId="1253" xr:uid="{00000000-0005-0000-0000-000073050000}"/>
    <cellStyle name="Normal 3 5 2 5" xfId="294" xr:uid="{00000000-0005-0000-0000-000074050000}"/>
    <cellStyle name="Normal 3 5 2 5 2" xfId="794" xr:uid="{00000000-0005-0000-0000-000075050000}"/>
    <cellStyle name="Normal 3 5 2 5 2 2" xfId="1796" xr:uid="{00000000-0005-0000-0000-000076050000}"/>
    <cellStyle name="Normal 3 5 2 5 3" xfId="1300" xr:uid="{00000000-0005-0000-0000-000077050000}"/>
    <cellStyle name="Normal 3 5 2 6" xfId="546" xr:uid="{00000000-0005-0000-0000-000078050000}"/>
    <cellStyle name="Normal 3 5 2 6 2" xfId="1548" xr:uid="{00000000-0005-0000-0000-000079050000}"/>
    <cellStyle name="Normal 3 5 2 7" xfId="1052" xr:uid="{00000000-0005-0000-0000-00007A050000}"/>
    <cellStyle name="Normal 3 5 3" xfId="67" xr:uid="{00000000-0005-0000-0000-00007B050000}"/>
    <cellStyle name="Normal 3 5 3 2" xfId="182" xr:uid="{00000000-0005-0000-0000-00007C050000}"/>
    <cellStyle name="Normal 3 5 3 2 2" xfId="431" xr:uid="{00000000-0005-0000-0000-00007D050000}"/>
    <cellStyle name="Normal 3 5 3 2 2 2" xfId="930" xr:uid="{00000000-0005-0000-0000-00007E050000}"/>
    <cellStyle name="Normal 3 5 3 2 2 2 2" xfId="1932" xr:uid="{00000000-0005-0000-0000-00007F050000}"/>
    <cellStyle name="Normal 3 5 3 2 2 3" xfId="1436" xr:uid="{00000000-0005-0000-0000-000080050000}"/>
    <cellStyle name="Normal 3 5 3 2 3" xfId="682" xr:uid="{00000000-0005-0000-0000-000081050000}"/>
    <cellStyle name="Normal 3 5 3 2 3 2" xfId="1684" xr:uid="{00000000-0005-0000-0000-000082050000}"/>
    <cellStyle name="Normal 3 5 3 2 4" xfId="1188" xr:uid="{00000000-0005-0000-0000-000083050000}"/>
    <cellStyle name="Normal 3 5 3 3" xfId="316" xr:uid="{00000000-0005-0000-0000-000084050000}"/>
    <cellStyle name="Normal 3 5 3 3 2" xfId="816" xr:uid="{00000000-0005-0000-0000-000085050000}"/>
    <cellStyle name="Normal 3 5 3 3 2 2" xfId="1818" xr:uid="{00000000-0005-0000-0000-000086050000}"/>
    <cellStyle name="Normal 3 5 3 3 3" xfId="1322" xr:uid="{00000000-0005-0000-0000-000087050000}"/>
    <cellStyle name="Normal 3 5 3 4" xfId="568" xr:uid="{00000000-0005-0000-0000-000088050000}"/>
    <cellStyle name="Normal 3 5 3 4 2" xfId="1570" xr:uid="{00000000-0005-0000-0000-000089050000}"/>
    <cellStyle name="Normal 3 5 3 5" xfId="1074" xr:uid="{00000000-0005-0000-0000-00008A050000}"/>
    <cellStyle name="Normal 3 5 4" xfId="90" xr:uid="{00000000-0005-0000-0000-00008B050000}"/>
    <cellStyle name="Normal 3 5 4 2" xfId="339" xr:uid="{00000000-0005-0000-0000-00008C050000}"/>
    <cellStyle name="Normal 3 5 4 2 2" xfId="838" xr:uid="{00000000-0005-0000-0000-00008D050000}"/>
    <cellStyle name="Normal 3 5 4 2 2 2" xfId="1840" xr:uid="{00000000-0005-0000-0000-00008E050000}"/>
    <cellStyle name="Normal 3 5 4 2 3" xfId="1344" xr:uid="{00000000-0005-0000-0000-00008F050000}"/>
    <cellStyle name="Normal 3 5 4 3" xfId="590" xr:uid="{00000000-0005-0000-0000-000090050000}"/>
    <cellStyle name="Normal 3 5 4 3 2" xfId="1592" xr:uid="{00000000-0005-0000-0000-000091050000}"/>
    <cellStyle name="Normal 3 5 4 4" xfId="1096" xr:uid="{00000000-0005-0000-0000-000092050000}"/>
    <cellStyle name="Normal 3 5 5" xfId="136" xr:uid="{00000000-0005-0000-0000-000093050000}"/>
    <cellStyle name="Normal 3 5 5 2" xfId="385" xr:uid="{00000000-0005-0000-0000-000094050000}"/>
    <cellStyle name="Normal 3 5 5 2 2" xfId="884" xr:uid="{00000000-0005-0000-0000-000095050000}"/>
    <cellStyle name="Normal 3 5 5 2 2 2" xfId="1886" xr:uid="{00000000-0005-0000-0000-000096050000}"/>
    <cellStyle name="Normal 3 5 5 2 3" xfId="1390" xr:uid="{00000000-0005-0000-0000-000097050000}"/>
    <cellStyle name="Normal 3 5 5 3" xfId="636" xr:uid="{00000000-0005-0000-0000-000098050000}"/>
    <cellStyle name="Normal 3 5 5 3 2" xfId="1638" xr:uid="{00000000-0005-0000-0000-000099050000}"/>
    <cellStyle name="Normal 3 5 5 4" xfId="1142" xr:uid="{00000000-0005-0000-0000-00009A050000}"/>
    <cellStyle name="Normal 3 5 6" xfId="202" xr:uid="{00000000-0005-0000-0000-00009B050000}"/>
    <cellStyle name="Normal 3 5 6 2" xfId="451" xr:uid="{00000000-0005-0000-0000-00009C050000}"/>
    <cellStyle name="Normal 3 5 6 2 2" xfId="950" xr:uid="{00000000-0005-0000-0000-00009D050000}"/>
    <cellStyle name="Normal 3 5 6 2 2 2" xfId="1952" xr:uid="{00000000-0005-0000-0000-00009E050000}"/>
    <cellStyle name="Normal 3 5 6 2 3" xfId="1456" xr:uid="{00000000-0005-0000-0000-00009F050000}"/>
    <cellStyle name="Normal 3 5 6 3" xfId="702" xr:uid="{00000000-0005-0000-0000-0000A0050000}"/>
    <cellStyle name="Normal 3 5 6 3 2" xfId="1704" xr:uid="{00000000-0005-0000-0000-0000A1050000}"/>
    <cellStyle name="Normal 3 5 6 4" xfId="1208" xr:uid="{00000000-0005-0000-0000-0000A2050000}"/>
    <cellStyle name="Normal 3 5 7" xfId="223" xr:uid="{00000000-0005-0000-0000-0000A3050000}"/>
    <cellStyle name="Normal 3 5 7 2" xfId="472" xr:uid="{00000000-0005-0000-0000-0000A4050000}"/>
    <cellStyle name="Normal 3 5 7 2 2" xfId="971" xr:uid="{00000000-0005-0000-0000-0000A5050000}"/>
    <cellStyle name="Normal 3 5 7 2 2 2" xfId="1973" xr:uid="{00000000-0005-0000-0000-0000A6050000}"/>
    <cellStyle name="Normal 3 5 7 2 3" xfId="1477" xr:uid="{00000000-0005-0000-0000-0000A7050000}"/>
    <cellStyle name="Normal 3 5 7 3" xfId="723" xr:uid="{00000000-0005-0000-0000-0000A8050000}"/>
    <cellStyle name="Normal 3 5 7 3 2" xfId="1725" xr:uid="{00000000-0005-0000-0000-0000A9050000}"/>
    <cellStyle name="Normal 3 5 7 4" xfId="1229" xr:uid="{00000000-0005-0000-0000-0000AA050000}"/>
    <cellStyle name="Normal 3 5 8" xfId="270" xr:uid="{00000000-0005-0000-0000-0000AB050000}"/>
    <cellStyle name="Normal 3 5 8 2" xfId="770" xr:uid="{00000000-0005-0000-0000-0000AC050000}"/>
    <cellStyle name="Normal 3 5 8 2 2" xfId="1772" xr:uid="{00000000-0005-0000-0000-0000AD050000}"/>
    <cellStyle name="Normal 3 5 8 3" xfId="1276" xr:uid="{00000000-0005-0000-0000-0000AE050000}"/>
    <cellStyle name="Normal 3 5 9" xfId="522" xr:uid="{00000000-0005-0000-0000-0000AF050000}"/>
    <cellStyle name="Normal 3 5 9 2" xfId="1524" xr:uid="{00000000-0005-0000-0000-0000B0050000}"/>
    <cellStyle name="Normal 3 6" xfId="35" xr:uid="{00000000-0005-0000-0000-0000B1050000}"/>
    <cellStyle name="Normal 3 6 2" xfId="104" xr:uid="{00000000-0005-0000-0000-0000B2050000}"/>
    <cellStyle name="Normal 3 6 2 2" xfId="353" xr:uid="{00000000-0005-0000-0000-0000B3050000}"/>
    <cellStyle name="Normal 3 6 2 2 2" xfId="852" xr:uid="{00000000-0005-0000-0000-0000B4050000}"/>
    <cellStyle name="Normal 3 6 2 2 2 2" xfId="1854" xr:uid="{00000000-0005-0000-0000-0000B5050000}"/>
    <cellStyle name="Normal 3 6 2 2 3" xfId="1358" xr:uid="{00000000-0005-0000-0000-0000B6050000}"/>
    <cellStyle name="Normal 3 6 2 3" xfId="604" xr:uid="{00000000-0005-0000-0000-0000B7050000}"/>
    <cellStyle name="Normal 3 6 2 3 2" xfId="1606" xr:uid="{00000000-0005-0000-0000-0000B8050000}"/>
    <cellStyle name="Normal 3 6 2 4" xfId="1110" xr:uid="{00000000-0005-0000-0000-0000B9050000}"/>
    <cellStyle name="Normal 3 6 3" xfId="150" xr:uid="{00000000-0005-0000-0000-0000BA050000}"/>
    <cellStyle name="Normal 3 6 3 2" xfId="399" xr:uid="{00000000-0005-0000-0000-0000BB050000}"/>
    <cellStyle name="Normal 3 6 3 2 2" xfId="898" xr:uid="{00000000-0005-0000-0000-0000BC050000}"/>
    <cellStyle name="Normal 3 6 3 2 2 2" xfId="1900" xr:uid="{00000000-0005-0000-0000-0000BD050000}"/>
    <cellStyle name="Normal 3 6 3 2 3" xfId="1404" xr:uid="{00000000-0005-0000-0000-0000BE050000}"/>
    <cellStyle name="Normal 3 6 3 3" xfId="650" xr:uid="{00000000-0005-0000-0000-0000BF050000}"/>
    <cellStyle name="Normal 3 6 3 3 2" xfId="1652" xr:uid="{00000000-0005-0000-0000-0000C0050000}"/>
    <cellStyle name="Normal 3 6 3 4" xfId="1156" xr:uid="{00000000-0005-0000-0000-0000C1050000}"/>
    <cellStyle name="Normal 3 6 4" xfId="237" xr:uid="{00000000-0005-0000-0000-0000C2050000}"/>
    <cellStyle name="Normal 3 6 4 2" xfId="486" xr:uid="{00000000-0005-0000-0000-0000C3050000}"/>
    <cellStyle name="Normal 3 6 4 2 2" xfId="985" xr:uid="{00000000-0005-0000-0000-0000C4050000}"/>
    <cellStyle name="Normal 3 6 4 2 2 2" xfId="1987" xr:uid="{00000000-0005-0000-0000-0000C5050000}"/>
    <cellStyle name="Normal 3 6 4 2 3" xfId="1491" xr:uid="{00000000-0005-0000-0000-0000C6050000}"/>
    <cellStyle name="Normal 3 6 4 3" xfId="737" xr:uid="{00000000-0005-0000-0000-0000C7050000}"/>
    <cellStyle name="Normal 3 6 4 3 2" xfId="1739" xr:uid="{00000000-0005-0000-0000-0000C8050000}"/>
    <cellStyle name="Normal 3 6 4 4" xfId="1243" xr:uid="{00000000-0005-0000-0000-0000C9050000}"/>
    <cellStyle name="Normal 3 6 5" xfId="284" xr:uid="{00000000-0005-0000-0000-0000CA050000}"/>
    <cellStyle name="Normal 3 6 5 2" xfId="784" xr:uid="{00000000-0005-0000-0000-0000CB050000}"/>
    <cellStyle name="Normal 3 6 5 2 2" xfId="1786" xr:uid="{00000000-0005-0000-0000-0000CC050000}"/>
    <cellStyle name="Normal 3 6 5 3" xfId="1290" xr:uid="{00000000-0005-0000-0000-0000CD050000}"/>
    <cellStyle name="Normal 3 6 6" xfId="536" xr:uid="{00000000-0005-0000-0000-0000CE050000}"/>
    <cellStyle name="Normal 3 6 6 2" xfId="1538" xr:uid="{00000000-0005-0000-0000-0000CF050000}"/>
    <cellStyle name="Normal 3 6 7" xfId="1042" xr:uid="{00000000-0005-0000-0000-0000D0050000}"/>
    <cellStyle name="Normal 3 7" xfId="57" xr:uid="{00000000-0005-0000-0000-0000D1050000}"/>
    <cellStyle name="Normal 3 7 2" xfId="172" xr:uid="{00000000-0005-0000-0000-0000D2050000}"/>
    <cellStyle name="Normal 3 7 2 2" xfId="421" xr:uid="{00000000-0005-0000-0000-0000D3050000}"/>
    <cellStyle name="Normal 3 7 2 2 2" xfId="920" xr:uid="{00000000-0005-0000-0000-0000D4050000}"/>
    <cellStyle name="Normal 3 7 2 2 2 2" xfId="1922" xr:uid="{00000000-0005-0000-0000-0000D5050000}"/>
    <cellStyle name="Normal 3 7 2 2 3" xfId="1426" xr:uid="{00000000-0005-0000-0000-0000D6050000}"/>
    <cellStyle name="Normal 3 7 2 3" xfId="672" xr:uid="{00000000-0005-0000-0000-0000D7050000}"/>
    <cellStyle name="Normal 3 7 2 3 2" xfId="1674" xr:uid="{00000000-0005-0000-0000-0000D8050000}"/>
    <cellStyle name="Normal 3 7 2 4" xfId="1178" xr:uid="{00000000-0005-0000-0000-0000D9050000}"/>
    <cellStyle name="Normal 3 7 3" xfId="306" xr:uid="{00000000-0005-0000-0000-0000DA050000}"/>
    <cellStyle name="Normal 3 7 3 2" xfId="806" xr:uid="{00000000-0005-0000-0000-0000DB050000}"/>
    <cellStyle name="Normal 3 7 3 2 2" xfId="1808" xr:uid="{00000000-0005-0000-0000-0000DC050000}"/>
    <cellStyle name="Normal 3 7 3 3" xfId="1312" xr:uid="{00000000-0005-0000-0000-0000DD050000}"/>
    <cellStyle name="Normal 3 7 4" xfId="558" xr:uid="{00000000-0005-0000-0000-0000DE050000}"/>
    <cellStyle name="Normal 3 7 4 2" xfId="1560" xr:uid="{00000000-0005-0000-0000-0000DF050000}"/>
    <cellStyle name="Normal 3 7 5" xfId="1064" xr:uid="{00000000-0005-0000-0000-0000E0050000}"/>
    <cellStyle name="Normal 3 8" xfId="80" xr:uid="{00000000-0005-0000-0000-0000E1050000}"/>
    <cellStyle name="Normal 3 8 2" xfId="329" xr:uid="{00000000-0005-0000-0000-0000E2050000}"/>
    <cellStyle name="Normal 3 8 2 2" xfId="828" xr:uid="{00000000-0005-0000-0000-0000E3050000}"/>
    <cellStyle name="Normal 3 8 2 2 2" xfId="1830" xr:uid="{00000000-0005-0000-0000-0000E4050000}"/>
    <cellStyle name="Normal 3 8 2 3" xfId="1334" xr:uid="{00000000-0005-0000-0000-0000E5050000}"/>
    <cellStyle name="Normal 3 8 3" xfId="580" xr:uid="{00000000-0005-0000-0000-0000E6050000}"/>
    <cellStyle name="Normal 3 8 3 2" xfId="1582" xr:uid="{00000000-0005-0000-0000-0000E7050000}"/>
    <cellStyle name="Normal 3 8 4" xfId="1086" xr:uid="{00000000-0005-0000-0000-0000E8050000}"/>
    <cellStyle name="Normal 3 9" xfId="126" xr:uid="{00000000-0005-0000-0000-0000E9050000}"/>
    <cellStyle name="Normal 3 9 2" xfId="375" xr:uid="{00000000-0005-0000-0000-0000EA050000}"/>
    <cellStyle name="Normal 3 9 2 2" xfId="874" xr:uid="{00000000-0005-0000-0000-0000EB050000}"/>
    <cellStyle name="Normal 3 9 2 2 2" xfId="1876" xr:uid="{00000000-0005-0000-0000-0000EC050000}"/>
    <cellStyle name="Normal 3 9 2 3" xfId="1380" xr:uid="{00000000-0005-0000-0000-0000ED050000}"/>
    <cellStyle name="Normal 3 9 3" xfId="626" xr:uid="{00000000-0005-0000-0000-0000EE050000}"/>
    <cellStyle name="Normal 3 9 3 2" xfId="1628" xr:uid="{00000000-0005-0000-0000-0000EF050000}"/>
    <cellStyle name="Normal 3 9 4" xfId="1132" xr:uid="{00000000-0005-0000-0000-0000F0050000}"/>
    <cellStyle name="Normal 4" xfId="4" xr:uid="{00000000-0005-0000-0000-0000F1050000}"/>
    <cellStyle name="Normal 4 10" xfId="18" xr:uid="{00000000-0005-0000-0000-0000F2050000}"/>
    <cellStyle name="Normal 4 10 2" xfId="1026" xr:uid="{00000000-0005-0000-0000-0000F3050000}"/>
    <cellStyle name="Normal 4 11" xfId="520" xr:uid="{00000000-0005-0000-0000-0000F4050000}"/>
    <cellStyle name="Normal 4 11 2" xfId="1522" xr:uid="{00000000-0005-0000-0000-0000F5050000}"/>
    <cellStyle name="Normal 4 12" xfId="1014" xr:uid="{00000000-0005-0000-0000-0000F6050000}"/>
    <cellStyle name="Normal 4 2" xfId="29" xr:uid="{00000000-0005-0000-0000-0000F7050000}"/>
    <cellStyle name="Normal 4 2 10" xfId="1036" xr:uid="{00000000-0005-0000-0000-0000F8050000}"/>
    <cellStyle name="Normal 4 2 2" xfId="53" xr:uid="{00000000-0005-0000-0000-0000F9050000}"/>
    <cellStyle name="Normal 4 2 2 2" xfId="122" xr:uid="{00000000-0005-0000-0000-0000FA050000}"/>
    <cellStyle name="Normal 4 2 2 2 2" xfId="371" xr:uid="{00000000-0005-0000-0000-0000FB050000}"/>
    <cellStyle name="Normal 4 2 2 2 2 2" xfId="870" xr:uid="{00000000-0005-0000-0000-0000FC050000}"/>
    <cellStyle name="Normal 4 2 2 2 2 2 2" xfId="1872" xr:uid="{00000000-0005-0000-0000-0000FD050000}"/>
    <cellStyle name="Normal 4 2 2 2 2 3" xfId="1376" xr:uid="{00000000-0005-0000-0000-0000FE050000}"/>
    <cellStyle name="Normal 4 2 2 2 3" xfId="622" xr:uid="{00000000-0005-0000-0000-0000FF050000}"/>
    <cellStyle name="Normal 4 2 2 2 3 2" xfId="1624" xr:uid="{00000000-0005-0000-0000-000000060000}"/>
    <cellStyle name="Normal 4 2 2 2 4" xfId="1128" xr:uid="{00000000-0005-0000-0000-000001060000}"/>
    <cellStyle name="Normal 4 2 2 3" xfId="168" xr:uid="{00000000-0005-0000-0000-000002060000}"/>
    <cellStyle name="Normal 4 2 2 3 2" xfId="417" xr:uid="{00000000-0005-0000-0000-000003060000}"/>
    <cellStyle name="Normal 4 2 2 3 2 2" xfId="916" xr:uid="{00000000-0005-0000-0000-000004060000}"/>
    <cellStyle name="Normal 4 2 2 3 2 2 2" xfId="1918" xr:uid="{00000000-0005-0000-0000-000005060000}"/>
    <cellStyle name="Normal 4 2 2 3 2 3" xfId="1422" xr:uid="{00000000-0005-0000-0000-000006060000}"/>
    <cellStyle name="Normal 4 2 2 3 3" xfId="668" xr:uid="{00000000-0005-0000-0000-000007060000}"/>
    <cellStyle name="Normal 4 2 2 3 3 2" xfId="1670" xr:uid="{00000000-0005-0000-0000-000008060000}"/>
    <cellStyle name="Normal 4 2 2 3 4" xfId="1174" xr:uid="{00000000-0005-0000-0000-000009060000}"/>
    <cellStyle name="Normal 4 2 2 4" xfId="255" xr:uid="{00000000-0005-0000-0000-00000A060000}"/>
    <cellStyle name="Normal 4 2 2 4 2" xfId="504" xr:uid="{00000000-0005-0000-0000-00000B060000}"/>
    <cellStyle name="Normal 4 2 2 4 2 2" xfId="1003" xr:uid="{00000000-0005-0000-0000-00000C060000}"/>
    <cellStyle name="Normal 4 2 2 4 2 2 2" xfId="2005" xr:uid="{00000000-0005-0000-0000-00000D060000}"/>
    <cellStyle name="Normal 4 2 2 4 2 3" xfId="1509" xr:uid="{00000000-0005-0000-0000-00000E060000}"/>
    <cellStyle name="Normal 4 2 2 4 3" xfId="755" xr:uid="{00000000-0005-0000-0000-00000F060000}"/>
    <cellStyle name="Normal 4 2 2 4 3 2" xfId="1757" xr:uid="{00000000-0005-0000-0000-000010060000}"/>
    <cellStyle name="Normal 4 2 2 4 4" xfId="1261" xr:uid="{00000000-0005-0000-0000-000011060000}"/>
    <cellStyle name="Normal 4 2 2 5" xfId="302" xr:uid="{00000000-0005-0000-0000-000012060000}"/>
    <cellStyle name="Normal 4 2 2 5 2" xfId="802" xr:uid="{00000000-0005-0000-0000-000013060000}"/>
    <cellStyle name="Normal 4 2 2 5 2 2" xfId="1804" xr:uid="{00000000-0005-0000-0000-000014060000}"/>
    <cellStyle name="Normal 4 2 2 5 3" xfId="1308" xr:uid="{00000000-0005-0000-0000-000015060000}"/>
    <cellStyle name="Normal 4 2 2 6" xfId="554" xr:uid="{00000000-0005-0000-0000-000016060000}"/>
    <cellStyle name="Normal 4 2 2 6 2" xfId="1556" xr:uid="{00000000-0005-0000-0000-000017060000}"/>
    <cellStyle name="Normal 4 2 2 7" xfId="1060" xr:uid="{00000000-0005-0000-0000-000018060000}"/>
    <cellStyle name="Normal 4 2 3" xfId="75" xr:uid="{00000000-0005-0000-0000-000019060000}"/>
    <cellStyle name="Normal 4 2 3 2" xfId="190" xr:uid="{00000000-0005-0000-0000-00001A060000}"/>
    <cellStyle name="Normal 4 2 3 2 2" xfId="439" xr:uid="{00000000-0005-0000-0000-00001B060000}"/>
    <cellStyle name="Normal 4 2 3 2 2 2" xfId="938" xr:uid="{00000000-0005-0000-0000-00001C060000}"/>
    <cellStyle name="Normal 4 2 3 2 2 2 2" xfId="1940" xr:uid="{00000000-0005-0000-0000-00001D060000}"/>
    <cellStyle name="Normal 4 2 3 2 2 3" xfId="1444" xr:uid="{00000000-0005-0000-0000-00001E060000}"/>
    <cellStyle name="Normal 4 2 3 2 3" xfId="690" xr:uid="{00000000-0005-0000-0000-00001F060000}"/>
    <cellStyle name="Normal 4 2 3 2 3 2" xfId="1692" xr:uid="{00000000-0005-0000-0000-000020060000}"/>
    <cellStyle name="Normal 4 2 3 2 4" xfId="1196" xr:uid="{00000000-0005-0000-0000-000021060000}"/>
    <cellStyle name="Normal 4 2 3 3" xfId="324" xr:uid="{00000000-0005-0000-0000-000022060000}"/>
    <cellStyle name="Normal 4 2 3 3 2" xfId="824" xr:uid="{00000000-0005-0000-0000-000023060000}"/>
    <cellStyle name="Normal 4 2 3 3 2 2" xfId="1826" xr:uid="{00000000-0005-0000-0000-000024060000}"/>
    <cellStyle name="Normal 4 2 3 3 3" xfId="1330" xr:uid="{00000000-0005-0000-0000-000025060000}"/>
    <cellStyle name="Normal 4 2 3 4" xfId="576" xr:uid="{00000000-0005-0000-0000-000026060000}"/>
    <cellStyle name="Normal 4 2 3 4 2" xfId="1578" xr:uid="{00000000-0005-0000-0000-000027060000}"/>
    <cellStyle name="Normal 4 2 3 5" xfId="1082" xr:uid="{00000000-0005-0000-0000-000028060000}"/>
    <cellStyle name="Normal 4 2 4" xfId="98" xr:uid="{00000000-0005-0000-0000-000029060000}"/>
    <cellStyle name="Normal 4 2 4 2" xfId="347" xr:uid="{00000000-0005-0000-0000-00002A060000}"/>
    <cellStyle name="Normal 4 2 4 2 2" xfId="846" xr:uid="{00000000-0005-0000-0000-00002B060000}"/>
    <cellStyle name="Normal 4 2 4 2 2 2" xfId="1848" xr:uid="{00000000-0005-0000-0000-00002C060000}"/>
    <cellStyle name="Normal 4 2 4 2 3" xfId="1352" xr:uid="{00000000-0005-0000-0000-00002D060000}"/>
    <cellStyle name="Normal 4 2 4 3" xfId="598" xr:uid="{00000000-0005-0000-0000-00002E060000}"/>
    <cellStyle name="Normal 4 2 4 3 2" xfId="1600" xr:uid="{00000000-0005-0000-0000-00002F060000}"/>
    <cellStyle name="Normal 4 2 4 4" xfId="1104" xr:uid="{00000000-0005-0000-0000-000030060000}"/>
    <cellStyle name="Normal 4 2 5" xfId="144" xr:uid="{00000000-0005-0000-0000-000031060000}"/>
    <cellStyle name="Normal 4 2 5 2" xfId="393" xr:uid="{00000000-0005-0000-0000-000032060000}"/>
    <cellStyle name="Normal 4 2 5 2 2" xfId="892" xr:uid="{00000000-0005-0000-0000-000033060000}"/>
    <cellStyle name="Normal 4 2 5 2 2 2" xfId="1894" xr:uid="{00000000-0005-0000-0000-000034060000}"/>
    <cellStyle name="Normal 4 2 5 2 3" xfId="1398" xr:uid="{00000000-0005-0000-0000-000035060000}"/>
    <cellStyle name="Normal 4 2 5 3" xfId="644" xr:uid="{00000000-0005-0000-0000-000036060000}"/>
    <cellStyle name="Normal 4 2 5 3 2" xfId="1646" xr:uid="{00000000-0005-0000-0000-000037060000}"/>
    <cellStyle name="Normal 4 2 5 4" xfId="1150" xr:uid="{00000000-0005-0000-0000-000038060000}"/>
    <cellStyle name="Normal 4 2 6" xfId="210" xr:uid="{00000000-0005-0000-0000-000039060000}"/>
    <cellStyle name="Normal 4 2 6 2" xfId="459" xr:uid="{00000000-0005-0000-0000-00003A060000}"/>
    <cellStyle name="Normal 4 2 6 2 2" xfId="958" xr:uid="{00000000-0005-0000-0000-00003B060000}"/>
    <cellStyle name="Normal 4 2 6 2 2 2" xfId="1960" xr:uid="{00000000-0005-0000-0000-00003C060000}"/>
    <cellStyle name="Normal 4 2 6 2 3" xfId="1464" xr:uid="{00000000-0005-0000-0000-00003D060000}"/>
    <cellStyle name="Normal 4 2 6 3" xfId="710" xr:uid="{00000000-0005-0000-0000-00003E060000}"/>
    <cellStyle name="Normal 4 2 6 3 2" xfId="1712" xr:uid="{00000000-0005-0000-0000-00003F060000}"/>
    <cellStyle name="Normal 4 2 6 4" xfId="1216" xr:uid="{00000000-0005-0000-0000-000040060000}"/>
    <cellStyle name="Normal 4 2 7" xfId="231" xr:uid="{00000000-0005-0000-0000-000041060000}"/>
    <cellStyle name="Normal 4 2 7 2" xfId="480" xr:uid="{00000000-0005-0000-0000-000042060000}"/>
    <cellStyle name="Normal 4 2 7 2 2" xfId="979" xr:uid="{00000000-0005-0000-0000-000043060000}"/>
    <cellStyle name="Normal 4 2 7 2 2 2" xfId="1981" xr:uid="{00000000-0005-0000-0000-000044060000}"/>
    <cellStyle name="Normal 4 2 7 2 3" xfId="1485" xr:uid="{00000000-0005-0000-0000-000045060000}"/>
    <cellStyle name="Normal 4 2 7 3" xfId="731" xr:uid="{00000000-0005-0000-0000-000046060000}"/>
    <cellStyle name="Normal 4 2 7 3 2" xfId="1733" xr:uid="{00000000-0005-0000-0000-000047060000}"/>
    <cellStyle name="Normal 4 2 7 4" xfId="1237" xr:uid="{00000000-0005-0000-0000-000048060000}"/>
    <cellStyle name="Normal 4 2 8" xfId="278" xr:uid="{00000000-0005-0000-0000-000049060000}"/>
    <cellStyle name="Normal 4 2 8 2" xfId="778" xr:uid="{00000000-0005-0000-0000-00004A060000}"/>
    <cellStyle name="Normal 4 2 8 2 2" xfId="1780" xr:uid="{00000000-0005-0000-0000-00004B060000}"/>
    <cellStyle name="Normal 4 2 8 3" xfId="1284" xr:uid="{00000000-0005-0000-0000-00004C060000}"/>
    <cellStyle name="Normal 4 2 9" xfId="530" xr:uid="{00000000-0005-0000-0000-00004D060000}"/>
    <cellStyle name="Normal 4 2 9 2" xfId="1532" xr:uid="{00000000-0005-0000-0000-00004E060000}"/>
    <cellStyle name="Normal 4 3" xfId="43" xr:uid="{00000000-0005-0000-0000-00004F060000}"/>
    <cellStyle name="Normal 4 3 2" xfId="112" xr:uid="{00000000-0005-0000-0000-000050060000}"/>
    <cellStyle name="Normal 4 3 2 2" xfId="361" xr:uid="{00000000-0005-0000-0000-000051060000}"/>
    <cellStyle name="Normal 4 3 2 2 2" xfId="860" xr:uid="{00000000-0005-0000-0000-000052060000}"/>
    <cellStyle name="Normal 4 3 2 2 2 2" xfId="1862" xr:uid="{00000000-0005-0000-0000-000053060000}"/>
    <cellStyle name="Normal 4 3 2 2 3" xfId="1366" xr:uid="{00000000-0005-0000-0000-000054060000}"/>
    <cellStyle name="Normal 4 3 2 3" xfId="612" xr:uid="{00000000-0005-0000-0000-000055060000}"/>
    <cellStyle name="Normal 4 3 2 3 2" xfId="1614" xr:uid="{00000000-0005-0000-0000-000056060000}"/>
    <cellStyle name="Normal 4 3 2 4" xfId="1118" xr:uid="{00000000-0005-0000-0000-000057060000}"/>
    <cellStyle name="Normal 4 3 3" xfId="158" xr:uid="{00000000-0005-0000-0000-000058060000}"/>
    <cellStyle name="Normal 4 3 3 2" xfId="407" xr:uid="{00000000-0005-0000-0000-000059060000}"/>
    <cellStyle name="Normal 4 3 3 2 2" xfId="906" xr:uid="{00000000-0005-0000-0000-00005A060000}"/>
    <cellStyle name="Normal 4 3 3 2 2 2" xfId="1908" xr:uid="{00000000-0005-0000-0000-00005B060000}"/>
    <cellStyle name="Normal 4 3 3 2 3" xfId="1412" xr:uid="{00000000-0005-0000-0000-00005C060000}"/>
    <cellStyle name="Normal 4 3 3 3" xfId="658" xr:uid="{00000000-0005-0000-0000-00005D060000}"/>
    <cellStyle name="Normal 4 3 3 3 2" xfId="1660" xr:uid="{00000000-0005-0000-0000-00005E060000}"/>
    <cellStyle name="Normal 4 3 3 4" xfId="1164" xr:uid="{00000000-0005-0000-0000-00005F060000}"/>
    <cellStyle name="Normal 4 3 4" xfId="245" xr:uid="{00000000-0005-0000-0000-000060060000}"/>
    <cellStyle name="Normal 4 3 4 2" xfId="494" xr:uid="{00000000-0005-0000-0000-000061060000}"/>
    <cellStyle name="Normal 4 3 4 2 2" xfId="993" xr:uid="{00000000-0005-0000-0000-000062060000}"/>
    <cellStyle name="Normal 4 3 4 2 2 2" xfId="1995" xr:uid="{00000000-0005-0000-0000-000063060000}"/>
    <cellStyle name="Normal 4 3 4 2 3" xfId="1499" xr:uid="{00000000-0005-0000-0000-000064060000}"/>
    <cellStyle name="Normal 4 3 4 3" xfId="745" xr:uid="{00000000-0005-0000-0000-000065060000}"/>
    <cellStyle name="Normal 4 3 4 3 2" xfId="1747" xr:uid="{00000000-0005-0000-0000-000066060000}"/>
    <cellStyle name="Normal 4 3 4 4" xfId="1251" xr:uid="{00000000-0005-0000-0000-000067060000}"/>
    <cellStyle name="Normal 4 3 5" xfId="292" xr:uid="{00000000-0005-0000-0000-000068060000}"/>
    <cellStyle name="Normal 4 3 5 2" xfId="792" xr:uid="{00000000-0005-0000-0000-000069060000}"/>
    <cellStyle name="Normal 4 3 5 2 2" xfId="1794" xr:uid="{00000000-0005-0000-0000-00006A060000}"/>
    <cellStyle name="Normal 4 3 5 3" xfId="1298" xr:uid="{00000000-0005-0000-0000-00006B060000}"/>
    <cellStyle name="Normal 4 3 6" xfId="544" xr:uid="{00000000-0005-0000-0000-00006C060000}"/>
    <cellStyle name="Normal 4 3 6 2" xfId="1546" xr:uid="{00000000-0005-0000-0000-00006D060000}"/>
    <cellStyle name="Normal 4 3 7" xfId="1050" xr:uid="{00000000-0005-0000-0000-00006E060000}"/>
    <cellStyle name="Normal 4 4" xfId="65" xr:uid="{00000000-0005-0000-0000-00006F060000}"/>
    <cellStyle name="Normal 4 4 2" xfId="180" xr:uid="{00000000-0005-0000-0000-000070060000}"/>
    <cellStyle name="Normal 4 4 2 2" xfId="429" xr:uid="{00000000-0005-0000-0000-000071060000}"/>
    <cellStyle name="Normal 4 4 2 2 2" xfId="928" xr:uid="{00000000-0005-0000-0000-000072060000}"/>
    <cellStyle name="Normal 4 4 2 2 2 2" xfId="1930" xr:uid="{00000000-0005-0000-0000-000073060000}"/>
    <cellStyle name="Normal 4 4 2 2 3" xfId="1434" xr:uid="{00000000-0005-0000-0000-000074060000}"/>
    <cellStyle name="Normal 4 4 2 3" xfId="680" xr:uid="{00000000-0005-0000-0000-000075060000}"/>
    <cellStyle name="Normal 4 4 2 3 2" xfId="1682" xr:uid="{00000000-0005-0000-0000-000076060000}"/>
    <cellStyle name="Normal 4 4 2 4" xfId="1186" xr:uid="{00000000-0005-0000-0000-000077060000}"/>
    <cellStyle name="Normal 4 4 3" xfId="314" xr:uid="{00000000-0005-0000-0000-000078060000}"/>
    <cellStyle name="Normal 4 4 3 2" xfId="814" xr:uid="{00000000-0005-0000-0000-000079060000}"/>
    <cellStyle name="Normal 4 4 3 2 2" xfId="1816" xr:uid="{00000000-0005-0000-0000-00007A060000}"/>
    <cellStyle name="Normal 4 4 3 3" xfId="1320" xr:uid="{00000000-0005-0000-0000-00007B060000}"/>
    <cellStyle name="Normal 4 4 4" xfId="566" xr:uid="{00000000-0005-0000-0000-00007C060000}"/>
    <cellStyle name="Normal 4 4 4 2" xfId="1568" xr:uid="{00000000-0005-0000-0000-00007D060000}"/>
    <cellStyle name="Normal 4 4 5" xfId="1072" xr:uid="{00000000-0005-0000-0000-00007E060000}"/>
    <cellStyle name="Normal 4 5" xfId="88" xr:uid="{00000000-0005-0000-0000-00007F060000}"/>
    <cellStyle name="Normal 4 5 2" xfId="337" xr:uid="{00000000-0005-0000-0000-000080060000}"/>
    <cellStyle name="Normal 4 5 2 2" xfId="836" xr:uid="{00000000-0005-0000-0000-000081060000}"/>
    <cellStyle name="Normal 4 5 2 2 2" xfId="1838" xr:uid="{00000000-0005-0000-0000-000082060000}"/>
    <cellStyle name="Normal 4 5 2 3" xfId="1342" xr:uid="{00000000-0005-0000-0000-000083060000}"/>
    <cellStyle name="Normal 4 5 3" xfId="588" xr:uid="{00000000-0005-0000-0000-000084060000}"/>
    <cellStyle name="Normal 4 5 3 2" xfId="1590" xr:uid="{00000000-0005-0000-0000-000085060000}"/>
    <cellStyle name="Normal 4 5 4" xfId="1094" xr:uid="{00000000-0005-0000-0000-000086060000}"/>
    <cellStyle name="Normal 4 6" xfId="134" xr:uid="{00000000-0005-0000-0000-000087060000}"/>
    <cellStyle name="Normal 4 6 2" xfId="383" xr:uid="{00000000-0005-0000-0000-000088060000}"/>
    <cellStyle name="Normal 4 6 2 2" xfId="882" xr:uid="{00000000-0005-0000-0000-000089060000}"/>
    <cellStyle name="Normal 4 6 2 2 2" xfId="1884" xr:uid="{00000000-0005-0000-0000-00008A060000}"/>
    <cellStyle name="Normal 4 6 2 3" xfId="1388" xr:uid="{00000000-0005-0000-0000-00008B060000}"/>
    <cellStyle name="Normal 4 6 3" xfId="634" xr:uid="{00000000-0005-0000-0000-00008C060000}"/>
    <cellStyle name="Normal 4 6 3 2" xfId="1636" xr:uid="{00000000-0005-0000-0000-00008D060000}"/>
    <cellStyle name="Normal 4 6 4" xfId="1140" xr:uid="{00000000-0005-0000-0000-00008E060000}"/>
    <cellStyle name="Normal 4 7" xfId="200" xr:uid="{00000000-0005-0000-0000-00008F060000}"/>
    <cellStyle name="Normal 4 7 2" xfId="449" xr:uid="{00000000-0005-0000-0000-000090060000}"/>
    <cellStyle name="Normal 4 7 2 2" xfId="948" xr:uid="{00000000-0005-0000-0000-000091060000}"/>
    <cellStyle name="Normal 4 7 2 2 2" xfId="1950" xr:uid="{00000000-0005-0000-0000-000092060000}"/>
    <cellStyle name="Normal 4 7 2 3" xfId="1454" xr:uid="{00000000-0005-0000-0000-000093060000}"/>
    <cellStyle name="Normal 4 7 3" xfId="700" xr:uid="{00000000-0005-0000-0000-000094060000}"/>
    <cellStyle name="Normal 4 7 3 2" xfId="1702" xr:uid="{00000000-0005-0000-0000-000095060000}"/>
    <cellStyle name="Normal 4 7 4" xfId="1206" xr:uid="{00000000-0005-0000-0000-000096060000}"/>
    <cellStyle name="Normal 4 8" xfId="221" xr:uid="{00000000-0005-0000-0000-000097060000}"/>
    <cellStyle name="Normal 4 8 2" xfId="470" xr:uid="{00000000-0005-0000-0000-000098060000}"/>
    <cellStyle name="Normal 4 8 2 2" xfId="969" xr:uid="{00000000-0005-0000-0000-000099060000}"/>
    <cellStyle name="Normal 4 8 2 2 2" xfId="1971" xr:uid="{00000000-0005-0000-0000-00009A060000}"/>
    <cellStyle name="Normal 4 8 2 3" xfId="1475" xr:uid="{00000000-0005-0000-0000-00009B060000}"/>
    <cellStyle name="Normal 4 8 3" xfId="721" xr:uid="{00000000-0005-0000-0000-00009C060000}"/>
    <cellStyle name="Normal 4 8 3 2" xfId="1723" xr:uid="{00000000-0005-0000-0000-00009D060000}"/>
    <cellStyle name="Normal 4 8 4" xfId="1227" xr:uid="{00000000-0005-0000-0000-00009E060000}"/>
    <cellStyle name="Normal 4 9" xfId="268" xr:uid="{00000000-0005-0000-0000-00009F060000}"/>
    <cellStyle name="Normal 4 9 2" xfId="768" xr:uid="{00000000-0005-0000-0000-0000A0060000}"/>
    <cellStyle name="Normal 4 9 2 2" xfId="1770" xr:uid="{00000000-0005-0000-0000-0000A1060000}"/>
    <cellStyle name="Normal 4 9 3" xfId="1274" xr:uid="{00000000-0005-0000-0000-0000A2060000}"/>
    <cellStyle name="Normal 451" xfId="1011" xr:uid="{00000000-0005-0000-0000-0000A3060000}"/>
    <cellStyle name="Normal 451 2" xfId="2011" xr:uid="{00000000-0005-0000-0000-0000A4060000}"/>
    <cellStyle name="Normal 5" xfId="5" xr:uid="{00000000-0005-0000-0000-0000A5060000}"/>
    <cellStyle name="Normal 5 10" xfId="521" xr:uid="{00000000-0005-0000-0000-0000A6060000}"/>
    <cellStyle name="Normal 5 10 2" xfId="1523" xr:uid="{00000000-0005-0000-0000-0000A7060000}"/>
    <cellStyle name="Normal 5 11" xfId="1015" xr:uid="{00000000-0005-0000-0000-0000A8060000}"/>
    <cellStyle name="Normal 5 2" xfId="44" xr:uid="{00000000-0005-0000-0000-0000A9060000}"/>
    <cellStyle name="Normal 5 2 2" xfId="113" xr:uid="{00000000-0005-0000-0000-0000AA060000}"/>
    <cellStyle name="Normal 5 2 2 2" xfId="362" xr:uid="{00000000-0005-0000-0000-0000AB060000}"/>
    <cellStyle name="Normal 5 2 2 2 2" xfId="861" xr:uid="{00000000-0005-0000-0000-0000AC060000}"/>
    <cellStyle name="Normal 5 2 2 2 2 2" xfId="1863" xr:uid="{00000000-0005-0000-0000-0000AD060000}"/>
    <cellStyle name="Normal 5 2 2 2 3" xfId="1367" xr:uid="{00000000-0005-0000-0000-0000AE060000}"/>
    <cellStyle name="Normal 5 2 2 3" xfId="613" xr:uid="{00000000-0005-0000-0000-0000AF060000}"/>
    <cellStyle name="Normal 5 2 2 3 2" xfId="1615" xr:uid="{00000000-0005-0000-0000-0000B0060000}"/>
    <cellStyle name="Normal 5 2 2 4" xfId="1119" xr:uid="{00000000-0005-0000-0000-0000B1060000}"/>
    <cellStyle name="Normal 5 2 3" xfId="159" xr:uid="{00000000-0005-0000-0000-0000B2060000}"/>
    <cellStyle name="Normal 5 2 3 2" xfId="408" xr:uid="{00000000-0005-0000-0000-0000B3060000}"/>
    <cellStyle name="Normal 5 2 3 2 2" xfId="907" xr:uid="{00000000-0005-0000-0000-0000B4060000}"/>
    <cellStyle name="Normal 5 2 3 2 2 2" xfId="1909" xr:uid="{00000000-0005-0000-0000-0000B5060000}"/>
    <cellStyle name="Normal 5 2 3 2 3" xfId="1413" xr:uid="{00000000-0005-0000-0000-0000B6060000}"/>
    <cellStyle name="Normal 5 2 3 3" xfId="659" xr:uid="{00000000-0005-0000-0000-0000B7060000}"/>
    <cellStyle name="Normal 5 2 3 3 2" xfId="1661" xr:uid="{00000000-0005-0000-0000-0000B8060000}"/>
    <cellStyle name="Normal 5 2 3 4" xfId="1165" xr:uid="{00000000-0005-0000-0000-0000B9060000}"/>
    <cellStyle name="Normal 5 2 4" xfId="246" xr:uid="{00000000-0005-0000-0000-0000BA060000}"/>
    <cellStyle name="Normal 5 2 4 2" xfId="495" xr:uid="{00000000-0005-0000-0000-0000BB060000}"/>
    <cellStyle name="Normal 5 2 4 2 2" xfId="994" xr:uid="{00000000-0005-0000-0000-0000BC060000}"/>
    <cellStyle name="Normal 5 2 4 2 2 2" xfId="1996" xr:uid="{00000000-0005-0000-0000-0000BD060000}"/>
    <cellStyle name="Normal 5 2 4 2 3" xfId="1500" xr:uid="{00000000-0005-0000-0000-0000BE060000}"/>
    <cellStyle name="Normal 5 2 4 3" xfId="746" xr:uid="{00000000-0005-0000-0000-0000BF060000}"/>
    <cellStyle name="Normal 5 2 4 3 2" xfId="1748" xr:uid="{00000000-0005-0000-0000-0000C0060000}"/>
    <cellStyle name="Normal 5 2 4 4" xfId="1252" xr:uid="{00000000-0005-0000-0000-0000C1060000}"/>
    <cellStyle name="Normal 5 2 5" xfId="293" xr:uid="{00000000-0005-0000-0000-0000C2060000}"/>
    <cellStyle name="Normal 5 2 5 2" xfId="793" xr:uid="{00000000-0005-0000-0000-0000C3060000}"/>
    <cellStyle name="Normal 5 2 5 2 2" xfId="1795" xr:uid="{00000000-0005-0000-0000-0000C4060000}"/>
    <cellStyle name="Normal 5 2 5 3" xfId="1299" xr:uid="{00000000-0005-0000-0000-0000C5060000}"/>
    <cellStyle name="Normal 5 2 6" xfId="545" xr:uid="{00000000-0005-0000-0000-0000C6060000}"/>
    <cellStyle name="Normal 5 2 6 2" xfId="1547" xr:uid="{00000000-0005-0000-0000-0000C7060000}"/>
    <cellStyle name="Normal 5 2 7" xfId="1051" xr:uid="{00000000-0005-0000-0000-0000C8060000}"/>
    <cellStyle name="Normal 5 3" xfId="66" xr:uid="{00000000-0005-0000-0000-0000C9060000}"/>
    <cellStyle name="Normal 5 3 2" xfId="181" xr:uid="{00000000-0005-0000-0000-0000CA060000}"/>
    <cellStyle name="Normal 5 3 2 2" xfId="430" xr:uid="{00000000-0005-0000-0000-0000CB060000}"/>
    <cellStyle name="Normal 5 3 2 2 2" xfId="929" xr:uid="{00000000-0005-0000-0000-0000CC060000}"/>
    <cellStyle name="Normal 5 3 2 2 2 2" xfId="1931" xr:uid="{00000000-0005-0000-0000-0000CD060000}"/>
    <cellStyle name="Normal 5 3 2 2 3" xfId="1435" xr:uid="{00000000-0005-0000-0000-0000CE060000}"/>
    <cellStyle name="Normal 5 3 2 3" xfId="681" xr:uid="{00000000-0005-0000-0000-0000CF060000}"/>
    <cellStyle name="Normal 5 3 2 3 2" xfId="1683" xr:uid="{00000000-0005-0000-0000-0000D0060000}"/>
    <cellStyle name="Normal 5 3 2 4" xfId="1187" xr:uid="{00000000-0005-0000-0000-0000D1060000}"/>
    <cellStyle name="Normal 5 3 3" xfId="315" xr:uid="{00000000-0005-0000-0000-0000D2060000}"/>
    <cellStyle name="Normal 5 3 3 2" xfId="815" xr:uid="{00000000-0005-0000-0000-0000D3060000}"/>
    <cellStyle name="Normal 5 3 3 2 2" xfId="1817" xr:uid="{00000000-0005-0000-0000-0000D4060000}"/>
    <cellStyle name="Normal 5 3 3 3" xfId="1321" xr:uid="{00000000-0005-0000-0000-0000D5060000}"/>
    <cellStyle name="Normal 5 3 4" xfId="567" xr:uid="{00000000-0005-0000-0000-0000D6060000}"/>
    <cellStyle name="Normal 5 3 4 2" xfId="1569" xr:uid="{00000000-0005-0000-0000-0000D7060000}"/>
    <cellStyle name="Normal 5 3 5" xfId="1073" xr:uid="{00000000-0005-0000-0000-0000D8060000}"/>
    <cellStyle name="Normal 5 4" xfId="89" xr:uid="{00000000-0005-0000-0000-0000D9060000}"/>
    <cellStyle name="Normal 5 4 2" xfId="338" xr:uid="{00000000-0005-0000-0000-0000DA060000}"/>
    <cellStyle name="Normal 5 4 2 2" xfId="837" xr:uid="{00000000-0005-0000-0000-0000DB060000}"/>
    <cellStyle name="Normal 5 4 2 2 2" xfId="1839" xr:uid="{00000000-0005-0000-0000-0000DC060000}"/>
    <cellStyle name="Normal 5 4 2 3" xfId="1343" xr:uid="{00000000-0005-0000-0000-0000DD060000}"/>
    <cellStyle name="Normal 5 4 3" xfId="589" xr:uid="{00000000-0005-0000-0000-0000DE060000}"/>
    <cellStyle name="Normal 5 4 3 2" xfId="1591" xr:uid="{00000000-0005-0000-0000-0000DF060000}"/>
    <cellStyle name="Normal 5 4 4" xfId="1095" xr:uid="{00000000-0005-0000-0000-0000E0060000}"/>
    <cellStyle name="Normal 5 5" xfId="135" xr:uid="{00000000-0005-0000-0000-0000E1060000}"/>
    <cellStyle name="Normal 5 5 2" xfId="384" xr:uid="{00000000-0005-0000-0000-0000E2060000}"/>
    <cellStyle name="Normal 5 5 2 2" xfId="883" xr:uid="{00000000-0005-0000-0000-0000E3060000}"/>
    <cellStyle name="Normal 5 5 2 2 2" xfId="1885" xr:uid="{00000000-0005-0000-0000-0000E4060000}"/>
    <cellStyle name="Normal 5 5 2 3" xfId="1389" xr:uid="{00000000-0005-0000-0000-0000E5060000}"/>
    <cellStyle name="Normal 5 5 3" xfId="635" xr:uid="{00000000-0005-0000-0000-0000E6060000}"/>
    <cellStyle name="Normal 5 5 3 2" xfId="1637" xr:uid="{00000000-0005-0000-0000-0000E7060000}"/>
    <cellStyle name="Normal 5 5 4" xfId="1141" xr:uid="{00000000-0005-0000-0000-0000E8060000}"/>
    <cellStyle name="Normal 5 6" xfId="201" xr:uid="{00000000-0005-0000-0000-0000E9060000}"/>
    <cellStyle name="Normal 5 6 2" xfId="450" xr:uid="{00000000-0005-0000-0000-0000EA060000}"/>
    <cellStyle name="Normal 5 6 2 2" xfId="949" xr:uid="{00000000-0005-0000-0000-0000EB060000}"/>
    <cellStyle name="Normal 5 6 2 2 2" xfId="1951" xr:uid="{00000000-0005-0000-0000-0000EC060000}"/>
    <cellStyle name="Normal 5 6 2 3" xfId="1455" xr:uid="{00000000-0005-0000-0000-0000ED060000}"/>
    <cellStyle name="Normal 5 6 3" xfId="701" xr:uid="{00000000-0005-0000-0000-0000EE060000}"/>
    <cellStyle name="Normal 5 6 3 2" xfId="1703" xr:uid="{00000000-0005-0000-0000-0000EF060000}"/>
    <cellStyle name="Normal 5 6 4" xfId="1207" xr:uid="{00000000-0005-0000-0000-0000F0060000}"/>
    <cellStyle name="Normal 5 7" xfId="222" xr:uid="{00000000-0005-0000-0000-0000F1060000}"/>
    <cellStyle name="Normal 5 7 2" xfId="471" xr:uid="{00000000-0005-0000-0000-0000F2060000}"/>
    <cellStyle name="Normal 5 7 2 2" xfId="970" xr:uid="{00000000-0005-0000-0000-0000F3060000}"/>
    <cellStyle name="Normal 5 7 2 2 2" xfId="1972" xr:uid="{00000000-0005-0000-0000-0000F4060000}"/>
    <cellStyle name="Normal 5 7 2 3" xfId="1476" xr:uid="{00000000-0005-0000-0000-0000F5060000}"/>
    <cellStyle name="Normal 5 7 3" xfId="722" xr:uid="{00000000-0005-0000-0000-0000F6060000}"/>
    <cellStyle name="Normal 5 7 3 2" xfId="1724" xr:uid="{00000000-0005-0000-0000-0000F7060000}"/>
    <cellStyle name="Normal 5 7 4" xfId="1228" xr:uid="{00000000-0005-0000-0000-0000F8060000}"/>
    <cellStyle name="Normal 5 8" xfId="269" xr:uid="{00000000-0005-0000-0000-0000F9060000}"/>
    <cellStyle name="Normal 5 8 2" xfId="769" xr:uid="{00000000-0005-0000-0000-0000FA060000}"/>
    <cellStyle name="Normal 5 8 2 2" xfId="1771" xr:uid="{00000000-0005-0000-0000-0000FB060000}"/>
    <cellStyle name="Normal 5 8 3" xfId="1275" xr:uid="{00000000-0005-0000-0000-0000FC060000}"/>
    <cellStyle name="Normal 5 9" xfId="19" xr:uid="{00000000-0005-0000-0000-0000FD060000}"/>
    <cellStyle name="Normal 5 9 2" xfId="1027" xr:uid="{00000000-0005-0000-0000-0000FE060000}"/>
    <cellStyle name="Normal 6" xfId="6" xr:uid="{00000000-0005-0000-0000-0000FF060000}"/>
    <cellStyle name="Normal 6 2" xfId="20" xr:uid="{00000000-0005-0000-0000-000000070000}"/>
    <cellStyle name="Normal 6 3" xfId="1016" xr:uid="{00000000-0005-0000-0000-000001070000}"/>
    <cellStyle name="Normal 7" xfId="7" xr:uid="{00000000-0005-0000-0000-000002070000}"/>
    <cellStyle name="Normal 7 10" xfId="531" xr:uid="{00000000-0005-0000-0000-000003070000}"/>
    <cellStyle name="Normal 7 10 2" xfId="1533" xr:uid="{00000000-0005-0000-0000-000004070000}"/>
    <cellStyle name="Normal 7 11" xfId="1017" xr:uid="{00000000-0005-0000-0000-000005070000}"/>
    <cellStyle name="Normal 7 2" xfId="54" xr:uid="{00000000-0005-0000-0000-000006070000}"/>
    <cellStyle name="Normal 7 2 2" xfId="123" xr:uid="{00000000-0005-0000-0000-000007070000}"/>
    <cellStyle name="Normal 7 2 2 2" xfId="372" xr:uid="{00000000-0005-0000-0000-000008070000}"/>
    <cellStyle name="Normal 7 2 2 2 2" xfId="871" xr:uid="{00000000-0005-0000-0000-000009070000}"/>
    <cellStyle name="Normal 7 2 2 2 2 2" xfId="1873" xr:uid="{00000000-0005-0000-0000-00000A070000}"/>
    <cellStyle name="Normal 7 2 2 2 3" xfId="1377" xr:uid="{00000000-0005-0000-0000-00000B070000}"/>
    <cellStyle name="Normal 7 2 2 3" xfId="623" xr:uid="{00000000-0005-0000-0000-00000C070000}"/>
    <cellStyle name="Normal 7 2 2 3 2" xfId="1625" xr:uid="{00000000-0005-0000-0000-00000D070000}"/>
    <cellStyle name="Normal 7 2 2 4" xfId="1129" xr:uid="{00000000-0005-0000-0000-00000E070000}"/>
    <cellStyle name="Normal 7 2 3" xfId="169" xr:uid="{00000000-0005-0000-0000-00000F070000}"/>
    <cellStyle name="Normal 7 2 3 2" xfId="418" xr:uid="{00000000-0005-0000-0000-000010070000}"/>
    <cellStyle name="Normal 7 2 3 2 2" xfId="917" xr:uid="{00000000-0005-0000-0000-000011070000}"/>
    <cellStyle name="Normal 7 2 3 2 2 2" xfId="1919" xr:uid="{00000000-0005-0000-0000-000012070000}"/>
    <cellStyle name="Normal 7 2 3 2 3" xfId="1423" xr:uid="{00000000-0005-0000-0000-000013070000}"/>
    <cellStyle name="Normal 7 2 3 3" xfId="669" xr:uid="{00000000-0005-0000-0000-000014070000}"/>
    <cellStyle name="Normal 7 2 3 3 2" xfId="1671" xr:uid="{00000000-0005-0000-0000-000015070000}"/>
    <cellStyle name="Normal 7 2 3 4" xfId="1175" xr:uid="{00000000-0005-0000-0000-000016070000}"/>
    <cellStyle name="Normal 7 2 4" xfId="256" xr:uid="{00000000-0005-0000-0000-000017070000}"/>
    <cellStyle name="Normal 7 2 4 2" xfId="505" xr:uid="{00000000-0005-0000-0000-000018070000}"/>
    <cellStyle name="Normal 7 2 4 2 2" xfId="1004" xr:uid="{00000000-0005-0000-0000-000019070000}"/>
    <cellStyle name="Normal 7 2 4 2 2 2" xfId="2006" xr:uid="{00000000-0005-0000-0000-00001A070000}"/>
    <cellStyle name="Normal 7 2 4 2 3" xfId="1510" xr:uid="{00000000-0005-0000-0000-00001B070000}"/>
    <cellStyle name="Normal 7 2 4 3" xfId="756" xr:uid="{00000000-0005-0000-0000-00001C070000}"/>
    <cellStyle name="Normal 7 2 4 3 2" xfId="1758" xr:uid="{00000000-0005-0000-0000-00001D070000}"/>
    <cellStyle name="Normal 7 2 4 4" xfId="1262" xr:uid="{00000000-0005-0000-0000-00001E070000}"/>
    <cellStyle name="Normal 7 2 5" xfId="303" xr:uid="{00000000-0005-0000-0000-00001F070000}"/>
    <cellStyle name="Normal 7 2 5 2" xfId="803" xr:uid="{00000000-0005-0000-0000-000020070000}"/>
    <cellStyle name="Normal 7 2 5 2 2" xfId="1805" xr:uid="{00000000-0005-0000-0000-000021070000}"/>
    <cellStyle name="Normal 7 2 5 3" xfId="1309" xr:uid="{00000000-0005-0000-0000-000022070000}"/>
    <cellStyle name="Normal 7 2 6" xfId="555" xr:uid="{00000000-0005-0000-0000-000023070000}"/>
    <cellStyle name="Normal 7 2 6 2" xfId="1557" xr:uid="{00000000-0005-0000-0000-000024070000}"/>
    <cellStyle name="Normal 7 2 7" xfId="1061" xr:uid="{00000000-0005-0000-0000-000025070000}"/>
    <cellStyle name="Normal 7 3" xfId="76" xr:uid="{00000000-0005-0000-0000-000026070000}"/>
    <cellStyle name="Normal 7 3 2" xfId="191" xr:uid="{00000000-0005-0000-0000-000027070000}"/>
    <cellStyle name="Normal 7 3 2 2" xfId="440" xr:uid="{00000000-0005-0000-0000-000028070000}"/>
    <cellStyle name="Normal 7 3 2 2 2" xfId="939" xr:uid="{00000000-0005-0000-0000-000029070000}"/>
    <cellStyle name="Normal 7 3 2 2 2 2" xfId="1941" xr:uid="{00000000-0005-0000-0000-00002A070000}"/>
    <cellStyle name="Normal 7 3 2 2 3" xfId="1445" xr:uid="{00000000-0005-0000-0000-00002B070000}"/>
    <cellStyle name="Normal 7 3 2 3" xfId="691" xr:uid="{00000000-0005-0000-0000-00002C070000}"/>
    <cellStyle name="Normal 7 3 2 3 2" xfId="1693" xr:uid="{00000000-0005-0000-0000-00002D070000}"/>
    <cellStyle name="Normal 7 3 2 4" xfId="1197" xr:uid="{00000000-0005-0000-0000-00002E070000}"/>
    <cellStyle name="Normal 7 3 3" xfId="325" xr:uid="{00000000-0005-0000-0000-00002F070000}"/>
    <cellStyle name="Normal 7 3 3 2" xfId="825" xr:uid="{00000000-0005-0000-0000-000030070000}"/>
    <cellStyle name="Normal 7 3 3 2 2" xfId="1827" xr:uid="{00000000-0005-0000-0000-000031070000}"/>
    <cellStyle name="Normal 7 3 3 3" xfId="1331" xr:uid="{00000000-0005-0000-0000-000032070000}"/>
    <cellStyle name="Normal 7 3 4" xfId="577" xr:uid="{00000000-0005-0000-0000-000033070000}"/>
    <cellStyle name="Normal 7 3 4 2" xfId="1579" xr:uid="{00000000-0005-0000-0000-000034070000}"/>
    <cellStyle name="Normal 7 3 5" xfId="1083" xr:uid="{00000000-0005-0000-0000-000035070000}"/>
    <cellStyle name="Normal 7 4" xfId="99" xr:uid="{00000000-0005-0000-0000-000036070000}"/>
    <cellStyle name="Normal 7 4 2" xfId="348" xr:uid="{00000000-0005-0000-0000-000037070000}"/>
    <cellStyle name="Normal 7 4 2 2" xfId="847" xr:uid="{00000000-0005-0000-0000-000038070000}"/>
    <cellStyle name="Normal 7 4 2 2 2" xfId="1849" xr:uid="{00000000-0005-0000-0000-000039070000}"/>
    <cellStyle name="Normal 7 4 2 3" xfId="1353" xr:uid="{00000000-0005-0000-0000-00003A070000}"/>
    <cellStyle name="Normal 7 4 3" xfId="599" xr:uid="{00000000-0005-0000-0000-00003B070000}"/>
    <cellStyle name="Normal 7 4 3 2" xfId="1601" xr:uid="{00000000-0005-0000-0000-00003C070000}"/>
    <cellStyle name="Normal 7 4 4" xfId="1105" xr:uid="{00000000-0005-0000-0000-00003D070000}"/>
    <cellStyle name="Normal 7 5" xfId="145" xr:uid="{00000000-0005-0000-0000-00003E070000}"/>
    <cellStyle name="Normal 7 5 2" xfId="394" xr:uid="{00000000-0005-0000-0000-00003F070000}"/>
    <cellStyle name="Normal 7 5 2 2" xfId="893" xr:uid="{00000000-0005-0000-0000-000040070000}"/>
    <cellStyle name="Normal 7 5 2 2 2" xfId="1895" xr:uid="{00000000-0005-0000-0000-000041070000}"/>
    <cellStyle name="Normal 7 5 2 3" xfId="1399" xr:uid="{00000000-0005-0000-0000-000042070000}"/>
    <cellStyle name="Normal 7 5 3" xfId="645" xr:uid="{00000000-0005-0000-0000-000043070000}"/>
    <cellStyle name="Normal 7 5 3 2" xfId="1647" xr:uid="{00000000-0005-0000-0000-000044070000}"/>
    <cellStyle name="Normal 7 5 4" xfId="1151" xr:uid="{00000000-0005-0000-0000-000045070000}"/>
    <cellStyle name="Normal 7 6" xfId="211" xr:uid="{00000000-0005-0000-0000-000046070000}"/>
    <cellStyle name="Normal 7 6 2" xfId="460" xr:uid="{00000000-0005-0000-0000-000047070000}"/>
    <cellStyle name="Normal 7 6 2 2" xfId="959" xr:uid="{00000000-0005-0000-0000-000048070000}"/>
    <cellStyle name="Normal 7 6 2 2 2" xfId="1961" xr:uid="{00000000-0005-0000-0000-000049070000}"/>
    <cellStyle name="Normal 7 6 2 3" xfId="1465" xr:uid="{00000000-0005-0000-0000-00004A070000}"/>
    <cellStyle name="Normal 7 6 3" xfId="711" xr:uid="{00000000-0005-0000-0000-00004B070000}"/>
    <cellStyle name="Normal 7 6 3 2" xfId="1713" xr:uid="{00000000-0005-0000-0000-00004C070000}"/>
    <cellStyle name="Normal 7 6 4" xfId="1217" xr:uid="{00000000-0005-0000-0000-00004D070000}"/>
    <cellStyle name="Normal 7 7" xfId="232" xr:uid="{00000000-0005-0000-0000-00004E070000}"/>
    <cellStyle name="Normal 7 7 2" xfId="481" xr:uid="{00000000-0005-0000-0000-00004F070000}"/>
    <cellStyle name="Normal 7 7 2 2" xfId="980" xr:uid="{00000000-0005-0000-0000-000050070000}"/>
    <cellStyle name="Normal 7 7 2 2 2" xfId="1982" xr:uid="{00000000-0005-0000-0000-000051070000}"/>
    <cellStyle name="Normal 7 7 2 3" xfId="1486" xr:uid="{00000000-0005-0000-0000-000052070000}"/>
    <cellStyle name="Normal 7 7 3" xfId="732" xr:uid="{00000000-0005-0000-0000-000053070000}"/>
    <cellStyle name="Normal 7 7 3 2" xfId="1734" xr:uid="{00000000-0005-0000-0000-000054070000}"/>
    <cellStyle name="Normal 7 7 4" xfId="1238" xr:uid="{00000000-0005-0000-0000-000055070000}"/>
    <cellStyle name="Normal 7 8" xfId="279" xr:uid="{00000000-0005-0000-0000-000056070000}"/>
    <cellStyle name="Normal 7 8 2" xfId="779" xr:uid="{00000000-0005-0000-0000-000057070000}"/>
    <cellStyle name="Normal 7 8 2 2" xfId="1781" xr:uid="{00000000-0005-0000-0000-000058070000}"/>
    <cellStyle name="Normal 7 8 3" xfId="1285" xr:uid="{00000000-0005-0000-0000-000059070000}"/>
    <cellStyle name="Normal 7 9" xfId="30" xr:uid="{00000000-0005-0000-0000-00005A070000}"/>
    <cellStyle name="Normal 7 9 2" xfId="1037" xr:uid="{00000000-0005-0000-0000-00005B070000}"/>
    <cellStyle name="Normal 8" xfId="31" xr:uid="{00000000-0005-0000-0000-00005C070000}"/>
    <cellStyle name="Normal 8 2" xfId="55" xr:uid="{00000000-0005-0000-0000-00005D070000}"/>
    <cellStyle name="Normal 8 2 2" xfId="124" xr:uid="{00000000-0005-0000-0000-00005E070000}"/>
    <cellStyle name="Normal 8 2 2 2" xfId="373" xr:uid="{00000000-0005-0000-0000-00005F070000}"/>
    <cellStyle name="Normal 8 2 2 2 2" xfId="872" xr:uid="{00000000-0005-0000-0000-000060070000}"/>
    <cellStyle name="Normal 8 2 2 2 2 2" xfId="1874" xr:uid="{00000000-0005-0000-0000-000061070000}"/>
    <cellStyle name="Normal 8 2 2 2 3" xfId="1378" xr:uid="{00000000-0005-0000-0000-000062070000}"/>
    <cellStyle name="Normal 8 2 2 3" xfId="624" xr:uid="{00000000-0005-0000-0000-000063070000}"/>
    <cellStyle name="Normal 8 2 2 3 2" xfId="1626" xr:uid="{00000000-0005-0000-0000-000064070000}"/>
    <cellStyle name="Normal 8 2 2 4" xfId="1130" xr:uid="{00000000-0005-0000-0000-000065070000}"/>
    <cellStyle name="Normal 8 2 3" xfId="170" xr:uid="{00000000-0005-0000-0000-000066070000}"/>
    <cellStyle name="Normal 8 2 3 2" xfId="419" xr:uid="{00000000-0005-0000-0000-000067070000}"/>
    <cellStyle name="Normal 8 2 3 2 2" xfId="918" xr:uid="{00000000-0005-0000-0000-000068070000}"/>
    <cellStyle name="Normal 8 2 3 2 2 2" xfId="1920" xr:uid="{00000000-0005-0000-0000-000069070000}"/>
    <cellStyle name="Normal 8 2 3 2 3" xfId="1424" xr:uid="{00000000-0005-0000-0000-00006A070000}"/>
    <cellStyle name="Normal 8 2 3 3" xfId="670" xr:uid="{00000000-0005-0000-0000-00006B070000}"/>
    <cellStyle name="Normal 8 2 3 3 2" xfId="1672" xr:uid="{00000000-0005-0000-0000-00006C070000}"/>
    <cellStyle name="Normal 8 2 3 4" xfId="1176" xr:uid="{00000000-0005-0000-0000-00006D070000}"/>
    <cellStyle name="Normal 8 2 4" xfId="257" xr:uid="{00000000-0005-0000-0000-00006E070000}"/>
    <cellStyle name="Normal 8 2 4 2" xfId="506" xr:uid="{00000000-0005-0000-0000-00006F070000}"/>
    <cellStyle name="Normal 8 2 4 2 2" xfId="1005" xr:uid="{00000000-0005-0000-0000-000070070000}"/>
    <cellStyle name="Normal 8 2 4 2 2 2" xfId="2007" xr:uid="{00000000-0005-0000-0000-000071070000}"/>
    <cellStyle name="Normal 8 2 4 2 3" xfId="1511" xr:uid="{00000000-0005-0000-0000-000072070000}"/>
    <cellStyle name="Normal 8 2 4 3" xfId="757" xr:uid="{00000000-0005-0000-0000-000073070000}"/>
    <cellStyle name="Normal 8 2 4 3 2" xfId="1759" xr:uid="{00000000-0005-0000-0000-000074070000}"/>
    <cellStyle name="Normal 8 2 4 4" xfId="1263" xr:uid="{00000000-0005-0000-0000-000075070000}"/>
    <cellStyle name="Normal 8 2 5" xfId="304" xr:uid="{00000000-0005-0000-0000-000076070000}"/>
    <cellStyle name="Normal 8 2 5 2" xfId="804" xr:uid="{00000000-0005-0000-0000-000077070000}"/>
    <cellStyle name="Normal 8 2 5 2 2" xfId="1806" xr:uid="{00000000-0005-0000-0000-000078070000}"/>
    <cellStyle name="Normal 8 2 5 3" xfId="1310" xr:uid="{00000000-0005-0000-0000-000079070000}"/>
    <cellStyle name="Normal 8 2 6" xfId="556" xr:uid="{00000000-0005-0000-0000-00007A070000}"/>
    <cellStyle name="Normal 8 2 6 2" xfId="1558" xr:uid="{00000000-0005-0000-0000-00007B070000}"/>
    <cellStyle name="Normal 8 2 7" xfId="1062" xr:uid="{00000000-0005-0000-0000-00007C070000}"/>
    <cellStyle name="Normal 8 3" xfId="100" xr:uid="{00000000-0005-0000-0000-00007D070000}"/>
    <cellStyle name="Normal 8 3 2" xfId="349" xr:uid="{00000000-0005-0000-0000-00007E070000}"/>
    <cellStyle name="Normal 8 3 2 2" xfId="848" xr:uid="{00000000-0005-0000-0000-00007F070000}"/>
    <cellStyle name="Normal 8 3 2 2 2" xfId="1850" xr:uid="{00000000-0005-0000-0000-000080070000}"/>
    <cellStyle name="Normal 8 3 2 3" xfId="1354" xr:uid="{00000000-0005-0000-0000-000081070000}"/>
    <cellStyle name="Normal 8 3 3" xfId="600" xr:uid="{00000000-0005-0000-0000-000082070000}"/>
    <cellStyle name="Normal 8 3 3 2" xfId="1602" xr:uid="{00000000-0005-0000-0000-000083070000}"/>
    <cellStyle name="Normal 8 3 4" xfId="1106" xr:uid="{00000000-0005-0000-0000-000084070000}"/>
    <cellStyle name="Normal 8 4" xfId="146" xr:uid="{00000000-0005-0000-0000-000085070000}"/>
    <cellStyle name="Normal 8 4 2" xfId="395" xr:uid="{00000000-0005-0000-0000-000086070000}"/>
    <cellStyle name="Normal 8 4 2 2" xfId="894" xr:uid="{00000000-0005-0000-0000-000087070000}"/>
    <cellStyle name="Normal 8 4 2 2 2" xfId="1896" xr:uid="{00000000-0005-0000-0000-000088070000}"/>
    <cellStyle name="Normal 8 4 2 3" xfId="1400" xr:uid="{00000000-0005-0000-0000-000089070000}"/>
    <cellStyle name="Normal 8 4 3" xfId="646" xr:uid="{00000000-0005-0000-0000-00008A070000}"/>
    <cellStyle name="Normal 8 4 3 2" xfId="1648" xr:uid="{00000000-0005-0000-0000-00008B070000}"/>
    <cellStyle name="Normal 8 4 4" xfId="1152" xr:uid="{00000000-0005-0000-0000-00008C070000}"/>
    <cellStyle name="Normal 8 5" xfId="233" xr:uid="{00000000-0005-0000-0000-00008D070000}"/>
    <cellStyle name="Normal 8 5 2" xfId="482" xr:uid="{00000000-0005-0000-0000-00008E070000}"/>
    <cellStyle name="Normal 8 5 2 2" xfId="981" xr:uid="{00000000-0005-0000-0000-00008F070000}"/>
    <cellStyle name="Normal 8 5 2 2 2" xfId="1983" xr:uid="{00000000-0005-0000-0000-000090070000}"/>
    <cellStyle name="Normal 8 5 2 3" xfId="1487" xr:uid="{00000000-0005-0000-0000-000091070000}"/>
    <cellStyle name="Normal 8 5 3" xfId="733" xr:uid="{00000000-0005-0000-0000-000092070000}"/>
    <cellStyle name="Normal 8 5 3 2" xfId="1735" xr:uid="{00000000-0005-0000-0000-000093070000}"/>
    <cellStyle name="Normal 8 5 4" xfId="1239" xr:uid="{00000000-0005-0000-0000-000094070000}"/>
    <cellStyle name="Normal 8 6" xfId="280" xr:uid="{00000000-0005-0000-0000-000095070000}"/>
    <cellStyle name="Normal 8 6 2" xfId="780" xr:uid="{00000000-0005-0000-0000-000096070000}"/>
    <cellStyle name="Normal 8 6 2 2" xfId="1782" xr:uid="{00000000-0005-0000-0000-000097070000}"/>
    <cellStyle name="Normal 8 6 3" xfId="1286" xr:uid="{00000000-0005-0000-0000-000098070000}"/>
    <cellStyle name="Normal 8 7" xfId="532" xr:uid="{00000000-0005-0000-0000-000099070000}"/>
    <cellStyle name="Normal 8 7 2" xfId="1534" xr:uid="{00000000-0005-0000-0000-00009A070000}"/>
    <cellStyle name="Normal 8 8" xfId="1038" xr:uid="{00000000-0005-0000-0000-00009B070000}"/>
    <cellStyle name="Normal 9" xfId="32" xr:uid="{00000000-0005-0000-0000-00009C070000}"/>
    <cellStyle name="Normal 9 2" xfId="56" xr:uid="{00000000-0005-0000-0000-00009D070000}"/>
    <cellStyle name="Normal 9 2 2" xfId="125" xr:uid="{00000000-0005-0000-0000-00009E070000}"/>
    <cellStyle name="Normal 9 2 2 2" xfId="374" xr:uid="{00000000-0005-0000-0000-00009F070000}"/>
    <cellStyle name="Normal 9 2 2 2 2" xfId="873" xr:uid="{00000000-0005-0000-0000-0000A0070000}"/>
    <cellStyle name="Normal 9 2 2 2 2 2" xfId="1875" xr:uid="{00000000-0005-0000-0000-0000A1070000}"/>
    <cellStyle name="Normal 9 2 2 2 3" xfId="1379" xr:uid="{00000000-0005-0000-0000-0000A2070000}"/>
    <cellStyle name="Normal 9 2 2 3" xfId="625" xr:uid="{00000000-0005-0000-0000-0000A3070000}"/>
    <cellStyle name="Normal 9 2 2 3 2" xfId="1627" xr:uid="{00000000-0005-0000-0000-0000A4070000}"/>
    <cellStyle name="Normal 9 2 2 4" xfId="1131" xr:uid="{00000000-0005-0000-0000-0000A5070000}"/>
    <cellStyle name="Normal 9 2 3" xfId="171" xr:uid="{00000000-0005-0000-0000-0000A6070000}"/>
    <cellStyle name="Normal 9 2 3 2" xfId="420" xr:uid="{00000000-0005-0000-0000-0000A7070000}"/>
    <cellStyle name="Normal 9 2 3 2 2" xfId="919" xr:uid="{00000000-0005-0000-0000-0000A8070000}"/>
    <cellStyle name="Normal 9 2 3 2 2 2" xfId="1921" xr:uid="{00000000-0005-0000-0000-0000A9070000}"/>
    <cellStyle name="Normal 9 2 3 2 3" xfId="1425" xr:uid="{00000000-0005-0000-0000-0000AA070000}"/>
    <cellStyle name="Normal 9 2 3 3" xfId="671" xr:uid="{00000000-0005-0000-0000-0000AB070000}"/>
    <cellStyle name="Normal 9 2 3 3 2" xfId="1673" xr:uid="{00000000-0005-0000-0000-0000AC070000}"/>
    <cellStyle name="Normal 9 2 3 4" xfId="1177" xr:uid="{00000000-0005-0000-0000-0000AD070000}"/>
    <cellStyle name="Normal 9 2 4" xfId="258" xr:uid="{00000000-0005-0000-0000-0000AE070000}"/>
    <cellStyle name="Normal 9 2 4 2" xfId="507" xr:uid="{00000000-0005-0000-0000-0000AF070000}"/>
    <cellStyle name="Normal 9 2 4 2 2" xfId="1006" xr:uid="{00000000-0005-0000-0000-0000B0070000}"/>
    <cellStyle name="Normal 9 2 4 2 2 2" xfId="2008" xr:uid="{00000000-0005-0000-0000-0000B1070000}"/>
    <cellStyle name="Normal 9 2 4 2 3" xfId="1512" xr:uid="{00000000-0005-0000-0000-0000B2070000}"/>
    <cellStyle name="Normal 9 2 4 3" xfId="758" xr:uid="{00000000-0005-0000-0000-0000B3070000}"/>
    <cellStyle name="Normal 9 2 4 3 2" xfId="1760" xr:uid="{00000000-0005-0000-0000-0000B4070000}"/>
    <cellStyle name="Normal 9 2 4 4" xfId="1264" xr:uid="{00000000-0005-0000-0000-0000B5070000}"/>
    <cellStyle name="Normal 9 2 5" xfId="305" xr:uid="{00000000-0005-0000-0000-0000B6070000}"/>
    <cellStyle name="Normal 9 2 5 2" xfId="805" xr:uid="{00000000-0005-0000-0000-0000B7070000}"/>
    <cellStyle name="Normal 9 2 5 2 2" xfId="1807" xr:uid="{00000000-0005-0000-0000-0000B8070000}"/>
    <cellStyle name="Normal 9 2 5 3" xfId="1311" xr:uid="{00000000-0005-0000-0000-0000B9070000}"/>
    <cellStyle name="Normal 9 2 6" xfId="557" xr:uid="{00000000-0005-0000-0000-0000BA070000}"/>
    <cellStyle name="Normal 9 2 6 2" xfId="1559" xr:uid="{00000000-0005-0000-0000-0000BB070000}"/>
    <cellStyle name="Normal 9 2 7" xfId="1063" xr:uid="{00000000-0005-0000-0000-0000BC070000}"/>
    <cellStyle name="Normal 9 3" xfId="101" xr:uid="{00000000-0005-0000-0000-0000BD070000}"/>
    <cellStyle name="Normal 9 3 2" xfId="350" xr:uid="{00000000-0005-0000-0000-0000BE070000}"/>
    <cellStyle name="Normal 9 3 2 2" xfId="849" xr:uid="{00000000-0005-0000-0000-0000BF070000}"/>
    <cellStyle name="Normal 9 3 2 2 2" xfId="1851" xr:uid="{00000000-0005-0000-0000-0000C0070000}"/>
    <cellStyle name="Normal 9 3 2 3" xfId="1355" xr:uid="{00000000-0005-0000-0000-0000C1070000}"/>
    <cellStyle name="Normal 9 3 3" xfId="601" xr:uid="{00000000-0005-0000-0000-0000C2070000}"/>
    <cellStyle name="Normal 9 3 3 2" xfId="1603" xr:uid="{00000000-0005-0000-0000-0000C3070000}"/>
    <cellStyle name="Normal 9 3 4" xfId="1107" xr:uid="{00000000-0005-0000-0000-0000C4070000}"/>
    <cellStyle name="Normal 9 4" xfId="147" xr:uid="{00000000-0005-0000-0000-0000C5070000}"/>
    <cellStyle name="Normal 9 4 2" xfId="396" xr:uid="{00000000-0005-0000-0000-0000C6070000}"/>
    <cellStyle name="Normal 9 4 2 2" xfId="895" xr:uid="{00000000-0005-0000-0000-0000C7070000}"/>
    <cellStyle name="Normal 9 4 2 2 2" xfId="1897" xr:uid="{00000000-0005-0000-0000-0000C8070000}"/>
    <cellStyle name="Normal 9 4 2 3" xfId="1401" xr:uid="{00000000-0005-0000-0000-0000C9070000}"/>
    <cellStyle name="Normal 9 4 3" xfId="647" xr:uid="{00000000-0005-0000-0000-0000CA070000}"/>
    <cellStyle name="Normal 9 4 3 2" xfId="1649" xr:uid="{00000000-0005-0000-0000-0000CB070000}"/>
    <cellStyle name="Normal 9 4 4" xfId="1153" xr:uid="{00000000-0005-0000-0000-0000CC070000}"/>
    <cellStyle name="Normal 9 5" xfId="234" xr:uid="{00000000-0005-0000-0000-0000CD070000}"/>
    <cellStyle name="Normal 9 5 2" xfId="483" xr:uid="{00000000-0005-0000-0000-0000CE070000}"/>
    <cellStyle name="Normal 9 5 2 2" xfId="982" xr:uid="{00000000-0005-0000-0000-0000CF070000}"/>
    <cellStyle name="Normal 9 5 2 2 2" xfId="1984" xr:uid="{00000000-0005-0000-0000-0000D0070000}"/>
    <cellStyle name="Normal 9 5 2 3" xfId="1488" xr:uid="{00000000-0005-0000-0000-0000D1070000}"/>
    <cellStyle name="Normal 9 5 3" xfId="734" xr:uid="{00000000-0005-0000-0000-0000D2070000}"/>
    <cellStyle name="Normal 9 5 3 2" xfId="1736" xr:uid="{00000000-0005-0000-0000-0000D3070000}"/>
    <cellStyle name="Normal 9 5 4" xfId="1240" xr:uid="{00000000-0005-0000-0000-0000D4070000}"/>
    <cellStyle name="Normal 9 6" xfId="281" xr:uid="{00000000-0005-0000-0000-0000D5070000}"/>
    <cellStyle name="Normal 9 6 2" xfId="781" xr:uid="{00000000-0005-0000-0000-0000D6070000}"/>
    <cellStyle name="Normal 9 6 2 2" xfId="1783" xr:uid="{00000000-0005-0000-0000-0000D7070000}"/>
    <cellStyle name="Normal 9 6 3" xfId="1287" xr:uid="{00000000-0005-0000-0000-0000D8070000}"/>
    <cellStyle name="Normal 9 7" xfId="533" xr:uid="{00000000-0005-0000-0000-0000D9070000}"/>
    <cellStyle name="Normal 9 7 2" xfId="1535" xr:uid="{00000000-0005-0000-0000-0000DA070000}"/>
    <cellStyle name="Normal 9 8" xfId="1039" xr:uid="{00000000-0005-0000-0000-0000DB070000}"/>
  </cellStyles>
  <dxfs count="13">
    <dxf>
      <font>
        <condense val="0"/>
        <extend val="0"/>
        <color indexed="9"/>
      </font>
      <fill>
        <patternFill>
          <bgColor indexed="57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7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7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7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57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95250</xdr:rowOff>
    </xdr:from>
    <xdr:to>
      <xdr:col>6</xdr:col>
      <xdr:colOff>114300</xdr:colOff>
      <xdr:row>8</xdr:row>
      <xdr:rowOff>95250</xdr:rowOff>
    </xdr:to>
    <xdr:sp macro="[0]!Actualizar_Informe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38525" y="904875"/>
          <a:ext cx="1619250" cy="48577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ACTUALIZAR INFORME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2200275</xdr:colOff>
      <xdr:row>6</xdr:row>
      <xdr:rowOff>9525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1925"/>
          <a:ext cx="2200275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23</xdr:col>
      <xdr:colOff>108856</xdr:colOff>
      <xdr:row>27</xdr:row>
      <xdr:rowOff>244927</xdr:rowOff>
    </xdr:from>
    <xdr:ext cx="8177894" cy="1796143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2FE96DFA-A280-4599-885C-560DF3E6679C}"/>
            </a:ext>
          </a:extLst>
        </xdr:cNvPr>
        <xdr:cNvSpPr txBox="1"/>
      </xdr:nvSpPr>
      <xdr:spPr>
        <a:xfrm>
          <a:off x="16682356" y="4871356"/>
          <a:ext cx="8177894" cy="17961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/>
            <a:t>En teoría estos</a:t>
          </a:r>
          <a:r>
            <a:rPr lang="en-US" sz="2000" baseline="0"/>
            <a:t> son los rescates que me van a </a:t>
          </a:r>
        </a:p>
        <a:p>
          <a:r>
            <a:rPr lang="en-US" sz="2000" baseline="0"/>
            <a:t>caer mañana, hasta la hora que se manda el mail. Hay </a:t>
          </a:r>
        </a:p>
        <a:p>
          <a:r>
            <a:rPr lang="en-US" sz="2000" baseline="0"/>
            <a:t>que estar pendiente igual porque pueden caer flujos gigantes para mañana,</a:t>
          </a:r>
        </a:p>
        <a:p>
          <a:r>
            <a:rPr lang="en-US" sz="2000" baseline="0"/>
            <a:t>y para eso habría que empezar a vender hoydía.</a:t>
          </a:r>
          <a:endParaRPr lang="en-US" sz="2000"/>
        </a:p>
      </xdr:txBody>
    </xdr:sp>
    <xdr:clientData/>
  </xdr:oneCellAnchor>
  <xdr:oneCellAnchor>
    <xdr:from>
      <xdr:col>23</xdr:col>
      <xdr:colOff>54429</xdr:colOff>
      <xdr:row>18</xdr:row>
      <xdr:rowOff>163286</xdr:rowOff>
    </xdr:from>
    <xdr:ext cx="5635966" cy="95250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0E6E1BD-7B2F-464D-97AB-0FA6B15A6C4F}"/>
            </a:ext>
          </a:extLst>
        </xdr:cNvPr>
        <xdr:cNvSpPr txBox="1"/>
      </xdr:nvSpPr>
      <xdr:spPr>
        <a:xfrm>
          <a:off x="16627929" y="3102429"/>
          <a:ext cx="5635966" cy="952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/>
            <a:t>Estos son los aportes que</a:t>
          </a:r>
          <a:r>
            <a:rPr lang="en-US" sz="2000" baseline="0"/>
            <a:t> se pegan en la planilla</a:t>
          </a:r>
          <a:endParaRPr lang="en-US" sz="2000"/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7786-FB44-462E-BCEA-FB7120A7CE66}">
  <dimension ref="A1:C11"/>
  <sheetViews>
    <sheetView workbookViewId="0">
      <selection activeCell="I12" sqref="I12"/>
    </sheetView>
  </sheetViews>
  <sheetFormatPr baseColWidth="10" defaultRowHeight="18" customHeight="1" x14ac:dyDescent="0.2"/>
  <cols>
    <col min="1" max="1" width="28" style="126" customWidth="1"/>
    <col min="2" max="2" width="13.140625" style="126" customWidth="1"/>
    <col min="3" max="3" width="14.85546875" style="126" bestFit="1" customWidth="1"/>
    <col min="4" max="16384" width="11.42578125" style="126"/>
  </cols>
  <sheetData>
    <row r="1" spans="1:3" ht="15" x14ac:dyDescent="0.2">
      <c r="A1" s="124" t="s">
        <v>117</v>
      </c>
      <c r="B1" s="125" t="s">
        <v>118</v>
      </c>
      <c r="C1" s="125" t="s">
        <v>119</v>
      </c>
    </row>
    <row r="2" spans="1:3" ht="18" customHeight="1" x14ac:dyDescent="0.2">
      <c r="A2" s="127" t="s">
        <v>3</v>
      </c>
      <c r="B2" s="128">
        <f>RESUMEN!C20</f>
        <v>823973160</v>
      </c>
      <c r="C2" s="128">
        <f>RESUMEN!C30</f>
        <v>497156735</v>
      </c>
    </row>
    <row r="3" spans="1:3" ht="18" customHeight="1" x14ac:dyDescent="0.2">
      <c r="A3" s="127" t="s">
        <v>4</v>
      </c>
      <c r="B3" s="128">
        <f>RESUMEN!E20</f>
        <v>8250251</v>
      </c>
      <c r="C3" s="128">
        <f>RESUMEN!E30</f>
        <v>857964432</v>
      </c>
    </row>
    <row r="4" spans="1:3" ht="18" customHeight="1" x14ac:dyDescent="0.2">
      <c r="A4" s="129" t="s">
        <v>29</v>
      </c>
      <c r="B4" s="130">
        <f>RESUMEN!G20</f>
        <v>92788025</v>
      </c>
      <c r="C4" s="130">
        <f>RESUMEN!G30</f>
        <v>18044799</v>
      </c>
    </row>
    <row r="5" spans="1:3" ht="18" customHeight="1" x14ac:dyDescent="0.2">
      <c r="A5" s="127" t="s">
        <v>31</v>
      </c>
      <c r="B5" s="128">
        <f>RESUMEN!I20</f>
        <v>3658874</v>
      </c>
      <c r="C5" s="128">
        <f>RESUMEN!I30</f>
        <v>272823</v>
      </c>
    </row>
    <row r="6" spans="1:3" ht="18" customHeight="1" x14ac:dyDescent="0.2">
      <c r="A6" s="127" t="s">
        <v>30</v>
      </c>
      <c r="B6" s="128">
        <f>RESUMEN!K20</f>
        <v>31176701</v>
      </c>
      <c r="C6" s="128"/>
    </row>
    <row r="7" spans="1:3" ht="18" customHeight="1" x14ac:dyDescent="0.2">
      <c r="A7" s="129" t="s">
        <v>5</v>
      </c>
      <c r="B7" s="130">
        <f>RESUMEN!M20</f>
        <v>52590000</v>
      </c>
      <c r="C7" s="130"/>
    </row>
    <row r="8" spans="1:3" ht="18" customHeight="1" x14ac:dyDescent="0.2">
      <c r="A8" s="127" t="s">
        <v>25</v>
      </c>
      <c r="B8" s="128">
        <f>RESUMEN!O20</f>
        <v>25.56</v>
      </c>
      <c r="C8" s="131">
        <f>RESUMEN!O30</f>
        <v>0</v>
      </c>
    </row>
    <row r="9" spans="1:3" ht="18" customHeight="1" x14ac:dyDescent="0.2">
      <c r="A9" s="129" t="s">
        <v>32</v>
      </c>
      <c r="B9" s="130">
        <f>RESUMEN!Q20</f>
        <v>0</v>
      </c>
      <c r="C9" s="132"/>
    </row>
    <row r="10" spans="1:3" ht="18" customHeight="1" x14ac:dyDescent="0.2">
      <c r="A10" s="129" t="s">
        <v>26</v>
      </c>
      <c r="B10" s="130">
        <f>RESUMEN!S20</f>
        <v>25612117</v>
      </c>
      <c r="C10" s="130"/>
    </row>
    <row r="11" spans="1:3" ht="18" customHeight="1" x14ac:dyDescent="0.2">
      <c r="A11" s="129" t="s">
        <v>6</v>
      </c>
      <c r="B11" s="130">
        <f>RESUMEN!U20</f>
        <v>6951860</v>
      </c>
      <c r="C11" s="13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/>
  <dimension ref="B2:F62"/>
  <sheetViews>
    <sheetView zoomScaleNormal="100" workbookViewId="0">
      <selection activeCell="B2" sqref="B2"/>
    </sheetView>
  </sheetViews>
  <sheetFormatPr baseColWidth="10" defaultColWidth="11.28515625" defaultRowHeight="12.75" x14ac:dyDescent="0.2"/>
  <cols>
    <col min="1" max="1" width="11.28515625" style="57"/>
    <col min="2" max="2" width="16.28515625" style="59" bestFit="1" customWidth="1"/>
    <col min="3" max="3" width="12.7109375" style="59" bestFit="1" customWidth="1"/>
    <col min="4" max="4" width="11.28515625" style="57"/>
    <col min="5" max="5" width="31.28515625" style="57" bestFit="1" customWidth="1"/>
    <col min="6" max="16384" width="11.28515625" style="57"/>
  </cols>
  <sheetData>
    <row r="2" spans="2:6" x14ac:dyDescent="0.2">
      <c r="B2" s="56" t="s">
        <v>116</v>
      </c>
      <c r="C2" s="56" t="s">
        <v>115</v>
      </c>
    </row>
    <row r="3" spans="2:6" x14ac:dyDescent="0.2">
      <c r="B3" s="58" t="s">
        <v>3</v>
      </c>
      <c r="C3" s="58" t="s">
        <v>85</v>
      </c>
    </row>
    <row r="4" spans="2:6" x14ac:dyDescent="0.2">
      <c r="B4" s="58" t="s">
        <v>3</v>
      </c>
      <c r="C4" s="58" t="s">
        <v>52</v>
      </c>
    </row>
    <row r="5" spans="2:6" x14ac:dyDescent="0.2">
      <c r="B5" s="58" t="s">
        <v>3</v>
      </c>
      <c r="C5" s="58" t="s">
        <v>54</v>
      </c>
    </row>
    <row r="6" spans="2:6" x14ac:dyDescent="0.2">
      <c r="B6" s="58" t="s">
        <v>3</v>
      </c>
      <c r="C6" s="58" t="s">
        <v>96</v>
      </c>
    </row>
    <row r="7" spans="2:6" x14ac:dyDescent="0.2">
      <c r="B7" s="58" t="s">
        <v>3</v>
      </c>
      <c r="C7" s="58" t="s">
        <v>58</v>
      </c>
    </row>
    <row r="8" spans="2:6" x14ac:dyDescent="0.2">
      <c r="B8" s="58" t="s">
        <v>86</v>
      </c>
      <c r="C8" s="58" t="s">
        <v>59</v>
      </c>
    </row>
    <row r="9" spans="2:6" x14ac:dyDescent="0.2">
      <c r="B9" s="58" t="s">
        <v>86</v>
      </c>
      <c r="C9" s="58" t="s">
        <v>51</v>
      </c>
    </row>
    <row r="10" spans="2:6" x14ac:dyDescent="0.2">
      <c r="B10" s="58" t="s">
        <v>86</v>
      </c>
      <c r="C10" s="58" t="s">
        <v>97</v>
      </c>
    </row>
    <row r="11" spans="2:6" x14ac:dyDescent="0.2">
      <c r="B11" s="58" t="s">
        <v>86</v>
      </c>
      <c r="C11" s="58" t="s">
        <v>78</v>
      </c>
      <c r="E11" s="135"/>
      <c r="F11" s="135"/>
    </row>
    <row r="12" spans="2:6" x14ac:dyDescent="0.2">
      <c r="B12" s="58" t="s">
        <v>86</v>
      </c>
      <c r="C12" s="58" t="s">
        <v>98</v>
      </c>
    </row>
    <row r="13" spans="2:6" x14ac:dyDescent="0.2">
      <c r="B13" s="58" t="s">
        <v>29</v>
      </c>
      <c r="C13" s="58" t="s">
        <v>99</v>
      </c>
    </row>
    <row r="14" spans="2:6" x14ac:dyDescent="0.2">
      <c r="B14" s="58" t="s">
        <v>29</v>
      </c>
      <c r="C14" s="58" t="s">
        <v>57</v>
      </c>
    </row>
    <row r="15" spans="2:6" x14ac:dyDescent="0.2">
      <c r="B15" s="58" t="s">
        <v>29</v>
      </c>
      <c r="C15" s="58" t="s">
        <v>48</v>
      </c>
    </row>
    <row r="16" spans="2:6" x14ac:dyDescent="0.2">
      <c r="B16" s="58" t="s">
        <v>29</v>
      </c>
      <c r="C16" s="58" t="s">
        <v>62</v>
      </c>
    </row>
    <row r="17" spans="2:3" x14ac:dyDescent="0.2">
      <c r="B17" s="58" t="s">
        <v>29</v>
      </c>
      <c r="C17" s="58" t="s">
        <v>49</v>
      </c>
    </row>
    <row r="18" spans="2:3" x14ac:dyDescent="0.2">
      <c r="B18" s="58" t="s">
        <v>29</v>
      </c>
      <c r="C18" s="58" t="s">
        <v>63</v>
      </c>
    </row>
    <row r="19" spans="2:3" x14ac:dyDescent="0.2">
      <c r="B19" s="58" t="s">
        <v>29</v>
      </c>
      <c r="C19" s="58" t="s">
        <v>100</v>
      </c>
    </row>
    <row r="20" spans="2:3" x14ac:dyDescent="0.2">
      <c r="B20" s="58" t="s">
        <v>88</v>
      </c>
      <c r="C20" s="58" t="s">
        <v>101</v>
      </c>
    </row>
    <row r="21" spans="2:3" x14ac:dyDescent="0.2">
      <c r="B21" s="58" t="s">
        <v>88</v>
      </c>
      <c r="C21" s="58" t="s">
        <v>53</v>
      </c>
    </row>
    <row r="22" spans="2:3" x14ac:dyDescent="0.2">
      <c r="B22" s="58" t="s">
        <v>88</v>
      </c>
      <c r="C22" s="58" t="s">
        <v>73</v>
      </c>
    </row>
    <row r="23" spans="2:3" x14ac:dyDescent="0.2">
      <c r="B23" s="58" t="s">
        <v>88</v>
      </c>
      <c r="C23" s="58" t="s">
        <v>74</v>
      </c>
    </row>
    <row r="24" spans="2:3" x14ac:dyDescent="0.2">
      <c r="B24" s="58" t="s">
        <v>88</v>
      </c>
      <c r="C24" s="58" t="s">
        <v>75</v>
      </c>
    </row>
    <row r="25" spans="2:3" x14ac:dyDescent="0.2">
      <c r="B25" s="58" t="s">
        <v>88</v>
      </c>
      <c r="C25" s="58" t="s">
        <v>76</v>
      </c>
    </row>
    <row r="26" spans="2:3" x14ac:dyDescent="0.2">
      <c r="B26" s="58" t="s">
        <v>88</v>
      </c>
      <c r="C26" s="58" t="s">
        <v>102</v>
      </c>
    </row>
    <row r="27" spans="2:3" x14ac:dyDescent="0.2">
      <c r="B27" s="58" t="s">
        <v>87</v>
      </c>
      <c r="C27" s="58" t="s">
        <v>87</v>
      </c>
    </row>
    <row r="28" spans="2:3" x14ac:dyDescent="0.2">
      <c r="B28" s="58" t="s">
        <v>87</v>
      </c>
      <c r="C28" s="58" t="s">
        <v>64</v>
      </c>
    </row>
    <row r="29" spans="2:3" x14ac:dyDescent="0.2">
      <c r="B29" s="58" t="s">
        <v>87</v>
      </c>
      <c r="C29" s="58" t="s">
        <v>103</v>
      </c>
    </row>
    <row r="30" spans="2:3" x14ac:dyDescent="0.2">
      <c r="B30" s="58" t="s">
        <v>87</v>
      </c>
      <c r="C30" s="58" t="s">
        <v>65</v>
      </c>
    </row>
    <row r="31" spans="2:3" x14ac:dyDescent="0.2">
      <c r="B31" s="58" t="s">
        <v>87</v>
      </c>
      <c r="C31" s="58" t="s">
        <v>71</v>
      </c>
    </row>
    <row r="32" spans="2:3" x14ac:dyDescent="0.2">
      <c r="B32" s="58" t="s">
        <v>87</v>
      </c>
      <c r="C32" s="58" t="s">
        <v>72</v>
      </c>
    </row>
    <row r="33" spans="2:3" x14ac:dyDescent="0.2">
      <c r="B33" s="58" t="s">
        <v>87</v>
      </c>
      <c r="C33" s="58" t="s">
        <v>104</v>
      </c>
    </row>
    <row r="34" spans="2:3" x14ac:dyDescent="0.2">
      <c r="B34" s="58" t="s">
        <v>87</v>
      </c>
      <c r="C34" s="58" t="s">
        <v>50</v>
      </c>
    </row>
    <row r="35" spans="2:3" x14ac:dyDescent="0.2">
      <c r="B35" s="58" t="s">
        <v>89</v>
      </c>
      <c r="C35" s="58" t="s">
        <v>105</v>
      </c>
    </row>
    <row r="36" spans="2:3" x14ac:dyDescent="0.2">
      <c r="B36" s="58" t="s">
        <v>89</v>
      </c>
      <c r="C36" s="58" t="s">
        <v>55</v>
      </c>
    </row>
    <row r="37" spans="2:3" x14ac:dyDescent="0.2">
      <c r="B37" s="58" t="s">
        <v>89</v>
      </c>
      <c r="C37" s="58" t="s">
        <v>106</v>
      </c>
    </row>
    <row r="38" spans="2:3" x14ac:dyDescent="0.2">
      <c r="B38" s="58" t="s">
        <v>89</v>
      </c>
      <c r="C38" s="58" t="s">
        <v>107</v>
      </c>
    </row>
    <row r="39" spans="2:3" x14ac:dyDescent="0.2">
      <c r="B39" s="58" t="s">
        <v>89</v>
      </c>
      <c r="C39" s="58" t="s">
        <v>108</v>
      </c>
    </row>
    <row r="40" spans="2:3" x14ac:dyDescent="0.2">
      <c r="B40" s="58" t="s">
        <v>89</v>
      </c>
      <c r="C40" s="58" t="s">
        <v>68</v>
      </c>
    </row>
    <row r="41" spans="2:3" x14ac:dyDescent="0.2">
      <c r="B41" s="58" t="s">
        <v>90</v>
      </c>
      <c r="C41" s="58" t="s">
        <v>47</v>
      </c>
    </row>
    <row r="42" spans="2:3" x14ac:dyDescent="0.2">
      <c r="B42" s="58" t="s">
        <v>90</v>
      </c>
      <c r="C42" s="58" t="s">
        <v>60</v>
      </c>
    </row>
    <row r="43" spans="2:3" x14ac:dyDescent="0.2">
      <c r="B43" s="58" t="s">
        <v>90</v>
      </c>
      <c r="C43" s="58" t="s">
        <v>61</v>
      </c>
    </row>
    <row r="44" spans="2:3" x14ac:dyDescent="0.2">
      <c r="B44" s="58" t="s">
        <v>32</v>
      </c>
      <c r="C44" s="58" t="s">
        <v>109</v>
      </c>
    </row>
    <row r="45" spans="2:3" x14ac:dyDescent="0.2">
      <c r="B45" s="58" t="s">
        <v>32</v>
      </c>
      <c r="C45" s="58" t="s">
        <v>46</v>
      </c>
    </row>
    <row r="46" spans="2:3" x14ac:dyDescent="0.2">
      <c r="B46" s="58" t="s">
        <v>32</v>
      </c>
      <c r="C46" s="58" t="s">
        <v>69</v>
      </c>
    </row>
    <row r="47" spans="2:3" x14ac:dyDescent="0.2">
      <c r="B47" s="58" t="s">
        <v>32</v>
      </c>
      <c r="C47" s="58" t="s">
        <v>110</v>
      </c>
    </row>
    <row r="48" spans="2:3" x14ac:dyDescent="0.2">
      <c r="B48" s="58" t="s">
        <v>32</v>
      </c>
      <c r="C48" s="58" t="s">
        <v>70</v>
      </c>
    </row>
    <row r="49" spans="2:3" x14ac:dyDescent="0.2">
      <c r="B49" s="58" t="s">
        <v>26</v>
      </c>
      <c r="C49" s="58" t="s">
        <v>79</v>
      </c>
    </row>
    <row r="50" spans="2:3" x14ac:dyDescent="0.2">
      <c r="B50" s="58" t="s">
        <v>26</v>
      </c>
      <c r="C50" s="58" t="s">
        <v>80</v>
      </c>
    </row>
    <row r="51" spans="2:3" x14ac:dyDescent="0.2">
      <c r="B51" s="58" t="s">
        <v>26</v>
      </c>
      <c r="C51" s="58" t="s">
        <v>81</v>
      </c>
    </row>
    <row r="52" spans="2:3" x14ac:dyDescent="0.2">
      <c r="B52" s="58" t="s">
        <v>26</v>
      </c>
      <c r="C52" s="58" t="s">
        <v>82</v>
      </c>
    </row>
    <row r="53" spans="2:3" x14ac:dyDescent="0.2">
      <c r="B53" s="58" t="s">
        <v>26</v>
      </c>
      <c r="C53" s="58" t="s">
        <v>77</v>
      </c>
    </row>
    <row r="54" spans="2:3" x14ac:dyDescent="0.2">
      <c r="B54" s="58" t="s">
        <v>26</v>
      </c>
      <c r="C54" s="58" t="s">
        <v>83</v>
      </c>
    </row>
    <row r="55" spans="2:3" x14ac:dyDescent="0.2">
      <c r="B55" s="58" t="s">
        <v>26</v>
      </c>
      <c r="C55" s="58" t="s">
        <v>111</v>
      </c>
    </row>
    <row r="56" spans="2:3" x14ac:dyDescent="0.2">
      <c r="B56" s="58" t="s">
        <v>26</v>
      </c>
      <c r="C56" s="58" t="s">
        <v>84</v>
      </c>
    </row>
    <row r="57" spans="2:3" x14ac:dyDescent="0.2">
      <c r="B57" s="58" t="s">
        <v>91</v>
      </c>
      <c r="C57" s="58" t="s">
        <v>112</v>
      </c>
    </row>
    <row r="58" spans="2:3" x14ac:dyDescent="0.2">
      <c r="B58" s="58" t="s">
        <v>91</v>
      </c>
      <c r="C58" s="58" t="s">
        <v>56</v>
      </c>
    </row>
    <row r="59" spans="2:3" x14ac:dyDescent="0.2">
      <c r="B59" s="58" t="s">
        <v>91</v>
      </c>
      <c r="C59" s="58" t="s">
        <v>113</v>
      </c>
    </row>
    <row r="60" spans="2:3" x14ac:dyDescent="0.2">
      <c r="B60" s="58" t="s">
        <v>91</v>
      </c>
      <c r="C60" s="58" t="s">
        <v>66</v>
      </c>
    </row>
    <row r="61" spans="2:3" x14ac:dyDescent="0.2">
      <c r="B61" s="58" t="s">
        <v>91</v>
      </c>
      <c r="C61" s="58" t="s">
        <v>114</v>
      </c>
    </row>
    <row r="62" spans="2:3" x14ac:dyDescent="0.2">
      <c r="B62" s="58" t="s">
        <v>91</v>
      </c>
      <c r="C62" s="58" t="s">
        <v>67</v>
      </c>
    </row>
  </sheetData>
  <autoFilter ref="B2:C62" xr:uid="{00000000-0009-0000-0000-000000000000}"/>
  <mergeCells count="1">
    <mergeCell ref="E11:F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  <pageSetUpPr fitToPage="1"/>
  </sheetPr>
  <dimension ref="A1:DN707"/>
  <sheetViews>
    <sheetView tabSelected="1" zoomScale="70" zoomScaleNormal="70" workbookViewId="0">
      <pane xSplit="1" ySplit="13" topLeftCell="B14" activePane="bottomRight" state="frozen"/>
      <selection activeCell="J23" sqref="J23"/>
      <selection pane="topRight" activeCell="J23" sqref="J23"/>
      <selection pane="bottomLeft" activeCell="J23" sqref="J23"/>
      <selection pane="bottomRight" activeCell="AD40" sqref="AD40"/>
    </sheetView>
  </sheetViews>
  <sheetFormatPr baseColWidth="10" defaultRowHeight="5.65" customHeight="1" x14ac:dyDescent="0.2"/>
  <cols>
    <col min="1" max="1" width="41.140625" style="63" customWidth="1"/>
    <col min="2" max="2" width="0.85546875" style="62" customWidth="1"/>
    <col min="3" max="3" width="22.7109375" style="63" customWidth="1"/>
    <col min="4" max="4" width="0.85546875" style="61" customWidth="1"/>
    <col min="5" max="5" width="18.140625" style="63" customWidth="1"/>
    <col min="6" max="6" width="0.85546875" style="61" customWidth="1"/>
    <col min="7" max="7" width="19.28515625" style="63" customWidth="1"/>
    <col min="8" max="8" width="0.7109375" style="63" customWidth="1"/>
    <col min="9" max="9" width="16" style="63" customWidth="1"/>
    <col min="10" max="10" width="0.5703125" style="61" customWidth="1"/>
    <col min="11" max="11" width="17.7109375" style="63" customWidth="1"/>
    <col min="12" max="12" width="0.85546875" style="61" customWidth="1"/>
    <col min="13" max="13" width="15.42578125" style="63" customWidth="1"/>
    <col min="14" max="14" width="0.85546875" style="61" customWidth="1"/>
    <col min="15" max="15" width="16.28515625" style="63" customWidth="1"/>
    <col min="16" max="16" width="0.5703125" style="62" customWidth="1"/>
    <col min="17" max="17" width="14.140625" style="63" customWidth="1"/>
    <col min="18" max="18" width="0.85546875" style="63" customWidth="1"/>
    <col min="19" max="19" width="17.42578125" style="63" customWidth="1"/>
    <col min="20" max="20" width="0.85546875" style="61" customWidth="1"/>
    <col min="21" max="21" width="15.7109375" style="63" customWidth="1"/>
    <col min="22" max="22" width="1.7109375" style="62" customWidth="1"/>
    <col min="23" max="23" width="25.140625" style="63" customWidth="1"/>
    <col min="24" max="24" width="30.42578125" style="62" bestFit="1" customWidth="1"/>
    <col min="25" max="25" width="16.28515625" style="62" bestFit="1" customWidth="1"/>
    <col min="26" max="29" width="11.42578125" style="62"/>
    <col min="30" max="117" width="11.42578125" style="61"/>
    <col min="118" max="16384" width="11.42578125" style="63"/>
  </cols>
  <sheetData>
    <row r="1" spans="1:118" ht="12.75" x14ac:dyDescent="0.2">
      <c r="A1" s="61"/>
      <c r="C1" s="61"/>
      <c r="E1" s="61"/>
      <c r="G1" s="61"/>
      <c r="H1" s="61"/>
      <c r="I1" s="61"/>
      <c r="K1" s="61"/>
      <c r="M1" s="61"/>
      <c r="O1" s="61"/>
      <c r="Q1" s="61"/>
      <c r="R1" s="61"/>
      <c r="S1" s="61"/>
      <c r="U1" s="61"/>
      <c r="W1" s="61"/>
    </row>
    <row r="2" spans="1:118" ht="12.75" x14ac:dyDescent="0.2">
      <c r="A2" s="61"/>
      <c r="E2" s="61"/>
      <c r="G2" s="61"/>
      <c r="H2" s="61"/>
      <c r="I2" s="61"/>
      <c r="K2" s="61"/>
      <c r="M2" s="61"/>
      <c r="O2" s="61"/>
      <c r="Q2" s="61"/>
      <c r="R2" s="61"/>
      <c r="S2" s="61"/>
      <c r="U2" s="61"/>
      <c r="W2" s="61"/>
    </row>
    <row r="3" spans="1:118" ht="12.75" x14ac:dyDescent="0.2">
      <c r="A3" s="61"/>
      <c r="C3" s="61"/>
      <c r="E3" s="61"/>
      <c r="G3" s="61"/>
      <c r="H3" s="61"/>
      <c r="I3" s="61"/>
      <c r="K3" s="61"/>
      <c r="M3" s="61"/>
      <c r="O3" s="61"/>
      <c r="Q3" s="61"/>
      <c r="R3" s="61"/>
      <c r="S3" s="61"/>
      <c r="U3" s="61"/>
      <c r="W3" s="61"/>
    </row>
    <row r="4" spans="1:118" ht="12.75" x14ac:dyDescent="0.2">
      <c r="A4" s="61"/>
      <c r="C4" s="61"/>
      <c r="E4" s="61" t="s">
        <v>17</v>
      </c>
      <c r="G4" s="61" t="s">
        <v>17</v>
      </c>
      <c r="H4" s="61"/>
      <c r="I4" s="61" t="s">
        <v>17</v>
      </c>
      <c r="K4" s="61" t="s">
        <v>17</v>
      </c>
      <c r="M4" s="61"/>
      <c r="O4" s="61"/>
      <c r="Q4" s="61"/>
      <c r="R4" s="61"/>
      <c r="S4" s="61"/>
      <c r="U4" s="61"/>
      <c r="W4" s="61"/>
    </row>
    <row r="5" spans="1:118" ht="12.75" x14ac:dyDescent="0.2">
      <c r="A5" s="61"/>
      <c r="C5" s="61"/>
      <c r="E5" s="61"/>
      <c r="G5" s="61"/>
      <c r="H5" s="61"/>
      <c r="I5" s="61"/>
      <c r="K5" s="61"/>
      <c r="M5" s="61"/>
      <c r="O5" s="61"/>
      <c r="Q5" s="61"/>
      <c r="R5" s="61"/>
      <c r="S5" s="61"/>
      <c r="U5" s="61"/>
      <c r="W5" s="61"/>
    </row>
    <row r="6" spans="1:118" ht="12.75" x14ac:dyDescent="0.2">
      <c r="A6" s="61"/>
      <c r="C6" s="61"/>
      <c r="E6" s="61"/>
      <c r="G6" s="61"/>
      <c r="H6" s="61"/>
      <c r="I6" s="61"/>
      <c r="K6" s="61"/>
      <c r="M6" s="61"/>
      <c r="O6" s="61"/>
      <c r="Q6" s="61"/>
      <c r="R6" s="61"/>
      <c r="S6" s="61"/>
      <c r="U6" s="61"/>
      <c r="W6" s="61"/>
    </row>
    <row r="7" spans="1:118" s="62" customFormat="1" ht="13.5" thickBot="1" x14ac:dyDescent="0.25">
      <c r="A7" s="64"/>
      <c r="C7" s="65" t="s">
        <v>33</v>
      </c>
      <c r="E7" s="65" t="s">
        <v>34</v>
      </c>
      <c r="G7" s="65" t="s">
        <v>35</v>
      </c>
      <c r="I7" s="65" t="s">
        <v>36</v>
      </c>
      <c r="J7" s="61"/>
      <c r="K7" s="65" t="s">
        <v>37</v>
      </c>
      <c r="M7" s="65" t="s">
        <v>38</v>
      </c>
      <c r="O7" s="65" t="s">
        <v>39</v>
      </c>
      <c r="S7" s="65" t="s">
        <v>40</v>
      </c>
      <c r="U7" s="65" t="s">
        <v>41</v>
      </c>
      <c r="W7" s="61"/>
    </row>
    <row r="8" spans="1:118" ht="8.25" customHeight="1" x14ac:dyDescent="0.2">
      <c r="A8" s="61"/>
      <c r="C8" s="61"/>
      <c r="E8" s="61"/>
      <c r="G8" s="61"/>
      <c r="H8" s="61"/>
      <c r="I8" s="61"/>
      <c r="K8" s="61"/>
      <c r="M8" s="61"/>
      <c r="O8" s="61"/>
      <c r="Q8" s="61"/>
      <c r="R8" s="61"/>
      <c r="S8" s="61"/>
      <c r="U8" s="61"/>
      <c r="W8" s="61"/>
    </row>
    <row r="9" spans="1:118" ht="12.75" customHeight="1" x14ac:dyDescent="0.2">
      <c r="A9" s="66" t="s">
        <v>24</v>
      </c>
      <c r="C9" s="140" t="s">
        <v>14</v>
      </c>
      <c r="D9" s="140"/>
      <c r="E9" s="140"/>
      <c r="F9" s="140"/>
      <c r="G9" s="140"/>
      <c r="H9" s="140"/>
      <c r="I9" s="140"/>
      <c r="K9" s="141" t="s">
        <v>15</v>
      </c>
      <c r="L9" s="141"/>
      <c r="M9" s="141"/>
      <c r="O9" s="142" t="s">
        <v>27</v>
      </c>
      <c r="P9" s="142"/>
      <c r="Q9" s="142"/>
      <c r="R9" s="142"/>
      <c r="S9" s="142"/>
      <c r="T9" s="142"/>
      <c r="U9" s="142"/>
      <c r="W9" s="61"/>
    </row>
    <row r="10" spans="1:118" ht="5.25" customHeight="1" x14ac:dyDescent="0.2">
      <c r="A10" s="61"/>
      <c r="C10" s="61"/>
      <c r="E10" s="61"/>
      <c r="G10" s="61"/>
      <c r="H10" s="61"/>
      <c r="I10" s="61"/>
      <c r="K10" s="61"/>
      <c r="M10" s="61"/>
      <c r="O10" s="61"/>
      <c r="Q10" s="61"/>
      <c r="R10" s="61"/>
      <c r="S10" s="61"/>
      <c r="U10" s="61"/>
      <c r="W10" s="61"/>
    </row>
    <row r="11" spans="1:118" ht="12.75" customHeight="1" x14ac:dyDescent="0.2">
      <c r="A11" s="139">
        <f ca="1">TODAY()</f>
        <v>43062</v>
      </c>
      <c r="C11" s="136" t="s">
        <v>3</v>
      </c>
      <c r="D11" s="67"/>
      <c r="E11" s="136" t="s">
        <v>4</v>
      </c>
      <c r="F11" s="67"/>
      <c r="G11" s="136" t="s">
        <v>29</v>
      </c>
      <c r="H11" s="68"/>
      <c r="I11" s="136" t="s">
        <v>31</v>
      </c>
      <c r="K11" s="143" t="s">
        <v>30</v>
      </c>
      <c r="L11" s="67"/>
      <c r="M11" s="136" t="s">
        <v>5</v>
      </c>
      <c r="N11" s="67"/>
      <c r="O11" s="136" t="s">
        <v>25</v>
      </c>
      <c r="P11" s="68"/>
      <c r="Q11" s="136" t="s">
        <v>32</v>
      </c>
      <c r="R11" s="67"/>
      <c r="S11" s="136" t="s">
        <v>26</v>
      </c>
      <c r="T11" s="67"/>
      <c r="U11" s="136" t="s">
        <v>6</v>
      </c>
      <c r="W11" s="136" t="s">
        <v>44</v>
      </c>
    </row>
    <row r="12" spans="1:118" ht="12.75" x14ac:dyDescent="0.2">
      <c r="A12" s="139"/>
      <c r="C12" s="137"/>
      <c r="D12" s="67"/>
      <c r="E12" s="137"/>
      <c r="F12" s="67"/>
      <c r="G12" s="137"/>
      <c r="H12" s="69"/>
      <c r="I12" s="137"/>
      <c r="K12" s="144"/>
      <c r="L12" s="67"/>
      <c r="M12" s="137"/>
      <c r="N12" s="67"/>
      <c r="O12" s="137"/>
      <c r="P12" s="69"/>
      <c r="Q12" s="137"/>
      <c r="R12" s="67"/>
      <c r="S12" s="137"/>
      <c r="T12" s="67"/>
      <c r="U12" s="137"/>
      <c r="W12" s="137"/>
    </row>
    <row r="13" spans="1:118" ht="12.75" x14ac:dyDescent="0.2">
      <c r="A13" s="139"/>
      <c r="C13" s="137"/>
      <c r="D13" s="67"/>
      <c r="E13" s="137"/>
      <c r="F13" s="67"/>
      <c r="G13" s="137"/>
      <c r="H13" s="69"/>
      <c r="I13" s="137"/>
      <c r="K13" s="144"/>
      <c r="L13" s="67"/>
      <c r="M13" s="137"/>
      <c r="N13" s="67"/>
      <c r="O13" s="137"/>
      <c r="P13" s="69"/>
      <c r="Q13" s="137"/>
      <c r="R13" s="67"/>
      <c r="S13" s="137"/>
      <c r="T13" s="67"/>
      <c r="U13" s="137"/>
      <c r="W13" s="137"/>
    </row>
    <row r="14" spans="1:118" ht="12.75" customHeight="1" x14ac:dyDescent="0.2">
      <c r="A14" s="61"/>
      <c r="B14" s="62" t="s">
        <v>28</v>
      </c>
      <c r="C14" s="61"/>
      <c r="E14" s="61"/>
      <c r="G14" s="61"/>
      <c r="H14" s="62"/>
      <c r="I14" s="61"/>
      <c r="K14" s="61"/>
      <c r="M14" s="61"/>
      <c r="O14" s="61"/>
      <c r="Q14" s="61"/>
      <c r="R14" s="67"/>
      <c r="S14" s="61"/>
      <c r="U14" s="61"/>
      <c r="W14" s="61"/>
      <c r="DN14" s="61"/>
    </row>
    <row r="15" spans="1:118" ht="12.75" x14ac:dyDescent="0.2">
      <c r="A15" s="61"/>
      <c r="C15" s="61"/>
      <c r="E15" s="61"/>
      <c r="G15" s="61"/>
      <c r="H15" s="62"/>
      <c r="I15" s="61"/>
      <c r="K15" s="61"/>
      <c r="M15" s="61"/>
      <c r="O15" s="61"/>
      <c r="Q15" s="61"/>
      <c r="R15" s="67"/>
      <c r="S15" s="61"/>
      <c r="U15" s="61"/>
      <c r="W15" s="61"/>
    </row>
    <row r="16" spans="1:118" ht="15" x14ac:dyDescent="0.25">
      <c r="A16" s="66" t="s">
        <v>0</v>
      </c>
      <c r="C16" s="70"/>
      <c r="E16" s="71"/>
      <c r="G16" s="71"/>
      <c r="H16" s="72"/>
      <c r="I16" s="71"/>
      <c r="K16" s="70"/>
      <c r="M16" s="70"/>
      <c r="O16" s="73"/>
      <c r="P16" s="74"/>
      <c r="Q16" s="73"/>
      <c r="R16" s="67"/>
      <c r="S16" s="70"/>
      <c r="U16" s="70"/>
      <c r="W16" s="70"/>
    </row>
    <row r="17" spans="1:117" s="61" customFormat="1" ht="18.75" customHeight="1" x14ac:dyDescent="0.2">
      <c r="B17" s="62"/>
      <c r="C17" s="75"/>
      <c r="E17" s="75"/>
      <c r="G17" s="75"/>
      <c r="H17" s="76"/>
      <c r="I17" s="75"/>
      <c r="K17" s="75"/>
      <c r="M17" s="75"/>
      <c r="O17" s="75"/>
      <c r="P17" s="76"/>
      <c r="Q17" s="75"/>
      <c r="R17" s="67"/>
      <c r="S17" s="75"/>
      <c r="U17" s="75"/>
      <c r="V17" s="62"/>
      <c r="W17" s="75"/>
      <c r="X17" s="62"/>
      <c r="Y17" s="62"/>
      <c r="Z17" s="62"/>
      <c r="AA17" s="62"/>
      <c r="AB17" s="62"/>
      <c r="AC17" s="62"/>
    </row>
    <row r="18" spans="1:117" ht="15" x14ac:dyDescent="0.25">
      <c r="A18" s="66" t="s">
        <v>1</v>
      </c>
      <c r="C18" s="71">
        <f>+LIQUIDEZ!C202</f>
        <v>823973160</v>
      </c>
      <c r="E18" s="70">
        <f>+RENTA!C202</f>
        <v>8250251</v>
      </c>
      <c r="G18" s="70">
        <f>+'DEUDA 360'!C202</f>
        <v>92788025</v>
      </c>
      <c r="H18" s="77"/>
      <c r="I18" s="70">
        <f>+MACRO!C202</f>
        <v>3658874</v>
      </c>
      <c r="K18" s="70">
        <f>+ESTRATEGIA!C202</f>
        <v>31176701</v>
      </c>
      <c r="M18" s="70">
        <f>+'INDICE CHILE'!C202</f>
        <v>52590000</v>
      </c>
      <c r="O18" s="70">
        <f>+'MONEY MARKET'!C202</f>
        <v>25.56</v>
      </c>
      <c r="P18" s="77"/>
      <c r="Q18" s="70">
        <f>+LATAM!C202</f>
        <v>0</v>
      </c>
      <c r="R18" s="67"/>
      <c r="S18" s="70">
        <f>+GLOBALES!C202</f>
        <v>25612117</v>
      </c>
      <c r="U18" s="70">
        <f>+INTERNAC.!C202</f>
        <v>6951860</v>
      </c>
      <c r="W18" s="70">
        <f>SUM(C18:U18)</f>
        <v>1045001013.5599999</v>
      </c>
    </row>
    <row r="19" spans="1:117" s="61" customFormat="1" ht="18.75" customHeight="1" x14ac:dyDescent="0.2">
      <c r="B19" s="62"/>
      <c r="C19" s="75"/>
      <c r="E19" s="75"/>
      <c r="G19" s="75"/>
      <c r="H19" s="76"/>
      <c r="I19" s="75"/>
      <c r="K19" s="75"/>
      <c r="M19" s="75"/>
      <c r="O19" s="75"/>
      <c r="P19" s="76"/>
      <c r="Q19" s="75"/>
      <c r="R19" s="67"/>
      <c r="S19" s="75"/>
      <c r="U19" s="75"/>
      <c r="V19" s="62"/>
      <c r="W19" s="75"/>
      <c r="X19" s="76"/>
      <c r="Y19" s="62"/>
      <c r="Z19" s="62"/>
      <c r="AA19" s="62"/>
      <c r="AB19" s="62"/>
      <c r="AC19" s="62"/>
    </row>
    <row r="20" spans="1:117" s="85" customFormat="1" ht="18.75" customHeight="1" thickBot="1" x14ac:dyDescent="0.3">
      <c r="A20" s="66" t="s">
        <v>2</v>
      </c>
      <c r="B20" s="78"/>
      <c r="C20" s="79">
        <f>+C18</f>
        <v>823973160</v>
      </c>
      <c r="D20" s="80"/>
      <c r="E20" s="79">
        <f>+E18</f>
        <v>8250251</v>
      </c>
      <c r="F20" s="80" t="s">
        <v>22</v>
      </c>
      <c r="G20" s="79">
        <f>+G18</f>
        <v>92788025</v>
      </c>
      <c r="H20" s="81"/>
      <c r="I20" s="79">
        <f>+I18</f>
        <v>3658874</v>
      </c>
      <c r="J20" s="61"/>
      <c r="K20" s="79">
        <f>+K18</f>
        <v>31176701</v>
      </c>
      <c r="L20" s="82"/>
      <c r="M20" s="79">
        <f>+M18</f>
        <v>52590000</v>
      </c>
      <c r="N20" s="80"/>
      <c r="O20" s="79">
        <f>+O18</f>
        <v>25.56</v>
      </c>
      <c r="P20" s="83"/>
      <c r="Q20" s="79">
        <f>+Q18</f>
        <v>0</v>
      </c>
      <c r="R20" s="67"/>
      <c r="S20" s="79">
        <f>+S18</f>
        <v>25612117</v>
      </c>
      <c r="T20" s="80"/>
      <c r="U20" s="79">
        <f>+U18</f>
        <v>6951860</v>
      </c>
      <c r="V20" s="62"/>
      <c r="W20" s="79">
        <f>SUM(C20:U20)</f>
        <v>1045001013.5599999</v>
      </c>
      <c r="X20" s="84"/>
      <c r="Y20" s="78"/>
      <c r="Z20" s="78"/>
      <c r="AA20" s="78"/>
      <c r="AB20" s="78"/>
      <c r="AC20" s="78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80"/>
      <c r="CF20" s="80"/>
      <c r="CG20" s="80"/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  <c r="DB20" s="80"/>
      <c r="DC20" s="80"/>
      <c r="DD20" s="80"/>
      <c r="DE20" s="80"/>
      <c r="DF20" s="80"/>
      <c r="DG20" s="80"/>
      <c r="DH20" s="80"/>
      <c r="DI20" s="80"/>
      <c r="DJ20" s="80"/>
      <c r="DK20" s="80"/>
      <c r="DL20" s="80"/>
      <c r="DM20" s="80"/>
    </row>
    <row r="21" spans="1:117" ht="16.5" thickBot="1" x14ac:dyDescent="0.3">
      <c r="A21" s="86" t="s">
        <v>43</v>
      </c>
      <c r="C21" s="87">
        <f>+LIQUIDEZ!C201</f>
        <v>20</v>
      </c>
      <c r="E21" s="87">
        <f>+RENTA!C201</f>
        <v>7</v>
      </c>
      <c r="G21" s="87">
        <f>+'DEUDA 360'!C201</f>
        <v>7</v>
      </c>
      <c r="H21" s="88"/>
      <c r="I21" s="87">
        <f>+MACRO!C201</f>
        <v>1</v>
      </c>
      <c r="K21" s="87">
        <f>+ESTRATEGIA!C201</f>
        <v>3</v>
      </c>
      <c r="M21" s="87">
        <f>+'INDICE CHILE'!C201</f>
        <v>3</v>
      </c>
      <c r="O21" s="87">
        <f>+'MONEY MARKET'!C201</f>
        <v>1</v>
      </c>
      <c r="P21" s="89"/>
      <c r="Q21" s="87">
        <f>+LATAM!C201</f>
        <v>0</v>
      </c>
      <c r="R21" s="67"/>
      <c r="S21" s="87">
        <f>+GLOBALES!C201</f>
        <v>1</v>
      </c>
      <c r="U21" s="87">
        <f>+INTERNAC.!C201</f>
        <v>1</v>
      </c>
      <c r="W21" s="87">
        <f>SUM(C21:U21)</f>
        <v>44</v>
      </c>
      <c r="X21" s="90"/>
    </row>
    <row r="22" spans="1:117" s="61" customFormat="1" ht="12.75" x14ac:dyDescent="0.2">
      <c r="B22" s="62"/>
      <c r="C22" s="84"/>
      <c r="D22" s="91"/>
      <c r="E22" s="84"/>
      <c r="F22" s="91"/>
      <c r="G22" s="84"/>
      <c r="H22" s="91"/>
      <c r="I22" s="91"/>
      <c r="J22" s="91"/>
      <c r="K22" s="84"/>
      <c r="L22" s="91"/>
      <c r="M22" s="84"/>
      <c r="N22" s="91"/>
      <c r="O22" s="84"/>
      <c r="P22" s="91"/>
      <c r="Q22" s="91"/>
      <c r="R22" s="91"/>
      <c r="S22" s="84"/>
      <c r="T22" s="91"/>
      <c r="U22" s="84"/>
      <c r="V22" s="62"/>
      <c r="W22" s="84"/>
      <c r="X22" s="92"/>
      <c r="Y22" s="62"/>
      <c r="Z22" s="62"/>
      <c r="AA22" s="62"/>
      <c r="AB22" s="62"/>
      <c r="AC22" s="62"/>
    </row>
    <row r="23" spans="1:117" s="93" customFormat="1" ht="12.75" x14ac:dyDescent="0.2">
      <c r="A23" s="93" t="s">
        <v>42</v>
      </c>
      <c r="B23" s="94"/>
      <c r="C23" s="84"/>
      <c r="E23" s="84"/>
      <c r="G23" s="84"/>
      <c r="H23" s="95"/>
      <c r="I23" s="84"/>
      <c r="K23" s="84"/>
      <c r="L23" s="96"/>
      <c r="M23" s="84"/>
      <c r="O23" s="84"/>
      <c r="Q23" s="84"/>
      <c r="S23" s="84"/>
      <c r="V23" s="95"/>
      <c r="W23" s="84"/>
      <c r="X23" s="95"/>
      <c r="Y23" s="95"/>
      <c r="Z23" s="95"/>
      <c r="AA23" s="95"/>
      <c r="AB23" s="95"/>
      <c r="AC23" s="95"/>
    </row>
    <row r="24" spans="1:117" s="61" customFormat="1" ht="12.75" x14ac:dyDescent="0.2">
      <c r="A24" s="75"/>
      <c r="B24" s="97"/>
      <c r="C24" s="75"/>
      <c r="E24" s="75"/>
      <c r="G24" s="98"/>
      <c r="H24" s="76"/>
      <c r="I24" s="98"/>
      <c r="K24" s="75"/>
      <c r="L24" s="67"/>
      <c r="M24" s="75"/>
      <c r="O24" s="75"/>
      <c r="Q24" s="75"/>
      <c r="S24" s="75"/>
      <c r="U24" s="75"/>
      <c r="V24" s="62"/>
      <c r="W24" s="98"/>
      <c r="X24" s="92"/>
      <c r="Y24" s="62"/>
      <c r="Z24" s="62"/>
      <c r="AA24" s="62"/>
      <c r="AB24" s="62"/>
      <c r="AC24" s="62"/>
    </row>
    <row r="25" spans="1:117" s="99" customFormat="1" ht="12.75" x14ac:dyDescent="0.2">
      <c r="G25" s="100"/>
    </row>
    <row r="26" spans="1:117" s="61" customFormat="1" ht="12.75" x14ac:dyDescent="0.2">
      <c r="B26" s="62"/>
      <c r="C26" s="75"/>
      <c r="E26" s="75"/>
      <c r="G26" s="75"/>
      <c r="H26" s="76"/>
      <c r="I26" s="75"/>
      <c r="K26" s="75"/>
      <c r="M26" s="75"/>
      <c r="O26" s="75"/>
      <c r="P26" s="76"/>
      <c r="Q26" s="75"/>
      <c r="R26" s="67"/>
      <c r="S26" s="75"/>
      <c r="U26" s="75"/>
      <c r="V26" s="62"/>
      <c r="W26" s="84"/>
      <c r="X26" s="62"/>
      <c r="Y26" s="62"/>
      <c r="Z26" s="62"/>
      <c r="AA26" s="62"/>
      <c r="AB26" s="62"/>
      <c r="AC26" s="62"/>
    </row>
    <row r="27" spans="1:117" s="61" customFormat="1" ht="13.5" thickBot="1" x14ac:dyDescent="0.25">
      <c r="B27" s="62"/>
      <c r="C27" s="75"/>
      <c r="E27" s="75"/>
      <c r="G27" s="75"/>
      <c r="H27" s="76"/>
      <c r="I27" s="75"/>
      <c r="K27" s="101"/>
      <c r="M27" s="75"/>
      <c r="O27" s="75"/>
      <c r="P27" s="76"/>
      <c r="Q27" s="75"/>
      <c r="R27" s="67"/>
      <c r="S27" s="101"/>
      <c r="U27" s="75"/>
      <c r="V27" s="62"/>
      <c r="W27" s="75"/>
      <c r="X27" s="62"/>
      <c r="Y27" s="62"/>
      <c r="Z27" s="62"/>
      <c r="AA27" s="62"/>
      <c r="AB27" s="62"/>
      <c r="AC27" s="62"/>
    </row>
    <row r="28" spans="1:117" ht="28.5" customHeight="1" thickBot="1" x14ac:dyDescent="0.3">
      <c r="A28" s="86" t="s">
        <v>13</v>
      </c>
      <c r="C28" s="87">
        <f>+LIQUIDEZ!G201</f>
        <v>20</v>
      </c>
      <c r="E28" s="87">
        <f>+RENTA!G201</f>
        <v>15</v>
      </c>
      <c r="G28" s="87">
        <f>+'DEUDA 360'!G201</f>
        <v>3</v>
      </c>
      <c r="H28" s="88"/>
      <c r="I28" s="87">
        <f>+MACRO!G201</f>
        <v>1</v>
      </c>
      <c r="K28" s="87">
        <f>+ESTRATEGIA!G201</f>
        <v>2</v>
      </c>
      <c r="M28" s="87">
        <f>+'INDICE CHILE'!G201</f>
        <v>1</v>
      </c>
      <c r="O28" s="87">
        <f>+'MONEY MARKET'!G201</f>
        <v>0</v>
      </c>
      <c r="P28" s="89"/>
      <c r="Q28" s="87">
        <f>+LATAM!G201</f>
        <v>0</v>
      </c>
      <c r="R28" s="67"/>
      <c r="S28" s="87">
        <f>+GLOBALES!G201</f>
        <v>1</v>
      </c>
      <c r="U28" s="87">
        <f>+INTERNAC.!G201</f>
        <v>0</v>
      </c>
      <c r="W28" s="87">
        <f>SUM(C28:U28)</f>
        <v>43</v>
      </c>
    </row>
    <row r="29" spans="1:117" ht="12.75" customHeight="1" thickBot="1" x14ac:dyDescent="0.25">
      <c r="A29" s="102" t="s">
        <v>7</v>
      </c>
      <c r="C29" s="103" t="s">
        <v>16</v>
      </c>
      <c r="E29" s="104" t="s">
        <v>21</v>
      </c>
      <c r="G29" s="104" t="s">
        <v>21</v>
      </c>
      <c r="H29" s="105"/>
      <c r="I29" s="104" t="s">
        <v>21</v>
      </c>
      <c r="K29" s="104" t="s">
        <v>21</v>
      </c>
      <c r="M29" s="104" t="s">
        <v>21</v>
      </c>
      <c r="O29" s="106" t="s">
        <v>21</v>
      </c>
      <c r="P29" s="107"/>
      <c r="Q29" s="106" t="s">
        <v>21</v>
      </c>
      <c r="R29" s="67"/>
      <c r="S29" s="104" t="s">
        <v>21</v>
      </c>
      <c r="U29" s="104" t="s">
        <v>21</v>
      </c>
      <c r="W29" s="104"/>
    </row>
    <row r="30" spans="1:117" s="62" customFormat="1" ht="27" customHeight="1" thickBot="1" x14ac:dyDescent="0.3">
      <c r="A30" s="108" t="s">
        <v>23</v>
      </c>
      <c r="C30" s="109">
        <f>+LIQUIDEZ!G202</f>
        <v>497156735</v>
      </c>
      <c r="E30" s="110">
        <f>+RENTA!G202</f>
        <v>857964432</v>
      </c>
      <c r="G30" s="110">
        <f>+'DEUDA 360'!G202</f>
        <v>18044799</v>
      </c>
      <c r="H30" s="110"/>
      <c r="I30" s="110">
        <f>+MACRO!G202</f>
        <v>272823</v>
      </c>
      <c r="J30" s="61"/>
      <c r="K30" s="110">
        <f>+ESTRATEGIA!G202</f>
        <v>3377184</v>
      </c>
      <c r="L30" s="111"/>
      <c r="M30" s="110">
        <f>+'INDICE CHILE'!G202</f>
        <v>19975</v>
      </c>
      <c r="N30" s="111"/>
      <c r="O30" s="112">
        <f>+'MONEY MARKET'!G202</f>
        <v>0</v>
      </c>
      <c r="P30" s="113"/>
      <c r="Q30" s="112">
        <f>+LATAM!G202</f>
        <v>0</v>
      </c>
      <c r="R30" s="67"/>
      <c r="S30" s="110">
        <f>+GLOBALES!G202</f>
        <v>3783362</v>
      </c>
      <c r="T30" s="111"/>
      <c r="U30" s="110">
        <f>+INTERNAC.!G202</f>
        <v>0</v>
      </c>
      <c r="W30" s="110">
        <f>SUM(C30:U30)</f>
        <v>1380619310</v>
      </c>
      <c r="X30" s="98"/>
    </row>
    <row r="31" spans="1:117" ht="14.25" customHeight="1" x14ac:dyDescent="0.2">
      <c r="A31" s="61"/>
      <c r="C31" s="84"/>
      <c r="E31" s="84"/>
      <c r="G31" s="84"/>
      <c r="H31" s="62"/>
      <c r="I31" s="84"/>
      <c r="K31" s="84"/>
      <c r="L31" s="114"/>
      <c r="M31" s="84"/>
      <c r="N31" s="114"/>
      <c r="O31" s="84"/>
      <c r="P31" s="115"/>
      <c r="Q31" s="116"/>
      <c r="R31" s="67"/>
      <c r="S31" s="84"/>
      <c r="T31" s="114"/>
      <c r="U31" s="84"/>
      <c r="W31" s="84"/>
    </row>
    <row r="32" spans="1:117" ht="14.25" customHeight="1" x14ac:dyDescent="0.25">
      <c r="A32" s="61"/>
      <c r="C32" s="98"/>
      <c r="E32" s="98"/>
      <c r="G32" s="98"/>
      <c r="H32" s="117"/>
      <c r="I32" s="118"/>
      <c r="K32" s="98"/>
      <c r="L32" s="114"/>
      <c r="M32" s="98"/>
      <c r="N32" s="114"/>
      <c r="O32" s="98"/>
      <c r="P32" s="115"/>
      <c r="Q32" s="116"/>
      <c r="R32" s="67"/>
      <c r="S32" s="98"/>
      <c r="T32" s="114"/>
      <c r="U32" s="98"/>
      <c r="W32" s="84"/>
      <c r="X32" s="119"/>
      <c r="Y32" s="92"/>
    </row>
    <row r="33" spans="1:29" ht="13.5" customHeight="1" x14ac:dyDescent="0.25">
      <c r="A33" s="66" t="s">
        <v>20</v>
      </c>
      <c r="C33" s="79">
        <v>0</v>
      </c>
      <c r="E33" s="79">
        <v>0</v>
      </c>
      <c r="G33" s="79">
        <v>0</v>
      </c>
      <c r="H33" s="81"/>
      <c r="I33" s="79"/>
      <c r="K33" s="79">
        <v>0</v>
      </c>
      <c r="M33" s="79">
        <v>0</v>
      </c>
      <c r="O33" s="120">
        <v>0</v>
      </c>
      <c r="P33" s="83"/>
      <c r="Q33" s="120"/>
      <c r="R33" s="67"/>
      <c r="S33" s="79">
        <v>0</v>
      </c>
      <c r="U33" s="79"/>
      <c r="W33" s="79"/>
    </row>
    <row r="34" spans="1:29" s="61" customFormat="1" ht="12.75" x14ac:dyDescent="0.2">
      <c r="B34" s="62"/>
      <c r="K34" s="138"/>
      <c r="L34" s="138"/>
      <c r="M34" s="138"/>
      <c r="P34" s="62"/>
      <c r="V34" s="62"/>
      <c r="X34" s="62"/>
      <c r="Y34" s="62"/>
      <c r="Z34" s="62"/>
      <c r="AA34" s="62"/>
      <c r="AB34" s="62"/>
      <c r="AC34" s="62"/>
    </row>
    <row r="35" spans="1:29" s="61" customFormat="1" ht="12.75" x14ac:dyDescent="0.2">
      <c r="B35" s="62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62"/>
      <c r="W35" s="91"/>
      <c r="X35" s="62"/>
      <c r="Y35" s="62"/>
      <c r="Z35" s="62"/>
      <c r="AA35" s="62"/>
      <c r="AB35" s="62"/>
      <c r="AC35" s="62"/>
    </row>
    <row r="36" spans="1:29" s="61" customFormat="1" ht="12.75" x14ac:dyDescent="0.2">
      <c r="B36" s="62"/>
      <c r="C36" s="91"/>
      <c r="E36" s="84"/>
      <c r="G36" s="84"/>
      <c r="P36" s="62"/>
      <c r="S36" s="84"/>
      <c r="V36" s="62"/>
      <c r="X36" s="62"/>
      <c r="Y36" s="62"/>
      <c r="Z36" s="62"/>
      <c r="AA36" s="62"/>
      <c r="AB36" s="62"/>
      <c r="AC36" s="62"/>
    </row>
    <row r="37" spans="1:29" s="61" customFormat="1" ht="12.75" x14ac:dyDescent="0.2">
      <c r="B37" s="62"/>
      <c r="C37" s="91"/>
      <c r="G37" s="91"/>
      <c r="P37" s="62"/>
      <c r="V37" s="62"/>
      <c r="X37" s="62"/>
      <c r="Y37" s="62"/>
      <c r="Z37" s="62"/>
      <c r="AA37" s="62"/>
      <c r="AB37" s="62"/>
      <c r="AC37" s="62"/>
    </row>
    <row r="38" spans="1:29" s="61" customFormat="1" ht="12.75" x14ac:dyDescent="0.2">
      <c r="B38" s="62"/>
      <c r="C38" s="84"/>
      <c r="E38" s="84"/>
      <c r="G38" s="84"/>
      <c r="P38" s="62"/>
      <c r="Q38" s="75"/>
      <c r="V38" s="62"/>
      <c r="W38" s="91"/>
      <c r="X38" s="62"/>
      <c r="Y38" s="62"/>
      <c r="Z38" s="62"/>
      <c r="AA38" s="62"/>
      <c r="AB38" s="62"/>
      <c r="AC38" s="62"/>
    </row>
    <row r="39" spans="1:29" s="61" customFormat="1" ht="12.75" x14ac:dyDescent="0.2">
      <c r="B39" s="62"/>
      <c r="E39" s="91"/>
      <c r="G39" s="121"/>
      <c r="P39" s="62"/>
      <c r="V39" s="62"/>
      <c r="X39" s="62"/>
      <c r="Y39" s="62"/>
      <c r="Z39" s="62"/>
      <c r="AA39" s="62"/>
      <c r="AB39" s="62"/>
      <c r="AC39" s="62"/>
    </row>
    <row r="40" spans="1:29" s="61" customFormat="1" ht="12.75" x14ac:dyDescent="0.2">
      <c r="B40" s="62"/>
      <c r="G40" s="121"/>
      <c r="P40" s="62"/>
      <c r="V40" s="62"/>
      <c r="W40" s="75"/>
      <c r="X40" s="62"/>
      <c r="Y40" s="62"/>
      <c r="Z40" s="62"/>
      <c r="AA40" s="62"/>
      <c r="AB40" s="62"/>
      <c r="AC40" s="62"/>
    </row>
    <row r="41" spans="1:29" s="61" customFormat="1" ht="12.75" x14ac:dyDescent="0.2">
      <c r="B41" s="62"/>
      <c r="I41" s="121"/>
      <c r="K41" s="122"/>
      <c r="P41" s="62"/>
      <c r="U41" s="123"/>
      <c r="V41" s="62"/>
      <c r="W41" s="123"/>
      <c r="X41" s="62"/>
      <c r="Y41" s="62"/>
      <c r="Z41" s="62"/>
      <c r="AA41" s="62"/>
      <c r="AB41" s="62"/>
      <c r="AC41" s="62"/>
    </row>
    <row r="42" spans="1:29" s="61" customFormat="1" ht="12.75" x14ac:dyDescent="0.2">
      <c r="B42" s="62"/>
      <c r="C42" s="91"/>
      <c r="P42" s="62"/>
      <c r="V42" s="62"/>
      <c r="W42" s="75"/>
      <c r="X42" s="62"/>
      <c r="Y42" s="62"/>
      <c r="Z42" s="62"/>
      <c r="AA42" s="62"/>
      <c r="AB42" s="62"/>
      <c r="AC42" s="62"/>
    </row>
    <row r="43" spans="1:29" s="61" customFormat="1" ht="12.75" x14ac:dyDescent="0.2">
      <c r="B43" s="62"/>
      <c r="P43" s="62"/>
      <c r="V43" s="62"/>
      <c r="X43" s="62"/>
      <c r="Y43" s="62"/>
      <c r="Z43" s="62"/>
      <c r="AA43" s="62"/>
      <c r="AB43" s="62"/>
      <c r="AC43" s="62"/>
    </row>
    <row r="44" spans="1:29" s="61" customFormat="1" ht="12.75" x14ac:dyDescent="0.2">
      <c r="B44" s="62"/>
      <c r="P44" s="62"/>
      <c r="V44" s="62"/>
      <c r="X44" s="62"/>
      <c r="Y44" s="62"/>
      <c r="Z44" s="62"/>
      <c r="AA44" s="62"/>
      <c r="AB44" s="62"/>
      <c r="AC44" s="62"/>
    </row>
    <row r="45" spans="1:29" s="61" customFormat="1" ht="12.75" x14ac:dyDescent="0.2">
      <c r="B45" s="62"/>
      <c r="P45" s="62"/>
      <c r="V45" s="62"/>
      <c r="X45" s="62"/>
      <c r="Y45" s="62"/>
      <c r="Z45" s="62"/>
      <c r="AA45" s="62"/>
      <c r="AB45" s="62"/>
      <c r="AC45" s="62"/>
    </row>
    <row r="46" spans="1:29" s="61" customFormat="1" ht="12.75" x14ac:dyDescent="0.2">
      <c r="B46" s="62"/>
      <c r="P46" s="62"/>
      <c r="V46" s="62"/>
      <c r="X46" s="62"/>
      <c r="Y46" s="62"/>
      <c r="Z46" s="62"/>
      <c r="AA46" s="62"/>
      <c r="AB46" s="62"/>
      <c r="AC46" s="62"/>
    </row>
    <row r="47" spans="1:29" s="61" customFormat="1" ht="12.75" x14ac:dyDescent="0.2">
      <c r="B47" s="62"/>
      <c r="P47" s="62"/>
      <c r="V47" s="62"/>
      <c r="X47" s="62"/>
      <c r="Y47" s="62"/>
      <c r="Z47" s="62"/>
      <c r="AA47" s="62"/>
      <c r="AB47" s="62"/>
      <c r="AC47" s="62"/>
    </row>
    <row r="48" spans="1:29" s="61" customFormat="1" ht="12.75" x14ac:dyDescent="0.2">
      <c r="B48" s="62"/>
      <c r="P48" s="62"/>
      <c r="V48" s="62"/>
      <c r="X48" s="62"/>
      <c r="Y48" s="62"/>
      <c r="Z48" s="62"/>
      <c r="AA48" s="62"/>
      <c r="AB48" s="62"/>
      <c r="AC48" s="62"/>
    </row>
    <row r="49" spans="2:29" s="61" customFormat="1" ht="12.75" x14ac:dyDescent="0.2">
      <c r="B49" s="62"/>
      <c r="P49" s="62"/>
      <c r="V49" s="62"/>
      <c r="X49" s="62"/>
      <c r="Y49" s="62"/>
      <c r="Z49" s="62"/>
      <c r="AA49" s="62"/>
      <c r="AB49" s="62"/>
      <c r="AC49" s="62"/>
    </row>
    <row r="50" spans="2:29" s="61" customFormat="1" ht="12.75" x14ac:dyDescent="0.2">
      <c r="B50" s="62"/>
      <c r="P50" s="62"/>
      <c r="V50" s="62"/>
      <c r="X50" s="62"/>
      <c r="Y50" s="62"/>
      <c r="Z50" s="62"/>
      <c r="AA50" s="62"/>
      <c r="AB50" s="62"/>
      <c r="AC50" s="62"/>
    </row>
    <row r="51" spans="2:29" s="61" customFormat="1" ht="12.75" x14ac:dyDescent="0.2">
      <c r="B51" s="62"/>
      <c r="P51" s="62"/>
      <c r="V51" s="62"/>
      <c r="X51" s="62"/>
      <c r="Y51" s="62"/>
      <c r="Z51" s="62"/>
      <c r="AA51" s="62"/>
      <c r="AB51" s="62"/>
      <c r="AC51" s="62"/>
    </row>
    <row r="52" spans="2:29" s="61" customFormat="1" ht="12.75" x14ac:dyDescent="0.2">
      <c r="B52" s="62"/>
      <c r="P52" s="62"/>
      <c r="V52" s="62"/>
      <c r="X52" s="62"/>
      <c r="Y52" s="62"/>
      <c r="Z52" s="62"/>
      <c r="AA52" s="62"/>
      <c r="AB52" s="62"/>
      <c r="AC52" s="62"/>
    </row>
    <row r="53" spans="2:29" s="61" customFormat="1" ht="12.75" x14ac:dyDescent="0.2">
      <c r="B53" s="62"/>
      <c r="P53" s="62"/>
      <c r="V53" s="62"/>
      <c r="X53" s="62"/>
      <c r="Y53" s="62"/>
      <c r="Z53" s="62"/>
      <c r="AA53" s="62"/>
      <c r="AB53" s="62"/>
      <c r="AC53" s="62"/>
    </row>
    <row r="54" spans="2:29" s="61" customFormat="1" ht="12.75" x14ac:dyDescent="0.2">
      <c r="B54" s="62"/>
      <c r="P54" s="62"/>
      <c r="V54" s="62"/>
      <c r="X54" s="62"/>
      <c r="Y54" s="62"/>
      <c r="Z54" s="62"/>
      <c r="AA54" s="62"/>
      <c r="AB54" s="62"/>
      <c r="AC54" s="62"/>
    </row>
    <row r="55" spans="2:29" s="61" customFormat="1" ht="12.75" x14ac:dyDescent="0.2">
      <c r="B55" s="62"/>
      <c r="P55" s="62"/>
      <c r="V55" s="62"/>
      <c r="X55" s="62"/>
      <c r="Y55" s="62"/>
      <c r="Z55" s="62"/>
      <c r="AA55" s="62"/>
      <c r="AB55" s="62"/>
      <c r="AC55" s="62"/>
    </row>
    <row r="56" spans="2:29" s="61" customFormat="1" ht="12.75" x14ac:dyDescent="0.2">
      <c r="B56" s="62"/>
      <c r="P56" s="62"/>
      <c r="V56" s="62"/>
      <c r="X56" s="62"/>
      <c r="Y56" s="62"/>
      <c r="Z56" s="62"/>
      <c r="AA56" s="62"/>
      <c r="AB56" s="62"/>
      <c r="AC56" s="62"/>
    </row>
    <row r="57" spans="2:29" s="61" customFormat="1" ht="12.75" x14ac:dyDescent="0.2">
      <c r="B57" s="62"/>
      <c r="P57" s="62"/>
      <c r="V57" s="62"/>
      <c r="X57" s="62"/>
      <c r="Y57" s="62"/>
      <c r="Z57" s="62"/>
      <c r="AA57" s="62"/>
      <c r="AB57" s="62"/>
      <c r="AC57" s="62"/>
    </row>
    <row r="58" spans="2:29" s="61" customFormat="1" ht="12.75" x14ac:dyDescent="0.2">
      <c r="B58" s="62"/>
      <c r="P58" s="62"/>
      <c r="V58" s="62"/>
      <c r="X58" s="62"/>
      <c r="Y58" s="62"/>
      <c r="Z58" s="62"/>
      <c r="AA58" s="62"/>
      <c r="AB58" s="62"/>
      <c r="AC58" s="62"/>
    </row>
    <row r="59" spans="2:29" s="61" customFormat="1" ht="12.75" x14ac:dyDescent="0.2">
      <c r="B59" s="62"/>
      <c r="P59" s="62"/>
      <c r="V59" s="62"/>
      <c r="X59" s="62"/>
      <c r="Y59" s="62"/>
      <c r="Z59" s="62"/>
      <c r="AA59" s="62"/>
      <c r="AB59" s="62"/>
      <c r="AC59" s="62"/>
    </row>
    <row r="60" spans="2:29" s="61" customFormat="1" ht="12.75" x14ac:dyDescent="0.2">
      <c r="B60" s="62"/>
      <c r="P60" s="62"/>
      <c r="V60" s="62"/>
      <c r="X60" s="62"/>
      <c r="Y60" s="62"/>
      <c r="Z60" s="62"/>
      <c r="AA60" s="62"/>
      <c r="AB60" s="62"/>
      <c r="AC60" s="62"/>
    </row>
    <row r="61" spans="2:29" s="61" customFormat="1" ht="12.75" x14ac:dyDescent="0.2">
      <c r="B61" s="62"/>
      <c r="P61" s="62"/>
      <c r="V61" s="62"/>
      <c r="X61" s="62"/>
      <c r="Y61" s="62"/>
      <c r="Z61" s="62"/>
      <c r="AA61" s="62"/>
      <c r="AB61" s="62"/>
      <c r="AC61" s="62"/>
    </row>
    <row r="62" spans="2:29" s="61" customFormat="1" ht="12.75" x14ac:dyDescent="0.2">
      <c r="B62" s="62"/>
      <c r="P62" s="62"/>
      <c r="V62" s="62"/>
      <c r="X62" s="62"/>
      <c r="Y62" s="62"/>
      <c r="Z62" s="62"/>
      <c r="AA62" s="62"/>
      <c r="AB62" s="62"/>
      <c r="AC62" s="62"/>
    </row>
    <row r="63" spans="2:29" s="61" customFormat="1" ht="12.75" x14ac:dyDescent="0.2">
      <c r="B63" s="62"/>
      <c r="P63" s="62"/>
      <c r="V63" s="62"/>
      <c r="X63" s="62"/>
      <c r="Y63" s="62"/>
      <c r="Z63" s="62"/>
      <c r="AA63" s="62"/>
      <c r="AB63" s="62"/>
      <c r="AC63" s="62"/>
    </row>
    <row r="64" spans="2:29" s="61" customFormat="1" ht="12.75" x14ac:dyDescent="0.2">
      <c r="B64" s="62"/>
      <c r="P64" s="62"/>
      <c r="V64" s="62"/>
      <c r="X64" s="62"/>
      <c r="Y64" s="62"/>
      <c r="Z64" s="62"/>
      <c r="AA64" s="62"/>
      <c r="AB64" s="62"/>
      <c r="AC64" s="62"/>
    </row>
    <row r="65" spans="2:29" s="61" customFormat="1" ht="12.75" x14ac:dyDescent="0.2">
      <c r="B65" s="62"/>
      <c r="P65" s="62"/>
      <c r="V65" s="62"/>
      <c r="X65" s="62"/>
      <c r="Y65" s="62"/>
      <c r="Z65" s="62"/>
      <c r="AA65" s="62"/>
      <c r="AB65" s="62"/>
      <c r="AC65" s="62"/>
    </row>
    <row r="66" spans="2:29" s="61" customFormat="1" ht="12.75" x14ac:dyDescent="0.2">
      <c r="B66" s="62"/>
      <c r="P66" s="62"/>
      <c r="V66" s="62"/>
      <c r="X66" s="62"/>
      <c r="Y66" s="62"/>
      <c r="Z66" s="62"/>
      <c r="AA66" s="62"/>
      <c r="AB66" s="62"/>
      <c r="AC66" s="62"/>
    </row>
    <row r="67" spans="2:29" s="61" customFormat="1" ht="12.75" x14ac:dyDescent="0.2">
      <c r="B67" s="62"/>
      <c r="P67" s="62"/>
      <c r="V67" s="62"/>
      <c r="X67" s="62"/>
      <c r="Y67" s="62"/>
      <c r="Z67" s="62"/>
      <c r="AA67" s="62"/>
      <c r="AB67" s="62"/>
      <c r="AC67" s="62"/>
    </row>
    <row r="68" spans="2:29" s="61" customFormat="1" ht="12.75" x14ac:dyDescent="0.2">
      <c r="B68" s="62"/>
      <c r="P68" s="62"/>
      <c r="V68" s="62"/>
      <c r="X68" s="62"/>
      <c r="Y68" s="62"/>
      <c r="Z68" s="62"/>
      <c r="AA68" s="62"/>
      <c r="AB68" s="62"/>
      <c r="AC68" s="62"/>
    </row>
    <row r="69" spans="2:29" s="61" customFormat="1" ht="12.75" x14ac:dyDescent="0.2">
      <c r="B69" s="62"/>
      <c r="P69" s="62"/>
      <c r="V69" s="62"/>
      <c r="X69" s="62"/>
      <c r="Y69" s="62"/>
      <c r="Z69" s="62"/>
      <c r="AA69" s="62"/>
      <c r="AB69" s="62"/>
      <c r="AC69" s="62"/>
    </row>
    <row r="70" spans="2:29" s="61" customFormat="1" ht="12.75" x14ac:dyDescent="0.2">
      <c r="B70" s="62"/>
      <c r="P70" s="62"/>
      <c r="V70" s="62"/>
      <c r="X70" s="62"/>
      <c r="Y70" s="62"/>
      <c r="Z70" s="62"/>
      <c r="AA70" s="62"/>
      <c r="AB70" s="62"/>
      <c r="AC70" s="62"/>
    </row>
    <row r="71" spans="2:29" s="61" customFormat="1" ht="12.75" x14ac:dyDescent="0.2">
      <c r="B71" s="62"/>
      <c r="P71" s="62"/>
      <c r="V71" s="62"/>
      <c r="X71" s="62"/>
      <c r="Y71" s="62"/>
      <c r="Z71" s="62"/>
      <c r="AA71" s="62"/>
      <c r="AB71" s="62"/>
      <c r="AC71" s="62"/>
    </row>
    <row r="72" spans="2:29" s="61" customFormat="1" ht="12.75" x14ac:dyDescent="0.2">
      <c r="B72" s="62"/>
      <c r="P72" s="62"/>
      <c r="V72" s="62"/>
      <c r="X72" s="62"/>
      <c r="Y72" s="62"/>
      <c r="Z72" s="62"/>
      <c r="AA72" s="62"/>
      <c r="AB72" s="62"/>
      <c r="AC72" s="62"/>
    </row>
    <row r="73" spans="2:29" s="61" customFormat="1" ht="12.75" x14ac:dyDescent="0.2">
      <c r="B73" s="62"/>
      <c r="P73" s="62"/>
      <c r="V73" s="62"/>
      <c r="X73" s="62"/>
      <c r="Y73" s="62"/>
      <c r="Z73" s="62"/>
      <c r="AA73" s="62"/>
      <c r="AB73" s="62"/>
      <c r="AC73" s="62"/>
    </row>
    <row r="74" spans="2:29" s="61" customFormat="1" ht="12.75" x14ac:dyDescent="0.2">
      <c r="B74" s="62"/>
      <c r="P74" s="62"/>
      <c r="V74" s="62"/>
      <c r="X74" s="62"/>
      <c r="Y74" s="62"/>
      <c r="Z74" s="62"/>
      <c r="AA74" s="62"/>
      <c r="AB74" s="62"/>
      <c r="AC74" s="62"/>
    </row>
    <row r="75" spans="2:29" s="61" customFormat="1" ht="12.75" x14ac:dyDescent="0.2">
      <c r="B75" s="62"/>
      <c r="P75" s="62"/>
      <c r="V75" s="62"/>
      <c r="X75" s="62"/>
      <c r="Y75" s="62"/>
      <c r="Z75" s="62"/>
      <c r="AA75" s="62"/>
      <c r="AB75" s="62"/>
      <c r="AC75" s="62"/>
    </row>
    <row r="76" spans="2:29" s="61" customFormat="1" ht="12.75" x14ac:dyDescent="0.2">
      <c r="B76" s="62"/>
      <c r="P76" s="62"/>
      <c r="V76" s="62"/>
      <c r="X76" s="62"/>
      <c r="Y76" s="62"/>
      <c r="Z76" s="62"/>
      <c r="AA76" s="62"/>
      <c r="AB76" s="62"/>
      <c r="AC76" s="62"/>
    </row>
    <row r="77" spans="2:29" s="61" customFormat="1" ht="12.75" x14ac:dyDescent="0.2">
      <c r="B77" s="62"/>
      <c r="P77" s="62"/>
      <c r="V77" s="62"/>
      <c r="X77" s="62"/>
      <c r="Y77" s="62"/>
      <c r="Z77" s="62"/>
      <c r="AA77" s="62"/>
      <c r="AB77" s="62"/>
      <c r="AC77" s="62"/>
    </row>
    <row r="78" spans="2:29" s="61" customFormat="1" ht="12.75" x14ac:dyDescent="0.2">
      <c r="B78" s="62"/>
      <c r="P78" s="62"/>
      <c r="V78" s="62"/>
      <c r="X78" s="62"/>
      <c r="Y78" s="62"/>
      <c r="Z78" s="62"/>
      <c r="AA78" s="62"/>
      <c r="AB78" s="62"/>
      <c r="AC78" s="62"/>
    </row>
    <row r="79" spans="2:29" s="61" customFormat="1" ht="12.75" x14ac:dyDescent="0.2">
      <c r="B79" s="62"/>
      <c r="P79" s="62"/>
      <c r="V79" s="62"/>
      <c r="X79" s="62"/>
      <c r="Y79" s="62"/>
      <c r="Z79" s="62"/>
      <c r="AA79" s="62"/>
      <c r="AB79" s="62"/>
      <c r="AC79" s="62"/>
    </row>
    <row r="80" spans="2:29" s="61" customFormat="1" ht="12.75" x14ac:dyDescent="0.2">
      <c r="B80" s="62"/>
      <c r="P80" s="62"/>
      <c r="V80" s="62"/>
      <c r="X80" s="62"/>
      <c r="Y80" s="62"/>
      <c r="Z80" s="62"/>
      <c r="AA80" s="62"/>
      <c r="AB80" s="62"/>
      <c r="AC80" s="62"/>
    </row>
    <row r="81" spans="2:29" s="61" customFormat="1" ht="12.75" x14ac:dyDescent="0.2">
      <c r="B81" s="62"/>
      <c r="P81" s="62"/>
      <c r="V81" s="62"/>
      <c r="X81" s="62"/>
      <c r="Y81" s="62"/>
      <c r="Z81" s="62"/>
      <c r="AA81" s="62"/>
      <c r="AB81" s="62"/>
      <c r="AC81" s="62"/>
    </row>
    <row r="82" spans="2:29" s="61" customFormat="1" ht="12.75" x14ac:dyDescent="0.2">
      <c r="B82" s="62"/>
      <c r="P82" s="62"/>
      <c r="V82" s="62"/>
      <c r="X82" s="62"/>
      <c r="Y82" s="62"/>
      <c r="Z82" s="62"/>
      <c r="AA82" s="62"/>
      <c r="AB82" s="62"/>
      <c r="AC82" s="62"/>
    </row>
    <row r="83" spans="2:29" s="61" customFormat="1" ht="12.75" x14ac:dyDescent="0.2">
      <c r="B83" s="62"/>
      <c r="P83" s="62"/>
      <c r="V83" s="62"/>
      <c r="X83" s="62"/>
      <c r="Y83" s="62"/>
      <c r="Z83" s="62"/>
      <c r="AA83" s="62"/>
      <c r="AB83" s="62"/>
      <c r="AC83" s="62"/>
    </row>
    <row r="84" spans="2:29" s="61" customFormat="1" ht="12.75" x14ac:dyDescent="0.2">
      <c r="B84" s="62"/>
      <c r="P84" s="62"/>
      <c r="V84" s="62"/>
      <c r="X84" s="62"/>
      <c r="Y84" s="62"/>
      <c r="Z84" s="62"/>
      <c r="AA84" s="62"/>
      <c r="AB84" s="62"/>
      <c r="AC84" s="62"/>
    </row>
    <row r="85" spans="2:29" s="61" customFormat="1" ht="12.75" x14ac:dyDescent="0.2">
      <c r="B85" s="62"/>
      <c r="P85" s="62"/>
      <c r="V85" s="62"/>
      <c r="X85" s="62"/>
      <c r="Y85" s="62"/>
      <c r="Z85" s="62"/>
      <c r="AA85" s="62"/>
      <c r="AB85" s="62"/>
      <c r="AC85" s="62"/>
    </row>
    <row r="86" spans="2:29" s="61" customFormat="1" ht="12.75" x14ac:dyDescent="0.2">
      <c r="B86" s="62"/>
      <c r="P86" s="62"/>
      <c r="V86" s="62"/>
      <c r="X86" s="62"/>
      <c r="Y86" s="62"/>
      <c r="Z86" s="62"/>
      <c r="AA86" s="62"/>
      <c r="AB86" s="62"/>
      <c r="AC86" s="62"/>
    </row>
    <row r="87" spans="2:29" s="61" customFormat="1" ht="12.75" x14ac:dyDescent="0.2">
      <c r="B87" s="62"/>
      <c r="P87" s="62"/>
      <c r="V87" s="62"/>
      <c r="X87" s="62"/>
      <c r="Y87" s="62"/>
      <c r="Z87" s="62"/>
      <c r="AA87" s="62"/>
      <c r="AB87" s="62"/>
      <c r="AC87" s="62"/>
    </row>
    <row r="88" spans="2:29" s="61" customFormat="1" ht="12.75" x14ac:dyDescent="0.2">
      <c r="B88" s="62"/>
      <c r="P88" s="62"/>
      <c r="V88" s="62"/>
      <c r="X88" s="62"/>
      <c r="Y88" s="62"/>
      <c r="Z88" s="62"/>
      <c r="AA88" s="62"/>
      <c r="AB88" s="62"/>
      <c r="AC88" s="62"/>
    </row>
    <row r="89" spans="2:29" s="61" customFormat="1" ht="12.75" x14ac:dyDescent="0.2">
      <c r="B89" s="62"/>
      <c r="P89" s="62"/>
      <c r="V89" s="62"/>
      <c r="X89" s="62"/>
      <c r="Y89" s="62"/>
      <c r="Z89" s="62"/>
      <c r="AA89" s="62"/>
      <c r="AB89" s="62"/>
      <c r="AC89" s="62"/>
    </row>
    <row r="90" spans="2:29" s="61" customFormat="1" ht="12.75" x14ac:dyDescent="0.2">
      <c r="B90" s="62"/>
      <c r="P90" s="62"/>
      <c r="V90" s="62"/>
      <c r="X90" s="62"/>
      <c r="Y90" s="62"/>
      <c r="Z90" s="62"/>
      <c r="AA90" s="62"/>
      <c r="AB90" s="62"/>
      <c r="AC90" s="62"/>
    </row>
    <row r="91" spans="2:29" s="61" customFormat="1" ht="12.75" x14ac:dyDescent="0.2">
      <c r="B91" s="62"/>
      <c r="P91" s="62"/>
      <c r="V91" s="62"/>
      <c r="X91" s="62"/>
      <c r="Y91" s="62"/>
      <c r="Z91" s="62"/>
      <c r="AA91" s="62"/>
      <c r="AB91" s="62"/>
      <c r="AC91" s="62"/>
    </row>
    <row r="92" spans="2:29" s="61" customFormat="1" ht="12.75" x14ac:dyDescent="0.2">
      <c r="B92" s="62"/>
      <c r="P92" s="62"/>
      <c r="V92" s="62"/>
      <c r="X92" s="62"/>
      <c r="Y92" s="62"/>
      <c r="Z92" s="62"/>
      <c r="AA92" s="62"/>
      <c r="AB92" s="62"/>
      <c r="AC92" s="62"/>
    </row>
    <row r="93" spans="2:29" s="61" customFormat="1" ht="12.75" x14ac:dyDescent="0.2">
      <c r="B93" s="62"/>
      <c r="P93" s="62"/>
      <c r="V93" s="62"/>
      <c r="X93" s="62"/>
      <c r="Y93" s="62"/>
      <c r="Z93" s="62"/>
      <c r="AA93" s="62"/>
      <c r="AB93" s="62"/>
      <c r="AC93" s="62"/>
    </row>
    <row r="94" spans="2:29" s="61" customFormat="1" ht="12.75" x14ac:dyDescent="0.2">
      <c r="B94" s="62"/>
      <c r="P94" s="62"/>
      <c r="V94" s="62"/>
      <c r="X94" s="62"/>
      <c r="Y94" s="62"/>
      <c r="Z94" s="62"/>
      <c r="AA94" s="62"/>
      <c r="AB94" s="62"/>
      <c r="AC94" s="62"/>
    </row>
    <row r="95" spans="2:29" s="61" customFormat="1" ht="12.75" x14ac:dyDescent="0.2">
      <c r="B95" s="62"/>
      <c r="P95" s="62"/>
      <c r="V95" s="62"/>
      <c r="X95" s="62"/>
      <c r="Y95" s="62"/>
      <c r="Z95" s="62"/>
      <c r="AA95" s="62"/>
      <c r="AB95" s="62"/>
      <c r="AC95" s="62"/>
    </row>
    <row r="96" spans="2:29" s="61" customFormat="1" ht="12.75" x14ac:dyDescent="0.2">
      <c r="B96" s="62"/>
      <c r="P96" s="62"/>
      <c r="V96" s="62"/>
      <c r="X96" s="62"/>
      <c r="Y96" s="62"/>
      <c r="Z96" s="62"/>
      <c r="AA96" s="62"/>
      <c r="AB96" s="62"/>
      <c r="AC96" s="62"/>
    </row>
    <row r="97" spans="2:29" s="61" customFormat="1" ht="12.75" x14ac:dyDescent="0.2">
      <c r="B97" s="62"/>
      <c r="P97" s="62"/>
      <c r="V97" s="62"/>
      <c r="X97" s="62"/>
      <c r="Y97" s="62"/>
      <c r="Z97" s="62"/>
      <c r="AA97" s="62"/>
      <c r="AB97" s="62"/>
      <c r="AC97" s="62"/>
    </row>
    <row r="98" spans="2:29" s="61" customFormat="1" ht="12.75" x14ac:dyDescent="0.2">
      <c r="B98" s="62"/>
      <c r="P98" s="62"/>
      <c r="V98" s="62"/>
      <c r="X98" s="62"/>
      <c r="Y98" s="62"/>
      <c r="Z98" s="62"/>
      <c r="AA98" s="62"/>
      <c r="AB98" s="62"/>
      <c r="AC98" s="62"/>
    </row>
    <row r="99" spans="2:29" s="61" customFormat="1" ht="12.75" x14ac:dyDescent="0.2">
      <c r="B99" s="62"/>
      <c r="P99" s="62"/>
      <c r="V99" s="62"/>
      <c r="X99" s="62"/>
      <c r="Y99" s="62"/>
      <c r="Z99" s="62"/>
      <c r="AA99" s="62"/>
      <c r="AB99" s="62"/>
      <c r="AC99" s="62"/>
    </row>
    <row r="100" spans="2:29" s="61" customFormat="1" ht="12.75" x14ac:dyDescent="0.2">
      <c r="B100" s="62"/>
      <c r="P100" s="62"/>
      <c r="V100" s="62"/>
      <c r="X100" s="62"/>
      <c r="Y100" s="62"/>
      <c r="Z100" s="62"/>
      <c r="AA100" s="62"/>
      <c r="AB100" s="62"/>
      <c r="AC100" s="62"/>
    </row>
    <row r="101" spans="2:29" s="61" customFormat="1" ht="12.75" x14ac:dyDescent="0.2">
      <c r="B101" s="62"/>
      <c r="P101" s="62"/>
      <c r="V101" s="62"/>
      <c r="X101" s="62"/>
      <c r="Y101" s="62"/>
      <c r="Z101" s="62"/>
      <c r="AA101" s="62"/>
      <c r="AB101" s="62"/>
      <c r="AC101" s="62"/>
    </row>
    <row r="102" spans="2:29" s="61" customFormat="1" ht="12.75" x14ac:dyDescent="0.2">
      <c r="B102" s="62"/>
      <c r="P102" s="62"/>
      <c r="V102" s="62"/>
      <c r="X102" s="62"/>
      <c r="Y102" s="62"/>
      <c r="Z102" s="62"/>
      <c r="AA102" s="62"/>
      <c r="AB102" s="62"/>
      <c r="AC102" s="62"/>
    </row>
    <row r="103" spans="2:29" s="61" customFormat="1" ht="12.75" x14ac:dyDescent="0.2">
      <c r="B103" s="62"/>
      <c r="P103" s="62"/>
      <c r="V103" s="62"/>
      <c r="X103" s="62"/>
      <c r="Y103" s="62"/>
      <c r="Z103" s="62"/>
      <c r="AA103" s="62"/>
      <c r="AB103" s="62"/>
      <c r="AC103" s="62"/>
    </row>
    <row r="104" spans="2:29" s="61" customFormat="1" ht="12.75" x14ac:dyDescent="0.2">
      <c r="B104" s="62"/>
      <c r="P104" s="62"/>
      <c r="V104" s="62"/>
      <c r="X104" s="62"/>
      <c r="Y104" s="62"/>
      <c r="Z104" s="62"/>
      <c r="AA104" s="62"/>
      <c r="AB104" s="62"/>
      <c r="AC104" s="62"/>
    </row>
    <row r="105" spans="2:29" s="61" customFormat="1" ht="12.75" x14ac:dyDescent="0.2">
      <c r="B105" s="62"/>
      <c r="P105" s="62"/>
      <c r="V105" s="62"/>
      <c r="X105" s="62"/>
      <c r="Y105" s="62"/>
      <c r="Z105" s="62"/>
      <c r="AA105" s="62"/>
      <c r="AB105" s="62"/>
      <c r="AC105" s="62"/>
    </row>
    <row r="106" spans="2:29" s="61" customFormat="1" ht="12.75" x14ac:dyDescent="0.2">
      <c r="B106" s="62"/>
      <c r="P106" s="62"/>
      <c r="V106" s="62"/>
      <c r="X106" s="62"/>
      <c r="Y106" s="62"/>
      <c r="Z106" s="62"/>
      <c r="AA106" s="62"/>
      <c r="AB106" s="62"/>
      <c r="AC106" s="62"/>
    </row>
    <row r="107" spans="2:29" s="61" customFormat="1" ht="12.75" x14ac:dyDescent="0.2">
      <c r="B107" s="62"/>
      <c r="P107" s="62"/>
      <c r="V107" s="62"/>
      <c r="X107" s="62"/>
      <c r="Y107" s="62"/>
      <c r="Z107" s="62"/>
      <c r="AA107" s="62"/>
      <c r="AB107" s="62"/>
      <c r="AC107" s="62"/>
    </row>
    <row r="108" spans="2:29" s="61" customFormat="1" ht="12.75" x14ac:dyDescent="0.2">
      <c r="B108" s="62"/>
      <c r="P108" s="62"/>
      <c r="V108" s="62"/>
      <c r="X108" s="62"/>
      <c r="Y108" s="62"/>
      <c r="Z108" s="62"/>
      <c r="AA108" s="62"/>
      <c r="AB108" s="62"/>
      <c r="AC108" s="62"/>
    </row>
    <row r="109" spans="2:29" s="61" customFormat="1" ht="12.75" x14ac:dyDescent="0.2">
      <c r="B109" s="62"/>
      <c r="P109" s="62"/>
      <c r="V109" s="62"/>
      <c r="X109" s="62"/>
      <c r="Y109" s="62"/>
      <c r="Z109" s="62"/>
      <c r="AA109" s="62"/>
      <c r="AB109" s="62"/>
      <c r="AC109" s="62"/>
    </row>
    <row r="110" spans="2:29" s="61" customFormat="1" ht="12.75" x14ac:dyDescent="0.2">
      <c r="B110" s="62"/>
      <c r="P110" s="62"/>
      <c r="V110" s="62"/>
      <c r="X110" s="62"/>
      <c r="Y110" s="62"/>
      <c r="Z110" s="62"/>
      <c r="AA110" s="62"/>
      <c r="AB110" s="62"/>
      <c r="AC110" s="62"/>
    </row>
    <row r="111" spans="2:29" s="61" customFormat="1" ht="12.75" x14ac:dyDescent="0.2">
      <c r="B111" s="62"/>
      <c r="P111" s="62"/>
      <c r="V111" s="62"/>
      <c r="X111" s="62"/>
      <c r="Y111" s="62"/>
      <c r="Z111" s="62"/>
      <c r="AA111" s="62"/>
      <c r="AB111" s="62"/>
      <c r="AC111" s="62"/>
    </row>
    <row r="112" spans="2:29" s="61" customFormat="1" ht="12.75" x14ac:dyDescent="0.2">
      <c r="B112" s="62"/>
      <c r="P112" s="62"/>
      <c r="V112" s="62"/>
      <c r="X112" s="62"/>
      <c r="Y112" s="62"/>
      <c r="Z112" s="62"/>
      <c r="AA112" s="62"/>
      <c r="AB112" s="62"/>
      <c r="AC112" s="62"/>
    </row>
    <row r="113" spans="2:29" s="61" customFormat="1" ht="12.75" x14ac:dyDescent="0.2">
      <c r="B113" s="62"/>
      <c r="P113" s="62"/>
      <c r="V113" s="62"/>
      <c r="X113" s="62"/>
      <c r="Y113" s="62"/>
      <c r="Z113" s="62"/>
      <c r="AA113" s="62"/>
      <c r="AB113" s="62"/>
      <c r="AC113" s="62"/>
    </row>
    <row r="114" spans="2:29" s="61" customFormat="1" ht="12.75" x14ac:dyDescent="0.2">
      <c r="B114" s="62"/>
      <c r="P114" s="62"/>
      <c r="V114" s="62"/>
      <c r="X114" s="62"/>
      <c r="Y114" s="62"/>
      <c r="Z114" s="62"/>
      <c r="AA114" s="62"/>
      <c r="AB114" s="62"/>
      <c r="AC114" s="62"/>
    </row>
    <row r="115" spans="2:29" s="61" customFormat="1" ht="12.75" x14ac:dyDescent="0.2">
      <c r="B115" s="62"/>
      <c r="P115" s="62"/>
      <c r="V115" s="62"/>
      <c r="X115" s="62"/>
      <c r="Y115" s="62"/>
      <c r="Z115" s="62"/>
      <c r="AA115" s="62"/>
      <c r="AB115" s="62"/>
      <c r="AC115" s="62"/>
    </row>
    <row r="116" spans="2:29" s="61" customFormat="1" ht="12.75" x14ac:dyDescent="0.2">
      <c r="B116" s="62"/>
      <c r="P116" s="62"/>
      <c r="V116" s="62"/>
      <c r="X116" s="62"/>
      <c r="Y116" s="62"/>
      <c r="Z116" s="62"/>
      <c r="AA116" s="62"/>
      <c r="AB116" s="62"/>
      <c r="AC116" s="62"/>
    </row>
    <row r="117" spans="2:29" s="61" customFormat="1" ht="12.75" x14ac:dyDescent="0.2">
      <c r="B117" s="62"/>
      <c r="P117" s="62"/>
      <c r="V117" s="62"/>
      <c r="X117" s="62"/>
      <c r="Y117" s="62"/>
      <c r="Z117" s="62"/>
      <c r="AA117" s="62"/>
      <c r="AB117" s="62"/>
      <c r="AC117" s="62"/>
    </row>
    <row r="118" spans="2:29" s="61" customFormat="1" ht="12.75" x14ac:dyDescent="0.2">
      <c r="B118" s="62"/>
      <c r="P118" s="62"/>
      <c r="V118" s="62"/>
      <c r="X118" s="62"/>
      <c r="Y118" s="62"/>
      <c r="Z118" s="62"/>
      <c r="AA118" s="62"/>
      <c r="AB118" s="62"/>
      <c r="AC118" s="62"/>
    </row>
    <row r="119" spans="2:29" s="61" customFormat="1" ht="12.75" x14ac:dyDescent="0.2">
      <c r="B119" s="62"/>
      <c r="P119" s="62"/>
      <c r="V119" s="62"/>
      <c r="X119" s="62"/>
      <c r="Y119" s="62"/>
      <c r="Z119" s="62"/>
      <c r="AA119" s="62"/>
      <c r="AB119" s="62"/>
      <c r="AC119" s="62"/>
    </row>
    <row r="120" spans="2:29" s="61" customFormat="1" ht="12.75" x14ac:dyDescent="0.2">
      <c r="B120" s="62"/>
      <c r="P120" s="62"/>
      <c r="V120" s="62"/>
      <c r="X120" s="62"/>
      <c r="Y120" s="62"/>
      <c r="Z120" s="62"/>
      <c r="AA120" s="62"/>
      <c r="AB120" s="62"/>
      <c r="AC120" s="62"/>
    </row>
    <row r="121" spans="2:29" s="61" customFormat="1" ht="12.75" x14ac:dyDescent="0.2">
      <c r="B121" s="62"/>
      <c r="P121" s="62"/>
      <c r="V121" s="62"/>
      <c r="X121" s="62"/>
      <c r="Y121" s="62"/>
      <c r="Z121" s="62"/>
      <c r="AA121" s="62"/>
      <c r="AB121" s="62"/>
      <c r="AC121" s="62"/>
    </row>
    <row r="122" spans="2:29" s="61" customFormat="1" ht="12.75" x14ac:dyDescent="0.2">
      <c r="B122" s="62"/>
      <c r="P122" s="62"/>
      <c r="V122" s="62"/>
      <c r="X122" s="62"/>
      <c r="Y122" s="62"/>
      <c r="Z122" s="62"/>
      <c r="AA122" s="62"/>
      <c r="AB122" s="62"/>
      <c r="AC122" s="62"/>
    </row>
    <row r="123" spans="2:29" s="61" customFormat="1" ht="12.75" x14ac:dyDescent="0.2">
      <c r="B123" s="62"/>
      <c r="P123" s="62"/>
      <c r="V123" s="62"/>
      <c r="X123" s="62"/>
      <c r="Y123" s="62"/>
      <c r="Z123" s="62"/>
      <c r="AA123" s="62"/>
      <c r="AB123" s="62"/>
      <c r="AC123" s="62"/>
    </row>
    <row r="124" spans="2:29" s="61" customFormat="1" ht="12.75" x14ac:dyDescent="0.2">
      <c r="B124" s="62"/>
      <c r="P124" s="62"/>
      <c r="V124" s="62"/>
      <c r="X124" s="62"/>
      <c r="Y124" s="62"/>
      <c r="Z124" s="62"/>
      <c r="AA124" s="62"/>
      <c r="AB124" s="62"/>
      <c r="AC124" s="62"/>
    </row>
    <row r="125" spans="2:29" s="61" customFormat="1" ht="12.75" x14ac:dyDescent="0.2">
      <c r="B125" s="62"/>
      <c r="P125" s="62"/>
      <c r="V125" s="62"/>
      <c r="X125" s="62"/>
      <c r="Y125" s="62"/>
      <c r="Z125" s="62"/>
      <c r="AA125" s="62"/>
      <c r="AB125" s="62"/>
      <c r="AC125" s="62"/>
    </row>
    <row r="126" spans="2:29" s="61" customFormat="1" ht="12.75" x14ac:dyDescent="0.2">
      <c r="B126" s="62"/>
      <c r="P126" s="62"/>
      <c r="V126" s="62"/>
      <c r="X126" s="62"/>
      <c r="Y126" s="62"/>
      <c r="Z126" s="62"/>
      <c r="AA126" s="62"/>
      <c r="AB126" s="62"/>
      <c r="AC126" s="62"/>
    </row>
    <row r="127" spans="2:29" s="61" customFormat="1" ht="12.75" x14ac:dyDescent="0.2">
      <c r="B127" s="62"/>
      <c r="P127" s="62"/>
      <c r="V127" s="62"/>
      <c r="X127" s="62"/>
      <c r="Y127" s="62"/>
      <c r="Z127" s="62"/>
      <c r="AA127" s="62"/>
      <c r="AB127" s="62"/>
      <c r="AC127" s="62"/>
    </row>
    <row r="128" spans="2:29" s="61" customFormat="1" ht="12.75" x14ac:dyDescent="0.2">
      <c r="B128" s="62"/>
      <c r="P128" s="62"/>
      <c r="V128" s="62"/>
      <c r="X128" s="62"/>
      <c r="Y128" s="62"/>
      <c r="Z128" s="62"/>
      <c r="AA128" s="62"/>
      <c r="AB128" s="62"/>
      <c r="AC128" s="62"/>
    </row>
    <row r="129" spans="2:29" s="61" customFormat="1" ht="12.75" x14ac:dyDescent="0.2">
      <c r="B129" s="62"/>
      <c r="P129" s="62"/>
      <c r="V129" s="62"/>
      <c r="X129" s="62"/>
      <c r="Y129" s="62"/>
      <c r="Z129" s="62"/>
      <c r="AA129" s="62"/>
      <c r="AB129" s="62"/>
      <c r="AC129" s="62"/>
    </row>
    <row r="130" spans="2:29" s="61" customFormat="1" ht="12.75" x14ac:dyDescent="0.2">
      <c r="B130" s="62"/>
      <c r="P130" s="62"/>
      <c r="V130" s="62"/>
      <c r="X130" s="62"/>
      <c r="Y130" s="62"/>
      <c r="Z130" s="62"/>
      <c r="AA130" s="62"/>
      <c r="AB130" s="62"/>
      <c r="AC130" s="62"/>
    </row>
    <row r="131" spans="2:29" s="61" customFormat="1" ht="12.75" x14ac:dyDescent="0.2">
      <c r="B131" s="62"/>
      <c r="P131" s="62"/>
      <c r="V131" s="62"/>
      <c r="X131" s="62"/>
      <c r="Y131" s="62"/>
      <c r="Z131" s="62"/>
      <c r="AA131" s="62"/>
      <c r="AB131" s="62"/>
      <c r="AC131" s="62"/>
    </row>
    <row r="132" spans="2:29" s="61" customFormat="1" ht="12.75" x14ac:dyDescent="0.2">
      <c r="B132" s="62"/>
      <c r="P132" s="62"/>
      <c r="V132" s="62"/>
      <c r="X132" s="62"/>
      <c r="Y132" s="62"/>
      <c r="Z132" s="62"/>
      <c r="AA132" s="62"/>
      <c r="AB132" s="62"/>
      <c r="AC132" s="62"/>
    </row>
    <row r="133" spans="2:29" s="61" customFormat="1" ht="12.75" x14ac:dyDescent="0.2">
      <c r="B133" s="62"/>
      <c r="P133" s="62"/>
      <c r="V133" s="62"/>
      <c r="X133" s="62"/>
      <c r="Y133" s="62"/>
      <c r="Z133" s="62"/>
      <c r="AA133" s="62"/>
      <c r="AB133" s="62"/>
      <c r="AC133" s="62"/>
    </row>
    <row r="134" spans="2:29" s="61" customFormat="1" ht="12.75" x14ac:dyDescent="0.2">
      <c r="B134" s="62"/>
      <c r="P134" s="62"/>
      <c r="V134" s="62"/>
      <c r="X134" s="62"/>
      <c r="Y134" s="62"/>
      <c r="Z134" s="62"/>
      <c r="AA134" s="62"/>
      <c r="AB134" s="62"/>
      <c r="AC134" s="62"/>
    </row>
    <row r="135" spans="2:29" s="61" customFormat="1" ht="12.75" x14ac:dyDescent="0.2">
      <c r="B135" s="62"/>
      <c r="P135" s="62"/>
      <c r="V135" s="62"/>
      <c r="X135" s="62"/>
      <c r="Y135" s="62"/>
      <c r="Z135" s="62"/>
      <c r="AA135" s="62"/>
      <c r="AB135" s="62"/>
      <c r="AC135" s="62"/>
    </row>
    <row r="136" spans="2:29" s="61" customFormat="1" ht="12.75" x14ac:dyDescent="0.2">
      <c r="B136" s="62"/>
      <c r="P136" s="62"/>
      <c r="V136" s="62"/>
      <c r="X136" s="62"/>
      <c r="Y136" s="62"/>
      <c r="Z136" s="62"/>
      <c r="AA136" s="62"/>
      <c r="AB136" s="62"/>
      <c r="AC136" s="62"/>
    </row>
    <row r="137" spans="2:29" s="61" customFormat="1" ht="12.75" x14ac:dyDescent="0.2">
      <c r="B137" s="62"/>
      <c r="P137" s="62"/>
      <c r="V137" s="62"/>
      <c r="X137" s="62"/>
      <c r="Y137" s="62"/>
      <c r="Z137" s="62"/>
      <c r="AA137" s="62"/>
      <c r="AB137" s="62"/>
      <c r="AC137" s="62"/>
    </row>
    <row r="138" spans="2:29" s="61" customFormat="1" ht="12.75" x14ac:dyDescent="0.2">
      <c r="B138" s="62"/>
      <c r="P138" s="62"/>
      <c r="V138" s="62"/>
      <c r="X138" s="62"/>
      <c r="Y138" s="62"/>
      <c r="Z138" s="62"/>
      <c r="AA138" s="62"/>
      <c r="AB138" s="62"/>
      <c r="AC138" s="62"/>
    </row>
    <row r="139" spans="2:29" s="61" customFormat="1" ht="12.75" x14ac:dyDescent="0.2">
      <c r="B139" s="62"/>
      <c r="P139" s="62"/>
      <c r="V139" s="62"/>
      <c r="X139" s="62"/>
      <c r="Y139" s="62"/>
      <c r="Z139" s="62"/>
      <c r="AA139" s="62"/>
      <c r="AB139" s="62"/>
      <c r="AC139" s="62"/>
    </row>
    <row r="140" spans="2:29" s="61" customFormat="1" ht="12.75" x14ac:dyDescent="0.2">
      <c r="B140" s="62"/>
      <c r="P140" s="62"/>
      <c r="V140" s="62"/>
      <c r="X140" s="62"/>
      <c r="Y140" s="62"/>
      <c r="Z140" s="62"/>
      <c r="AA140" s="62"/>
      <c r="AB140" s="62"/>
      <c r="AC140" s="62"/>
    </row>
    <row r="141" spans="2:29" s="61" customFormat="1" ht="12.75" x14ac:dyDescent="0.2">
      <c r="B141" s="62"/>
      <c r="P141" s="62"/>
      <c r="V141" s="62"/>
      <c r="X141" s="62"/>
      <c r="Y141" s="62"/>
      <c r="Z141" s="62"/>
      <c r="AA141" s="62"/>
      <c r="AB141" s="62"/>
      <c r="AC141" s="62"/>
    </row>
    <row r="142" spans="2:29" s="61" customFormat="1" ht="12.75" x14ac:dyDescent="0.2">
      <c r="B142" s="62"/>
      <c r="P142" s="62"/>
      <c r="V142" s="62"/>
      <c r="X142" s="62"/>
      <c r="Y142" s="62"/>
      <c r="Z142" s="62"/>
      <c r="AA142" s="62"/>
      <c r="AB142" s="62"/>
      <c r="AC142" s="62"/>
    </row>
    <row r="143" spans="2:29" s="61" customFormat="1" ht="12.75" x14ac:dyDescent="0.2">
      <c r="B143" s="62"/>
      <c r="P143" s="62"/>
      <c r="V143" s="62"/>
      <c r="X143" s="62"/>
      <c r="Y143" s="62"/>
      <c r="Z143" s="62"/>
      <c r="AA143" s="62"/>
      <c r="AB143" s="62"/>
      <c r="AC143" s="62"/>
    </row>
    <row r="144" spans="2:29" s="61" customFormat="1" ht="12.75" x14ac:dyDescent="0.2">
      <c r="B144" s="62"/>
      <c r="P144" s="62"/>
      <c r="V144" s="62"/>
      <c r="X144" s="62"/>
      <c r="Y144" s="62"/>
      <c r="Z144" s="62"/>
      <c r="AA144" s="62"/>
      <c r="AB144" s="62"/>
      <c r="AC144" s="62"/>
    </row>
    <row r="145" spans="2:29" s="61" customFormat="1" ht="12.75" x14ac:dyDescent="0.2">
      <c r="B145" s="62"/>
      <c r="P145" s="62"/>
      <c r="V145" s="62"/>
      <c r="X145" s="62"/>
      <c r="Y145" s="62"/>
      <c r="Z145" s="62"/>
      <c r="AA145" s="62"/>
      <c r="AB145" s="62"/>
      <c r="AC145" s="62"/>
    </row>
    <row r="146" spans="2:29" s="61" customFormat="1" ht="12.75" x14ac:dyDescent="0.2">
      <c r="B146" s="62"/>
      <c r="P146" s="62"/>
      <c r="V146" s="62"/>
      <c r="X146" s="62"/>
      <c r="Y146" s="62"/>
      <c r="Z146" s="62"/>
      <c r="AA146" s="62"/>
      <c r="AB146" s="62"/>
      <c r="AC146" s="62"/>
    </row>
    <row r="147" spans="2:29" s="61" customFormat="1" ht="12.75" x14ac:dyDescent="0.2">
      <c r="B147" s="62"/>
      <c r="P147" s="62"/>
      <c r="V147" s="62"/>
      <c r="X147" s="62"/>
      <c r="Y147" s="62"/>
      <c r="Z147" s="62"/>
      <c r="AA147" s="62"/>
      <c r="AB147" s="62"/>
      <c r="AC147" s="62"/>
    </row>
    <row r="148" spans="2:29" s="61" customFormat="1" ht="12.75" x14ac:dyDescent="0.2">
      <c r="B148" s="62"/>
      <c r="P148" s="62"/>
      <c r="V148" s="62"/>
      <c r="X148" s="62"/>
      <c r="Y148" s="62"/>
      <c r="Z148" s="62"/>
      <c r="AA148" s="62"/>
      <c r="AB148" s="62"/>
      <c r="AC148" s="62"/>
    </row>
    <row r="149" spans="2:29" s="61" customFormat="1" ht="12.75" x14ac:dyDescent="0.2">
      <c r="B149" s="62"/>
      <c r="P149" s="62"/>
      <c r="V149" s="62"/>
      <c r="X149" s="62"/>
      <c r="Y149" s="62"/>
      <c r="Z149" s="62"/>
      <c r="AA149" s="62"/>
      <c r="AB149" s="62"/>
      <c r="AC149" s="62"/>
    </row>
    <row r="150" spans="2:29" s="61" customFormat="1" ht="12.75" x14ac:dyDescent="0.2">
      <c r="B150" s="62"/>
      <c r="P150" s="62"/>
      <c r="V150" s="62"/>
      <c r="X150" s="62"/>
      <c r="Y150" s="62"/>
      <c r="Z150" s="62"/>
      <c r="AA150" s="62"/>
      <c r="AB150" s="62"/>
      <c r="AC150" s="62"/>
    </row>
    <row r="151" spans="2:29" s="61" customFormat="1" ht="12.75" x14ac:dyDescent="0.2">
      <c r="B151" s="62"/>
      <c r="P151" s="62"/>
      <c r="V151" s="62"/>
      <c r="X151" s="62"/>
      <c r="Y151" s="62"/>
      <c r="Z151" s="62"/>
      <c r="AA151" s="62"/>
      <c r="AB151" s="62"/>
      <c r="AC151" s="62"/>
    </row>
    <row r="152" spans="2:29" s="61" customFormat="1" ht="12.75" x14ac:dyDescent="0.2">
      <c r="B152" s="62"/>
      <c r="P152" s="62"/>
      <c r="V152" s="62"/>
      <c r="X152" s="62"/>
      <c r="Y152" s="62"/>
      <c r="Z152" s="62"/>
      <c r="AA152" s="62"/>
      <c r="AB152" s="62"/>
      <c r="AC152" s="62"/>
    </row>
    <row r="153" spans="2:29" s="61" customFormat="1" ht="12.75" x14ac:dyDescent="0.2">
      <c r="B153" s="62"/>
      <c r="P153" s="62"/>
      <c r="V153" s="62"/>
      <c r="X153" s="62"/>
      <c r="Y153" s="62"/>
      <c r="Z153" s="62"/>
      <c r="AA153" s="62"/>
      <c r="AB153" s="62"/>
      <c r="AC153" s="62"/>
    </row>
    <row r="154" spans="2:29" s="61" customFormat="1" ht="12.75" x14ac:dyDescent="0.2">
      <c r="B154" s="62"/>
      <c r="P154" s="62"/>
      <c r="V154" s="62"/>
      <c r="X154" s="62"/>
      <c r="Y154" s="62"/>
      <c r="Z154" s="62"/>
      <c r="AA154" s="62"/>
      <c r="AB154" s="62"/>
      <c r="AC154" s="62"/>
    </row>
    <row r="155" spans="2:29" s="61" customFormat="1" ht="12.75" x14ac:dyDescent="0.2">
      <c r="B155" s="62"/>
      <c r="P155" s="62"/>
      <c r="V155" s="62"/>
      <c r="X155" s="62"/>
      <c r="Y155" s="62"/>
      <c r="Z155" s="62"/>
      <c r="AA155" s="62"/>
      <c r="AB155" s="62"/>
      <c r="AC155" s="62"/>
    </row>
    <row r="156" spans="2:29" s="61" customFormat="1" ht="12.75" x14ac:dyDescent="0.2">
      <c r="B156" s="62"/>
      <c r="P156" s="62"/>
      <c r="V156" s="62"/>
      <c r="X156" s="62"/>
      <c r="Y156" s="62"/>
      <c r="Z156" s="62"/>
      <c r="AA156" s="62"/>
      <c r="AB156" s="62"/>
      <c r="AC156" s="62"/>
    </row>
    <row r="157" spans="2:29" s="61" customFormat="1" ht="12.75" x14ac:dyDescent="0.2">
      <c r="B157" s="62"/>
      <c r="P157" s="62"/>
      <c r="V157" s="62"/>
      <c r="X157" s="62"/>
      <c r="Y157" s="62"/>
      <c r="Z157" s="62"/>
      <c r="AA157" s="62"/>
      <c r="AB157" s="62"/>
      <c r="AC157" s="62"/>
    </row>
    <row r="158" spans="2:29" s="61" customFormat="1" ht="12.75" x14ac:dyDescent="0.2">
      <c r="B158" s="62"/>
      <c r="P158" s="62"/>
      <c r="V158" s="62"/>
      <c r="X158" s="62"/>
      <c r="Y158" s="62"/>
      <c r="Z158" s="62"/>
      <c r="AA158" s="62"/>
      <c r="AB158" s="62"/>
      <c r="AC158" s="62"/>
    </row>
    <row r="159" spans="2:29" s="61" customFormat="1" ht="12.75" x14ac:dyDescent="0.2">
      <c r="B159" s="62"/>
      <c r="P159" s="62"/>
      <c r="V159" s="62"/>
      <c r="X159" s="62"/>
      <c r="Y159" s="62"/>
      <c r="Z159" s="62"/>
      <c r="AA159" s="62"/>
      <c r="AB159" s="62"/>
      <c r="AC159" s="62"/>
    </row>
    <row r="160" spans="2:29" s="61" customFormat="1" ht="12.75" x14ac:dyDescent="0.2">
      <c r="B160" s="62"/>
      <c r="P160" s="62"/>
      <c r="V160" s="62"/>
      <c r="X160" s="62"/>
      <c r="Y160" s="62"/>
      <c r="Z160" s="62"/>
      <c r="AA160" s="62"/>
      <c r="AB160" s="62"/>
      <c r="AC160" s="62"/>
    </row>
    <row r="161" spans="2:29" s="61" customFormat="1" ht="12.75" x14ac:dyDescent="0.2">
      <c r="B161" s="62"/>
      <c r="P161" s="62"/>
      <c r="V161" s="62"/>
      <c r="X161" s="62"/>
      <c r="Y161" s="62"/>
      <c r="Z161" s="62"/>
      <c r="AA161" s="62"/>
      <c r="AB161" s="62"/>
      <c r="AC161" s="62"/>
    </row>
    <row r="162" spans="2:29" s="61" customFormat="1" ht="12.75" x14ac:dyDescent="0.2">
      <c r="B162" s="62"/>
      <c r="P162" s="62"/>
      <c r="V162" s="62"/>
      <c r="X162" s="62"/>
      <c r="Y162" s="62"/>
      <c r="Z162" s="62"/>
      <c r="AA162" s="62"/>
      <c r="AB162" s="62"/>
      <c r="AC162" s="62"/>
    </row>
    <row r="163" spans="2:29" s="61" customFormat="1" ht="12.75" x14ac:dyDescent="0.2">
      <c r="B163" s="62"/>
      <c r="P163" s="62"/>
      <c r="V163" s="62"/>
      <c r="X163" s="62"/>
      <c r="Y163" s="62"/>
      <c r="Z163" s="62"/>
      <c r="AA163" s="62"/>
      <c r="AB163" s="62"/>
      <c r="AC163" s="62"/>
    </row>
    <row r="164" spans="2:29" s="61" customFormat="1" ht="12.75" x14ac:dyDescent="0.2">
      <c r="B164" s="62"/>
      <c r="P164" s="62"/>
      <c r="V164" s="62"/>
      <c r="X164" s="62"/>
      <c r="Y164" s="62"/>
      <c r="Z164" s="62"/>
      <c r="AA164" s="62"/>
      <c r="AB164" s="62"/>
      <c r="AC164" s="62"/>
    </row>
    <row r="165" spans="2:29" s="61" customFormat="1" ht="12.75" x14ac:dyDescent="0.2">
      <c r="B165" s="62"/>
      <c r="P165" s="62"/>
      <c r="V165" s="62"/>
      <c r="X165" s="62"/>
      <c r="Y165" s="62"/>
      <c r="Z165" s="62"/>
      <c r="AA165" s="62"/>
      <c r="AB165" s="62"/>
      <c r="AC165" s="62"/>
    </row>
    <row r="166" spans="2:29" s="61" customFormat="1" ht="12.75" x14ac:dyDescent="0.2">
      <c r="B166" s="62"/>
      <c r="P166" s="62"/>
      <c r="V166" s="62"/>
      <c r="X166" s="62"/>
      <c r="Y166" s="62"/>
      <c r="Z166" s="62"/>
      <c r="AA166" s="62"/>
      <c r="AB166" s="62"/>
      <c r="AC166" s="62"/>
    </row>
    <row r="167" spans="2:29" s="61" customFormat="1" ht="12.75" x14ac:dyDescent="0.2">
      <c r="B167" s="62"/>
      <c r="P167" s="62"/>
      <c r="V167" s="62"/>
      <c r="X167" s="62"/>
      <c r="Y167" s="62"/>
      <c r="Z167" s="62"/>
      <c r="AA167" s="62"/>
      <c r="AB167" s="62"/>
      <c r="AC167" s="62"/>
    </row>
    <row r="168" spans="2:29" s="61" customFormat="1" ht="12.75" x14ac:dyDescent="0.2">
      <c r="B168" s="62"/>
      <c r="P168" s="62"/>
      <c r="V168" s="62"/>
      <c r="X168" s="62"/>
      <c r="Y168" s="62"/>
      <c r="Z168" s="62"/>
      <c r="AA168" s="62"/>
      <c r="AB168" s="62"/>
      <c r="AC168" s="62"/>
    </row>
    <row r="169" spans="2:29" s="61" customFormat="1" ht="12.75" x14ac:dyDescent="0.2">
      <c r="B169" s="62"/>
      <c r="P169" s="62"/>
      <c r="V169" s="62"/>
      <c r="X169" s="62"/>
      <c r="Y169" s="62"/>
      <c r="Z169" s="62"/>
      <c r="AA169" s="62"/>
      <c r="AB169" s="62"/>
      <c r="AC169" s="62"/>
    </row>
    <row r="170" spans="2:29" s="61" customFormat="1" ht="12.75" x14ac:dyDescent="0.2">
      <c r="B170" s="62"/>
      <c r="P170" s="62"/>
      <c r="V170" s="62"/>
      <c r="X170" s="62"/>
      <c r="Y170" s="62"/>
      <c r="Z170" s="62"/>
      <c r="AA170" s="62"/>
      <c r="AB170" s="62"/>
      <c r="AC170" s="62"/>
    </row>
    <row r="171" spans="2:29" s="61" customFormat="1" ht="12.75" x14ac:dyDescent="0.2">
      <c r="B171" s="62"/>
      <c r="P171" s="62"/>
      <c r="V171" s="62"/>
      <c r="X171" s="62"/>
      <c r="Y171" s="62"/>
      <c r="Z171" s="62"/>
      <c r="AA171" s="62"/>
      <c r="AB171" s="62"/>
      <c r="AC171" s="62"/>
    </row>
    <row r="172" spans="2:29" s="61" customFormat="1" ht="12.75" x14ac:dyDescent="0.2">
      <c r="B172" s="62"/>
      <c r="P172" s="62"/>
      <c r="V172" s="62"/>
      <c r="X172" s="62"/>
      <c r="Y172" s="62"/>
      <c r="Z172" s="62"/>
      <c r="AA172" s="62"/>
      <c r="AB172" s="62"/>
      <c r="AC172" s="62"/>
    </row>
    <row r="173" spans="2:29" s="61" customFormat="1" ht="12.75" x14ac:dyDescent="0.2">
      <c r="B173" s="62"/>
      <c r="P173" s="62"/>
      <c r="V173" s="62"/>
      <c r="X173" s="62"/>
      <c r="Y173" s="62"/>
      <c r="Z173" s="62"/>
      <c r="AA173" s="62"/>
      <c r="AB173" s="62"/>
      <c r="AC173" s="62"/>
    </row>
    <row r="174" spans="2:29" s="61" customFormat="1" ht="12.75" x14ac:dyDescent="0.2">
      <c r="B174" s="62"/>
      <c r="P174" s="62"/>
      <c r="V174" s="62"/>
      <c r="X174" s="62"/>
      <c r="Y174" s="62"/>
      <c r="Z174" s="62"/>
      <c r="AA174" s="62"/>
      <c r="AB174" s="62"/>
      <c r="AC174" s="62"/>
    </row>
    <row r="175" spans="2:29" s="61" customFormat="1" ht="12.75" x14ac:dyDescent="0.2">
      <c r="B175" s="62"/>
      <c r="P175" s="62"/>
      <c r="V175" s="62"/>
      <c r="X175" s="62"/>
      <c r="Y175" s="62"/>
      <c r="Z175" s="62"/>
      <c r="AA175" s="62"/>
      <c r="AB175" s="62"/>
      <c r="AC175" s="62"/>
    </row>
    <row r="176" spans="2:29" s="61" customFormat="1" ht="12.75" x14ac:dyDescent="0.2">
      <c r="B176" s="62"/>
      <c r="P176" s="62"/>
      <c r="V176" s="62"/>
      <c r="X176" s="62"/>
      <c r="Y176" s="62"/>
      <c r="Z176" s="62"/>
      <c r="AA176" s="62"/>
      <c r="AB176" s="62"/>
      <c r="AC176" s="62"/>
    </row>
    <row r="177" spans="2:29" s="61" customFormat="1" ht="12.75" x14ac:dyDescent="0.2">
      <c r="B177" s="62"/>
      <c r="P177" s="62"/>
      <c r="V177" s="62"/>
      <c r="X177" s="62"/>
      <c r="Y177" s="62"/>
      <c r="Z177" s="62"/>
      <c r="AA177" s="62"/>
      <c r="AB177" s="62"/>
      <c r="AC177" s="62"/>
    </row>
    <row r="178" spans="2:29" s="61" customFormat="1" ht="12.75" x14ac:dyDescent="0.2">
      <c r="B178" s="62"/>
      <c r="P178" s="62"/>
      <c r="V178" s="62"/>
      <c r="X178" s="62"/>
      <c r="Y178" s="62"/>
      <c r="Z178" s="62"/>
      <c r="AA178" s="62"/>
      <c r="AB178" s="62"/>
      <c r="AC178" s="62"/>
    </row>
    <row r="179" spans="2:29" s="61" customFormat="1" ht="12.75" x14ac:dyDescent="0.2">
      <c r="B179" s="62"/>
      <c r="P179" s="62"/>
      <c r="V179" s="62"/>
      <c r="X179" s="62"/>
      <c r="Y179" s="62"/>
      <c r="Z179" s="62"/>
      <c r="AA179" s="62"/>
      <c r="AB179" s="62"/>
      <c r="AC179" s="62"/>
    </row>
    <row r="180" spans="2:29" s="61" customFormat="1" ht="12.75" x14ac:dyDescent="0.2">
      <c r="B180" s="62"/>
      <c r="P180" s="62"/>
      <c r="V180" s="62"/>
      <c r="X180" s="62"/>
      <c r="Y180" s="62"/>
      <c r="Z180" s="62"/>
      <c r="AA180" s="62"/>
      <c r="AB180" s="62"/>
      <c r="AC180" s="62"/>
    </row>
    <row r="181" spans="2:29" s="61" customFormat="1" ht="12.75" x14ac:dyDescent="0.2">
      <c r="B181" s="62"/>
      <c r="P181" s="62"/>
      <c r="V181" s="62"/>
      <c r="X181" s="62"/>
      <c r="Y181" s="62"/>
      <c r="Z181" s="62"/>
      <c r="AA181" s="62"/>
      <c r="AB181" s="62"/>
      <c r="AC181" s="62"/>
    </row>
    <row r="182" spans="2:29" s="61" customFormat="1" ht="12.75" x14ac:dyDescent="0.2">
      <c r="B182" s="62"/>
      <c r="P182" s="62"/>
      <c r="V182" s="62"/>
      <c r="X182" s="62"/>
      <c r="Y182" s="62"/>
      <c r="Z182" s="62"/>
      <c r="AA182" s="62"/>
      <c r="AB182" s="62"/>
      <c r="AC182" s="62"/>
    </row>
    <row r="183" spans="2:29" s="61" customFormat="1" ht="12.75" x14ac:dyDescent="0.2">
      <c r="B183" s="62"/>
      <c r="P183" s="62"/>
      <c r="V183" s="62"/>
      <c r="X183" s="62"/>
      <c r="Y183" s="62"/>
      <c r="Z183" s="62"/>
      <c r="AA183" s="62"/>
      <c r="AB183" s="62"/>
      <c r="AC183" s="62"/>
    </row>
    <row r="184" spans="2:29" s="61" customFormat="1" ht="12.75" x14ac:dyDescent="0.2">
      <c r="B184" s="62"/>
      <c r="P184" s="62"/>
      <c r="V184" s="62"/>
      <c r="X184" s="62"/>
      <c r="Y184" s="62"/>
      <c r="Z184" s="62"/>
      <c r="AA184" s="62"/>
      <c r="AB184" s="62"/>
      <c r="AC184" s="62"/>
    </row>
    <row r="185" spans="2:29" s="61" customFormat="1" ht="12.75" x14ac:dyDescent="0.2">
      <c r="B185" s="62"/>
      <c r="P185" s="62"/>
      <c r="V185" s="62"/>
      <c r="X185" s="62"/>
      <c r="Y185" s="62"/>
      <c r="Z185" s="62"/>
      <c r="AA185" s="62"/>
      <c r="AB185" s="62"/>
      <c r="AC185" s="62"/>
    </row>
    <row r="186" spans="2:29" s="61" customFormat="1" ht="12.75" x14ac:dyDescent="0.2">
      <c r="B186" s="62"/>
      <c r="P186" s="62"/>
      <c r="V186" s="62"/>
      <c r="X186" s="62"/>
      <c r="Y186" s="62"/>
      <c r="Z186" s="62"/>
      <c r="AA186" s="62"/>
      <c r="AB186" s="62"/>
      <c r="AC186" s="62"/>
    </row>
    <row r="187" spans="2:29" s="61" customFormat="1" ht="12.75" x14ac:dyDescent="0.2">
      <c r="B187" s="62"/>
      <c r="P187" s="62"/>
      <c r="V187" s="62"/>
      <c r="X187" s="62"/>
      <c r="Y187" s="62"/>
      <c r="Z187" s="62"/>
      <c r="AA187" s="62"/>
      <c r="AB187" s="62"/>
      <c r="AC187" s="62"/>
    </row>
    <row r="188" spans="2:29" s="61" customFormat="1" ht="12.75" x14ac:dyDescent="0.2">
      <c r="B188" s="62"/>
      <c r="P188" s="62"/>
      <c r="V188" s="62"/>
      <c r="X188" s="62"/>
      <c r="Y188" s="62"/>
      <c r="Z188" s="62"/>
      <c r="AA188" s="62"/>
      <c r="AB188" s="62"/>
      <c r="AC188" s="62"/>
    </row>
    <row r="189" spans="2:29" s="61" customFormat="1" ht="12.75" x14ac:dyDescent="0.2">
      <c r="B189" s="62"/>
      <c r="P189" s="62"/>
      <c r="V189" s="62"/>
      <c r="X189" s="62"/>
      <c r="Y189" s="62"/>
      <c r="Z189" s="62"/>
      <c r="AA189" s="62"/>
      <c r="AB189" s="62"/>
      <c r="AC189" s="62"/>
    </row>
    <row r="190" spans="2:29" s="61" customFormat="1" ht="12.75" x14ac:dyDescent="0.2">
      <c r="B190" s="62"/>
      <c r="P190" s="62"/>
      <c r="V190" s="62"/>
      <c r="X190" s="62"/>
      <c r="Y190" s="62"/>
      <c r="Z190" s="62"/>
      <c r="AA190" s="62"/>
      <c r="AB190" s="62"/>
      <c r="AC190" s="62"/>
    </row>
    <row r="191" spans="2:29" s="61" customFormat="1" ht="12.75" x14ac:dyDescent="0.2">
      <c r="B191" s="62"/>
      <c r="P191" s="62"/>
      <c r="V191" s="62"/>
      <c r="X191" s="62"/>
      <c r="Y191" s="62"/>
      <c r="Z191" s="62"/>
      <c r="AA191" s="62"/>
      <c r="AB191" s="62"/>
      <c r="AC191" s="62"/>
    </row>
    <row r="192" spans="2:29" s="61" customFormat="1" ht="12.75" x14ac:dyDescent="0.2">
      <c r="B192" s="62"/>
      <c r="P192" s="62"/>
      <c r="V192" s="62"/>
      <c r="X192" s="62"/>
      <c r="Y192" s="62"/>
      <c r="Z192" s="62"/>
      <c r="AA192" s="62"/>
      <c r="AB192" s="62"/>
      <c r="AC192" s="62"/>
    </row>
    <row r="193" spans="2:29" s="61" customFormat="1" ht="12.75" x14ac:dyDescent="0.2">
      <c r="B193" s="62"/>
      <c r="P193" s="62"/>
      <c r="V193" s="62"/>
      <c r="X193" s="62"/>
      <c r="Y193" s="62"/>
      <c r="Z193" s="62"/>
      <c r="AA193" s="62"/>
      <c r="AB193" s="62"/>
      <c r="AC193" s="62"/>
    </row>
    <row r="194" spans="2:29" s="61" customFormat="1" ht="12.75" x14ac:dyDescent="0.2">
      <c r="B194" s="62"/>
      <c r="P194" s="62"/>
      <c r="V194" s="62"/>
      <c r="X194" s="62"/>
      <c r="Y194" s="62"/>
      <c r="Z194" s="62"/>
      <c r="AA194" s="62"/>
      <c r="AB194" s="62"/>
      <c r="AC194" s="62"/>
    </row>
    <row r="195" spans="2:29" s="61" customFormat="1" ht="12.75" x14ac:dyDescent="0.2">
      <c r="B195" s="62"/>
      <c r="P195" s="62"/>
      <c r="V195" s="62"/>
      <c r="X195" s="62"/>
      <c r="Y195" s="62"/>
      <c r="Z195" s="62"/>
      <c r="AA195" s="62"/>
      <c r="AB195" s="62"/>
      <c r="AC195" s="62"/>
    </row>
    <row r="196" spans="2:29" s="61" customFormat="1" ht="12.75" x14ac:dyDescent="0.2">
      <c r="B196" s="62"/>
      <c r="P196" s="62"/>
      <c r="V196" s="62"/>
      <c r="X196" s="62"/>
      <c r="Y196" s="62"/>
      <c r="Z196" s="62"/>
      <c r="AA196" s="62"/>
      <c r="AB196" s="62"/>
      <c r="AC196" s="62"/>
    </row>
    <row r="197" spans="2:29" s="61" customFormat="1" ht="12.75" x14ac:dyDescent="0.2">
      <c r="B197" s="62"/>
      <c r="P197" s="62"/>
      <c r="V197" s="62"/>
      <c r="X197" s="62"/>
      <c r="Y197" s="62"/>
      <c r="Z197" s="62"/>
      <c r="AA197" s="62"/>
      <c r="AB197" s="62"/>
      <c r="AC197" s="62"/>
    </row>
    <row r="198" spans="2:29" s="61" customFormat="1" ht="12.75" x14ac:dyDescent="0.2">
      <c r="B198" s="62"/>
      <c r="P198" s="62"/>
      <c r="V198" s="62"/>
      <c r="X198" s="62"/>
      <c r="Y198" s="62"/>
      <c r="Z198" s="62"/>
      <c r="AA198" s="62"/>
      <c r="AB198" s="62"/>
      <c r="AC198" s="62"/>
    </row>
    <row r="199" spans="2:29" s="61" customFormat="1" ht="12.75" x14ac:dyDescent="0.2">
      <c r="B199" s="62"/>
      <c r="P199" s="62"/>
      <c r="V199" s="62"/>
      <c r="X199" s="62"/>
      <c r="Y199" s="62"/>
      <c r="Z199" s="62"/>
      <c r="AA199" s="62"/>
      <c r="AB199" s="62"/>
      <c r="AC199" s="62"/>
    </row>
    <row r="200" spans="2:29" s="61" customFormat="1" ht="12.75" x14ac:dyDescent="0.2">
      <c r="B200" s="62"/>
      <c r="P200" s="62"/>
      <c r="V200" s="62"/>
      <c r="X200" s="62"/>
      <c r="Y200" s="62"/>
      <c r="Z200" s="62"/>
      <c r="AA200" s="62"/>
      <c r="AB200" s="62"/>
      <c r="AC200" s="62"/>
    </row>
    <row r="201" spans="2:29" s="61" customFormat="1" ht="12.75" x14ac:dyDescent="0.2">
      <c r="B201" s="62"/>
      <c r="P201" s="62"/>
      <c r="V201" s="62"/>
      <c r="X201" s="62"/>
      <c r="Y201" s="62"/>
      <c r="Z201" s="62"/>
      <c r="AA201" s="62"/>
      <c r="AB201" s="62"/>
      <c r="AC201" s="62"/>
    </row>
    <row r="202" spans="2:29" s="61" customFormat="1" ht="12.75" x14ac:dyDescent="0.2">
      <c r="B202" s="62"/>
      <c r="P202" s="62"/>
      <c r="V202" s="62"/>
      <c r="X202" s="62"/>
      <c r="Y202" s="62"/>
      <c r="Z202" s="62"/>
      <c r="AA202" s="62"/>
      <c r="AB202" s="62"/>
      <c r="AC202" s="62"/>
    </row>
    <row r="203" spans="2:29" s="61" customFormat="1" ht="12.75" x14ac:dyDescent="0.2">
      <c r="B203" s="62"/>
      <c r="P203" s="62"/>
      <c r="V203" s="62"/>
      <c r="X203" s="62"/>
      <c r="Y203" s="62"/>
      <c r="Z203" s="62"/>
      <c r="AA203" s="62"/>
      <c r="AB203" s="62"/>
      <c r="AC203" s="62"/>
    </row>
    <row r="204" spans="2:29" s="61" customFormat="1" ht="12.75" x14ac:dyDescent="0.2">
      <c r="B204" s="62"/>
      <c r="P204" s="62"/>
      <c r="V204" s="62"/>
      <c r="X204" s="62"/>
      <c r="Y204" s="62"/>
      <c r="Z204" s="62"/>
      <c r="AA204" s="62"/>
      <c r="AB204" s="62"/>
      <c r="AC204" s="62"/>
    </row>
    <row r="205" spans="2:29" s="61" customFormat="1" ht="12.75" x14ac:dyDescent="0.2">
      <c r="B205" s="62"/>
      <c r="P205" s="62"/>
      <c r="V205" s="62"/>
      <c r="X205" s="62"/>
      <c r="Y205" s="62"/>
      <c r="Z205" s="62"/>
      <c r="AA205" s="62"/>
      <c r="AB205" s="62"/>
      <c r="AC205" s="62"/>
    </row>
    <row r="206" spans="2:29" s="61" customFormat="1" ht="12.75" x14ac:dyDescent="0.2">
      <c r="B206" s="62"/>
      <c r="P206" s="62"/>
      <c r="V206" s="62"/>
      <c r="X206" s="62"/>
      <c r="Y206" s="62"/>
      <c r="Z206" s="62"/>
      <c r="AA206" s="62"/>
      <c r="AB206" s="62"/>
      <c r="AC206" s="62"/>
    </row>
    <row r="207" spans="2:29" s="61" customFormat="1" ht="12.75" x14ac:dyDescent="0.2">
      <c r="B207" s="62"/>
      <c r="P207" s="62"/>
      <c r="V207" s="62"/>
      <c r="X207" s="62"/>
      <c r="Y207" s="62"/>
      <c r="Z207" s="62"/>
      <c r="AA207" s="62"/>
      <c r="AB207" s="62"/>
      <c r="AC207" s="62"/>
    </row>
    <row r="208" spans="2:29" s="61" customFormat="1" ht="12.75" x14ac:dyDescent="0.2">
      <c r="B208" s="62"/>
      <c r="P208" s="62"/>
      <c r="V208" s="62"/>
      <c r="X208" s="62"/>
      <c r="Y208" s="62"/>
      <c r="Z208" s="62"/>
      <c r="AA208" s="62"/>
      <c r="AB208" s="62"/>
      <c r="AC208" s="62"/>
    </row>
    <row r="209" spans="2:29" s="61" customFormat="1" ht="12.75" x14ac:dyDescent="0.2">
      <c r="B209" s="62"/>
      <c r="P209" s="62"/>
      <c r="V209" s="62"/>
      <c r="X209" s="62"/>
      <c r="Y209" s="62"/>
      <c r="Z209" s="62"/>
      <c r="AA209" s="62"/>
      <c r="AB209" s="62"/>
      <c r="AC209" s="62"/>
    </row>
    <row r="210" spans="2:29" s="61" customFormat="1" ht="12.75" x14ac:dyDescent="0.2">
      <c r="B210" s="62"/>
      <c r="P210" s="62"/>
      <c r="V210" s="62"/>
      <c r="X210" s="62"/>
      <c r="Y210" s="62"/>
      <c r="Z210" s="62"/>
      <c r="AA210" s="62"/>
      <c r="AB210" s="62"/>
      <c r="AC210" s="62"/>
    </row>
    <row r="211" spans="2:29" s="61" customFormat="1" ht="12.75" x14ac:dyDescent="0.2">
      <c r="B211" s="62"/>
      <c r="P211" s="62"/>
      <c r="V211" s="62"/>
      <c r="X211" s="62"/>
      <c r="Y211" s="62"/>
      <c r="Z211" s="62"/>
      <c r="AA211" s="62"/>
      <c r="AB211" s="62"/>
      <c r="AC211" s="62"/>
    </row>
    <row r="212" spans="2:29" s="61" customFormat="1" ht="12.75" x14ac:dyDescent="0.2">
      <c r="B212" s="62"/>
      <c r="P212" s="62"/>
      <c r="V212" s="62"/>
      <c r="X212" s="62"/>
      <c r="Y212" s="62"/>
      <c r="Z212" s="62"/>
      <c r="AA212" s="62"/>
      <c r="AB212" s="62"/>
      <c r="AC212" s="62"/>
    </row>
    <row r="213" spans="2:29" s="61" customFormat="1" ht="12.75" x14ac:dyDescent="0.2">
      <c r="B213" s="62"/>
      <c r="P213" s="62"/>
      <c r="V213" s="62"/>
      <c r="X213" s="62"/>
      <c r="Y213" s="62"/>
      <c r="Z213" s="62"/>
      <c r="AA213" s="62"/>
      <c r="AB213" s="62"/>
      <c r="AC213" s="62"/>
    </row>
    <row r="214" spans="2:29" s="61" customFormat="1" ht="12.75" x14ac:dyDescent="0.2">
      <c r="B214" s="62"/>
      <c r="P214" s="62"/>
      <c r="V214" s="62"/>
      <c r="X214" s="62"/>
      <c r="Y214" s="62"/>
      <c r="Z214" s="62"/>
      <c r="AA214" s="62"/>
      <c r="AB214" s="62"/>
      <c r="AC214" s="62"/>
    </row>
    <row r="215" spans="2:29" s="61" customFormat="1" ht="12.75" x14ac:dyDescent="0.2">
      <c r="B215" s="62"/>
      <c r="P215" s="62"/>
      <c r="V215" s="62"/>
      <c r="X215" s="62"/>
      <c r="Y215" s="62"/>
      <c r="Z215" s="62"/>
      <c r="AA215" s="62"/>
      <c r="AB215" s="62"/>
      <c r="AC215" s="62"/>
    </row>
    <row r="216" spans="2:29" s="61" customFormat="1" ht="12.75" x14ac:dyDescent="0.2">
      <c r="B216" s="62"/>
      <c r="P216" s="62"/>
      <c r="V216" s="62"/>
      <c r="X216" s="62"/>
      <c r="Y216" s="62"/>
      <c r="Z216" s="62"/>
      <c r="AA216" s="62"/>
      <c r="AB216" s="62"/>
      <c r="AC216" s="62"/>
    </row>
    <row r="217" spans="2:29" s="61" customFormat="1" ht="12.75" x14ac:dyDescent="0.2">
      <c r="B217" s="62"/>
      <c r="P217" s="62"/>
      <c r="V217" s="62"/>
      <c r="X217" s="62"/>
      <c r="Y217" s="62"/>
      <c r="Z217" s="62"/>
      <c r="AA217" s="62"/>
      <c r="AB217" s="62"/>
      <c r="AC217" s="62"/>
    </row>
    <row r="218" spans="2:29" s="61" customFormat="1" ht="12.75" x14ac:dyDescent="0.2">
      <c r="B218" s="62"/>
      <c r="P218" s="62"/>
      <c r="V218" s="62"/>
      <c r="X218" s="62"/>
      <c r="Y218" s="62"/>
      <c r="Z218" s="62"/>
      <c r="AA218" s="62"/>
      <c r="AB218" s="62"/>
      <c r="AC218" s="62"/>
    </row>
    <row r="219" spans="2:29" s="61" customFormat="1" ht="12.75" x14ac:dyDescent="0.2">
      <c r="B219" s="62"/>
      <c r="P219" s="62"/>
      <c r="V219" s="62"/>
      <c r="X219" s="62"/>
      <c r="Y219" s="62"/>
      <c r="Z219" s="62"/>
      <c r="AA219" s="62"/>
      <c r="AB219" s="62"/>
      <c r="AC219" s="62"/>
    </row>
    <row r="220" spans="2:29" s="61" customFormat="1" ht="12.75" x14ac:dyDescent="0.2">
      <c r="B220" s="62"/>
      <c r="P220" s="62"/>
      <c r="V220" s="62"/>
      <c r="X220" s="62"/>
      <c r="Y220" s="62"/>
      <c r="Z220" s="62"/>
      <c r="AA220" s="62"/>
      <c r="AB220" s="62"/>
      <c r="AC220" s="62"/>
    </row>
    <row r="221" spans="2:29" s="61" customFormat="1" ht="12.75" x14ac:dyDescent="0.2">
      <c r="B221" s="62"/>
      <c r="P221" s="62"/>
      <c r="V221" s="62"/>
      <c r="X221" s="62"/>
      <c r="Y221" s="62"/>
      <c r="Z221" s="62"/>
      <c r="AA221" s="62"/>
      <c r="AB221" s="62"/>
      <c r="AC221" s="62"/>
    </row>
    <row r="222" spans="2:29" s="61" customFormat="1" ht="12.75" x14ac:dyDescent="0.2">
      <c r="B222" s="62"/>
      <c r="P222" s="62"/>
      <c r="V222" s="62"/>
      <c r="X222" s="62"/>
      <c r="Y222" s="62"/>
      <c r="Z222" s="62"/>
      <c r="AA222" s="62"/>
      <c r="AB222" s="62"/>
      <c r="AC222" s="62"/>
    </row>
    <row r="223" spans="2:29" s="61" customFormat="1" ht="12.75" x14ac:dyDescent="0.2">
      <c r="B223" s="62"/>
      <c r="P223" s="62"/>
      <c r="V223" s="62"/>
      <c r="X223" s="62"/>
      <c r="Y223" s="62"/>
      <c r="Z223" s="62"/>
      <c r="AA223" s="62"/>
      <c r="AB223" s="62"/>
      <c r="AC223" s="62"/>
    </row>
    <row r="224" spans="2:29" s="61" customFormat="1" ht="12.75" x14ac:dyDescent="0.2">
      <c r="B224" s="62"/>
      <c r="P224" s="62"/>
      <c r="V224" s="62"/>
      <c r="X224" s="62"/>
      <c r="Y224" s="62"/>
      <c r="Z224" s="62"/>
      <c r="AA224" s="62"/>
      <c r="AB224" s="62"/>
      <c r="AC224" s="62"/>
    </row>
    <row r="225" spans="2:29" s="61" customFormat="1" ht="12.75" x14ac:dyDescent="0.2">
      <c r="B225" s="62"/>
      <c r="P225" s="62"/>
      <c r="V225" s="62"/>
      <c r="X225" s="62"/>
      <c r="Y225" s="62"/>
      <c r="Z225" s="62"/>
      <c r="AA225" s="62"/>
      <c r="AB225" s="62"/>
      <c r="AC225" s="62"/>
    </row>
    <row r="226" spans="2:29" s="61" customFormat="1" ht="12.75" x14ac:dyDescent="0.2">
      <c r="B226" s="62"/>
      <c r="P226" s="62"/>
      <c r="V226" s="62"/>
      <c r="X226" s="62"/>
      <c r="Y226" s="62"/>
      <c r="Z226" s="62"/>
      <c r="AA226" s="62"/>
      <c r="AB226" s="62"/>
      <c r="AC226" s="62"/>
    </row>
    <row r="227" spans="2:29" s="61" customFormat="1" ht="12.75" x14ac:dyDescent="0.2">
      <c r="B227" s="62"/>
      <c r="P227" s="62"/>
      <c r="V227" s="62"/>
      <c r="X227" s="62"/>
      <c r="Y227" s="62"/>
      <c r="Z227" s="62"/>
      <c r="AA227" s="62"/>
      <c r="AB227" s="62"/>
      <c r="AC227" s="62"/>
    </row>
    <row r="228" spans="2:29" s="61" customFormat="1" ht="12.75" x14ac:dyDescent="0.2">
      <c r="B228" s="62"/>
      <c r="P228" s="62"/>
      <c r="V228" s="62"/>
      <c r="X228" s="62"/>
      <c r="Y228" s="62"/>
      <c r="Z228" s="62"/>
      <c r="AA228" s="62"/>
      <c r="AB228" s="62"/>
      <c r="AC228" s="62"/>
    </row>
    <row r="229" spans="2:29" s="61" customFormat="1" ht="12.75" x14ac:dyDescent="0.2">
      <c r="B229" s="62"/>
      <c r="P229" s="62"/>
      <c r="V229" s="62"/>
      <c r="X229" s="62"/>
      <c r="Y229" s="62"/>
      <c r="Z229" s="62"/>
      <c r="AA229" s="62"/>
      <c r="AB229" s="62"/>
      <c r="AC229" s="62"/>
    </row>
    <row r="230" spans="2:29" s="61" customFormat="1" ht="12.75" x14ac:dyDescent="0.2">
      <c r="B230" s="62"/>
      <c r="P230" s="62"/>
      <c r="V230" s="62"/>
      <c r="X230" s="62"/>
      <c r="Y230" s="62"/>
      <c r="Z230" s="62"/>
      <c r="AA230" s="62"/>
      <c r="AB230" s="62"/>
      <c r="AC230" s="62"/>
    </row>
    <row r="231" spans="2:29" s="61" customFormat="1" ht="12.75" x14ac:dyDescent="0.2">
      <c r="B231" s="62"/>
      <c r="P231" s="62"/>
      <c r="V231" s="62"/>
      <c r="X231" s="62"/>
      <c r="Y231" s="62"/>
      <c r="Z231" s="62"/>
      <c r="AA231" s="62"/>
      <c r="AB231" s="62"/>
      <c r="AC231" s="62"/>
    </row>
    <row r="232" spans="2:29" s="61" customFormat="1" ht="12.75" x14ac:dyDescent="0.2">
      <c r="B232" s="62"/>
      <c r="P232" s="62"/>
      <c r="V232" s="62"/>
      <c r="X232" s="62"/>
      <c r="Y232" s="62"/>
      <c r="Z232" s="62"/>
      <c r="AA232" s="62"/>
      <c r="AB232" s="62"/>
      <c r="AC232" s="62"/>
    </row>
    <row r="233" spans="2:29" s="61" customFormat="1" ht="12.75" x14ac:dyDescent="0.2">
      <c r="B233" s="62"/>
      <c r="P233" s="62"/>
      <c r="V233" s="62"/>
      <c r="X233" s="62"/>
      <c r="Y233" s="62"/>
      <c r="Z233" s="62"/>
      <c r="AA233" s="62"/>
      <c r="AB233" s="62"/>
      <c r="AC233" s="62"/>
    </row>
    <row r="234" spans="2:29" s="61" customFormat="1" ht="12.75" x14ac:dyDescent="0.2">
      <c r="B234" s="62"/>
      <c r="P234" s="62"/>
      <c r="V234" s="62"/>
      <c r="X234" s="62"/>
      <c r="Y234" s="62"/>
      <c r="Z234" s="62"/>
      <c r="AA234" s="62"/>
      <c r="AB234" s="62"/>
      <c r="AC234" s="62"/>
    </row>
    <row r="235" spans="2:29" s="61" customFormat="1" ht="12.75" x14ac:dyDescent="0.2">
      <c r="B235" s="62"/>
      <c r="P235" s="62"/>
      <c r="V235" s="62"/>
      <c r="X235" s="62"/>
      <c r="Y235" s="62"/>
      <c r="Z235" s="62"/>
      <c r="AA235" s="62"/>
      <c r="AB235" s="62"/>
      <c r="AC235" s="62"/>
    </row>
    <row r="236" spans="2:29" s="61" customFormat="1" ht="12.75" x14ac:dyDescent="0.2">
      <c r="B236" s="62"/>
      <c r="P236" s="62"/>
      <c r="V236" s="62"/>
      <c r="X236" s="62"/>
      <c r="Y236" s="62"/>
      <c r="Z236" s="62"/>
      <c r="AA236" s="62"/>
      <c r="AB236" s="62"/>
      <c r="AC236" s="62"/>
    </row>
    <row r="237" spans="2:29" s="61" customFormat="1" ht="12.75" x14ac:dyDescent="0.2">
      <c r="B237" s="62"/>
      <c r="P237" s="62"/>
      <c r="V237" s="62"/>
      <c r="X237" s="62"/>
      <c r="Y237" s="62"/>
      <c r="Z237" s="62"/>
      <c r="AA237" s="62"/>
      <c r="AB237" s="62"/>
      <c r="AC237" s="62"/>
    </row>
    <row r="238" spans="2:29" s="61" customFormat="1" ht="12.75" x14ac:dyDescent="0.2">
      <c r="B238" s="62"/>
      <c r="P238" s="62"/>
      <c r="V238" s="62"/>
      <c r="X238" s="62"/>
      <c r="Y238" s="62"/>
      <c r="Z238" s="62"/>
      <c r="AA238" s="62"/>
      <c r="AB238" s="62"/>
      <c r="AC238" s="62"/>
    </row>
    <row r="239" spans="2:29" s="61" customFormat="1" ht="12.75" x14ac:dyDescent="0.2">
      <c r="B239" s="62"/>
      <c r="P239" s="62"/>
      <c r="V239" s="62"/>
      <c r="X239" s="62"/>
      <c r="Y239" s="62"/>
      <c r="Z239" s="62"/>
      <c r="AA239" s="62"/>
      <c r="AB239" s="62"/>
      <c r="AC239" s="62"/>
    </row>
    <row r="240" spans="2:29" s="61" customFormat="1" ht="12.75" x14ac:dyDescent="0.2">
      <c r="B240" s="62"/>
      <c r="P240" s="62"/>
      <c r="V240" s="62"/>
      <c r="X240" s="62"/>
      <c r="Y240" s="62"/>
      <c r="Z240" s="62"/>
      <c r="AA240" s="62"/>
      <c r="AB240" s="62"/>
      <c r="AC240" s="62"/>
    </row>
    <row r="241" spans="2:29" s="61" customFormat="1" ht="12.75" x14ac:dyDescent="0.2">
      <c r="B241" s="62"/>
      <c r="P241" s="62"/>
      <c r="V241" s="62"/>
      <c r="X241" s="62"/>
      <c r="Y241" s="62"/>
      <c r="Z241" s="62"/>
      <c r="AA241" s="62"/>
      <c r="AB241" s="62"/>
      <c r="AC241" s="62"/>
    </row>
    <row r="242" spans="2:29" s="61" customFormat="1" ht="12.75" x14ac:dyDescent="0.2">
      <c r="B242" s="62"/>
      <c r="P242" s="62"/>
      <c r="V242" s="62"/>
      <c r="X242" s="62"/>
      <c r="Y242" s="62"/>
      <c r="Z242" s="62"/>
      <c r="AA242" s="62"/>
      <c r="AB242" s="62"/>
      <c r="AC242" s="62"/>
    </row>
    <row r="243" spans="2:29" s="61" customFormat="1" ht="12.75" x14ac:dyDescent="0.2">
      <c r="B243" s="62"/>
      <c r="P243" s="62"/>
      <c r="V243" s="62"/>
      <c r="X243" s="62"/>
      <c r="Y243" s="62"/>
      <c r="Z243" s="62"/>
      <c r="AA243" s="62"/>
      <c r="AB243" s="62"/>
      <c r="AC243" s="62"/>
    </row>
    <row r="244" spans="2:29" s="61" customFormat="1" ht="12.75" x14ac:dyDescent="0.2">
      <c r="B244" s="62"/>
      <c r="P244" s="62"/>
      <c r="V244" s="62"/>
      <c r="X244" s="62"/>
      <c r="Y244" s="62"/>
      <c r="Z244" s="62"/>
      <c r="AA244" s="62"/>
      <c r="AB244" s="62"/>
      <c r="AC244" s="62"/>
    </row>
    <row r="245" spans="2:29" s="61" customFormat="1" ht="12.75" x14ac:dyDescent="0.2">
      <c r="B245" s="62"/>
      <c r="P245" s="62"/>
      <c r="V245" s="62"/>
      <c r="X245" s="62"/>
      <c r="Y245" s="62"/>
      <c r="Z245" s="62"/>
      <c r="AA245" s="62"/>
      <c r="AB245" s="62"/>
      <c r="AC245" s="62"/>
    </row>
    <row r="246" spans="2:29" s="61" customFormat="1" ht="12.75" x14ac:dyDescent="0.2">
      <c r="B246" s="62"/>
      <c r="P246" s="62"/>
      <c r="V246" s="62"/>
      <c r="X246" s="62"/>
      <c r="Y246" s="62"/>
      <c r="Z246" s="62"/>
      <c r="AA246" s="62"/>
      <c r="AB246" s="62"/>
      <c r="AC246" s="62"/>
    </row>
    <row r="247" spans="2:29" s="61" customFormat="1" ht="12.75" x14ac:dyDescent="0.2">
      <c r="B247" s="62"/>
      <c r="P247" s="62"/>
      <c r="V247" s="62"/>
      <c r="X247" s="62"/>
      <c r="Y247" s="62"/>
      <c r="Z247" s="62"/>
      <c r="AA247" s="62"/>
      <c r="AB247" s="62"/>
      <c r="AC247" s="62"/>
    </row>
    <row r="248" spans="2:29" s="61" customFormat="1" ht="12.75" x14ac:dyDescent="0.2">
      <c r="B248" s="62"/>
      <c r="P248" s="62"/>
      <c r="V248" s="62"/>
      <c r="X248" s="62"/>
      <c r="Y248" s="62"/>
      <c r="Z248" s="62"/>
      <c r="AA248" s="62"/>
      <c r="AB248" s="62"/>
      <c r="AC248" s="62"/>
    </row>
    <row r="249" spans="2:29" s="61" customFormat="1" ht="12.75" x14ac:dyDescent="0.2">
      <c r="B249" s="62"/>
      <c r="P249" s="62"/>
      <c r="V249" s="62"/>
      <c r="X249" s="62"/>
      <c r="Y249" s="62"/>
      <c r="Z249" s="62"/>
      <c r="AA249" s="62"/>
      <c r="AB249" s="62"/>
      <c r="AC249" s="62"/>
    </row>
    <row r="250" spans="2:29" s="61" customFormat="1" ht="12.75" x14ac:dyDescent="0.2">
      <c r="B250" s="62"/>
      <c r="P250" s="62"/>
      <c r="V250" s="62"/>
      <c r="X250" s="62"/>
      <c r="Y250" s="62"/>
      <c r="Z250" s="62"/>
      <c r="AA250" s="62"/>
      <c r="AB250" s="62"/>
      <c r="AC250" s="62"/>
    </row>
    <row r="251" spans="2:29" s="61" customFormat="1" ht="12.75" x14ac:dyDescent="0.2">
      <c r="B251" s="62"/>
      <c r="P251" s="62"/>
      <c r="V251" s="62"/>
      <c r="X251" s="62"/>
      <c r="Y251" s="62"/>
      <c r="Z251" s="62"/>
      <c r="AA251" s="62"/>
      <c r="AB251" s="62"/>
      <c r="AC251" s="62"/>
    </row>
    <row r="252" spans="2:29" s="61" customFormat="1" ht="12.75" x14ac:dyDescent="0.2">
      <c r="B252" s="62"/>
      <c r="P252" s="62"/>
      <c r="V252" s="62"/>
      <c r="X252" s="62"/>
      <c r="Y252" s="62"/>
      <c r="Z252" s="62"/>
      <c r="AA252" s="62"/>
      <c r="AB252" s="62"/>
      <c r="AC252" s="62"/>
    </row>
    <row r="253" spans="2:29" s="61" customFormat="1" ht="12.75" x14ac:dyDescent="0.2">
      <c r="B253" s="62"/>
      <c r="P253" s="62"/>
      <c r="V253" s="62"/>
      <c r="X253" s="62"/>
      <c r="Y253" s="62"/>
      <c r="Z253" s="62"/>
      <c r="AA253" s="62"/>
      <c r="AB253" s="62"/>
      <c r="AC253" s="62"/>
    </row>
    <row r="254" spans="2:29" s="61" customFormat="1" ht="12.75" x14ac:dyDescent="0.2">
      <c r="B254" s="62"/>
      <c r="P254" s="62"/>
      <c r="V254" s="62"/>
      <c r="X254" s="62"/>
      <c r="Y254" s="62"/>
      <c r="Z254" s="62"/>
      <c r="AA254" s="62"/>
      <c r="AB254" s="62"/>
      <c r="AC254" s="62"/>
    </row>
    <row r="255" spans="2:29" s="61" customFormat="1" ht="12.75" x14ac:dyDescent="0.2">
      <c r="B255" s="62"/>
      <c r="P255" s="62"/>
      <c r="V255" s="62"/>
      <c r="X255" s="62"/>
      <c r="Y255" s="62"/>
      <c r="Z255" s="62"/>
      <c r="AA255" s="62"/>
      <c r="AB255" s="62"/>
      <c r="AC255" s="62"/>
    </row>
    <row r="256" spans="2:29" s="61" customFormat="1" ht="12.75" x14ac:dyDescent="0.2">
      <c r="B256" s="62"/>
      <c r="P256" s="62"/>
      <c r="V256" s="62"/>
      <c r="X256" s="62"/>
      <c r="Y256" s="62"/>
      <c r="Z256" s="62"/>
      <c r="AA256" s="62"/>
      <c r="AB256" s="62"/>
      <c r="AC256" s="62"/>
    </row>
    <row r="257" spans="2:29" s="61" customFormat="1" ht="12.75" x14ac:dyDescent="0.2">
      <c r="B257" s="62"/>
      <c r="P257" s="62"/>
      <c r="V257" s="62"/>
      <c r="X257" s="62"/>
      <c r="Y257" s="62"/>
      <c r="Z257" s="62"/>
      <c r="AA257" s="62"/>
      <c r="AB257" s="62"/>
      <c r="AC257" s="62"/>
    </row>
    <row r="258" spans="2:29" s="61" customFormat="1" ht="12.75" x14ac:dyDescent="0.2">
      <c r="B258" s="62"/>
      <c r="P258" s="62"/>
      <c r="V258" s="62"/>
      <c r="X258" s="62"/>
      <c r="Y258" s="62"/>
      <c r="Z258" s="62"/>
      <c r="AA258" s="62"/>
      <c r="AB258" s="62"/>
      <c r="AC258" s="62"/>
    </row>
    <row r="259" spans="2:29" s="61" customFormat="1" ht="12.75" x14ac:dyDescent="0.2">
      <c r="B259" s="62"/>
      <c r="P259" s="62"/>
      <c r="V259" s="62"/>
      <c r="X259" s="62"/>
      <c r="Y259" s="62"/>
      <c r="Z259" s="62"/>
      <c r="AA259" s="62"/>
      <c r="AB259" s="62"/>
      <c r="AC259" s="62"/>
    </row>
    <row r="260" spans="2:29" s="61" customFormat="1" ht="12.75" x14ac:dyDescent="0.2">
      <c r="B260" s="62"/>
      <c r="P260" s="62"/>
      <c r="V260" s="62"/>
      <c r="X260" s="62"/>
      <c r="Y260" s="62"/>
      <c r="Z260" s="62"/>
      <c r="AA260" s="62"/>
      <c r="AB260" s="62"/>
      <c r="AC260" s="62"/>
    </row>
    <row r="261" spans="2:29" s="61" customFormat="1" ht="12.75" x14ac:dyDescent="0.2">
      <c r="B261" s="62"/>
      <c r="P261" s="62"/>
      <c r="V261" s="62"/>
      <c r="X261" s="62"/>
      <c r="Y261" s="62"/>
      <c r="Z261" s="62"/>
      <c r="AA261" s="62"/>
      <c r="AB261" s="62"/>
      <c r="AC261" s="62"/>
    </row>
    <row r="262" spans="2:29" s="61" customFormat="1" ht="12.75" x14ac:dyDescent="0.2">
      <c r="B262" s="62"/>
      <c r="P262" s="62"/>
      <c r="V262" s="62"/>
      <c r="X262" s="62"/>
      <c r="Y262" s="62"/>
      <c r="Z262" s="62"/>
      <c r="AA262" s="62"/>
      <c r="AB262" s="62"/>
      <c r="AC262" s="62"/>
    </row>
    <row r="263" spans="2:29" s="61" customFormat="1" ht="12.75" x14ac:dyDescent="0.2">
      <c r="B263" s="62"/>
      <c r="P263" s="62"/>
      <c r="V263" s="62"/>
      <c r="X263" s="62"/>
      <c r="Y263" s="62"/>
      <c r="Z263" s="62"/>
      <c r="AA263" s="62"/>
      <c r="AB263" s="62"/>
      <c r="AC263" s="62"/>
    </row>
    <row r="264" spans="2:29" s="61" customFormat="1" ht="12.75" x14ac:dyDescent="0.2">
      <c r="B264" s="62"/>
      <c r="P264" s="62"/>
      <c r="V264" s="62"/>
      <c r="X264" s="62"/>
      <c r="Y264" s="62"/>
      <c r="Z264" s="62"/>
      <c r="AA264" s="62"/>
      <c r="AB264" s="62"/>
      <c r="AC264" s="62"/>
    </row>
    <row r="265" spans="2:29" s="61" customFormat="1" ht="12.75" x14ac:dyDescent="0.2">
      <c r="B265" s="62"/>
      <c r="P265" s="62"/>
      <c r="V265" s="62"/>
      <c r="X265" s="62"/>
      <c r="Y265" s="62"/>
      <c r="Z265" s="62"/>
      <c r="AA265" s="62"/>
      <c r="AB265" s="62"/>
      <c r="AC265" s="62"/>
    </row>
    <row r="266" spans="2:29" s="61" customFormat="1" ht="12.75" x14ac:dyDescent="0.2">
      <c r="B266" s="62"/>
      <c r="P266" s="62"/>
      <c r="V266" s="62"/>
      <c r="X266" s="62"/>
      <c r="Y266" s="62"/>
      <c r="Z266" s="62"/>
      <c r="AA266" s="62"/>
      <c r="AB266" s="62"/>
      <c r="AC266" s="62"/>
    </row>
    <row r="267" spans="2:29" s="61" customFormat="1" ht="12.75" x14ac:dyDescent="0.2">
      <c r="B267" s="62"/>
      <c r="P267" s="62"/>
      <c r="V267" s="62"/>
      <c r="X267" s="62"/>
      <c r="Y267" s="62"/>
      <c r="Z267" s="62"/>
      <c r="AA267" s="62"/>
      <c r="AB267" s="62"/>
      <c r="AC267" s="62"/>
    </row>
    <row r="268" spans="2:29" s="61" customFormat="1" ht="12.75" x14ac:dyDescent="0.2">
      <c r="B268" s="62"/>
      <c r="P268" s="62"/>
      <c r="V268" s="62"/>
      <c r="X268" s="62"/>
      <c r="Y268" s="62"/>
      <c r="Z268" s="62"/>
      <c r="AA268" s="62"/>
      <c r="AB268" s="62"/>
      <c r="AC268" s="62"/>
    </row>
    <row r="269" spans="2:29" s="61" customFormat="1" ht="12.75" x14ac:dyDescent="0.2">
      <c r="B269" s="62"/>
      <c r="P269" s="62"/>
      <c r="V269" s="62"/>
      <c r="X269" s="62"/>
      <c r="Y269" s="62"/>
      <c r="Z269" s="62"/>
      <c r="AA269" s="62"/>
      <c r="AB269" s="62"/>
      <c r="AC269" s="62"/>
    </row>
    <row r="270" spans="2:29" s="61" customFormat="1" ht="12.75" x14ac:dyDescent="0.2">
      <c r="B270" s="62"/>
      <c r="P270" s="62"/>
      <c r="V270" s="62"/>
      <c r="X270" s="62"/>
      <c r="Y270" s="62"/>
      <c r="Z270" s="62"/>
      <c r="AA270" s="62"/>
      <c r="AB270" s="62"/>
      <c r="AC270" s="62"/>
    </row>
    <row r="271" spans="2:29" s="61" customFormat="1" ht="12.75" x14ac:dyDescent="0.2">
      <c r="B271" s="62"/>
      <c r="P271" s="62"/>
      <c r="V271" s="62"/>
      <c r="X271" s="62"/>
      <c r="Y271" s="62"/>
      <c r="Z271" s="62"/>
      <c r="AA271" s="62"/>
      <c r="AB271" s="62"/>
      <c r="AC271" s="62"/>
    </row>
    <row r="272" spans="2:29" s="61" customFormat="1" ht="12.75" x14ac:dyDescent="0.2">
      <c r="B272" s="62"/>
      <c r="P272" s="62"/>
      <c r="V272" s="62"/>
      <c r="X272" s="62"/>
      <c r="Y272" s="62"/>
      <c r="Z272" s="62"/>
      <c r="AA272" s="62"/>
      <c r="AB272" s="62"/>
      <c r="AC272" s="62"/>
    </row>
    <row r="273" spans="2:29" s="61" customFormat="1" ht="12.75" x14ac:dyDescent="0.2">
      <c r="B273" s="62"/>
      <c r="P273" s="62"/>
      <c r="V273" s="62"/>
      <c r="X273" s="62"/>
      <c r="Y273" s="62"/>
      <c r="Z273" s="62"/>
      <c r="AA273" s="62"/>
      <c r="AB273" s="62"/>
      <c r="AC273" s="62"/>
    </row>
    <row r="274" spans="2:29" s="61" customFormat="1" ht="12.75" x14ac:dyDescent="0.2">
      <c r="B274" s="62"/>
      <c r="P274" s="62"/>
      <c r="V274" s="62"/>
      <c r="X274" s="62"/>
      <c r="Y274" s="62"/>
      <c r="Z274" s="62"/>
      <c r="AA274" s="62"/>
      <c r="AB274" s="62"/>
      <c r="AC274" s="62"/>
    </row>
    <row r="275" spans="2:29" s="61" customFormat="1" ht="12.75" x14ac:dyDescent="0.2">
      <c r="B275" s="62"/>
      <c r="P275" s="62"/>
      <c r="V275" s="62"/>
      <c r="X275" s="62"/>
      <c r="Y275" s="62"/>
      <c r="Z275" s="62"/>
      <c r="AA275" s="62"/>
      <c r="AB275" s="62"/>
      <c r="AC275" s="62"/>
    </row>
    <row r="276" spans="2:29" s="61" customFormat="1" ht="12.75" x14ac:dyDescent="0.2">
      <c r="B276" s="62"/>
      <c r="P276" s="62"/>
      <c r="V276" s="62"/>
      <c r="X276" s="62"/>
      <c r="Y276" s="62"/>
      <c r="Z276" s="62"/>
      <c r="AA276" s="62"/>
      <c r="AB276" s="62"/>
      <c r="AC276" s="62"/>
    </row>
    <row r="277" spans="2:29" s="61" customFormat="1" ht="12.75" x14ac:dyDescent="0.2">
      <c r="B277" s="62"/>
      <c r="P277" s="62"/>
      <c r="V277" s="62"/>
      <c r="X277" s="62"/>
      <c r="Y277" s="62"/>
      <c r="Z277" s="62"/>
      <c r="AA277" s="62"/>
      <c r="AB277" s="62"/>
      <c r="AC277" s="62"/>
    </row>
    <row r="278" spans="2:29" s="61" customFormat="1" ht="12.75" x14ac:dyDescent="0.2">
      <c r="B278" s="62"/>
      <c r="P278" s="62"/>
      <c r="V278" s="62"/>
      <c r="X278" s="62"/>
      <c r="Y278" s="62"/>
      <c r="Z278" s="62"/>
      <c r="AA278" s="62"/>
      <c r="AB278" s="62"/>
      <c r="AC278" s="62"/>
    </row>
    <row r="279" spans="2:29" s="61" customFormat="1" ht="12.75" x14ac:dyDescent="0.2">
      <c r="B279" s="62"/>
      <c r="P279" s="62"/>
      <c r="V279" s="62"/>
      <c r="X279" s="62"/>
      <c r="Y279" s="62"/>
      <c r="Z279" s="62"/>
      <c r="AA279" s="62"/>
      <c r="AB279" s="62"/>
      <c r="AC279" s="62"/>
    </row>
    <row r="280" spans="2:29" s="61" customFormat="1" ht="12.75" x14ac:dyDescent="0.2">
      <c r="B280" s="62"/>
      <c r="P280" s="62"/>
      <c r="V280" s="62"/>
      <c r="X280" s="62"/>
      <c r="Y280" s="62"/>
      <c r="Z280" s="62"/>
      <c r="AA280" s="62"/>
      <c r="AB280" s="62"/>
      <c r="AC280" s="62"/>
    </row>
    <row r="281" spans="2:29" s="61" customFormat="1" ht="12.75" x14ac:dyDescent="0.2">
      <c r="B281" s="62"/>
      <c r="P281" s="62"/>
      <c r="V281" s="62"/>
      <c r="X281" s="62"/>
      <c r="Y281" s="62"/>
      <c r="Z281" s="62"/>
      <c r="AA281" s="62"/>
      <c r="AB281" s="62"/>
      <c r="AC281" s="62"/>
    </row>
    <row r="282" spans="2:29" s="61" customFormat="1" ht="12.75" x14ac:dyDescent="0.2">
      <c r="B282" s="62"/>
      <c r="P282" s="62"/>
      <c r="V282" s="62"/>
      <c r="X282" s="62"/>
      <c r="Y282" s="62"/>
      <c r="Z282" s="62"/>
      <c r="AA282" s="62"/>
      <c r="AB282" s="62"/>
      <c r="AC282" s="62"/>
    </row>
    <row r="283" spans="2:29" s="61" customFormat="1" ht="12.75" x14ac:dyDescent="0.2">
      <c r="B283" s="62"/>
      <c r="P283" s="62"/>
      <c r="V283" s="62"/>
      <c r="X283" s="62"/>
      <c r="Y283" s="62"/>
      <c r="Z283" s="62"/>
      <c r="AA283" s="62"/>
      <c r="AB283" s="62"/>
      <c r="AC283" s="62"/>
    </row>
    <row r="284" spans="2:29" s="61" customFormat="1" ht="12.75" x14ac:dyDescent="0.2">
      <c r="B284" s="62"/>
      <c r="P284" s="62"/>
      <c r="V284" s="62"/>
      <c r="X284" s="62"/>
      <c r="Y284" s="62"/>
      <c r="Z284" s="62"/>
      <c r="AA284" s="62"/>
      <c r="AB284" s="62"/>
      <c r="AC284" s="62"/>
    </row>
    <row r="285" spans="2:29" s="61" customFormat="1" ht="12.75" x14ac:dyDescent="0.2">
      <c r="B285" s="62"/>
      <c r="P285" s="62"/>
      <c r="V285" s="62"/>
      <c r="X285" s="62"/>
      <c r="Y285" s="62"/>
      <c r="Z285" s="62"/>
      <c r="AA285" s="62"/>
      <c r="AB285" s="62"/>
      <c r="AC285" s="62"/>
    </row>
    <row r="286" spans="2:29" s="61" customFormat="1" ht="12.75" x14ac:dyDescent="0.2">
      <c r="B286" s="62"/>
      <c r="P286" s="62"/>
      <c r="V286" s="62"/>
      <c r="X286" s="62"/>
      <c r="Y286" s="62"/>
      <c r="Z286" s="62"/>
      <c r="AA286" s="62"/>
      <c r="AB286" s="62"/>
      <c r="AC286" s="62"/>
    </row>
    <row r="287" spans="2:29" s="61" customFormat="1" ht="12.75" x14ac:dyDescent="0.2">
      <c r="B287" s="62"/>
      <c r="P287" s="62"/>
      <c r="V287" s="62"/>
      <c r="X287" s="62"/>
      <c r="Y287" s="62"/>
      <c r="Z287" s="62"/>
      <c r="AA287" s="62"/>
      <c r="AB287" s="62"/>
      <c r="AC287" s="62"/>
    </row>
    <row r="288" spans="2:29" s="61" customFormat="1" ht="12.75" x14ac:dyDescent="0.2">
      <c r="B288" s="62"/>
      <c r="P288" s="62"/>
      <c r="V288" s="62"/>
      <c r="X288" s="62"/>
      <c r="Y288" s="62"/>
      <c r="Z288" s="62"/>
      <c r="AA288" s="62"/>
      <c r="AB288" s="62"/>
      <c r="AC288" s="62"/>
    </row>
    <row r="289" spans="2:29" s="61" customFormat="1" ht="12.75" x14ac:dyDescent="0.2">
      <c r="B289" s="62"/>
      <c r="P289" s="62"/>
      <c r="V289" s="62"/>
      <c r="X289" s="62"/>
      <c r="Y289" s="62"/>
      <c r="Z289" s="62"/>
      <c r="AA289" s="62"/>
      <c r="AB289" s="62"/>
      <c r="AC289" s="62"/>
    </row>
    <row r="290" spans="2:29" s="61" customFormat="1" ht="12.75" x14ac:dyDescent="0.2">
      <c r="B290" s="62"/>
      <c r="P290" s="62"/>
      <c r="V290" s="62"/>
      <c r="X290" s="62"/>
      <c r="Y290" s="62"/>
      <c r="Z290" s="62"/>
      <c r="AA290" s="62"/>
      <c r="AB290" s="62"/>
      <c r="AC290" s="62"/>
    </row>
    <row r="291" spans="2:29" s="61" customFormat="1" ht="12.75" x14ac:dyDescent="0.2">
      <c r="B291" s="62"/>
      <c r="P291" s="62"/>
      <c r="V291" s="62"/>
      <c r="X291" s="62"/>
      <c r="Y291" s="62"/>
      <c r="Z291" s="62"/>
      <c r="AA291" s="62"/>
      <c r="AB291" s="62"/>
      <c r="AC291" s="62"/>
    </row>
    <row r="292" spans="2:29" s="61" customFormat="1" ht="12.75" x14ac:dyDescent="0.2">
      <c r="B292" s="62"/>
      <c r="P292" s="62"/>
      <c r="V292" s="62"/>
      <c r="X292" s="62"/>
      <c r="Y292" s="62"/>
      <c r="Z292" s="62"/>
      <c r="AA292" s="62"/>
      <c r="AB292" s="62"/>
      <c r="AC292" s="62"/>
    </row>
    <row r="293" spans="2:29" s="61" customFormat="1" ht="12.75" x14ac:dyDescent="0.2">
      <c r="B293" s="62"/>
      <c r="P293" s="62"/>
      <c r="V293" s="62"/>
      <c r="X293" s="62"/>
      <c r="Y293" s="62"/>
      <c r="Z293" s="62"/>
      <c r="AA293" s="62"/>
      <c r="AB293" s="62"/>
      <c r="AC293" s="62"/>
    </row>
    <row r="294" spans="2:29" s="61" customFormat="1" ht="12.75" x14ac:dyDescent="0.2">
      <c r="B294" s="62"/>
      <c r="P294" s="62"/>
      <c r="V294" s="62"/>
      <c r="X294" s="62"/>
      <c r="Y294" s="62"/>
      <c r="Z294" s="62"/>
      <c r="AA294" s="62"/>
      <c r="AB294" s="62"/>
      <c r="AC294" s="62"/>
    </row>
    <row r="295" spans="2:29" s="61" customFormat="1" ht="12.75" x14ac:dyDescent="0.2">
      <c r="B295" s="62"/>
      <c r="P295" s="62"/>
      <c r="V295" s="62"/>
      <c r="X295" s="62"/>
      <c r="Y295" s="62"/>
      <c r="Z295" s="62"/>
      <c r="AA295" s="62"/>
      <c r="AB295" s="62"/>
      <c r="AC295" s="62"/>
    </row>
    <row r="296" spans="2:29" s="61" customFormat="1" ht="12.75" x14ac:dyDescent="0.2">
      <c r="B296" s="62"/>
      <c r="P296" s="62"/>
      <c r="V296" s="62"/>
      <c r="X296" s="62"/>
      <c r="Y296" s="62"/>
      <c r="Z296" s="62"/>
      <c r="AA296" s="62"/>
      <c r="AB296" s="62"/>
      <c r="AC296" s="62"/>
    </row>
    <row r="297" spans="2:29" s="61" customFormat="1" ht="12.75" x14ac:dyDescent="0.2">
      <c r="B297" s="62"/>
      <c r="P297" s="62"/>
      <c r="V297" s="62"/>
      <c r="X297" s="62"/>
      <c r="Y297" s="62"/>
      <c r="Z297" s="62"/>
      <c r="AA297" s="62"/>
      <c r="AB297" s="62"/>
      <c r="AC297" s="62"/>
    </row>
    <row r="298" spans="2:29" s="61" customFormat="1" ht="12.75" x14ac:dyDescent="0.2">
      <c r="B298" s="62"/>
      <c r="P298" s="62"/>
      <c r="V298" s="62"/>
      <c r="X298" s="62"/>
      <c r="Y298" s="62"/>
      <c r="Z298" s="62"/>
      <c r="AA298" s="62"/>
      <c r="AB298" s="62"/>
      <c r="AC298" s="62"/>
    </row>
    <row r="299" spans="2:29" s="61" customFormat="1" ht="12.75" x14ac:dyDescent="0.2">
      <c r="B299" s="62"/>
      <c r="P299" s="62"/>
      <c r="V299" s="62"/>
      <c r="X299" s="62"/>
      <c r="Y299" s="62"/>
      <c r="Z299" s="62"/>
      <c r="AA299" s="62"/>
      <c r="AB299" s="62"/>
      <c r="AC299" s="62"/>
    </row>
    <row r="300" spans="2:29" s="61" customFormat="1" ht="12.75" x14ac:dyDescent="0.2">
      <c r="B300" s="62"/>
      <c r="P300" s="62"/>
      <c r="V300" s="62"/>
      <c r="X300" s="62"/>
      <c r="Y300" s="62"/>
      <c r="Z300" s="62"/>
      <c r="AA300" s="62"/>
      <c r="AB300" s="62"/>
      <c r="AC300" s="62"/>
    </row>
    <row r="301" spans="2:29" s="61" customFormat="1" ht="12.75" x14ac:dyDescent="0.2">
      <c r="B301" s="62"/>
      <c r="P301" s="62"/>
      <c r="V301" s="62"/>
      <c r="X301" s="62"/>
      <c r="Y301" s="62"/>
      <c r="Z301" s="62"/>
      <c r="AA301" s="62"/>
      <c r="AB301" s="62"/>
      <c r="AC301" s="62"/>
    </row>
    <row r="302" spans="2:29" s="61" customFormat="1" ht="12.75" x14ac:dyDescent="0.2">
      <c r="B302" s="62"/>
      <c r="P302" s="62"/>
      <c r="V302" s="62"/>
      <c r="X302" s="62"/>
      <c r="Y302" s="62"/>
      <c r="Z302" s="62"/>
      <c r="AA302" s="62"/>
      <c r="AB302" s="62"/>
      <c r="AC302" s="62"/>
    </row>
    <row r="303" spans="2:29" s="61" customFormat="1" ht="12.75" x14ac:dyDescent="0.2">
      <c r="B303" s="62"/>
      <c r="P303" s="62"/>
      <c r="V303" s="62"/>
      <c r="X303" s="62"/>
      <c r="Y303" s="62"/>
      <c r="Z303" s="62"/>
      <c r="AA303" s="62"/>
      <c r="AB303" s="62"/>
      <c r="AC303" s="62"/>
    </row>
    <row r="304" spans="2:29" s="61" customFormat="1" ht="12.75" x14ac:dyDescent="0.2">
      <c r="B304" s="62"/>
      <c r="P304" s="62"/>
      <c r="V304" s="62"/>
      <c r="X304" s="62"/>
      <c r="Y304" s="62"/>
      <c r="Z304" s="62"/>
      <c r="AA304" s="62"/>
      <c r="AB304" s="62"/>
      <c r="AC304" s="62"/>
    </row>
    <row r="305" spans="2:29" s="61" customFormat="1" ht="12.75" x14ac:dyDescent="0.2">
      <c r="B305" s="62"/>
      <c r="P305" s="62"/>
      <c r="V305" s="62"/>
      <c r="X305" s="62"/>
      <c r="Y305" s="62"/>
      <c r="Z305" s="62"/>
      <c r="AA305" s="62"/>
      <c r="AB305" s="62"/>
      <c r="AC305" s="62"/>
    </row>
    <row r="306" spans="2:29" s="61" customFormat="1" ht="12.75" x14ac:dyDescent="0.2">
      <c r="B306" s="62"/>
      <c r="P306" s="62"/>
      <c r="V306" s="62"/>
      <c r="X306" s="62"/>
      <c r="Y306" s="62"/>
      <c r="Z306" s="62"/>
      <c r="AA306" s="62"/>
      <c r="AB306" s="62"/>
      <c r="AC306" s="62"/>
    </row>
    <row r="307" spans="2:29" s="61" customFormat="1" ht="12.75" x14ac:dyDescent="0.2">
      <c r="B307" s="62"/>
      <c r="P307" s="62"/>
      <c r="V307" s="62"/>
      <c r="X307" s="62"/>
      <c r="Y307" s="62"/>
      <c r="Z307" s="62"/>
      <c r="AA307" s="62"/>
      <c r="AB307" s="62"/>
      <c r="AC307" s="62"/>
    </row>
    <row r="308" spans="2:29" s="61" customFormat="1" ht="12.75" x14ac:dyDescent="0.2">
      <c r="B308" s="62"/>
      <c r="P308" s="62"/>
      <c r="V308" s="62"/>
      <c r="X308" s="62"/>
      <c r="Y308" s="62"/>
      <c r="Z308" s="62"/>
      <c r="AA308" s="62"/>
      <c r="AB308" s="62"/>
      <c r="AC308" s="62"/>
    </row>
    <row r="309" spans="2:29" s="61" customFormat="1" ht="12.75" x14ac:dyDescent="0.2">
      <c r="B309" s="62"/>
      <c r="P309" s="62"/>
      <c r="V309" s="62"/>
      <c r="X309" s="62"/>
      <c r="Y309" s="62"/>
      <c r="Z309" s="62"/>
      <c r="AA309" s="62"/>
      <c r="AB309" s="62"/>
      <c r="AC309" s="62"/>
    </row>
    <row r="310" spans="2:29" s="61" customFormat="1" ht="12.75" x14ac:dyDescent="0.2">
      <c r="B310" s="62"/>
      <c r="P310" s="62"/>
      <c r="V310" s="62"/>
      <c r="X310" s="62"/>
      <c r="Y310" s="62"/>
      <c r="Z310" s="62"/>
      <c r="AA310" s="62"/>
      <c r="AB310" s="62"/>
      <c r="AC310" s="62"/>
    </row>
    <row r="311" spans="2:29" s="61" customFormat="1" ht="12.75" x14ac:dyDescent="0.2">
      <c r="B311" s="62"/>
      <c r="P311" s="62"/>
      <c r="V311" s="62"/>
      <c r="X311" s="62"/>
      <c r="Y311" s="62"/>
      <c r="Z311" s="62"/>
      <c r="AA311" s="62"/>
      <c r="AB311" s="62"/>
      <c r="AC311" s="62"/>
    </row>
    <row r="312" spans="2:29" s="61" customFormat="1" ht="12.75" x14ac:dyDescent="0.2">
      <c r="B312" s="62"/>
      <c r="P312" s="62"/>
      <c r="V312" s="62"/>
      <c r="X312" s="62"/>
      <c r="Y312" s="62"/>
      <c r="Z312" s="62"/>
      <c r="AA312" s="62"/>
      <c r="AB312" s="62"/>
      <c r="AC312" s="62"/>
    </row>
    <row r="313" spans="2:29" s="61" customFormat="1" ht="12.75" x14ac:dyDescent="0.2">
      <c r="B313" s="62"/>
      <c r="P313" s="62"/>
      <c r="V313" s="62"/>
      <c r="X313" s="62"/>
      <c r="Y313" s="62"/>
      <c r="Z313" s="62"/>
      <c r="AA313" s="62"/>
      <c r="AB313" s="62"/>
      <c r="AC313" s="62"/>
    </row>
    <row r="314" spans="2:29" s="61" customFormat="1" ht="12.75" x14ac:dyDescent="0.2">
      <c r="B314" s="62"/>
      <c r="P314" s="62"/>
      <c r="V314" s="62"/>
      <c r="X314" s="62"/>
      <c r="Y314" s="62"/>
      <c r="Z314" s="62"/>
      <c r="AA314" s="62"/>
      <c r="AB314" s="62"/>
      <c r="AC314" s="62"/>
    </row>
    <row r="315" spans="2:29" s="61" customFormat="1" ht="12.75" x14ac:dyDescent="0.2">
      <c r="B315" s="62"/>
      <c r="P315" s="62"/>
      <c r="V315" s="62"/>
      <c r="X315" s="62"/>
      <c r="Y315" s="62"/>
      <c r="Z315" s="62"/>
      <c r="AA315" s="62"/>
      <c r="AB315" s="62"/>
      <c r="AC315" s="62"/>
    </row>
    <row r="316" spans="2:29" s="61" customFormat="1" ht="12.75" x14ac:dyDescent="0.2">
      <c r="B316" s="62"/>
      <c r="P316" s="62"/>
      <c r="V316" s="62"/>
      <c r="X316" s="62"/>
      <c r="Y316" s="62"/>
      <c r="Z316" s="62"/>
      <c r="AA316" s="62"/>
      <c r="AB316" s="62"/>
      <c r="AC316" s="62"/>
    </row>
    <row r="317" spans="2:29" s="61" customFormat="1" ht="12.75" x14ac:dyDescent="0.2">
      <c r="B317" s="62"/>
      <c r="P317" s="62"/>
      <c r="V317" s="62"/>
      <c r="X317" s="62"/>
      <c r="Y317" s="62"/>
      <c r="Z317" s="62"/>
      <c r="AA317" s="62"/>
      <c r="AB317" s="62"/>
      <c r="AC317" s="62"/>
    </row>
    <row r="318" spans="2:29" s="61" customFormat="1" ht="12.75" x14ac:dyDescent="0.2">
      <c r="B318" s="62"/>
      <c r="P318" s="62"/>
      <c r="V318" s="62"/>
      <c r="X318" s="62"/>
      <c r="Y318" s="62"/>
      <c r="Z318" s="62"/>
      <c r="AA318" s="62"/>
      <c r="AB318" s="62"/>
      <c r="AC318" s="62"/>
    </row>
    <row r="319" spans="2:29" s="61" customFormat="1" ht="12.75" x14ac:dyDescent="0.2">
      <c r="B319" s="62"/>
      <c r="P319" s="62"/>
      <c r="V319" s="62"/>
      <c r="X319" s="62"/>
      <c r="Y319" s="62"/>
      <c r="Z319" s="62"/>
      <c r="AA319" s="62"/>
      <c r="AB319" s="62"/>
      <c r="AC319" s="62"/>
    </row>
    <row r="320" spans="2:29" s="61" customFormat="1" ht="12.75" x14ac:dyDescent="0.2">
      <c r="B320" s="62"/>
      <c r="P320" s="62"/>
      <c r="V320" s="62"/>
      <c r="X320" s="62"/>
      <c r="Y320" s="62"/>
      <c r="Z320" s="62"/>
      <c r="AA320" s="62"/>
      <c r="AB320" s="62"/>
      <c r="AC320" s="62"/>
    </row>
    <row r="321" spans="2:29" s="61" customFormat="1" ht="12.75" x14ac:dyDescent="0.2">
      <c r="B321" s="62"/>
      <c r="P321" s="62"/>
      <c r="V321" s="62"/>
      <c r="X321" s="62"/>
      <c r="Y321" s="62"/>
      <c r="Z321" s="62"/>
      <c r="AA321" s="62"/>
      <c r="AB321" s="62"/>
      <c r="AC321" s="62"/>
    </row>
    <row r="322" spans="2:29" s="61" customFormat="1" ht="12.75" x14ac:dyDescent="0.2">
      <c r="B322" s="62"/>
      <c r="P322" s="62"/>
      <c r="V322" s="62"/>
      <c r="X322" s="62"/>
      <c r="Y322" s="62"/>
      <c r="Z322" s="62"/>
      <c r="AA322" s="62"/>
      <c r="AB322" s="62"/>
      <c r="AC322" s="62"/>
    </row>
    <row r="323" spans="2:29" s="61" customFormat="1" ht="12.75" x14ac:dyDescent="0.2">
      <c r="B323" s="62"/>
      <c r="P323" s="62"/>
      <c r="V323" s="62"/>
      <c r="X323" s="62"/>
      <c r="Y323" s="62"/>
      <c r="Z323" s="62"/>
      <c r="AA323" s="62"/>
      <c r="AB323" s="62"/>
      <c r="AC323" s="62"/>
    </row>
    <row r="324" spans="2:29" s="61" customFormat="1" ht="12.75" x14ac:dyDescent="0.2">
      <c r="B324" s="62"/>
      <c r="P324" s="62"/>
      <c r="V324" s="62"/>
      <c r="X324" s="62"/>
      <c r="Y324" s="62"/>
      <c r="Z324" s="62"/>
      <c r="AA324" s="62"/>
      <c r="AB324" s="62"/>
      <c r="AC324" s="62"/>
    </row>
    <row r="325" spans="2:29" s="61" customFormat="1" ht="12.75" x14ac:dyDescent="0.2">
      <c r="B325" s="62"/>
      <c r="P325" s="62"/>
      <c r="V325" s="62"/>
      <c r="X325" s="62"/>
      <c r="Y325" s="62"/>
      <c r="Z325" s="62"/>
      <c r="AA325" s="62"/>
      <c r="AB325" s="62"/>
      <c r="AC325" s="62"/>
    </row>
    <row r="326" spans="2:29" s="61" customFormat="1" ht="12.75" x14ac:dyDescent="0.2">
      <c r="B326" s="62"/>
      <c r="P326" s="62"/>
      <c r="V326" s="62"/>
      <c r="X326" s="62"/>
      <c r="Y326" s="62"/>
      <c r="Z326" s="62"/>
      <c r="AA326" s="62"/>
      <c r="AB326" s="62"/>
      <c r="AC326" s="62"/>
    </row>
    <row r="327" spans="2:29" s="61" customFormat="1" ht="12.75" x14ac:dyDescent="0.2">
      <c r="B327" s="62"/>
      <c r="P327" s="62"/>
      <c r="V327" s="62"/>
      <c r="X327" s="62"/>
      <c r="Y327" s="62"/>
      <c r="Z327" s="62"/>
      <c r="AA327" s="62"/>
      <c r="AB327" s="62"/>
      <c r="AC327" s="62"/>
    </row>
    <row r="328" spans="2:29" s="61" customFormat="1" ht="12.75" x14ac:dyDescent="0.2">
      <c r="B328" s="62"/>
      <c r="P328" s="62"/>
      <c r="V328" s="62"/>
      <c r="X328" s="62"/>
      <c r="Y328" s="62"/>
      <c r="Z328" s="62"/>
      <c r="AA328" s="62"/>
      <c r="AB328" s="62"/>
      <c r="AC328" s="62"/>
    </row>
    <row r="329" spans="2:29" s="61" customFormat="1" ht="12.75" x14ac:dyDescent="0.2">
      <c r="B329" s="62"/>
      <c r="P329" s="62"/>
      <c r="V329" s="62"/>
      <c r="X329" s="62"/>
      <c r="Y329" s="62"/>
      <c r="Z329" s="62"/>
      <c r="AA329" s="62"/>
      <c r="AB329" s="62"/>
      <c r="AC329" s="62"/>
    </row>
    <row r="330" spans="2:29" s="61" customFormat="1" ht="12.75" x14ac:dyDescent="0.2">
      <c r="B330" s="62"/>
      <c r="P330" s="62"/>
      <c r="V330" s="62"/>
      <c r="X330" s="62"/>
      <c r="Y330" s="62"/>
      <c r="Z330" s="62"/>
      <c r="AA330" s="62"/>
      <c r="AB330" s="62"/>
      <c r="AC330" s="62"/>
    </row>
    <row r="331" spans="2:29" s="61" customFormat="1" ht="12.75" x14ac:dyDescent="0.2">
      <c r="B331" s="62"/>
      <c r="P331" s="62"/>
      <c r="V331" s="62"/>
      <c r="X331" s="62"/>
      <c r="Y331" s="62"/>
      <c r="Z331" s="62"/>
      <c r="AA331" s="62"/>
      <c r="AB331" s="62"/>
      <c r="AC331" s="62"/>
    </row>
    <row r="332" spans="2:29" s="61" customFormat="1" ht="12.75" x14ac:dyDescent="0.2">
      <c r="B332" s="62"/>
      <c r="P332" s="62"/>
      <c r="V332" s="62"/>
      <c r="X332" s="62"/>
      <c r="Y332" s="62"/>
      <c r="Z332" s="62"/>
      <c r="AA332" s="62"/>
      <c r="AB332" s="62"/>
      <c r="AC332" s="62"/>
    </row>
    <row r="333" spans="2:29" s="61" customFormat="1" ht="12.75" x14ac:dyDescent="0.2">
      <c r="B333" s="62"/>
      <c r="P333" s="62"/>
      <c r="V333" s="62"/>
      <c r="X333" s="62"/>
      <c r="Y333" s="62"/>
      <c r="Z333" s="62"/>
      <c r="AA333" s="62"/>
      <c r="AB333" s="62"/>
      <c r="AC333" s="62"/>
    </row>
    <row r="334" spans="2:29" s="61" customFormat="1" ht="12.75" x14ac:dyDescent="0.2">
      <c r="B334" s="62"/>
      <c r="P334" s="62"/>
      <c r="V334" s="62"/>
      <c r="X334" s="62"/>
      <c r="Y334" s="62"/>
      <c r="Z334" s="62"/>
      <c r="AA334" s="62"/>
      <c r="AB334" s="62"/>
      <c r="AC334" s="62"/>
    </row>
    <row r="335" spans="2:29" s="61" customFormat="1" ht="12.75" x14ac:dyDescent="0.2">
      <c r="B335" s="62"/>
      <c r="P335" s="62"/>
      <c r="V335" s="62"/>
      <c r="X335" s="62"/>
      <c r="Y335" s="62"/>
      <c r="Z335" s="62"/>
      <c r="AA335" s="62"/>
      <c r="AB335" s="62"/>
      <c r="AC335" s="62"/>
    </row>
    <row r="336" spans="2:29" s="61" customFormat="1" ht="12.75" x14ac:dyDescent="0.2">
      <c r="B336" s="62"/>
      <c r="P336" s="62"/>
      <c r="V336" s="62"/>
      <c r="X336" s="62"/>
      <c r="Y336" s="62"/>
      <c r="Z336" s="62"/>
      <c r="AA336" s="62"/>
      <c r="AB336" s="62"/>
      <c r="AC336" s="62"/>
    </row>
    <row r="337" spans="2:29" s="61" customFormat="1" ht="12.75" x14ac:dyDescent="0.2">
      <c r="B337" s="62"/>
      <c r="P337" s="62"/>
      <c r="V337" s="62"/>
      <c r="X337" s="62"/>
      <c r="Y337" s="62"/>
      <c r="Z337" s="62"/>
      <c r="AA337" s="62"/>
      <c r="AB337" s="62"/>
      <c r="AC337" s="62"/>
    </row>
    <row r="338" spans="2:29" s="61" customFormat="1" ht="12.75" x14ac:dyDescent="0.2">
      <c r="B338" s="62"/>
      <c r="P338" s="62"/>
      <c r="V338" s="62"/>
      <c r="X338" s="62"/>
      <c r="Y338" s="62"/>
      <c r="Z338" s="62"/>
      <c r="AA338" s="62"/>
      <c r="AB338" s="62"/>
      <c r="AC338" s="62"/>
    </row>
    <row r="339" spans="2:29" s="61" customFormat="1" ht="12.75" x14ac:dyDescent="0.2">
      <c r="B339" s="62"/>
      <c r="P339" s="62"/>
      <c r="V339" s="62"/>
      <c r="X339" s="62"/>
      <c r="Y339" s="62"/>
      <c r="Z339" s="62"/>
      <c r="AA339" s="62"/>
      <c r="AB339" s="62"/>
      <c r="AC339" s="62"/>
    </row>
    <row r="340" spans="2:29" s="61" customFormat="1" ht="12.75" x14ac:dyDescent="0.2">
      <c r="B340" s="62"/>
      <c r="P340" s="62"/>
      <c r="V340" s="62"/>
      <c r="X340" s="62"/>
      <c r="Y340" s="62"/>
      <c r="Z340" s="62"/>
      <c r="AA340" s="62"/>
      <c r="AB340" s="62"/>
      <c r="AC340" s="62"/>
    </row>
    <row r="341" spans="2:29" s="61" customFormat="1" ht="12.75" x14ac:dyDescent="0.2">
      <c r="B341" s="62"/>
      <c r="P341" s="62"/>
      <c r="V341" s="62"/>
      <c r="X341" s="62"/>
      <c r="Y341" s="62"/>
      <c r="Z341" s="62"/>
      <c r="AA341" s="62"/>
      <c r="AB341" s="62"/>
      <c r="AC341" s="62"/>
    </row>
    <row r="342" spans="2:29" s="61" customFormat="1" ht="12.75" x14ac:dyDescent="0.2">
      <c r="B342" s="62"/>
      <c r="P342" s="62"/>
      <c r="V342" s="62"/>
      <c r="X342" s="62"/>
      <c r="Y342" s="62"/>
      <c r="Z342" s="62"/>
      <c r="AA342" s="62"/>
      <c r="AB342" s="62"/>
      <c r="AC342" s="62"/>
    </row>
    <row r="343" spans="2:29" s="61" customFormat="1" ht="12.75" x14ac:dyDescent="0.2">
      <c r="B343" s="62"/>
      <c r="P343" s="62"/>
      <c r="V343" s="62"/>
      <c r="X343" s="62"/>
      <c r="Y343" s="62"/>
      <c r="Z343" s="62"/>
      <c r="AA343" s="62"/>
      <c r="AB343" s="62"/>
      <c r="AC343" s="62"/>
    </row>
    <row r="344" spans="2:29" s="61" customFormat="1" ht="12.75" x14ac:dyDescent="0.2">
      <c r="B344" s="62"/>
      <c r="P344" s="62"/>
      <c r="V344" s="62"/>
      <c r="X344" s="62"/>
      <c r="Y344" s="62"/>
      <c r="Z344" s="62"/>
      <c r="AA344" s="62"/>
      <c r="AB344" s="62"/>
      <c r="AC344" s="62"/>
    </row>
    <row r="345" spans="2:29" s="61" customFormat="1" ht="12.75" x14ac:dyDescent="0.2">
      <c r="B345" s="62"/>
      <c r="P345" s="62"/>
      <c r="V345" s="62"/>
      <c r="X345" s="62"/>
      <c r="Y345" s="62"/>
      <c r="Z345" s="62"/>
      <c r="AA345" s="62"/>
      <c r="AB345" s="62"/>
      <c r="AC345" s="62"/>
    </row>
    <row r="346" spans="2:29" s="61" customFormat="1" ht="12.75" x14ac:dyDescent="0.2">
      <c r="B346" s="62"/>
      <c r="P346" s="62"/>
      <c r="V346" s="62"/>
      <c r="X346" s="62"/>
      <c r="Y346" s="62"/>
      <c r="Z346" s="62"/>
      <c r="AA346" s="62"/>
      <c r="AB346" s="62"/>
      <c r="AC346" s="62"/>
    </row>
    <row r="347" spans="2:29" s="61" customFormat="1" ht="12.75" x14ac:dyDescent="0.2">
      <c r="B347" s="62"/>
      <c r="P347" s="62"/>
      <c r="V347" s="62"/>
      <c r="X347" s="62"/>
      <c r="Y347" s="62"/>
      <c r="Z347" s="62"/>
      <c r="AA347" s="62"/>
      <c r="AB347" s="62"/>
      <c r="AC347" s="62"/>
    </row>
    <row r="348" spans="2:29" s="61" customFormat="1" ht="12.75" x14ac:dyDescent="0.2">
      <c r="B348" s="62"/>
      <c r="P348" s="62"/>
      <c r="V348" s="62"/>
      <c r="X348" s="62"/>
      <c r="Y348" s="62"/>
      <c r="Z348" s="62"/>
      <c r="AA348" s="62"/>
      <c r="AB348" s="62"/>
      <c r="AC348" s="62"/>
    </row>
    <row r="349" spans="2:29" s="61" customFormat="1" ht="12.75" x14ac:dyDescent="0.2">
      <c r="B349" s="62"/>
      <c r="P349" s="62"/>
      <c r="V349" s="62"/>
      <c r="X349" s="62"/>
      <c r="Y349" s="62"/>
      <c r="Z349" s="62"/>
      <c r="AA349" s="62"/>
      <c r="AB349" s="62"/>
      <c r="AC349" s="62"/>
    </row>
    <row r="350" spans="2:29" s="61" customFormat="1" ht="12.75" x14ac:dyDescent="0.2">
      <c r="B350" s="62"/>
      <c r="P350" s="62"/>
      <c r="V350" s="62"/>
      <c r="X350" s="62"/>
      <c r="Y350" s="62"/>
      <c r="Z350" s="62"/>
      <c r="AA350" s="62"/>
      <c r="AB350" s="62"/>
      <c r="AC350" s="62"/>
    </row>
    <row r="351" spans="2:29" s="61" customFormat="1" ht="12.75" x14ac:dyDescent="0.2">
      <c r="B351" s="62"/>
      <c r="P351" s="62"/>
      <c r="V351" s="62"/>
      <c r="X351" s="62"/>
      <c r="Y351" s="62"/>
      <c r="Z351" s="62"/>
      <c r="AA351" s="62"/>
      <c r="AB351" s="62"/>
      <c r="AC351" s="62"/>
    </row>
    <row r="352" spans="2:29" s="61" customFormat="1" ht="12.75" x14ac:dyDescent="0.2">
      <c r="B352" s="62"/>
      <c r="P352" s="62"/>
      <c r="V352" s="62"/>
      <c r="X352" s="62"/>
      <c r="Y352" s="62"/>
      <c r="Z352" s="62"/>
      <c r="AA352" s="62"/>
      <c r="AB352" s="62"/>
      <c r="AC352" s="62"/>
    </row>
    <row r="353" spans="2:29" s="61" customFormat="1" ht="12.75" x14ac:dyDescent="0.2">
      <c r="B353" s="62"/>
      <c r="P353" s="62"/>
      <c r="V353" s="62"/>
      <c r="X353" s="62"/>
      <c r="Y353" s="62"/>
      <c r="Z353" s="62"/>
      <c r="AA353" s="62"/>
      <c r="AB353" s="62"/>
      <c r="AC353" s="62"/>
    </row>
    <row r="354" spans="2:29" s="61" customFormat="1" ht="12.75" x14ac:dyDescent="0.2">
      <c r="B354" s="62"/>
      <c r="P354" s="62"/>
      <c r="V354" s="62"/>
      <c r="X354" s="62"/>
      <c r="Y354" s="62"/>
      <c r="Z354" s="62"/>
      <c r="AA354" s="62"/>
      <c r="AB354" s="62"/>
      <c r="AC354" s="62"/>
    </row>
    <row r="355" spans="2:29" s="61" customFormat="1" ht="12.75" x14ac:dyDescent="0.2">
      <c r="B355" s="62"/>
      <c r="P355" s="62"/>
      <c r="V355" s="62"/>
      <c r="X355" s="62"/>
      <c r="Y355" s="62"/>
      <c r="Z355" s="62"/>
      <c r="AA355" s="62"/>
      <c r="AB355" s="62"/>
      <c r="AC355" s="62"/>
    </row>
    <row r="356" spans="2:29" s="61" customFormat="1" ht="12.75" x14ac:dyDescent="0.2">
      <c r="B356" s="62"/>
      <c r="P356" s="62"/>
      <c r="V356" s="62"/>
      <c r="X356" s="62"/>
      <c r="Y356" s="62"/>
      <c r="Z356" s="62"/>
      <c r="AA356" s="62"/>
      <c r="AB356" s="62"/>
      <c r="AC356" s="62"/>
    </row>
    <row r="357" spans="2:29" s="61" customFormat="1" ht="12.75" x14ac:dyDescent="0.2">
      <c r="B357" s="62"/>
      <c r="P357" s="62"/>
      <c r="V357" s="62"/>
      <c r="X357" s="62"/>
      <c r="Y357" s="62"/>
      <c r="Z357" s="62"/>
      <c r="AA357" s="62"/>
      <c r="AB357" s="62"/>
      <c r="AC357" s="62"/>
    </row>
    <row r="358" spans="2:29" s="61" customFormat="1" ht="12.75" x14ac:dyDescent="0.2">
      <c r="B358" s="62"/>
      <c r="P358" s="62"/>
      <c r="V358" s="62"/>
      <c r="X358" s="62"/>
      <c r="Y358" s="62"/>
      <c r="Z358" s="62"/>
      <c r="AA358" s="62"/>
      <c r="AB358" s="62"/>
      <c r="AC358" s="62"/>
    </row>
    <row r="359" spans="2:29" s="61" customFormat="1" ht="12.75" x14ac:dyDescent="0.2">
      <c r="B359" s="62"/>
      <c r="P359" s="62"/>
      <c r="V359" s="62"/>
      <c r="X359" s="62"/>
      <c r="Y359" s="62"/>
      <c r="Z359" s="62"/>
      <c r="AA359" s="62"/>
      <c r="AB359" s="62"/>
      <c r="AC359" s="62"/>
    </row>
    <row r="360" spans="2:29" s="61" customFormat="1" ht="12.75" x14ac:dyDescent="0.2">
      <c r="B360" s="62"/>
      <c r="P360" s="62"/>
      <c r="V360" s="62"/>
      <c r="X360" s="62"/>
      <c r="Y360" s="62"/>
      <c r="Z360" s="62"/>
      <c r="AA360" s="62"/>
      <c r="AB360" s="62"/>
      <c r="AC360" s="62"/>
    </row>
    <row r="361" spans="2:29" s="61" customFormat="1" ht="12.75" x14ac:dyDescent="0.2">
      <c r="B361" s="62"/>
      <c r="P361" s="62"/>
      <c r="V361" s="62"/>
      <c r="X361" s="62"/>
      <c r="Y361" s="62"/>
      <c r="Z361" s="62"/>
      <c r="AA361" s="62"/>
      <c r="AB361" s="62"/>
      <c r="AC361" s="62"/>
    </row>
    <row r="362" spans="2:29" s="61" customFormat="1" ht="12.75" x14ac:dyDescent="0.2">
      <c r="B362" s="62"/>
      <c r="P362" s="62"/>
      <c r="V362" s="62"/>
      <c r="X362" s="62"/>
      <c r="Y362" s="62"/>
      <c r="Z362" s="62"/>
      <c r="AA362" s="62"/>
      <c r="AB362" s="62"/>
      <c r="AC362" s="62"/>
    </row>
    <row r="363" spans="2:29" s="61" customFormat="1" ht="12.75" x14ac:dyDescent="0.2">
      <c r="B363" s="62"/>
      <c r="P363" s="62"/>
      <c r="V363" s="62"/>
      <c r="X363" s="62"/>
      <c r="Y363" s="62"/>
      <c r="Z363" s="62"/>
      <c r="AA363" s="62"/>
      <c r="AB363" s="62"/>
      <c r="AC363" s="62"/>
    </row>
    <row r="364" spans="2:29" s="61" customFormat="1" ht="12.75" x14ac:dyDescent="0.2">
      <c r="B364" s="62"/>
      <c r="P364" s="62"/>
      <c r="V364" s="62"/>
      <c r="X364" s="62"/>
      <c r="Y364" s="62"/>
      <c r="Z364" s="62"/>
      <c r="AA364" s="62"/>
      <c r="AB364" s="62"/>
      <c r="AC364" s="62"/>
    </row>
    <row r="365" spans="2:29" s="61" customFormat="1" ht="12.75" x14ac:dyDescent="0.2">
      <c r="B365" s="62"/>
      <c r="P365" s="62"/>
      <c r="V365" s="62"/>
      <c r="X365" s="62"/>
      <c r="Y365" s="62"/>
      <c r="Z365" s="62"/>
      <c r="AA365" s="62"/>
      <c r="AB365" s="62"/>
      <c r="AC365" s="62"/>
    </row>
    <row r="366" spans="2:29" s="61" customFormat="1" ht="12.75" x14ac:dyDescent="0.2">
      <c r="B366" s="62"/>
      <c r="P366" s="62"/>
      <c r="V366" s="62"/>
      <c r="X366" s="62"/>
      <c r="Y366" s="62"/>
      <c r="Z366" s="62"/>
      <c r="AA366" s="62"/>
      <c r="AB366" s="62"/>
      <c r="AC366" s="62"/>
    </row>
    <row r="367" spans="2:29" s="61" customFormat="1" ht="12.75" x14ac:dyDescent="0.2">
      <c r="B367" s="62"/>
      <c r="P367" s="62"/>
      <c r="V367" s="62"/>
      <c r="X367" s="62"/>
      <c r="Y367" s="62"/>
      <c r="Z367" s="62"/>
      <c r="AA367" s="62"/>
      <c r="AB367" s="62"/>
      <c r="AC367" s="62"/>
    </row>
    <row r="368" spans="2:29" s="61" customFormat="1" ht="12.75" x14ac:dyDescent="0.2">
      <c r="B368" s="62"/>
      <c r="P368" s="62"/>
      <c r="V368" s="62"/>
      <c r="X368" s="62"/>
      <c r="Y368" s="62"/>
      <c r="Z368" s="62"/>
      <c r="AA368" s="62"/>
      <c r="AB368" s="62"/>
      <c r="AC368" s="62"/>
    </row>
    <row r="369" spans="2:29" s="61" customFormat="1" ht="12.75" x14ac:dyDescent="0.2">
      <c r="B369" s="62"/>
      <c r="P369" s="62"/>
      <c r="V369" s="62"/>
      <c r="X369" s="62"/>
      <c r="Y369" s="62"/>
      <c r="Z369" s="62"/>
      <c r="AA369" s="62"/>
      <c r="AB369" s="62"/>
      <c r="AC369" s="62"/>
    </row>
    <row r="370" spans="2:29" s="61" customFormat="1" ht="12.75" x14ac:dyDescent="0.2">
      <c r="B370" s="62"/>
      <c r="P370" s="62"/>
      <c r="V370" s="62"/>
      <c r="X370" s="62"/>
      <c r="Y370" s="62"/>
      <c r="Z370" s="62"/>
      <c r="AA370" s="62"/>
      <c r="AB370" s="62"/>
      <c r="AC370" s="62"/>
    </row>
    <row r="371" spans="2:29" s="61" customFormat="1" ht="12.75" x14ac:dyDescent="0.2">
      <c r="B371" s="62"/>
      <c r="P371" s="62"/>
      <c r="V371" s="62"/>
      <c r="X371" s="62"/>
      <c r="Y371" s="62"/>
      <c r="Z371" s="62"/>
      <c r="AA371" s="62"/>
      <c r="AB371" s="62"/>
      <c r="AC371" s="62"/>
    </row>
    <row r="372" spans="2:29" s="61" customFormat="1" ht="12.75" x14ac:dyDescent="0.2">
      <c r="B372" s="62"/>
      <c r="P372" s="62"/>
      <c r="V372" s="62"/>
      <c r="X372" s="62"/>
      <c r="Y372" s="62"/>
      <c r="Z372" s="62"/>
      <c r="AA372" s="62"/>
      <c r="AB372" s="62"/>
      <c r="AC372" s="62"/>
    </row>
    <row r="373" spans="2:29" s="61" customFormat="1" ht="12.75" x14ac:dyDescent="0.2">
      <c r="B373" s="62"/>
      <c r="P373" s="62"/>
      <c r="V373" s="62"/>
      <c r="X373" s="62"/>
      <c r="Y373" s="62"/>
      <c r="Z373" s="62"/>
      <c r="AA373" s="62"/>
      <c r="AB373" s="62"/>
      <c r="AC373" s="62"/>
    </row>
    <row r="374" spans="2:29" s="61" customFormat="1" ht="12.75" x14ac:dyDescent="0.2">
      <c r="B374" s="62"/>
      <c r="P374" s="62"/>
      <c r="V374" s="62"/>
      <c r="X374" s="62"/>
      <c r="Y374" s="62"/>
      <c r="Z374" s="62"/>
      <c r="AA374" s="62"/>
      <c r="AB374" s="62"/>
      <c r="AC374" s="62"/>
    </row>
    <row r="375" spans="2:29" s="61" customFormat="1" ht="12.75" x14ac:dyDescent="0.2">
      <c r="B375" s="62"/>
      <c r="P375" s="62"/>
      <c r="V375" s="62"/>
      <c r="X375" s="62"/>
      <c r="Y375" s="62"/>
      <c r="Z375" s="62"/>
      <c r="AA375" s="62"/>
      <c r="AB375" s="62"/>
      <c r="AC375" s="62"/>
    </row>
    <row r="376" spans="2:29" s="61" customFormat="1" ht="12.75" x14ac:dyDescent="0.2">
      <c r="B376" s="62"/>
      <c r="P376" s="62"/>
      <c r="V376" s="62"/>
      <c r="X376" s="62"/>
      <c r="Y376" s="62"/>
      <c r="Z376" s="62"/>
      <c r="AA376" s="62"/>
      <c r="AB376" s="62"/>
      <c r="AC376" s="62"/>
    </row>
    <row r="377" spans="2:29" s="61" customFormat="1" ht="12.75" x14ac:dyDescent="0.2">
      <c r="B377" s="62"/>
      <c r="P377" s="62"/>
      <c r="V377" s="62"/>
      <c r="X377" s="62"/>
      <c r="Y377" s="62"/>
      <c r="Z377" s="62"/>
      <c r="AA377" s="62"/>
      <c r="AB377" s="62"/>
      <c r="AC377" s="62"/>
    </row>
    <row r="378" spans="2:29" s="61" customFormat="1" ht="12.75" x14ac:dyDescent="0.2">
      <c r="B378" s="62"/>
      <c r="P378" s="62"/>
      <c r="V378" s="62"/>
      <c r="X378" s="62"/>
      <c r="Y378" s="62"/>
      <c r="Z378" s="62"/>
      <c r="AA378" s="62"/>
      <c r="AB378" s="62"/>
      <c r="AC378" s="62"/>
    </row>
    <row r="379" spans="2:29" s="61" customFormat="1" ht="12.75" x14ac:dyDescent="0.2">
      <c r="B379" s="62"/>
      <c r="P379" s="62"/>
      <c r="V379" s="62"/>
      <c r="X379" s="62"/>
      <c r="Y379" s="62"/>
      <c r="Z379" s="62"/>
      <c r="AA379" s="62"/>
      <c r="AB379" s="62"/>
      <c r="AC379" s="62"/>
    </row>
    <row r="380" spans="2:29" s="61" customFormat="1" ht="12.75" x14ac:dyDescent="0.2">
      <c r="B380" s="62"/>
      <c r="P380" s="62"/>
      <c r="V380" s="62"/>
      <c r="X380" s="62"/>
      <c r="Y380" s="62"/>
      <c r="Z380" s="62"/>
      <c r="AA380" s="62"/>
      <c r="AB380" s="62"/>
      <c r="AC380" s="62"/>
    </row>
    <row r="381" spans="2:29" s="61" customFormat="1" ht="12.75" x14ac:dyDescent="0.2">
      <c r="B381" s="62"/>
      <c r="P381" s="62"/>
      <c r="V381" s="62"/>
      <c r="X381" s="62"/>
      <c r="Y381" s="62"/>
      <c r="Z381" s="62"/>
      <c r="AA381" s="62"/>
      <c r="AB381" s="62"/>
      <c r="AC381" s="62"/>
    </row>
    <row r="382" spans="2:29" s="61" customFormat="1" ht="12.75" x14ac:dyDescent="0.2">
      <c r="B382" s="62"/>
      <c r="P382" s="62"/>
      <c r="V382" s="62"/>
      <c r="X382" s="62"/>
      <c r="Y382" s="62"/>
      <c r="Z382" s="62"/>
      <c r="AA382" s="62"/>
      <c r="AB382" s="62"/>
      <c r="AC382" s="62"/>
    </row>
    <row r="383" spans="2:29" s="61" customFormat="1" ht="12.75" x14ac:dyDescent="0.2">
      <c r="B383" s="62"/>
      <c r="P383" s="62"/>
      <c r="V383" s="62"/>
      <c r="X383" s="62"/>
      <c r="Y383" s="62"/>
      <c r="Z383" s="62"/>
      <c r="AA383" s="62"/>
      <c r="AB383" s="62"/>
      <c r="AC383" s="62"/>
    </row>
    <row r="384" spans="2:29" s="61" customFormat="1" ht="12.75" x14ac:dyDescent="0.2">
      <c r="B384" s="62"/>
      <c r="P384" s="62"/>
      <c r="V384" s="62"/>
      <c r="X384" s="62"/>
      <c r="Y384" s="62"/>
      <c r="Z384" s="62"/>
      <c r="AA384" s="62"/>
      <c r="AB384" s="62"/>
      <c r="AC384" s="62"/>
    </row>
    <row r="385" spans="2:29" s="61" customFormat="1" ht="12.75" x14ac:dyDescent="0.2">
      <c r="B385" s="62"/>
      <c r="P385" s="62"/>
      <c r="V385" s="62"/>
      <c r="X385" s="62"/>
      <c r="Y385" s="62"/>
      <c r="Z385" s="62"/>
      <c r="AA385" s="62"/>
      <c r="AB385" s="62"/>
      <c r="AC385" s="62"/>
    </row>
    <row r="386" spans="2:29" s="61" customFormat="1" ht="12.75" x14ac:dyDescent="0.2">
      <c r="B386" s="62"/>
      <c r="P386" s="62"/>
      <c r="V386" s="62"/>
      <c r="X386" s="62"/>
      <c r="Y386" s="62"/>
      <c r="Z386" s="62"/>
      <c r="AA386" s="62"/>
      <c r="AB386" s="62"/>
      <c r="AC386" s="62"/>
    </row>
    <row r="387" spans="2:29" s="61" customFormat="1" ht="12.75" x14ac:dyDescent="0.2">
      <c r="B387" s="62"/>
      <c r="P387" s="62"/>
      <c r="V387" s="62"/>
      <c r="X387" s="62"/>
      <c r="Y387" s="62"/>
      <c r="Z387" s="62"/>
      <c r="AA387" s="62"/>
      <c r="AB387" s="62"/>
      <c r="AC387" s="62"/>
    </row>
    <row r="388" spans="2:29" s="61" customFormat="1" ht="12.75" x14ac:dyDescent="0.2">
      <c r="B388" s="62"/>
      <c r="P388" s="62"/>
      <c r="V388" s="62"/>
      <c r="X388" s="62"/>
      <c r="Y388" s="62"/>
      <c r="Z388" s="62"/>
      <c r="AA388" s="62"/>
      <c r="AB388" s="62"/>
      <c r="AC388" s="62"/>
    </row>
    <row r="389" spans="2:29" s="61" customFormat="1" ht="12.75" x14ac:dyDescent="0.2">
      <c r="B389" s="62"/>
      <c r="P389" s="62"/>
      <c r="V389" s="62"/>
      <c r="X389" s="62"/>
      <c r="Y389" s="62"/>
      <c r="Z389" s="62"/>
      <c r="AA389" s="62"/>
      <c r="AB389" s="62"/>
      <c r="AC389" s="62"/>
    </row>
    <row r="390" spans="2:29" s="61" customFormat="1" ht="12.75" x14ac:dyDescent="0.2">
      <c r="B390" s="62"/>
      <c r="P390" s="62"/>
      <c r="V390" s="62"/>
      <c r="X390" s="62"/>
      <c r="Y390" s="62"/>
      <c r="Z390" s="62"/>
      <c r="AA390" s="62"/>
      <c r="AB390" s="62"/>
      <c r="AC390" s="62"/>
    </row>
    <row r="391" spans="2:29" s="61" customFormat="1" ht="12.75" x14ac:dyDescent="0.2">
      <c r="B391" s="62"/>
      <c r="P391" s="62"/>
      <c r="V391" s="62"/>
      <c r="X391" s="62"/>
      <c r="Y391" s="62"/>
      <c r="Z391" s="62"/>
      <c r="AA391" s="62"/>
      <c r="AB391" s="62"/>
      <c r="AC391" s="62"/>
    </row>
    <row r="392" spans="2:29" s="61" customFormat="1" ht="12.75" x14ac:dyDescent="0.2">
      <c r="B392" s="62"/>
      <c r="P392" s="62"/>
      <c r="V392" s="62"/>
      <c r="X392" s="62"/>
      <c r="Y392" s="62"/>
      <c r="Z392" s="62"/>
      <c r="AA392" s="62"/>
      <c r="AB392" s="62"/>
      <c r="AC392" s="62"/>
    </row>
    <row r="393" spans="2:29" s="61" customFormat="1" ht="12.75" x14ac:dyDescent="0.2">
      <c r="B393" s="62"/>
      <c r="P393" s="62"/>
      <c r="V393" s="62"/>
      <c r="X393" s="62"/>
      <c r="Y393" s="62"/>
      <c r="Z393" s="62"/>
      <c r="AA393" s="62"/>
      <c r="AB393" s="62"/>
      <c r="AC393" s="62"/>
    </row>
    <row r="394" spans="2:29" s="61" customFormat="1" ht="12.75" x14ac:dyDescent="0.2">
      <c r="B394" s="62"/>
      <c r="P394" s="62"/>
      <c r="V394" s="62"/>
      <c r="X394" s="62"/>
      <c r="Y394" s="62"/>
      <c r="Z394" s="62"/>
      <c r="AA394" s="62"/>
      <c r="AB394" s="62"/>
      <c r="AC394" s="62"/>
    </row>
    <row r="395" spans="2:29" s="61" customFormat="1" ht="12.75" x14ac:dyDescent="0.2">
      <c r="B395" s="62"/>
      <c r="P395" s="62"/>
      <c r="V395" s="62"/>
      <c r="X395" s="62"/>
      <c r="Y395" s="62"/>
      <c r="Z395" s="62"/>
      <c r="AA395" s="62"/>
      <c r="AB395" s="62"/>
      <c r="AC395" s="62"/>
    </row>
    <row r="396" spans="2:29" s="61" customFormat="1" ht="12.75" x14ac:dyDescent="0.2">
      <c r="B396" s="62"/>
      <c r="P396" s="62"/>
      <c r="V396" s="62"/>
      <c r="X396" s="62"/>
      <c r="Y396" s="62"/>
      <c r="Z396" s="62"/>
      <c r="AA396" s="62"/>
      <c r="AB396" s="62"/>
      <c r="AC396" s="62"/>
    </row>
    <row r="397" spans="2:29" s="61" customFormat="1" ht="12.75" x14ac:dyDescent="0.2">
      <c r="B397" s="62"/>
      <c r="P397" s="62"/>
      <c r="V397" s="62"/>
      <c r="X397" s="62"/>
      <c r="Y397" s="62"/>
      <c r="Z397" s="62"/>
      <c r="AA397" s="62"/>
      <c r="AB397" s="62"/>
      <c r="AC397" s="62"/>
    </row>
    <row r="398" spans="2:29" s="61" customFormat="1" ht="12.75" x14ac:dyDescent="0.2">
      <c r="B398" s="62"/>
      <c r="P398" s="62"/>
      <c r="V398" s="62"/>
      <c r="X398" s="62"/>
      <c r="Y398" s="62"/>
      <c r="Z398" s="62"/>
      <c r="AA398" s="62"/>
      <c r="AB398" s="62"/>
      <c r="AC398" s="62"/>
    </row>
    <row r="399" spans="2:29" s="61" customFormat="1" ht="12.75" x14ac:dyDescent="0.2">
      <c r="B399" s="62"/>
      <c r="P399" s="62"/>
      <c r="V399" s="62"/>
      <c r="X399" s="62"/>
      <c r="Y399" s="62"/>
      <c r="Z399" s="62"/>
      <c r="AA399" s="62"/>
      <c r="AB399" s="62"/>
      <c r="AC399" s="62"/>
    </row>
    <row r="400" spans="2:29" s="61" customFormat="1" ht="12.75" x14ac:dyDescent="0.2">
      <c r="B400" s="62"/>
      <c r="P400" s="62"/>
      <c r="V400" s="62"/>
      <c r="X400" s="62"/>
      <c r="Y400" s="62"/>
      <c r="Z400" s="62"/>
      <c r="AA400" s="62"/>
      <c r="AB400" s="62"/>
      <c r="AC400" s="62"/>
    </row>
    <row r="401" spans="2:29" s="61" customFormat="1" ht="12.75" x14ac:dyDescent="0.2">
      <c r="B401" s="62"/>
      <c r="P401" s="62"/>
      <c r="V401" s="62"/>
      <c r="X401" s="62"/>
      <c r="Y401" s="62"/>
      <c r="Z401" s="62"/>
      <c r="AA401" s="62"/>
      <c r="AB401" s="62"/>
      <c r="AC401" s="62"/>
    </row>
    <row r="402" spans="2:29" s="61" customFormat="1" ht="12.75" x14ac:dyDescent="0.2">
      <c r="B402" s="62"/>
      <c r="P402" s="62"/>
      <c r="V402" s="62"/>
      <c r="X402" s="62"/>
      <c r="Y402" s="62"/>
      <c r="Z402" s="62"/>
      <c r="AA402" s="62"/>
      <c r="AB402" s="62"/>
      <c r="AC402" s="62"/>
    </row>
    <row r="403" spans="2:29" s="61" customFormat="1" ht="12.75" x14ac:dyDescent="0.2">
      <c r="B403" s="62"/>
      <c r="P403" s="62"/>
      <c r="V403" s="62"/>
      <c r="X403" s="62"/>
      <c r="Y403" s="62"/>
      <c r="Z403" s="62"/>
      <c r="AA403" s="62"/>
      <c r="AB403" s="62"/>
      <c r="AC403" s="62"/>
    </row>
    <row r="404" spans="2:29" s="61" customFormat="1" ht="12.75" x14ac:dyDescent="0.2">
      <c r="B404" s="62"/>
      <c r="P404" s="62"/>
      <c r="V404" s="62"/>
      <c r="X404" s="62"/>
      <c r="Y404" s="62"/>
      <c r="Z404" s="62"/>
      <c r="AA404" s="62"/>
      <c r="AB404" s="62"/>
      <c r="AC404" s="62"/>
    </row>
    <row r="405" spans="2:29" s="61" customFormat="1" ht="12.75" x14ac:dyDescent="0.2">
      <c r="B405" s="62"/>
      <c r="P405" s="62"/>
      <c r="V405" s="62"/>
      <c r="X405" s="62"/>
      <c r="Y405" s="62"/>
      <c r="Z405" s="62"/>
      <c r="AA405" s="62"/>
      <c r="AB405" s="62"/>
      <c r="AC405" s="62"/>
    </row>
    <row r="406" spans="2:29" s="61" customFormat="1" ht="12.75" x14ac:dyDescent="0.2">
      <c r="B406" s="62"/>
      <c r="P406" s="62"/>
      <c r="V406" s="62"/>
      <c r="X406" s="62"/>
      <c r="Y406" s="62"/>
      <c r="Z406" s="62"/>
      <c r="AA406" s="62"/>
      <c r="AB406" s="62"/>
      <c r="AC406" s="62"/>
    </row>
    <row r="407" spans="2:29" s="61" customFormat="1" ht="12.75" x14ac:dyDescent="0.2">
      <c r="B407" s="62"/>
      <c r="P407" s="62"/>
      <c r="V407" s="62"/>
      <c r="X407" s="62"/>
      <c r="Y407" s="62"/>
      <c r="Z407" s="62"/>
      <c r="AA407" s="62"/>
      <c r="AB407" s="62"/>
      <c r="AC407" s="62"/>
    </row>
    <row r="408" spans="2:29" s="61" customFormat="1" ht="12.75" x14ac:dyDescent="0.2">
      <c r="B408" s="62"/>
      <c r="P408" s="62"/>
      <c r="V408" s="62"/>
      <c r="X408" s="62"/>
      <c r="Y408" s="62"/>
      <c r="Z408" s="62"/>
      <c r="AA408" s="62"/>
      <c r="AB408" s="62"/>
      <c r="AC408" s="62"/>
    </row>
    <row r="409" spans="2:29" s="61" customFormat="1" ht="12.75" x14ac:dyDescent="0.2">
      <c r="B409" s="62"/>
      <c r="P409" s="62"/>
      <c r="V409" s="62"/>
      <c r="X409" s="62"/>
      <c r="Y409" s="62"/>
      <c r="Z409" s="62"/>
      <c r="AA409" s="62"/>
      <c r="AB409" s="62"/>
      <c r="AC409" s="62"/>
    </row>
    <row r="410" spans="2:29" s="61" customFormat="1" ht="12.75" x14ac:dyDescent="0.2">
      <c r="B410" s="62"/>
      <c r="P410" s="62"/>
      <c r="V410" s="62"/>
      <c r="X410" s="62"/>
      <c r="Y410" s="62"/>
      <c r="Z410" s="62"/>
      <c r="AA410" s="62"/>
      <c r="AB410" s="62"/>
      <c r="AC410" s="62"/>
    </row>
    <row r="411" spans="2:29" s="61" customFormat="1" ht="12.75" x14ac:dyDescent="0.2">
      <c r="B411" s="62"/>
      <c r="P411" s="62"/>
      <c r="V411" s="62"/>
      <c r="X411" s="62"/>
      <c r="Y411" s="62"/>
      <c r="Z411" s="62"/>
      <c r="AA411" s="62"/>
      <c r="AB411" s="62"/>
      <c r="AC411" s="62"/>
    </row>
    <row r="412" spans="2:29" s="61" customFormat="1" ht="12.75" x14ac:dyDescent="0.2">
      <c r="B412" s="62"/>
      <c r="P412" s="62"/>
      <c r="V412" s="62"/>
      <c r="X412" s="62"/>
      <c r="Y412" s="62"/>
      <c r="Z412" s="62"/>
      <c r="AA412" s="62"/>
      <c r="AB412" s="62"/>
      <c r="AC412" s="62"/>
    </row>
    <row r="413" spans="2:29" s="61" customFormat="1" ht="12.75" x14ac:dyDescent="0.2">
      <c r="B413" s="62"/>
      <c r="P413" s="62"/>
      <c r="V413" s="62"/>
      <c r="X413" s="62"/>
      <c r="Y413" s="62"/>
      <c r="Z413" s="62"/>
      <c r="AA413" s="62"/>
      <c r="AB413" s="62"/>
      <c r="AC413" s="62"/>
    </row>
    <row r="414" spans="2:29" s="61" customFormat="1" ht="12.75" x14ac:dyDescent="0.2">
      <c r="B414" s="62"/>
      <c r="P414" s="62"/>
      <c r="V414" s="62"/>
      <c r="X414" s="62"/>
      <c r="Y414" s="62"/>
      <c r="Z414" s="62"/>
      <c r="AA414" s="62"/>
      <c r="AB414" s="62"/>
      <c r="AC414" s="62"/>
    </row>
    <row r="415" spans="2:29" s="61" customFormat="1" ht="12.75" x14ac:dyDescent="0.2">
      <c r="B415" s="62"/>
      <c r="P415" s="62"/>
      <c r="V415" s="62"/>
      <c r="X415" s="62"/>
      <c r="Y415" s="62"/>
      <c r="Z415" s="62"/>
      <c r="AA415" s="62"/>
      <c r="AB415" s="62"/>
      <c r="AC415" s="62"/>
    </row>
    <row r="416" spans="2:29" s="61" customFormat="1" ht="12.75" x14ac:dyDescent="0.2">
      <c r="B416" s="62"/>
      <c r="P416" s="62"/>
      <c r="V416" s="62"/>
      <c r="X416" s="62"/>
      <c r="Y416" s="62"/>
      <c r="Z416" s="62"/>
      <c r="AA416" s="62"/>
      <c r="AB416" s="62"/>
      <c r="AC416" s="62"/>
    </row>
    <row r="417" spans="2:29" s="61" customFormat="1" ht="12.75" x14ac:dyDescent="0.2">
      <c r="B417" s="62"/>
      <c r="P417" s="62"/>
      <c r="V417" s="62"/>
      <c r="X417" s="62"/>
      <c r="Y417" s="62"/>
      <c r="Z417" s="62"/>
      <c r="AA417" s="62"/>
      <c r="AB417" s="62"/>
      <c r="AC417" s="62"/>
    </row>
    <row r="418" spans="2:29" s="61" customFormat="1" ht="12.75" x14ac:dyDescent="0.2">
      <c r="B418" s="62"/>
      <c r="P418" s="62"/>
      <c r="V418" s="62"/>
      <c r="X418" s="62"/>
      <c r="Y418" s="62"/>
      <c r="Z418" s="62"/>
      <c r="AA418" s="62"/>
      <c r="AB418" s="62"/>
      <c r="AC418" s="62"/>
    </row>
    <row r="419" spans="2:29" s="61" customFormat="1" ht="12.75" x14ac:dyDescent="0.2">
      <c r="B419" s="62"/>
      <c r="P419" s="62"/>
      <c r="V419" s="62"/>
      <c r="X419" s="62"/>
      <c r="Y419" s="62"/>
      <c r="Z419" s="62"/>
      <c r="AA419" s="62"/>
      <c r="AB419" s="62"/>
      <c r="AC419" s="62"/>
    </row>
    <row r="420" spans="2:29" s="61" customFormat="1" ht="12.75" x14ac:dyDescent="0.2">
      <c r="B420" s="62"/>
      <c r="P420" s="62"/>
      <c r="V420" s="62"/>
      <c r="X420" s="62"/>
      <c r="Y420" s="62"/>
      <c r="Z420" s="62"/>
      <c r="AA420" s="62"/>
      <c r="AB420" s="62"/>
      <c r="AC420" s="62"/>
    </row>
    <row r="421" spans="2:29" s="61" customFormat="1" ht="12.75" x14ac:dyDescent="0.2">
      <c r="B421" s="62"/>
      <c r="P421" s="62"/>
      <c r="V421" s="62"/>
      <c r="X421" s="62"/>
      <c r="Y421" s="62"/>
      <c r="Z421" s="62"/>
      <c r="AA421" s="62"/>
      <c r="AB421" s="62"/>
      <c r="AC421" s="62"/>
    </row>
    <row r="422" spans="2:29" s="61" customFormat="1" ht="12.75" x14ac:dyDescent="0.2">
      <c r="B422" s="62"/>
      <c r="P422" s="62"/>
      <c r="V422" s="62"/>
      <c r="X422" s="62"/>
      <c r="Y422" s="62"/>
      <c r="Z422" s="62"/>
      <c r="AA422" s="62"/>
      <c r="AB422" s="62"/>
      <c r="AC422" s="62"/>
    </row>
    <row r="423" spans="2:29" s="61" customFormat="1" ht="12.75" x14ac:dyDescent="0.2">
      <c r="B423" s="62"/>
      <c r="P423" s="62"/>
      <c r="V423" s="62"/>
      <c r="X423" s="62"/>
      <c r="Y423" s="62"/>
      <c r="Z423" s="62"/>
      <c r="AA423" s="62"/>
      <c r="AB423" s="62"/>
      <c r="AC423" s="62"/>
    </row>
    <row r="424" spans="2:29" s="61" customFormat="1" ht="12.75" x14ac:dyDescent="0.2">
      <c r="B424" s="62"/>
      <c r="P424" s="62"/>
      <c r="V424" s="62"/>
      <c r="X424" s="62"/>
      <c r="Y424" s="62"/>
      <c r="Z424" s="62"/>
      <c r="AA424" s="62"/>
      <c r="AB424" s="62"/>
      <c r="AC424" s="62"/>
    </row>
    <row r="425" spans="2:29" s="61" customFormat="1" ht="12.75" x14ac:dyDescent="0.2">
      <c r="B425" s="62"/>
      <c r="P425" s="62"/>
      <c r="V425" s="62"/>
      <c r="X425" s="62"/>
      <c r="Y425" s="62"/>
      <c r="Z425" s="62"/>
      <c r="AA425" s="62"/>
      <c r="AB425" s="62"/>
      <c r="AC425" s="62"/>
    </row>
    <row r="426" spans="2:29" s="61" customFormat="1" ht="12.75" x14ac:dyDescent="0.2">
      <c r="B426" s="62"/>
      <c r="P426" s="62"/>
      <c r="V426" s="62"/>
      <c r="X426" s="62"/>
      <c r="Y426" s="62"/>
      <c r="Z426" s="62"/>
      <c r="AA426" s="62"/>
      <c r="AB426" s="62"/>
      <c r="AC426" s="62"/>
    </row>
    <row r="427" spans="2:29" s="61" customFormat="1" ht="12.75" x14ac:dyDescent="0.2">
      <c r="B427" s="62"/>
      <c r="P427" s="62"/>
      <c r="V427" s="62"/>
      <c r="X427" s="62"/>
      <c r="Y427" s="62"/>
      <c r="Z427" s="62"/>
      <c r="AA427" s="62"/>
      <c r="AB427" s="62"/>
      <c r="AC427" s="62"/>
    </row>
    <row r="428" spans="2:29" s="61" customFormat="1" ht="12.75" x14ac:dyDescent="0.2">
      <c r="B428" s="62"/>
      <c r="P428" s="62"/>
      <c r="V428" s="62"/>
      <c r="X428" s="62"/>
      <c r="Y428" s="62"/>
      <c r="Z428" s="62"/>
      <c r="AA428" s="62"/>
      <c r="AB428" s="62"/>
      <c r="AC428" s="62"/>
    </row>
    <row r="429" spans="2:29" s="61" customFormat="1" ht="12.75" x14ac:dyDescent="0.2">
      <c r="B429" s="62"/>
      <c r="P429" s="62"/>
      <c r="V429" s="62"/>
      <c r="X429" s="62"/>
      <c r="Y429" s="62"/>
      <c r="Z429" s="62"/>
      <c r="AA429" s="62"/>
      <c r="AB429" s="62"/>
      <c r="AC429" s="62"/>
    </row>
    <row r="430" spans="2:29" s="61" customFormat="1" ht="12.75" x14ac:dyDescent="0.2">
      <c r="B430" s="62"/>
      <c r="P430" s="62"/>
      <c r="V430" s="62"/>
      <c r="X430" s="62"/>
      <c r="Y430" s="62"/>
      <c r="Z430" s="62"/>
      <c r="AA430" s="62"/>
      <c r="AB430" s="62"/>
      <c r="AC430" s="62"/>
    </row>
    <row r="431" spans="2:29" s="61" customFormat="1" ht="12.75" x14ac:dyDescent="0.2">
      <c r="B431" s="62"/>
      <c r="P431" s="62"/>
      <c r="V431" s="62"/>
      <c r="X431" s="62"/>
      <c r="Y431" s="62"/>
      <c r="Z431" s="62"/>
      <c r="AA431" s="62"/>
      <c r="AB431" s="62"/>
      <c r="AC431" s="62"/>
    </row>
    <row r="432" spans="2:29" s="61" customFormat="1" ht="12.75" x14ac:dyDescent="0.2">
      <c r="B432" s="62"/>
      <c r="P432" s="62"/>
      <c r="V432" s="62"/>
      <c r="X432" s="62"/>
      <c r="Y432" s="62"/>
      <c r="Z432" s="62"/>
      <c r="AA432" s="62"/>
      <c r="AB432" s="62"/>
      <c r="AC432" s="62"/>
    </row>
    <row r="433" spans="2:29" s="61" customFormat="1" ht="12.75" x14ac:dyDescent="0.2">
      <c r="B433" s="62"/>
      <c r="P433" s="62"/>
      <c r="V433" s="62"/>
      <c r="X433" s="62"/>
      <c r="Y433" s="62"/>
      <c r="Z433" s="62"/>
      <c r="AA433" s="62"/>
      <c r="AB433" s="62"/>
      <c r="AC433" s="62"/>
    </row>
    <row r="434" spans="2:29" s="61" customFormat="1" ht="12.75" x14ac:dyDescent="0.2">
      <c r="B434" s="62"/>
      <c r="P434" s="62"/>
      <c r="V434" s="62"/>
      <c r="X434" s="62"/>
      <c r="Y434" s="62"/>
      <c r="Z434" s="62"/>
      <c r="AA434" s="62"/>
      <c r="AB434" s="62"/>
      <c r="AC434" s="62"/>
    </row>
    <row r="435" spans="2:29" s="61" customFormat="1" ht="12.75" x14ac:dyDescent="0.2">
      <c r="B435" s="62"/>
      <c r="P435" s="62"/>
      <c r="V435" s="62"/>
      <c r="X435" s="62"/>
      <c r="Y435" s="62"/>
      <c r="Z435" s="62"/>
      <c r="AA435" s="62"/>
      <c r="AB435" s="62"/>
      <c r="AC435" s="62"/>
    </row>
    <row r="436" spans="2:29" s="61" customFormat="1" ht="12.75" x14ac:dyDescent="0.2">
      <c r="B436" s="62"/>
      <c r="P436" s="62"/>
      <c r="V436" s="62"/>
      <c r="X436" s="62"/>
      <c r="Y436" s="62"/>
      <c r="Z436" s="62"/>
      <c r="AA436" s="62"/>
      <c r="AB436" s="62"/>
      <c r="AC436" s="62"/>
    </row>
    <row r="437" spans="2:29" s="61" customFormat="1" ht="12.75" x14ac:dyDescent="0.2">
      <c r="B437" s="62"/>
      <c r="P437" s="62"/>
      <c r="V437" s="62"/>
      <c r="X437" s="62"/>
      <c r="Y437" s="62"/>
      <c r="Z437" s="62"/>
      <c r="AA437" s="62"/>
      <c r="AB437" s="62"/>
      <c r="AC437" s="62"/>
    </row>
    <row r="438" spans="2:29" s="61" customFormat="1" ht="12.75" x14ac:dyDescent="0.2">
      <c r="B438" s="62"/>
      <c r="P438" s="62"/>
      <c r="V438" s="62"/>
      <c r="X438" s="62"/>
      <c r="Y438" s="62"/>
      <c r="Z438" s="62"/>
      <c r="AA438" s="62"/>
      <c r="AB438" s="62"/>
      <c r="AC438" s="62"/>
    </row>
    <row r="439" spans="2:29" s="61" customFormat="1" ht="12.75" x14ac:dyDescent="0.2">
      <c r="B439" s="62"/>
      <c r="P439" s="62"/>
      <c r="V439" s="62"/>
      <c r="X439" s="62"/>
      <c r="Y439" s="62"/>
      <c r="Z439" s="62"/>
      <c r="AA439" s="62"/>
      <c r="AB439" s="62"/>
      <c r="AC439" s="62"/>
    </row>
    <row r="440" spans="2:29" s="61" customFormat="1" ht="12.75" x14ac:dyDescent="0.2">
      <c r="B440" s="62"/>
      <c r="P440" s="62"/>
      <c r="V440" s="62"/>
      <c r="X440" s="62"/>
      <c r="Y440" s="62"/>
      <c r="Z440" s="62"/>
      <c r="AA440" s="62"/>
      <c r="AB440" s="62"/>
      <c r="AC440" s="62"/>
    </row>
    <row r="441" spans="2:29" s="61" customFormat="1" ht="12.75" x14ac:dyDescent="0.2">
      <c r="B441" s="62"/>
      <c r="P441" s="62"/>
      <c r="V441" s="62"/>
      <c r="X441" s="62"/>
      <c r="Y441" s="62"/>
      <c r="Z441" s="62"/>
      <c r="AA441" s="62"/>
      <c r="AB441" s="62"/>
      <c r="AC441" s="62"/>
    </row>
    <row r="442" spans="2:29" s="61" customFormat="1" ht="12.75" x14ac:dyDescent="0.2">
      <c r="B442" s="62"/>
      <c r="P442" s="62"/>
      <c r="V442" s="62"/>
      <c r="X442" s="62"/>
      <c r="Y442" s="62"/>
      <c r="Z442" s="62"/>
      <c r="AA442" s="62"/>
      <c r="AB442" s="62"/>
      <c r="AC442" s="62"/>
    </row>
    <row r="443" spans="2:29" s="61" customFormat="1" ht="12.75" x14ac:dyDescent="0.2">
      <c r="B443" s="62"/>
      <c r="P443" s="62"/>
      <c r="V443" s="62"/>
      <c r="X443" s="62"/>
      <c r="Y443" s="62"/>
      <c r="Z443" s="62"/>
      <c r="AA443" s="62"/>
      <c r="AB443" s="62"/>
      <c r="AC443" s="62"/>
    </row>
    <row r="444" spans="2:29" s="61" customFormat="1" ht="12.75" x14ac:dyDescent="0.2">
      <c r="B444" s="62"/>
      <c r="P444" s="62"/>
      <c r="V444" s="62"/>
      <c r="X444" s="62"/>
      <c r="Y444" s="62"/>
      <c r="Z444" s="62"/>
      <c r="AA444" s="62"/>
      <c r="AB444" s="62"/>
      <c r="AC444" s="62"/>
    </row>
    <row r="445" spans="2:29" s="61" customFormat="1" ht="12.75" x14ac:dyDescent="0.2">
      <c r="B445" s="62"/>
      <c r="P445" s="62"/>
      <c r="V445" s="62"/>
      <c r="X445" s="62"/>
      <c r="Y445" s="62"/>
      <c r="Z445" s="62"/>
      <c r="AA445" s="62"/>
      <c r="AB445" s="62"/>
      <c r="AC445" s="62"/>
    </row>
    <row r="446" spans="2:29" s="61" customFormat="1" ht="12.75" x14ac:dyDescent="0.2">
      <c r="B446" s="62"/>
      <c r="P446" s="62"/>
      <c r="V446" s="62"/>
      <c r="X446" s="62"/>
      <c r="Y446" s="62"/>
      <c r="Z446" s="62"/>
      <c r="AA446" s="62"/>
      <c r="AB446" s="62"/>
      <c r="AC446" s="62"/>
    </row>
    <row r="447" spans="2:29" s="61" customFormat="1" ht="12.75" x14ac:dyDescent="0.2">
      <c r="B447" s="62"/>
      <c r="P447" s="62"/>
      <c r="V447" s="62"/>
      <c r="X447" s="62"/>
      <c r="Y447" s="62"/>
      <c r="Z447" s="62"/>
      <c r="AA447" s="62"/>
      <c r="AB447" s="62"/>
      <c r="AC447" s="62"/>
    </row>
    <row r="448" spans="2:29" s="61" customFormat="1" ht="12.75" x14ac:dyDescent="0.2">
      <c r="B448" s="62"/>
      <c r="P448" s="62"/>
      <c r="V448" s="62"/>
      <c r="X448" s="62"/>
      <c r="Y448" s="62"/>
      <c r="Z448" s="62"/>
      <c r="AA448" s="62"/>
      <c r="AB448" s="62"/>
      <c r="AC448" s="62"/>
    </row>
    <row r="449" spans="2:29" s="61" customFormat="1" ht="12.75" x14ac:dyDescent="0.2">
      <c r="B449" s="62"/>
      <c r="P449" s="62"/>
      <c r="V449" s="62"/>
      <c r="X449" s="62"/>
      <c r="Y449" s="62"/>
      <c r="Z449" s="62"/>
      <c r="AA449" s="62"/>
      <c r="AB449" s="62"/>
      <c r="AC449" s="62"/>
    </row>
    <row r="450" spans="2:29" s="61" customFormat="1" ht="12.75" x14ac:dyDescent="0.2">
      <c r="B450" s="62"/>
      <c r="P450" s="62"/>
      <c r="V450" s="62"/>
      <c r="X450" s="62"/>
      <c r="Y450" s="62"/>
      <c r="Z450" s="62"/>
      <c r="AA450" s="62"/>
      <c r="AB450" s="62"/>
      <c r="AC450" s="62"/>
    </row>
    <row r="451" spans="2:29" s="61" customFormat="1" ht="12.75" x14ac:dyDescent="0.2">
      <c r="B451" s="62"/>
      <c r="P451" s="62"/>
      <c r="V451" s="62"/>
      <c r="X451" s="62"/>
      <c r="Y451" s="62"/>
      <c r="Z451" s="62"/>
      <c r="AA451" s="62"/>
      <c r="AB451" s="62"/>
      <c r="AC451" s="62"/>
    </row>
    <row r="452" spans="2:29" s="61" customFormat="1" ht="12.75" x14ac:dyDescent="0.2">
      <c r="B452" s="62"/>
      <c r="P452" s="62"/>
      <c r="V452" s="62"/>
      <c r="X452" s="62"/>
      <c r="Y452" s="62"/>
      <c r="Z452" s="62"/>
      <c r="AA452" s="62"/>
      <c r="AB452" s="62"/>
      <c r="AC452" s="62"/>
    </row>
    <row r="453" spans="2:29" s="61" customFormat="1" ht="12.75" x14ac:dyDescent="0.2">
      <c r="B453" s="62"/>
      <c r="P453" s="62"/>
      <c r="V453" s="62"/>
      <c r="X453" s="62"/>
      <c r="Y453" s="62"/>
      <c r="Z453" s="62"/>
      <c r="AA453" s="62"/>
      <c r="AB453" s="62"/>
      <c r="AC453" s="62"/>
    </row>
    <row r="454" spans="2:29" s="61" customFormat="1" ht="12.75" x14ac:dyDescent="0.2">
      <c r="B454" s="62"/>
      <c r="P454" s="62"/>
      <c r="V454" s="62"/>
      <c r="X454" s="62"/>
      <c r="Y454" s="62"/>
      <c r="Z454" s="62"/>
      <c r="AA454" s="62"/>
      <c r="AB454" s="62"/>
      <c r="AC454" s="62"/>
    </row>
    <row r="455" spans="2:29" s="61" customFormat="1" ht="12.75" x14ac:dyDescent="0.2">
      <c r="B455" s="62"/>
      <c r="P455" s="62"/>
      <c r="V455" s="62"/>
      <c r="X455" s="62"/>
      <c r="Y455" s="62"/>
      <c r="Z455" s="62"/>
      <c r="AA455" s="62"/>
      <c r="AB455" s="62"/>
      <c r="AC455" s="62"/>
    </row>
    <row r="456" spans="2:29" s="61" customFormat="1" ht="12.75" x14ac:dyDescent="0.2">
      <c r="B456" s="62"/>
      <c r="P456" s="62"/>
      <c r="V456" s="62"/>
      <c r="X456" s="62"/>
      <c r="Y456" s="62"/>
      <c r="Z456" s="62"/>
      <c r="AA456" s="62"/>
      <c r="AB456" s="62"/>
      <c r="AC456" s="62"/>
    </row>
    <row r="457" spans="2:29" s="61" customFormat="1" ht="12.75" x14ac:dyDescent="0.2">
      <c r="B457" s="62"/>
      <c r="P457" s="62"/>
      <c r="V457" s="62"/>
      <c r="X457" s="62"/>
      <c r="Y457" s="62"/>
      <c r="Z457" s="62"/>
      <c r="AA457" s="62"/>
      <c r="AB457" s="62"/>
      <c r="AC457" s="62"/>
    </row>
    <row r="458" spans="2:29" s="61" customFormat="1" ht="12.75" x14ac:dyDescent="0.2">
      <c r="B458" s="62"/>
      <c r="P458" s="62"/>
      <c r="V458" s="62"/>
      <c r="X458" s="62"/>
      <c r="Y458" s="62"/>
      <c r="Z458" s="62"/>
      <c r="AA458" s="62"/>
      <c r="AB458" s="62"/>
      <c r="AC458" s="62"/>
    </row>
    <row r="459" spans="2:29" s="61" customFormat="1" ht="12.75" x14ac:dyDescent="0.2">
      <c r="B459" s="62"/>
      <c r="P459" s="62"/>
      <c r="V459" s="62"/>
      <c r="X459" s="62"/>
      <c r="Y459" s="62"/>
      <c r="Z459" s="62"/>
      <c r="AA459" s="62"/>
      <c r="AB459" s="62"/>
      <c r="AC459" s="62"/>
    </row>
    <row r="460" spans="2:29" s="61" customFormat="1" ht="12.75" x14ac:dyDescent="0.2">
      <c r="B460" s="62"/>
      <c r="P460" s="62"/>
      <c r="V460" s="62"/>
      <c r="X460" s="62"/>
      <c r="Y460" s="62"/>
      <c r="Z460" s="62"/>
      <c r="AA460" s="62"/>
      <c r="AB460" s="62"/>
      <c r="AC460" s="62"/>
    </row>
    <row r="461" spans="2:29" s="61" customFormat="1" ht="12.75" x14ac:dyDescent="0.2">
      <c r="B461" s="62"/>
      <c r="P461" s="62"/>
      <c r="V461" s="62"/>
      <c r="X461" s="62"/>
      <c r="Y461" s="62"/>
      <c r="Z461" s="62"/>
      <c r="AA461" s="62"/>
      <c r="AB461" s="62"/>
      <c r="AC461" s="62"/>
    </row>
    <row r="462" spans="2:29" s="61" customFormat="1" ht="12.75" x14ac:dyDescent="0.2">
      <c r="B462" s="62"/>
      <c r="P462" s="62"/>
      <c r="V462" s="62"/>
      <c r="X462" s="62"/>
      <c r="Y462" s="62"/>
      <c r="Z462" s="62"/>
      <c r="AA462" s="62"/>
      <c r="AB462" s="62"/>
      <c r="AC462" s="62"/>
    </row>
    <row r="463" spans="2:29" s="61" customFormat="1" ht="12.75" x14ac:dyDescent="0.2">
      <c r="B463" s="62"/>
      <c r="P463" s="62"/>
      <c r="V463" s="62"/>
      <c r="X463" s="62"/>
      <c r="Y463" s="62"/>
      <c r="Z463" s="62"/>
      <c r="AA463" s="62"/>
      <c r="AB463" s="62"/>
      <c r="AC463" s="62"/>
    </row>
    <row r="464" spans="2:29" s="61" customFormat="1" ht="12.75" x14ac:dyDescent="0.2">
      <c r="B464" s="62"/>
      <c r="P464" s="62"/>
      <c r="V464" s="62"/>
      <c r="X464" s="62"/>
      <c r="Y464" s="62"/>
      <c r="Z464" s="62"/>
      <c r="AA464" s="62"/>
      <c r="AB464" s="62"/>
      <c r="AC464" s="62"/>
    </row>
    <row r="465" spans="2:29" s="61" customFormat="1" ht="12.75" x14ac:dyDescent="0.2">
      <c r="B465" s="62"/>
      <c r="P465" s="62"/>
      <c r="V465" s="62"/>
      <c r="X465" s="62"/>
      <c r="Y465" s="62"/>
      <c r="Z465" s="62"/>
      <c r="AA465" s="62"/>
      <c r="AB465" s="62"/>
      <c r="AC465" s="62"/>
    </row>
    <row r="466" spans="2:29" s="61" customFormat="1" ht="12.75" x14ac:dyDescent="0.2">
      <c r="B466" s="62"/>
      <c r="P466" s="62"/>
      <c r="V466" s="62"/>
      <c r="X466" s="62"/>
      <c r="Y466" s="62"/>
      <c r="Z466" s="62"/>
      <c r="AA466" s="62"/>
      <c r="AB466" s="62"/>
      <c r="AC466" s="62"/>
    </row>
    <row r="467" spans="2:29" s="61" customFormat="1" ht="12.75" x14ac:dyDescent="0.2">
      <c r="B467" s="62"/>
      <c r="P467" s="62"/>
      <c r="V467" s="62"/>
      <c r="X467" s="62"/>
      <c r="Y467" s="62"/>
      <c r="Z467" s="62"/>
      <c r="AA467" s="62"/>
      <c r="AB467" s="62"/>
      <c r="AC467" s="62"/>
    </row>
    <row r="468" spans="2:29" s="61" customFormat="1" ht="12.75" x14ac:dyDescent="0.2">
      <c r="B468" s="62"/>
      <c r="P468" s="62"/>
      <c r="V468" s="62"/>
      <c r="X468" s="62"/>
      <c r="Y468" s="62"/>
      <c r="Z468" s="62"/>
      <c r="AA468" s="62"/>
      <c r="AB468" s="62"/>
      <c r="AC468" s="62"/>
    </row>
    <row r="469" spans="2:29" s="61" customFormat="1" ht="12.75" x14ac:dyDescent="0.2">
      <c r="B469" s="62"/>
      <c r="P469" s="62"/>
      <c r="V469" s="62"/>
      <c r="X469" s="62"/>
      <c r="Y469" s="62"/>
      <c r="Z469" s="62"/>
      <c r="AA469" s="62"/>
      <c r="AB469" s="62"/>
      <c r="AC469" s="62"/>
    </row>
    <row r="470" spans="2:29" s="61" customFormat="1" ht="12.75" x14ac:dyDescent="0.2">
      <c r="B470" s="62"/>
      <c r="P470" s="62"/>
      <c r="V470" s="62"/>
      <c r="X470" s="62"/>
      <c r="Y470" s="62"/>
      <c r="Z470" s="62"/>
      <c r="AA470" s="62"/>
      <c r="AB470" s="62"/>
      <c r="AC470" s="62"/>
    </row>
    <row r="471" spans="2:29" s="61" customFormat="1" ht="12.75" x14ac:dyDescent="0.2">
      <c r="B471" s="62"/>
      <c r="P471" s="62"/>
      <c r="V471" s="62"/>
      <c r="X471" s="62"/>
      <c r="Y471" s="62"/>
      <c r="Z471" s="62"/>
      <c r="AA471" s="62"/>
      <c r="AB471" s="62"/>
      <c r="AC471" s="62"/>
    </row>
    <row r="472" spans="2:29" s="61" customFormat="1" ht="12.75" x14ac:dyDescent="0.2">
      <c r="B472" s="62"/>
      <c r="P472" s="62"/>
      <c r="V472" s="62"/>
      <c r="X472" s="62"/>
      <c r="Y472" s="62"/>
      <c r="Z472" s="62"/>
      <c r="AA472" s="62"/>
      <c r="AB472" s="62"/>
      <c r="AC472" s="62"/>
    </row>
    <row r="473" spans="2:29" s="61" customFormat="1" ht="12.75" x14ac:dyDescent="0.2">
      <c r="B473" s="62"/>
      <c r="P473" s="62"/>
      <c r="V473" s="62"/>
      <c r="X473" s="62"/>
      <c r="Y473" s="62"/>
      <c r="Z473" s="62"/>
      <c r="AA473" s="62"/>
      <c r="AB473" s="62"/>
      <c r="AC473" s="62"/>
    </row>
    <row r="474" spans="2:29" s="61" customFormat="1" ht="12.75" x14ac:dyDescent="0.2">
      <c r="B474" s="62"/>
      <c r="P474" s="62"/>
      <c r="V474" s="62"/>
      <c r="X474" s="62"/>
      <c r="Y474" s="62"/>
      <c r="Z474" s="62"/>
      <c r="AA474" s="62"/>
      <c r="AB474" s="62"/>
      <c r="AC474" s="62"/>
    </row>
    <row r="475" spans="2:29" s="61" customFormat="1" ht="12.75" x14ac:dyDescent="0.2">
      <c r="B475" s="62"/>
      <c r="P475" s="62"/>
      <c r="V475" s="62"/>
      <c r="X475" s="62"/>
      <c r="Y475" s="62"/>
      <c r="Z475" s="62"/>
      <c r="AA475" s="62"/>
      <c r="AB475" s="62"/>
      <c r="AC475" s="62"/>
    </row>
    <row r="476" spans="2:29" s="61" customFormat="1" ht="12.75" x14ac:dyDescent="0.2">
      <c r="B476" s="62"/>
      <c r="P476" s="62"/>
      <c r="V476" s="62"/>
      <c r="X476" s="62"/>
      <c r="Y476" s="62"/>
      <c r="Z476" s="62"/>
      <c r="AA476" s="62"/>
      <c r="AB476" s="62"/>
      <c r="AC476" s="62"/>
    </row>
    <row r="477" spans="2:29" s="61" customFormat="1" ht="12.75" x14ac:dyDescent="0.2">
      <c r="B477" s="62"/>
      <c r="P477" s="62"/>
      <c r="V477" s="62"/>
      <c r="X477" s="62"/>
      <c r="Y477" s="62"/>
      <c r="Z477" s="62"/>
      <c r="AA477" s="62"/>
      <c r="AB477" s="62"/>
      <c r="AC477" s="62"/>
    </row>
    <row r="478" spans="2:29" s="61" customFormat="1" ht="12.75" x14ac:dyDescent="0.2">
      <c r="B478" s="62"/>
      <c r="P478" s="62"/>
      <c r="V478" s="62"/>
      <c r="X478" s="62"/>
      <c r="Y478" s="62"/>
      <c r="Z478" s="62"/>
      <c r="AA478" s="62"/>
      <c r="AB478" s="62"/>
      <c r="AC478" s="62"/>
    </row>
    <row r="479" spans="2:29" s="61" customFormat="1" ht="12.75" x14ac:dyDescent="0.2">
      <c r="B479" s="62"/>
      <c r="P479" s="62"/>
      <c r="V479" s="62"/>
      <c r="X479" s="62"/>
      <c r="Y479" s="62"/>
      <c r="Z479" s="62"/>
      <c r="AA479" s="62"/>
      <c r="AB479" s="62"/>
      <c r="AC479" s="62"/>
    </row>
    <row r="480" spans="2:29" s="61" customFormat="1" ht="12.75" x14ac:dyDescent="0.2">
      <c r="B480" s="62"/>
      <c r="P480" s="62"/>
      <c r="V480" s="62"/>
      <c r="X480" s="62"/>
      <c r="Y480" s="62"/>
      <c r="Z480" s="62"/>
      <c r="AA480" s="62"/>
      <c r="AB480" s="62"/>
      <c r="AC480" s="62"/>
    </row>
    <row r="481" spans="2:29" s="61" customFormat="1" ht="12.75" x14ac:dyDescent="0.2">
      <c r="B481" s="62"/>
      <c r="P481" s="62"/>
      <c r="V481" s="62"/>
      <c r="X481" s="62"/>
      <c r="Y481" s="62"/>
      <c r="Z481" s="62"/>
      <c r="AA481" s="62"/>
      <c r="AB481" s="62"/>
      <c r="AC481" s="62"/>
    </row>
    <row r="482" spans="2:29" s="61" customFormat="1" ht="12.75" x14ac:dyDescent="0.2">
      <c r="B482" s="62"/>
      <c r="P482" s="62"/>
      <c r="V482" s="62"/>
      <c r="X482" s="62"/>
      <c r="Y482" s="62"/>
      <c r="Z482" s="62"/>
      <c r="AA482" s="62"/>
      <c r="AB482" s="62"/>
      <c r="AC482" s="62"/>
    </row>
    <row r="483" spans="2:29" s="61" customFormat="1" ht="12.75" x14ac:dyDescent="0.2">
      <c r="B483" s="62"/>
      <c r="P483" s="62"/>
      <c r="V483" s="62"/>
      <c r="X483" s="62"/>
      <c r="Y483" s="62"/>
      <c r="Z483" s="62"/>
      <c r="AA483" s="62"/>
      <c r="AB483" s="62"/>
      <c r="AC483" s="62"/>
    </row>
    <row r="484" spans="2:29" s="61" customFormat="1" ht="12.75" x14ac:dyDescent="0.2">
      <c r="B484" s="62"/>
      <c r="P484" s="62"/>
      <c r="V484" s="62"/>
      <c r="X484" s="62"/>
      <c r="Y484" s="62"/>
      <c r="Z484" s="62"/>
      <c r="AA484" s="62"/>
      <c r="AB484" s="62"/>
      <c r="AC484" s="62"/>
    </row>
    <row r="485" spans="2:29" s="61" customFormat="1" ht="12.75" x14ac:dyDescent="0.2">
      <c r="B485" s="62"/>
      <c r="P485" s="62"/>
      <c r="V485" s="62"/>
      <c r="X485" s="62"/>
      <c r="Y485" s="62"/>
      <c r="Z485" s="62"/>
      <c r="AA485" s="62"/>
      <c r="AB485" s="62"/>
      <c r="AC485" s="62"/>
    </row>
    <row r="486" spans="2:29" s="61" customFormat="1" ht="12.75" x14ac:dyDescent="0.2">
      <c r="B486" s="62"/>
      <c r="P486" s="62"/>
      <c r="V486" s="62"/>
      <c r="X486" s="62"/>
      <c r="Y486" s="62"/>
      <c r="Z486" s="62"/>
      <c r="AA486" s="62"/>
      <c r="AB486" s="62"/>
      <c r="AC486" s="62"/>
    </row>
    <row r="487" spans="2:29" s="61" customFormat="1" ht="12.75" x14ac:dyDescent="0.2">
      <c r="B487" s="62"/>
      <c r="P487" s="62"/>
      <c r="V487" s="62"/>
      <c r="X487" s="62"/>
      <c r="Y487" s="62"/>
      <c r="Z487" s="62"/>
      <c r="AA487" s="62"/>
      <c r="AB487" s="62"/>
      <c r="AC487" s="62"/>
    </row>
    <row r="488" spans="2:29" s="61" customFormat="1" ht="12.75" x14ac:dyDescent="0.2">
      <c r="B488" s="62"/>
      <c r="P488" s="62"/>
      <c r="V488" s="62"/>
      <c r="X488" s="62"/>
      <c r="Y488" s="62"/>
      <c r="Z488" s="62"/>
      <c r="AA488" s="62"/>
      <c r="AB488" s="62"/>
      <c r="AC488" s="62"/>
    </row>
    <row r="489" spans="2:29" s="61" customFormat="1" ht="12.75" x14ac:dyDescent="0.2">
      <c r="B489" s="62"/>
      <c r="P489" s="62"/>
      <c r="V489" s="62"/>
      <c r="X489" s="62"/>
      <c r="Y489" s="62"/>
      <c r="Z489" s="62"/>
      <c r="AA489" s="62"/>
      <c r="AB489" s="62"/>
      <c r="AC489" s="62"/>
    </row>
    <row r="490" spans="2:29" s="61" customFormat="1" ht="12.75" x14ac:dyDescent="0.2">
      <c r="B490" s="62"/>
      <c r="P490" s="62"/>
      <c r="V490" s="62"/>
      <c r="X490" s="62"/>
      <c r="Y490" s="62"/>
      <c r="Z490" s="62"/>
      <c r="AA490" s="62"/>
      <c r="AB490" s="62"/>
      <c r="AC490" s="62"/>
    </row>
    <row r="491" spans="2:29" s="61" customFormat="1" ht="12.75" x14ac:dyDescent="0.2">
      <c r="B491" s="62"/>
      <c r="P491" s="62"/>
      <c r="V491" s="62"/>
      <c r="X491" s="62"/>
      <c r="Y491" s="62"/>
      <c r="Z491" s="62"/>
      <c r="AA491" s="62"/>
      <c r="AB491" s="62"/>
      <c r="AC491" s="62"/>
    </row>
    <row r="492" spans="2:29" s="61" customFormat="1" ht="12.75" x14ac:dyDescent="0.2">
      <c r="B492" s="62"/>
      <c r="P492" s="62"/>
      <c r="V492" s="62"/>
      <c r="X492" s="62"/>
      <c r="Y492" s="62"/>
      <c r="Z492" s="62"/>
      <c r="AA492" s="62"/>
      <c r="AB492" s="62"/>
      <c r="AC492" s="62"/>
    </row>
    <row r="493" spans="2:29" s="61" customFormat="1" ht="12.75" x14ac:dyDescent="0.2">
      <c r="B493" s="62"/>
      <c r="P493" s="62"/>
      <c r="V493" s="62"/>
      <c r="X493" s="62"/>
      <c r="Y493" s="62"/>
      <c r="Z493" s="62"/>
      <c r="AA493" s="62"/>
      <c r="AB493" s="62"/>
      <c r="AC493" s="62"/>
    </row>
    <row r="494" spans="2:29" s="61" customFormat="1" ht="12.75" x14ac:dyDescent="0.2">
      <c r="B494" s="62"/>
      <c r="P494" s="62"/>
      <c r="V494" s="62"/>
      <c r="X494" s="62"/>
      <c r="Y494" s="62"/>
      <c r="Z494" s="62"/>
      <c r="AA494" s="62"/>
      <c r="AB494" s="62"/>
      <c r="AC494" s="62"/>
    </row>
    <row r="495" spans="2:29" s="61" customFormat="1" ht="12.75" x14ac:dyDescent="0.2">
      <c r="B495" s="62"/>
      <c r="P495" s="62"/>
      <c r="V495" s="62"/>
      <c r="X495" s="62"/>
      <c r="Y495" s="62"/>
      <c r="Z495" s="62"/>
      <c r="AA495" s="62"/>
      <c r="AB495" s="62"/>
      <c r="AC495" s="62"/>
    </row>
    <row r="496" spans="2:29" s="61" customFormat="1" ht="12.75" x14ac:dyDescent="0.2">
      <c r="B496" s="62"/>
      <c r="P496" s="62"/>
      <c r="V496" s="62"/>
      <c r="X496" s="62"/>
      <c r="Y496" s="62"/>
      <c r="Z496" s="62"/>
      <c r="AA496" s="62"/>
      <c r="AB496" s="62"/>
      <c r="AC496" s="62"/>
    </row>
    <row r="497" spans="2:29" s="61" customFormat="1" ht="12.75" x14ac:dyDescent="0.2">
      <c r="B497" s="62"/>
      <c r="P497" s="62"/>
      <c r="V497" s="62"/>
      <c r="X497" s="62"/>
      <c r="Y497" s="62"/>
      <c r="Z497" s="62"/>
      <c r="AA497" s="62"/>
      <c r="AB497" s="62"/>
      <c r="AC497" s="62"/>
    </row>
    <row r="498" spans="2:29" s="61" customFormat="1" ht="12.75" x14ac:dyDescent="0.2">
      <c r="B498" s="62"/>
      <c r="P498" s="62"/>
      <c r="V498" s="62"/>
      <c r="X498" s="62"/>
      <c r="Y498" s="62"/>
      <c r="Z498" s="62"/>
      <c r="AA498" s="62"/>
      <c r="AB498" s="62"/>
      <c r="AC498" s="62"/>
    </row>
    <row r="499" spans="2:29" s="61" customFormat="1" ht="12.75" x14ac:dyDescent="0.2">
      <c r="B499" s="62"/>
      <c r="P499" s="62"/>
      <c r="V499" s="62"/>
      <c r="X499" s="62"/>
      <c r="Y499" s="62"/>
      <c r="Z499" s="62"/>
      <c r="AA499" s="62"/>
      <c r="AB499" s="62"/>
      <c r="AC499" s="62"/>
    </row>
    <row r="500" spans="2:29" s="61" customFormat="1" ht="12.75" x14ac:dyDescent="0.2">
      <c r="B500" s="62"/>
      <c r="P500" s="62"/>
      <c r="V500" s="62"/>
      <c r="X500" s="62"/>
      <c r="Y500" s="62"/>
      <c r="Z500" s="62"/>
      <c r="AA500" s="62"/>
      <c r="AB500" s="62"/>
      <c r="AC500" s="62"/>
    </row>
    <row r="501" spans="2:29" s="61" customFormat="1" ht="12.75" x14ac:dyDescent="0.2">
      <c r="B501" s="62"/>
      <c r="P501" s="62"/>
      <c r="V501" s="62"/>
      <c r="X501" s="62"/>
      <c r="Y501" s="62"/>
      <c r="Z501" s="62"/>
      <c r="AA501" s="62"/>
      <c r="AB501" s="62"/>
      <c r="AC501" s="62"/>
    </row>
    <row r="502" spans="2:29" s="61" customFormat="1" ht="12.75" x14ac:dyDescent="0.2">
      <c r="B502" s="62"/>
      <c r="P502" s="62"/>
      <c r="V502" s="62"/>
      <c r="X502" s="62"/>
      <c r="Y502" s="62"/>
      <c r="Z502" s="62"/>
      <c r="AA502" s="62"/>
      <c r="AB502" s="62"/>
      <c r="AC502" s="62"/>
    </row>
    <row r="503" spans="2:29" s="61" customFormat="1" ht="12.75" x14ac:dyDescent="0.2">
      <c r="B503" s="62"/>
      <c r="P503" s="62"/>
      <c r="V503" s="62"/>
      <c r="X503" s="62"/>
      <c r="Y503" s="62"/>
      <c r="Z503" s="62"/>
      <c r="AA503" s="62"/>
      <c r="AB503" s="62"/>
      <c r="AC503" s="62"/>
    </row>
    <row r="504" spans="2:29" s="61" customFormat="1" ht="12.75" x14ac:dyDescent="0.2">
      <c r="B504" s="62"/>
      <c r="P504" s="62"/>
      <c r="V504" s="62"/>
      <c r="X504" s="62"/>
      <c r="Y504" s="62"/>
      <c r="Z504" s="62"/>
      <c r="AA504" s="62"/>
      <c r="AB504" s="62"/>
      <c r="AC504" s="62"/>
    </row>
    <row r="505" spans="2:29" s="61" customFormat="1" ht="12.75" x14ac:dyDescent="0.2">
      <c r="B505" s="62"/>
      <c r="P505" s="62"/>
      <c r="V505" s="62"/>
      <c r="X505" s="62"/>
      <c r="Y505" s="62"/>
      <c r="Z505" s="62"/>
      <c r="AA505" s="62"/>
      <c r="AB505" s="62"/>
      <c r="AC505" s="62"/>
    </row>
    <row r="506" spans="2:29" s="61" customFormat="1" ht="12.75" x14ac:dyDescent="0.2">
      <c r="B506" s="62"/>
      <c r="P506" s="62"/>
      <c r="V506" s="62"/>
      <c r="X506" s="62"/>
      <c r="Y506" s="62"/>
      <c r="Z506" s="62"/>
      <c r="AA506" s="62"/>
      <c r="AB506" s="62"/>
      <c r="AC506" s="62"/>
    </row>
    <row r="507" spans="2:29" s="61" customFormat="1" ht="12.75" x14ac:dyDescent="0.2">
      <c r="B507" s="62"/>
      <c r="P507" s="62"/>
      <c r="V507" s="62"/>
      <c r="X507" s="62"/>
      <c r="Y507" s="62"/>
      <c r="Z507" s="62"/>
      <c r="AA507" s="62"/>
      <c r="AB507" s="62"/>
      <c r="AC507" s="62"/>
    </row>
    <row r="508" spans="2:29" s="61" customFormat="1" ht="12.75" x14ac:dyDescent="0.2">
      <c r="B508" s="62"/>
      <c r="P508" s="62"/>
      <c r="V508" s="62"/>
      <c r="X508" s="62"/>
      <c r="Y508" s="62"/>
      <c r="Z508" s="62"/>
      <c r="AA508" s="62"/>
      <c r="AB508" s="62"/>
      <c r="AC508" s="62"/>
    </row>
    <row r="509" spans="2:29" s="61" customFormat="1" ht="12.75" x14ac:dyDescent="0.2">
      <c r="B509" s="62"/>
      <c r="P509" s="62"/>
      <c r="V509" s="62"/>
      <c r="X509" s="62"/>
      <c r="Y509" s="62"/>
      <c r="Z509" s="62"/>
      <c r="AA509" s="62"/>
      <c r="AB509" s="62"/>
      <c r="AC509" s="62"/>
    </row>
    <row r="510" spans="2:29" s="61" customFormat="1" ht="12.75" x14ac:dyDescent="0.2">
      <c r="B510" s="62"/>
      <c r="P510" s="62"/>
      <c r="V510" s="62"/>
      <c r="X510" s="62"/>
      <c r="Y510" s="62"/>
      <c r="Z510" s="62"/>
      <c r="AA510" s="62"/>
      <c r="AB510" s="62"/>
      <c r="AC510" s="62"/>
    </row>
    <row r="511" spans="2:29" s="61" customFormat="1" ht="12.75" x14ac:dyDescent="0.2">
      <c r="B511" s="62"/>
      <c r="P511" s="62"/>
      <c r="V511" s="62"/>
      <c r="X511" s="62"/>
      <c r="Y511" s="62"/>
      <c r="Z511" s="62"/>
      <c r="AA511" s="62"/>
      <c r="AB511" s="62"/>
      <c r="AC511" s="62"/>
    </row>
    <row r="512" spans="2:29" s="61" customFormat="1" ht="12.75" x14ac:dyDescent="0.2">
      <c r="B512" s="62"/>
      <c r="P512" s="62"/>
      <c r="V512" s="62"/>
      <c r="X512" s="62"/>
      <c r="Y512" s="62"/>
      <c r="Z512" s="62"/>
      <c r="AA512" s="62"/>
      <c r="AB512" s="62"/>
      <c r="AC512" s="62"/>
    </row>
    <row r="513" spans="2:29" s="61" customFormat="1" ht="12.75" x14ac:dyDescent="0.2">
      <c r="B513" s="62"/>
      <c r="P513" s="62"/>
      <c r="V513" s="62"/>
      <c r="X513" s="62"/>
      <c r="Y513" s="62"/>
      <c r="Z513" s="62"/>
      <c r="AA513" s="62"/>
      <c r="AB513" s="62"/>
      <c r="AC513" s="62"/>
    </row>
    <row r="514" spans="2:29" s="61" customFormat="1" ht="12.75" x14ac:dyDescent="0.2">
      <c r="B514" s="62"/>
      <c r="P514" s="62"/>
      <c r="V514" s="62"/>
      <c r="X514" s="62"/>
      <c r="Y514" s="62"/>
      <c r="Z514" s="62"/>
      <c r="AA514" s="62"/>
      <c r="AB514" s="62"/>
      <c r="AC514" s="62"/>
    </row>
    <row r="515" spans="2:29" s="61" customFormat="1" ht="12.75" x14ac:dyDescent="0.2">
      <c r="B515" s="62"/>
      <c r="P515" s="62"/>
      <c r="V515" s="62"/>
      <c r="X515" s="62"/>
      <c r="Y515" s="62"/>
      <c r="Z515" s="62"/>
      <c r="AA515" s="62"/>
      <c r="AB515" s="62"/>
      <c r="AC515" s="62"/>
    </row>
    <row r="516" spans="2:29" s="61" customFormat="1" ht="12.75" x14ac:dyDescent="0.2">
      <c r="B516" s="62"/>
      <c r="P516" s="62"/>
      <c r="V516" s="62"/>
      <c r="X516" s="62"/>
      <c r="Y516" s="62"/>
      <c r="Z516" s="62"/>
      <c r="AA516" s="62"/>
      <c r="AB516" s="62"/>
      <c r="AC516" s="62"/>
    </row>
    <row r="517" spans="2:29" s="61" customFormat="1" ht="12.75" x14ac:dyDescent="0.2">
      <c r="B517" s="62"/>
      <c r="P517" s="62"/>
      <c r="V517" s="62"/>
      <c r="X517" s="62"/>
      <c r="Y517" s="62"/>
      <c r="Z517" s="62"/>
      <c r="AA517" s="62"/>
      <c r="AB517" s="62"/>
      <c r="AC517" s="62"/>
    </row>
    <row r="518" spans="2:29" s="61" customFormat="1" ht="12.75" x14ac:dyDescent="0.2">
      <c r="B518" s="62"/>
      <c r="P518" s="62"/>
      <c r="V518" s="62"/>
      <c r="X518" s="62"/>
      <c r="Y518" s="62"/>
      <c r="Z518" s="62"/>
      <c r="AA518" s="62"/>
      <c r="AB518" s="62"/>
      <c r="AC518" s="62"/>
    </row>
    <row r="519" spans="2:29" s="61" customFormat="1" ht="12.75" x14ac:dyDescent="0.2">
      <c r="B519" s="62"/>
      <c r="P519" s="62"/>
      <c r="V519" s="62"/>
      <c r="X519" s="62"/>
      <c r="Y519" s="62"/>
      <c r="Z519" s="62"/>
      <c r="AA519" s="62"/>
      <c r="AB519" s="62"/>
      <c r="AC519" s="62"/>
    </row>
    <row r="520" spans="2:29" s="61" customFormat="1" ht="12.75" x14ac:dyDescent="0.2">
      <c r="B520" s="62"/>
      <c r="P520" s="62"/>
      <c r="V520" s="62"/>
      <c r="X520" s="62"/>
      <c r="Y520" s="62"/>
      <c r="Z520" s="62"/>
      <c r="AA520" s="62"/>
      <c r="AB520" s="62"/>
      <c r="AC520" s="62"/>
    </row>
    <row r="521" spans="2:29" s="61" customFormat="1" ht="12.75" x14ac:dyDescent="0.2">
      <c r="B521" s="62"/>
      <c r="P521" s="62"/>
      <c r="V521" s="62"/>
      <c r="X521" s="62"/>
      <c r="Y521" s="62"/>
      <c r="Z521" s="62"/>
      <c r="AA521" s="62"/>
      <c r="AB521" s="62"/>
      <c r="AC521" s="62"/>
    </row>
    <row r="522" spans="2:29" s="61" customFormat="1" ht="12.75" x14ac:dyDescent="0.2">
      <c r="B522" s="62"/>
      <c r="P522" s="62"/>
      <c r="V522" s="62"/>
      <c r="X522" s="62"/>
      <c r="Y522" s="62"/>
      <c r="Z522" s="62"/>
      <c r="AA522" s="62"/>
      <c r="AB522" s="62"/>
      <c r="AC522" s="62"/>
    </row>
    <row r="523" spans="2:29" s="61" customFormat="1" ht="12.75" x14ac:dyDescent="0.2">
      <c r="B523" s="62"/>
      <c r="P523" s="62"/>
      <c r="V523" s="62"/>
      <c r="X523" s="62"/>
      <c r="Y523" s="62"/>
      <c r="Z523" s="62"/>
      <c r="AA523" s="62"/>
      <c r="AB523" s="62"/>
      <c r="AC523" s="62"/>
    </row>
    <row r="524" spans="2:29" s="61" customFormat="1" ht="12.75" x14ac:dyDescent="0.2">
      <c r="B524" s="62"/>
      <c r="P524" s="62"/>
      <c r="V524" s="62"/>
      <c r="X524" s="62"/>
      <c r="Y524" s="62"/>
      <c r="Z524" s="62"/>
      <c r="AA524" s="62"/>
      <c r="AB524" s="62"/>
      <c r="AC524" s="62"/>
    </row>
    <row r="525" spans="2:29" s="61" customFormat="1" ht="12.75" x14ac:dyDescent="0.2">
      <c r="B525" s="62"/>
      <c r="P525" s="62"/>
      <c r="V525" s="62"/>
      <c r="X525" s="62"/>
      <c r="Y525" s="62"/>
      <c r="Z525" s="62"/>
      <c r="AA525" s="62"/>
      <c r="AB525" s="62"/>
      <c r="AC525" s="62"/>
    </row>
    <row r="526" spans="2:29" s="61" customFormat="1" ht="12.75" x14ac:dyDescent="0.2">
      <c r="B526" s="62"/>
      <c r="P526" s="62"/>
      <c r="V526" s="62"/>
      <c r="X526" s="62"/>
      <c r="Y526" s="62"/>
      <c r="Z526" s="62"/>
      <c r="AA526" s="62"/>
      <c r="AB526" s="62"/>
      <c r="AC526" s="62"/>
    </row>
    <row r="527" spans="2:29" s="61" customFormat="1" ht="12.75" x14ac:dyDescent="0.2">
      <c r="B527" s="62"/>
      <c r="P527" s="62"/>
      <c r="V527" s="62"/>
      <c r="X527" s="62"/>
      <c r="Y527" s="62"/>
      <c r="Z527" s="62"/>
      <c r="AA527" s="62"/>
      <c r="AB527" s="62"/>
      <c r="AC527" s="62"/>
    </row>
    <row r="528" spans="2:29" s="61" customFormat="1" ht="12.75" x14ac:dyDescent="0.2">
      <c r="B528" s="62"/>
      <c r="P528" s="62"/>
      <c r="V528" s="62"/>
      <c r="X528" s="62"/>
      <c r="Y528" s="62"/>
      <c r="Z528" s="62"/>
      <c r="AA528" s="62"/>
      <c r="AB528" s="62"/>
      <c r="AC528" s="62"/>
    </row>
    <row r="529" spans="2:29" s="61" customFormat="1" ht="12.75" x14ac:dyDescent="0.2">
      <c r="B529" s="62"/>
      <c r="P529" s="62"/>
      <c r="V529" s="62"/>
      <c r="X529" s="62"/>
      <c r="Y529" s="62"/>
      <c r="Z529" s="62"/>
      <c r="AA529" s="62"/>
      <c r="AB529" s="62"/>
      <c r="AC529" s="62"/>
    </row>
    <row r="530" spans="2:29" s="61" customFormat="1" ht="12.75" x14ac:dyDescent="0.2">
      <c r="B530" s="62"/>
      <c r="P530" s="62"/>
      <c r="V530" s="62"/>
      <c r="X530" s="62"/>
      <c r="Y530" s="62"/>
      <c r="Z530" s="62"/>
      <c r="AA530" s="62"/>
      <c r="AB530" s="62"/>
      <c r="AC530" s="62"/>
    </row>
    <row r="531" spans="2:29" s="61" customFormat="1" ht="12.75" x14ac:dyDescent="0.2">
      <c r="B531" s="62"/>
      <c r="P531" s="62"/>
      <c r="V531" s="62"/>
      <c r="X531" s="62"/>
      <c r="Y531" s="62"/>
      <c r="Z531" s="62"/>
      <c r="AA531" s="62"/>
      <c r="AB531" s="62"/>
      <c r="AC531" s="62"/>
    </row>
    <row r="532" spans="2:29" s="61" customFormat="1" ht="12.75" x14ac:dyDescent="0.2">
      <c r="B532" s="62"/>
      <c r="P532" s="62"/>
      <c r="V532" s="62"/>
      <c r="X532" s="62"/>
      <c r="Y532" s="62"/>
      <c r="Z532" s="62"/>
      <c r="AA532" s="62"/>
      <c r="AB532" s="62"/>
      <c r="AC532" s="62"/>
    </row>
    <row r="533" spans="2:29" s="61" customFormat="1" ht="12.75" x14ac:dyDescent="0.2">
      <c r="B533" s="62"/>
      <c r="P533" s="62"/>
      <c r="V533" s="62"/>
      <c r="X533" s="62"/>
      <c r="Y533" s="62"/>
      <c r="Z533" s="62"/>
      <c r="AA533" s="62"/>
      <c r="AB533" s="62"/>
      <c r="AC533" s="62"/>
    </row>
    <row r="534" spans="2:29" s="61" customFormat="1" ht="12.75" x14ac:dyDescent="0.2">
      <c r="B534" s="62"/>
      <c r="P534" s="62"/>
      <c r="V534" s="62"/>
      <c r="X534" s="62"/>
      <c r="Y534" s="62"/>
      <c r="Z534" s="62"/>
      <c r="AA534" s="62"/>
      <c r="AB534" s="62"/>
      <c r="AC534" s="62"/>
    </row>
    <row r="535" spans="2:29" s="61" customFormat="1" ht="12.75" x14ac:dyDescent="0.2">
      <c r="B535" s="62"/>
      <c r="P535" s="62"/>
      <c r="V535" s="62"/>
      <c r="X535" s="62"/>
      <c r="Y535" s="62"/>
      <c r="Z535" s="62"/>
      <c r="AA535" s="62"/>
      <c r="AB535" s="62"/>
      <c r="AC535" s="62"/>
    </row>
    <row r="536" spans="2:29" s="61" customFormat="1" ht="12.75" x14ac:dyDescent="0.2">
      <c r="B536" s="62"/>
      <c r="P536" s="62"/>
      <c r="V536" s="62"/>
      <c r="X536" s="62"/>
      <c r="Y536" s="62"/>
      <c r="Z536" s="62"/>
      <c r="AA536" s="62"/>
      <c r="AB536" s="62"/>
      <c r="AC536" s="62"/>
    </row>
    <row r="537" spans="2:29" s="61" customFormat="1" ht="12.75" x14ac:dyDescent="0.2">
      <c r="B537" s="62"/>
      <c r="P537" s="62"/>
      <c r="V537" s="62"/>
      <c r="X537" s="62"/>
      <c r="Y537" s="62"/>
      <c r="Z537" s="62"/>
      <c r="AA537" s="62"/>
      <c r="AB537" s="62"/>
      <c r="AC537" s="62"/>
    </row>
    <row r="538" spans="2:29" s="61" customFormat="1" ht="12.75" x14ac:dyDescent="0.2">
      <c r="B538" s="62"/>
      <c r="P538" s="62"/>
      <c r="V538" s="62"/>
      <c r="X538" s="62"/>
      <c r="Y538" s="62"/>
      <c r="Z538" s="62"/>
      <c r="AA538" s="62"/>
      <c r="AB538" s="62"/>
      <c r="AC538" s="62"/>
    </row>
    <row r="539" spans="2:29" s="61" customFormat="1" ht="12.75" x14ac:dyDescent="0.2">
      <c r="B539" s="62"/>
      <c r="P539" s="62"/>
      <c r="V539" s="62"/>
      <c r="X539" s="62"/>
      <c r="Y539" s="62"/>
      <c r="Z539" s="62"/>
      <c r="AA539" s="62"/>
      <c r="AB539" s="62"/>
      <c r="AC539" s="62"/>
    </row>
    <row r="540" spans="2:29" s="61" customFormat="1" ht="12.75" x14ac:dyDescent="0.2">
      <c r="B540" s="62"/>
      <c r="P540" s="62"/>
      <c r="V540" s="62"/>
      <c r="X540" s="62"/>
      <c r="Y540" s="62"/>
      <c r="Z540" s="62"/>
      <c r="AA540" s="62"/>
      <c r="AB540" s="62"/>
      <c r="AC540" s="62"/>
    </row>
    <row r="541" spans="2:29" s="61" customFormat="1" ht="12.75" x14ac:dyDescent="0.2">
      <c r="B541" s="62"/>
      <c r="P541" s="62"/>
      <c r="V541" s="62"/>
      <c r="X541" s="62"/>
      <c r="Y541" s="62"/>
      <c r="Z541" s="62"/>
      <c r="AA541" s="62"/>
      <c r="AB541" s="62"/>
      <c r="AC541" s="62"/>
    </row>
    <row r="542" spans="2:29" s="61" customFormat="1" ht="12.75" x14ac:dyDescent="0.2">
      <c r="B542" s="62"/>
      <c r="P542" s="62"/>
      <c r="V542" s="62"/>
      <c r="X542" s="62"/>
      <c r="Y542" s="62"/>
      <c r="Z542" s="62"/>
      <c r="AA542" s="62"/>
      <c r="AB542" s="62"/>
      <c r="AC542" s="62"/>
    </row>
    <row r="543" spans="2:29" s="61" customFormat="1" ht="12.75" x14ac:dyDescent="0.2">
      <c r="B543" s="62"/>
      <c r="P543" s="62"/>
      <c r="V543" s="62"/>
      <c r="X543" s="62"/>
      <c r="Y543" s="62"/>
      <c r="Z543" s="62"/>
      <c r="AA543" s="62"/>
      <c r="AB543" s="62"/>
      <c r="AC543" s="62"/>
    </row>
    <row r="544" spans="2:29" s="61" customFormat="1" ht="12.75" x14ac:dyDescent="0.2">
      <c r="B544" s="62"/>
      <c r="P544" s="62"/>
      <c r="V544" s="62"/>
      <c r="X544" s="62"/>
      <c r="Y544" s="62"/>
      <c r="Z544" s="62"/>
      <c r="AA544" s="62"/>
      <c r="AB544" s="62"/>
      <c r="AC544" s="62"/>
    </row>
    <row r="545" spans="2:29" s="61" customFormat="1" ht="12.75" x14ac:dyDescent="0.2">
      <c r="B545" s="62"/>
      <c r="P545" s="62"/>
      <c r="V545" s="62"/>
      <c r="X545" s="62"/>
      <c r="Y545" s="62"/>
      <c r="Z545" s="62"/>
      <c r="AA545" s="62"/>
      <c r="AB545" s="62"/>
      <c r="AC545" s="62"/>
    </row>
    <row r="546" spans="2:29" s="61" customFormat="1" ht="12.75" x14ac:dyDescent="0.2">
      <c r="B546" s="62"/>
      <c r="P546" s="62"/>
      <c r="V546" s="62"/>
      <c r="X546" s="62"/>
      <c r="Y546" s="62"/>
      <c r="Z546" s="62"/>
      <c r="AA546" s="62"/>
      <c r="AB546" s="62"/>
      <c r="AC546" s="62"/>
    </row>
    <row r="547" spans="2:29" s="61" customFormat="1" ht="12.75" x14ac:dyDescent="0.2">
      <c r="B547" s="62"/>
      <c r="P547" s="62"/>
      <c r="V547" s="62"/>
      <c r="X547" s="62"/>
      <c r="Y547" s="62"/>
      <c r="Z547" s="62"/>
      <c r="AA547" s="62"/>
      <c r="AB547" s="62"/>
      <c r="AC547" s="62"/>
    </row>
    <row r="548" spans="2:29" s="61" customFormat="1" ht="12.75" x14ac:dyDescent="0.2">
      <c r="B548" s="62"/>
      <c r="P548" s="62"/>
      <c r="V548" s="62"/>
      <c r="X548" s="62"/>
      <c r="Y548" s="62"/>
      <c r="Z548" s="62"/>
      <c r="AA548" s="62"/>
      <c r="AB548" s="62"/>
      <c r="AC548" s="62"/>
    </row>
    <row r="549" spans="2:29" s="61" customFormat="1" ht="12.75" x14ac:dyDescent="0.2">
      <c r="B549" s="62"/>
      <c r="P549" s="62"/>
      <c r="V549" s="62"/>
      <c r="X549" s="62"/>
      <c r="Y549" s="62"/>
      <c r="Z549" s="62"/>
      <c r="AA549" s="62"/>
      <c r="AB549" s="62"/>
      <c r="AC549" s="62"/>
    </row>
    <row r="550" spans="2:29" s="61" customFormat="1" ht="12.75" x14ac:dyDescent="0.2">
      <c r="B550" s="62"/>
      <c r="P550" s="62"/>
      <c r="V550" s="62"/>
      <c r="X550" s="62"/>
      <c r="Y550" s="62"/>
      <c r="Z550" s="62"/>
      <c r="AA550" s="62"/>
      <c r="AB550" s="62"/>
      <c r="AC550" s="62"/>
    </row>
    <row r="551" spans="2:29" s="61" customFormat="1" ht="12.75" x14ac:dyDescent="0.2">
      <c r="B551" s="62"/>
      <c r="P551" s="62"/>
      <c r="V551" s="62"/>
      <c r="X551" s="62"/>
      <c r="Y551" s="62"/>
      <c r="Z551" s="62"/>
      <c r="AA551" s="62"/>
      <c r="AB551" s="62"/>
      <c r="AC551" s="62"/>
    </row>
    <row r="552" spans="2:29" s="61" customFormat="1" ht="12.75" x14ac:dyDescent="0.2">
      <c r="B552" s="62"/>
      <c r="P552" s="62"/>
      <c r="V552" s="62"/>
      <c r="X552" s="62"/>
      <c r="Y552" s="62"/>
      <c r="Z552" s="62"/>
      <c r="AA552" s="62"/>
      <c r="AB552" s="62"/>
      <c r="AC552" s="62"/>
    </row>
    <row r="553" spans="2:29" s="61" customFormat="1" ht="12.75" x14ac:dyDescent="0.2">
      <c r="B553" s="62"/>
      <c r="P553" s="62"/>
      <c r="V553" s="62"/>
      <c r="X553" s="62"/>
      <c r="Y553" s="62"/>
      <c r="Z553" s="62"/>
      <c r="AA553" s="62"/>
      <c r="AB553" s="62"/>
      <c r="AC553" s="62"/>
    </row>
    <row r="554" spans="2:29" s="61" customFormat="1" ht="12.75" x14ac:dyDescent="0.2">
      <c r="B554" s="62"/>
      <c r="P554" s="62"/>
      <c r="V554" s="62"/>
      <c r="X554" s="62"/>
      <c r="Y554" s="62"/>
      <c r="Z554" s="62"/>
      <c r="AA554" s="62"/>
      <c r="AB554" s="62"/>
      <c r="AC554" s="62"/>
    </row>
    <row r="555" spans="2:29" s="61" customFormat="1" ht="12.75" x14ac:dyDescent="0.2">
      <c r="B555" s="62"/>
      <c r="P555" s="62"/>
      <c r="V555" s="62"/>
      <c r="X555" s="62"/>
      <c r="Y555" s="62"/>
      <c r="Z555" s="62"/>
      <c r="AA555" s="62"/>
      <c r="AB555" s="62"/>
      <c r="AC555" s="62"/>
    </row>
    <row r="556" spans="2:29" s="61" customFormat="1" ht="12.75" x14ac:dyDescent="0.2">
      <c r="B556" s="62"/>
      <c r="P556" s="62"/>
      <c r="V556" s="62"/>
      <c r="X556" s="62"/>
      <c r="Y556" s="62"/>
      <c r="Z556" s="62"/>
      <c r="AA556" s="62"/>
      <c r="AB556" s="62"/>
      <c r="AC556" s="62"/>
    </row>
    <row r="557" spans="2:29" s="61" customFormat="1" ht="12.75" x14ac:dyDescent="0.2">
      <c r="B557" s="62"/>
      <c r="P557" s="62"/>
      <c r="V557" s="62"/>
      <c r="X557" s="62"/>
      <c r="Y557" s="62"/>
      <c r="Z557" s="62"/>
      <c r="AA557" s="62"/>
      <c r="AB557" s="62"/>
      <c r="AC557" s="62"/>
    </row>
    <row r="558" spans="2:29" s="61" customFormat="1" ht="12.75" x14ac:dyDescent="0.2">
      <c r="B558" s="62"/>
      <c r="P558" s="62"/>
      <c r="V558" s="62"/>
      <c r="X558" s="62"/>
      <c r="Y558" s="62"/>
      <c r="Z558" s="62"/>
      <c r="AA558" s="62"/>
      <c r="AB558" s="62"/>
      <c r="AC558" s="62"/>
    </row>
    <row r="559" spans="2:29" s="61" customFormat="1" ht="12.75" x14ac:dyDescent="0.2">
      <c r="B559" s="62"/>
      <c r="P559" s="62"/>
      <c r="V559" s="62"/>
      <c r="X559" s="62"/>
      <c r="Y559" s="62"/>
      <c r="Z559" s="62"/>
      <c r="AA559" s="62"/>
      <c r="AB559" s="62"/>
      <c r="AC559" s="62"/>
    </row>
    <row r="560" spans="2:29" s="61" customFormat="1" ht="12.75" x14ac:dyDescent="0.2">
      <c r="B560" s="62"/>
      <c r="P560" s="62"/>
      <c r="V560" s="62"/>
      <c r="X560" s="62"/>
      <c r="Y560" s="62"/>
      <c r="Z560" s="62"/>
      <c r="AA560" s="62"/>
      <c r="AB560" s="62"/>
      <c r="AC560" s="62"/>
    </row>
    <row r="561" spans="2:29" s="61" customFormat="1" ht="12.75" x14ac:dyDescent="0.2">
      <c r="B561" s="62"/>
      <c r="P561" s="62"/>
      <c r="V561" s="62"/>
      <c r="X561" s="62"/>
      <c r="Y561" s="62"/>
      <c r="Z561" s="62"/>
      <c r="AA561" s="62"/>
      <c r="AB561" s="62"/>
      <c r="AC561" s="62"/>
    </row>
    <row r="562" spans="2:29" s="61" customFormat="1" ht="12.75" x14ac:dyDescent="0.2">
      <c r="B562" s="62"/>
      <c r="P562" s="62"/>
      <c r="V562" s="62"/>
      <c r="X562" s="62"/>
      <c r="Y562" s="62"/>
      <c r="Z562" s="62"/>
      <c r="AA562" s="62"/>
      <c r="AB562" s="62"/>
      <c r="AC562" s="62"/>
    </row>
    <row r="563" spans="2:29" s="61" customFormat="1" ht="12.75" x14ac:dyDescent="0.2">
      <c r="B563" s="62"/>
      <c r="P563" s="62"/>
      <c r="V563" s="62"/>
      <c r="X563" s="62"/>
      <c r="Y563" s="62"/>
      <c r="Z563" s="62"/>
      <c r="AA563" s="62"/>
      <c r="AB563" s="62"/>
      <c r="AC563" s="62"/>
    </row>
    <row r="564" spans="2:29" s="61" customFormat="1" ht="12.75" x14ac:dyDescent="0.2">
      <c r="B564" s="62"/>
      <c r="P564" s="62"/>
      <c r="V564" s="62"/>
      <c r="X564" s="62"/>
      <c r="Y564" s="62"/>
      <c r="Z564" s="62"/>
      <c r="AA564" s="62"/>
      <c r="AB564" s="62"/>
      <c r="AC564" s="62"/>
    </row>
    <row r="565" spans="2:29" s="61" customFormat="1" ht="12.75" x14ac:dyDescent="0.2">
      <c r="B565" s="62"/>
      <c r="P565" s="62"/>
      <c r="V565" s="62"/>
      <c r="X565" s="62"/>
      <c r="Y565" s="62"/>
      <c r="Z565" s="62"/>
      <c r="AA565" s="62"/>
      <c r="AB565" s="62"/>
      <c r="AC565" s="62"/>
    </row>
    <row r="566" spans="2:29" s="61" customFormat="1" ht="12.75" x14ac:dyDescent="0.2">
      <c r="B566" s="62"/>
      <c r="P566" s="62"/>
      <c r="V566" s="62"/>
      <c r="X566" s="62"/>
      <c r="Y566" s="62"/>
      <c r="Z566" s="62"/>
      <c r="AA566" s="62"/>
      <c r="AB566" s="62"/>
      <c r="AC566" s="62"/>
    </row>
    <row r="567" spans="2:29" s="61" customFormat="1" ht="12.75" x14ac:dyDescent="0.2">
      <c r="B567" s="62"/>
      <c r="P567" s="62"/>
      <c r="V567" s="62"/>
      <c r="X567" s="62"/>
      <c r="Y567" s="62"/>
      <c r="Z567" s="62"/>
      <c r="AA567" s="62"/>
      <c r="AB567" s="62"/>
      <c r="AC567" s="62"/>
    </row>
    <row r="568" spans="2:29" s="61" customFormat="1" ht="12.75" x14ac:dyDescent="0.2">
      <c r="B568" s="62"/>
      <c r="P568" s="62"/>
      <c r="V568" s="62"/>
      <c r="X568" s="62"/>
      <c r="Y568" s="62"/>
      <c r="Z568" s="62"/>
      <c r="AA568" s="62"/>
      <c r="AB568" s="62"/>
      <c r="AC568" s="62"/>
    </row>
    <row r="569" spans="2:29" s="61" customFormat="1" ht="12.75" x14ac:dyDescent="0.2">
      <c r="B569" s="62"/>
      <c r="P569" s="62"/>
      <c r="V569" s="62"/>
      <c r="X569" s="62"/>
      <c r="Y569" s="62"/>
      <c r="Z569" s="62"/>
      <c r="AA569" s="62"/>
      <c r="AB569" s="62"/>
      <c r="AC569" s="62"/>
    </row>
    <row r="570" spans="2:29" s="61" customFormat="1" ht="12.75" x14ac:dyDescent="0.2">
      <c r="B570" s="62"/>
      <c r="P570" s="62"/>
      <c r="V570" s="62"/>
      <c r="X570" s="62"/>
      <c r="Y570" s="62"/>
      <c r="Z570" s="62"/>
      <c r="AA570" s="62"/>
      <c r="AB570" s="62"/>
      <c r="AC570" s="62"/>
    </row>
    <row r="571" spans="2:29" s="61" customFormat="1" ht="12.75" x14ac:dyDescent="0.2">
      <c r="B571" s="62"/>
      <c r="P571" s="62"/>
      <c r="V571" s="62"/>
      <c r="X571" s="62"/>
      <c r="Y571" s="62"/>
      <c r="Z571" s="62"/>
      <c r="AA571" s="62"/>
      <c r="AB571" s="62"/>
      <c r="AC571" s="62"/>
    </row>
    <row r="572" spans="2:29" s="61" customFormat="1" ht="12.75" x14ac:dyDescent="0.2">
      <c r="B572" s="62"/>
      <c r="P572" s="62"/>
      <c r="V572" s="62"/>
      <c r="X572" s="62"/>
      <c r="Y572" s="62"/>
      <c r="Z572" s="62"/>
      <c r="AA572" s="62"/>
      <c r="AB572" s="62"/>
      <c r="AC572" s="62"/>
    </row>
    <row r="573" spans="2:29" s="61" customFormat="1" ht="12.75" x14ac:dyDescent="0.2">
      <c r="B573" s="62"/>
      <c r="P573" s="62"/>
      <c r="V573" s="62"/>
      <c r="X573" s="62"/>
      <c r="Y573" s="62"/>
      <c r="Z573" s="62"/>
      <c r="AA573" s="62"/>
      <c r="AB573" s="62"/>
      <c r="AC573" s="62"/>
    </row>
    <row r="574" spans="2:29" s="61" customFormat="1" ht="12.75" x14ac:dyDescent="0.2">
      <c r="B574" s="62"/>
      <c r="P574" s="62"/>
      <c r="V574" s="62"/>
      <c r="X574" s="62"/>
      <c r="Y574" s="62"/>
      <c r="Z574" s="62"/>
      <c r="AA574" s="62"/>
      <c r="AB574" s="62"/>
      <c r="AC574" s="62"/>
    </row>
    <row r="575" spans="2:29" s="61" customFormat="1" ht="12.75" x14ac:dyDescent="0.2">
      <c r="B575" s="62"/>
      <c r="P575" s="62"/>
      <c r="V575" s="62"/>
      <c r="X575" s="62"/>
      <c r="Y575" s="62"/>
      <c r="Z575" s="62"/>
      <c r="AA575" s="62"/>
      <c r="AB575" s="62"/>
      <c r="AC575" s="62"/>
    </row>
    <row r="576" spans="2:29" s="61" customFormat="1" ht="12.75" x14ac:dyDescent="0.2">
      <c r="B576" s="62"/>
      <c r="P576" s="62"/>
      <c r="V576" s="62"/>
      <c r="X576" s="62"/>
      <c r="Y576" s="62"/>
      <c r="Z576" s="62"/>
      <c r="AA576" s="62"/>
      <c r="AB576" s="62"/>
      <c r="AC576" s="62"/>
    </row>
    <row r="577" spans="2:29" s="61" customFormat="1" ht="12.75" x14ac:dyDescent="0.2">
      <c r="B577" s="62"/>
      <c r="P577" s="62"/>
      <c r="V577" s="62"/>
      <c r="X577" s="62"/>
      <c r="Y577" s="62"/>
      <c r="Z577" s="62"/>
      <c r="AA577" s="62"/>
      <c r="AB577" s="62"/>
      <c r="AC577" s="62"/>
    </row>
    <row r="578" spans="2:29" s="61" customFormat="1" ht="12.75" x14ac:dyDescent="0.2">
      <c r="B578" s="62"/>
      <c r="P578" s="62"/>
      <c r="V578" s="62"/>
      <c r="X578" s="62"/>
      <c r="Y578" s="62"/>
      <c r="Z578" s="62"/>
      <c r="AA578" s="62"/>
      <c r="AB578" s="62"/>
      <c r="AC578" s="62"/>
    </row>
    <row r="579" spans="2:29" s="61" customFormat="1" ht="12.75" x14ac:dyDescent="0.2">
      <c r="B579" s="62"/>
      <c r="P579" s="62"/>
      <c r="V579" s="62"/>
      <c r="X579" s="62"/>
      <c r="Y579" s="62"/>
      <c r="Z579" s="62"/>
      <c r="AA579" s="62"/>
      <c r="AB579" s="62"/>
      <c r="AC579" s="62"/>
    </row>
    <row r="580" spans="2:29" s="61" customFormat="1" ht="12.75" x14ac:dyDescent="0.2">
      <c r="B580" s="62"/>
      <c r="P580" s="62"/>
      <c r="V580" s="62"/>
      <c r="X580" s="62"/>
      <c r="Y580" s="62"/>
      <c r="Z580" s="62"/>
      <c r="AA580" s="62"/>
      <c r="AB580" s="62"/>
      <c r="AC580" s="62"/>
    </row>
    <row r="581" spans="2:29" s="61" customFormat="1" ht="12.75" x14ac:dyDescent="0.2">
      <c r="B581" s="62"/>
      <c r="P581" s="62"/>
      <c r="V581" s="62"/>
      <c r="X581" s="62"/>
      <c r="Y581" s="62"/>
      <c r="Z581" s="62"/>
      <c r="AA581" s="62"/>
      <c r="AB581" s="62"/>
      <c r="AC581" s="62"/>
    </row>
    <row r="582" spans="2:29" s="61" customFormat="1" ht="12.75" x14ac:dyDescent="0.2">
      <c r="B582" s="62"/>
      <c r="P582" s="62"/>
      <c r="V582" s="62"/>
      <c r="X582" s="62"/>
      <c r="Y582" s="62"/>
      <c r="Z582" s="62"/>
      <c r="AA582" s="62"/>
      <c r="AB582" s="62"/>
      <c r="AC582" s="62"/>
    </row>
    <row r="583" spans="2:29" s="61" customFormat="1" ht="12.75" x14ac:dyDescent="0.2">
      <c r="B583" s="62"/>
      <c r="P583" s="62"/>
      <c r="V583" s="62"/>
      <c r="X583" s="62"/>
      <c r="Y583" s="62"/>
      <c r="Z583" s="62"/>
      <c r="AA583" s="62"/>
      <c r="AB583" s="62"/>
      <c r="AC583" s="62"/>
    </row>
    <row r="584" spans="2:29" s="61" customFormat="1" ht="12.75" x14ac:dyDescent="0.2">
      <c r="B584" s="62"/>
      <c r="P584" s="62"/>
      <c r="V584" s="62"/>
      <c r="X584" s="62"/>
      <c r="Y584" s="62"/>
      <c r="Z584" s="62"/>
      <c r="AA584" s="62"/>
      <c r="AB584" s="62"/>
      <c r="AC584" s="62"/>
    </row>
    <row r="585" spans="2:29" s="61" customFormat="1" ht="12.75" x14ac:dyDescent="0.2">
      <c r="B585" s="62"/>
      <c r="P585" s="62"/>
      <c r="V585" s="62"/>
      <c r="X585" s="62"/>
      <c r="Y585" s="62"/>
      <c r="Z585" s="62"/>
      <c r="AA585" s="62"/>
      <c r="AB585" s="62"/>
      <c r="AC585" s="62"/>
    </row>
    <row r="586" spans="2:29" s="61" customFormat="1" ht="12.75" x14ac:dyDescent="0.2">
      <c r="B586" s="62"/>
      <c r="P586" s="62"/>
      <c r="V586" s="62"/>
      <c r="X586" s="62"/>
      <c r="Y586" s="62"/>
      <c r="Z586" s="62"/>
      <c r="AA586" s="62"/>
      <c r="AB586" s="62"/>
      <c r="AC586" s="62"/>
    </row>
    <row r="587" spans="2:29" s="61" customFormat="1" ht="12.75" x14ac:dyDescent="0.2">
      <c r="B587" s="62"/>
      <c r="P587" s="62"/>
      <c r="V587" s="62"/>
      <c r="X587" s="62"/>
      <c r="Y587" s="62"/>
      <c r="Z587" s="62"/>
      <c r="AA587" s="62"/>
      <c r="AB587" s="62"/>
      <c r="AC587" s="62"/>
    </row>
    <row r="588" spans="2:29" s="61" customFormat="1" ht="12.75" x14ac:dyDescent="0.2">
      <c r="B588" s="62"/>
      <c r="P588" s="62"/>
      <c r="V588" s="62"/>
      <c r="X588" s="62"/>
      <c r="Y588" s="62"/>
      <c r="Z588" s="62"/>
      <c r="AA588" s="62"/>
      <c r="AB588" s="62"/>
      <c r="AC588" s="62"/>
    </row>
    <row r="589" spans="2:29" s="61" customFormat="1" ht="12.75" x14ac:dyDescent="0.2">
      <c r="B589" s="62"/>
      <c r="P589" s="62"/>
      <c r="V589" s="62"/>
      <c r="X589" s="62"/>
      <c r="Y589" s="62"/>
      <c r="Z589" s="62"/>
      <c r="AA589" s="62"/>
      <c r="AB589" s="62"/>
      <c r="AC589" s="62"/>
    </row>
    <row r="590" spans="2:29" s="61" customFormat="1" ht="12.75" x14ac:dyDescent="0.2">
      <c r="B590" s="62"/>
      <c r="P590" s="62"/>
      <c r="V590" s="62"/>
      <c r="X590" s="62"/>
      <c r="Y590" s="62"/>
      <c r="Z590" s="62"/>
      <c r="AA590" s="62"/>
      <c r="AB590" s="62"/>
      <c r="AC590" s="62"/>
    </row>
    <row r="591" spans="2:29" s="61" customFormat="1" ht="12.75" x14ac:dyDescent="0.2">
      <c r="B591" s="62"/>
      <c r="P591" s="62"/>
      <c r="V591" s="62"/>
      <c r="X591" s="62"/>
      <c r="Y591" s="62"/>
      <c r="Z591" s="62"/>
      <c r="AA591" s="62"/>
      <c r="AB591" s="62"/>
      <c r="AC591" s="62"/>
    </row>
    <row r="592" spans="2:29" s="61" customFormat="1" ht="12.75" x14ac:dyDescent="0.2">
      <c r="B592" s="62"/>
      <c r="P592" s="62"/>
      <c r="V592" s="62"/>
      <c r="X592" s="62"/>
      <c r="Y592" s="62"/>
      <c r="Z592" s="62"/>
      <c r="AA592" s="62"/>
      <c r="AB592" s="62"/>
      <c r="AC592" s="62"/>
    </row>
    <row r="593" spans="2:29" s="61" customFormat="1" ht="12.75" x14ac:dyDescent="0.2">
      <c r="B593" s="62"/>
      <c r="P593" s="62"/>
      <c r="V593" s="62"/>
      <c r="X593" s="62"/>
      <c r="Y593" s="62"/>
      <c r="Z593" s="62"/>
      <c r="AA593" s="62"/>
      <c r="AB593" s="62"/>
      <c r="AC593" s="62"/>
    </row>
    <row r="594" spans="2:29" s="61" customFormat="1" ht="12.75" x14ac:dyDescent="0.2">
      <c r="B594" s="62"/>
      <c r="P594" s="62"/>
      <c r="V594" s="62"/>
      <c r="X594" s="62"/>
      <c r="Y594" s="62"/>
      <c r="Z594" s="62"/>
      <c r="AA594" s="62"/>
      <c r="AB594" s="62"/>
      <c r="AC594" s="62"/>
    </row>
    <row r="595" spans="2:29" s="61" customFormat="1" ht="12.75" x14ac:dyDescent="0.2">
      <c r="B595" s="62"/>
      <c r="P595" s="62"/>
      <c r="V595" s="62"/>
      <c r="X595" s="62"/>
      <c r="Y595" s="62"/>
      <c r="Z595" s="62"/>
      <c r="AA595" s="62"/>
      <c r="AB595" s="62"/>
      <c r="AC595" s="62"/>
    </row>
    <row r="596" spans="2:29" s="61" customFormat="1" ht="12.75" x14ac:dyDescent="0.2">
      <c r="B596" s="62"/>
      <c r="P596" s="62"/>
      <c r="V596" s="62"/>
      <c r="X596" s="62"/>
      <c r="Y596" s="62"/>
      <c r="Z596" s="62"/>
      <c r="AA596" s="62"/>
      <c r="AB596" s="62"/>
      <c r="AC596" s="62"/>
    </row>
    <row r="597" spans="2:29" s="61" customFormat="1" ht="12.75" x14ac:dyDescent="0.2">
      <c r="B597" s="62"/>
      <c r="P597" s="62"/>
      <c r="V597" s="62"/>
      <c r="X597" s="62"/>
      <c r="Y597" s="62"/>
      <c r="Z597" s="62"/>
      <c r="AA597" s="62"/>
      <c r="AB597" s="62"/>
      <c r="AC597" s="62"/>
    </row>
    <row r="598" spans="2:29" s="61" customFormat="1" ht="12.75" x14ac:dyDescent="0.2">
      <c r="B598" s="62"/>
      <c r="P598" s="62"/>
      <c r="V598" s="62"/>
      <c r="X598" s="62"/>
      <c r="Y598" s="62"/>
      <c r="Z598" s="62"/>
      <c r="AA598" s="62"/>
      <c r="AB598" s="62"/>
      <c r="AC598" s="62"/>
    </row>
    <row r="599" spans="2:29" s="61" customFormat="1" ht="12.75" x14ac:dyDescent="0.2">
      <c r="B599" s="62"/>
      <c r="P599" s="62"/>
      <c r="V599" s="62"/>
      <c r="X599" s="62"/>
      <c r="Y599" s="62"/>
      <c r="Z599" s="62"/>
      <c r="AA599" s="62"/>
      <c r="AB599" s="62"/>
      <c r="AC599" s="62"/>
    </row>
    <row r="600" spans="2:29" s="61" customFormat="1" ht="12.75" x14ac:dyDescent="0.2">
      <c r="B600" s="62"/>
      <c r="P600" s="62"/>
      <c r="V600" s="62"/>
      <c r="X600" s="62"/>
      <c r="Y600" s="62"/>
      <c r="Z600" s="62"/>
      <c r="AA600" s="62"/>
      <c r="AB600" s="62"/>
      <c r="AC600" s="62"/>
    </row>
    <row r="601" spans="2:29" s="61" customFormat="1" ht="12.75" x14ac:dyDescent="0.2">
      <c r="B601" s="62"/>
      <c r="P601" s="62"/>
      <c r="V601" s="62"/>
      <c r="X601" s="62"/>
      <c r="Y601" s="62"/>
      <c r="Z601" s="62"/>
      <c r="AA601" s="62"/>
      <c r="AB601" s="62"/>
      <c r="AC601" s="62"/>
    </row>
    <row r="602" spans="2:29" s="61" customFormat="1" ht="12.75" x14ac:dyDescent="0.2">
      <c r="B602" s="62"/>
      <c r="P602" s="62"/>
      <c r="V602" s="62"/>
      <c r="X602" s="62"/>
      <c r="Y602" s="62"/>
      <c r="Z602" s="62"/>
      <c r="AA602" s="62"/>
      <c r="AB602" s="62"/>
      <c r="AC602" s="62"/>
    </row>
    <row r="603" spans="2:29" s="61" customFormat="1" ht="12.75" x14ac:dyDescent="0.2">
      <c r="B603" s="62"/>
      <c r="P603" s="62"/>
      <c r="V603" s="62"/>
      <c r="X603" s="62"/>
      <c r="Y603" s="62"/>
      <c r="Z603" s="62"/>
      <c r="AA603" s="62"/>
      <c r="AB603" s="62"/>
      <c r="AC603" s="62"/>
    </row>
    <row r="604" spans="2:29" s="61" customFormat="1" ht="12.75" x14ac:dyDescent="0.2">
      <c r="B604" s="62"/>
      <c r="P604" s="62"/>
      <c r="V604" s="62"/>
      <c r="X604" s="62"/>
      <c r="Y604" s="62"/>
      <c r="Z604" s="62"/>
      <c r="AA604" s="62"/>
      <c r="AB604" s="62"/>
      <c r="AC604" s="62"/>
    </row>
    <row r="605" spans="2:29" s="61" customFormat="1" ht="12.75" x14ac:dyDescent="0.2">
      <c r="B605" s="62"/>
      <c r="P605" s="62"/>
      <c r="V605" s="62"/>
      <c r="X605" s="62"/>
      <c r="Y605" s="62"/>
      <c r="Z605" s="62"/>
      <c r="AA605" s="62"/>
      <c r="AB605" s="62"/>
      <c r="AC605" s="62"/>
    </row>
    <row r="606" spans="2:29" s="61" customFormat="1" ht="12.75" x14ac:dyDescent="0.2">
      <c r="B606" s="62"/>
      <c r="P606" s="62"/>
      <c r="V606" s="62"/>
      <c r="X606" s="62"/>
      <c r="Y606" s="62"/>
      <c r="Z606" s="62"/>
      <c r="AA606" s="62"/>
      <c r="AB606" s="62"/>
      <c r="AC606" s="62"/>
    </row>
    <row r="607" spans="2:29" s="61" customFormat="1" ht="12.75" x14ac:dyDescent="0.2">
      <c r="B607" s="62"/>
      <c r="P607" s="62"/>
      <c r="V607" s="62"/>
      <c r="X607" s="62"/>
      <c r="Y607" s="62"/>
      <c r="Z607" s="62"/>
      <c r="AA607" s="62"/>
      <c r="AB607" s="62"/>
      <c r="AC607" s="62"/>
    </row>
    <row r="608" spans="2:29" s="61" customFormat="1" ht="12.75" x14ac:dyDescent="0.2">
      <c r="B608" s="62"/>
      <c r="P608" s="62"/>
      <c r="V608" s="62"/>
      <c r="X608" s="62"/>
      <c r="Y608" s="62"/>
      <c r="Z608" s="62"/>
      <c r="AA608" s="62"/>
      <c r="AB608" s="62"/>
      <c r="AC608" s="62"/>
    </row>
    <row r="609" spans="2:29" s="61" customFormat="1" ht="12.75" x14ac:dyDescent="0.2">
      <c r="B609" s="62"/>
      <c r="P609" s="62"/>
      <c r="V609" s="62"/>
      <c r="X609" s="62"/>
      <c r="Y609" s="62"/>
      <c r="Z609" s="62"/>
      <c r="AA609" s="62"/>
      <c r="AB609" s="62"/>
      <c r="AC609" s="62"/>
    </row>
    <row r="610" spans="2:29" s="61" customFormat="1" ht="12.75" x14ac:dyDescent="0.2">
      <c r="B610" s="62"/>
      <c r="P610" s="62"/>
      <c r="V610" s="62"/>
      <c r="X610" s="62"/>
      <c r="Y610" s="62"/>
      <c r="Z610" s="62"/>
      <c r="AA610" s="62"/>
      <c r="AB610" s="62"/>
      <c r="AC610" s="62"/>
    </row>
    <row r="611" spans="2:29" s="61" customFormat="1" ht="12.75" x14ac:dyDescent="0.2">
      <c r="B611" s="62"/>
      <c r="P611" s="62"/>
      <c r="V611" s="62"/>
      <c r="X611" s="62"/>
      <c r="Y611" s="62"/>
      <c r="Z611" s="62"/>
      <c r="AA611" s="62"/>
      <c r="AB611" s="62"/>
      <c r="AC611" s="62"/>
    </row>
    <row r="612" spans="2:29" s="61" customFormat="1" ht="12.75" x14ac:dyDescent="0.2">
      <c r="B612" s="62"/>
      <c r="P612" s="62"/>
      <c r="V612" s="62"/>
      <c r="X612" s="62"/>
      <c r="Y612" s="62"/>
      <c r="Z612" s="62"/>
      <c r="AA612" s="62"/>
      <c r="AB612" s="62"/>
      <c r="AC612" s="62"/>
    </row>
    <row r="613" spans="2:29" s="61" customFormat="1" ht="12.75" x14ac:dyDescent="0.2">
      <c r="B613" s="62"/>
      <c r="P613" s="62"/>
      <c r="V613" s="62"/>
      <c r="X613" s="62"/>
      <c r="Y613" s="62"/>
      <c r="Z613" s="62"/>
      <c r="AA613" s="62"/>
      <c r="AB613" s="62"/>
      <c r="AC613" s="62"/>
    </row>
    <row r="614" spans="2:29" s="61" customFormat="1" ht="12.75" x14ac:dyDescent="0.2">
      <c r="B614" s="62"/>
      <c r="P614" s="62"/>
      <c r="V614" s="62"/>
      <c r="X614" s="62"/>
      <c r="Y614" s="62"/>
      <c r="Z614" s="62"/>
      <c r="AA614" s="62"/>
      <c r="AB614" s="62"/>
      <c r="AC614" s="62"/>
    </row>
    <row r="615" spans="2:29" s="61" customFormat="1" ht="12.75" x14ac:dyDescent="0.2">
      <c r="B615" s="62"/>
      <c r="P615" s="62"/>
      <c r="V615" s="62"/>
      <c r="X615" s="62"/>
      <c r="Y615" s="62"/>
      <c r="Z615" s="62"/>
      <c r="AA615" s="62"/>
      <c r="AB615" s="62"/>
      <c r="AC615" s="62"/>
    </row>
    <row r="616" spans="2:29" s="61" customFormat="1" ht="12.75" x14ac:dyDescent="0.2">
      <c r="B616" s="62"/>
      <c r="P616" s="62"/>
      <c r="V616" s="62"/>
      <c r="X616" s="62"/>
      <c r="Y616" s="62"/>
      <c r="Z616" s="62"/>
      <c r="AA616" s="62"/>
      <c r="AB616" s="62"/>
      <c r="AC616" s="62"/>
    </row>
    <row r="617" spans="2:29" s="61" customFormat="1" ht="12.75" x14ac:dyDescent="0.2">
      <c r="B617" s="62"/>
      <c r="P617" s="62"/>
      <c r="V617" s="62"/>
      <c r="X617" s="62"/>
      <c r="Y617" s="62"/>
      <c r="Z617" s="62"/>
      <c r="AA617" s="62"/>
      <c r="AB617" s="62"/>
      <c r="AC617" s="62"/>
    </row>
    <row r="618" spans="2:29" s="61" customFormat="1" ht="12.75" x14ac:dyDescent="0.2">
      <c r="B618" s="62"/>
      <c r="P618" s="62"/>
      <c r="V618" s="62"/>
      <c r="X618" s="62"/>
      <c r="Y618" s="62"/>
      <c r="Z618" s="62"/>
      <c r="AA618" s="62"/>
      <c r="AB618" s="62"/>
      <c r="AC618" s="62"/>
    </row>
    <row r="619" spans="2:29" s="61" customFormat="1" ht="12.75" x14ac:dyDescent="0.2">
      <c r="B619" s="62"/>
      <c r="P619" s="62"/>
      <c r="V619" s="62"/>
      <c r="X619" s="62"/>
      <c r="Y619" s="62"/>
      <c r="Z619" s="62"/>
      <c r="AA619" s="62"/>
      <c r="AB619" s="62"/>
      <c r="AC619" s="62"/>
    </row>
    <row r="620" spans="2:29" s="61" customFormat="1" ht="12.75" x14ac:dyDescent="0.2">
      <c r="B620" s="62"/>
      <c r="P620" s="62"/>
      <c r="V620" s="62"/>
      <c r="X620" s="62"/>
      <c r="Y620" s="62"/>
      <c r="Z620" s="62"/>
      <c r="AA620" s="62"/>
      <c r="AB620" s="62"/>
      <c r="AC620" s="62"/>
    </row>
    <row r="621" spans="2:29" s="61" customFormat="1" ht="12.75" x14ac:dyDescent="0.2">
      <c r="B621" s="62"/>
      <c r="P621" s="62"/>
      <c r="V621" s="62"/>
      <c r="X621" s="62"/>
      <c r="Y621" s="62"/>
      <c r="Z621" s="62"/>
      <c r="AA621" s="62"/>
      <c r="AB621" s="62"/>
      <c r="AC621" s="62"/>
    </row>
    <row r="622" spans="2:29" s="61" customFormat="1" ht="12.75" x14ac:dyDescent="0.2">
      <c r="B622" s="62"/>
      <c r="P622" s="62"/>
      <c r="V622" s="62"/>
      <c r="X622" s="62"/>
      <c r="Y622" s="62"/>
      <c r="Z622" s="62"/>
      <c r="AA622" s="62"/>
      <c r="AB622" s="62"/>
      <c r="AC622" s="62"/>
    </row>
    <row r="623" spans="2:29" s="61" customFormat="1" ht="12.75" x14ac:dyDescent="0.2">
      <c r="B623" s="62"/>
      <c r="P623" s="62"/>
      <c r="V623" s="62"/>
      <c r="X623" s="62"/>
      <c r="Y623" s="62"/>
      <c r="Z623" s="62"/>
      <c r="AA623" s="62"/>
      <c r="AB623" s="62"/>
      <c r="AC623" s="62"/>
    </row>
    <row r="624" spans="2:29" s="61" customFormat="1" ht="12.75" x14ac:dyDescent="0.2">
      <c r="B624" s="62"/>
      <c r="P624" s="62"/>
      <c r="V624" s="62"/>
      <c r="X624" s="62"/>
      <c r="Y624" s="62"/>
      <c r="Z624" s="62"/>
      <c r="AA624" s="62"/>
      <c r="AB624" s="62"/>
      <c r="AC624" s="62"/>
    </row>
    <row r="625" spans="2:29" s="61" customFormat="1" ht="12.75" x14ac:dyDescent="0.2">
      <c r="B625" s="62"/>
      <c r="P625" s="62"/>
      <c r="V625" s="62"/>
      <c r="X625" s="62"/>
      <c r="Y625" s="62"/>
      <c r="Z625" s="62"/>
      <c r="AA625" s="62"/>
      <c r="AB625" s="62"/>
      <c r="AC625" s="62"/>
    </row>
    <row r="626" spans="2:29" s="61" customFormat="1" ht="12.75" x14ac:dyDescent="0.2">
      <c r="B626" s="62"/>
      <c r="P626" s="62"/>
      <c r="V626" s="62"/>
      <c r="X626" s="62"/>
      <c r="Y626" s="62"/>
      <c r="Z626" s="62"/>
      <c r="AA626" s="62"/>
      <c r="AB626" s="62"/>
      <c r="AC626" s="62"/>
    </row>
    <row r="627" spans="2:29" s="61" customFormat="1" ht="12.75" x14ac:dyDescent="0.2">
      <c r="B627" s="62"/>
      <c r="P627" s="62"/>
      <c r="V627" s="62"/>
      <c r="X627" s="62"/>
      <c r="Y627" s="62"/>
      <c r="Z627" s="62"/>
      <c r="AA627" s="62"/>
      <c r="AB627" s="62"/>
      <c r="AC627" s="62"/>
    </row>
    <row r="628" spans="2:29" s="61" customFormat="1" ht="12.75" x14ac:dyDescent="0.2">
      <c r="B628" s="62"/>
      <c r="P628" s="62"/>
      <c r="V628" s="62"/>
      <c r="X628" s="62"/>
      <c r="Y628" s="62"/>
      <c r="Z628" s="62"/>
      <c r="AA628" s="62"/>
      <c r="AB628" s="62"/>
      <c r="AC628" s="62"/>
    </row>
    <row r="629" spans="2:29" s="61" customFormat="1" ht="12.75" x14ac:dyDescent="0.2">
      <c r="B629" s="62"/>
      <c r="P629" s="62"/>
      <c r="V629" s="62"/>
      <c r="X629" s="62"/>
      <c r="Y629" s="62"/>
      <c r="Z629" s="62"/>
      <c r="AA629" s="62"/>
      <c r="AB629" s="62"/>
      <c r="AC629" s="62"/>
    </row>
    <row r="630" spans="2:29" s="61" customFormat="1" ht="12.75" x14ac:dyDescent="0.2">
      <c r="B630" s="62"/>
      <c r="P630" s="62"/>
      <c r="V630" s="62"/>
      <c r="X630" s="62"/>
      <c r="Y630" s="62"/>
      <c r="Z630" s="62"/>
      <c r="AA630" s="62"/>
      <c r="AB630" s="62"/>
      <c r="AC630" s="62"/>
    </row>
    <row r="631" spans="2:29" s="61" customFormat="1" ht="12.75" x14ac:dyDescent="0.2">
      <c r="B631" s="62"/>
      <c r="P631" s="62"/>
      <c r="V631" s="62"/>
      <c r="X631" s="62"/>
      <c r="Y631" s="62"/>
      <c r="Z631" s="62"/>
      <c r="AA631" s="62"/>
      <c r="AB631" s="62"/>
      <c r="AC631" s="62"/>
    </row>
    <row r="632" spans="2:29" s="61" customFormat="1" ht="12.75" x14ac:dyDescent="0.2">
      <c r="B632" s="62"/>
      <c r="P632" s="62"/>
      <c r="V632" s="62"/>
      <c r="X632" s="62"/>
      <c r="Y632" s="62"/>
      <c r="Z632" s="62"/>
      <c r="AA632" s="62"/>
      <c r="AB632" s="62"/>
      <c r="AC632" s="62"/>
    </row>
    <row r="633" spans="2:29" s="61" customFormat="1" ht="12.75" x14ac:dyDescent="0.2">
      <c r="B633" s="62"/>
      <c r="P633" s="62"/>
      <c r="V633" s="62"/>
      <c r="X633" s="62"/>
      <c r="Y633" s="62"/>
      <c r="Z633" s="62"/>
      <c r="AA633" s="62"/>
      <c r="AB633" s="62"/>
      <c r="AC633" s="62"/>
    </row>
    <row r="634" spans="2:29" s="61" customFormat="1" ht="12.75" x14ac:dyDescent="0.2">
      <c r="B634" s="62"/>
      <c r="P634" s="62"/>
      <c r="V634" s="62"/>
      <c r="X634" s="62"/>
      <c r="Y634" s="62"/>
      <c r="Z634" s="62"/>
      <c r="AA634" s="62"/>
      <c r="AB634" s="62"/>
      <c r="AC634" s="62"/>
    </row>
    <row r="635" spans="2:29" s="61" customFormat="1" ht="12.75" x14ac:dyDescent="0.2">
      <c r="B635" s="62"/>
      <c r="P635" s="62"/>
      <c r="V635" s="62"/>
      <c r="X635" s="62"/>
      <c r="Y635" s="62"/>
      <c r="Z635" s="62"/>
      <c r="AA635" s="62"/>
      <c r="AB635" s="62"/>
      <c r="AC635" s="62"/>
    </row>
    <row r="636" spans="2:29" s="61" customFormat="1" ht="12.75" x14ac:dyDescent="0.2">
      <c r="B636" s="62"/>
      <c r="P636" s="62"/>
      <c r="V636" s="62"/>
      <c r="X636" s="62"/>
      <c r="Y636" s="62"/>
      <c r="Z636" s="62"/>
      <c r="AA636" s="62"/>
      <c r="AB636" s="62"/>
      <c r="AC636" s="62"/>
    </row>
    <row r="637" spans="2:29" s="61" customFormat="1" ht="12.75" x14ac:dyDescent="0.2">
      <c r="B637" s="62"/>
      <c r="P637" s="62"/>
      <c r="V637" s="62"/>
      <c r="X637" s="62"/>
      <c r="Y637" s="62"/>
      <c r="Z637" s="62"/>
      <c r="AA637" s="62"/>
      <c r="AB637" s="62"/>
      <c r="AC637" s="62"/>
    </row>
    <row r="638" spans="2:29" s="61" customFormat="1" ht="12.75" x14ac:dyDescent="0.2">
      <c r="B638" s="62"/>
      <c r="P638" s="62"/>
      <c r="V638" s="62"/>
      <c r="X638" s="62"/>
      <c r="Y638" s="62"/>
      <c r="Z638" s="62"/>
      <c r="AA638" s="62"/>
      <c r="AB638" s="62"/>
      <c r="AC638" s="62"/>
    </row>
    <row r="639" spans="2:29" s="61" customFormat="1" ht="12.75" x14ac:dyDescent="0.2">
      <c r="B639" s="62"/>
      <c r="P639" s="62"/>
      <c r="V639" s="62"/>
      <c r="X639" s="62"/>
      <c r="Y639" s="62"/>
      <c r="Z639" s="62"/>
      <c r="AA639" s="62"/>
      <c r="AB639" s="62"/>
      <c r="AC639" s="62"/>
    </row>
    <row r="640" spans="2:29" s="61" customFormat="1" ht="12.75" x14ac:dyDescent="0.2">
      <c r="B640" s="62"/>
      <c r="P640" s="62"/>
      <c r="V640" s="62"/>
      <c r="X640" s="62"/>
      <c r="Y640" s="62"/>
      <c r="Z640" s="62"/>
      <c r="AA640" s="62"/>
      <c r="AB640" s="62"/>
      <c r="AC640" s="62"/>
    </row>
    <row r="641" spans="2:29" s="61" customFormat="1" ht="12.75" x14ac:dyDescent="0.2">
      <c r="B641" s="62"/>
      <c r="P641" s="62"/>
      <c r="V641" s="62"/>
      <c r="X641" s="62"/>
      <c r="Y641" s="62"/>
      <c r="Z641" s="62"/>
      <c r="AA641" s="62"/>
      <c r="AB641" s="62"/>
      <c r="AC641" s="62"/>
    </row>
    <row r="642" spans="2:29" s="61" customFormat="1" ht="12.75" x14ac:dyDescent="0.2">
      <c r="B642" s="62"/>
      <c r="P642" s="62"/>
      <c r="V642" s="62"/>
      <c r="X642" s="62"/>
      <c r="Y642" s="62"/>
      <c r="Z642" s="62"/>
      <c r="AA642" s="62"/>
      <c r="AB642" s="62"/>
      <c r="AC642" s="62"/>
    </row>
    <row r="643" spans="2:29" s="61" customFormat="1" ht="12.75" x14ac:dyDescent="0.2">
      <c r="B643" s="62"/>
      <c r="P643" s="62"/>
      <c r="V643" s="62"/>
      <c r="X643" s="62"/>
      <c r="Y643" s="62"/>
      <c r="Z643" s="62"/>
      <c r="AA643" s="62"/>
      <c r="AB643" s="62"/>
      <c r="AC643" s="62"/>
    </row>
    <row r="644" spans="2:29" s="61" customFormat="1" ht="12.75" x14ac:dyDescent="0.2">
      <c r="B644" s="62"/>
      <c r="P644" s="62"/>
      <c r="V644" s="62"/>
      <c r="X644" s="62"/>
      <c r="Y644" s="62"/>
      <c r="Z644" s="62"/>
      <c r="AA644" s="62"/>
      <c r="AB644" s="62"/>
      <c r="AC644" s="62"/>
    </row>
    <row r="645" spans="2:29" s="61" customFormat="1" ht="12.75" x14ac:dyDescent="0.2">
      <c r="B645" s="62"/>
      <c r="P645" s="62"/>
      <c r="V645" s="62"/>
      <c r="X645" s="62"/>
      <c r="Y645" s="62"/>
      <c r="Z645" s="62"/>
      <c r="AA645" s="62"/>
      <c r="AB645" s="62"/>
      <c r="AC645" s="62"/>
    </row>
    <row r="646" spans="2:29" s="61" customFormat="1" ht="12.75" x14ac:dyDescent="0.2">
      <c r="B646" s="62"/>
      <c r="P646" s="62"/>
      <c r="V646" s="62"/>
      <c r="X646" s="62"/>
      <c r="Y646" s="62"/>
      <c r="Z646" s="62"/>
      <c r="AA646" s="62"/>
      <c r="AB646" s="62"/>
      <c r="AC646" s="62"/>
    </row>
    <row r="647" spans="2:29" s="61" customFormat="1" ht="12.75" x14ac:dyDescent="0.2">
      <c r="B647" s="62"/>
      <c r="P647" s="62"/>
      <c r="V647" s="62"/>
      <c r="X647" s="62"/>
      <c r="Y647" s="62"/>
      <c r="Z647" s="62"/>
      <c r="AA647" s="62"/>
      <c r="AB647" s="62"/>
      <c r="AC647" s="62"/>
    </row>
    <row r="648" spans="2:29" s="61" customFormat="1" ht="12.75" x14ac:dyDescent="0.2">
      <c r="B648" s="62"/>
      <c r="P648" s="62"/>
      <c r="V648" s="62"/>
      <c r="X648" s="62"/>
      <c r="Y648" s="62"/>
      <c r="Z648" s="62"/>
      <c r="AA648" s="62"/>
      <c r="AB648" s="62"/>
      <c r="AC648" s="62"/>
    </row>
    <row r="649" spans="2:29" s="61" customFormat="1" ht="12.75" x14ac:dyDescent="0.2">
      <c r="B649" s="62"/>
      <c r="P649" s="62"/>
      <c r="V649" s="62"/>
      <c r="X649" s="62"/>
      <c r="Y649" s="62"/>
      <c r="Z649" s="62"/>
      <c r="AA649" s="62"/>
      <c r="AB649" s="62"/>
      <c r="AC649" s="62"/>
    </row>
    <row r="650" spans="2:29" s="61" customFormat="1" ht="12.75" x14ac:dyDescent="0.2">
      <c r="B650" s="62"/>
      <c r="P650" s="62"/>
      <c r="V650" s="62"/>
      <c r="X650" s="62"/>
      <c r="Y650" s="62"/>
      <c r="Z650" s="62"/>
      <c r="AA650" s="62"/>
      <c r="AB650" s="62"/>
      <c r="AC650" s="62"/>
    </row>
    <row r="651" spans="2:29" s="61" customFormat="1" ht="12.75" x14ac:dyDescent="0.2">
      <c r="B651" s="62"/>
      <c r="P651" s="62"/>
      <c r="V651" s="62"/>
      <c r="X651" s="62"/>
      <c r="Y651" s="62"/>
      <c r="Z651" s="62"/>
      <c r="AA651" s="62"/>
      <c r="AB651" s="62"/>
      <c r="AC651" s="62"/>
    </row>
    <row r="652" spans="2:29" s="61" customFormat="1" ht="12.75" x14ac:dyDescent="0.2">
      <c r="B652" s="62"/>
      <c r="P652" s="62"/>
      <c r="V652" s="62"/>
      <c r="X652" s="62"/>
      <c r="Y652" s="62"/>
      <c r="Z652" s="62"/>
      <c r="AA652" s="62"/>
      <c r="AB652" s="62"/>
      <c r="AC652" s="62"/>
    </row>
    <row r="653" spans="2:29" s="61" customFormat="1" ht="12.75" x14ac:dyDescent="0.2">
      <c r="B653" s="62"/>
      <c r="P653" s="62"/>
      <c r="V653" s="62"/>
      <c r="X653" s="62"/>
      <c r="Y653" s="62"/>
      <c r="Z653" s="62"/>
      <c r="AA653" s="62"/>
      <c r="AB653" s="62"/>
      <c r="AC653" s="62"/>
    </row>
    <row r="654" spans="2:29" s="61" customFormat="1" ht="12.75" x14ac:dyDescent="0.2">
      <c r="B654" s="62"/>
      <c r="P654" s="62"/>
      <c r="V654" s="62"/>
      <c r="X654" s="62"/>
      <c r="Y654" s="62"/>
      <c r="Z654" s="62"/>
      <c r="AA654" s="62"/>
      <c r="AB654" s="62"/>
      <c r="AC654" s="62"/>
    </row>
    <row r="655" spans="2:29" s="61" customFormat="1" ht="12.75" x14ac:dyDescent="0.2">
      <c r="B655" s="62"/>
      <c r="P655" s="62"/>
      <c r="V655" s="62"/>
      <c r="X655" s="62"/>
      <c r="Y655" s="62"/>
      <c r="Z655" s="62"/>
      <c r="AA655" s="62"/>
      <c r="AB655" s="62"/>
      <c r="AC655" s="62"/>
    </row>
    <row r="656" spans="2:29" s="61" customFormat="1" ht="12.75" x14ac:dyDescent="0.2">
      <c r="B656" s="62"/>
      <c r="P656" s="62"/>
      <c r="V656" s="62"/>
      <c r="X656" s="62"/>
      <c r="Y656" s="62"/>
      <c r="Z656" s="62"/>
      <c r="AA656" s="62"/>
      <c r="AB656" s="62"/>
      <c r="AC656" s="62"/>
    </row>
    <row r="657" spans="2:29" s="61" customFormat="1" ht="12.75" x14ac:dyDescent="0.2">
      <c r="B657" s="62"/>
      <c r="P657" s="62"/>
      <c r="V657" s="62"/>
      <c r="X657" s="62"/>
      <c r="Y657" s="62"/>
      <c r="Z657" s="62"/>
      <c r="AA657" s="62"/>
      <c r="AB657" s="62"/>
      <c r="AC657" s="62"/>
    </row>
    <row r="658" spans="2:29" s="61" customFormat="1" ht="12.75" x14ac:dyDescent="0.2">
      <c r="B658" s="62"/>
      <c r="P658" s="62"/>
      <c r="V658" s="62"/>
      <c r="X658" s="62"/>
      <c r="Y658" s="62"/>
      <c r="Z658" s="62"/>
      <c r="AA658" s="62"/>
      <c r="AB658" s="62"/>
      <c r="AC658" s="62"/>
    </row>
    <row r="659" spans="2:29" s="61" customFormat="1" ht="12.75" x14ac:dyDescent="0.2">
      <c r="B659" s="62"/>
      <c r="P659" s="62"/>
      <c r="V659" s="62"/>
      <c r="X659" s="62"/>
      <c r="Y659" s="62"/>
      <c r="Z659" s="62"/>
      <c r="AA659" s="62"/>
      <c r="AB659" s="62"/>
      <c r="AC659" s="62"/>
    </row>
    <row r="660" spans="2:29" s="61" customFormat="1" ht="12.75" x14ac:dyDescent="0.2">
      <c r="B660" s="62"/>
      <c r="P660" s="62"/>
      <c r="V660" s="62"/>
      <c r="X660" s="62"/>
      <c r="Y660" s="62"/>
      <c r="Z660" s="62"/>
      <c r="AA660" s="62"/>
      <c r="AB660" s="62"/>
      <c r="AC660" s="62"/>
    </row>
    <row r="661" spans="2:29" s="61" customFormat="1" ht="12.75" x14ac:dyDescent="0.2">
      <c r="B661" s="62"/>
      <c r="P661" s="62"/>
      <c r="V661" s="62"/>
      <c r="X661" s="62"/>
      <c r="Y661" s="62"/>
      <c r="Z661" s="62"/>
      <c r="AA661" s="62"/>
      <c r="AB661" s="62"/>
      <c r="AC661" s="62"/>
    </row>
    <row r="662" spans="2:29" s="61" customFormat="1" ht="12.75" x14ac:dyDescent="0.2">
      <c r="B662" s="62"/>
      <c r="P662" s="62"/>
      <c r="V662" s="62"/>
      <c r="X662" s="62"/>
      <c r="Y662" s="62"/>
      <c r="Z662" s="62"/>
      <c r="AA662" s="62"/>
      <c r="AB662" s="62"/>
      <c r="AC662" s="62"/>
    </row>
    <row r="663" spans="2:29" s="61" customFormat="1" ht="12.75" x14ac:dyDescent="0.2">
      <c r="B663" s="62"/>
      <c r="P663" s="62"/>
      <c r="V663" s="62"/>
      <c r="X663" s="62"/>
      <c r="Y663" s="62"/>
      <c r="Z663" s="62"/>
      <c r="AA663" s="62"/>
      <c r="AB663" s="62"/>
      <c r="AC663" s="62"/>
    </row>
    <row r="664" spans="2:29" s="61" customFormat="1" ht="12.75" x14ac:dyDescent="0.2">
      <c r="B664" s="62"/>
      <c r="P664" s="62"/>
      <c r="V664" s="62"/>
      <c r="X664" s="62"/>
      <c r="Y664" s="62"/>
      <c r="Z664" s="62"/>
      <c r="AA664" s="62"/>
      <c r="AB664" s="62"/>
      <c r="AC664" s="62"/>
    </row>
    <row r="665" spans="2:29" s="61" customFormat="1" ht="12.75" x14ac:dyDescent="0.2">
      <c r="B665" s="62"/>
      <c r="P665" s="62"/>
      <c r="V665" s="62"/>
      <c r="X665" s="62"/>
      <c r="Y665" s="62"/>
      <c r="Z665" s="62"/>
      <c r="AA665" s="62"/>
      <c r="AB665" s="62"/>
      <c r="AC665" s="62"/>
    </row>
    <row r="666" spans="2:29" s="61" customFormat="1" ht="12.75" x14ac:dyDescent="0.2">
      <c r="B666" s="62"/>
      <c r="P666" s="62"/>
      <c r="V666" s="62"/>
      <c r="X666" s="62"/>
      <c r="Y666" s="62"/>
      <c r="Z666" s="62"/>
      <c r="AA666" s="62"/>
      <c r="AB666" s="62"/>
      <c r="AC666" s="62"/>
    </row>
    <row r="667" spans="2:29" s="61" customFormat="1" ht="12.75" x14ac:dyDescent="0.2">
      <c r="B667" s="62"/>
      <c r="P667" s="62"/>
      <c r="V667" s="62"/>
      <c r="X667" s="62"/>
      <c r="Y667" s="62"/>
      <c r="Z667" s="62"/>
      <c r="AA667" s="62"/>
      <c r="AB667" s="62"/>
      <c r="AC667" s="62"/>
    </row>
    <row r="668" spans="2:29" s="61" customFormat="1" ht="12.75" x14ac:dyDescent="0.2">
      <c r="B668" s="62"/>
      <c r="P668" s="62"/>
      <c r="V668" s="62"/>
      <c r="X668" s="62"/>
      <c r="Y668" s="62"/>
      <c r="Z668" s="62"/>
      <c r="AA668" s="62"/>
      <c r="AB668" s="62"/>
      <c r="AC668" s="62"/>
    </row>
    <row r="669" spans="2:29" s="61" customFormat="1" ht="12.75" x14ac:dyDescent="0.2">
      <c r="B669" s="62"/>
      <c r="P669" s="62"/>
      <c r="V669" s="62"/>
      <c r="X669" s="62"/>
      <c r="Y669" s="62"/>
      <c r="Z669" s="62"/>
      <c r="AA669" s="62"/>
      <c r="AB669" s="62"/>
      <c r="AC669" s="62"/>
    </row>
    <row r="670" spans="2:29" s="61" customFormat="1" ht="12.75" x14ac:dyDescent="0.2">
      <c r="B670" s="62"/>
      <c r="P670" s="62"/>
      <c r="V670" s="62"/>
      <c r="X670" s="62"/>
      <c r="Y670" s="62"/>
      <c r="Z670" s="62"/>
      <c r="AA670" s="62"/>
      <c r="AB670" s="62"/>
      <c r="AC670" s="62"/>
    </row>
    <row r="671" spans="2:29" s="61" customFormat="1" ht="12.75" x14ac:dyDescent="0.2">
      <c r="B671" s="62"/>
      <c r="P671" s="62"/>
      <c r="V671" s="62"/>
      <c r="X671" s="62"/>
      <c r="Y671" s="62"/>
      <c r="Z671" s="62"/>
      <c r="AA671" s="62"/>
      <c r="AB671" s="62"/>
      <c r="AC671" s="62"/>
    </row>
    <row r="672" spans="2:29" s="61" customFormat="1" ht="12.75" x14ac:dyDescent="0.2">
      <c r="B672" s="62"/>
      <c r="P672" s="62"/>
      <c r="V672" s="62"/>
      <c r="X672" s="62"/>
      <c r="Y672" s="62"/>
      <c r="Z672" s="62"/>
      <c r="AA672" s="62"/>
      <c r="AB672" s="62"/>
      <c r="AC672" s="62"/>
    </row>
    <row r="673" spans="2:29" s="61" customFormat="1" ht="12.75" x14ac:dyDescent="0.2">
      <c r="B673" s="62"/>
      <c r="P673" s="62"/>
      <c r="V673" s="62"/>
      <c r="X673" s="62"/>
      <c r="Y673" s="62"/>
      <c r="Z673" s="62"/>
      <c r="AA673" s="62"/>
      <c r="AB673" s="62"/>
      <c r="AC673" s="62"/>
    </row>
    <row r="674" spans="2:29" s="61" customFormat="1" ht="12.75" x14ac:dyDescent="0.2">
      <c r="B674" s="62"/>
      <c r="P674" s="62"/>
      <c r="V674" s="62"/>
      <c r="X674" s="62"/>
      <c r="Y674" s="62"/>
      <c r="Z674" s="62"/>
      <c r="AA674" s="62"/>
      <c r="AB674" s="62"/>
      <c r="AC674" s="62"/>
    </row>
    <row r="675" spans="2:29" s="61" customFormat="1" ht="12.75" x14ac:dyDescent="0.2">
      <c r="B675" s="62"/>
      <c r="P675" s="62"/>
      <c r="V675" s="62"/>
      <c r="X675" s="62"/>
      <c r="Y675" s="62"/>
      <c r="Z675" s="62"/>
      <c r="AA675" s="62"/>
      <c r="AB675" s="62"/>
      <c r="AC675" s="62"/>
    </row>
    <row r="676" spans="2:29" s="61" customFormat="1" ht="12.75" x14ac:dyDescent="0.2">
      <c r="B676" s="62"/>
      <c r="P676" s="62"/>
      <c r="V676" s="62"/>
      <c r="X676" s="62"/>
      <c r="Y676" s="62"/>
      <c r="Z676" s="62"/>
      <c r="AA676" s="62"/>
      <c r="AB676" s="62"/>
      <c r="AC676" s="62"/>
    </row>
    <row r="677" spans="2:29" s="61" customFormat="1" ht="12.75" x14ac:dyDescent="0.2">
      <c r="B677" s="62"/>
      <c r="P677" s="62"/>
      <c r="V677" s="62"/>
      <c r="X677" s="62"/>
      <c r="Y677" s="62"/>
      <c r="Z677" s="62"/>
      <c r="AA677" s="62"/>
      <c r="AB677" s="62"/>
      <c r="AC677" s="62"/>
    </row>
    <row r="678" spans="2:29" s="61" customFormat="1" ht="12.75" x14ac:dyDescent="0.2">
      <c r="B678" s="62"/>
      <c r="P678" s="62"/>
      <c r="V678" s="62"/>
      <c r="X678" s="62"/>
      <c r="Y678" s="62"/>
      <c r="Z678" s="62"/>
      <c r="AA678" s="62"/>
      <c r="AB678" s="62"/>
      <c r="AC678" s="62"/>
    </row>
    <row r="679" spans="2:29" s="61" customFormat="1" ht="12.75" x14ac:dyDescent="0.2">
      <c r="B679" s="62"/>
      <c r="P679" s="62"/>
      <c r="V679" s="62"/>
      <c r="X679" s="62"/>
      <c r="Y679" s="62"/>
      <c r="Z679" s="62"/>
      <c r="AA679" s="62"/>
      <c r="AB679" s="62"/>
      <c r="AC679" s="62"/>
    </row>
    <row r="680" spans="2:29" s="61" customFormat="1" ht="12.75" x14ac:dyDescent="0.2">
      <c r="B680" s="62"/>
      <c r="P680" s="62"/>
      <c r="V680" s="62"/>
      <c r="X680" s="62"/>
      <c r="Y680" s="62"/>
      <c r="Z680" s="62"/>
      <c r="AA680" s="62"/>
      <c r="AB680" s="62"/>
      <c r="AC680" s="62"/>
    </row>
    <row r="681" spans="2:29" s="61" customFormat="1" ht="12.75" x14ac:dyDescent="0.2">
      <c r="B681" s="62"/>
      <c r="P681" s="62"/>
      <c r="V681" s="62"/>
      <c r="X681" s="62"/>
      <c r="Y681" s="62"/>
      <c r="Z681" s="62"/>
      <c r="AA681" s="62"/>
      <c r="AB681" s="62"/>
      <c r="AC681" s="62"/>
    </row>
    <row r="682" spans="2:29" s="61" customFormat="1" ht="12.75" x14ac:dyDescent="0.2">
      <c r="B682" s="62"/>
      <c r="P682" s="62"/>
      <c r="V682" s="62"/>
      <c r="X682" s="62"/>
      <c r="Y682" s="62"/>
      <c r="Z682" s="62"/>
      <c r="AA682" s="62"/>
      <c r="AB682" s="62"/>
      <c r="AC682" s="62"/>
    </row>
    <row r="683" spans="2:29" s="61" customFormat="1" ht="12.75" x14ac:dyDescent="0.2">
      <c r="B683" s="62"/>
      <c r="P683" s="62"/>
      <c r="V683" s="62"/>
      <c r="X683" s="62"/>
      <c r="Y683" s="62"/>
      <c r="Z683" s="62"/>
      <c r="AA683" s="62"/>
      <c r="AB683" s="62"/>
      <c r="AC683" s="62"/>
    </row>
    <row r="684" spans="2:29" s="61" customFormat="1" ht="12.75" x14ac:dyDescent="0.2">
      <c r="B684" s="62"/>
      <c r="P684" s="62"/>
      <c r="V684" s="62"/>
      <c r="X684" s="62"/>
      <c r="Y684" s="62"/>
      <c r="Z684" s="62"/>
      <c r="AA684" s="62"/>
      <c r="AB684" s="62"/>
      <c r="AC684" s="62"/>
    </row>
    <row r="685" spans="2:29" s="61" customFormat="1" ht="12.75" x14ac:dyDescent="0.2">
      <c r="B685" s="62"/>
      <c r="P685" s="62"/>
      <c r="V685" s="62"/>
      <c r="X685" s="62"/>
      <c r="Y685" s="62"/>
      <c r="Z685" s="62"/>
      <c r="AA685" s="62"/>
      <c r="AB685" s="62"/>
      <c r="AC685" s="62"/>
    </row>
    <row r="686" spans="2:29" s="61" customFormat="1" ht="12.75" x14ac:dyDescent="0.2">
      <c r="B686" s="62"/>
      <c r="P686" s="62"/>
      <c r="V686" s="62"/>
      <c r="X686" s="62"/>
      <c r="Y686" s="62"/>
      <c r="Z686" s="62"/>
      <c r="AA686" s="62"/>
      <c r="AB686" s="62"/>
      <c r="AC686" s="62"/>
    </row>
    <row r="687" spans="2:29" s="61" customFormat="1" ht="12.75" x14ac:dyDescent="0.2">
      <c r="B687" s="62"/>
      <c r="P687" s="62"/>
      <c r="V687" s="62"/>
      <c r="X687" s="62"/>
      <c r="Y687" s="62"/>
      <c r="Z687" s="62"/>
      <c r="AA687" s="62"/>
      <c r="AB687" s="62"/>
      <c r="AC687" s="62"/>
    </row>
    <row r="688" spans="2:29" s="61" customFormat="1" ht="12.75" x14ac:dyDescent="0.2">
      <c r="B688" s="62"/>
      <c r="P688" s="62"/>
      <c r="V688" s="62"/>
      <c r="X688" s="62"/>
      <c r="Y688" s="62"/>
      <c r="Z688" s="62"/>
      <c r="AA688" s="62"/>
      <c r="AB688" s="62"/>
      <c r="AC688" s="62"/>
    </row>
    <row r="689" spans="2:29" s="61" customFormat="1" ht="12.75" x14ac:dyDescent="0.2">
      <c r="B689" s="62"/>
      <c r="P689" s="62"/>
      <c r="V689" s="62"/>
      <c r="X689" s="62"/>
      <c r="Y689" s="62"/>
      <c r="Z689" s="62"/>
      <c r="AA689" s="62"/>
      <c r="AB689" s="62"/>
      <c r="AC689" s="62"/>
    </row>
    <row r="690" spans="2:29" s="61" customFormat="1" ht="12.75" x14ac:dyDescent="0.2">
      <c r="B690" s="62"/>
      <c r="P690" s="62"/>
      <c r="V690" s="62"/>
      <c r="X690" s="62"/>
      <c r="Y690" s="62"/>
      <c r="Z690" s="62"/>
      <c r="AA690" s="62"/>
      <c r="AB690" s="62"/>
      <c r="AC690" s="62"/>
    </row>
    <row r="691" spans="2:29" s="61" customFormat="1" ht="12.75" x14ac:dyDescent="0.2">
      <c r="B691" s="62"/>
      <c r="P691" s="62"/>
      <c r="V691" s="62"/>
      <c r="X691" s="62"/>
      <c r="Y691" s="62"/>
      <c r="Z691" s="62"/>
      <c r="AA691" s="62"/>
      <c r="AB691" s="62"/>
      <c r="AC691" s="62"/>
    </row>
    <row r="692" spans="2:29" s="61" customFormat="1" ht="12.75" x14ac:dyDescent="0.2">
      <c r="B692" s="62"/>
      <c r="P692" s="62"/>
      <c r="V692" s="62"/>
      <c r="X692" s="62"/>
      <c r="Y692" s="62"/>
      <c r="Z692" s="62"/>
      <c r="AA692" s="62"/>
      <c r="AB692" s="62"/>
      <c r="AC692" s="62"/>
    </row>
    <row r="693" spans="2:29" s="61" customFormat="1" ht="12.75" x14ac:dyDescent="0.2">
      <c r="B693" s="62"/>
      <c r="P693" s="62"/>
      <c r="V693" s="62"/>
      <c r="X693" s="62"/>
      <c r="Y693" s="62"/>
      <c r="Z693" s="62"/>
      <c r="AA693" s="62"/>
      <c r="AB693" s="62"/>
      <c r="AC693" s="62"/>
    </row>
    <row r="694" spans="2:29" s="61" customFormat="1" ht="12.75" x14ac:dyDescent="0.2">
      <c r="B694" s="62"/>
      <c r="P694" s="62"/>
      <c r="V694" s="62"/>
      <c r="X694" s="62"/>
      <c r="Y694" s="62"/>
      <c r="Z694" s="62"/>
      <c r="AA694" s="62"/>
      <c r="AB694" s="62"/>
      <c r="AC694" s="62"/>
    </row>
    <row r="695" spans="2:29" s="61" customFormat="1" ht="12.75" x14ac:dyDescent="0.2">
      <c r="B695" s="62"/>
      <c r="P695" s="62"/>
      <c r="V695" s="62"/>
      <c r="X695" s="62"/>
      <c r="Y695" s="62"/>
      <c r="Z695" s="62"/>
      <c r="AA695" s="62"/>
      <c r="AB695" s="62"/>
      <c r="AC695" s="62"/>
    </row>
    <row r="696" spans="2:29" s="61" customFormat="1" ht="12.75" x14ac:dyDescent="0.2">
      <c r="B696" s="62"/>
      <c r="P696" s="62"/>
      <c r="V696" s="62"/>
      <c r="X696" s="62"/>
      <c r="Y696" s="62"/>
      <c r="Z696" s="62"/>
      <c r="AA696" s="62"/>
      <c r="AB696" s="62"/>
      <c r="AC696" s="62"/>
    </row>
    <row r="697" spans="2:29" s="61" customFormat="1" ht="12.75" x14ac:dyDescent="0.2">
      <c r="B697" s="62"/>
      <c r="P697" s="62"/>
      <c r="V697" s="62"/>
      <c r="X697" s="62"/>
      <c r="Y697" s="62"/>
      <c r="Z697" s="62"/>
      <c r="AA697" s="62"/>
      <c r="AB697" s="62"/>
      <c r="AC697" s="62"/>
    </row>
    <row r="698" spans="2:29" s="61" customFormat="1" ht="12.75" x14ac:dyDescent="0.2">
      <c r="B698" s="62"/>
      <c r="P698" s="62"/>
      <c r="V698" s="62"/>
      <c r="X698" s="62"/>
      <c r="Y698" s="62"/>
      <c r="Z698" s="62"/>
      <c r="AA698" s="62"/>
      <c r="AB698" s="62"/>
      <c r="AC698" s="62"/>
    </row>
    <row r="699" spans="2:29" s="61" customFormat="1" ht="12.75" x14ac:dyDescent="0.2">
      <c r="B699" s="62"/>
      <c r="P699" s="62"/>
      <c r="V699" s="62"/>
      <c r="X699" s="62"/>
      <c r="Y699" s="62"/>
      <c r="Z699" s="62"/>
      <c r="AA699" s="62"/>
      <c r="AB699" s="62"/>
      <c r="AC699" s="62"/>
    </row>
    <row r="700" spans="2:29" s="61" customFormat="1" ht="12.75" x14ac:dyDescent="0.2">
      <c r="B700" s="62"/>
      <c r="P700" s="62"/>
      <c r="V700" s="62"/>
      <c r="X700" s="62"/>
      <c r="Y700" s="62"/>
      <c r="Z700" s="62"/>
      <c r="AA700" s="62"/>
      <c r="AB700" s="62"/>
      <c r="AC700" s="62"/>
    </row>
    <row r="701" spans="2:29" s="61" customFormat="1" ht="12.75" x14ac:dyDescent="0.2">
      <c r="B701" s="62"/>
      <c r="P701" s="62"/>
      <c r="V701" s="62"/>
      <c r="X701" s="62"/>
      <c r="Y701" s="62"/>
      <c r="Z701" s="62"/>
      <c r="AA701" s="62"/>
      <c r="AB701" s="62"/>
      <c r="AC701" s="62"/>
    </row>
    <row r="702" spans="2:29" s="61" customFormat="1" ht="12.75" x14ac:dyDescent="0.2">
      <c r="B702" s="62"/>
      <c r="P702" s="62"/>
      <c r="V702" s="62"/>
      <c r="X702" s="62"/>
      <c r="Y702" s="62"/>
      <c r="Z702" s="62"/>
      <c r="AA702" s="62"/>
      <c r="AB702" s="62"/>
      <c r="AC702" s="62"/>
    </row>
    <row r="703" spans="2:29" s="61" customFormat="1" ht="12.75" x14ac:dyDescent="0.2">
      <c r="B703" s="62"/>
      <c r="P703" s="62"/>
      <c r="V703" s="62"/>
      <c r="X703" s="62"/>
      <c r="Y703" s="62"/>
      <c r="Z703" s="62"/>
      <c r="AA703" s="62"/>
      <c r="AB703" s="62"/>
      <c r="AC703" s="62"/>
    </row>
    <row r="704" spans="2:29" s="61" customFormat="1" ht="12.75" x14ac:dyDescent="0.2">
      <c r="B704" s="62"/>
      <c r="P704" s="62"/>
      <c r="V704" s="62"/>
      <c r="X704" s="62"/>
      <c r="Y704" s="62"/>
      <c r="Z704" s="62"/>
      <c r="AA704" s="62"/>
      <c r="AB704" s="62"/>
      <c r="AC704" s="62"/>
    </row>
    <row r="705" spans="2:29" s="61" customFormat="1" ht="12.75" x14ac:dyDescent="0.2">
      <c r="B705" s="62"/>
      <c r="P705" s="62"/>
      <c r="V705" s="62"/>
      <c r="X705" s="62"/>
      <c r="Y705" s="62"/>
      <c r="Z705" s="62"/>
      <c r="AA705" s="62"/>
      <c r="AB705" s="62"/>
      <c r="AC705" s="62"/>
    </row>
    <row r="706" spans="2:29" s="61" customFormat="1" ht="12.75" x14ac:dyDescent="0.2">
      <c r="B706" s="62"/>
      <c r="P706" s="62"/>
      <c r="V706" s="62"/>
      <c r="X706" s="62"/>
      <c r="Y706" s="62"/>
      <c r="Z706" s="62"/>
      <c r="AA706" s="62"/>
      <c r="AB706" s="62"/>
      <c r="AC706" s="62"/>
    </row>
    <row r="707" spans="2:29" s="61" customFormat="1" ht="12.75" x14ac:dyDescent="0.2">
      <c r="B707" s="62"/>
      <c r="P707" s="62"/>
      <c r="V707" s="62"/>
      <c r="X707" s="62"/>
      <c r="Y707" s="62"/>
      <c r="Z707" s="62"/>
      <c r="AA707" s="62"/>
      <c r="AB707" s="62"/>
      <c r="AC707" s="62"/>
    </row>
  </sheetData>
  <mergeCells count="16">
    <mergeCell ref="C9:I9"/>
    <mergeCell ref="Q11:Q13"/>
    <mergeCell ref="K9:M9"/>
    <mergeCell ref="O9:U9"/>
    <mergeCell ref="K11:K13"/>
    <mergeCell ref="M11:M13"/>
    <mergeCell ref="O11:O13"/>
    <mergeCell ref="W11:W13"/>
    <mergeCell ref="K34:M34"/>
    <mergeCell ref="U11:U13"/>
    <mergeCell ref="S11:S13"/>
    <mergeCell ref="A11:A13"/>
    <mergeCell ref="C11:C13"/>
    <mergeCell ref="E11:E13"/>
    <mergeCell ref="G11:G13"/>
    <mergeCell ref="I11:I13"/>
  </mergeCells>
  <phoneticPr fontId="11" type="noConversion"/>
  <conditionalFormatting sqref="C29 E29">
    <cfRule type="cellIs" dxfId="12" priority="28" stopIfTrue="1" operator="equal">
      <formula>"SI"</formula>
    </cfRule>
  </conditionalFormatting>
  <conditionalFormatting sqref="K29 M29 S29:U29 E29 O29:P29">
    <cfRule type="cellIs" dxfId="11" priority="29" stopIfTrue="1" operator="equal">
      <formula>"SI"</formula>
    </cfRule>
    <cfRule type="cellIs" dxfId="10" priority="30" stopIfTrue="1" operator="equal">
      <formula>"NO"</formula>
    </cfRule>
  </conditionalFormatting>
  <conditionalFormatting sqref="G29:H29">
    <cfRule type="cellIs" dxfId="9" priority="5" stopIfTrue="1" operator="equal">
      <formula>"SI"</formula>
    </cfRule>
  </conditionalFormatting>
  <conditionalFormatting sqref="G29:H29">
    <cfRule type="cellIs" dxfId="8" priority="6" stopIfTrue="1" operator="equal">
      <formula>"SI"</formula>
    </cfRule>
    <cfRule type="cellIs" dxfId="7" priority="7" stopIfTrue="1" operator="equal">
      <formula>"NO"</formula>
    </cfRule>
  </conditionalFormatting>
  <conditionalFormatting sqref="I29:J29">
    <cfRule type="cellIs" dxfId="6" priority="8" stopIfTrue="1" operator="equal">
      <formula>"SI"</formula>
    </cfRule>
  </conditionalFormatting>
  <conditionalFormatting sqref="I29:J29">
    <cfRule type="cellIs" dxfId="5" priority="9" stopIfTrue="1" operator="equal">
      <formula>"SI"</formula>
    </cfRule>
    <cfRule type="cellIs" dxfId="4" priority="10" stopIfTrue="1" operator="equal">
      <formula>"NO"</formula>
    </cfRule>
  </conditionalFormatting>
  <conditionalFormatting sqref="Q29">
    <cfRule type="cellIs" dxfId="3" priority="3" stopIfTrue="1" operator="equal">
      <formula>"SI"</formula>
    </cfRule>
    <cfRule type="cellIs" dxfId="2" priority="4" stopIfTrue="1" operator="equal">
      <formula>"NO"</formula>
    </cfRule>
  </conditionalFormatting>
  <conditionalFormatting sqref="W29">
    <cfRule type="cellIs" dxfId="1" priority="1" stopIfTrue="1" operator="equal">
      <formula>"SI"</formula>
    </cfRule>
    <cfRule type="cellIs" dxfId="0" priority="2" stopIfTrue="1" operator="equal">
      <formula>"NO"</formula>
    </cfRule>
  </conditionalFormatting>
  <pageMargins left="0.19685039370078741" right="0.19685039370078741" top="0.15748031496062992" bottom="0.15748031496062992" header="0" footer="0"/>
  <pageSetup paperSize="9" scale="76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0" tint="-0.249977111117893"/>
  </sheetPr>
  <dimension ref="A1:K202"/>
  <sheetViews>
    <sheetView zoomScale="80" zoomScaleNormal="80" workbookViewId="0">
      <selection activeCell="E24" sqref="E24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5" t="s">
        <v>158</v>
      </c>
      <c r="B4" s="18">
        <v>8</v>
      </c>
      <c r="C4" s="18">
        <v>2931669</v>
      </c>
      <c r="D4" s="11"/>
      <c r="E4" t="s">
        <v>181</v>
      </c>
      <c r="F4">
        <v>8</v>
      </c>
      <c r="G4">
        <v>27839384</v>
      </c>
      <c r="H4" s="20"/>
      <c r="I4" s="21"/>
      <c r="J4" s="12"/>
      <c r="K4" s="22"/>
    </row>
    <row r="5" spans="1:11" ht="14.25" customHeight="1" x14ac:dyDescent="0.2">
      <c r="A5" s="45" t="s">
        <v>160</v>
      </c>
      <c r="B5" s="18">
        <v>8</v>
      </c>
      <c r="C5" s="18">
        <v>56830490</v>
      </c>
      <c r="D5" s="11"/>
      <c r="E5" t="s">
        <v>207</v>
      </c>
      <c r="F5">
        <v>0</v>
      </c>
      <c r="G5">
        <v>30000000</v>
      </c>
      <c r="H5" s="20"/>
      <c r="I5" s="21"/>
      <c r="J5" s="12"/>
      <c r="K5" s="22"/>
    </row>
    <row r="6" spans="1:11" ht="14.25" customHeight="1" x14ac:dyDescent="0.2">
      <c r="A6" s="45" t="s">
        <v>161</v>
      </c>
      <c r="B6" s="18">
        <v>15</v>
      </c>
      <c r="C6" s="18">
        <v>630559</v>
      </c>
      <c r="D6" s="11"/>
      <c r="E6" t="s">
        <v>209</v>
      </c>
      <c r="F6">
        <v>21</v>
      </c>
      <c r="G6">
        <v>15000000</v>
      </c>
      <c r="H6" s="20"/>
      <c r="I6" s="21"/>
      <c r="J6" s="12"/>
      <c r="K6" s="22"/>
    </row>
    <row r="7" spans="1:11" ht="14.25" customHeight="1" x14ac:dyDescent="0.2">
      <c r="A7" s="45" t="s">
        <v>162</v>
      </c>
      <c r="B7" s="18">
        <v>15</v>
      </c>
      <c r="C7" s="18">
        <v>18151882</v>
      </c>
      <c r="D7" s="11"/>
      <c r="E7" t="s">
        <v>211</v>
      </c>
      <c r="F7">
        <v>8</v>
      </c>
      <c r="G7">
        <v>15415953</v>
      </c>
      <c r="H7" s="20"/>
      <c r="I7" s="21"/>
      <c r="J7" s="12"/>
      <c r="K7" s="22"/>
    </row>
    <row r="8" spans="1:11" ht="14.25" customHeight="1" x14ac:dyDescent="0.2">
      <c r="A8" s="45" t="s">
        <v>164</v>
      </c>
      <c r="B8" s="18">
        <v>8</v>
      </c>
      <c r="C8" s="18">
        <v>35787846</v>
      </c>
      <c r="D8" s="11"/>
      <c r="E8" t="s">
        <v>169</v>
      </c>
      <c r="F8">
        <v>8</v>
      </c>
      <c r="G8">
        <v>55678768</v>
      </c>
      <c r="H8" s="20"/>
      <c r="I8" s="21"/>
      <c r="J8" s="12"/>
      <c r="K8" s="22"/>
    </row>
    <row r="9" spans="1:11" ht="14.25" customHeight="1" x14ac:dyDescent="0.2">
      <c r="A9" s="45" t="s">
        <v>166</v>
      </c>
      <c r="B9" s="18">
        <v>8</v>
      </c>
      <c r="C9" s="18">
        <v>16569</v>
      </c>
      <c r="D9" s="11"/>
      <c r="E9" t="s">
        <v>214</v>
      </c>
      <c r="F9">
        <v>8</v>
      </c>
      <c r="G9">
        <v>18328009</v>
      </c>
      <c r="H9" s="20"/>
      <c r="I9" s="21"/>
      <c r="J9" s="12"/>
      <c r="K9" s="22"/>
    </row>
    <row r="10" spans="1:11" ht="14.25" customHeight="1" x14ac:dyDescent="0.2">
      <c r="A10" s="45" t="s">
        <v>167</v>
      </c>
      <c r="B10" s="18">
        <v>8</v>
      </c>
      <c r="C10" s="18">
        <v>635</v>
      </c>
      <c r="D10" s="11"/>
      <c r="E10" t="s">
        <v>206</v>
      </c>
      <c r="F10">
        <v>8</v>
      </c>
      <c r="G10">
        <v>5894353</v>
      </c>
      <c r="H10" s="20"/>
      <c r="I10" s="21"/>
      <c r="J10" s="12"/>
      <c r="K10" s="22"/>
    </row>
    <row r="11" spans="1:11" ht="14.25" customHeight="1" x14ac:dyDescent="0.2">
      <c r="A11" s="45" t="s">
        <v>169</v>
      </c>
      <c r="B11" s="18">
        <v>8</v>
      </c>
      <c r="C11" s="18">
        <v>212196098</v>
      </c>
      <c r="D11" s="11"/>
      <c r="E11" t="s">
        <v>226</v>
      </c>
      <c r="F11">
        <v>8</v>
      </c>
      <c r="G11">
        <v>2000000</v>
      </c>
      <c r="H11" s="20"/>
      <c r="I11" s="21"/>
      <c r="J11" s="12"/>
      <c r="K11" s="22"/>
    </row>
    <row r="12" spans="1:11" ht="14.25" customHeight="1" x14ac:dyDescent="0.2">
      <c r="A12" s="45" t="s">
        <v>170</v>
      </c>
      <c r="B12" s="18">
        <v>9</v>
      </c>
      <c r="C12" s="18">
        <v>8033279</v>
      </c>
      <c r="D12" s="11"/>
      <c r="E12" t="s">
        <v>227</v>
      </c>
      <c r="F12">
        <v>9</v>
      </c>
      <c r="G12" s="134">
        <v>14815233</v>
      </c>
      <c r="H12" s="20"/>
      <c r="I12" s="21"/>
      <c r="J12" s="12"/>
      <c r="K12" s="22"/>
    </row>
    <row r="13" spans="1:11" ht="14.25" customHeight="1" x14ac:dyDescent="0.2">
      <c r="A13" s="45" t="s">
        <v>171</v>
      </c>
      <c r="B13" s="18">
        <v>9</v>
      </c>
      <c r="C13" s="18">
        <v>1212674</v>
      </c>
      <c r="D13" s="11"/>
      <c r="E13" t="s">
        <v>200</v>
      </c>
      <c r="F13">
        <v>15</v>
      </c>
      <c r="G13">
        <v>14109</v>
      </c>
      <c r="H13" s="20"/>
      <c r="I13" s="21"/>
      <c r="J13" s="12"/>
      <c r="K13" s="22"/>
    </row>
    <row r="14" spans="1:11" ht="14.25" customHeight="1" x14ac:dyDescent="0.2">
      <c r="A14" s="45" t="s">
        <v>173</v>
      </c>
      <c r="B14" s="18">
        <v>8</v>
      </c>
      <c r="C14" s="18">
        <v>253851520</v>
      </c>
      <c r="D14" s="11"/>
      <c r="E14" t="s">
        <v>212</v>
      </c>
      <c r="F14">
        <v>21</v>
      </c>
      <c r="G14">
        <v>780522</v>
      </c>
      <c r="H14" s="20"/>
      <c r="I14" s="21"/>
      <c r="J14" s="12"/>
      <c r="K14" s="22"/>
    </row>
    <row r="15" spans="1:11" ht="14.25" customHeight="1" x14ac:dyDescent="0.2">
      <c r="A15" s="45" t="s">
        <v>174</v>
      </c>
      <c r="B15" s="18">
        <v>10</v>
      </c>
      <c r="C15" s="18">
        <v>4128496</v>
      </c>
      <c r="D15" s="11"/>
      <c r="E15" t="s">
        <v>203</v>
      </c>
      <c r="F15">
        <v>21</v>
      </c>
      <c r="G15">
        <v>11117583</v>
      </c>
      <c r="H15" s="20"/>
      <c r="I15" s="21"/>
      <c r="J15" s="12"/>
      <c r="K15" s="22"/>
    </row>
    <row r="16" spans="1:11" ht="14.25" customHeight="1" x14ac:dyDescent="0.2">
      <c r="A16" s="45" t="s">
        <v>176</v>
      </c>
      <c r="B16" s="18">
        <v>20</v>
      </c>
      <c r="C16" s="18">
        <v>1</v>
      </c>
      <c r="D16" s="11"/>
      <c r="E16" t="s">
        <v>213</v>
      </c>
      <c r="F16">
        <v>8</v>
      </c>
      <c r="G16">
        <v>52569116</v>
      </c>
      <c r="H16" s="20"/>
      <c r="I16" s="21"/>
      <c r="J16" s="12"/>
      <c r="K16" s="22"/>
    </row>
    <row r="17" spans="1:11" ht="14.25" customHeight="1" x14ac:dyDescent="0.2">
      <c r="A17" s="45" t="s">
        <v>177</v>
      </c>
      <c r="B17" s="18">
        <v>0</v>
      </c>
      <c r="C17" s="18">
        <v>11248653</v>
      </c>
      <c r="D17" s="11"/>
      <c r="E17" t="s">
        <v>202</v>
      </c>
      <c r="F17">
        <v>8</v>
      </c>
      <c r="G17">
        <v>23377541</v>
      </c>
      <c r="H17" s="20"/>
      <c r="I17" s="21"/>
      <c r="J17" s="12"/>
      <c r="K17" s="22"/>
    </row>
    <row r="18" spans="1:11" ht="14.25" customHeight="1" x14ac:dyDescent="0.2">
      <c r="A18" s="45" t="s">
        <v>179</v>
      </c>
      <c r="B18" s="18">
        <v>9</v>
      </c>
      <c r="C18" s="18">
        <v>1</v>
      </c>
      <c r="D18" s="11"/>
      <c r="E18" t="s">
        <v>204</v>
      </c>
      <c r="F18">
        <v>8</v>
      </c>
      <c r="G18">
        <v>350937</v>
      </c>
      <c r="H18" s="20"/>
      <c r="I18" s="21"/>
      <c r="J18" s="12"/>
      <c r="K18" s="22"/>
    </row>
    <row r="19" spans="1:11" ht="14.25" customHeight="1" x14ac:dyDescent="0.2">
      <c r="A19" s="45" t="s">
        <v>180</v>
      </c>
      <c r="B19" s="18">
        <v>8</v>
      </c>
      <c r="C19" s="18">
        <v>1000000</v>
      </c>
      <c r="D19" s="11"/>
      <c r="E19" t="s">
        <v>216</v>
      </c>
      <c r="F19">
        <v>8</v>
      </c>
      <c r="G19">
        <v>6000000</v>
      </c>
      <c r="H19" s="20"/>
      <c r="I19" s="21"/>
      <c r="J19" s="12"/>
      <c r="K19" s="22"/>
    </row>
    <row r="20" spans="1:11" ht="14.25" customHeight="1" x14ac:dyDescent="0.2">
      <c r="A20" s="45" t="s">
        <v>181</v>
      </c>
      <c r="B20" s="18">
        <v>8</v>
      </c>
      <c r="C20" s="18">
        <v>142285563</v>
      </c>
      <c r="D20" s="11"/>
      <c r="E20" t="s">
        <v>228</v>
      </c>
      <c r="F20">
        <v>8</v>
      </c>
      <c r="G20">
        <v>80239894</v>
      </c>
      <c r="H20" s="20"/>
      <c r="I20" s="21"/>
      <c r="J20" s="12"/>
      <c r="K20" s="22"/>
    </row>
    <row r="21" spans="1:11" ht="14.25" customHeight="1" x14ac:dyDescent="0.2">
      <c r="A21" s="45" t="s">
        <v>183</v>
      </c>
      <c r="B21" s="18">
        <v>21</v>
      </c>
      <c r="C21" s="18">
        <v>445899</v>
      </c>
      <c r="D21" s="11"/>
      <c r="E21" t="s">
        <v>215</v>
      </c>
      <c r="F21">
        <v>8</v>
      </c>
      <c r="G21">
        <v>12735333</v>
      </c>
      <c r="H21" s="20"/>
      <c r="I21" s="21"/>
      <c r="J21" s="12"/>
      <c r="K21" s="22"/>
    </row>
    <row r="22" spans="1:11" ht="14.25" customHeight="1" x14ac:dyDescent="0.2">
      <c r="A22" s="45" t="s">
        <v>185</v>
      </c>
      <c r="B22" s="18">
        <v>8</v>
      </c>
      <c r="C22" s="18">
        <v>73163261</v>
      </c>
      <c r="D22" s="11"/>
      <c r="E22" t="s">
        <v>217</v>
      </c>
      <c r="F22">
        <v>8</v>
      </c>
      <c r="G22">
        <v>85000000</v>
      </c>
      <c r="H22" s="20"/>
      <c r="I22" s="21"/>
      <c r="J22" s="12"/>
      <c r="K22" s="22"/>
    </row>
    <row r="23" spans="1:11" ht="14.25" customHeight="1" x14ac:dyDescent="0.2">
      <c r="A23" s="45" t="s">
        <v>186</v>
      </c>
      <c r="B23" s="18">
        <v>22</v>
      </c>
      <c r="C23" s="18">
        <v>2058065</v>
      </c>
      <c r="D23" s="11"/>
      <c r="E23" t="s">
        <v>218</v>
      </c>
      <c r="F23">
        <v>8</v>
      </c>
      <c r="G23">
        <v>40000000</v>
      </c>
      <c r="H23" s="20"/>
      <c r="I23" s="21"/>
      <c r="J23" s="12"/>
      <c r="K23" s="22"/>
    </row>
    <row r="24" spans="1:11" ht="14.25" customHeight="1" x14ac:dyDescent="0.2">
      <c r="A24" s="45"/>
      <c r="B24" s="18"/>
      <c r="C24" s="18"/>
      <c r="D24" s="11"/>
      <c r="E24"/>
      <c r="F24"/>
      <c r="G24"/>
      <c r="H24" s="20"/>
      <c r="I24" s="21"/>
      <c r="J24" s="12"/>
      <c r="K24" s="22"/>
    </row>
    <row r="25" spans="1:11" ht="14.25" customHeight="1" x14ac:dyDescent="0.2">
      <c r="A25" s="45"/>
      <c r="B25" s="18"/>
      <c r="C25" s="18"/>
      <c r="D25" s="11"/>
      <c r="E25"/>
      <c r="F25"/>
      <c r="G25"/>
      <c r="H25" s="20"/>
      <c r="I25" s="21"/>
      <c r="J25" s="12"/>
      <c r="K25" s="22"/>
    </row>
    <row r="26" spans="1:11" ht="14.25" customHeight="1" x14ac:dyDescent="0.2">
      <c r="A26" s="45"/>
      <c r="B26" s="18"/>
      <c r="C26" s="18"/>
      <c r="D26" s="11"/>
      <c r="E26"/>
      <c r="F26"/>
      <c r="G26"/>
      <c r="H26" s="20"/>
      <c r="I26" s="21"/>
      <c r="J26" s="12"/>
      <c r="K26" s="22"/>
    </row>
    <row r="27" spans="1:11" ht="14.25" customHeight="1" x14ac:dyDescent="0.2">
      <c r="A27" s="45"/>
      <c r="B27" s="18"/>
      <c r="C27" s="45"/>
      <c r="D27" s="11"/>
      <c r="E27"/>
      <c r="F27"/>
      <c r="G27"/>
      <c r="H27" s="20"/>
      <c r="I27" s="21"/>
      <c r="J27" s="12"/>
      <c r="K27" s="22"/>
    </row>
    <row r="28" spans="1:11" ht="14.25" customHeight="1" x14ac:dyDescent="0.2">
      <c r="A28" s="45"/>
      <c r="B28" s="18"/>
      <c r="C28" s="18"/>
      <c r="D28" s="11"/>
      <c r="E28"/>
      <c r="F28"/>
      <c r="G28"/>
      <c r="H28" s="20"/>
      <c r="I28" s="21"/>
      <c r="J28" s="12"/>
      <c r="K28" s="22"/>
    </row>
    <row r="29" spans="1:11" ht="14.25" customHeight="1" x14ac:dyDescent="0.2">
      <c r="A29" s="45"/>
      <c r="B29" s="18"/>
      <c r="C29" s="18"/>
      <c r="D29" s="11"/>
      <c r="E29"/>
      <c r="F29"/>
      <c r="G29" s="16"/>
      <c r="H29" s="20"/>
      <c r="I29" s="21"/>
      <c r="J29" s="12"/>
      <c r="K29" s="22"/>
    </row>
    <row r="30" spans="1:11" ht="14.25" customHeight="1" x14ac:dyDescent="0.2">
      <c r="A30" s="45"/>
      <c r="B30" s="18"/>
      <c r="C30" s="18"/>
      <c r="D30" s="11"/>
      <c r="E30"/>
      <c r="F30"/>
      <c r="G30"/>
      <c r="H30" s="20"/>
      <c r="I30" s="21"/>
      <c r="J30" s="12"/>
      <c r="K30" s="22"/>
    </row>
    <row r="31" spans="1:11" ht="14.25" customHeight="1" x14ac:dyDescent="0.2">
      <c r="A31" s="45"/>
      <c r="B31" s="18"/>
      <c r="C31" s="18"/>
      <c r="D31" s="11"/>
      <c r="E31"/>
      <c r="F31"/>
      <c r="G31"/>
      <c r="H31" s="20"/>
      <c r="I31" s="21"/>
      <c r="J31" s="12"/>
      <c r="K31" s="22"/>
    </row>
    <row r="32" spans="1:11" ht="14.25" customHeight="1" x14ac:dyDescent="0.2">
      <c r="A32" s="45"/>
      <c r="B32" s="18"/>
      <c r="C32" s="18"/>
      <c r="D32" s="11"/>
      <c r="E32"/>
      <c r="F32"/>
      <c r="G32"/>
      <c r="H32" s="20"/>
      <c r="I32" s="21"/>
      <c r="J32" s="12"/>
      <c r="K32" s="22"/>
    </row>
    <row r="33" spans="1:11" ht="14.25" customHeight="1" x14ac:dyDescent="0.2">
      <c r="A33" s="45"/>
      <c r="B33" s="18"/>
      <c r="C33" s="18"/>
      <c r="D33" s="11"/>
      <c r="E33"/>
      <c r="F33"/>
      <c r="G33"/>
      <c r="H33" s="20"/>
      <c r="I33" s="21"/>
      <c r="J33" s="12"/>
      <c r="K33" s="22"/>
    </row>
    <row r="34" spans="1:11" ht="14.25" customHeight="1" x14ac:dyDescent="0.2">
      <c r="A34" s="45"/>
      <c r="B34" s="18"/>
      <c r="C34" s="18"/>
      <c r="D34" s="11"/>
      <c r="E34"/>
      <c r="F34"/>
      <c r="G34"/>
      <c r="H34" s="20"/>
      <c r="I34" s="21"/>
      <c r="J34" s="12"/>
      <c r="K34" s="22"/>
    </row>
    <row r="35" spans="1:11" ht="14.25" customHeight="1" x14ac:dyDescent="0.2">
      <c r="A35" s="45"/>
      <c r="B35" s="18"/>
      <c r="C35" s="18"/>
      <c r="D35" s="11"/>
      <c r="E35"/>
      <c r="F35"/>
      <c r="G35"/>
      <c r="H35" s="20"/>
      <c r="I35" s="21"/>
      <c r="J35" s="12"/>
      <c r="K35" s="22"/>
    </row>
    <row r="36" spans="1:11" ht="14.25" customHeight="1" x14ac:dyDescent="0.2">
      <c r="A36" s="45"/>
      <c r="B36" s="18"/>
      <c r="C36" s="18"/>
      <c r="D36" s="11"/>
      <c r="E36"/>
      <c r="F36"/>
      <c r="G36"/>
      <c r="H36" s="20"/>
      <c r="I36" s="21"/>
      <c r="J36" s="12"/>
      <c r="K36" s="22"/>
    </row>
    <row r="37" spans="1:11" ht="14.25" customHeight="1" x14ac:dyDescent="0.2">
      <c r="A37" s="45"/>
      <c r="B37" s="18"/>
      <c r="C37" s="18"/>
      <c r="D37" s="11"/>
      <c r="E37"/>
      <c r="F37"/>
      <c r="G37"/>
      <c r="H37" s="20"/>
      <c r="I37" s="21"/>
      <c r="J37" s="12"/>
      <c r="K37" s="22"/>
    </row>
    <row r="38" spans="1:11" ht="14.25" customHeight="1" x14ac:dyDescent="0.2">
      <c r="A38" s="45"/>
      <c r="B38" s="18"/>
      <c r="C38" s="18"/>
      <c r="D38" s="11"/>
      <c r="E38"/>
      <c r="F38"/>
      <c r="G38"/>
      <c r="H38" s="20"/>
      <c r="I38" s="21"/>
      <c r="J38" s="12"/>
      <c r="K38" s="22"/>
    </row>
    <row r="39" spans="1:11" ht="14.25" customHeight="1" x14ac:dyDescent="0.2">
      <c r="A39" s="45"/>
      <c r="B39" s="18"/>
      <c r="C39" s="18"/>
      <c r="D39" s="11"/>
      <c r="E39"/>
      <c r="F39"/>
      <c r="G39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/>
      <c r="F40"/>
      <c r="G40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/>
      <c r="F41"/>
      <c r="G41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/>
      <c r="F42"/>
      <c r="G42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/>
      <c r="F43"/>
      <c r="G4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/>
      <c r="F44"/>
      <c r="G44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/>
      <c r="F45"/>
      <c r="G45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/>
      <c r="F46"/>
      <c r="G46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/>
      <c r="F47"/>
      <c r="G47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/>
      <c r="F48"/>
      <c r="G48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/>
      <c r="F49"/>
      <c r="G49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/>
      <c r="F50"/>
      <c r="G50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/>
      <c r="F51"/>
      <c r="G51"/>
      <c r="H51" s="20"/>
      <c r="I51" s="21"/>
      <c r="J51" s="12"/>
      <c r="K51" s="22"/>
    </row>
    <row r="52" spans="1:11" ht="14.25" customHeight="1" x14ac:dyDescent="0.2">
      <c r="A52" s="45"/>
      <c r="B52" s="18"/>
      <c r="C52" s="18"/>
      <c r="D52" s="11"/>
      <c r="E52"/>
      <c r="F52"/>
      <c r="G52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/>
      <c r="F53"/>
      <c r="G5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/>
      <c r="F54"/>
      <c r="G54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/>
      <c r="F55"/>
      <c r="G55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/>
      <c r="F56"/>
      <c r="G56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/>
      <c r="F57"/>
      <c r="G57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/>
      <c r="F58"/>
      <c r="G58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/>
      <c r="F59"/>
      <c r="G59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/>
      <c r="F60"/>
      <c r="G60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/>
      <c r="F61"/>
      <c r="G61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/>
      <c r="F62"/>
      <c r="G62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/>
      <c r="F63"/>
      <c r="G6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/>
      <c r="F64"/>
      <c r="G64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/>
      <c r="F65"/>
      <c r="G65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/>
      <c r="F66"/>
      <c r="G66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/>
      <c r="F67"/>
      <c r="G67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/>
      <c r="F68"/>
      <c r="G68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/>
      <c r="F69"/>
      <c r="G69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/>
      <c r="F70"/>
      <c r="G70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/>
      <c r="F71"/>
      <c r="G71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/>
      <c r="F72"/>
      <c r="G72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/>
      <c r="F73"/>
      <c r="G7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/>
      <c r="F74"/>
      <c r="G74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/>
      <c r="F75"/>
      <c r="G75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/>
      <c r="F76"/>
      <c r="G76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/>
      <c r="F77"/>
      <c r="G77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/>
      <c r="F78"/>
      <c r="G78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/>
      <c r="F79"/>
      <c r="G79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/>
      <c r="F80"/>
      <c r="G80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/>
      <c r="F81"/>
      <c r="G81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/>
      <c r="F82"/>
      <c r="G82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/>
      <c r="F83"/>
      <c r="G8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/>
      <c r="F84"/>
      <c r="G84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/>
      <c r="F85"/>
      <c r="G85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/>
      <c r="F86"/>
      <c r="G86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/>
      <c r="F87"/>
      <c r="G87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/>
      <c r="F88"/>
      <c r="G88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/>
      <c r="F89"/>
      <c r="G89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/>
      <c r="F90"/>
      <c r="G90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/>
      <c r="F91"/>
      <c r="G91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/>
      <c r="F92"/>
      <c r="G92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/>
      <c r="F93"/>
      <c r="G9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/>
      <c r="F94"/>
      <c r="G94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/>
      <c r="F95"/>
      <c r="G95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/>
      <c r="F96"/>
      <c r="G96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/>
      <c r="F97"/>
      <c r="G97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/>
      <c r="F98"/>
      <c r="G98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/>
      <c r="F99"/>
      <c r="G99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/>
      <c r="F100"/>
      <c r="G100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/>
      <c r="F101"/>
      <c r="G101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/>
      <c r="F102"/>
      <c r="G102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/>
      <c r="F103"/>
      <c r="G10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/>
      <c r="F104"/>
      <c r="G104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/>
      <c r="F105"/>
      <c r="G105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/>
      <c r="F106"/>
      <c r="G106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/>
      <c r="F107"/>
      <c r="G107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/>
      <c r="F108"/>
      <c r="G108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/>
      <c r="F109"/>
      <c r="G109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/>
      <c r="F110"/>
      <c r="G110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/>
      <c r="F111"/>
      <c r="G111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/>
      <c r="F112"/>
      <c r="G112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/>
      <c r="F113"/>
      <c r="G11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/>
      <c r="F114"/>
      <c r="G114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/>
      <c r="F115"/>
      <c r="G115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/>
      <c r="F116"/>
      <c r="G116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/>
      <c r="F117"/>
      <c r="G117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/>
      <c r="F118"/>
      <c r="G118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/>
      <c r="F119"/>
      <c r="G119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/>
      <c r="F120"/>
      <c r="G120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/>
      <c r="F121"/>
      <c r="G121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/>
      <c r="F122"/>
      <c r="G122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/>
      <c r="F123"/>
      <c r="G12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/>
      <c r="F124"/>
      <c r="G124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/>
      <c r="F125"/>
      <c r="G125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/>
      <c r="F126"/>
      <c r="G126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/>
      <c r="F127"/>
      <c r="G127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/>
      <c r="F128"/>
      <c r="G128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/>
      <c r="F129"/>
      <c r="G129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/>
      <c r="F130"/>
      <c r="G130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/>
      <c r="F131"/>
      <c r="G131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/>
      <c r="F132"/>
      <c r="G132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20</v>
      </c>
      <c r="D201" s="11"/>
      <c r="E201" s="17"/>
      <c r="F201" s="38" t="s">
        <v>94</v>
      </c>
      <c r="G201" s="10">
        <f>COUNT(G4:G200)</f>
        <v>20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823973160</v>
      </c>
      <c r="F202" s="38" t="s">
        <v>95</v>
      </c>
      <c r="G202" s="31">
        <f>SUM(G4:G200)</f>
        <v>497156735</v>
      </c>
    </row>
  </sheetData>
  <mergeCells count="3">
    <mergeCell ref="I2:K3"/>
    <mergeCell ref="A2:C2"/>
    <mergeCell ref="E2:G2"/>
  </mergeCells>
  <phoneticPr fontId="11" type="noConversion"/>
  <pageMargins left="0.75" right="0.75" top="1" bottom="1" header="0" footer="0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0" tint="-0.249977111117893"/>
  </sheetPr>
  <dimension ref="A1:K210"/>
  <sheetViews>
    <sheetView zoomScale="80" zoomScaleNormal="80" workbookViewId="0">
      <selection activeCell="E4" sqref="E4:G18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5" t="s">
        <v>188</v>
      </c>
      <c r="B4" s="18">
        <v>8</v>
      </c>
      <c r="C4" s="60">
        <v>1021483</v>
      </c>
      <c r="D4" s="11"/>
      <c r="E4" t="s">
        <v>225</v>
      </c>
      <c r="F4">
        <v>70</v>
      </c>
      <c r="G4" s="16">
        <v>2552365</v>
      </c>
      <c r="H4" s="20"/>
      <c r="I4"/>
      <c r="J4" s="12"/>
      <c r="K4" s="22"/>
    </row>
    <row r="5" spans="1:11" ht="14.25" customHeight="1" x14ac:dyDescent="0.2">
      <c r="A5" s="45" t="s">
        <v>189</v>
      </c>
      <c r="B5" s="18">
        <v>8</v>
      </c>
      <c r="C5" s="60">
        <v>450000</v>
      </c>
      <c r="D5" s="11"/>
      <c r="E5" t="s">
        <v>231</v>
      </c>
      <c r="F5">
        <v>8</v>
      </c>
      <c r="G5" s="16">
        <v>20100000</v>
      </c>
      <c r="H5" s="20"/>
      <c r="I5"/>
      <c r="J5" s="12"/>
      <c r="K5" s="22"/>
    </row>
    <row r="6" spans="1:11" ht="14.25" customHeight="1" x14ac:dyDescent="0.2">
      <c r="A6" s="45" t="s">
        <v>135</v>
      </c>
      <c r="B6" s="18">
        <v>8</v>
      </c>
      <c r="C6" s="60">
        <v>4000000</v>
      </c>
      <c r="D6" s="11"/>
      <c r="E6" t="s">
        <v>232</v>
      </c>
      <c r="F6">
        <v>8</v>
      </c>
      <c r="G6" s="16">
        <v>10100000</v>
      </c>
      <c r="H6" s="20"/>
      <c r="I6"/>
      <c r="J6" s="12"/>
      <c r="K6" s="22"/>
    </row>
    <row r="7" spans="1:11" ht="14.25" customHeight="1" x14ac:dyDescent="0.2">
      <c r="A7" s="45" t="s">
        <v>135</v>
      </c>
      <c r="B7" s="18">
        <v>8</v>
      </c>
      <c r="C7" s="60">
        <v>2340748</v>
      </c>
      <c r="D7" s="11"/>
      <c r="E7" t="s">
        <v>233</v>
      </c>
      <c r="F7">
        <v>8</v>
      </c>
      <c r="G7" s="16">
        <v>25100000</v>
      </c>
      <c r="H7" s="20"/>
      <c r="I7"/>
      <c r="J7" s="12"/>
      <c r="K7" s="22"/>
    </row>
    <row r="8" spans="1:11" ht="14.25" customHeight="1" x14ac:dyDescent="0.2">
      <c r="A8" s="45" t="s">
        <v>190</v>
      </c>
      <c r="B8" s="18">
        <v>8</v>
      </c>
      <c r="C8" s="60">
        <v>515</v>
      </c>
      <c r="D8" s="11"/>
      <c r="E8" t="s">
        <v>234</v>
      </c>
      <c r="F8">
        <v>8</v>
      </c>
      <c r="G8" s="16">
        <v>10100000</v>
      </c>
      <c r="H8" s="20"/>
      <c r="I8"/>
      <c r="J8" s="12"/>
      <c r="K8" s="22"/>
    </row>
    <row r="9" spans="1:11" ht="14.25" customHeight="1" x14ac:dyDescent="0.2">
      <c r="A9" s="45" t="s">
        <v>191</v>
      </c>
      <c r="B9" s="18">
        <v>8</v>
      </c>
      <c r="C9" s="60">
        <v>382062</v>
      </c>
      <c r="D9" s="11"/>
      <c r="E9" t="s">
        <v>235</v>
      </c>
      <c r="F9">
        <v>21</v>
      </c>
      <c r="G9" s="16">
        <v>15000000</v>
      </c>
      <c r="H9" s="20"/>
      <c r="I9"/>
      <c r="J9" s="12"/>
      <c r="K9" s="22"/>
    </row>
    <row r="10" spans="1:11" ht="14.25" customHeight="1" x14ac:dyDescent="0.2">
      <c r="A10" s="45" t="s">
        <v>192</v>
      </c>
      <c r="B10" s="18">
        <v>8</v>
      </c>
      <c r="C10" s="60">
        <v>55443</v>
      </c>
      <c r="D10" s="11"/>
      <c r="E10" t="s">
        <v>219</v>
      </c>
      <c r="F10">
        <v>8</v>
      </c>
      <c r="G10" s="16">
        <v>180</v>
      </c>
      <c r="H10" s="20"/>
      <c r="I10"/>
      <c r="J10" s="12"/>
      <c r="K10" s="22"/>
    </row>
    <row r="11" spans="1:11" ht="14.25" customHeight="1" x14ac:dyDescent="0.2">
      <c r="A11" s="45"/>
      <c r="B11" s="18"/>
      <c r="C11" s="60"/>
      <c r="D11" s="11"/>
      <c r="E11" t="s">
        <v>237</v>
      </c>
      <c r="F11">
        <v>8</v>
      </c>
      <c r="G11" s="16">
        <v>18861197</v>
      </c>
      <c r="H11" s="20"/>
      <c r="I11" s="21"/>
      <c r="J11" s="12"/>
      <c r="K11" s="22"/>
    </row>
    <row r="12" spans="1:11" ht="14.25" customHeight="1" x14ac:dyDescent="0.2">
      <c r="A12" s="45"/>
      <c r="B12" s="18"/>
      <c r="C12" s="60"/>
      <c r="D12" s="11"/>
      <c r="E12" t="s">
        <v>206</v>
      </c>
      <c r="F12">
        <v>8</v>
      </c>
      <c r="G12" s="16">
        <v>17500000</v>
      </c>
      <c r="H12" s="20"/>
      <c r="I12" s="21"/>
      <c r="J12" s="12"/>
      <c r="K12" s="22"/>
    </row>
    <row r="13" spans="1:11" ht="14.25" customHeight="1" x14ac:dyDescent="0.2">
      <c r="A13" s="18"/>
      <c r="B13" s="18"/>
      <c r="C13" s="60"/>
      <c r="D13" s="11"/>
      <c r="E13" t="s">
        <v>221</v>
      </c>
      <c r="F13">
        <v>8</v>
      </c>
      <c r="G13" s="16">
        <v>300000</v>
      </c>
      <c r="H13" s="20"/>
      <c r="I13" s="21"/>
      <c r="J13" s="12"/>
      <c r="K13" s="22"/>
    </row>
    <row r="14" spans="1:11" ht="14.25" customHeight="1" x14ac:dyDescent="0.2">
      <c r="A14" s="18"/>
      <c r="B14" s="18"/>
      <c r="C14" s="60"/>
      <c r="D14" s="11"/>
      <c r="E14" t="s">
        <v>203</v>
      </c>
      <c r="F14">
        <v>21</v>
      </c>
      <c r="G14" s="16">
        <v>7534785</v>
      </c>
      <c r="H14" s="20"/>
      <c r="I14" s="21"/>
      <c r="J14" s="12"/>
      <c r="K14" s="22"/>
    </row>
    <row r="15" spans="1:11" ht="14.25" customHeight="1" x14ac:dyDescent="0.2">
      <c r="A15" s="18"/>
      <c r="B15" s="18"/>
      <c r="C15" s="60"/>
      <c r="D15" s="11"/>
      <c r="E15" t="s">
        <v>220</v>
      </c>
      <c r="F15">
        <v>8</v>
      </c>
      <c r="G15" s="16">
        <v>8586523</v>
      </c>
      <c r="H15" s="20"/>
      <c r="I15" s="21"/>
      <c r="J15" s="12"/>
      <c r="K15" s="22"/>
    </row>
    <row r="16" spans="1:11" ht="14.25" customHeight="1" x14ac:dyDescent="0.2">
      <c r="A16" s="18"/>
      <c r="B16" s="18"/>
      <c r="C16" s="60"/>
      <c r="D16" s="11"/>
      <c r="E16" t="s">
        <v>194</v>
      </c>
      <c r="F16">
        <v>21</v>
      </c>
      <c r="G16" s="16">
        <v>46000000</v>
      </c>
      <c r="H16" s="20"/>
      <c r="I16" s="21"/>
      <c r="J16" s="12"/>
      <c r="K16" s="22"/>
    </row>
    <row r="17" spans="1:11" ht="14.25" customHeight="1" x14ac:dyDescent="0.2">
      <c r="A17" s="18"/>
      <c r="B17" s="18"/>
      <c r="C17" s="60"/>
      <c r="D17" s="11"/>
      <c r="E17" t="s">
        <v>191</v>
      </c>
      <c r="F17">
        <v>8</v>
      </c>
      <c r="G17" s="16">
        <v>45100000</v>
      </c>
      <c r="H17" s="20"/>
      <c r="I17" s="21"/>
      <c r="J17" s="12"/>
      <c r="K17" s="22"/>
    </row>
    <row r="18" spans="1:11" ht="14.25" customHeight="1" x14ac:dyDescent="0.2">
      <c r="A18" s="18"/>
      <c r="B18" s="18"/>
      <c r="C18" s="60"/>
      <c r="D18" s="11"/>
      <c r="E18" t="s">
        <v>222</v>
      </c>
      <c r="F18">
        <v>0</v>
      </c>
      <c r="G18" s="16">
        <v>631129382</v>
      </c>
      <c r="H18" s="20"/>
      <c r="I18" s="21"/>
      <c r="J18" s="12"/>
      <c r="K18" s="22"/>
    </row>
    <row r="19" spans="1:11" ht="14.25" customHeight="1" x14ac:dyDescent="0.2">
      <c r="A19" s="18"/>
      <c r="B19" s="18"/>
      <c r="C19" s="60"/>
      <c r="D19" s="11"/>
      <c r="E19" s="16"/>
      <c r="F19"/>
      <c r="G19"/>
      <c r="H19" s="20"/>
      <c r="I19" s="21"/>
      <c r="J19" s="12"/>
      <c r="K19" s="22"/>
    </row>
    <row r="20" spans="1:11" ht="14.25" customHeight="1" x14ac:dyDescent="0.2">
      <c r="A20" s="18"/>
      <c r="B20" s="18"/>
      <c r="C20" s="60"/>
      <c r="D20" s="11"/>
      <c r="E20" s="16"/>
      <c r="F20"/>
      <c r="G20"/>
      <c r="H20" s="20"/>
      <c r="I20" s="21"/>
      <c r="J20" s="12"/>
      <c r="K20" s="22"/>
    </row>
    <row r="21" spans="1:11" ht="14.25" customHeight="1" x14ac:dyDescent="0.2">
      <c r="A21" s="18"/>
      <c r="B21" s="18"/>
      <c r="C21" s="60"/>
      <c r="D21" s="11"/>
      <c r="E21" s="16"/>
      <c r="F21"/>
      <c r="G21"/>
      <c r="H21" s="20"/>
      <c r="I21" s="21"/>
      <c r="J21" s="12"/>
      <c r="K21" s="22"/>
    </row>
    <row r="22" spans="1:11" ht="14.25" customHeight="1" x14ac:dyDescent="0.2">
      <c r="A22" s="18"/>
      <c r="B22" s="18"/>
      <c r="C22" s="60"/>
      <c r="D22" s="11"/>
      <c r="E22" s="16"/>
      <c r="F22"/>
      <c r="G22"/>
      <c r="H22" s="20"/>
      <c r="I22" s="21"/>
      <c r="J22" s="12"/>
      <c r="K22" s="22"/>
    </row>
    <row r="23" spans="1:11" ht="14.25" customHeight="1" x14ac:dyDescent="0.2">
      <c r="A23" s="18"/>
      <c r="B23" s="18"/>
      <c r="C23" s="60"/>
      <c r="D23" s="11"/>
      <c r="E23" s="16"/>
      <c r="F23"/>
      <c r="G23"/>
      <c r="H23" s="20"/>
      <c r="I23" s="21"/>
      <c r="J23" s="12"/>
      <c r="K23" s="22"/>
    </row>
    <row r="24" spans="1:11" ht="14.25" customHeight="1" x14ac:dyDescent="0.2">
      <c r="A24" s="18"/>
      <c r="B24" s="18"/>
      <c r="C24" s="60"/>
      <c r="D24" s="11"/>
      <c r="E24" s="16"/>
      <c r="F24"/>
      <c r="G24"/>
      <c r="H24" s="20"/>
      <c r="I24" s="21"/>
      <c r="J24" s="12"/>
      <c r="K24" s="22"/>
    </row>
    <row r="25" spans="1:11" ht="14.25" customHeight="1" x14ac:dyDescent="0.2">
      <c r="A25" s="18"/>
      <c r="B25" s="18"/>
      <c r="C25" s="60"/>
      <c r="D25" s="11"/>
      <c r="E25"/>
      <c r="F25"/>
      <c r="G25"/>
      <c r="H25" s="20"/>
      <c r="I25" s="21"/>
      <c r="J25" s="12"/>
      <c r="K25" s="22"/>
    </row>
    <row r="26" spans="1:11" ht="14.25" customHeight="1" x14ac:dyDescent="0.2">
      <c r="A26" s="18"/>
      <c r="B26" s="18"/>
      <c r="C26" s="60"/>
      <c r="D26" s="11"/>
      <c r="E26"/>
      <c r="F26"/>
      <c r="G26"/>
      <c r="H26" s="20"/>
      <c r="I26" s="21"/>
      <c r="J26" s="12"/>
      <c r="K26" s="22"/>
    </row>
    <row r="27" spans="1:11" ht="14.25" customHeight="1" x14ac:dyDescent="0.2">
      <c r="A27" s="45"/>
      <c r="B27" s="18"/>
      <c r="C27" s="60"/>
      <c r="D27" s="11"/>
      <c r="E27"/>
      <c r="F27"/>
      <c r="G27"/>
      <c r="H27" s="20"/>
      <c r="I27" s="21"/>
      <c r="J27" s="12"/>
      <c r="K27" s="22"/>
    </row>
    <row r="28" spans="1:11" ht="14.25" customHeight="1" x14ac:dyDescent="0.2">
      <c r="A28" s="45"/>
      <c r="B28" s="18"/>
      <c r="C28" s="45"/>
      <c r="D28" s="11"/>
      <c r="E28"/>
      <c r="F28"/>
      <c r="G28"/>
      <c r="H28" s="20"/>
      <c r="I28" s="21"/>
      <c r="J28" s="12"/>
      <c r="K28" s="22"/>
    </row>
    <row r="29" spans="1:11" ht="14.25" customHeight="1" x14ac:dyDescent="0.2">
      <c r="A29" s="45"/>
      <c r="B29" s="18"/>
      <c r="C29" s="45"/>
      <c r="D29" s="11"/>
      <c r="E29"/>
      <c r="F29"/>
      <c r="G29"/>
      <c r="H29" s="20"/>
      <c r="I29" s="21"/>
      <c r="J29" s="12"/>
      <c r="K29" s="22"/>
    </row>
    <row r="30" spans="1:11" ht="14.25" customHeight="1" x14ac:dyDescent="0.2">
      <c r="A30" s="18"/>
      <c r="B30" s="18"/>
      <c r="C30" s="18"/>
      <c r="D30" s="11"/>
      <c r="E30"/>
      <c r="F30"/>
      <c r="G30"/>
      <c r="H30" s="20"/>
      <c r="I30" s="21"/>
      <c r="J30" s="12"/>
      <c r="K30" s="22"/>
    </row>
    <row r="31" spans="1:11" ht="14.25" customHeight="1" x14ac:dyDescent="0.2">
      <c r="A31" s="18"/>
      <c r="B31" s="18"/>
      <c r="C31" s="18"/>
      <c r="D31" s="11"/>
      <c r="E31"/>
      <c r="F31"/>
      <c r="G31"/>
      <c r="H31" s="20"/>
      <c r="I31" s="21"/>
      <c r="J31" s="12"/>
      <c r="K31" s="22"/>
    </row>
    <row r="32" spans="1:11" ht="14.25" customHeight="1" x14ac:dyDescent="0.2">
      <c r="A32" s="18"/>
      <c r="B32" s="18"/>
      <c r="C32" s="18"/>
      <c r="D32" s="11"/>
      <c r="E32"/>
      <c r="F32"/>
      <c r="G32"/>
      <c r="H32" s="20"/>
      <c r="I32" s="21"/>
      <c r="J32" s="12"/>
      <c r="K32" s="22"/>
    </row>
    <row r="33" spans="1:11" ht="14.25" customHeight="1" x14ac:dyDescent="0.2">
      <c r="A33" s="18"/>
      <c r="B33" s="18"/>
      <c r="C33" s="18"/>
      <c r="D33" s="11"/>
      <c r="E33"/>
      <c r="F33"/>
      <c r="G33"/>
      <c r="H33" s="20"/>
      <c r="I33" s="21"/>
      <c r="J33" s="12"/>
      <c r="K33" s="22"/>
    </row>
    <row r="34" spans="1:11" ht="14.25" customHeight="1" x14ac:dyDescent="0.2">
      <c r="A34" s="18"/>
      <c r="B34" s="18"/>
      <c r="C34" s="18"/>
      <c r="D34" s="11"/>
      <c r="E34"/>
      <c r="F34"/>
      <c r="G34"/>
      <c r="H34" s="20"/>
      <c r="I34" s="21"/>
      <c r="J34" s="12"/>
      <c r="K34" s="22"/>
    </row>
    <row r="35" spans="1:11" ht="14.25" customHeight="1" x14ac:dyDescent="0.2">
      <c r="A35" s="18"/>
      <c r="B35" s="18"/>
      <c r="C35" s="18"/>
      <c r="D35" s="11"/>
      <c r="E35"/>
      <c r="F35"/>
      <c r="G35"/>
      <c r="H35" s="20"/>
      <c r="I35" s="21"/>
      <c r="J35" s="12"/>
      <c r="K35" s="22"/>
    </row>
    <row r="36" spans="1:11" ht="14.25" customHeight="1" x14ac:dyDescent="0.2">
      <c r="A36" s="18"/>
      <c r="B36" s="18"/>
      <c r="C36" s="18"/>
      <c r="D36" s="11"/>
      <c r="E36"/>
      <c r="F36"/>
      <c r="G36"/>
      <c r="H36" s="20"/>
      <c r="I36" s="21"/>
      <c r="J36" s="12"/>
      <c r="K36" s="22"/>
    </row>
    <row r="37" spans="1:11" ht="14.25" customHeight="1" x14ac:dyDescent="0.2">
      <c r="A37" s="18"/>
      <c r="B37" s="18"/>
      <c r="C37" s="18"/>
      <c r="D37" s="11"/>
      <c r="E37"/>
      <c r="F37"/>
      <c r="G37"/>
      <c r="H37" s="20"/>
      <c r="I37" s="21"/>
      <c r="J37" s="12"/>
      <c r="K37" s="22"/>
    </row>
    <row r="38" spans="1:11" ht="14.25" customHeight="1" x14ac:dyDescent="0.2">
      <c r="A38" s="18"/>
      <c r="B38" s="18"/>
      <c r="C38" s="18"/>
      <c r="D38" s="11"/>
      <c r="E38"/>
      <c r="F38"/>
      <c r="G38"/>
      <c r="H38" s="20"/>
      <c r="I38" s="21"/>
      <c r="J38" s="12"/>
      <c r="K38" s="22"/>
    </row>
    <row r="39" spans="1:11" ht="14.25" customHeight="1" x14ac:dyDescent="0.2">
      <c r="A39" s="18"/>
      <c r="B39" s="18"/>
      <c r="C39" s="18"/>
      <c r="D39" s="11"/>
      <c r="E39"/>
      <c r="F39"/>
      <c r="G39"/>
      <c r="H39" s="20"/>
      <c r="I39" s="21"/>
      <c r="J39" s="12"/>
      <c r="K39" s="22"/>
    </row>
    <row r="40" spans="1:11" ht="14.25" customHeight="1" x14ac:dyDescent="0.2">
      <c r="A40" s="18"/>
      <c r="B40" s="18"/>
      <c r="C40" s="18"/>
      <c r="D40" s="11"/>
      <c r="E40"/>
      <c r="F40"/>
      <c r="G40"/>
      <c r="H40" s="20"/>
      <c r="I40" s="21"/>
      <c r="J40" s="12"/>
      <c r="K40" s="22"/>
    </row>
    <row r="41" spans="1:11" ht="14.25" customHeight="1" x14ac:dyDescent="0.2">
      <c r="A41" s="18"/>
      <c r="B41" s="18"/>
      <c r="C41" s="18"/>
      <c r="D41" s="11"/>
      <c r="E41"/>
      <c r="F41"/>
      <c r="G41"/>
      <c r="H41" s="20"/>
      <c r="I41" s="21"/>
      <c r="J41" s="12"/>
      <c r="K41" s="22"/>
    </row>
    <row r="42" spans="1:11" ht="14.25" customHeight="1" x14ac:dyDescent="0.2">
      <c r="A42" s="18"/>
      <c r="B42" s="18"/>
      <c r="C42" s="18"/>
      <c r="D42" s="11"/>
      <c r="E42"/>
      <c r="F42"/>
      <c r="G42"/>
      <c r="H42" s="20"/>
      <c r="I42" s="21"/>
      <c r="J42" s="12"/>
      <c r="K42" s="22"/>
    </row>
    <row r="43" spans="1:11" ht="14.25" customHeight="1" x14ac:dyDescent="0.2">
      <c r="A43" s="18"/>
      <c r="B43" s="18"/>
      <c r="C43" s="18"/>
      <c r="D43" s="11"/>
      <c r="E43"/>
      <c r="F43"/>
      <c r="G43"/>
      <c r="H43" s="20"/>
      <c r="I43" s="21"/>
      <c r="J43" s="12"/>
      <c r="K43" s="22"/>
    </row>
    <row r="44" spans="1:11" ht="14.25" customHeight="1" x14ac:dyDescent="0.2">
      <c r="A44" s="18"/>
      <c r="B44" s="18"/>
      <c r="C44" s="18"/>
      <c r="D44" s="11"/>
      <c r="E44"/>
      <c r="F44"/>
      <c r="G44"/>
      <c r="H44" s="20"/>
      <c r="I44" s="21"/>
      <c r="J44" s="12"/>
      <c r="K44" s="22"/>
    </row>
    <row r="45" spans="1:11" ht="14.25" customHeight="1" x14ac:dyDescent="0.2">
      <c r="A45" s="18"/>
      <c r="B45" s="18"/>
      <c r="C45" s="18"/>
      <c r="D45" s="11"/>
      <c r="E45"/>
      <c r="F45"/>
      <c r="G45"/>
      <c r="H45" s="20"/>
      <c r="I45" s="21"/>
      <c r="J45" s="12"/>
      <c r="K45" s="22"/>
    </row>
    <row r="46" spans="1:11" ht="14.25" customHeight="1" x14ac:dyDescent="0.2">
      <c r="A46" s="18"/>
      <c r="B46" s="18"/>
      <c r="C46" s="18"/>
      <c r="D46" s="11"/>
      <c r="E46"/>
      <c r="F46"/>
      <c r="G46"/>
      <c r="H46" s="20"/>
      <c r="I46" s="21"/>
      <c r="J46" s="12"/>
      <c r="K46" s="22"/>
    </row>
    <row r="47" spans="1:11" ht="14.25" customHeight="1" x14ac:dyDescent="0.2">
      <c r="A47" s="18"/>
      <c r="B47" s="18"/>
      <c r="C47" s="18"/>
      <c r="D47" s="11"/>
      <c r="E47"/>
      <c r="F47"/>
      <c r="G47"/>
      <c r="H47" s="20"/>
      <c r="I47" s="21"/>
      <c r="J47" s="12"/>
      <c r="K47" s="22"/>
    </row>
    <row r="48" spans="1:11" ht="14.25" customHeight="1" x14ac:dyDescent="0.2">
      <c r="A48" s="18"/>
      <c r="B48" s="18"/>
      <c r="C48" s="18"/>
      <c r="D48" s="11"/>
      <c r="E48"/>
      <c r="F48"/>
      <c r="G48"/>
      <c r="H48" s="20"/>
      <c r="I48" s="21"/>
      <c r="J48" s="12"/>
      <c r="K48" s="22"/>
    </row>
    <row r="49" spans="1:11" ht="14.25" customHeight="1" x14ac:dyDescent="0.2">
      <c r="A49" s="18"/>
      <c r="B49" s="18"/>
      <c r="C49" s="18"/>
      <c r="D49" s="11"/>
      <c r="E49"/>
      <c r="F49"/>
      <c r="G49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/>
      <c r="F50"/>
      <c r="G50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/>
      <c r="F51"/>
      <c r="G51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/>
      <c r="F52"/>
      <c r="G52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/>
      <c r="F53"/>
      <c r="G5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/>
      <c r="F54"/>
      <c r="G54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/>
      <c r="F55"/>
      <c r="G55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/>
      <c r="F56"/>
      <c r="G56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/>
      <c r="F57"/>
      <c r="G57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/>
      <c r="F58"/>
      <c r="G58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/>
      <c r="F59"/>
      <c r="G59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7</v>
      </c>
      <c r="D201" s="11"/>
      <c r="E201" s="17"/>
      <c r="F201" s="38" t="s">
        <v>94</v>
      </c>
      <c r="G201" s="10">
        <f>COUNT(G4:G200)</f>
        <v>15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8250251</v>
      </c>
      <c r="F202" s="38" t="s">
        <v>95</v>
      </c>
      <c r="G202" s="31">
        <f>SUM(G4:G200)</f>
        <v>857964432</v>
      </c>
    </row>
    <row r="209" s="9" customFormat="1" x14ac:dyDescent="0.2"/>
    <row r="210" s="9" customFormat="1" x14ac:dyDescent="0.2"/>
  </sheetData>
  <sortState ref="A4:C127">
    <sortCondition ref="A5:A127"/>
  </sortState>
  <mergeCells count="3">
    <mergeCell ref="A2:C2"/>
    <mergeCell ref="E2:G2"/>
    <mergeCell ref="I2:K3"/>
  </mergeCells>
  <phoneticPr fontId="11" type="noConversion"/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0" tint="-0.249977111117893"/>
  </sheetPr>
  <dimension ref="A1:K226"/>
  <sheetViews>
    <sheetView zoomScale="80" zoomScaleNormal="80" workbookViewId="0">
      <selection activeCell="E7" sqref="E7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0" t="s">
        <v>135</v>
      </c>
      <c r="B4" s="41">
        <v>8</v>
      </c>
      <c r="C4" s="27">
        <v>3658874</v>
      </c>
      <c r="D4" s="11"/>
      <c r="E4" s="50" t="s">
        <v>194</v>
      </c>
      <c r="F4" s="50">
        <v>21</v>
      </c>
      <c r="G4" s="52">
        <v>4000000</v>
      </c>
      <c r="H4" s="20"/>
      <c r="I4" s="21"/>
      <c r="J4" s="12"/>
      <c r="K4" s="22"/>
    </row>
    <row r="5" spans="1:11" ht="14.25" customHeight="1" x14ac:dyDescent="0.2">
      <c r="A5" s="19" t="s">
        <v>139</v>
      </c>
      <c r="B5" s="13">
        <v>8</v>
      </c>
      <c r="C5" s="27">
        <v>7842</v>
      </c>
      <c r="D5" s="11"/>
      <c r="E5" s="50" t="s">
        <v>196</v>
      </c>
      <c r="F5" s="50">
        <v>8</v>
      </c>
      <c r="G5" s="52">
        <v>44799</v>
      </c>
      <c r="H5" s="20"/>
      <c r="I5" s="21"/>
      <c r="J5" s="12"/>
      <c r="K5" s="22"/>
    </row>
    <row r="6" spans="1:11" ht="14.25" customHeight="1" x14ac:dyDescent="0.2">
      <c r="A6" s="19" t="s">
        <v>140</v>
      </c>
      <c r="B6" s="13">
        <v>21</v>
      </c>
      <c r="C6" s="27">
        <v>5000000</v>
      </c>
      <c r="D6" s="11"/>
      <c r="E6" s="50" t="s">
        <v>198</v>
      </c>
      <c r="F6" s="50">
        <v>8</v>
      </c>
      <c r="G6" s="52">
        <v>14000000</v>
      </c>
      <c r="H6" s="20"/>
      <c r="I6" s="21"/>
      <c r="J6" s="12"/>
      <c r="K6" s="22"/>
    </row>
    <row r="7" spans="1:11" ht="14.25" customHeight="1" x14ac:dyDescent="0.2">
      <c r="A7" s="19" t="s">
        <v>142</v>
      </c>
      <c r="B7" s="13">
        <v>8</v>
      </c>
      <c r="C7" s="27">
        <v>28786365</v>
      </c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 t="s">
        <v>144</v>
      </c>
      <c r="B8" s="13">
        <v>8</v>
      </c>
      <c r="C8" s="27">
        <v>3238856</v>
      </c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 t="s">
        <v>145</v>
      </c>
      <c r="B9" s="13">
        <v>8</v>
      </c>
      <c r="C9" s="27">
        <v>14896811</v>
      </c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 t="s">
        <v>146</v>
      </c>
      <c r="B10" s="13">
        <v>8</v>
      </c>
      <c r="C10" s="27">
        <v>37199277</v>
      </c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7</v>
      </c>
      <c r="D201" s="11"/>
      <c r="E201" s="17"/>
      <c r="F201" s="38" t="s">
        <v>94</v>
      </c>
      <c r="G201" s="10">
        <f>COUNT(G4:G200)</f>
        <v>3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92788025</v>
      </c>
      <c r="F202" s="38" t="s">
        <v>95</v>
      </c>
      <c r="G202" s="31">
        <f>SUM(G4:G200)</f>
        <v>18044799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  <row r="225" s="9" customFormat="1" x14ac:dyDescent="0.2"/>
    <row r="226" s="9" customFormat="1" x14ac:dyDescent="0.2"/>
  </sheetData>
  <mergeCells count="3">
    <mergeCell ref="A2:C2"/>
    <mergeCell ref="E2:G2"/>
    <mergeCell ref="I2:K3"/>
  </mergeCells>
  <pageMargins left="0.75" right="0.75" top="1" bottom="1" header="0" footer="0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tabColor theme="0" tint="-0.249977111117893"/>
  </sheetPr>
  <dimension ref="A1:K210"/>
  <sheetViews>
    <sheetView zoomScale="80" zoomScaleNormal="80" workbookViewId="0">
      <selection activeCell="E5" sqref="E5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0" t="s">
        <v>135</v>
      </c>
      <c r="B4" s="41">
        <v>8</v>
      </c>
      <c r="C4" s="27">
        <v>3658874</v>
      </c>
      <c r="D4" s="11"/>
      <c r="E4" t="s">
        <v>229</v>
      </c>
      <c r="F4">
        <v>0</v>
      </c>
      <c r="G4">
        <v>272823</v>
      </c>
      <c r="H4" s="20"/>
      <c r="I4" s="21"/>
      <c r="J4" s="12"/>
      <c r="K4" s="22"/>
    </row>
    <row r="5" spans="1:11" ht="14.25" customHeight="1" x14ac:dyDescent="0.2">
      <c r="A5" s="19"/>
      <c r="B5" s="13"/>
      <c r="C5" s="27"/>
      <c r="D5" s="11"/>
      <c r="E5" s="5"/>
      <c r="F5" s="7"/>
      <c r="G5" s="33"/>
      <c r="H5" s="20"/>
      <c r="I5" s="21"/>
      <c r="J5" s="12"/>
      <c r="K5" s="22"/>
    </row>
    <row r="6" spans="1:11" ht="14.25" customHeight="1" x14ac:dyDescent="0.2">
      <c r="A6" s="19"/>
      <c r="B6" s="13"/>
      <c r="C6" s="27"/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">
      <c r="A7" s="19"/>
      <c r="B7" s="13"/>
      <c r="C7" s="27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1</v>
      </c>
      <c r="D201" s="11"/>
      <c r="E201" s="17"/>
      <c r="F201" s="38" t="s">
        <v>94</v>
      </c>
      <c r="G201" s="10">
        <f>COUNT(G4:G200)</f>
        <v>1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3658874</v>
      </c>
      <c r="F202" s="38" t="s">
        <v>95</v>
      </c>
      <c r="G202" s="31">
        <f>SUM(G4:G200)</f>
        <v>272823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</sheetData>
  <mergeCells count="3">
    <mergeCell ref="A2:C2"/>
    <mergeCell ref="E2:G2"/>
    <mergeCell ref="I2:K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 tint="0.499984740745262"/>
  </sheetPr>
  <dimension ref="A1:K210"/>
  <sheetViews>
    <sheetView zoomScale="80" zoomScaleNormal="80" workbookViewId="0">
      <selection activeCell="E6" sqref="E6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5" t="s">
        <v>135</v>
      </c>
      <c r="B4" s="18">
        <v>8</v>
      </c>
      <c r="C4" s="54">
        <v>10976621</v>
      </c>
      <c r="D4" s="11"/>
      <c r="E4" t="s">
        <v>225</v>
      </c>
      <c r="F4">
        <v>70</v>
      </c>
      <c r="G4" s="16">
        <v>3123711</v>
      </c>
      <c r="H4" s="20"/>
      <c r="I4" s="21"/>
      <c r="J4" s="12"/>
      <c r="K4" s="22"/>
    </row>
    <row r="5" spans="1:11" ht="14.25" customHeight="1" x14ac:dyDescent="0.2">
      <c r="A5" s="45" t="s">
        <v>148</v>
      </c>
      <c r="B5" s="18">
        <v>8</v>
      </c>
      <c r="C5" s="18">
        <v>200080</v>
      </c>
      <c r="D5" s="11"/>
      <c r="E5" t="s">
        <v>154</v>
      </c>
      <c r="F5">
        <v>8</v>
      </c>
      <c r="G5">
        <v>253473</v>
      </c>
      <c r="H5" s="20"/>
      <c r="I5" s="21"/>
      <c r="J5" s="12"/>
      <c r="K5" s="22"/>
    </row>
    <row r="6" spans="1:11" ht="14.25" customHeight="1" x14ac:dyDescent="0.2">
      <c r="A6" s="45" t="s">
        <v>149</v>
      </c>
      <c r="B6" s="18">
        <v>8</v>
      </c>
      <c r="C6" s="18">
        <v>20000000</v>
      </c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">
      <c r="A7" s="45"/>
      <c r="B7" s="18"/>
      <c r="C7" s="18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3</v>
      </c>
      <c r="D201" s="11"/>
      <c r="E201" s="17"/>
      <c r="F201" s="38" t="s">
        <v>94</v>
      </c>
      <c r="G201" s="10">
        <f>COUNT(G4:G200)</f>
        <v>2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31176701</v>
      </c>
      <c r="F202" s="38" t="s">
        <v>95</v>
      </c>
      <c r="G202" s="31">
        <f>SUM(G4:G200)</f>
        <v>3377184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</sheetData>
  <sortState ref="A5:C28">
    <sortCondition ref="A5:A28"/>
  </sortState>
  <mergeCells count="3">
    <mergeCell ref="A2:C2"/>
    <mergeCell ref="E2:G2"/>
    <mergeCell ref="I2:K3"/>
  </mergeCells>
  <phoneticPr fontId="11" type="noConversion"/>
  <pageMargins left="0.75" right="0.75" top="1" bottom="1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theme="1" tint="0.499984740745262"/>
  </sheetPr>
  <dimension ref="A1:K210"/>
  <sheetViews>
    <sheetView zoomScale="80" zoomScaleNormal="80" workbookViewId="0">
      <selection activeCell="E5" sqref="E5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0" t="s">
        <v>152</v>
      </c>
      <c r="B4" s="41">
        <v>8</v>
      </c>
      <c r="C4" s="27">
        <v>240000</v>
      </c>
      <c r="D4" s="11"/>
      <c r="E4" s="5" t="s">
        <v>154</v>
      </c>
      <c r="F4" s="7">
        <v>8</v>
      </c>
      <c r="G4" s="33">
        <v>19975</v>
      </c>
      <c r="H4" s="20"/>
      <c r="I4" s="21"/>
      <c r="J4" s="12"/>
      <c r="K4" s="22"/>
    </row>
    <row r="5" spans="1:11" ht="14.25" customHeight="1" x14ac:dyDescent="0.25">
      <c r="A5" s="53" t="s">
        <v>154</v>
      </c>
      <c r="B5" s="13">
        <v>8</v>
      </c>
      <c r="C5" s="53">
        <v>2350000</v>
      </c>
      <c r="D5" s="11"/>
      <c r="E5" s="5"/>
      <c r="F5" s="7"/>
      <c r="G5" s="33"/>
      <c r="H5" s="20"/>
      <c r="I5" s="21"/>
      <c r="J5" s="12"/>
      <c r="K5" s="22"/>
    </row>
    <row r="6" spans="1:11" ht="14.25" customHeight="1" x14ac:dyDescent="0.2">
      <c r="A6" s="19" t="s">
        <v>155</v>
      </c>
      <c r="B6" s="13">
        <v>21</v>
      </c>
      <c r="C6" s="27">
        <v>50000000</v>
      </c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">
      <c r="A7" s="19"/>
      <c r="B7" s="13"/>
      <c r="C7" s="27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3</v>
      </c>
      <c r="D201" s="11"/>
      <c r="E201" s="17"/>
      <c r="F201" s="38" t="s">
        <v>94</v>
      </c>
      <c r="G201" s="10">
        <f>COUNT(G4:G200)</f>
        <v>1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52590000</v>
      </c>
      <c r="F202" s="38" t="s">
        <v>95</v>
      </c>
      <c r="G202" s="31">
        <f>SUM(G4:G200)</f>
        <v>19975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</sheetData>
  <sortState ref="E5:H13">
    <sortCondition ref="E5"/>
  </sortState>
  <mergeCells count="3">
    <mergeCell ref="A2:C2"/>
    <mergeCell ref="E2:G2"/>
    <mergeCell ref="I2:K3"/>
  </mergeCells>
  <phoneticPr fontId="11" type="noConversion"/>
  <pageMargins left="0.75" right="0.75" top="1" bottom="1" header="0" footer="0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1" tint="0.249977111117893"/>
  </sheetPr>
  <dimension ref="A1:K226"/>
  <sheetViews>
    <sheetView zoomScale="80" zoomScaleNormal="80" workbookViewId="0">
      <selection activeCell="E4" sqref="E4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0" t="s">
        <v>190</v>
      </c>
      <c r="B4" s="41">
        <v>8</v>
      </c>
      <c r="C4" s="27">
        <v>25.56</v>
      </c>
      <c r="D4" s="11"/>
      <c r="E4"/>
      <c r="F4"/>
      <c r="G4" s="16"/>
      <c r="H4" s="20"/>
      <c r="I4" s="21"/>
      <c r="J4" s="12"/>
      <c r="K4" s="22"/>
    </row>
    <row r="5" spans="1:11" ht="14.25" customHeight="1" x14ac:dyDescent="0.2">
      <c r="A5" s="19"/>
      <c r="B5" s="13"/>
      <c r="C5" s="27"/>
      <c r="D5" s="11"/>
      <c r="E5" s="5"/>
      <c r="F5" s="7"/>
      <c r="G5" s="33"/>
      <c r="H5" s="20"/>
      <c r="I5" s="21"/>
      <c r="J5" s="12"/>
      <c r="K5" s="22"/>
    </row>
    <row r="6" spans="1:11" ht="14.25" customHeight="1" x14ac:dyDescent="0.2">
      <c r="A6" s="19"/>
      <c r="B6" s="13"/>
      <c r="C6" s="27"/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">
      <c r="A7" s="19"/>
      <c r="B7" s="13"/>
      <c r="C7" s="27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1</v>
      </c>
      <c r="D201" s="11"/>
      <c r="E201" s="17"/>
      <c r="F201" s="38" t="s">
        <v>94</v>
      </c>
      <c r="G201" s="10">
        <f>COUNT(G4:G200)</f>
        <v>0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25.56</v>
      </c>
      <c r="F202" s="38" t="s">
        <v>95</v>
      </c>
      <c r="G202" s="31">
        <f>SUM(G4:G200)</f>
        <v>0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  <row r="225" s="9" customFormat="1" x14ac:dyDescent="0.2"/>
    <row r="226" s="9" customFormat="1" x14ac:dyDescent="0.2"/>
  </sheetData>
  <mergeCells count="3">
    <mergeCell ref="A2:C2"/>
    <mergeCell ref="E2:G2"/>
    <mergeCell ref="I2:K3"/>
  </mergeCells>
  <pageMargins left="0.75" right="0.75" top="1" bottom="1" header="0" footer="0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theme="1" tint="0.249977111117893"/>
  </sheetPr>
  <dimension ref="A1:K226"/>
  <sheetViews>
    <sheetView zoomScale="80" zoomScaleNormal="80" workbookViewId="0">
      <selection activeCell="E4" sqref="E4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0"/>
      <c r="B4" s="41"/>
      <c r="C4" s="27"/>
      <c r="D4" s="11"/>
      <c r="E4" s="5"/>
      <c r="F4" s="7"/>
      <c r="G4" s="33"/>
      <c r="H4" s="20"/>
      <c r="I4" s="21"/>
      <c r="J4" s="12"/>
      <c r="K4" s="22"/>
    </row>
    <row r="5" spans="1:11" ht="14.25" customHeight="1" x14ac:dyDescent="0.2">
      <c r="A5" s="19"/>
      <c r="B5" s="13"/>
      <c r="C5" s="27"/>
      <c r="D5" s="11"/>
      <c r="E5" s="5"/>
      <c r="F5" s="7"/>
      <c r="G5" s="33"/>
      <c r="H5" s="20"/>
      <c r="I5" s="21"/>
      <c r="J5" s="12"/>
      <c r="K5" s="22"/>
    </row>
    <row r="6" spans="1:11" ht="14.25" customHeight="1" x14ac:dyDescent="0.2">
      <c r="A6" s="19"/>
      <c r="B6" s="13"/>
      <c r="C6" s="27"/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">
      <c r="A7" s="19"/>
      <c r="B7" s="13"/>
      <c r="C7" s="27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0</v>
      </c>
      <c r="D201" s="11"/>
      <c r="E201" s="17"/>
      <c r="F201" s="38" t="s">
        <v>94</v>
      </c>
      <c r="G201" s="10">
        <f>COUNT(G4:G200)</f>
        <v>0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0</v>
      </c>
      <c r="F202" s="38" t="s">
        <v>95</v>
      </c>
      <c r="G202" s="31">
        <f>SUM(G4:G200)</f>
        <v>0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  <row r="225" s="9" customFormat="1" x14ac:dyDescent="0.2"/>
    <row r="226" s="9" customFormat="1" x14ac:dyDescent="0.2"/>
  </sheetData>
  <mergeCells count="3">
    <mergeCell ref="A2:C2"/>
    <mergeCell ref="E2:G2"/>
    <mergeCell ref="I2:K3"/>
  </mergeCells>
  <pageMargins left="0.75" right="0.75" top="1" bottom="1" header="0" footer="0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>
    <tabColor theme="1" tint="0.249977111117893"/>
  </sheetPr>
  <dimension ref="A1:K226"/>
  <sheetViews>
    <sheetView zoomScale="80" zoomScaleNormal="80" workbookViewId="0">
      <selection activeCell="E5" sqref="E5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0" t="s">
        <v>135</v>
      </c>
      <c r="B4" s="41">
        <v>8</v>
      </c>
      <c r="C4" s="27">
        <v>25612117</v>
      </c>
      <c r="D4" s="11"/>
      <c r="E4" s="5" t="s">
        <v>225</v>
      </c>
      <c r="F4" s="7">
        <v>70</v>
      </c>
      <c r="G4" s="33">
        <v>3783362</v>
      </c>
      <c r="H4" s="20"/>
      <c r="I4" s="21"/>
      <c r="J4" s="12"/>
      <c r="K4" s="22"/>
    </row>
    <row r="5" spans="1:11" ht="14.25" customHeight="1" x14ac:dyDescent="0.25">
      <c r="A5" s="45"/>
      <c r="B5" s="18"/>
      <c r="C5" s="133"/>
      <c r="D5" s="11"/>
      <c r="E5" s="5"/>
      <c r="F5" s="7"/>
      <c r="G5" s="33"/>
      <c r="H5" s="20"/>
      <c r="I5" s="21"/>
      <c r="J5" s="12"/>
      <c r="K5" s="22"/>
    </row>
    <row r="6" spans="1:11" ht="14.25" customHeight="1" x14ac:dyDescent="0.25">
      <c r="A6" s="19"/>
      <c r="B6" s="13"/>
      <c r="C6" s="133"/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5">
      <c r="A7" s="19"/>
      <c r="B7" s="13"/>
      <c r="C7" s="133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1</v>
      </c>
      <c r="D201" s="11"/>
      <c r="E201" s="17"/>
      <c r="F201" s="38" t="s">
        <v>94</v>
      </c>
      <c r="G201" s="10">
        <f>COUNT(G4:G200)</f>
        <v>1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25612117</v>
      </c>
      <c r="F202" s="38" t="s">
        <v>95</v>
      </c>
      <c r="G202" s="31">
        <f>SUM(G4:G200)</f>
        <v>3783362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  <row r="225" s="9" customFormat="1" x14ac:dyDescent="0.2"/>
    <row r="226" s="9" customFormat="1" x14ac:dyDescent="0.2"/>
  </sheetData>
  <sortState ref="E5:G159">
    <sortCondition ref="E130"/>
  </sortState>
  <mergeCells count="3">
    <mergeCell ref="E2:G2"/>
    <mergeCell ref="A2:C2"/>
    <mergeCell ref="I2:K3"/>
  </mergeCells>
  <phoneticPr fontId="11" type="noConversion"/>
  <pageMargins left="0.75" right="0.75" top="1" bottom="1" header="0" footer="0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>
    <tabColor theme="1" tint="0.249977111117893"/>
  </sheetPr>
  <dimension ref="A1:K226"/>
  <sheetViews>
    <sheetView zoomScale="80" zoomScaleNormal="80" workbookViewId="0">
      <selection activeCell="E4" sqref="E4"/>
    </sheetView>
  </sheetViews>
  <sheetFormatPr baseColWidth="10" defaultColWidth="11.42578125" defaultRowHeight="12.75" x14ac:dyDescent="0.2"/>
  <cols>
    <col min="1" max="1" width="20.7109375" style="9" customWidth="1"/>
    <col min="2" max="2" width="24.28515625" style="17" bestFit="1" customWidth="1"/>
    <col min="3" max="3" width="20.7109375" style="14" customWidth="1"/>
    <col min="4" max="4" width="1.7109375" style="9" customWidth="1"/>
    <col min="5" max="5" width="20.7109375" style="9" customWidth="1"/>
    <col min="6" max="6" width="24.140625" style="17" bestFit="1" customWidth="1"/>
    <col min="7" max="7" width="20.7109375" style="14" customWidth="1"/>
    <col min="8" max="8" width="1.7109375" style="11" customWidth="1"/>
    <col min="9" max="11" width="20.7109375" style="9" customWidth="1"/>
    <col min="12" max="16384" width="11.42578125" style="9"/>
  </cols>
  <sheetData>
    <row r="1" spans="1:11" s="1" customFormat="1" ht="13.5" thickBot="1" x14ac:dyDescent="0.25">
      <c r="B1" s="4"/>
      <c r="C1" s="2"/>
      <c r="F1" s="4"/>
      <c r="G1" s="2"/>
      <c r="H1" s="11"/>
    </row>
    <row r="2" spans="1:11" s="1" customFormat="1" ht="21" customHeight="1" thickBot="1" x14ac:dyDescent="0.25">
      <c r="A2" s="151" t="s">
        <v>9</v>
      </c>
      <c r="B2" s="152"/>
      <c r="C2" s="153"/>
      <c r="E2" s="154" t="s">
        <v>8</v>
      </c>
      <c r="F2" s="155"/>
      <c r="G2" s="156"/>
      <c r="H2" s="35"/>
      <c r="I2" s="145" t="s">
        <v>10</v>
      </c>
      <c r="J2" s="146"/>
      <c r="K2" s="147"/>
    </row>
    <row r="3" spans="1:11" s="1" customFormat="1" ht="15" customHeight="1" thickBot="1" x14ac:dyDescent="0.25">
      <c r="A3" s="3" t="s">
        <v>18</v>
      </c>
      <c r="B3" s="29" t="s">
        <v>19</v>
      </c>
      <c r="C3" s="30" t="s">
        <v>12</v>
      </c>
      <c r="E3" s="3" t="s">
        <v>18</v>
      </c>
      <c r="F3" s="29" t="s">
        <v>19</v>
      </c>
      <c r="G3" s="30" t="s">
        <v>11</v>
      </c>
      <c r="H3" s="36"/>
      <c r="I3" s="148"/>
      <c r="J3" s="149"/>
      <c r="K3" s="150"/>
    </row>
    <row r="4" spans="1:11" ht="14.25" customHeight="1" x14ac:dyDescent="0.2">
      <c r="A4" s="45" t="s">
        <v>135</v>
      </c>
      <c r="B4" s="18">
        <v>8</v>
      </c>
      <c r="C4" s="45">
        <v>6951860</v>
      </c>
      <c r="D4" s="11"/>
      <c r="E4" s="5"/>
      <c r="F4" s="7"/>
      <c r="G4" s="33"/>
      <c r="H4" s="20"/>
      <c r="I4" s="21"/>
      <c r="J4" s="12"/>
      <c r="K4" s="22"/>
    </row>
    <row r="5" spans="1:11" ht="14.25" customHeight="1" x14ac:dyDescent="0.2">
      <c r="A5" s="19"/>
      <c r="B5" s="13"/>
      <c r="C5" s="27"/>
      <c r="D5" s="11"/>
      <c r="E5" s="5"/>
      <c r="F5" s="7"/>
      <c r="G5" s="33"/>
      <c r="H5" s="20"/>
      <c r="I5" s="21"/>
      <c r="J5" s="12"/>
      <c r="K5" s="22"/>
    </row>
    <row r="6" spans="1:11" ht="14.25" customHeight="1" x14ac:dyDescent="0.2">
      <c r="A6" s="19"/>
      <c r="B6" s="13"/>
      <c r="C6" s="27"/>
      <c r="D6" s="11"/>
      <c r="E6" s="5"/>
      <c r="F6" s="7"/>
      <c r="G6" s="33"/>
      <c r="H6" s="20"/>
      <c r="I6" s="21"/>
      <c r="J6" s="12"/>
      <c r="K6" s="22"/>
    </row>
    <row r="7" spans="1:11" ht="14.25" customHeight="1" x14ac:dyDescent="0.2">
      <c r="A7" s="19"/>
      <c r="B7" s="13"/>
      <c r="C7" s="27"/>
      <c r="D7" s="11"/>
      <c r="E7" s="5"/>
      <c r="F7" s="7"/>
      <c r="G7" s="33"/>
      <c r="H7" s="20"/>
      <c r="I7" s="21"/>
      <c r="J7" s="12"/>
      <c r="K7" s="22"/>
    </row>
    <row r="8" spans="1:11" ht="14.25" customHeight="1" x14ac:dyDescent="0.2">
      <c r="A8" s="19"/>
      <c r="B8" s="13"/>
      <c r="C8" s="27"/>
      <c r="D8" s="11"/>
      <c r="E8" s="5"/>
      <c r="F8" s="7"/>
      <c r="G8" s="33"/>
      <c r="H8" s="20"/>
      <c r="I8" s="21"/>
      <c r="J8" s="12"/>
      <c r="K8" s="22"/>
    </row>
    <row r="9" spans="1:11" ht="14.25" customHeight="1" x14ac:dyDescent="0.2">
      <c r="A9" s="19"/>
      <c r="B9" s="13"/>
      <c r="C9" s="27"/>
      <c r="D9" s="11"/>
      <c r="E9" s="5"/>
      <c r="F9" s="7"/>
      <c r="G9" s="33"/>
      <c r="H9" s="20"/>
      <c r="I9" s="21"/>
      <c r="J9" s="12"/>
      <c r="K9" s="22"/>
    </row>
    <row r="10" spans="1:11" ht="14.25" customHeight="1" x14ac:dyDescent="0.2">
      <c r="A10" s="19"/>
      <c r="B10" s="13"/>
      <c r="C10" s="27"/>
      <c r="D10" s="11"/>
      <c r="E10" s="5"/>
      <c r="F10" s="7"/>
      <c r="G10" s="33"/>
      <c r="H10" s="20"/>
      <c r="I10" s="21"/>
      <c r="J10" s="12"/>
      <c r="K10" s="22"/>
    </row>
    <row r="11" spans="1:11" ht="14.25" customHeight="1" x14ac:dyDescent="0.2">
      <c r="A11" s="19"/>
      <c r="B11" s="13"/>
      <c r="C11" s="27"/>
      <c r="D11" s="11"/>
      <c r="E11" s="5"/>
      <c r="F11" s="7"/>
      <c r="G11" s="33"/>
      <c r="H11" s="20"/>
      <c r="I11" s="21"/>
      <c r="J11" s="12"/>
      <c r="K11" s="22"/>
    </row>
    <row r="12" spans="1:11" ht="14.25" customHeight="1" x14ac:dyDescent="0.2">
      <c r="A12" s="19"/>
      <c r="B12" s="13"/>
      <c r="C12" s="27"/>
      <c r="D12" s="11"/>
      <c r="E12" s="5"/>
      <c r="F12" s="7"/>
      <c r="G12" s="33"/>
      <c r="H12" s="20"/>
      <c r="I12" s="21"/>
      <c r="J12" s="12"/>
      <c r="K12" s="22"/>
    </row>
    <row r="13" spans="1:11" ht="14.25" customHeight="1" x14ac:dyDescent="0.2">
      <c r="A13" s="19"/>
      <c r="B13" s="13"/>
      <c r="C13" s="27"/>
      <c r="D13" s="11"/>
      <c r="E13" s="5"/>
      <c r="F13" s="7"/>
      <c r="G13" s="33"/>
      <c r="H13" s="20"/>
      <c r="I13" s="21"/>
      <c r="J13" s="12"/>
      <c r="K13" s="22"/>
    </row>
    <row r="14" spans="1:11" ht="14.25" customHeight="1" x14ac:dyDescent="0.2">
      <c r="A14" s="19"/>
      <c r="B14" s="13"/>
      <c r="C14" s="27"/>
      <c r="D14" s="11"/>
      <c r="E14" s="5"/>
      <c r="F14" s="7"/>
      <c r="G14" s="33"/>
      <c r="H14" s="20"/>
      <c r="I14" s="21"/>
      <c r="J14" s="12"/>
      <c r="K14" s="22"/>
    </row>
    <row r="15" spans="1:11" ht="14.25" customHeight="1" x14ac:dyDescent="0.2">
      <c r="A15" s="19"/>
      <c r="B15" s="13"/>
      <c r="C15" s="27"/>
      <c r="D15" s="11"/>
      <c r="E15" s="5"/>
      <c r="F15" s="7"/>
      <c r="G15" s="33"/>
      <c r="H15" s="20"/>
      <c r="I15" s="21"/>
      <c r="J15" s="12"/>
      <c r="K15" s="22"/>
    </row>
    <row r="16" spans="1:11" ht="14.25" customHeight="1" x14ac:dyDescent="0.2">
      <c r="A16" s="19"/>
      <c r="B16" s="13"/>
      <c r="C16" s="27"/>
      <c r="D16" s="11"/>
      <c r="E16" s="5"/>
      <c r="F16" s="7"/>
      <c r="G16" s="33"/>
      <c r="H16" s="20"/>
      <c r="I16" s="21"/>
      <c r="J16" s="12"/>
      <c r="K16" s="22"/>
    </row>
    <row r="17" spans="1:11" ht="14.25" customHeight="1" x14ac:dyDescent="0.2">
      <c r="A17" s="19"/>
      <c r="B17" s="13"/>
      <c r="C17" s="27"/>
      <c r="D17" s="11"/>
      <c r="E17" s="5"/>
      <c r="F17" s="7"/>
      <c r="G17" s="33"/>
      <c r="H17" s="20"/>
      <c r="I17" s="21"/>
      <c r="J17" s="12"/>
      <c r="K17" s="22"/>
    </row>
    <row r="18" spans="1:11" ht="14.25" customHeight="1" x14ac:dyDescent="0.2">
      <c r="A18" s="19"/>
      <c r="B18" s="13"/>
      <c r="C18" s="27"/>
      <c r="D18" s="11"/>
      <c r="E18" s="5"/>
      <c r="F18" s="7"/>
      <c r="G18" s="33"/>
      <c r="H18" s="20"/>
      <c r="I18" s="21"/>
      <c r="J18" s="12"/>
      <c r="K18" s="22"/>
    </row>
    <row r="19" spans="1:11" ht="14.25" customHeight="1" x14ac:dyDescent="0.2">
      <c r="A19" s="19"/>
      <c r="B19" s="13"/>
      <c r="C19" s="27"/>
      <c r="D19" s="11"/>
      <c r="E19" s="5"/>
      <c r="F19" s="7"/>
      <c r="G19" s="33"/>
      <c r="H19" s="20"/>
      <c r="I19" s="21"/>
      <c r="J19" s="12"/>
      <c r="K19" s="22"/>
    </row>
    <row r="20" spans="1:11" ht="14.25" customHeight="1" x14ac:dyDescent="0.2">
      <c r="A20" s="19"/>
      <c r="B20" s="13"/>
      <c r="C20" s="27"/>
      <c r="D20" s="11"/>
      <c r="E20" s="5"/>
      <c r="F20" s="7"/>
      <c r="G20" s="33"/>
      <c r="H20" s="20"/>
      <c r="I20" s="21"/>
      <c r="J20" s="12"/>
      <c r="K20" s="22"/>
    </row>
    <row r="21" spans="1:11" ht="14.25" customHeight="1" x14ac:dyDescent="0.2">
      <c r="A21" s="19"/>
      <c r="B21" s="13"/>
      <c r="C21" s="27"/>
      <c r="D21" s="11"/>
      <c r="E21" s="5"/>
      <c r="F21" s="7"/>
      <c r="G21" s="33"/>
      <c r="H21" s="20"/>
      <c r="I21" s="21"/>
      <c r="J21" s="12"/>
      <c r="K21" s="22"/>
    </row>
    <row r="22" spans="1:11" ht="14.25" customHeight="1" x14ac:dyDescent="0.2">
      <c r="A22" s="19"/>
      <c r="B22" s="13"/>
      <c r="C22" s="27"/>
      <c r="D22" s="11"/>
      <c r="E22" s="5"/>
      <c r="F22" s="7"/>
      <c r="G22" s="33"/>
      <c r="H22" s="20"/>
      <c r="I22" s="21"/>
      <c r="J22" s="12"/>
      <c r="K22" s="22"/>
    </row>
    <row r="23" spans="1:11" ht="14.25" customHeight="1" x14ac:dyDescent="0.2">
      <c r="A23" s="19"/>
      <c r="B23" s="13"/>
      <c r="C23" s="27"/>
      <c r="D23" s="11"/>
      <c r="E23" s="5"/>
      <c r="F23" s="7"/>
      <c r="G23" s="33"/>
      <c r="H23" s="20"/>
      <c r="I23" s="21"/>
      <c r="J23" s="12"/>
      <c r="K23" s="22"/>
    </row>
    <row r="24" spans="1:11" ht="14.25" customHeight="1" x14ac:dyDescent="0.2">
      <c r="A24" s="19"/>
      <c r="B24" s="13"/>
      <c r="C24" s="27"/>
      <c r="D24" s="11"/>
      <c r="E24" s="5"/>
      <c r="F24" s="7"/>
      <c r="G24" s="33"/>
      <c r="H24" s="20"/>
      <c r="I24" s="21"/>
      <c r="J24" s="12"/>
      <c r="K24" s="22"/>
    </row>
    <row r="25" spans="1:11" ht="14.25" customHeight="1" x14ac:dyDescent="0.2">
      <c r="A25" s="19"/>
      <c r="B25" s="13"/>
      <c r="C25" s="27"/>
      <c r="D25" s="11"/>
      <c r="E25" s="5"/>
      <c r="F25" s="7"/>
      <c r="G25" s="33"/>
      <c r="H25" s="20"/>
      <c r="I25" s="21"/>
      <c r="J25" s="12"/>
      <c r="K25" s="22"/>
    </row>
    <row r="26" spans="1:11" ht="14.25" customHeight="1" x14ac:dyDescent="0.2">
      <c r="A26" s="19"/>
      <c r="B26" s="13"/>
      <c r="C26" s="27"/>
      <c r="D26" s="11"/>
      <c r="E26" s="5"/>
      <c r="F26" s="7"/>
      <c r="G26" s="33"/>
      <c r="H26" s="20"/>
      <c r="I26" s="21"/>
      <c r="J26" s="12"/>
      <c r="K26" s="22"/>
    </row>
    <row r="27" spans="1:11" ht="14.25" customHeight="1" x14ac:dyDescent="0.2">
      <c r="A27" s="19"/>
      <c r="B27" s="13"/>
      <c r="C27" s="27"/>
      <c r="D27" s="11"/>
      <c r="E27" s="5"/>
      <c r="F27" s="7"/>
      <c r="G27" s="33"/>
      <c r="H27" s="20"/>
      <c r="I27" s="21"/>
      <c r="J27" s="12"/>
      <c r="K27" s="22"/>
    </row>
    <row r="28" spans="1:11" ht="14.25" customHeight="1" x14ac:dyDescent="0.2">
      <c r="A28" s="19"/>
      <c r="B28" s="13"/>
      <c r="C28" s="27"/>
      <c r="D28" s="11"/>
      <c r="E28" s="5"/>
      <c r="F28" s="7"/>
      <c r="G28" s="33"/>
      <c r="H28" s="20"/>
      <c r="I28" s="21"/>
      <c r="J28" s="12"/>
      <c r="K28" s="22"/>
    </row>
    <row r="29" spans="1:11" ht="14.25" customHeight="1" x14ac:dyDescent="0.2">
      <c r="A29" s="19"/>
      <c r="B29" s="13"/>
      <c r="C29" s="27"/>
      <c r="D29" s="11"/>
      <c r="E29" s="5"/>
      <c r="F29" s="7"/>
      <c r="G29" s="33"/>
      <c r="H29" s="20"/>
      <c r="I29" s="21"/>
      <c r="J29" s="12"/>
      <c r="K29" s="22"/>
    </row>
    <row r="30" spans="1:11" ht="14.25" customHeight="1" x14ac:dyDescent="0.2">
      <c r="A30" s="19"/>
      <c r="B30" s="13"/>
      <c r="C30" s="27"/>
      <c r="D30" s="11"/>
      <c r="E30" s="5"/>
      <c r="F30" s="7"/>
      <c r="G30" s="33"/>
      <c r="H30" s="20"/>
      <c r="I30" s="21"/>
      <c r="J30" s="12"/>
      <c r="K30" s="22"/>
    </row>
    <row r="31" spans="1:11" ht="14.25" customHeight="1" x14ac:dyDescent="0.2">
      <c r="A31" s="19"/>
      <c r="B31" s="13"/>
      <c r="C31" s="27"/>
      <c r="D31" s="11"/>
      <c r="E31" s="5"/>
      <c r="F31" s="7"/>
      <c r="G31" s="33"/>
      <c r="H31" s="20"/>
      <c r="I31" s="21"/>
      <c r="J31" s="12"/>
      <c r="K31" s="22"/>
    </row>
    <row r="32" spans="1:11" ht="14.25" customHeight="1" x14ac:dyDescent="0.2">
      <c r="A32" s="19"/>
      <c r="B32" s="13"/>
      <c r="C32" s="27"/>
      <c r="D32" s="11"/>
      <c r="E32" s="5"/>
      <c r="F32" s="7"/>
      <c r="G32" s="33"/>
      <c r="H32" s="20"/>
      <c r="I32" s="21"/>
      <c r="J32" s="12"/>
      <c r="K32" s="22"/>
    </row>
    <row r="33" spans="1:11" ht="14.25" customHeight="1" x14ac:dyDescent="0.2">
      <c r="A33" s="19"/>
      <c r="B33" s="13"/>
      <c r="C33" s="27"/>
      <c r="D33" s="11"/>
      <c r="E33" s="5"/>
      <c r="F33" s="7"/>
      <c r="G33" s="33"/>
      <c r="H33" s="20"/>
      <c r="I33" s="21"/>
      <c r="J33" s="12"/>
      <c r="K33" s="22"/>
    </row>
    <row r="34" spans="1:11" ht="14.25" customHeight="1" x14ac:dyDescent="0.2">
      <c r="A34" s="19"/>
      <c r="B34" s="13"/>
      <c r="C34" s="27"/>
      <c r="D34" s="11"/>
      <c r="E34" s="5"/>
      <c r="F34" s="7"/>
      <c r="G34" s="33"/>
      <c r="H34" s="20"/>
      <c r="I34" s="21"/>
      <c r="J34" s="12"/>
      <c r="K34" s="22"/>
    </row>
    <row r="35" spans="1:11" ht="14.25" customHeight="1" x14ac:dyDescent="0.2">
      <c r="A35" s="19"/>
      <c r="B35" s="13"/>
      <c r="C35" s="27"/>
      <c r="D35" s="11"/>
      <c r="E35" s="5"/>
      <c r="F35" s="7"/>
      <c r="G35" s="33"/>
      <c r="H35" s="20"/>
      <c r="I35" s="21"/>
      <c r="J35" s="12"/>
      <c r="K35" s="22"/>
    </row>
    <row r="36" spans="1:11" ht="14.25" customHeight="1" x14ac:dyDescent="0.2">
      <c r="A36" s="19"/>
      <c r="B36" s="13"/>
      <c r="C36" s="27"/>
      <c r="D36" s="11"/>
      <c r="E36" s="5"/>
      <c r="F36" s="7"/>
      <c r="G36" s="33"/>
      <c r="H36" s="20"/>
      <c r="I36" s="21"/>
      <c r="J36" s="12"/>
      <c r="K36" s="22"/>
    </row>
    <row r="37" spans="1:11" ht="14.25" customHeight="1" x14ac:dyDescent="0.2">
      <c r="A37" s="19"/>
      <c r="B37" s="13"/>
      <c r="C37" s="27"/>
      <c r="D37" s="11"/>
      <c r="E37" s="5"/>
      <c r="F37" s="7"/>
      <c r="G37" s="33"/>
      <c r="H37" s="20"/>
      <c r="I37" s="21"/>
      <c r="J37" s="12"/>
      <c r="K37" s="22"/>
    </row>
    <row r="38" spans="1:11" ht="14.25" customHeight="1" x14ac:dyDescent="0.2">
      <c r="A38" s="19"/>
      <c r="B38" s="13"/>
      <c r="C38" s="27"/>
      <c r="D38" s="11"/>
      <c r="E38" s="5"/>
      <c r="F38" s="7"/>
      <c r="G38" s="33"/>
      <c r="H38" s="20"/>
      <c r="I38" s="21"/>
      <c r="J38" s="12"/>
      <c r="K38" s="22"/>
    </row>
    <row r="39" spans="1:11" ht="14.25" customHeight="1" x14ac:dyDescent="0.2">
      <c r="A39" s="19"/>
      <c r="B39" s="13"/>
      <c r="C39" s="27"/>
      <c r="D39" s="11"/>
      <c r="E39" s="5"/>
      <c r="F39" s="7"/>
      <c r="G39" s="33"/>
      <c r="H39" s="20"/>
      <c r="I39" s="21"/>
      <c r="J39" s="12"/>
      <c r="K39" s="22"/>
    </row>
    <row r="40" spans="1:11" ht="14.25" customHeight="1" x14ac:dyDescent="0.2">
      <c r="A40" s="19"/>
      <c r="B40" s="13"/>
      <c r="C40" s="27"/>
      <c r="D40" s="11"/>
      <c r="E40" s="5"/>
      <c r="F40" s="7"/>
      <c r="G40" s="33"/>
      <c r="H40" s="20"/>
      <c r="I40" s="21"/>
      <c r="J40" s="12"/>
      <c r="K40" s="22"/>
    </row>
    <row r="41" spans="1:11" ht="14.25" customHeight="1" x14ac:dyDescent="0.2">
      <c r="A41" s="19"/>
      <c r="B41" s="13"/>
      <c r="C41" s="27"/>
      <c r="D41" s="11"/>
      <c r="E41" s="5"/>
      <c r="F41" s="7"/>
      <c r="G41" s="33"/>
      <c r="H41" s="20"/>
      <c r="I41" s="21"/>
      <c r="J41" s="12"/>
      <c r="K41" s="22"/>
    </row>
    <row r="42" spans="1:11" ht="14.25" customHeight="1" x14ac:dyDescent="0.2">
      <c r="A42" s="19"/>
      <c r="B42" s="13"/>
      <c r="C42" s="27"/>
      <c r="D42" s="11"/>
      <c r="E42" s="5"/>
      <c r="F42" s="7"/>
      <c r="G42" s="33"/>
      <c r="H42" s="20"/>
      <c r="I42" s="21"/>
      <c r="J42" s="12"/>
      <c r="K42" s="22"/>
    </row>
    <row r="43" spans="1:11" ht="14.25" customHeight="1" x14ac:dyDescent="0.2">
      <c r="A43" s="19"/>
      <c r="B43" s="13"/>
      <c r="C43" s="27"/>
      <c r="D43" s="11"/>
      <c r="E43" s="5"/>
      <c r="F43" s="7"/>
      <c r="G43" s="33"/>
      <c r="H43" s="20"/>
      <c r="I43" s="21"/>
      <c r="J43" s="12"/>
      <c r="K43" s="22"/>
    </row>
    <row r="44" spans="1:11" ht="14.25" customHeight="1" x14ac:dyDescent="0.2">
      <c r="A44" s="19"/>
      <c r="B44" s="13"/>
      <c r="C44" s="27"/>
      <c r="D44" s="11"/>
      <c r="E44" s="5"/>
      <c r="F44" s="7"/>
      <c r="G44" s="33"/>
      <c r="H44" s="20"/>
      <c r="I44" s="21"/>
      <c r="J44" s="12"/>
      <c r="K44" s="22"/>
    </row>
    <row r="45" spans="1:11" ht="14.25" customHeight="1" x14ac:dyDescent="0.2">
      <c r="A45" s="19"/>
      <c r="B45" s="13"/>
      <c r="C45" s="27"/>
      <c r="D45" s="11"/>
      <c r="E45" s="5"/>
      <c r="F45" s="7"/>
      <c r="G45" s="33"/>
      <c r="H45" s="20"/>
      <c r="I45" s="21"/>
      <c r="J45" s="12"/>
      <c r="K45" s="22"/>
    </row>
    <row r="46" spans="1:11" ht="14.25" customHeight="1" x14ac:dyDescent="0.2">
      <c r="A46" s="19"/>
      <c r="B46" s="13"/>
      <c r="C46" s="27"/>
      <c r="D46" s="11"/>
      <c r="E46" s="5"/>
      <c r="F46" s="7"/>
      <c r="G46" s="33"/>
      <c r="H46" s="20"/>
      <c r="I46" s="21"/>
      <c r="J46" s="12"/>
      <c r="K46" s="22"/>
    </row>
    <row r="47" spans="1:11" ht="14.25" customHeight="1" x14ac:dyDescent="0.2">
      <c r="A47" s="19"/>
      <c r="B47" s="13"/>
      <c r="C47" s="27"/>
      <c r="D47" s="11"/>
      <c r="E47" s="5"/>
      <c r="F47" s="7"/>
      <c r="G47" s="33"/>
      <c r="H47" s="20"/>
      <c r="I47" s="21"/>
      <c r="J47" s="12"/>
      <c r="K47" s="22"/>
    </row>
    <row r="48" spans="1:11" ht="14.25" customHeight="1" x14ac:dyDescent="0.2">
      <c r="A48" s="19"/>
      <c r="B48" s="13"/>
      <c r="C48" s="27"/>
      <c r="D48" s="11"/>
      <c r="E48" s="5"/>
      <c r="F48" s="7"/>
      <c r="G48" s="33"/>
      <c r="H48" s="20"/>
      <c r="I48" s="21"/>
      <c r="J48" s="12"/>
      <c r="K48" s="22"/>
    </row>
    <row r="49" spans="1:11" ht="14.25" customHeight="1" x14ac:dyDescent="0.2">
      <c r="A49" s="19"/>
      <c r="B49" s="13"/>
      <c r="C49" s="27"/>
      <c r="D49" s="11"/>
      <c r="E49" s="5"/>
      <c r="F49" s="7"/>
      <c r="G49" s="33"/>
      <c r="H49" s="20"/>
      <c r="I49" s="21"/>
      <c r="J49" s="12"/>
      <c r="K49" s="22"/>
    </row>
    <row r="50" spans="1:11" ht="14.25" customHeight="1" x14ac:dyDescent="0.2">
      <c r="A50" s="19"/>
      <c r="B50" s="13"/>
      <c r="C50" s="27"/>
      <c r="D50" s="11"/>
      <c r="E50" s="5"/>
      <c r="F50" s="7"/>
      <c r="G50" s="33"/>
      <c r="H50" s="20"/>
      <c r="I50" s="21"/>
      <c r="J50" s="12"/>
      <c r="K50" s="22"/>
    </row>
    <row r="51" spans="1:11" ht="14.25" customHeight="1" x14ac:dyDescent="0.2">
      <c r="A51" s="19"/>
      <c r="B51" s="13"/>
      <c r="C51" s="27"/>
      <c r="D51" s="11"/>
      <c r="E51" s="5"/>
      <c r="F51" s="7"/>
      <c r="G51" s="33"/>
      <c r="H51" s="20"/>
      <c r="I51" s="21"/>
      <c r="J51" s="12"/>
      <c r="K51" s="22"/>
    </row>
    <row r="52" spans="1:11" ht="14.25" customHeight="1" x14ac:dyDescent="0.2">
      <c r="A52" s="19"/>
      <c r="B52" s="13"/>
      <c r="C52" s="27"/>
      <c r="D52" s="11"/>
      <c r="E52" s="5"/>
      <c r="F52" s="7"/>
      <c r="G52" s="33"/>
      <c r="H52" s="20"/>
      <c r="I52" s="21"/>
      <c r="J52" s="12"/>
      <c r="K52" s="22"/>
    </row>
    <row r="53" spans="1:11" ht="14.25" customHeight="1" x14ac:dyDescent="0.2">
      <c r="A53" s="19"/>
      <c r="B53" s="13"/>
      <c r="C53" s="27"/>
      <c r="D53" s="11"/>
      <c r="E53" s="5"/>
      <c r="F53" s="7"/>
      <c r="G53" s="33"/>
      <c r="H53" s="20"/>
      <c r="I53" s="21"/>
      <c r="J53" s="12"/>
      <c r="K53" s="22"/>
    </row>
    <row r="54" spans="1:11" ht="14.25" customHeight="1" x14ac:dyDescent="0.2">
      <c r="A54" s="19"/>
      <c r="B54" s="13"/>
      <c r="C54" s="27"/>
      <c r="D54" s="11"/>
      <c r="E54" s="5"/>
      <c r="F54" s="7"/>
      <c r="G54" s="33"/>
      <c r="H54" s="20"/>
      <c r="I54" s="21"/>
      <c r="J54" s="12"/>
      <c r="K54" s="22"/>
    </row>
    <row r="55" spans="1:11" ht="14.25" customHeight="1" x14ac:dyDescent="0.2">
      <c r="A55" s="19"/>
      <c r="B55" s="13"/>
      <c r="C55" s="27"/>
      <c r="D55" s="11"/>
      <c r="E55" s="5"/>
      <c r="F55" s="7"/>
      <c r="G55" s="33"/>
      <c r="H55" s="20"/>
      <c r="I55" s="21"/>
      <c r="J55" s="12"/>
      <c r="K55" s="22"/>
    </row>
    <row r="56" spans="1:11" ht="14.25" customHeight="1" x14ac:dyDescent="0.2">
      <c r="A56" s="19"/>
      <c r="B56" s="13"/>
      <c r="C56" s="27"/>
      <c r="D56" s="11"/>
      <c r="E56" s="5"/>
      <c r="F56" s="7"/>
      <c r="G56" s="33"/>
      <c r="H56" s="20"/>
      <c r="I56" s="21"/>
      <c r="J56" s="12"/>
      <c r="K56" s="22"/>
    </row>
    <row r="57" spans="1:11" ht="14.25" customHeight="1" x14ac:dyDescent="0.2">
      <c r="A57" s="19"/>
      <c r="B57" s="13"/>
      <c r="C57" s="27"/>
      <c r="D57" s="11"/>
      <c r="E57" s="5"/>
      <c r="F57" s="7"/>
      <c r="G57" s="33"/>
      <c r="H57" s="20"/>
      <c r="I57" s="21"/>
      <c r="J57" s="12"/>
      <c r="K57" s="22"/>
    </row>
    <row r="58" spans="1:11" ht="14.25" customHeight="1" x14ac:dyDescent="0.2">
      <c r="A58" s="19"/>
      <c r="B58" s="13"/>
      <c r="C58" s="27"/>
      <c r="D58" s="11"/>
      <c r="E58" s="5"/>
      <c r="F58" s="7"/>
      <c r="G58" s="33"/>
      <c r="H58" s="20"/>
      <c r="I58" s="21"/>
      <c r="J58" s="12"/>
      <c r="K58" s="22"/>
    </row>
    <row r="59" spans="1:11" ht="14.25" customHeight="1" x14ac:dyDescent="0.2">
      <c r="A59" s="19"/>
      <c r="B59" s="13"/>
      <c r="C59" s="27"/>
      <c r="D59" s="11"/>
      <c r="E59" s="5"/>
      <c r="F59" s="7"/>
      <c r="G59" s="33"/>
      <c r="H59" s="20"/>
      <c r="I59" s="21"/>
      <c r="J59" s="12"/>
      <c r="K59" s="22"/>
    </row>
    <row r="60" spans="1:11" ht="14.25" customHeight="1" x14ac:dyDescent="0.2">
      <c r="A60" s="19"/>
      <c r="B60" s="13"/>
      <c r="C60" s="27"/>
      <c r="D60" s="11"/>
      <c r="E60" s="5"/>
      <c r="F60" s="7"/>
      <c r="G60" s="33"/>
      <c r="H60" s="20"/>
      <c r="I60" s="21"/>
      <c r="J60" s="12"/>
      <c r="K60" s="22"/>
    </row>
    <row r="61" spans="1:11" ht="14.25" customHeight="1" x14ac:dyDescent="0.2">
      <c r="A61" s="19"/>
      <c r="B61" s="13"/>
      <c r="C61" s="27"/>
      <c r="D61" s="11"/>
      <c r="E61" s="5"/>
      <c r="F61" s="7"/>
      <c r="G61" s="33"/>
      <c r="H61" s="20"/>
      <c r="I61" s="21"/>
      <c r="J61" s="12"/>
      <c r="K61" s="22"/>
    </row>
    <row r="62" spans="1:11" ht="14.25" customHeight="1" x14ac:dyDescent="0.2">
      <c r="A62" s="19"/>
      <c r="B62" s="13"/>
      <c r="C62" s="27"/>
      <c r="D62" s="11"/>
      <c r="E62" s="5"/>
      <c r="F62" s="7"/>
      <c r="G62" s="33"/>
      <c r="H62" s="20"/>
      <c r="I62" s="21"/>
      <c r="J62" s="12"/>
      <c r="K62" s="22"/>
    </row>
    <row r="63" spans="1:11" ht="14.25" customHeight="1" x14ac:dyDescent="0.2">
      <c r="A63" s="19"/>
      <c r="B63" s="13"/>
      <c r="C63" s="27"/>
      <c r="D63" s="11"/>
      <c r="E63" s="5"/>
      <c r="F63" s="7"/>
      <c r="G63" s="33"/>
      <c r="H63" s="20"/>
      <c r="I63" s="21"/>
      <c r="J63" s="12"/>
      <c r="K63" s="22"/>
    </row>
    <row r="64" spans="1:11" ht="14.25" customHeight="1" x14ac:dyDescent="0.2">
      <c r="A64" s="19"/>
      <c r="B64" s="13"/>
      <c r="C64" s="27"/>
      <c r="D64" s="11"/>
      <c r="E64" s="5"/>
      <c r="F64" s="7"/>
      <c r="G64" s="33"/>
      <c r="H64" s="20"/>
      <c r="I64" s="21"/>
      <c r="J64" s="12"/>
      <c r="K64" s="22"/>
    </row>
    <row r="65" spans="1:11" ht="14.25" customHeight="1" x14ac:dyDescent="0.2">
      <c r="A65" s="19"/>
      <c r="B65" s="13"/>
      <c r="C65" s="27"/>
      <c r="D65" s="11"/>
      <c r="E65" s="5"/>
      <c r="F65" s="7"/>
      <c r="G65" s="33"/>
      <c r="H65" s="20"/>
      <c r="I65" s="21"/>
      <c r="J65" s="12"/>
      <c r="K65" s="22"/>
    </row>
    <row r="66" spans="1:11" ht="14.25" customHeight="1" x14ac:dyDescent="0.2">
      <c r="A66" s="19"/>
      <c r="B66" s="13"/>
      <c r="C66" s="27"/>
      <c r="D66" s="11"/>
      <c r="E66" s="5"/>
      <c r="F66" s="7"/>
      <c r="G66" s="33"/>
      <c r="H66" s="20"/>
      <c r="I66" s="21"/>
      <c r="J66" s="12"/>
      <c r="K66" s="22"/>
    </row>
    <row r="67" spans="1:11" ht="14.25" customHeight="1" x14ac:dyDescent="0.2">
      <c r="A67" s="19"/>
      <c r="B67" s="13"/>
      <c r="C67" s="27"/>
      <c r="D67" s="11"/>
      <c r="E67" s="5"/>
      <c r="F67" s="7"/>
      <c r="G67" s="33"/>
      <c r="H67" s="20"/>
      <c r="I67" s="21"/>
      <c r="J67" s="12"/>
      <c r="K67" s="22"/>
    </row>
    <row r="68" spans="1:11" ht="14.25" customHeight="1" x14ac:dyDescent="0.2">
      <c r="A68" s="19"/>
      <c r="B68" s="13"/>
      <c r="C68" s="27"/>
      <c r="D68" s="11"/>
      <c r="E68" s="5"/>
      <c r="F68" s="7"/>
      <c r="G68" s="33"/>
      <c r="H68" s="20"/>
      <c r="I68" s="21"/>
      <c r="J68" s="12"/>
      <c r="K68" s="22"/>
    </row>
    <row r="69" spans="1:11" ht="14.25" customHeight="1" x14ac:dyDescent="0.2">
      <c r="A69" s="19"/>
      <c r="B69" s="13"/>
      <c r="C69" s="27"/>
      <c r="D69" s="11"/>
      <c r="E69" s="5"/>
      <c r="F69" s="7"/>
      <c r="G69" s="33"/>
      <c r="H69" s="20"/>
      <c r="I69" s="21"/>
      <c r="J69" s="12"/>
      <c r="K69" s="22"/>
    </row>
    <row r="70" spans="1:11" ht="14.25" customHeight="1" x14ac:dyDescent="0.2">
      <c r="A70" s="19"/>
      <c r="B70" s="13"/>
      <c r="C70" s="27"/>
      <c r="D70" s="11"/>
      <c r="E70" s="5"/>
      <c r="F70" s="7"/>
      <c r="G70" s="33"/>
      <c r="H70" s="20"/>
      <c r="I70" s="21"/>
      <c r="J70" s="12"/>
      <c r="K70" s="22"/>
    </row>
    <row r="71" spans="1:11" ht="14.25" customHeight="1" x14ac:dyDescent="0.2">
      <c r="A71" s="19"/>
      <c r="B71" s="13"/>
      <c r="C71" s="27"/>
      <c r="D71" s="11"/>
      <c r="E71" s="5"/>
      <c r="F71" s="7"/>
      <c r="G71" s="33"/>
      <c r="H71" s="20"/>
      <c r="I71" s="21"/>
      <c r="J71" s="12"/>
      <c r="K71" s="22"/>
    </row>
    <row r="72" spans="1:11" ht="14.25" customHeight="1" x14ac:dyDescent="0.2">
      <c r="A72" s="19"/>
      <c r="B72" s="13"/>
      <c r="C72" s="27"/>
      <c r="D72" s="11"/>
      <c r="E72" s="5"/>
      <c r="F72" s="7"/>
      <c r="G72" s="33"/>
      <c r="H72" s="20"/>
      <c r="I72" s="21"/>
      <c r="J72" s="12"/>
      <c r="K72" s="22"/>
    </row>
    <row r="73" spans="1:11" ht="14.25" customHeight="1" x14ac:dyDescent="0.2">
      <c r="A73" s="19"/>
      <c r="B73" s="13"/>
      <c r="C73" s="27"/>
      <c r="D73" s="11"/>
      <c r="E73" s="5"/>
      <c r="F73" s="7"/>
      <c r="G73" s="33"/>
      <c r="H73" s="20"/>
      <c r="I73" s="21"/>
      <c r="J73" s="12"/>
      <c r="K73" s="22"/>
    </row>
    <row r="74" spans="1:11" ht="14.25" customHeight="1" x14ac:dyDescent="0.2">
      <c r="A74" s="19"/>
      <c r="B74" s="13"/>
      <c r="C74" s="27"/>
      <c r="D74" s="11"/>
      <c r="E74" s="5"/>
      <c r="F74" s="7"/>
      <c r="G74" s="33"/>
      <c r="H74" s="20"/>
      <c r="I74" s="21"/>
      <c r="J74" s="12"/>
      <c r="K74" s="22"/>
    </row>
    <row r="75" spans="1:11" ht="14.25" customHeight="1" x14ac:dyDescent="0.2">
      <c r="A75" s="19"/>
      <c r="B75" s="13"/>
      <c r="C75" s="27"/>
      <c r="D75" s="11"/>
      <c r="E75" s="5"/>
      <c r="F75" s="7"/>
      <c r="G75" s="33"/>
      <c r="H75" s="20"/>
      <c r="I75" s="21"/>
      <c r="J75" s="12"/>
      <c r="K75" s="22"/>
    </row>
    <row r="76" spans="1:11" ht="14.25" customHeight="1" x14ac:dyDescent="0.2">
      <c r="A76" s="19"/>
      <c r="B76" s="13"/>
      <c r="C76" s="27"/>
      <c r="D76" s="11"/>
      <c r="E76" s="5"/>
      <c r="F76" s="7"/>
      <c r="G76" s="33"/>
      <c r="H76" s="20"/>
      <c r="I76" s="21"/>
      <c r="J76" s="12"/>
      <c r="K76" s="22"/>
    </row>
    <row r="77" spans="1:11" ht="14.25" customHeight="1" x14ac:dyDescent="0.2">
      <c r="A77" s="19"/>
      <c r="B77" s="13"/>
      <c r="C77" s="27"/>
      <c r="D77" s="11"/>
      <c r="E77" s="5"/>
      <c r="F77" s="7"/>
      <c r="G77" s="33"/>
      <c r="H77" s="20"/>
      <c r="I77" s="21"/>
      <c r="J77" s="12"/>
      <c r="K77" s="22"/>
    </row>
    <row r="78" spans="1:11" ht="14.25" customHeight="1" x14ac:dyDescent="0.2">
      <c r="A78" s="19"/>
      <c r="B78" s="13"/>
      <c r="C78" s="27"/>
      <c r="D78" s="11"/>
      <c r="E78" s="5"/>
      <c r="F78" s="7"/>
      <c r="G78" s="33"/>
      <c r="H78" s="20"/>
      <c r="I78" s="21"/>
      <c r="J78" s="12"/>
      <c r="K78" s="22"/>
    </row>
    <row r="79" spans="1:11" ht="14.25" customHeight="1" x14ac:dyDescent="0.2">
      <c r="A79" s="19"/>
      <c r="B79" s="13"/>
      <c r="C79" s="27"/>
      <c r="D79" s="11"/>
      <c r="E79" s="5"/>
      <c r="F79" s="7"/>
      <c r="G79" s="33"/>
      <c r="H79" s="20"/>
      <c r="I79" s="21"/>
      <c r="J79" s="12"/>
      <c r="K79" s="22"/>
    </row>
    <row r="80" spans="1:11" ht="14.25" customHeight="1" x14ac:dyDescent="0.2">
      <c r="A80" s="19"/>
      <c r="B80" s="13"/>
      <c r="C80" s="27"/>
      <c r="D80" s="11"/>
      <c r="E80" s="5"/>
      <c r="F80" s="7"/>
      <c r="G80" s="33"/>
      <c r="H80" s="20"/>
      <c r="I80" s="21"/>
      <c r="J80" s="12"/>
      <c r="K80" s="22"/>
    </row>
    <row r="81" spans="1:11" ht="14.25" customHeight="1" x14ac:dyDescent="0.2">
      <c r="A81" s="19"/>
      <c r="B81" s="13"/>
      <c r="C81" s="27"/>
      <c r="D81" s="11"/>
      <c r="E81" s="5"/>
      <c r="F81" s="7"/>
      <c r="G81" s="33"/>
      <c r="H81" s="20"/>
      <c r="I81" s="21"/>
      <c r="J81" s="12"/>
      <c r="K81" s="22"/>
    </row>
    <row r="82" spans="1:11" ht="14.25" customHeight="1" x14ac:dyDescent="0.2">
      <c r="A82" s="19"/>
      <c r="B82" s="13"/>
      <c r="C82" s="27"/>
      <c r="D82" s="11"/>
      <c r="E82" s="5"/>
      <c r="F82" s="7"/>
      <c r="G82" s="33"/>
      <c r="H82" s="20"/>
      <c r="I82" s="21"/>
      <c r="J82" s="12"/>
      <c r="K82" s="22"/>
    </row>
    <row r="83" spans="1:11" ht="14.25" customHeight="1" x14ac:dyDescent="0.2">
      <c r="A83" s="19"/>
      <c r="B83" s="13"/>
      <c r="C83" s="27"/>
      <c r="D83" s="11"/>
      <c r="E83" s="5"/>
      <c r="F83" s="7"/>
      <c r="G83" s="33"/>
      <c r="H83" s="20"/>
      <c r="I83" s="21"/>
      <c r="J83" s="12"/>
      <c r="K83" s="22"/>
    </row>
    <row r="84" spans="1:11" ht="14.25" customHeight="1" x14ac:dyDescent="0.2">
      <c r="A84" s="19"/>
      <c r="B84" s="13"/>
      <c r="C84" s="27"/>
      <c r="D84" s="11"/>
      <c r="E84" s="5"/>
      <c r="F84" s="7"/>
      <c r="G84" s="33"/>
      <c r="H84" s="20"/>
      <c r="I84" s="21"/>
      <c r="J84" s="12"/>
      <c r="K84" s="22"/>
    </row>
    <row r="85" spans="1:11" ht="14.25" customHeight="1" x14ac:dyDescent="0.2">
      <c r="A85" s="19"/>
      <c r="B85" s="13"/>
      <c r="C85" s="27"/>
      <c r="D85" s="11"/>
      <c r="E85" s="5"/>
      <c r="F85" s="7"/>
      <c r="G85" s="33"/>
      <c r="H85" s="20"/>
      <c r="I85" s="21"/>
      <c r="J85" s="12"/>
      <c r="K85" s="22"/>
    </row>
    <row r="86" spans="1:11" ht="14.25" customHeight="1" x14ac:dyDescent="0.2">
      <c r="A86" s="19"/>
      <c r="B86" s="13"/>
      <c r="C86" s="27"/>
      <c r="D86" s="11"/>
      <c r="E86" s="5"/>
      <c r="F86" s="7"/>
      <c r="G86" s="33"/>
      <c r="H86" s="20"/>
      <c r="I86" s="21"/>
      <c r="J86" s="12"/>
      <c r="K86" s="22"/>
    </row>
    <row r="87" spans="1:11" ht="14.25" customHeight="1" x14ac:dyDescent="0.2">
      <c r="A87" s="19"/>
      <c r="B87" s="13"/>
      <c r="C87" s="27"/>
      <c r="D87" s="11"/>
      <c r="E87" s="5"/>
      <c r="F87" s="7"/>
      <c r="G87" s="33"/>
      <c r="H87" s="20"/>
      <c r="I87" s="21"/>
      <c r="J87" s="12"/>
      <c r="K87" s="22"/>
    </row>
    <row r="88" spans="1:11" ht="14.25" customHeight="1" x14ac:dyDescent="0.2">
      <c r="A88" s="19"/>
      <c r="B88" s="13"/>
      <c r="C88" s="27"/>
      <c r="D88" s="11"/>
      <c r="E88" s="5"/>
      <c r="F88" s="7"/>
      <c r="G88" s="33"/>
      <c r="H88" s="20"/>
      <c r="I88" s="21"/>
      <c r="J88" s="12"/>
      <c r="K88" s="22"/>
    </row>
    <row r="89" spans="1:11" ht="14.25" customHeight="1" x14ac:dyDescent="0.2">
      <c r="A89" s="19"/>
      <c r="B89" s="13"/>
      <c r="C89" s="27"/>
      <c r="D89" s="11"/>
      <c r="E89" s="5"/>
      <c r="F89" s="7"/>
      <c r="G89" s="33"/>
      <c r="H89" s="20"/>
      <c r="I89" s="21"/>
      <c r="J89" s="12"/>
      <c r="K89" s="22"/>
    </row>
    <row r="90" spans="1:11" ht="14.25" customHeight="1" x14ac:dyDescent="0.2">
      <c r="A90" s="19"/>
      <c r="B90" s="13"/>
      <c r="C90" s="27"/>
      <c r="D90" s="11"/>
      <c r="E90" s="5"/>
      <c r="F90" s="7"/>
      <c r="G90" s="33"/>
      <c r="H90" s="20"/>
      <c r="I90" s="21"/>
      <c r="J90" s="12"/>
      <c r="K90" s="22"/>
    </row>
    <row r="91" spans="1:11" ht="14.25" customHeight="1" x14ac:dyDescent="0.2">
      <c r="A91" s="19"/>
      <c r="B91" s="13"/>
      <c r="C91" s="27"/>
      <c r="D91" s="11"/>
      <c r="E91" s="5"/>
      <c r="F91" s="7"/>
      <c r="G91" s="33"/>
      <c r="H91" s="20"/>
      <c r="I91" s="21"/>
      <c r="J91" s="12"/>
      <c r="K91" s="22"/>
    </row>
    <row r="92" spans="1:11" ht="14.25" customHeight="1" x14ac:dyDescent="0.2">
      <c r="A92" s="19"/>
      <c r="B92" s="13"/>
      <c r="C92" s="27"/>
      <c r="D92" s="11"/>
      <c r="E92" s="5"/>
      <c r="F92" s="7"/>
      <c r="G92" s="33"/>
      <c r="H92" s="20"/>
      <c r="I92" s="21"/>
      <c r="J92" s="12"/>
      <c r="K92" s="22"/>
    </row>
    <row r="93" spans="1:11" ht="14.25" customHeight="1" x14ac:dyDescent="0.2">
      <c r="A93" s="19"/>
      <c r="B93" s="13"/>
      <c r="C93" s="27"/>
      <c r="D93" s="11"/>
      <c r="E93" s="5"/>
      <c r="F93" s="7"/>
      <c r="G93" s="33"/>
      <c r="H93" s="20"/>
      <c r="I93" s="21"/>
      <c r="J93" s="12"/>
      <c r="K93" s="22"/>
    </row>
    <row r="94" spans="1:11" ht="14.25" customHeight="1" x14ac:dyDescent="0.2">
      <c r="A94" s="19"/>
      <c r="B94" s="13"/>
      <c r="C94" s="27"/>
      <c r="D94" s="11"/>
      <c r="E94" s="5"/>
      <c r="F94" s="7"/>
      <c r="G94" s="33"/>
      <c r="H94" s="20"/>
      <c r="I94" s="21"/>
      <c r="J94" s="12"/>
      <c r="K94" s="22"/>
    </row>
    <row r="95" spans="1:11" ht="14.25" customHeight="1" x14ac:dyDescent="0.2">
      <c r="A95" s="19"/>
      <c r="B95" s="13"/>
      <c r="C95" s="27"/>
      <c r="D95" s="11"/>
      <c r="E95" s="5"/>
      <c r="F95" s="7"/>
      <c r="G95" s="33"/>
      <c r="H95" s="20"/>
      <c r="I95" s="21"/>
      <c r="J95" s="12"/>
      <c r="K95" s="22"/>
    </row>
    <row r="96" spans="1:11" ht="14.25" customHeight="1" x14ac:dyDescent="0.2">
      <c r="A96" s="19"/>
      <c r="B96" s="13"/>
      <c r="C96" s="27"/>
      <c r="D96" s="11"/>
      <c r="E96" s="5"/>
      <c r="F96" s="7"/>
      <c r="G96" s="33"/>
      <c r="H96" s="20"/>
      <c r="I96" s="21"/>
      <c r="J96" s="12"/>
      <c r="K96" s="22"/>
    </row>
    <row r="97" spans="1:11" ht="14.25" customHeight="1" x14ac:dyDescent="0.2">
      <c r="A97" s="19"/>
      <c r="B97" s="13"/>
      <c r="C97" s="27"/>
      <c r="D97" s="11"/>
      <c r="E97" s="5"/>
      <c r="F97" s="7"/>
      <c r="G97" s="33"/>
      <c r="H97" s="20"/>
      <c r="I97" s="21"/>
      <c r="J97" s="12"/>
      <c r="K97" s="22"/>
    </row>
    <row r="98" spans="1:11" ht="14.25" customHeight="1" x14ac:dyDescent="0.2">
      <c r="A98" s="19"/>
      <c r="B98" s="13"/>
      <c r="C98" s="27"/>
      <c r="D98" s="11"/>
      <c r="E98" s="5"/>
      <c r="F98" s="7"/>
      <c r="G98" s="33"/>
      <c r="H98" s="20"/>
      <c r="I98" s="21"/>
      <c r="J98" s="12"/>
      <c r="K98" s="22"/>
    </row>
    <row r="99" spans="1:11" ht="14.25" customHeight="1" x14ac:dyDescent="0.2">
      <c r="A99" s="19"/>
      <c r="B99" s="13"/>
      <c r="C99" s="27"/>
      <c r="D99" s="11"/>
      <c r="E99" s="5"/>
      <c r="F99" s="7"/>
      <c r="G99" s="33"/>
      <c r="H99" s="20"/>
      <c r="I99" s="21"/>
      <c r="J99" s="12"/>
      <c r="K99" s="22"/>
    </row>
    <row r="100" spans="1:11" ht="14.25" customHeight="1" x14ac:dyDescent="0.2">
      <c r="A100" s="19"/>
      <c r="B100" s="13"/>
      <c r="C100" s="27"/>
      <c r="D100" s="11"/>
      <c r="E100" s="5"/>
      <c r="F100" s="7"/>
      <c r="G100" s="33"/>
      <c r="H100" s="20"/>
      <c r="I100" s="21"/>
      <c r="J100" s="12"/>
      <c r="K100" s="22"/>
    </row>
    <row r="101" spans="1:11" ht="14.25" customHeight="1" x14ac:dyDescent="0.2">
      <c r="A101" s="19"/>
      <c r="B101" s="13"/>
      <c r="C101" s="27"/>
      <c r="D101" s="11"/>
      <c r="E101" s="5"/>
      <c r="F101" s="7"/>
      <c r="G101" s="33"/>
      <c r="H101" s="20"/>
      <c r="I101" s="21"/>
      <c r="J101" s="12"/>
      <c r="K101" s="22"/>
    </row>
    <row r="102" spans="1:11" ht="14.25" customHeight="1" x14ac:dyDescent="0.2">
      <c r="A102" s="19"/>
      <c r="B102" s="13"/>
      <c r="C102" s="27"/>
      <c r="D102" s="11"/>
      <c r="E102" s="5"/>
      <c r="F102" s="7"/>
      <c r="G102" s="33"/>
      <c r="H102" s="20"/>
      <c r="I102" s="21"/>
      <c r="J102" s="12"/>
      <c r="K102" s="22"/>
    </row>
    <row r="103" spans="1:11" ht="14.25" customHeight="1" x14ac:dyDescent="0.2">
      <c r="A103" s="19"/>
      <c r="B103" s="13"/>
      <c r="C103" s="27"/>
      <c r="D103" s="11"/>
      <c r="E103" s="5"/>
      <c r="F103" s="7"/>
      <c r="G103" s="33"/>
      <c r="H103" s="20"/>
      <c r="I103" s="21"/>
      <c r="J103" s="12"/>
      <c r="K103" s="22"/>
    </row>
    <row r="104" spans="1:11" ht="14.25" customHeight="1" x14ac:dyDescent="0.2">
      <c r="A104" s="19"/>
      <c r="B104" s="13"/>
      <c r="C104" s="27"/>
      <c r="D104" s="11"/>
      <c r="E104" s="5"/>
      <c r="F104" s="7"/>
      <c r="G104" s="33"/>
      <c r="H104" s="20"/>
      <c r="I104" s="21"/>
      <c r="J104" s="12"/>
      <c r="K104" s="22"/>
    </row>
    <row r="105" spans="1:11" ht="14.25" customHeight="1" x14ac:dyDescent="0.2">
      <c r="A105" s="19"/>
      <c r="B105" s="13"/>
      <c r="C105" s="27"/>
      <c r="D105" s="11"/>
      <c r="E105" s="5"/>
      <c r="F105" s="7"/>
      <c r="G105" s="33"/>
      <c r="H105" s="20"/>
      <c r="I105" s="21"/>
      <c r="J105" s="12"/>
      <c r="K105" s="22"/>
    </row>
    <row r="106" spans="1:11" ht="14.25" customHeight="1" x14ac:dyDescent="0.2">
      <c r="A106" s="19"/>
      <c r="B106" s="13"/>
      <c r="C106" s="27"/>
      <c r="D106" s="11"/>
      <c r="E106" s="5"/>
      <c r="F106" s="7"/>
      <c r="G106" s="33"/>
      <c r="H106" s="20"/>
      <c r="I106" s="21"/>
      <c r="J106" s="12"/>
      <c r="K106" s="22"/>
    </row>
    <row r="107" spans="1:11" ht="14.25" customHeight="1" x14ac:dyDescent="0.2">
      <c r="A107" s="19"/>
      <c r="B107" s="13"/>
      <c r="C107" s="27"/>
      <c r="D107" s="11"/>
      <c r="E107" s="5"/>
      <c r="F107" s="7"/>
      <c r="G107" s="33"/>
      <c r="H107" s="20"/>
      <c r="I107" s="21"/>
      <c r="J107" s="12"/>
      <c r="K107" s="22"/>
    </row>
    <row r="108" spans="1:11" ht="14.25" customHeight="1" x14ac:dyDescent="0.2">
      <c r="A108" s="19"/>
      <c r="B108" s="13"/>
      <c r="C108" s="27"/>
      <c r="D108" s="11"/>
      <c r="E108" s="5"/>
      <c r="F108" s="7"/>
      <c r="G108" s="33"/>
      <c r="H108" s="20"/>
      <c r="I108" s="21"/>
      <c r="J108" s="12"/>
      <c r="K108" s="22"/>
    </row>
    <row r="109" spans="1:11" ht="14.25" customHeight="1" x14ac:dyDescent="0.2">
      <c r="A109" s="19"/>
      <c r="B109" s="13"/>
      <c r="C109" s="27"/>
      <c r="D109" s="11"/>
      <c r="E109" s="5"/>
      <c r="F109" s="7"/>
      <c r="G109" s="33"/>
      <c r="H109" s="20"/>
      <c r="I109" s="21"/>
      <c r="J109" s="12"/>
      <c r="K109" s="22"/>
    </row>
    <row r="110" spans="1:11" ht="14.25" customHeight="1" x14ac:dyDescent="0.2">
      <c r="A110" s="19"/>
      <c r="B110" s="13"/>
      <c r="C110" s="27"/>
      <c r="D110" s="11"/>
      <c r="E110" s="5"/>
      <c r="F110" s="7"/>
      <c r="G110" s="33"/>
      <c r="H110" s="20"/>
      <c r="I110" s="21"/>
      <c r="J110" s="12"/>
      <c r="K110" s="22"/>
    </row>
    <row r="111" spans="1:11" ht="14.25" customHeight="1" x14ac:dyDescent="0.2">
      <c r="A111" s="19"/>
      <c r="B111" s="13"/>
      <c r="C111" s="28"/>
      <c r="D111" s="11"/>
      <c r="E111" s="5"/>
      <c r="F111" s="7"/>
      <c r="G111" s="33"/>
      <c r="H111" s="20"/>
      <c r="I111" s="21"/>
      <c r="J111" s="12"/>
      <c r="K111" s="22"/>
    </row>
    <row r="112" spans="1:11" ht="14.25" customHeight="1" x14ac:dyDescent="0.2">
      <c r="A112" s="19"/>
      <c r="B112" s="13"/>
      <c r="C112" s="28"/>
      <c r="D112" s="11"/>
      <c r="E112" s="5"/>
      <c r="F112" s="7"/>
      <c r="G112" s="33"/>
      <c r="H112" s="20"/>
      <c r="I112" s="21"/>
      <c r="J112" s="12"/>
      <c r="K112" s="22"/>
    </row>
    <row r="113" spans="1:11" ht="14.25" customHeight="1" x14ac:dyDescent="0.2">
      <c r="A113" s="23"/>
      <c r="B113" s="13"/>
      <c r="C113" s="28"/>
      <c r="D113" s="11"/>
      <c r="E113" s="5"/>
      <c r="F113" s="7"/>
      <c r="G113" s="33"/>
      <c r="H113" s="20"/>
      <c r="I113" s="21"/>
      <c r="J113" s="12"/>
      <c r="K113" s="22"/>
    </row>
    <row r="114" spans="1:11" ht="14.25" customHeight="1" x14ac:dyDescent="0.2">
      <c r="A114" s="23"/>
      <c r="B114" s="13"/>
      <c r="C114" s="28"/>
      <c r="D114" s="11"/>
      <c r="E114" s="5"/>
      <c r="F114" s="7"/>
      <c r="G114" s="33"/>
      <c r="H114" s="20"/>
      <c r="I114" s="21"/>
      <c r="J114" s="12"/>
      <c r="K114" s="22"/>
    </row>
    <row r="115" spans="1:11" ht="14.25" customHeight="1" x14ac:dyDescent="0.2">
      <c r="A115" s="19"/>
      <c r="B115" s="13"/>
      <c r="C115" s="27"/>
      <c r="D115" s="11"/>
      <c r="E115" s="5"/>
      <c r="F115" s="7"/>
      <c r="G115" s="33"/>
      <c r="H115" s="20"/>
      <c r="I115" s="21"/>
      <c r="J115" s="12"/>
      <c r="K115" s="22"/>
    </row>
    <row r="116" spans="1:11" ht="14.25" customHeight="1" x14ac:dyDescent="0.2">
      <c r="A116" s="19"/>
      <c r="B116" s="13"/>
      <c r="C116" s="27"/>
      <c r="D116" s="11"/>
      <c r="E116" s="5"/>
      <c r="F116" s="7"/>
      <c r="G116" s="33"/>
      <c r="H116" s="20"/>
      <c r="I116" s="21"/>
      <c r="J116" s="12"/>
      <c r="K116" s="22"/>
    </row>
    <row r="117" spans="1:11" ht="14.25" customHeight="1" x14ac:dyDescent="0.2">
      <c r="A117" s="19"/>
      <c r="B117" s="13"/>
      <c r="C117" s="27"/>
      <c r="D117" s="11"/>
      <c r="E117" s="5"/>
      <c r="F117" s="7"/>
      <c r="G117" s="33"/>
      <c r="H117" s="20"/>
      <c r="I117" s="21"/>
      <c r="J117" s="12"/>
      <c r="K117" s="22"/>
    </row>
    <row r="118" spans="1:11" ht="14.25" customHeight="1" x14ac:dyDescent="0.2">
      <c r="A118" s="19"/>
      <c r="B118" s="13"/>
      <c r="C118" s="27"/>
      <c r="D118" s="11"/>
      <c r="E118" s="5"/>
      <c r="F118" s="7"/>
      <c r="G118" s="33"/>
      <c r="H118" s="20"/>
      <c r="I118" s="21"/>
      <c r="J118" s="12"/>
      <c r="K118" s="22"/>
    </row>
    <row r="119" spans="1:11" ht="14.25" customHeight="1" x14ac:dyDescent="0.2">
      <c r="A119" s="19"/>
      <c r="B119" s="13"/>
      <c r="C119" s="27"/>
      <c r="D119" s="11"/>
      <c r="E119" s="5"/>
      <c r="F119" s="7"/>
      <c r="G119" s="33"/>
      <c r="H119" s="20"/>
      <c r="I119" s="21"/>
      <c r="J119" s="12"/>
      <c r="K119" s="22"/>
    </row>
    <row r="120" spans="1:11" ht="14.25" customHeight="1" x14ac:dyDescent="0.2">
      <c r="A120" s="19"/>
      <c r="B120" s="13"/>
      <c r="C120" s="27"/>
      <c r="D120" s="11"/>
      <c r="E120" s="5"/>
      <c r="F120" s="7"/>
      <c r="G120" s="33"/>
      <c r="H120" s="20"/>
      <c r="I120" s="21"/>
      <c r="J120" s="12"/>
      <c r="K120" s="22"/>
    </row>
    <row r="121" spans="1:11" ht="14.25" customHeight="1" x14ac:dyDescent="0.2">
      <c r="A121" s="19"/>
      <c r="B121" s="13"/>
      <c r="C121" s="27"/>
      <c r="D121" s="11"/>
      <c r="E121" s="5"/>
      <c r="F121" s="7"/>
      <c r="G121" s="33"/>
      <c r="H121" s="20"/>
      <c r="I121" s="21"/>
      <c r="J121" s="12"/>
      <c r="K121" s="22"/>
    </row>
    <row r="122" spans="1:11" ht="14.25" customHeight="1" x14ac:dyDescent="0.2">
      <c r="A122" s="19"/>
      <c r="B122" s="13"/>
      <c r="C122" s="27"/>
      <c r="D122" s="11"/>
      <c r="E122" s="5"/>
      <c r="F122" s="7"/>
      <c r="G122" s="33"/>
      <c r="H122" s="20"/>
      <c r="I122" s="21"/>
      <c r="J122" s="12"/>
      <c r="K122" s="22"/>
    </row>
    <row r="123" spans="1:11" ht="14.25" customHeight="1" x14ac:dyDescent="0.2">
      <c r="A123" s="19"/>
      <c r="B123" s="13"/>
      <c r="C123" s="27"/>
      <c r="D123" s="11"/>
      <c r="E123" s="5"/>
      <c r="F123" s="7"/>
      <c r="G123" s="33"/>
      <c r="H123" s="20"/>
      <c r="I123" s="21"/>
      <c r="J123" s="12"/>
      <c r="K123" s="22"/>
    </row>
    <row r="124" spans="1:11" ht="14.25" customHeight="1" x14ac:dyDescent="0.2">
      <c r="A124" s="19"/>
      <c r="B124" s="13"/>
      <c r="C124" s="28"/>
      <c r="D124" s="11"/>
      <c r="E124" s="5"/>
      <c r="F124" s="7"/>
      <c r="G124" s="33"/>
      <c r="H124" s="20"/>
      <c r="I124" s="21"/>
      <c r="J124" s="12"/>
      <c r="K124" s="22"/>
    </row>
    <row r="125" spans="1:11" ht="14.25" customHeight="1" x14ac:dyDescent="0.2">
      <c r="A125" s="19"/>
      <c r="B125" s="13"/>
      <c r="C125" s="28"/>
      <c r="D125" s="11"/>
      <c r="E125" s="5"/>
      <c r="F125" s="7"/>
      <c r="G125" s="33"/>
      <c r="H125" s="20"/>
      <c r="I125" s="21"/>
      <c r="J125" s="12"/>
      <c r="K125" s="22"/>
    </row>
    <row r="126" spans="1:11" ht="14.25" customHeight="1" x14ac:dyDescent="0.2">
      <c r="A126" s="23"/>
      <c r="B126" s="13"/>
      <c r="C126" s="28"/>
      <c r="D126" s="11"/>
      <c r="E126" s="5"/>
      <c r="F126" s="7"/>
      <c r="G126" s="33"/>
      <c r="H126" s="20"/>
      <c r="I126" s="21"/>
      <c r="J126" s="12"/>
      <c r="K126" s="22"/>
    </row>
    <row r="127" spans="1:11" ht="14.25" customHeight="1" x14ac:dyDescent="0.2">
      <c r="A127" s="23"/>
      <c r="B127" s="13"/>
      <c r="C127" s="28"/>
      <c r="D127" s="11"/>
      <c r="E127" s="5"/>
      <c r="F127" s="7"/>
      <c r="G127" s="33"/>
      <c r="H127" s="20"/>
      <c r="I127" s="21"/>
      <c r="J127" s="12"/>
      <c r="K127" s="22"/>
    </row>
    <row r="128" spans="1:11" ht="14.25" customHeight="1" x14ac:dyDescent="0.2">
      <c r="A128" s="19"/>
      <c r="B128" s="13"/>
      <c r="C128" s="27"/>
      <c r="D128" s="11"/>
      <c r="E128" s="5"/>
      <c r="F128" s="7"/>
      <c r="G128" s="33"/>
      <c r="H128" s="20"/>
      <c r="I128" s="21"/>
      <c r="J128" s="12"/>
      <c r="K128" s="22"/>
    </row>
    <row r="129" spans="1:11" ht="14.25" customHeight="1" x14ac:dyDescent="0.2">
      <c r="A129" s="19"/>
      <c r="B129" s="13"/>
      <c r="C129" s="27"/>
      <c r="D129" s="11"/>
      <c r="E129" s="5"/>
      <c r="F129" s="7"/>
      <c r="G129" s="33"/>
      <c r="H129" s="20"/>
      <c r="I129" s="21"/>
      <c r="J129" s="12"/>
      <c r="K129" s="22"/>
    </row>
    <row r="130" spans="1:11" ht="14.25" customHeight="1" x14ac:dyDescent="0.2">
      <c r="A130" s="19"/>
      <c r="B130" s="13"/>
      <c r="C130" s="27"/>
      <c r="D130" s="11"/>
      <c r="E130" s="5"/>
      <c r="F130" s="7"/>
      <c r="G130" s="33"/>
      <c r="H130" s="20"/>
      <c r="I130" s="21"/>
      <c r="J130" s="12"/>
      <c r="K130" s="22"/>
    </row>
    <row r="131" spans="1:11" ht="14.25" customHeight="1" x14ac:dyDescent="0.2">
      <c r="A131" s="19"/>
      <c r="B131" s="13"/>
      <c r="C131" s="27"/>
      <c r="D131" s="11"/>
      <c r="E131" s="5"/>
      <c r="F131" s="7"/>
      <c r="G131" s="33"/>
      <c r="H131" s="20"/>
      <c r="I131" s="21"/>
      <c r="J131" s="12"/>
      <c r="K131" s="22"/>
    </row>
    <row r="132" spans="1:11" ht="14.25" customHeight="1" x14ac:dyDescent="0.2">
      <c r="A132" s="19"/>
      <c r="B132" s="13"/>
      <c r="C132" s="27"/>
      <c r="D132" s="11"/>
      <c r="E132" s="5"/>
      <c r="F132" s="7"/>
      <c r="G132" s="33"/>
      <c r="H132" s="20"/>
      <c r="I132" s="21"/>
      <c r="J132" s="12"/>
      <c r="K132" s="22"/>
    </row>
    <row r="133" spans="1:11" ht="14.25" customHeight="1" x14ac:dyDescent="0.2">
      <c r="A133" s="19"/>
      <c r="B133" s="13"/>
      <c r="C133" s="27"/>
      <c r="D133" s="11"/>
      <c r="E133" s="5"/>
      <c r="F133" s="7"/>
      <c r="G133" s="33"/>
      <c r="H133" s="20"/>
      <c r="I133" s="21"/>
      <c r="J133" s="12"/>
      <c r="K133" s="22"/>
    </row>
    <row r="134" spans="1:11" ht="14.25" customHeight="1" x14ac:dyDescent="0.2">
      <c r="A134" s="19"/>
      <c r="B134" s="13"/>
      <c r="C134" s="27"/>
      <c r="D134" s="11"/>
      <c r="E134" s="5"/>
      <c r="F134" s="7"/>
      <c r="G134" s="33"/>
      <c r="H134" s="20"/>
      <c r="I134" s="21"/>
      <c r="J134" s="12"/>
      <c r="K134" s="22"/>
    </row>
    <row r="135" spans="1:11" ht="14.25" customHeight="1" x14ac:dyDescent="0.2">
      <c r="A135" s="19"/>
      <c r="B135" s="13"/>
      <c r="C135" s="27"/>
      <c r="D135" s="11"/>
      <c r="E135" s="5"/>
      <c r="F135" s="7"/>
      <c r="G135" s="33"/>
      <c r="H135" s="20"/>
      <c r="I135" s="21"/>
      <c r="J135" s="12"/>
      <c r="K135" s="22"/>
    </row>
    <row r="136" spans="1:11" ht="14.25" customHeight="1" x14ac:dyDescent="0.2">
      <c r="A136" s="19"/>
      <c r="B136" s="13"/>
      <c r="C136" s="27"/>
      <c r="D136" s="11"/>
      <c r="E136" s="5"/>
      <c r="F136" s="7"/>
      <c r="G136" s="33"/>
      <c r="H136" s="20"/>
      <c r="I136" s="21"/>
      <c r="J136" s="12"/>
      <c r="K136" s="22"/>
    </row>
    <row r="137" spans="1:11" ht="14.25" customHeight="1" x14ac:dyDescent="0.2">
      <c r="A137" s="19"/>
      <c r="B137" s="13"/>
      <c r="C137" s="28"/>
      <c r="D137" s="11"/>
      <c r="E137" s="5"/>
      <c r="F137" s="7"/>
      <c r="G137" s="33"/>
      <c r="H137" s="20"/>
      <c r="I137" s="21"/>
      <c r="J137" s="12"/>
      <c r="K137" s="22"/>
    </row>
    <row r="138" spans="1:11" ht="14.25" customHeight="1" x14ac:dyDescent="0.2">
      <c r="A138" s="19"/>
      <c r="B138" s="13"/>
      <c r="C138" s="28"/>
      <c r="D138" s="11"/>
      <c r="E138" s="5"/>
      <c r="F138" s="7"/>
      <c r="G138" s="33"/>
      <c r="H138" s="20"/>
      <c r="I138" s="21"/>
      <c r="J138" s="12"/>
      <c r="K138" s="22"/>
    </row>
    <row r="139" spans="1:11" ht="14.25" customHeight="1" x14ac:dyDescent="0.2">
      <c r="A139" s="23"/>
      <c r="B139" s="13"/>
      <c r="C139" s="28"/>
      <c r="D139" s="11"/>
      <c r="E139" s="5"/>
      <c r="F139" s="7"/>
      <c r="G139" s="33"/>
      <c r="H139" s="20"/>
      <c r="I139" s="21"/>
      <c r="J139" s="12"/>
      <c r="K139" s="22"/>
    </row>
    <row r="140" spans="1:11" ht="14.25" customHeight="1" x14ac:dyDescent="0.2">
      <c r="A140" s="23"/>
      <c r="B140" s="13"/>
      <c r="C140" s="28"/>
      <c r="D140" s="11"/>
      <c r="E140" s="5"/>
      <c r="F140" s="7"/>
      <c r="G140" s="33"/>
      <c r="H140" s="20"/>
      <c r="I140" s="21"/>
      <c r="J140" s="12"/>
      <c r="K140" s="22"/>
    </row>
    <row r="141" spans="1:11" ht="14.25" customHeight="1" x14ac:dyDescent="0.2">
      <c r="A141" s="19"/>
      <c r="B141" s="13"/>
      <c r="C141" s="27"/>
      <c r="D141" s="11"/>
      <c r="E141" s="5"/>
      <c r="F141" s="7"/>
      <c r="G141" s="33"/>
      <c r="H141" s="20"/>
      <c r="I141" s="21"/>
      <c r="J141" s="12"/>
      <c r="K141" s="22"/>
    </row>
    <row r="142" spans="1:11" ht="14.25" customHeight="1" x14ac:dyDescent="0.2">
      <c r="A142" s="19"/>
      <c r="B142" s="13"/>
      <c r="C142" s="27"/>
      <c r="D142" s="11"/>
      <c r="E142" s="5"/>
      <c r="F142" s="7"/>
      <c r="G142" s="33"/>
      <c r="H142" s="20"/>
      <c r="I142" s="21"/>
      <c r="J142" s="12"/>
      <c r="K142" s="22"/>
    </row>
    <row r="143" spans="1:11" ht="14.25" customHeight="1" x14ac:dyDescent="0.2">
      <c r="A143" s="19"/>
      <c r="B143" s="13"/>
      <c r="C143" s="27"/>
      <c r="D143" s="11"/>
      <c r="E143" s="5"/>
      <c r="F143" s="7"/>
      <c r="G143" s="33"/>
      <c r="H143" s="20"/>
      <c r="I143" s="21"/>
      <c r="J143" s="12"/>
      <c r="K143" s="22"/>
    </row>
    <row r="144" spans="1:11" ht="14.25" customHeight="1" x14ac:dyDescent="0.2">
      <c r="A144" s="19"/>
      <c r="B144" s="13"/>
      <c r="C144" s="27"/>
      <c r="D144" s="11"/>
      <c r="E144" s="5"/>
      <c r="F144" s="7"/>
      <c r="G144" s="33"/>
      <c r="H144" s="20"/>
      <c r="I144" s="21"/>
      <c r="J144" s="12"/>
      <c r="K144" s="22"/>
    </row>
    <row r="145" spans="1:11" ht="14.25" customHeight="1" x14ac:dyDescent="0.2">
      <c r="A145" s="19"/>
      <c r="B145" s="13"/>
      <c r="C145" s="27"/>
      <c r="D145" s="11"/>
      <c r="E145" s="5"/>
      <c r="F145" s="7"/>
      <c r="G145" s="33"/>
      <c r="H145" s="20"/>
      <c r="I145" s="21"/>
      <c r="J145" s="12"/>
      <c r="K145" s="22"/>
    </row>
    <row r="146" spans="1:11" ht="14.25" customHeight="1" x14ac:dyDescent="0.2">
      <c r="A146" s="19"/>
      <c r="B146" s="13"/>
      <c r="C146" s="27"/>
      <c r="D146" s="11"/>
      <c r="E146" s="5"/>
      <c r="F146" s="7"/>
      <c r="G146" s="33"/>
      <c r="H146" s="20"/>
      <c r="I146" s="21"/>
      <c r="J146" s="12"/>
      <c r="K146" s="22"/>
    </row>
    <row r="147" spans="1:11" ht="14.25" customHeight="1" x14ac:dyDescent="0.2">
      <c r="A147" s="19"/>
      <c r="B147" s="13"/>
      <c r="C147" s="27"/>
      <c r="D147" s="11"/>
      <c r="E147" s="5"/>
      <c r="F147" s="7"/>
      <c r="G147" s="33"/>
      <c r="H147" s="20"/>
      <c r="I147" s="21"/>
      <c r="J147" s="12"/>
      <c r="K147" s="22"/>
    </row>
    <row r="148" spans="1:11" ht="14.25" customHeight="1" x14ac:dyDescent="0.2">
      <c r="A148" s="19"/>
      <c r="B148" s="13"/>
      <c r="C148" s="27"/>
      <c r="D148" s="11"/>
      <c r="E148" s="5"/>
      <c r="F148" s="7"/>
      <c r="G148" s="33"/>
      <c r="H148" s="20"/>
      <c r="I148" s="21"/>
      <c r="J148" s="12"/>
      <c r="K148" s="22"/>
    </row>
    <row r="149" spans="1:11" ht="14.25" customHeight="1" x14ac:dyDescent="0.2">
      <c r="A149" s="19"/>
      <c r="B149" s="13"/>
      <c r="C149" s="27"/>
      <c r="D149" s="11"/>
      <c r="E149" s="5"/>
      <c r="F149" s="7"/>
      <c r="G149" s="33"/>
      <c r="H149" s="20"/>
      <c r="I149" s="21"/>
      <c r="J149" s="12"/>
      <c r="K149" s="22"/>
    </row>
    <row r="150" spans="1:11" ht="14.25" customHeight="1" x14ac:dyDescent="0.2">
      <c r="A150" s="19"/>
      <c r="B150" s="13"/>
      <c r="C150" s="28"/>
      <c r="D150" s="11"/>
      <c r="E150" s="5"/>
      <c r="F150" s="7"/>
      <c r="G150" s="33"/>
      <c r="H150" s="20"/>
      <c r="I150" s="21"/>
      <c r="J150" s="12"/>
      <c r="K150" s="22"/>
    </row>
    <row r="151" spans="1:11" ht="14.25" customHeight="1" x14ac:dyDescent="0.2">
      <c r="A151" s="19"/>
      <c r="B151" s="13"/>
      <c r="C151" s="28"/>
      <c r="D151" s="11"/>
      <c r="E151" s="5"/>
      <c r="F151" s="7"/>
      <c r="G151" s="33"/>
      <c r="H151" s="20"/>
      <c r="I151" s="21"/>
      <c r="J151" s="12"/>
      <c r="K151" s="22"/>
    </row>
    <row r="152" spans="1:11" ht="14.25" customHeight="1" x14ac:dyDescent="0.2">
      <c r="A152" s="23"/>
      <c r="B152" s="13"/>
      <c r="C152" s="28"/>
      <c r="D152" s="11"/>
      <c r="E152" s="5"/>
      <c r="F152" s="7"/>
      <c r="G152" s="33"/>
      <c r="H152" s="20"/>
      <c r="I152" s="21"/>
      <c r="J152" s="12"/>
      <c r="K152" s="22"/>
    </row>
    <row r="153" spans="1:11" ht="14.25" customHeight="1" x14ac:dyDescent="0.2">
      <c r="A153" s="23"/>
      <c r="B153" s="13"/>
      <c r="C153" s="28"/>
      <c r="D153" s="11"/>
      <c r="E153" s="5"/>
      <c r="F153" s="7"/>
      <c r="G153" s="33"/>
      <c r="H153" s="20"/>
      <c r="I153" s="21"/>
      <c r="J153" s="12"/>
      <c r="K153" s="22"/>
    </row>
    <row r="154" spans="1:11" ht="14.25" customHeight="1" x14ac:dyDescent="0.2">
      <c r="A154" s="19"/>
      <c r="B154" s="13"/>
      <c r="C154" s="27"/>
      <c r="D154" s="11"/>
      <c r="E154" s="5"/>
      <c r="F154" s="7"/>
      <c r="G154" s="33"/>
      <c r="H154" s="20"/>
      <c r="I154" s="21"/>
      <c r="J154" s="12"/>
      <c r="K154" s="22"/>
    </row>
    <row r="155" spans="1:11" ht="14.25" customHeight="1" x14ac:dyDescent="0.2">
      <c r="A155" s="19"/>
      <c r="B155" s="13"/>
      <c r="C155" s="27"/>
      <c r="D155" s="11"/>
      <c r="E155" s="5"/>
      <c r="F155" s="7"/>
      <c r="G155" s="33"/>
      <c r="H155" s="20"/>
      <c r="I155" s="21"/>
      <c r="J155" s="12"/>
      <c r="K155" s="22"/>
    </row>
    <row r="156" spans="1:11" ht="14.25" customHeight="1" x14ac:dyDescent="0.2">
      <c r="A156" s="19"/>
      <c r="B156" s="13"/>
      <c r="C156" s="27"/>
      <c r="D156" s="11"/>
      <c r="E156" s="5"/>
      <c r="F156" s="7"/>
      <c r="G156" s="33"/>
      <c r="H156" s="20"/>
      <c r="I156" s="21"/>
      <c r="J156" s="12"/>
      <c r="K156" s="22"/>
    </row>
    <row r="157" spans="1:11" ht="14.25" customHeight="1" x14ac:dyDescent="0.2">
      <c r="A157" s="19"/>
      <c r="B157" s="13"/>
      <c r="C157" s="27"/>
      <c r="D157" s="11"/>
      <c r="E157" s="5"/>
      <c r="F157" s="7"/>
      <c r="G157" s="33"/>
      <c r="H157" s="20"/>
      <c r="I157" s="21"/>
      <c r="J157" s="12"/>
      <c r="K157" s="22"/>
    </row>
    <row r="158" spans="1:11" ht="14.25" customHeight="1" x14ac:dyDescent="0.2">
      <c r="A158" s="19"/>
      <c r="B158" s="13"/>
      <c r="C158" s="27"/>
      <c r="D158" s="11"/>
      <c r="E158" s="5"/>
      <c r="F158" s="7"/>
      <c r="G158" s="33"/>
      <c r="H158" s="20"/>
      <c r="I158" s="21"/>
      <c r="J158" s="12"/>
      <c r="K158" s="22"/>
    </row>
    <row r="159" spans="1:11" ht="14.25" customHeight="1" x14ac:dyDescent="0.2">
      <c r="A159" s="19"/>
      <c r="B159" s="13"/>
      <c r="C159" s="27"/>
      <c r="D159" s="11"/>
      <c r="E159" s="5"/>
      <c r="F159" s="7"/>
      <c r="G159" s="33"/>
      <c r="H159" s="20"/>
      <c r="I159" s="21"/>
      <c r="J159" s="12"/>
      <c r="K159" s="22"/>
    </row>
    <row r="160" spans="1:11" ht="14.25" customHeight="1" x14ac:dyDescent="0.2">
      <c r="A160" s="19"/>
      <c r="B160" s="13"/>
      <c r="C160" s="27"/>
      <c r="D160" s="11"/>
      <c r="E160" s="5"/>
      <c r="F160" s="7"/>
      <c r="G160" s="33"/>
      <c r="H160" s="20"/>
      <c r="I160" s="21"/>
      <c r="J160" s="12"/>
      <c r="K160" s="22"/>
    </row>
    <row r="161" spans="1:11" ht="14.25" customHeight="1" x14ac:dyDescent="0.2">
      <c r="A161" s="19"/>
      <c r="B161" s="13"/>
      <c r="C161" s="27"/>
      <c r="D161" s="11"/>
      <c r="E161" s="5"/>
      <c r="F161" s="7"/>
      <c r="G161" s="33"/>
      <c r="H161" s="20"/>
      <c r="I161" s="21"/>
      <c r="J161" s="12"/>
      <c r="K161" s="22"/>
    </row>
    <row r="162" spans="1:11" ht="14.25" customHeight="1" x14ac:dyDescent="0.2">
      <c r="A162" s="19"/>
      <c r="B162" s="13"/>
      <c r="C162" s="27"/>
      <c r="D162" s="11"/>
      <c r="E162" s="5"/>
      <c r="F162" s="7"/>
      <c r="G162" s="33"/>
      <c r="H162" s="20"/>
      <c r="I162" s="21"/>
      <c r="J162" s="12"/>
      <c r="K162" s="22"/>
    </row>
    <row r="163" spans="1:11" ht="14.25" customHeight="1" x14ac:dyDescent="0.2">
      <c r="A163" s="19"/>
      <c r="B163" s="13"/>
      <c r="C163" s="28"/>
      <c r="D163" s="11"/>
      <c r="E163" s="5"/>
      <c r="F163" s="7"/>
      <c r="G163" s="33"/>
      <c r="H163" s="20"/>
      <c r="I163" s="21"/>
      <c r="J163" s="12"/>
      <c r="K163" s="22"/>
    </row>
    <row r="164" spans="1:11" ht="14.25" customHeight="1" x14ac:dyDescent="0.2">
      <c r="A164" s="19"/>
      <c r="B164" s="13"/>
      <c r="C164" s="28"/>
      <c r="D164" s="11"/>
      <c r="E164" s="5"/>
      <c r="F164" s="7"/>
      <c r="G164" s="33"/>
      <c r="H164" s="20"/>
      <c r="I164" s="21"/>
      <c r="J164" s="12"/>
      <c r="K164" s="22"/>
    </row>
    <row r="165" spans="1:11" ht="14.25" customHeight="1" x14ac:dyDescent="0.2">
      <c r="A165" s="23"/>
      <c r="B165" s="13"/>
      <c r="C165" s="28"/>
      <c r="D165" s="11"/>
      <c r="E165" s="5"/>
      <c r="F165" s="7"/>
      <c r="G165" s="33"/>
      <c r="H165" s="20"/>
      <c r="I165" s="21"/>
      <c r="J165" s="12"/>
      <c r="K165" s="22"/>
    </row>
    <row r="166" spans="1:11" ht="14.25" customHeight="1" x14ac:dyDescent="0.2">
      <c r="A166" s="23"/>
      <c r="B166" s="13"/>
      <c r="C166" s="28"/>
      <c r="D166" s="11"/>
      <c r="E166" s="5"/>
      <c r="F166" s="7"/>
      <c r="G166" s="33"/>
      <c r="H166" s="20"/>
      <c r="I166" s="21"/>
      <c r="J166" s="12"/>
      <c r="K166" s="22"/>
    </row>
    <row r="167" spans="1:11" ht="14.25" customHeight="1" x14ac:dyDescent="0.2">
      <c r="A167" s="19"/>
      <c r="B167" s="13"/>
      <c r="C167" s="27"/>
      <c r="D167" s="11"/>
      <c r="E167" s="5"/>
      <c r="F167" s="7"/>
      <c r="G167" s="33"/>
      <c r="H167" s="20"/>
      <c r="I167" s="21"/>
      <c r="J167" s="12"/>
      <c r="K167" s="22"/>
    </row>
    <row r="168" spans="1:11" ht="14.25" customHeight="1" x14ac:dyDescent="0.2">
      <c r="A168" s="19"/>
      <c r="B168" s="13"/>
      <c r="C168" s="27"/>
      <c r="D168" s="11"/>
      <c r="E168" s="5"/>
      <c r="F168" s="7"/>
      <c r="G168" s="33"/>
      <c r="H168" s="20"/>
      <c r="I168" s="21"/>
      <c r="J168" s="12"/>
      <c r="K168" s="22"/>
    </row>
    <row r="169" spans="1:11" ht="14.25" customHeight="1" x14ac:dyDescent="0.2">
      <c r="A169" s="19"/>
      <c r="B169" s="13"/>
      <c r="C169" s="27"/>
      <c r="D169" s="11"/>
      <c r="E169" s="5"/>
      <c r="F169" s="7"/>
      <c r="G169" s="33"/>
      <c r="H169" s="20"/>
      <c r="I169" s="21"/>
      <c r="J169" s="12"/>
      <c r="K169" s="22"/>
    </row>
    <row r="170" spans="1:11" ht="14.25" customHeight="1" x14ac:dyDescent="0.2">
      <c r="A170" s="19"/>
      <c r="B170" s="13"/>
      <c r="C170" s="27"/>
      <c r="D170" s="11"/>
      <c r="E170" s="5"/>
      <c r="F170" s="7"/>
      <c r="G170" s="33"/>
      <c r="H170" s="20"/>
      <c r="I170" s="21"/>
      <c r="J170" s="12"/>
      <c r="K170" s="22"/>
    </row>
    <row r="171" spans="1:11" ht="14.25" customHeight="1" x14ac:dyDescent="0.2">
      <c r="A171" s="19"/>
      <c r="B171" s="13"/>
      <c r="C171" s="27"/>
      <c r="D171" s="11"/>
      <c r="E171" s="5"/>
      <c r="F171" s="7"/>
      <c r="G171" s="33"/>
      <c r="H171" s="20"/>
      <c r="I171" s="21"/>
      <c r="J171" s="12"/>
      <c r="K171" s="22"/>
    </row>
    <row r="172" spans="1:11" ht="14.25" customHeight="1" x14ac:dyDescent="0.2">
      <c r="A172" s="19"/>
      <c r="B172" s="13"/>
      <c r="C172" s="27"/>
      <c r="D172" s="11"/>
      <c r="E172" s="5"/>
      <c r="F172" s="7"/>
      <c r="G172" s="33"/>
      <c r="H172" s="20"/>
      <c r="I172" s="21"/>
      <c r="J172" s="12"/>
      <c r="K172" s="22"/>
    </row>
    <row r="173" spans="1:11" ht="14.25" customHeight="1" x14ac:dyDescent="0.2">
      <c r="A173" s="19"/>
      <c r="B173" s="13"/>
      <c r="C173" s="27"/>
      <c r="D173" s="11"/>
      <c r="E173" s="5"/>
      <c r="F173" s="7"/>
      <c r="G173" s="33"/>
      <c r="H173" s="20"/>
      <c r="I173" s="21"/>
      <c r="J173" s="12"/>
      <c r="K173" s="22"/>
    </row>
    <row r="174" spans="1:11" ht="14.25" customHeight="1" x14ac:dyDescent="0.2">
      <c r="A174" s="19"/>
      <c r="B174" s="13"/>
      <c r="C174" s="27"/>
      <c r="D174" s="11"/>
      <c r="E174" s="5"/>
      <c r="F174" s="7"/>
      <c r="G174" s="33"/>
      <c r="H174" s="20"/>
      <c r="I174" s="21"/>
      <c r="J174" s="12"/>
      <c r="K174" s="22"/>
    </row>
    <row r="175" spans="1:11" ht="14.25" customHeight="1" x14ac:dyDescent="0.2">
      <c r="A175" s="19"/>
      <c r="B175" s="13"/>
      <c r="C175" s="27"/>
      <c r="D175" s="11"/>
      <c r="E175" s="5"/>
      <c r="F175" s="7"/>
      <c r="G175" s="33"/>
      <c r="H175" s="20"/>
      <c r="I175" s="21"/>
      <c r="J175" s="12"/>
      <c r="K175" s="22"/>
    </row>
    <row r="176" spans="1:11" ht="14.25" customHeight="1" x14ac:dyDescent="0.2">
      <c r="A176" s="19"/>
      <c r="B176" s="13"/>
      <c r="C176" s="28"/>
      <c r="D176" s="11"/>
      <c r="E176" s="5"/>
      <c r="F176" s="7"/>
      <c r="G176" s="33"/>
      <c r="H176" s="20"/>
      <c r="I176" s="21"/>
      <c r="J176" s="12"/>
      <c r="K176" s="22"/>
    </row>
    <row r="177" spans="1:11" ht="14.25" customHeight="1" x14ac:dyDescent="0.2">
      <c r="A177" s="19"/>
      <c r="B177" s="13"/>
      <c r="C177" s="28"/>
      <c r="D177" s="11"/>
      <c r="E177" s="5"/>
      <c r="F177" s="7"/>
      <c r="G177" s="33"/>
      <c r="H177" s="20"/>
      <c r="I177" s="21"/>
      <c r="J177" s="12"/>
      <c r="K177" s="22"/>
    </row>
    <row r="178" spans="1:11" ht="14.25" customHeight="1" x14ac:dyDescent="0.2">
      <c r="A178" s="23"/>
      <c r="B178" s="13"/>
      <c r="C178" s="28"/>
      <c r="D178" s="11"/>
      <c r="E178" s="5"/>
      <c r="F178" s="7"/>
      <c r="G178" s="33"/>
      <c r="H178" s="20"/>
      <c r="I178" s="21"/>
      <c r="J178" s="12"/>
      <c r="K178" s="22"/>
    </row>
    <row r="179" spans="1:11" ht="14.25" customHeight="1" x14ac:dyDescent="0.2">
      <c r="A179" s="23"/>
      <c r="B179" s="13"/>
      <c r="C179" s="28"/>
      <c r="D179" s="11"/>
      <c r="E179" s="5"/>
      <c r="F179" s="7"/>
      <c r="G179" s="33"/>
      <c r="H179" s="20"/>
      <c r="I179" s="21"/>
      <c r="J179" s="12"/>
      <c r="K179" s="22"/>
    </row>
    <row r="180" spans="1:11" ht="14.25" customHeight="1" x14ac:dyDescent="0.2">
      <c r="A180" s="19"/>
      <c r="B180" s="13"/>
      <c r="C180" s="27"/>
      <c r="D180" s="11"/>
      <c r="E180" s="5"/>
      <c r="F180" s="7"/>
      <c r="G180" s="33"/>
      <c r="H180" s="20"/>
      <c r="I180" s="21"/>
      <c r="J180" s="12"/>
      <c r="K180" s="22"/>
    </row>
    <row r="181" spans="1:11" ht="14.25" customHeight="1" x14ac:dyDescent="0.2">
      <c r="A181" s="19"/>
      <c r="B181" s="13"/>
      <c r="C181" s="27"/>
      <c r="D181" s="11"/>
      <c r="E181" s="5"/>
      <c r="F181" s="7"/>
      <c r="G181" s="33"/>
      <c r="H181" s="20"/>
      <c r="I181" s="21"/>
      <c r="J181" s="12"/>
      <c r="K181" s="22"/>
    </row>
    <row r="182" spans="1:11" ht="14.25" customHeight="1" x14ac:dyDescent="0.2">
      <c r="A182" s="19"/>
      <c r="B182" s="13"/>
      <c r="C182" s="27"/>
      <c r="D182" s="11"/>
      <c r="E182" s="5"/>
      <c r="F182" s="7"/>
      <c r="G182" s="33"/>
      <c r="H182" s="20"/>
      <c r="I182" s="21"/>
      <c r="J182" s="12"/>
      <c r="K182" s="22"/>
    </row>
    <row r="183" spans="1:11" ht="14.25" customHeight="1" x14ac:dyDescent="0.2">
      <c r="A183" s="19"/>
      <c r="B183" s="13"/>
      <c r="C183" s="27"/>
      <c r="D183" s="11"/>
      <c r="E183" s="5"/>
      <c r="F183" s="7"/>
      <c r="G183" s="33"/>
      <c r="H183" s="20"/>
      <c r="I183" s="21"/>
      <c r="J183" s="12"/>
      <c r="K183" s="22"/>
    </row>
    <row r="184" spans="1:11" ht="14.25" customHeight="1" x14ac:dyDescent="0.2">
      <c r="A184" s="19"/>
      <c r="B184" s="13"/>
      <c r="C184" s="27"/>
      <c r="D184" s="11"/>
      <c r="E184" s="5"/>
      <c r="F184" s="7"/>
      <c r="G184" s="33"/>
      <c r="H184" s="20"/>
      <c r="I184" s="21"/>
      <c r="J184" s="12"/>
      <c r="K184" s="22"/>
    </row>
    <row r="185" spans="1:11" ht="14.25" customHeight="1" x14ac:dyDescent="0.2">
      <c r="A185" s="19"/>
      <c r="B185" s="13"/>
      <c r="C185" s="27"/>
      <c r="D185" s="11"/>
      <c r="E185" s="5"/>
      <c r="F185" s="7"/>
      <c r="G185" s="33"/>
      <c r="H185" s="20"/>
      <c r="I185" s="21"/>
      <c r="J185" s="12"/>
      <c r="K185" s="22"/>
    </row>
    <row r="186" spans="1:11" ht="14.25" customHeight="1" x14ac:dyDescent="0.2">
      <c r="A186" s="19"/>
      <c r="B186" s="13"/>
      <c r="C186" s="27"/>
      <c r="D186" s="11"/>
      <c r="E186" s="5"/>
      <c r="F186" s="7"/>
      <c r="G186" s="33"/>
      <c r="H186" s="20"/>
      <c r="I186" s="21"/>
      <c r="J186" s="12"/>
      <c r="K186" s="22"/>
    </row>
    <row r="187" spans="1:11" ht="14.25" customHeight="1" x14ac:dyDescent="0.2">
      <c r="A187" s="19"/>
      <c r="B187" s="13"/>
      <c r="C187" s="27"/>
      <c r="D187" s="11"/>
      <c r="E187" s="5"/>
      <c r="F187" s="7"/>
      <c r="G187" s="33"/>
      <c r="H187" s="20"/>
      <c r="I187" s="21"/>
      <c r="J187" s="12"/>
      <c r="K187" s="22"/>
    </row>
    <row r="188" spans="1:11" ht="14.25" customHeight="1" x14ac:dyDescent="0.2">
      <c r="A188" s="19"/>
      <c r="B188" s="13"/>
      <c r="C188" s="27"/>
      <c r="D188" s="11"/>
      <c r="E188" s="5"/>
      <c r="F188" s="7"/>
      <c r="G188" s="33"/>
      <c r="H188" s="20"/>
      <c r="I188" s="21"/>
      <c r="J188" s="12"/>
      <c r="K188" s="22"/>
    </row>
    <row r="189" spans="1:11" ht="14.25" customHeight="1" x14ac:dyDescent="0.2">
      <c r="A189" s="19"/>
      <c r="B189" s="13"/>
      <c r="C189" s="28"/>
      <c r="D189" s="11"/>
      <c r="E189" s="5"/>
      <c r="F189" s="7"/>
      <c r="G189" s="33"/>
      <c r="H189" s="20"/>
      <c r="I189" s="21"/>
      <c r="J189" s="12"/>
      <c r="K189" s="22"/>
    </row>
    <row r="190" spans="1:11" ht="14.25" customHeight="1" x14ac:dyDescent="0.2">
      <c r="A190" s="19"/>
      <c r="B190" s="13"/>
      <c r="C190" s="27"/>
      <c r="D190" s="11"/>
      <c r="E190" s="5"/>
      <c r="F190" s="7"/>
      <c r="G190" s="33"/>
      <c r="H190" s="20"/>
      <c r="I190" s="21"/>
      <c r="J190" s="12"/>
      <c r="K190" s="22"/>
    </row>
    <row r="191" spans="1:11" ht="14.25" customHeight="1" x14ac:dyDescent="0.2">
      <c r="A191" s="19"/>
      <c r="B191" s="13"/>
      <c r="C191" s="27"/>
      <c r="D191" s="11"/>
      <c r="E191" s="5"/>
      <c r="F191" s="7"/>
      <c r="G191" s="33"/>
      <c r="H191" s="20"/>
      <c r="I191" s="21"/>
      <c r="J191" s="12"/>
      <c r="K191" s="22"/>
    </row>
    <row r="192" spans="1:11" ht="14.25" customHeight="1" x14ac:dyDescent="0.2">
      <c r="A192" s="19"/>
      <c r="B192" s="13"/>
      <c r="C192" s="27"/>
      <c r="D192" s="11"/>
      <c r="E192" s="5"/>
      <c r="F192" s="7"/>
      <c r="G192" s="33"/>
      <c r="H192" s="20"/>
      <c r="I192" s="21"/>
      <c r="J192" s="12"/>
      <c r="K192" s="22"/>
    </row>
    <row r="193" spans="1:11" ht="14.25" customHeight="1" x14ac:dyDescent="0.2">
      <c r="A193" s="19"/>
      <c r="B193" s="13"/>
      <c r="C193" s="28"/>
      <c r="D193" s="11"/>
      <c r="E193" s="5"/>
      <c r="F193" s="7"/>
      <c r="G193" s="33"/>
      <c r="H193" s="20"/>
      <c r="I193" s="21"/>
      <c r="J193" s="12"/>
      <c r="K193" s="22"/>
    </row>
    <row r="194" spans="1:11" ht="14.25" customHeight="1" x14ac:dyDescent="0.2">
      <c r="A194" s="19"/>
      <c r="B194" s="13"/>
      <c r="C194" s="28"/>
      <c r="D194" s="11"/>
      <c r="E194" s="5"/>
      <c r="F194" s="7"/>
      <c r="G194" s="33"/>
      <c r="H194" s="20"/>
      <c r="I194" s="21"/>
      <c r="J194" s="12"/>
      <c r="K194" s="22"/>
    </row>
    <row r="195" spans="1:11" ht="14.25" customHeight="1" x14ac:dyDescent="0.2">
      <c r="A195" s="23"/>
      <c r="B195" s="13"/>
      <c r="C195" s="28"/>
      <c r="D195" s="11"/>
      <c r="E195" s="5"/>
      <c r="F195" s="7"/>
      <c r="G195" s="33"/>
      <c r="H195" s="20"/>
      <c r="I195" s="21"/>
      <c r="J195" s="12"/>
      <c r="K195" s="22"/>
    </row>
    <row r="196" spans="1:11" ht="14.25" customHeight="1" x14ac:dyDescent="0.2">
      <c r="A196" s="23"/>
      <c r="B196" s="13"/>
      <c r="C196" s="28"/>
      <c r="D196" s="11"/>
      <c r="E196" s="5"/>
      <c r="F196" s="7"/>
      <c r="G196" s="33"/>
      <c r="H196" s="20"/>
      <c r="I196" s="21"/>
      <c r="J196" s="12"/>
      <c r="K196" s="22"/>
    </row>
    <row r="197" spans="1:11" ht="14.25" customHeight="1" x14ac:dyDescent="0.2">
      <c r="A197" s="23"/>
      <c r="B197" s="13"/>
      <c r="C197" s="28"/>
      <c r="D197" s="11"/>
      <c r="E197" s="5"/>
      <c r="F197" s="7"/>
      <c r="G197" s="33"/>
      <c r="H197" s="20"/>
      <c r="I197" s="21"/>
      <c r="J197" s="12"/>
      <c r="K197" s="22"/>
    </row>
    <row r="198" spans="1:11" ht="14.25" customHeight="1" x14ac:dyDescent="0.2">
      <c r="A198" s="23"/>
      <c r="B198" s="13"/>
      <c r="C198" s="28"/>
      <c r="D198" s="11"/>
      <c r="E198" s="5"/>
      <c r="F198" s="7"/>
      <c r="G198" s="33"/>
      <c r="H198" s="20"/>
      <c r="I198" s="21"/>
      <c r="J198" s="12"/>
      <c r="K198" s="22"/>
    </row>
    <row r="199" spans="1:11" ht="14.25" customHeight="1" x14ac:dyDescent="0.2">
      <c r="A199" s="23"/>
      <c r="B199" s="13"/>
      <c r="C199" s="28"/>
      <c r="D199" s="11"/>
      <c r="E199" s="5"/>
      <c r="F199" s="7"/>
      <c r="G199" s="33"/>
      <c r="H199" s="20"/>
      <c r="I199" s="21"/>
      <c r="J199" s="12"/>
      <c r="K199" s="22"/>
    </row>
    <row r="200" spans="1:11" ht="14.25" customHeight="1" thickBot="1" x14ac:dyDescent="0.25">
      <c r="A200" s="42"/>
      <c r="B200" s="43"/>
      <c r="C200" s="44"/>
      <c r="D200" s="11"/>
      <c r="E200" s="6"/>
      <c r="F200" s="8"/>
      <c r="G200" s="34"/>
      <c r="H200" s="20"/>
      <c r="I200" s="37"/>
      <c r="J200" s="24"/>
      <c r="K200" s="25"/>
    </row>
    <row r="201" spans="1:11" ht="13.5" thickBot="1" x14ac:dyDescent="0.25">
      <c r="B201" s="39" t="s">
        <v>93</v>
      </c>
      <c r="C201" s="10">
        <f>COUNT(C4:C200)</f>
        <v>1</v>
      </c>
      <c r="D201" s="11"/>
      <c r="E201" s="17"/>
      <c r="F201" s="38" t="s">
        <v>94</v>
      </c>
      <c r="G201" s="10">
        <f>COUNT(G4:G200)</f>
        <v>0</v>
      </c>
      <c r="H201" s="26"/>
      <c r="I201" s="32"/>
      <c r="J201" s="12"/>
      <c r="K201" s="22"/>
    </row>
    <row r="202" spans="1:11" ht="13.5" thickBot="1" x14ac:dyDescent="0.25">
      <c r="B202" s="38" t="s">
        <v>92</v>
      </c>
      <c r="C202" s="31">
        <f>SUM(C4:C200)</f>
        <v>6951860</v>
      </c>
      <c r="F202" s="38" t="s">
        <v>95</v>
      </c>
      <c r="G202" s="31">
        <f>SUM(G4:G200)</f>
        <v>0</v>
      </c>
    </row>
    <row r="209" spans="2:8" x14ac:dyDescent="0.2">
      <c r="B209" s="9"/>
      <c r="C209" s="9"/>
      <c r="F209" s="9"/>
      <c r="G209" s="9"/>
      <c r="H209" s="9"/>
    </row>
    <row r="210" spans="2:8" x14ac:dyDescent="0.2">
      <c r="B210" s="9"/>
      <c r="C210" s="9"/>
      <c r="F210" s="9"/>
      <c r="G210" s="9"/>
      <c r="H210" s="9"/>
    </row>
    <row r="225" s="9" customFormat="1" x14ac:dyDescent="0.2"/>
    <row r="226" s="9" customFormat="1" x14ac:dyDescent="0.2"/>
  </sheetData>
  <sortState ref="A5:C18">
    <sortCondition ref="A5"/>
  </sortState>
  <mergeCells count="3">
    <mergeCell ref="A2:C2"/>
    <mergeCell ref="E2:G2"/>
    <mergeCell ref="I2:K3"/>
  </mergeCells>
  <phoneticPr fontId="11" type="noConversion"/>
  <pageMargins left="0.75" right="0.75" top="1" bottom="1" header="0" footer="0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theme="4" tint="-0.249977111117893"/>
  </sheetPr>
  <dimension ref="A1:P115"/>
  <sheetViews>
    <sheetView topLeftCell="A25" zoomScaleNormal="100" workbookViewId="0">
      <selection activeCell="J38" activeCellId="1" sqref="C38:D44 J38:J44"/>
    </sheetView>
  </sheetViews>
  <sheetFormatPr baseColWidth="10" defaultRowHeight="12.75" x14ac:dyDescent="0.2"/>
  <cols>
    <col min="1" max="1" width="13" style="18" bestFit="1" customWidth="1"/>
    <col min="2" max="2" width="10.140625" style="18" bestFit="1" customWidth="1"/>
    <col min="3" max="3" width="13.5703125" style="18" bestFit="1" customWidth="1"/>
    <col min="4" max="4" width="13" style="18" bestFit="1" customWidth="1"/>
    <col min="5" max="5" width="12" style="18" bestFit="1" customWidth="1"/>
    <col min="6" max="6" width="12.42578125" style="18" bestFit="1" customWidth="1"/>
    <col min="7" max="7" width="9.42578125" style="18" bestFit="1" customWidth="1"/>
    <col min="8" max="8" width="17.42578125" style="18" bestFit="1" customWidth="1"/>
    <col min="9" max="9" width="11.7109375" style="18" bestFit="1" customWidth="1"/>
    <col min="10" max="10" width="11" style="60" bestFit="1" customWidth="1"/>
    <col min="11" max="16384" width="11.42578125" style="18"/>
  </cols>
  <sheetData>
    <row r="1" spans="1:16" x14ac:dyDescent="0.2">
      <c r="A1" s="18" t="s">
        <v>120</v>
      </c>
      <c r="B1" s="18" t="s">
        <v>121</v>
      </c>
      <c r="C1" s="18" t="s">
        <v>122</v>
      </c>
      <c r="D1" s="18" t="s">
        <v>123</v>
      </c>
      <c r="E1" s="18" t="s">
        <v>124</v>
      </c>
      <c r="F1" s="18" t="s">
        <v>45</v>
      </c>
      <c r="G1" s="18" t="s">
        <v>125</v>
      </c>
      <c r="H1" s="18" t="s">
        <v>126</v>
      </c>
      <c r="I1" s="18" t="s">
        <v>127</v>
      </c>
      <c r="J1" s="60" t="s">
        <v>128</v>
      </c>
      <c r="K1" s="18" t="s">
        <v>129</v>
      </c>
      <c r="L1" s="18" t="s">
        <v>130</v>
      </c>
      <c r="M1" s="18" t="s">
        <v>131</v>
      </c>
      <c r="N1" s="18" t="s">
        <v>132</v>
      </c>
      <c r="O1" s="18" t="s">
        <v>133</v>
      </c>
    </row>
    <row r="2" spans="1:16" x14ac:dyDescent="0.2">
      <c r="A2" s="18" t="s">
        <v>134</v>
      </c>
      <c r="B2" s="18">
        <v>17524597</v>
      </c>
      <c r="C2" s="45" t="s">
        <v>135</v>
      </c>
      <c r="D2" s="18">
        <v>8</v>
      </c>
      <c r="E2" s="45">
        <v>43061</v>
      </c>
      <c r="F2" s="46" t="s">
        <v>57</v>
      </c>
      <c r="G2" s="46" t="s">
        <v>136</v>
      </c>
      <c r="H2" s="46">
        <v>3247.1777000000002</v>
      </c>
      <c r="I2" s="46">
        <v>1126.7859000000001</v>
      </c>
      <c r="J2" s="60">
        <v>3658874</v>
      </c>
      <c r="K2" s="45">
        <v>0</v>
      </c>
      <c r="L2" s="45" t="s">
        <v>137</v>
      </c>
      <c r="M2" s="45"/>
      <c r="O2" s="45">
        <v>0</v>
      </c>
      <c r="P2" s="45"/>
    </row>
    <row r="3" spans="1:16" x14ac:dyDescent="0.2">
      <c r="A3" s="18" t="s">
        <v>138</v>
      </c>
      <c r="B3" s="18">
        <v>17524728</v>
      </c>
      <c r="C3" s="45" t="s">
        <v>139</v>
      </c>
      <c r="D3" s="18">
        <v>8</v>
      </c>
      <c r="E3" s="45">
        <v>43061</v>
      </c>
      <c r="F3" s="46" t="s">
        <v>57</v>
      </c>
      <c r="G3" s="46" t="s">
        <v>136</v>
      </c>
      <c r="H3" s="46">
        <v>6.9596</v>
      </c>
      <c r="I3" s="46">
        <v>1126.7859000000001</v>
      </c>
      <c r="J3" s="46">
        <v>7842</v>
      </c>
      <c r="K3" s="45">
        <v>0</v>
      </c>
      <c r="L3" s="45" t="s">
        <v>137</v>
      </c>
      <c r="M3" s="45"/>
      <c r="O3" s="45">
        <v>0</v>
      </c>
      <c r="P3" s="45"/>
    </row>
    <row r="4" spans="1:16" x14ac:dyDescent="0.2">
      <c r="A4" s="18" t="s">
        <v>138</v>
      </c>
      <c r="B4" s="18">
        <v>17524573</v>
      </c>
      <c r="C4" s="45" t="s">
        <v>140</v>
      </c>
      <c r="D4" s="18">
        <v>21</v>
      </c>
      <c r="E4" s="45">
        <v>43061</v>
      </c>
      <c r="F4" s="46" t="s">
        <v>57</v>
      </c>
      <c r="G4" s="46" t="s">
        <v>136</v>
      </c>
      <c r="H4" s="46">
        <v>4437.4002</v>
      </c>
      <c r="I4" s="46">
        <v>1126.7859000000001</v>
      </c>
      <c r="J4" s="46">
        <v>5000000</v>
      </c>
      <c r="K4" s="45">
        <v>0</v>
      </c>
      <c r="L4" s="45" t="s">
        <v>137</v>
      </c>
      <c r="M4" s="45"/>
      <c r="O4" s="45">
        <v>0</v>
      </c>
      <c r="P4" s="45"/>
    </row>
    <row r="5" spans="1:16" x14ac:dyDescent="0.2">
      <c r="A5" s="18" t="s">
        <v>141</v>
      </c>
      <c r="B5" s="18">
        <v>17524511</v>
      </c>
      <c r="C5" s="45" t="s">
        <v>142</v>
      </c>
      <c r="D5" s="18">
        <v>8</v>
      </c>
      <c r="E5" s="45">
        <v>43061</v>
      </c>
      <c r="F5" s="18" t="s">
        <v>57</v>
      </c>
      <c r="G5" s="46" t="s">
        <v>136</v>
      </c>
      <c r="H5" s="46">
        <v>25547.324499999999</v>
      </c>
      <c r="I5" s="46">
        <v>1126.7859000000001</v>
      </c>
      <c r="J5" s="46">
        <v>28786365</v>
      </c>
      <c r="K5" s="45">
        <v>0</v>
      </c>
      <c r="L5" s="45" t="s">
        <v>137</v>
      </c>
      <c r="M5" s="45"/>
      <c r="O5" s="45">
        <v>0</v>
      </c>
      <c r="P5" s="45"/>
    </row>
    <row r="6" spans="1:16" x14ac:dyDescent="0.2">
      <c r="A6" s="18" t="s">
        <v>143</v>
      </c>
      <c r="B6" s="18">
        <v>17524623</v>
      </c>
      <c r="C6" s="45" t="s">
        <v>144</v>
      </c>
      <c r="D6" s="18">
        <v>8</v>
      </c>
      <c r="E6" s="45">
        <v>43061</v>
      </c>
      <c r="F6" s="18" t="s">
        <v>57</v>
      </c>
      <c r="G6" s="46" t="s">
        <v>136</v>
      </c>
      <c r="H6" s="46">
        <v>2874.4200999999998</v>
      </c>
      <c r="I6" s="46">
        <v>1126.7859000000001</v>
      </c>
      <c r="J6" s="46">
        <v>3238856</v>
      </c>
      <c r="K6" s="45">
        <v>0</v>
      </c>
      <c r="L6" s="45" t="s">
        <v>137</v>
      </c>
      <c r="M6" s="45"/>
      <c r="O6" s="45">
        <v>0</v>
      </c>
      <c r="P6" s="45"/>
    </row>
    <row r="7" spans="1:16" x14ac:dyDescent="0.2">
      <c r="A7" s="18" t="s">
        <v>143</v>
      </c>
      <c r="B7" s="18">
        <v>17524641</v>
      </c>
      <c r="C7" s="45" t="s">
        <v>145</v>
      </c>
      <c r="D7" s="18">
        <v>8</v>
      </c>
      <c r="E7" s="45">
        <v>43061</v>
      </c>
      <c r="F7" s="18" t="s">
        <v>57</v>
      </c>
      <c r="G7" s="46" t="s">
        <v>136</v>
      </c>
      <c r="H7" s="46">
        <v>13220.622499999999</v>
      </c>
      <c r="I7" s="46">
        <v>1126.7859000000001</v>
      </c>
      <c r="J7" s="46">
        <v>14896811</v>
      </c>
      <c r="K7" s="45">
        <v>0</v>
      </c>
      <c r="L7" s="45" t="s">
        <v>137</v>
      </c>
      <c r="M7" s="45"/>
      <c r="O7" s="45">
        <v>0</v>
      </c>
      <c r="P7" s="45"/>
    </row>
    <row r="8" spans="1:16" x14ac:dyDescent="0.2">
      <c r="A8" s="18" t="s">
        <v>143</v>
      </c>
      <c r="B8" s="18">
        <v>17524639</v>
      </c>
      <c r="C8" s="45" t="s">
        <v>146</v>
      </c>
      <c r="D8" s="18">
        <v>8</v>
      </c>
      <c r="E8" s="45">
        <v>43061</v>
      </c>
      <c r="F8" s="18" t="s">
        <v>57</v>
      </c>
      <c r="G8" s="46" t="s">
        <v>136</v>
      </c>
      <c r="H8" s="46">
        <v>33013.616000000002</v>
      </c>
      <c r="I8" s="46">
        <v>1126.7859000000001</v>
      </c>
      <c r="J8" s="46">
        <v>37199277</v>
      </c>
      <c r="K8" s="45">
        <v>0</v>
      </c>
      <c r="L8" s="45" t="s">
        <v>137</v>
      </c>
      <c r="M8" s="45"/>
      <c r="O8" s="45">
        <v>0</v>
      </c>
      <c r="P8" s="45"/>
    </row>
    <row r="9" spans="1:16" x14ac:dyDescent="0.2">
      <c r="A9" s="18" t="s">
        <v>134</v>
      </c>
      <c r="B9" s="18">
        <v>17524643</v>
      </c>
      <c r="C9" s="45" t="s">
        <v>135</v>
      </c>
      <c r="D9" s="18">
        <v>8</v>
      </c>
      <c r="E9" s="45">
        <v>43061</v>
      </c>
      <c r="F9" s="46" t="s">
        <v>64</v>
      </c>
      <c r="G9" s="46" t="s">
        <v>136</v>
      </c>
      <c r="H9" s="46">
        <v>5781.1058999999996</v>
      </c>
      <c r="I9" s="46">
        <v>1898.7061000000001</v>
      </c>
      <c r="J9" s="46">
        <v>10976621</v>
      </c>
      <c r="K9" s="45">
        <v>0</v>
      </c>
      <c r="L9" s="45" t="s">
        <v>137</v>
      </c>
      <c r="M9" s="45"/>
      <c r="O9" s="45">
        <v>0</v>
      </c>
      <c r="P9" s="45"/>
    </row>
    <row r="10" spans="1:16" x14ac:dyDescent="0.2">
      <c r="A10" s="18" t="s">
        <v>147</v>
      </c>
      <c r="B10" s="18">
        <v>17524543</v>
      </c>
      <c r="C10" s="45" t="s">
        <v>148</v>
      </c>
      <c r="D10" s="18">
        <v>8</v>
      </c>
      <c r="E10" s="45">
        <v>43061</v>
      </c>
      <c r="F10" s="18" t="s">
        <v>64</v>
      </c>
      <c r="G10" s="46" t="s">
        <v>136</v>
      </c>
      <c r="H10" s="46">
        <v>105.377</v>
      </c>
      <c r="I10" s="46">
        <v>1898.7061000000001</v>
      </c>
      <c r="J10" s="46">
        <v>200080</v>
      </c>
      <c r="K10" s="45">
        <v>0</v>
      </c>
      <c r="L10" s="45" t="s">
        <v>137</v>
      </c>
      <c r="M10" s="45"/>
      <c r="O10" s="45">
        <v>0</v>
      </c>
      <c r="P10" s="45"/>
    </row>
    <row r="11" spans="1:16" x14ac:dyDescent="0.2">
      <c r="A11" s="18" t="s">
        <v>134</v>
      </c>
      <c r="B11" s="18">
        <v>17524737</v>
      </c>
      <c r="C11" s="45" t="s">
        <v>149</v>
      </c>
      <c r="D11" s="18">
        <v>8</v>
      </c>
      <c r="E11" s="45">
        <v>43061</v>
      </c>
      <c r="F11" s="46" t="s">
        <v>50</v>
      </c>
      <c r="G11" s="46" t="s">
        <v>136</v>
      </c>
      <c r="H11" s="46">
        <v>13861.018599999999</v>
      </c>
      <c r="I11" s="46">
        <v>1442.8954000000001</v>
      </c>
      <c r="J11" s="46">
        <v>20000000</v>
      </c>
      <c r="K11" s="45">
        <v>0</v>
      </c>
      <c r="L11" s="45" t="s">
        <v>137</v>
      </c>
      <c r="M11" s="45" t="s">
        <v>150</v>
      </c>
      <c r="O11" s="45">
        <v>0</v>
      </c>
      <c r="P11" s="45"/>
    </row>
    <row r="12" spans="1:16" x14ac:dyDescent="0.2">
      <c r="A12" s="18" t="s">
        <v>134</v>
      </c>
      <c r="B12" s="18">
        <v>17524603</v>
      </c>
      <c r="C12" s="45" t="s">
        <v>135</v>
      </c>
      <c r="D12" s="18">
        <v>8</v>
      </c>
      <c r="E12" s="45">
        <v>43061</v>
      </c>
      <c r="F12" s="18" t="s">
        <v>80</v>
      </c>
      <c r="G12" s="46" t="s">
        <v>136</v>
      </c>
      <c r="H12" s="18">
        <v>16585.059700000002</v>
      </c>
      <c r="I12" s="46">
        <v>1544.2885000000001</v>
      </c>
      <c r="J12" s="46">
        <v>25612117</v>
      </c>
      <c r="K12" s="45">
        <v>0</v>
      </c>
      <c r="L12" s="45" t="s">
        <v>137</v>
      </c>
      <c r="M12" s="45"/>
      <c r="O12" s="45">
        <v>0</v>
      </c>
      <c r="P12" s="45"/>
    </row>
    <row r="13" spans="1:16" x14ac:dyDescent="0.2">
      <c r="A13" s="18" t="s">
        <v>151</v>
      </c>
      <c r="B13" s="18">
        <v>17524581</v>
      </c>
      <c r="C13" s="45" t="s">
        <v>152</v>
      </c>
      <c r="D13" s="18">
        <v>8</v>
      </c>
      <c r="E13" s="45">
        <v>43061</v>
      </c>
      <c r="F13" s="46" t="s">
        <v>55</v>
      </c>
      <c r="G13" s="46" t="s">
        <v>136</v>
      </c>
      <c r="H13" s="46">
        <v>136.25880000000001</v>
      </c>
      <c r="I13" s="46">
        <v>1761.3536999999999</v>
      </c>
      <c r="J13" s="46">
        <v>240000</v>
      </c>
      <c r="K13" s="45">
        <v>0</v>
      </c>
      <c r="L13" s="45" t="s">
        <v>137</v>
      </c>
      <c r="M13" s="45"/>
      <c r="O13" s="45">
        <v>0</v>
      </c>
      <c r="P13" s="45"/>
    </row>
    <row r="14" spans="1:16" x14ac:dyDescent="0.2">
      <c r="A14" s="18" t="s">
        <v>153</v>
      </c>
      <c r="B14" s="18">
        <v>17524724</v>
      </c>
      <c r="C14" s="45" t="s">
        <v>154</v>
      </c>
      <c r="D14" s="18">
        <v>8</v>
      </c>
      <c r="E14" s="45">
        <v>43061</v>
      </c>
      <c r="F14" s="46" t="s">
        <v>55</v>
      </c>
      <c r="G14" s="46" t="s">
        <v>136</v>
      </c>
      <c r="H14" s="46">
        <v>1334.2011</v>
      </c>
      <c r="I14" s="46">
        <v>1761.3536999999999</v>
      </c>
      <c r="J14" s="46">
        <v>2350000</v>
      </c>
      <c r="K14" s="45">
        <v>0</v>
      </c>
      <c r="L14" s="45" t="s">
        <v>137</v>
      </c>
      <c r="M14" s="45" t="s">
        <v>150</v>
      </c>
      <c r="O14" s="45">
        <v>0</v>
      </c>
      <c r="P14" s="45"/>
    </row>
    <row r="15" spans="1:16" x14ac:dyDescent="0.2">
      <c r="A15" s="18" t="s">
        <v>138</v>
      </c>
      <c r="B15" s="18">
        <v>17523986</v>
      </c>
      <c r="C15" s="45" t="s">
        <v>155</v>
      </c>
      <c r="D15" s="18">
        <v>21</v>
      </c>
      <c r="E15" s="45">
        <v>43061</v>
      </c>
      <c r="F15" s="46" t="s">
        <v>55</v>
      </c>
      <c r="G15" s="46"/>
      <c r="H15" s="46">
        <v>28387.2569</v>
      </c>
      <c r="I15" s="46">
        <v>1761.3536999999999</v>
      </c>
      <c r="J15" s="46">
        <v>50000000</v>
      </c>
      <c r="K15" s="45">
        <v>0</v>
      </c>
      <c r="L15" s="45" t="s">
        <v>137</v>
      </c>
      <c r="M15" s="45"/>
      <c r="N15" s="18" t="s">
        <v>156</v>
      </c>
      <c r="O15" s="45">
        <v>13622</v>
      </c>
      <c r="P15" s="45"/>
    </row>
    <row r="16" spans="1:16" x14ac:dyDescent="0.2">
      <c r="A16" s="18" t="s">
        <v>134</v>
      </c>
      <c r="B16" s="18">
        <v>17524633</v>
      </c>
      <c r="C16" s="45" t="s">
        <v>135</v>
      </c>
      <c r="D16" s="18">
        <v>8</v>
      </c>
      <c r="E16" s="45">
        <v>43061</v>
      </c>
      <c r="F16" s="46" t="s">
        <v>56</v>
      </c>
      <c r="G16" s="46" t="s">
        <v>136</v>
      </c>
      <c r="H16" s="46">
        <v>5160.6028999999999</v>
      </c>
      <c r="I16" s="46">
        <v>1347.1023</v>
      </c>
      <c r="J16" s="46">
        <v>6951860</v>
      </c>
      <c r="K16" s="45">
        <v>0</v>
      </c>
      <c r="L16" s="45" t="s">
        <v>137</v>
      </c>
      <c r="M16" s="45"/>
      <c r="O16" s="45">
        <v>0</v>
      </c>
      <c r="P16" s="45"/>
    </row>
    <row r="17" spans="1:16" x14ac:dyDescent="0.2">
      <c r="A17" s="18" t="s">
        <v>157</v>
      </c>
      <c r="B17" s="18">
        <v>17524486</v>
      </c>
      <c r="C17" s="45" t="s">
        <v>158</v>
      </c>
      <c r="D17" s="18">
        <v>8</v>
      </c>
      <c r="E17" s="45">
        <v>43061</v>
      </c>
      <c r="F17" s="18" t="s">
        <v>52</v>
      </c>
      <c r="G17" s="46" t="s">
        <v>136</v>
      </c>
      <c r="H17" s="46">
        <v>1891.8195000000001</v>
      </c>
      <c r="I17" s="46">
        <v>1549.6558</v>
      </c>
      <c r="J17" s="46">
        <v>2931669</v>
      </c>
      <c r="K17" s="45">
        <v>0</v>
      </c>
      <c r="L17" s="45" t="s">
        <v>137</v>
      </c>
      <c r="M17" s="45"/>
      <c r="O17" s="45">
        <v>0</v>
      </c>
      <c r="P17" s="45"/>
    </row>
    <row r="18" spans="1:16" x14ac:dyDescent="0.2">
      <c r="A18" s="18" t="s">
        <v>159</v>
      </c>
      <c r="B18" s="18">
        <v>17524488</v>
      </c>
      <c r="C18" s="45" t="s">
        <v>160</v>
      </c>
      <c r="D18" s="18">
        <v>8</v>
      </c>
      <c r="E18" s="45">
        <v>43061</v>
      </c>
      <c r="F18" s="46" t="s">
        <v>52</v>
      </c>
      <c r="G18" s="46" t="s">
        <v>136</v>
      </c>
      <c r="H18" s="46">
        <v>36672.976000000002</v>
      </c>
      <c r="I18" s="46">
        <v>1549.6558</v>
      </c>
      <c r="J18" s="46">
        <v>56830490</v>
      </c>
      <c r="K18" s="45">
        <v>0</v>
      </c>
      <c r="L18" s="45" t="s">
        <v>137</v>
      </c>
      <c r="M18" s="45"/>
      <c r="O18" s="45">
        <v>0</v>
      </c>
      <c r="P18" s="45"/>
    </row>
    <row r="19" spans="1:16" x14ac:dyDescent="0.2">
      <c r="A19" s="18" t="s">
        <v>138</v>
      </c>
      <c r="B19" s="18">
        <v>17524584</v>
      </c>
      <c r="C19" s="45" t="s">
        <v>161</v>
      </c>
      <c r="D19" s="18">
        <v>15</v>
      </c>
      <c r="E19" s="45">
        <v>43061</v>
      </c>
      <c r="F19" s="18" t="s">
        <v>52</v>
      </c>
      <c r="G19" s="46" t="s">
        <v>136</v>
      </c>
      <c r="H19" s="46">
        <v>406.90260000000001</v>
      </c>
      <c r="I19" s="46">
        <v>1549.6558</v>
      </c>
      <c r="J19" s="46">
        <v>630559</v>
      </c>
      <c r="K19" s="45">
        <v>0</v>
      </c>
      <c r="L19" s="45" t="s">
        <v>137</v>
      </c>
      <c r="M19" s="45"/>
      <c r="O19" s="45">
        <v>0</v>
      </c>
      <c r="P19" s="45"/>
    </row>
    <row r="20" spans="1:16" x14ac:dyDescent="0.2">
      <c r="A20" s="18" t="s">
        <v>138</v>
      </c>
      <c r="B20" s="18">
        <v>17524698</v>
      </c>
      <c r="C20" s="45" t="s">
        <v>162</v>
      </c>
      <c r="D20" s="18">
        <v>15</v>
      </c>
      <c r="E20" s="45">
        <v>43061</v>
      </c>
      <c r="F20" s="18" t="s">
        <v>52</v>
      </c>
      <c r="G20" s="46" t="s">
        <v>136</v>
      </c>
      <c r="H20" s="46">
        <v>11713.4928</v>
      </c>
      <c r="I20" s="46">
        <v>1549.6558</v>
      </c>
      <c r="J20" s="46">
        <v>18151882</v>
      </c>
      <c r="K20" s="45">
        <v>0</v>
      </c>
      <c r="L20" s="45" t="s">
        <v>137</v>
      </c>
      <c r="M20" s="45"/>
      <c r="O20" s="45">
        <v>0</v>
      </c>
      <c r="P20" s="45"/>
    </row>
    <row r="21" spans="1:16" x14ac:dyDescent="0.2">
      <c r="A21" s="18" t="s">
        <v>163</v>
      </c>
      <c r="B21" s="18">
        <v>17524575</v>
      </c>
      <c r="C21" s="45" t="s">
        <v>164</v>
      </c>
      <c r="D21" s="18">
        <v>8</v>
      </c>
      <c r="E21" s="45">
        <v>43061</v>
      </c>
      <c r="F21" s="46" t="s">
        <v>52</v>
      </c>
      <c r="G21" s="46" t="s">
        <v>136</v>
      </c>
      <c r="H21" s="46">
        <v>23094.061300000001</v>
      </c>
      <c r="I21" s="46">
        <v>1549.6558</v>
      </c>
      <c r="J21" s="46">
        <v>35787846</v>
      </c>
      <c r="K21" s="45">
        <v>0</v>
      </c>
      <c r="L21" s="45" t="s">
        <v>137</v>
      </c>
      <c r="M21" s="45"/>
      <c r="O21" s="45">
        <v>0</v>
      </c>
      <c r="P21" s="45"/>
    </row>
    <row r="22" spans="1:16" x14ac:dyDescent="0.2">
      <c r="A22" s="18" t="s">
        <v>165</v>
      </c>
      <c r="B22" s="18">
        <v>17524610</v>
      </c>
      <c r="C22" s="45" t="s">
        <v>166</v>
      </c>
      <c r="D22" s="18">
        <v>8</v>
      </c>
      <c r="E22" s="45">
        <v>43061</v>
      </c>
      <c r="F22" s="46" t="s">
        <v>52</v>
      </c>
      <c r="G22" s="46" t="s">
        <v>136</v>
      </c>
      <c r="H22" s="46">
        <v>10.6921</v>
      </c>
      <c r="I22" s="46">
        <v>1549.6558</v>
      </c>
      <c r="J22" s="46">
        <v>16569</v>
      </c>
      <c r="K22" s="45">
        <v>0</v>
      </c>
      <c r="L22" s="45" t="s">
        <v>137</v>
      </c>
      <c r="M22" s="45"/>
      <c r="O22" s="45">
        <v>0</v>
      </c>
      <c r="P22" s="45"/>
    </row>
    <row r="23" spans="1:16" x14ac:dyDescent="0.2">
      <c r="A23" s="18" t="s">
        <v>165</v>
      </c>
      <c r="B23" s="18">
        <v>17524560</v>
      </c>
      <c r="C23" s="45" t="s">
        <v>167</v>
      </c>
      <c r="D23" s="18">
        <v>8</v>
      </c>
      <c r="E23" s="45">
        <v>43061</v>
      </c>
      <c r="F23" s="46" t="s">
        <v>52</v>
      </c>
      <c r="G23" s="46" t="s">
        <v>136</v>
      </c>
      <c r="H23" s="46">
        <v>0.4098</v>
      </c>
      <c r="I23" s="46">
        <v>1549.6558</v>
      </c>
      <c r="J23" s="46">
        <v>635</v>
      </c>
      <c r="K23" s="45">
        <v>0</v>
      </c>
      <c r="L23" s="45" t="s">
        <v>137</v>
      </c>
      <c r="M23" s="45"/>
      <c r="O23" s="45">
        <v>0</v>
      </c>
      <c r="P23" s="45"/>
    </row>
    <row r="24" spans="1:16" x14ac:dyDescent="0.2">
      <c r="A24" s="18" t="s">
        <v>168</v>
      </c>
      <c r="B24" s="18">
        <v>17524688</v>
      </c>
      <c r="C24" s="45" t="s">
        <v>169</v>
      </c>
      <c r="D24" s="18">
        <v>8</v>
      </c>
      <c r="E24" s="45">
        <v>43061</v>
      </c>
      <c r="F24" s="46" t="s">
        <v>52</v>
      </c>
      <c r="G24" s="46" t="s">
        <v>136</v>
      </c>
      <c r="H24" s="46">
        <v>136931.1159</v>
      </c>
      <c r="I24" s="46">
        <v>1549.6558</v>
      </c>
      <c r="J24" s="46">
        <v>212196098</v>
      </c>
      <c r="K24" s="45">
        <v>0</v>
      </c>
      <c r="L24" s="45" t="s">
        <v>137</v>
      </c>
      <c r="M24" s="45"/>
      <c r="O24" s="45">
        <v>0</v>
      </c>
      <c r="P24" s="45"/>
    </row>
    <row r="25" spans="1:16" x14ac:dyDescent="0.2">
      <c r="A25" s="18" t="s">
        <v>143</v>
      </c>
      <c r="B25" s="18">
        <v>17524619</v>
      </c>
      <c r="C25" s="45" t="s">
        <v>170</v>
      </c>
      <c r="D25" s="18">
        <v>9</v>
      </c>
      <c r="E25" s="45">
        <v>43061</v>
      </c>
      <c r="F25" s="18" t="s">
        <v>52</v>
      </c>
      <c r="G25" s="46" t="s">
        <v>136</v>
      </c>
      <c r="H25" s="46">
        <v>5183.9117999999999</v>
      </c>
      <c r="I25" s="46">
        <v>1549.6558</v>
      </c>
      <c r="J25" s="46">
        <v>8033279</v>
      </c>
      <c r="K25" s="45">
        <v>0</v>
      </c>
      <c r="L25" s="45" t="s">
        <v>137</v>
      </c>
      <c r="M25" s="45"/>
      <c r="O25" s="45">
        <v>0</v>
      </c>
      <c r="P25" s="45"/>
    </row>
    <row r="26" spans="1:16" x14ac:dyDescent="0.2">
      <c r="A26" s="18" t="s">
        <v>165</v>
      </c>
      <c r="B26" s="18">
        <v>17524621</v>
      </c>
      <c r="C26" s="45" t="s">
        <v>171</v>
      </c>
      <c r="D26" s="18">
        <v>9</v>
      </c>
      <c r="E26" s="45">
        <v>43061</v>
      </c>
      <c r="F26" s="46" t="s">
        <v>52</v>
      </c>
      <c r="G26" s="46" t="s">
        <v>136</v>
      </c>
      <c r="H26" s="46">
        <v>782.54409999999996</v>
      </c>
      <c r="I26" s="46">
        <v>1549.6558</v>
      </c>
      <c r="J26" s="46">
        <v>1212674</v>
      </c>
      <c r="K26" s="45">
        <v>0</v>
      </c>
      <c r="L26" s="45" t="s">
        <v>137</v>
      </c>
      <c r="M26" s="45"/>
      <c r="O26" s="45">
        <v>0</v>
      </c>
      <c r="P26" s="45"/>
    </row>
    <row r="27" spans="1:16" x14ac:dyDescent="0.2">
      <c r="A27" s="18" t="s">
        <v>172</v>
      </c>
      <c r="B27" s="18">
        <v>17524552</v>
      </c>
      <c r="C27" s="45" t="s">
        <v>173</v>
      </c>
      <c r="D27" s="18">
        <v>8</v>
      </c>
      <c r="E27" s="45">
        <v>43061</v>
      </c>
      <c r="F27" s="18" t="s">
        <v>52</v>
      </c>
      <c r="G27" s="18" t="s">
        <v>136</v>
      </c>
      <c r="H27" s="46">
        <v>163811.5509</v>
      </c>
      <c r="I27" s="46">
        <v>1549.6558</v>
      </c>
      <c r="J27" s="46">
        <v>253851520</v>
      </c>
      <c r="K27" s="45">
        <v>0</v>
      </c>
      <c r="L27" s="45" t="s">
        <v>137</v>
      </c>
      <c r="M27" s="45"/>
      <c r="O27" s="45">
        <v>0</v>
      </c>
      <c r="P27" s="45"/>
    </row>
    <row r="28" spans="1:16" x14ac:dyDescent="0.2">
      <c r="A28" s="18" t="s">
        <v>157</v>
      </c>
      <c r="B28" s="18">
        <v>17524627</v>
      </c>
      <c r="C28" s="45" t="s">
        <v>174</v>
      </c>
      <c r="D28" s="18">
        <v>10</v>
      </c>
      <c r="E28" s="45">
        <v>43061</v>
      </c>
      <c r="F28" s="18" t="s">
        <v>52</v>
      </c>
      <c r="G28" s="18" t="s">
        <v>136</v>
      </c>
      <c r="H28" s="46">
        <v>2664.1374000000001</v>
      </c>
      <c r="I28" s="46">
        <v>1549.6558</v>
      </c>
      <c r="J28" s="46">
        <v>4128496</v>
      </c>
      <c r="K28" s="45">
        <v>0</v>
      </c>
      <c r="L28" s="45" t="s">
        <v>137</v>
      </c>
      <c r="M28" s="45"/>
      <c r="O28" s="45">
        <v>0</v>
      </c>
      <c r="P28" s="45"/>
    </row>
    <row r="29" spans="1:16" x14ac:dyDescent="0.2">
      <c r="A29" s="18" t="s">
        <v>175</v>
      </c>
      <c r="B29" s="18">
        <v>17524629</v>
      </c>
      <c r="C29" s="45" t="s">
        <v>176</v>
      </c>
      <c r="D29" s="18">
        <v>20</v>
      </c>
      <c r="E29" s="45">
        <v>43061</v>
      </c>
      <c r="F29" s="18" t="s">
        <v>52</v>
      </c>
      <c r="G29" s="18" t="s">
        <v>136</v>
      </c>
      <c r="H29" s="46">
        <v>5.9999999999999995E-4</v>
      </c>
      <c r="I29" s="46">
        <v>1549.6558</v>
      </c>
      <c r="J29" s="46">
        <v>1</v>
      </c>
      <c r="K29" s="45">
        <v>0</v>
      </c>
      <c r="L29" s="45" t="s">
        <v>137</v>
      </c>
      <c r="M29" s="45"/>
      <c r="O29" s="45">
        <v>0</v>
      </c>
      <c r="P29" s="45"/>
    </row>
    <row r="30" spans="1:16" x14ac:dyDescent="0.2">
      <c r="A30" s="18" t="s">
        <v>168</v>
      </c>
      <c r="B30" s="18">
        <v>17524661</v>
      </c>
      <c r="C30" s="45" t="s">
        <v>177</v>
      </c>
      <c r="D30" s="18">
        <v>0</v>
      </c>
      <c r="E30" s="45">
        <v>43061</v>
      </c>
      <c r="F30" s="18" t="s">
        <v>52</v>
      </c>
      <c r="G30" s="18" t="s">
        <v>136</v>
      </c>
      <c r="H30" s="46">
        <v>7258.8073999999997</v>
      </c>
      <c r="I30" s="46">
        <v>1549.6558</v>
      </c>
      <c r="J30" s="46">
        <v>11248653</v>
      </c>
      <c r="K30" s="45">
        <v>0</v>
      </c>
      <c r="L30" s="45" t="s">
        <v>137</v>
      </c>
      <c r="M30" s="45"/>
      <c r="O30" s="45">
        <v>0</v>
      </c>
      <c r="P30" s="45"/>
    </row>
    <row r="31" spans="1:16" x14ac:dyDescent="0.2">
      <c r="A31" s="18" t="s">
        <v>178</v>
      </c>
      <c r="B31" s="18">
        <v>17524637</v>
      </c>
      <c r="C31" s="45" t="s">
        <v>179</v>
      </c>
      <c r="D31" s="18">
        <v>9</v>
      </c>
      <c r="E31" s="45">
        <v>43061</v>
      </c>
      <c r="F31" s="18" t="s">
        <v>52</v>
      </c>
      <c r="G31" s="18" t="s">
        <v>136</v>
      </c>
      <c r="H31" s="46">
        <v>5.9999999999999995E-4</v>
      </c>
      <c r="I31" s="46">
        <v>1549.6558</v>
      </c>
      <c r="J31" s="46">
        <v>1</v>
      </c>
      <c r="K31" s="45">
        <v>0</v>
      </c>
      <c r="L31" s="45" t="s">
        <v>137</v>
      </c>
      <c r="M31" s="45"/>
      <c r="O31" s="45">
        <v>0</v>
      </c>
      <c r="P31" s="45"/>
    </row>
    <row r="32" spans="1:16" x14ac:dyDescent="0.2">
      <c r="A32" s="18" t="s">
        <v>134</v>
      </c>
      <c r="B32" s="18">
        <v>17524531</v>
      </c>
      <c r="C32" s="45" t="s">
        <v>180</v>
      </c>
      <c r="D32" s="18">
        <v>8</v>
      </c>
      <c r="E32" s="45">
        <v>43061</v>
      </c>
      <c r="F32" s="18" t="s">
        <v>52</v>
      </c>
      <c r="G32" s="18" t="s">
        <v>136</v>
      </c>
      <c r="H32" s="18">
        <v>645.30460000000005</v>
      </c>
      <c r="I32" s="46">
        <v>1549.6558</v>
      </c>
      <c r="J32" s="46">
        <v>1000000</v>
      </c>
      <c r="K32" s="45">
        <v>0</v>
      </c>
      <c r="L32" s="45" t="s">
        <v>137</v>
      </c>
      <c r="M32" s="45"/>
      <c r="O32" s="45">
        <v>0</v>
      </c>
      <c r="P32" s="45"/>
    </row>
    <row r="33" spans="1:16" x14ac:dyDescent="0.2">
      <c r="A33" s="18" t="s">
        <v>168</v>
      </c>
      <c r="B33" s="18">
        <v>17524671</v>
      </c>
      <c r="C33" s="45" t="s">
        <v>181</v>
      </c>
      <c r="D33" s="18">
        <v>8</v>
      </c>
      <c r="E33" s="45">
        <v>43061</v>
      </c>
      <c r="F33" s="18" t="s">
        <v>52</v>
      </c>
      <c r="G33" s="18" t="s">
        <v>136</v>
      </c>
      <c r="H33" s="46">
        <v>91817.526800000007</v>
      </c>
      <c r="I33" s="18">
        <v>1549.6558</v>
      </c>
      <c r="J33" s="46">
        <v>142285563</v>
      </c>
      <c r="K33" s="45">
        <v>0</v>
      </c>
      <c r="L33" s="45" t="s">
        <v>137</v>
      </c>
      <c r="M33" s="45"/>
      <c r="O33" s="45">
        <v>0</v>
      </c>
      <c r="P33" s="45"/>
    </row>
    <row r="34" spans="1:16" x14ac:dyDescent="0.2">
      <c r="A34" s="18" t="s">
        <v>182</v>
      </c>
      <c r="B34" s="18">
        <v>17524517</v>
      </c>
      <c r="C34" s="45" t="s">
        <v>183</v>
      </c>
      <c r="D34" s="18">
        <v>21</v>
      </c>
      <c r="E34" s="45">
        <v>43061</v>
      </c>
      <c r="F34" s="18" t="s">
        <v>52</v>
      </c>
      <c r="G34" s="18" t="s">
        <v>136</v>
      </c>
      <c r="H34" s="18">
        <v>287.7407</v>
      </c>
      <c r="I34" s="18">
        <v>1549.6558</v>
      </c>
      <c r="J34" s="60">
        <v>445899</v>
      </c>
      <c r="K34" s="45">
        <v>0</v>
      </c>
      <c r="L34" s="45" t="s">
        <v>137</v>
      </c>
      <c r="M34" s="45"/>
      <c r="O34" s="45">
        <v>0</v>
      </c>
      <c r="P34" s="45"/>
    </row>
    <row r="35" spans="1:16" x14ac:dyDescent="0.2">
      <c r="A35" s="18" t="s">
        <v>184</v>
      </c>
      <c r="B35" s="18">
        <v>17524658</v>
      </c>
      <c r="C35" s="45" t="s">
        <v>185</v>
      </c>
      <c r="D35" s="18">
        <v>8</v>
      </c>
      <c r="E35" s="45">
        <v>43061</v>
      </c>
      <c r="F35" s="18" t="s">
        <v>52</v>
      </c>
      <c r="G35" s="18" t="s">
        <v>136</v>
      </c>
      <c r="H35" s="18">
        <v>47212.588100000001</v>
      </c>
      <c r="I35" s="18">
        <v>1549.6558</v>
      </c>
      <c r="J35" s="60">
        <v>73163261</v>
      </c>
      <c r="K35" s="45">
        <v>0</v>
      </c>
      <c r="L35" s="45" t="s">
        <v>137</v>
      </c>
      <c r="M35" s="45"/>
      <c r="O35" s="45">
        <v>0</v>
      </c>
      <c r="P35" s="45"/>
    </row>
    <row r="36" spans="1:16" x14ac:dyDescent="0.2">
      <c r="A36" s="18" t="s">
        <v>163</v>
      </c>
      <c r="B36" s="18">
        <v>17524730</v>
      </c>
      <c r="C36" s="45" t="s">
        <v>186</v>
      </c>
      <c r="D36" s="18">
        <v>22</v>
      </c>
      <c r="E36" s="45">
        <v>43061</v>
      </c>
      <c r="F36" s="18" t="s">
        <v>58</v>
      </c>
      <c r="G36" s="18" t="s">
        <v>136</v>
      </c>
      <c r="H36" s="18">
        <v>1608.3937000000001</v>
      </c>
      <c r="I36" s="18">
        <v>1279.5779</v>
      </c>
      <c r="J36" s="60">
        <v>2058065</v>
      </c>
      <c r="K36" s="45">
        <v>0</v>
      </c>
      <c r="L36" s="45" t="s">
        <v>137</v>
      </c>
      <c r="M36" s="45" t="s">
        <v>150</v>
      </c>
      <c r="O36" s="45">
        <v>0</v>
      </c>
      <c r="P36" s="45"/>
    </row>
    <row r="37" spans="1:16" x14ac:dyDescent="0.2">
      <c r="A37" s="18" t="s">
        <v>134</v>
      </c>
      <c r="B37" s="18">
        <v>17524600</v>
      </c>
      <c r="C37" s="45" t="s">
        <v>135</v>
      </c>
      <c r="D37" s="18">
        <v>8</v>
      </c>
      <c r="E37" s="45">
        <v>43061</v>
      </c>
      <c r="F37" s="18" t="s">
        <v>53</v>
      </c>
      <c r="G37" s="18" t="s">
        <v>136</v>
      </c>
      <c r="H37" s="18">
        <v>3494.7891</v>
      </c>
      <c r="I37" s="18">
        <v>1046.9512999999999</v>
      </c>
      <c r="J37" s="60">
        <v>3658874</v>
      </c>
      <c r="K37" s="45">
        <v>0</v>
      </c>
      <c r="L37" s="45" t="s">
        <v>137</v>
      </c>
      <c r="M37" s="45"/>
      <c r="O37" s="45">
        <v>0</v>
      </c>
      <c r="P37" s="45"/>
    </row>
    <row r="38" spans="1:16" x14ac:dyDescent="0.2">
      <c r="A38" s="18" t="s">
        <v>187</v>
      </c>
      <c r="B38" s="18">
        <v>17524588</v>
      </c>
      <c r="C38" s="45" t="s">
        <v>188</v>
      </c>
      <c r="D38" s="18">
        <v>8</v>
      </c>
      <c r="E38" s="45">
        <v>43061</v>
      </c>
      <c r="F38" s="18" t="s">
        <v>51</v>
      </c>
      <c r="G38" s="18" t="s">
        <v>136</v>
      </c>
      <c r="H38" s="18">
        <v>590.048</v>
      </c>
      <c r="I38" s="18">
        <v>1731.1863000000001</v>
      </c>
      <c r="J38" s="60">
        <v>1021483</v>
      </c>
      <c r="K38" s="45">
        <v>0</v>
      </c>
      <c r="L38" s="45" t="s">
        <v>137</v>
      </c>
      <c r="M38" s="45"/>
      <c r="O38" s="45">
        <v>0</v>
      </c>
      <c r="P38" s="45"/>
    </row>
    <row r="39" spans="1:16" x14ac:dyDescent="0.2">
      <c r="A39" s="18" t="s">
        <v>165</v>
      </c>
      <c r="B39" s="18">
        <v>17524520</v>
      </c>
      <c r="C39" s="45" t="s">
        <v>189</v>
      </c>
      <c r="D39" s="18">
        <v>8</v>
      </c>
      <c r="E39" s="45">
        <v>43061</v>
      </c>
      <c r="F39" s="18" t="s">
        <v>51</v>
      </c>
      <c r="G39" s="18" t="s">
        <v>136</v>
      </c>
      <c r="H39" s="18">
        <v>259.93740000000003</v>
      </c>
      <c r="I39" s="18">
        <v>1731.1863000000001</v>
      </c>
      <c r="J39" s="60">
        <v>450000</v>
      </c>
      <c r="K39" s="45">
        <v>0</v>
      </c>
      <c r="L39" s="45" t="s">
        <v>137</v>
      </c>
      <c r="M39" s="45"/>
      <c r="O39" s="45">
        <v>0</v>
      </c>
      <c r="P39" s="45"/>
    </row>
    <row r="40" spans="1:16" x14ac:dyDescent="0.2">
      <c r="A40" s="18" t="s">
        <v>134</v>
      </c>
      <c r="B40" s="18">
        <v>17524592</v>
      </c>
      <c r="C40" s="45" t="s">
        <v>135</v>
      </c>
      <c r="D40" s="18">
        <v>8</v>
      </c>
      <c r="E40" s="45">
        <v>43061</v>
      </c>
      <c r="F40" s="18" t="s">
        <v>51</v>
      </c>
      <c r="G40" s="18" t="s">
        <v>136</v>
      </c>
      <c r="H40" s="18">
        <v>2310.5542999999998</v>
      </c>
      <c r="I40" s="18">
        <v>1731.1863000000001</v>
      </c>
      <c r="J40" s="60">
        <v>4000000</v>
      </c>
      <c r="K40" s="45">
        <v>0</v>
      </c>
      <c r="L40" s="45" t="s">
        <v>137</v>
      </c>
      <c r="M40" s="45"/>
      <c r="O40" s="45">
        <v>0</v>
      </c>
      <c r="P40" s="45"/>
    </row>
    <row r="41" spans="1:16" x14ac:dyDescent="0.2">
      <c r="A41" s="18" t="s">
        <v>134</v>
      </c>
      <c r="B41" s="18">
        <v>17524645</v>
      </c>
      <c r="C41" s="45" t="s">
        <v>135</v>
      </c>
      <c r="D41" s="18">
        <v>8</v>
      </c>
      <c r="E41" s="45">
        <v>43061</v>
      </c>
      <c r="F41" s="18" t="s">
        <v>51</v>
      </c>
      <c r="G41" s="18" t="s">
        <v>136</v>
      </c>
      <c r="H41" s="18">
        <v>1352.1063999999999</v>
      </c>
      <c r="I41" s="18">
        <v>1731.1863000000001</v>
      </c>
      <c r="J41" s="60">
        <v>2340748</v>
      </c>
      <c r="K41" s="45">
        <v>0</v>
      </c>
      <c r="L41" s="45" t="s">
        <v>137</v>
      </c>
      <c r="M41" s="45"/>
      <c r="O41" s="45">
        <v>0</v>
      </c>
      <c r="P41" s="45"/>
    </row>
    <row r="42" spans="1:16" x14ac:dyDescent="0.2">
      <c r="A42" s="18" t="s">
        <v>165</v>
      </c>
      <c r="B42" s="18">
        <v>17524586</v>
      </c>
      <c r="C42" s="45" t="s">
        <v>190</v>
      </c>
      <c r="D42" s="18">
        <v>8</v>
      </c>
      <c r="E42" s="45">
        <v>43061</v>
      </c>
      <c r="F42" s="18" t="s">
        <v>78</v>
      </c>
      <c r="G42" s="18" t="s">
        <v>136</v>
      </c>
      <c r="H42" s="18">
        <v>0.3019</v>
      </c>
      <c r="I42" s="18">
        <v>1705.5858000000001</v>
      </c>
      <c r="J42" s="60">
        <v>515</v>
      </c>
      <c r="K42" s="45">
        <v>0</v>
      </c>
      <c r="L42" s="45" t="s">
        <v>137</v>
      </c>
      <c r="M42" s="45" t="s">
        <v>150</v>
      </c>
      <c r="O42" s="45">
        <v>0</v>
      </c>
      <c r="P42" s="45"/>
    </row>
    <row r="43" spans="1:16" x14ac:dyDescent="0.2">
      <c r="A43" s="18" t="s">
        <v>165</v>
      </c>
      <c r="B43" s="18">
        <v>17524614</v>
      </c>
      <c r="C43" s="45" t="s">
        <v>191</v>
      </c>
      <c r="D43" s="18">
        <v>8</v>
      </c>
      <c r="E43" s="45">
        <v>43061</v>
      </c>
      <c r="F43" s="18" t="s">
        <v>78</v>
      </c>
      <c r="G43" s="18" t="s">
        <v>136</v>
      </c>
      <c r="H43" s="18">
        <v>224.00630000000001</v>
      </c>
      <c r="I43" s="18">
        <v>1705.5858000000001</v>
      </c>
      <c r="J43" s="60">
        <v>382062</v>
      </c>
      <c r="K43" s="45">
        <v>0</v>
      </c>
      <c r="L43" s="45" t="s">
        <v>137</v>
      </c>
      <c r="M43" s="45"/>
      <c r="O43" s="45">
        <v>0</v>
      </c>
      <c r="P43" s="45"/>
    </row>
    <row r="44" spans="1:16" x14ac:dyDescent="0.2">
      <c r="A44" s="18" t="s">
        <v>165</v>
      </c>
      <c r="B44" s="18">
        <v>17524612</v>
      </c>
      <c r="C44" s="45" t="s">
        <v>192</v>
      </c>
      <c r="D44" s="18">
        <v>8</v>
      </c>
      <c r="E44" s="45">
        <v>43061</v>
      </c>
      <c r="F44" s="18" t="s">
        <v>193</v>
      </c>
      <c r="G44" s="18" t="s">
        <v>136</v>
      </c>
      <c r="H44" s="18">
        <v>36.302999999999997</v>
      </c>
      <c r="I44" s="18">
        <v>1527.2299</v>
      </c>
      <c r="J44" s="60">
        <v>55443</v>
      </c>
      <c r="K44" s="45">
        <v>0</v>
      </c>
      <c r="L44" s="45" t="s">
        <v>137</v>
      </c>
      <c r="M44" s="45"/>
      <c r="O44" s="45">
        <v>0</v>
      </c>
      <c r="P44" s="45"/>
    </row>
    <row r="45" spans="1:16" x14ac:dyDescent="0.2">
      <c r="C45" s="45"/>
      <c r="E45" s="45"/>
      <c r="H45" s="18">
        <v>693960.42460000003</v>
      </c>
      <c r="J45" s="60">
        <v>1045000988</v>
      </c>
      <c r="K45" s="45"/>
      <c r="L45" s="45"/>
      <c r="M45" s="45"/>
      <c r="O45" s="45"/>
      <c r="P45" s="45"/>
    </row>
    <row r="46" spans="1:16" x14ac:dyDescent="0.2">
      <c r="C46" s="45"/>
      <c r="E46" s="45"/>
      <c r="K46" s="45"/>
      <c r="L46" s="45"/>
      <c r="M46" s="45"/>
      <c r="O46" s="45"/>
      <c r="P46" s="45"/>
    </row>
    <row r="47" spans="1:16" x14ac:dyDescent="0.2">
      <c r="C47" s="45"/>
      <c r="E47" s="45"/>
      <c r="K47" s="45"/>
      <c r="L47" s="45"/>
      <c r="M47" s="45"/>
      <c r="O47" s="45"/>
      <c r="P47" s="45"/>
    </row>
    <row r="48" spans="1:16" x14ac:dyDescent="0.2">
      <c r="C48" s="45"/>
      <c r="E48" s="45"/>
      <c r="K48" s="45"/>
      <c r="L48" s="45"/>
      <c r="M48" s="45"/>
      <c r="O48" s="45"/>
      <c r="P48" s="45"/>
    </row>
    <row r="49" spans="3:16" x14ac:dyDescent="0.2">
      <c r="C49" s="45"/>
      <c r="E49" s="45"/>
      <c r="K49" s="45"/>
      <c r="L49" s="45"/>
      <c r="M49" s="45"/>
      <c r="O49" s="45"/>
      <c r="P49" s="45"/>
    </row>
    <row r="50" spans="3:16" x14ac:dyDescent="0.2">
      <c r="C50" s="45"/>
      <c r="E50" s="45"/>
      <c r="K50" s="45"/>
      <c r="L50" s="45"/>
      <c r="M50" s="45"/>
      <c r="O50" s="45"/>
      <c r="P50" s="45"/>
    </row>
    <row r="51" spans="3:16" x14ac:dyDescent="0.2">
      <c r="C51" s="45"/>
      <c r="E51" s="45"/>
      <c r="K51" s="45"/>
      <c r="L51" s="45"/>
      <c r="M51" s="45"/>
      <c r="O51" s="45"/>
      <c r="P51" s="45"/>
    </row>
    <row r="52" spans="3:16" x14ac:dyDescent="0.2">
      <c r="C52" s="45"/>
      <c r="E52" s="45"/>
      <c r="K52" s="45"/>
      <c r="L52" s="45"/>
      <c r="M52" s="45"/>
      <c r="O52" s="45"/>
      <c r="P52" s="45"/>
    </row>
    <row r="53" spans="3:16" x14ac:dyDescent="0.2">
      <c r="C53" s="45"/>
      <c r="E53" s="45"/>
      <c r="K53" s="45"/>
      <c r="L53" s="45"/>
      <c r="M53" s="45"/>
      <c r="O53" s="45"/>
      <c r="P53" s="45"/>
    </row>
    <row r="54" spans="3:16" x14ac:dyDescent="0.2">
      <c r="C54" s="45"/>
      <c r="E54" s="45"/>
      <c r="K54" s="45"/>
      <c r="L54" s="45"/>
      <c r="M54" s="45"/>
      <c r="O54" s="45"/>
      <c r="P54" s="45"/>
    </row>
    <row r="55" spans="3:16" x14ac:dyDescent="0.2">
      <c r="C55" s="45"/>
      <c r="E55" s="45"/>
      <c r="K55" s="45"/>
      <c r="L55" s="45"/>
      <c r="M55" s="45"/>
      <c r="O55" s="45"/>
      <c r="P55" s="45"/>
    </row>
    <row r="56" spans="3:16" x14ac:dyDescent="0.2">
      <c r="C56" s="45"/>
      <c r="E56" s="45"/>
      <c r="K56" s="45"/>
      <c r="L56" s="45"/>
      <c r="M56" s="45"/>
      <c r="O56" s="45"/>
      <c r="P56" s="45"/>
    </row>
    <row r="57" spans="3:16" x14ac:dyDescent="0.2">
      <c r="C57" s="45"/>
      <c r="E57" s="45"/>
      <c r="K57" s="45"/>
      <c r="L57" s="45"/>
      <c r="M57" s="45"/>
      <c r="O57" s="45"/>
      <c r="P57" s="45"/>
    </row>
    <row r="58" spans="3:16" x14ac:dyDescent="0.2">
      <c r="C58" s="45"/>
      <c r="E58" s="45"/>
    </row>
    <row r="59" spans="3:16" x14ac:dyDescent="0.2">
      <c r="C59" s="45"/>
      <c r="E59" s="45"/>
    </row>
    <row r="60" spans="3:16" x14ac:dyDescent="0.2">
      <c r="C60" s="45"/>
      <c r="E60" s="45"/>
    </row>
    <row r="61" spans="3:16" x14ac:dyDescent="0.2">
      <c r="C61" s="45"/>
      <c r="E61" s="45"/>
    </row>
    <row r="62" spans="3:16" x14ac:dyDescent="0.2">
      <c r="C62" s="45"/>
      <c r="E62" s="45"/>
    </row>
    <row r="63" spans="3:16" x14ac:dyDescent="0.2">
      <c r="C63" s="45"/>
      <c r="E63" s="45"/>
    </row>
    <row r="64" spans="3:16" x14ac:dyDescent="0.2">
      <c r="C64" s="45"/>
      <c r="E64" s="45"/>
    </row>
    <row r="65" spans="3:5" x14ac:dyDescent="0.2">
      <c r="C65" s="45"/>
      <c r="E65" s="45"/>
    </row>
    <row r="66" spans="3:5" x14ac:dyDescent="0.2">
      <c r="C66" s="45"/>
      <c r="E66" s="45"/>
    </row>
    <row r="67" spans="3:5" x14ac:dyDescent="0.2">
      <c r="C67" s="45"/>
      <c r="E67" s="45"/>
    </row>
    <row r="68" spans="3:5" x14ac:dyDescent="0.2">
      <c r="C68" s="45"/>
      <c r="E68" s="45"/>
    </row>
    <row r="69" spans="3:5" x14ac:dyDescent="0.2">
      <c r="C69" s="45"/>
      <c r="E69" s="45"/>
    </row>
    <row r="70" spans="3:5" x14ac:dyDescent="0.2">
      <c r="C70" s="45"/>
      <c r="E70" s="45"/>
    </row>
    <row r="71" spans="3:5" x14ac:dyDescent="0.2">
      <c r="C71" s="45"/>
      <c r="E71" s="45"/>
    </row>
    <row r="72" spans="3:5" x14ac:dyDescent="0.2">
      <c r="C72" s="45"/>
      <c r="E72" s="45"/>
    </row>
    <row r="73" spans="3:5" x14ac:dyDescent="0.2">
      <c r="C73" s="45"/>
      <c r="E73" s="45"/>
    </row>
    <row r="74" spans="3:5" x14ac:dyDescent="0.2">
      <c r="C74" s="45"/>
      <c r="E74" s="45"/>
    </row>
    <row r="75" spans="3:5" x14ac:dyDescent="0.2">
      <c r="C75" s="45"/>
      <c r="E75" s="45"/>
    </row>
    <row r="76" spans="3:5" x14ac:dyDescent="0.2">
      <c r="C76" s="45"/>
      <c r="E76" s="45"/>
    </row>
    <row r="77" spans="3:5" x14ac:dyDescent="0.2">
      <c r="C77" s="45"/>
      <c r="E77" s="45"/>
    </row>
    <row r="78" spans="3:5" x14ac:dyDescent="0.2">
      <c r="C78" s="45"/>
      <c r="E78" s="45"/>
    </row>
    <row r="79" spans="3:5" x14ac:dyDescent="0.2">
      <c r="C79" s="45"/>
      <c r="E79" s="45"/>
    </row>
    <row r="80" spans="3:5" x14ac:dyDescent="0.2">
      <c r="C80" s="45"/>
      <c r="E80" s="45"/>
    </row>
    <row r="81" spans="3:5" x14ac:dyDescent="0.2">
      <c r="C81" s="45"/>
      <c r="E81" s="45"/>
    </row>
    <row r="82" spans="3:5" x14ac:dyDescent="0.2">
      <c r="C82" s="45"/>
      <c r="E82" s="45"/>
    </row>
    <row r="83" spans="3:5" x14ac:dyDescent="0.2">
      <c r="C83" s="45"/>
      <c r="E83" s="45"/>
    </row>
    <row r="84" spans="3:5" x14ac:dyDescent="0.2">
      <c r="C84" s="45"/>
      <c r="E84" s="45"/>
    </row>
    <row r="85" spans="3:5" x14ac:dyDescent="0.2">
      <c r="C85" s="45"/>
      <c r="E85" s="45"/>
    </row>
    <row r="86" spans="3:5" x14ac:dyDescent="0.2">
      <c r="C86" s="45"/>
      <c r="E86" s="45"/>
    </row>
    <row r="87" spans="3:5" x14ac:dyDescent="0.2">
      <c r="C87" s="45"/>
      <c r="E87" s="45"/>
    </row>
    <row r="88" spans="3:5" x14ac:dyDescent="0.2">
      <c r="C88" s="45"/>
      <c r="E88" s="45"/>
    </row>
    <row r="89" spans="3:5" x14ac:dyDescent="0.2">
      <c r="C89" s="45"/>
      <c r="E89" s="45"/>
    </row>
    <row r="90" spans="3:5" x14ac:dyDescent="0.2">
      <c r="E90" s="45"/>
    </row>
    <row r="91" spans="3:5" x14ac:dyDescent="0.2">
      <c r="E91" s="45"/>
    </row>
    <row r="92" spans="3:5" x14ac:dyDescent="0.2">
      <c r="E92" s="45"/>
    </row>
    <row r="93" spans="3:5" x14ac:dyDescent="0.2">
      <c r="E93" s="45"/>
    </row>
    <row r="94" spans="3:5" x14ac:dyDescent="0.2">
      <c r="E94" s="45"/>
    </row>
    <row r="95" spans="3:5" x14ac:dyDescent="0.2">
      <c r="E95" s="45"/>
    </row>
    <row r="96" spans="3:5" x14ac:dyDescent="0.2">
      <c r="E96" s="45"/>
    </row>
    <row r="97" spans="5:5" x14ac:dyDescent="0.2">
      <c r="E97" s="45"/>
    </row>
    <row r="98" spans="5:5" x14ac:dyDescent="0.2">
      <c r="E98" s="45"/>
    </row>
    <row r="99" spans="5:5" x14ac:dyDescent="0.2">
      <c r="E99" s="45"/>
    </row>
    <row r="100" spans="5:5" x14ac:dyDescent="0.2">
      <c r="E100" s="45"/>
    </row>
    <row r="101" spans="5:5" x14ac:dyDescent="0.2">
      <c r="E101" s="45"/>
    </row>
    <row r="102" spans="5:5" x14ac:dyDescent="0.2">
      <c r="E102" s="45"/>
    </row>
    <row r="103" spans="5:5" x14ac:dyDescent="0.2">
      <c r="E103" s="45"/>
    </row>
    <row r="104" spans="5:5" x14ac:dyDescent="0.2">
      <c r="E104" s="45"/>
    </row>
    <row r="105" spans="5:5" x14ac:dyDescent="0.2">
      <c r="E105" s="45"/>
    </row>
    <row r="106" spans="5:5" x14ac:dyDescent="0.2">
      <c r="E106" s="45"/>
    </row>
    <row r="107" spans="5:5" x14ac:dyDescent="0.2">
      <c r="E107" s="45"/>
    </row>
    <row r="108" spans="5:5" x14ac:dyDescent="0.2">
      <c r="E108" s="45"/>
    </row>
    <row r="109" spans="5:5" x14ac:dyDescent="0.2">
      <c r="E109" s="45"/>
    </row>
    <row r="110" spans="5:5" x14ac:dyDescent="0.2">
      <c r="E110" s="45"/>
    </row>
    <row r="111" spans="5:5" x14ac:dyDescent="0.2">
      <c r="E111" s="45"/>
    </row>
    <row r="112" spans="5:5" x14ac:dyDescent="0.2">
      <c r="E112" s="45"/>
    </row>
    <row r="113" spans="5:5" x14ac:dyDescent="0.2">
      <c r="E113" s="45"/>
    </row>
    <row r="114" spans="5:5" x14ac:dyDescent="0.2">
      <c r="E114" s="45"/>
    </row>
    <row r="115" spans="5:5" x14ac:dyDescent="0.2">
      <c r="E115" s="45"/>
    </row>
  </sheetData>
  <autoFilter ref="A1:O45" xr:uid="{973BDB40-23FC-4F2A-9455-4E51C9FE7F19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theme="4" tint="-0.249977111117893"/>
  </sheetPr>
  <dimension ref="A1:O168"/>
  <sheetViews>
    <sheetView zoomScale="85" zoomScaleNormal="85" workbookViewId="0">
      <selection activeCell="J30" activeCellId="1" sqref="C30:D44 J30:J44"/>
    </sheetView>
  </sheetViews>
  <sheetFormatPr baseColWidth="10" defaultColWidth="7" defaultRowHeight="12.75" x14ac:dyDescent="0.2"/>
  <cols>
    <col min="1" max="1" width="7.42578125" bestFit="1" customWidth="1"/>
    <col min="2" max="2" width="10.28515625" bestFit="1" customWidth="1"/>
    <col min="3" max="3" width="11.7109375" bestFit="1" customWidth="1"/>
    <col min="4" max="4" width="7.28515625" bestFit="1" customWidth="1"/>
    <col min="5" max="5" width="11.28515625" bestFit="1" customWidth="1"/>
    <col min="6" max="6" width="17.28515625" customWidth="1"/>
    <col min="7" max="7" width="9.140625" bestFit="1" customWidth="1"/>
    <col min="8" max="8" width="14.140625" customWidth="1"/>
    <col min="9" max="9" width="8.7109375" bestFit="1" customWidth="1"/>
    <col min="10" max="10" width="15.28515625" bestFit="1" customWidth="1"/>
    <col min="11" max="11" width="8.85546875" bestFit="1" customWidth="1"/>
  </cols>
  <sheetData>
    <row r="1" spans="1:15" x14ac:dyDescent="0.2">
      <c r="A1" s="55" t="s">
        <v>120</v>
      </c>
      <c r="B1" s="50" t="s">
        <v>121</v>
      </c>
      <c r="C1" s="50" t="s">
        <v>122</v>
      </c>
      <c r="D1" s="50" t="s">
        <v>123</v>
      </c>
      <c r="E1" s="50" t="s">
        <v>124</v>
      </c>
      <c r="F1" s="50" t="s">
        <v>45</v>
      </c>
      <c r="G1" s="50" t="s">
        <v>125</v>
      </c>
      <c r="H1" s="50" t="s">
        <v>126</v>
      </c>
      <c r="I1" s="50" t="s">
        <v>127</v>
      </c>
      <c r="J1" s="50" t="s">
        <v>128</v>
      </c>
      <c r="K1" s="50" t="s">
        <v>129</v>
      </c>
      <c r="L1" t="s">
        <v>130</v>
      </c>
      <c r="M1" t="s">
        <v>131</v>
      </c>
      <c r="N1" t="s">
        <v>132</v>
      </c>
      <c r="O1" t="s">
        <v>133</v>
      </c>
    </row>
    <row r="2" spans="1:15" x14ac:dyDescent="0.2">
      <c r="A2" s="50" t="s">
        <v>138</v>
      </c>
      <c r="B2" s="50">
        <v>17524506</v>
      </c>
      <c r="C2" s="50" t="s">
        <v>194</v>
      </c>
      <c r="D2" s="50">
        <v>21</v>
      </c>
      <c r="E2" s="51">
        <v>43062</v>
      </c>
      <c r="F2" s="50" t="s">
        <v>57</v>
      </c>
      <c r="G2" s="50" t="s">
        <v>195</v>
      </c>
      <c r="H2" s="52">
        <v>3549.9202</v>
      </c>
      <c r="I2" s="52">
        <v>1126.7859000000001</v>
      </c>
      <c r="J2" s="52">
        <v>4000000</v>
      </c>
      <c r="K2" s="50">
        <v>0</v>
      </c>
      <c r="L2" t="s">
        <v>137</v>
      </c>
      <c r="N2" t="s">
        <v>156</v>
      </c>
      <c r="O2">
        <v>13624</v>
      </c>
    </row>
    <row r="3" spans="1:15" x14ac:dyDescent="0.2">
      <c r="A3" s="50" t="s">
        <v>138</v>
      </c>
      <c r="B3" s="50">
        <v>17524525</v>
      </c>
      <c r="C3" s="50" t="s">
        <v>196</v>
      </c>
      <c r="D3" s="50">
        <v>8</v>
      </c>
      <c r="E3" s="51">
        <v>43062</v>
      </c>
      <c r="F3" s="50" t="s">
        <v>57</v>
      </c>
      <c r="G3" s="50" t="s">
        <v>197</v>
      </c>
      <c r="H3" s="52">
        <v>39.758600000000001</v>
      </c>
      <c r="I3" s="52">
        <v>1126.7859000000001</v>
      </c>
      <c r="J3" s="52">
        <v>44799</v>
      </c>
      <c r="K3" s="50">
        <v>0</v>
      </c>
      <c r="L3" t="s">
        <v>137</v>
      </c>
      <c r="O3">
        <v>0</v>
      </c>
    </row>
    <row r="4" spans="1:15" x14ac:dyDescent="0.2">
      <c r="A4" s="50" t="s">
        <v>143</v>
      </c>
      <c r="B4" s="50">
        <v>17524732</v>
      </c>
      <c r="C4" s="50" t="s">
        <v>198</v>
      </c>
      <c r="D4" s="50">
        <v>8</v>
      </c>
      <c r="E4" s="51">
        <v>43062</v>
      </c>
      <c r="F4" s="50" t="s">
        <v>49</v>
      </c>
      <c r="G4" s="50" t="s">
        <v>195</v>
      </c>
      <c r="H4" s="52">
        <v>12747.918600000001</v>
      </c>
      <c r="I4" s="52">
        <v>1098.2184999999999</v>
      </c>
      <c r="J4" s="52">
        <v>14000000</v>
      </c>
      <c r="K4" s="50">
        <v>0</v>
      </c>
      <c r="L4" t="s">
        <v>137</v>
      </c>
      <c r="O4">
        <v>0</v>
      </c>
    </row>
    <row r="5" spans="1:15" x14ac:dyDescent="0.2">
      <c r="A5" t="s">
        <v>224</v>
      </c>
      <c r="B5">
        <v>17526042</v>
      </c>
      <c r="C5" t="s">
        <v>225</v>
      </c>
      <c r="D5">
        <v>70</v>
      </c>
      <c r="E5" s="15">
        <v>43062</v>
      </c>
      <c r="F5" t="s">
        <v>87</v>
      </c>
      <c r="G5" t="s">
        <v>197</v>
      </c>
      <c r="H5" s="16">
        <v>1879.2253000000001</v>
      </c>
      <c r="I5" s="16">
        <v>1662.2330999999999</v>
      </c>
      <c r="J5" s="16">
        <v>3123711</v>
      </c>
      <c r="K5">
        <v>0</v>
      </c>
      <c r="L5" t="s">
        <v>137</v>
      </c>
      <c r="M5" t="s">
        <v>150</v>
      </c>
      <c r="O5">
        <v>0</v>
      </c>
    </row>
    <row r="6" spans="1:15" x14ac:dyDescent="0.2">
      <c r="A6" t="s">
        <v>153</v>
      </c>
      <c r="B6">
        <v>17524773</v>
      </c>
      <c r="C6" t="s">
        <v>154</v>
      </c>
      <c r="D6">
        <v>8</v>
      </c>
      <c r="E6" s="15">
        <v>43062</v>
      </c>
      <c r="F6" t="s">
        <v>64</v>
      </c>
      <c r="G6" t="s">
        <v>197</v>
      </c>
      <c r="H6" s="16">
        <v>133.4975</v>
      </c>
      <c r="I6" s="16">
        <v>1898.7061000000001</v>
      </c>
      <c r="J6" s="16">
        <v>253473</v>
      </c>
      <c r="K6">
        <v>0</v>
      </c>
      <c r="L6" t="s">
        <v>137</v>
      </c>
      <c r="M6" t="s">
        <v>150</v>
      </c>
      <c r="O6">
        <v>0</v>
      </c>
    </row>
    <row r="7" spans="1:15" x14ac:dyDescent="0.2">
      <c r="A7" t="s">
        <v>224</v>
      </c>
      <c r="B7">
        <v>17526046</v>
      </c>
      <c r="C7" t="s">
        <v>225</v>
      </c>
      <c r="D7">
        <v>70</v>
      </c>
      <c r="E7" s="15">
        <v>43062</v>
      </c>
      <c r="F7" t="s">
        <v>79</v>
      </c>
      <c r="G7" t="s">
        <v>197</v>
      </c>
      <c r="H7" s="16">
        <v>2200.7485000000001</v>
      </c>
      <c r="I7" s="16">
        <v>1719.1249</v>
      </c>
      <c r="J7" s="16">
        <v>3783362</v>
      </c>
      <c r="K7">
        <v>0</v>
      </c>
      <c r="L7" t="s">
        <v>137</v>
      </c>
      <c r="M7" t="s">
        <v>150</v>
      </c>
      <c r="O7">
        <v>0</v>
      </c>
    </row>
    <row r="8" spans="1:15" x14ac:dyDescent="0.2">
      <c r="A8" t="s">
        <v>153</v>
      </c>
      <c r="B8">
        <v>17524775</v>
      </c>
      <c r="C8" t="s">
        <v>154</v>
      </c>
      <c r="D8">
        <v>8</v>
      </c>
      <c r="E8" s="15">
        <v>43062</v>
      </c>
      <c r="F8" t="s">
        <v>55</v>
      </c>
      <c r="G8" t="s">
        <v>197</v>
      </c>
      <c r="H8" s="16">
        <v>11.3409</v>
      </c>
      <c r="I8" s="16">
        <v>1761.3536999999999</v>
      </c>
      <c r="J8" s="16">
        <v>19975</v>
      </c>
      <c r="K8">
        <v>0</v>
      </c>
      <c r="L8" t="s">
        <v>137</v>
      </c>
      <c r="M8" t="s">
        <v>150</v>
      </c>
      <c r="O8">
        <v>0</v>
      </c>
    </row>
    <row r="9" spans="1:15" x14ac:dyDescent="0.2">
      <c r="A9" t="s">
        <v>168</v>
      </c>
      <c r="B9">
        <v>17526008</v>
      </c>
      <c r="C9" t="s">
        <v>181</v>
      </c>
      <c r="D9">
        <v>8</v>
      </c>
      <c r="E9" s="15">
        <v>43062</v>
      </c>
      <c r="F9" t="s">
        <v>52</v>
      </c>
      <c r="G9" t="s">
        <v>195</v>
      </c>
      <c r="H9" s="16">
        <v>17964.882300000001</v>
      </c>
      <c r="I9" s="16">
        <v>1549.6558</v>
      </c>
      <c r="J9" s="16">
        <v>27839384</v>
      </c>
      <c r="K9">
        <v>0</v>
      </c>
      <c r="L9" t="s">
        <v>137</v>
      </c>
      <c r="O9">
        <v>0</v>
      </c>
    </row>
    <row r="10" spans="1:15" x14ac:dyDescent="0.2">
      <c r="A10" t="s">
        <v>184</v>
      </c>
      <c r="B10">
        <v>17524529</v>
      </c>
      <c r="C10" t="s">
        <v>207</v>
      </c>
      <c r="D10">
        <v>0</v>
      </c>
      <c r="E10" s="15">
        <v>43062</v>
      </c>
      <c r="F10" t="s">
        <v>52</v>
      </c>
      <c r="G10" t="s">
        <v>195</v>
      </c>
      <c r="H10" s="16">
        <v>19359.137699999999</v>
      </c>
      <c r="I10" s="16">
        <v>1549.6558</v>
      </c>
      <c r="J10" s="16">
        <v>30000000</v>
      </c>
      <c r="K10">
        <v>0</v>
      </c>
      <c r="L10" t="s">
        <v>137</v>
      </c>
      <c r="O10">
        <v>0</v>
      </c>
    </row>
    <row r="11" spans="1:15" x14ac:dyDescent="0.2">
      <c r="A11" t="s">
        <v>208</v>
      </c>
      <c r="B11">
        <v>17524539</v>
      </c>
      <c r="C11" t="s">
        <v>209</v>
      </c>
      <c r="D11">
        <v>21</v>
      </c>
      <c r="E11" s="15">
        <v>43062</v>
      </c>
      <c r="F11" t="s">
        <v>52</v>
      </c>
      <c r="G11" t="s">
        <v>195</v>
      </c>
      <c r="H11" s="16">
        <v>9679.5687999999991</v>
      </c>
      <c r="I11" s="16">
        <v>1549.6558</v>
      </c>
      <c r="J11" s="16">
        <v>15000000</v>
      </c>
      <c r="K11">
        <v>0</v>
      </c>
      <c r="L11" t="s">
        <v>137</v>
      </c>
      <c r="O11">
        <v>0</v>
      </c>
    </row>
    <row r="12" spans="1:15" x14ac:dyDescent="0.2">
      <c r="A12" t="s">
        <v>210</v>
      </c>
      <c r="B12">
        <v>17524555</v>
      </c>
      <c r="C12" t="s">
        <v>211</v>
      </c>
      <c r="D12">
        <v>8</v>
      </c>
      <c r="E12" s="15">
        <v>43062</v>
      </c>
      <c r="F12" t="s">
        <v>52</v>
      </c>
      <c r="G12" t="s">
        <v>195</v>
      </c>
      <c r="H12" s="16">
        <v>9947.9851999999992</v>
      </c>
      <c r="I12" s="16">
        <v>1549.6558</v>
      </c>
      <c r="J12" s="16">
        <v>15415953</v>
      </c>
      <c r="K12">
        <v>0</v>
      </c>
      <c r="L12" t="s">
        <v>137</v>
      </c>
      <c r="O12">
        <v>0</v>
      </c>
    </row>
    <row r="13" spans="1:15" x14ac:dyDescent="0.2">
      <c r="A13" t="s">
        <v>168</v>
      </c>
      <c r="B13">
        <v>17525999</v>
      </c>
      <c r="C13" t="s">
        <v>169</v>
      </c>
      <c r="D13">
        <v>8</v>
      </c>
      <c r="E13" s="15">
        <v>43062</v>
      </c>
      <c r="F13" t="s">
        <v>52</v>
      </c>
      <c r="G13" t="s">
        <v>195</v>
      </c>
      <c r="H13" s="16">
        <v>35929.764499999997</v>
      </c>
      <c r="I13" s="16">
        <v>1549.6558</v>
      </c>
      <c r="J13" s="16">
        <v>55678768</v>
      </c>
      <c r="K13">
        <v>0</v>
      </c>
      <c r="L13" t="s">
        <v>137</v>
      </c>
      <c r="O13">
        <v>0</v>
      </c>
    </row>
    <row r="14" spans="1:15" x14ac:dyDescent="0.2">
      <c r="A14" t="s">
        <v>201</v>
      </c>
      <c r="B14">
        <v>17524744</v>
      </c>
      <c r="C14" t="s">
        <v>214</v>
      </c>
      <c r="D14">
        <v>8</v>
      </c>
      <c r="E14" s="15">
        <v>43062</v>
      </c>
      <c r="F14" t="s">
        <v>52</v>
      </c>
      <c r="G14" t="s">
        <v>197</v>
      </c>
      <c r="H14" s="16">
        <v>11827.148499999999</v>
      </c>
      <c r="I14" s="16">
        <v>1549.6558</v>
      </c>
      <c r="J14" s="16">
        <v>18328009</v>
      </c>
      <c r="K14">
        <v>0</v>
      </c>
      <c r="L14" t="s">
        <v>137</v>
      </c>
      <c r="O14">
        <v>0</v>
      </c>
    </row>
    <row r="15" spans="1:15" x14ac:dyDescent="0.2">
      <c r="A15" t="s">
        <v>205</v>
      </c>
      <c r="B15">
        <v>17524625</v>
      </c>
      <c r="C15" t="s">
        <v>206</v>
      </c>
      <c r="D15">
        <v>8</v>
      </c>
      <c r="E15" s="15">
        <v>43062</v>
      </c>
      <c r="F15" t="s">
        <v>52</v>
      </c>
      <c r="G15" t="s">
        <v>197</v>
      </c>
      <c r="H15" s="16">
        <v>3803.6527999999998</v>
      </c>
      <c r="I15" s="16">
        <v>1549.6558</v>
      </c>
      <c r="J15" s="16">
        <v>5894353</v>
      </c>
      <c r="K15">
        <v>0</v>
      </c>
      <c r="L15" t="s">
        <v>137</v>
      </c>
      <c r="O15">
        <v>0</v>
      </c>
    </row>
    <row r="16" spans="1:15" x14ac:dyDescent="0.2">
      <c r="A16" t="s">
        <v>201</v>
      </c>
      <c r="B16">
        <v>17525914</v>
      </c>
      <c r="C16" t="s">
        <v>226</v>
      </c>
      <c r="D16">
        <v>8</v>
      </c>
      <c r="E16" s="15">
        <v>43062</v>
      </c>
      <c r="F16" t="s">
        <v>52</v>
      </c>
      <c r="G16" t="s">
        <v>195</v>
      </c>
      <c r="H16" s="16">
        <v>1290.6092000000001</v>
      </c>
      <c r="I16" s="16">
        <v>1549.6558</v>
      </c>
      <c r="J16" s="16">
        <v>2000000</v>
      </c>
      <c r="K16">
        <v>0</v>
      </c>
      <c r="L16" t="s">
        <v>137</v>
      </c>
      <c r="O16">
        <v>0</v>
      </c>
    </row>
    <row r="17" spans="1:15" x14ac:dyDescent="0.2">
      <c r="A17" t="s">
        <v>143</v>
      </c>
      <c r="B17">
        <v>17525240</v>
      </c>
      <c r="C17" t="s">
        <v>227</v>
      </c>
      <c r="D17">
        <v>9</v>
      </c>
      <c r="E17" s="15">
        <v>43062</v>
      </c>
      <c r="F17" t="s">
        <v>52</v>
      </c>
      <c r="G17" t="s">
        <v>197</v>
      </c>
      <c r="H17" s="16">
        <v>9560.3377999999993</v>
      </c>
      <c r="I17" s="16">
        <v>1549.6558</v>
      </c>
      <c r="J17" s="16">
        <v>14815233</v>
      </c>
      <c r="K17">
        <v>0</v>
      </c>
      <c r="L17" t="s">
        <v>137</v>
      </c>
      <c r="O17">
        <v>0</v>
      </c>
    </row>
    <row r="18" spans="1:15" x14ac:dyDescent="0.2">
      <c r="A18" t="s">
        <v>199</v>
      </c>
      <c r="B18">
        <v>17524492</v>
      </c>
      <c r="C18" t="s">
        <v>200</v>
      </c>
      <c r="D18">
        <v>15</v>
      </c>
      <c r="E18" s="15">
        <v>43062</v>
      </c>
      <c r="F18" t="s">
        <v>52</v>
      </c>
      <c r="G18" t="s">
        <v>195</v>
      </c>
      <c r="H18" s="16">
        <v>9.1045999999999996</v>
      </c>
      <c r="I18" s="16">
        <v>1549.6558</v>
      </c>
      <c r="J18" s="16">
        <v>14109</v>
      </c>
      <c r="K18">
        <v>0</v>
      </c>
      <c r="L18" t="s">
        <v>137</v>
      </c>
      <c r="O18">
        <v>0</v>
      </c>
    </row>
    <row r="19" spans="1:15" x14ac:dyDescent="0.2">
      <c r="A19" t="s">
        <v>138</v>
      </c>
      <c r="B19">
        <v>17524694</v>
      </c>
      <c r="C19" t="s">
        <v>212</v>
      </c>
      <c r="D19">
        <v>21</v>
      </c>
      <c r="E19" s="15">
        <v>43062</v>
      </c>
      <c r="F19" t="s">
        <v>52</v>
      </c>
      <c r="G19" t="s">
        <v>197</v>
      </c>
      <c r="H19" s="16">
        <v>503.6746</v>
      </c>
      <c r="I19" s="16">
        <v>1549.6558</v>
      </c>
      <c r="J19" s="16">
        <v>780522</v>
      </c>
      <c r="K19">
        <v>0</v>
      </c>
      <c r="L19" t="s">
        <v>137</v>
      </c>
      <c r="O19">
        <v>0</v>
      </c>
    </row>
    <row r="20" spans="1:15" x14ac:dyDescent="0.2">
      <c r="A20" t="s">
        <v>138</v>
      </c>
      <c r="B20">
        <v>17524720</v>
      </c>
      <c r="C20" t="s">
        <v>203</v>
      </c>
      <c r="D20">
        <v>21</v>
      </c>
      <c r="E20" s="15">
        <v>43062</v>
      </c>
      <c r="F20" t="s">
        <v>52</v>
      </c>
      <c r="G20" t="s">
        <v>197</v>
      </c>
      <c r="H20" s="16">
        <v>7174.2275</v>
      </c>
      <c r="I20" s="16">
        <v>1549.6558</v>
      </c>
      <c r="J20" s="16">
        <v>11117583</v>
      </c>
      <c r="K20">
        <v>0</v>
      </c>
      <c r="L20" t="s">
        <v>137</v>
      </c>
      <c r="O20">
        <v>0</v>
      </c>
    </row>
    <row r="21" spans="1:15" x14ac:dyDescent="0.2">
      <c r="A21" t="s">
        <v>201</v>
      </c>
      <c r="B21">
        <v>17524590</v>
      </c>
      <c r="C21" t="s">
        <v>213</v>
      </c>
      <c r="D21">
        <v>8</v>
      </c>
      <c r="E21" s="15">
        <v>43062</v>
      </c>
      <c r="F21" t="s">
        <v>52</v>
      </c>
      <c r="G21" t="s">
        <v>197</v>
      </c>
      <c r="H21" s="16">
        <v>33923.091899999999</v>
      </c>
      <c r="I21" s="16">
        <v>1549.6558</v>
      </c>
      <c r="J21" s="16">
        <v>52569116</v>
      </c>
      <c r="K21">
        <v>0</v>
      </c>
      <c r="L21" t="s">
        <v>137</v>
      </c>
      <c r="O21">
        <v>0</v>
      </c>
    </row>
    <row r="22" spans="1:15" x14ac:dyDescent="0.2">
      <c r="A22" t="s">
        <v>201</v>
      </c>
      <c r="B22">
        <v>17524740</v>
      </c>
      <c r="C22" t="s">
        <v>202</v>
      </c>
      <c r="D22">
        <v>8</v>
      </c>
      <c r="E22" s="15">
        <v>43062</v>
      </c>
      <c r="F22" t="s">
        <v>52</v>
      </c>
      <c r="G22" t="s">
        <v>197</v>
      </c>
      <c r="H22" s="16">
        <v>15085.6342</v>
      </c>
      <c r="I22" s="16">
        <v>1549.6558</v>
      </c>
      <c r="J22" s="16">
        <v>23377541</v>
      </c>
      <c r="K22">
        <v>0</v>
      </c>
      <c r="L22" t="s">
        <v>137</v>
      </c>
      <c r="O22">
        <v>0</v>
      </c>
    </row>
    <row r="23" spans="1:15" x14ac:dyDescent="0.2">
      <c r="A23" t="s">
        <v>201</v>
      </c>
      <c r="B23">
        <v>17524742</v>
      </c>
      <c r="C23" t="s">
        <v>204</v>
      </c>
      <c r="D23">
        <v>8</v>
      </c>
      <c r="E23" s="15">
        <v>43062</v>
      </c>
      <c r="F23" t="s">
        <v>52</v>
      </c>
      <c r="G23" t="s">
        <v>197</v>
      </c>
      <c r="H23" s="16">
        <v>226.4614</v>
      </c>
      <c r="I23" s="16">
        <v>1549.6558</v>
      </c>
      <c r="J23" s="16">
        <v>350937</v>
      </c>
      <c r="K23">
        <v>0</v>
      </c>
      <c r="L23" t="s">
        <v>137</v>
      </c>
      <c r="O23">
        <v>0</v>
      </c>
    </row>
    <row r="24" spans="1:15" x14ac:dyDescent="0.2">
      <c r="A24" t="s">
        <v>182</v>
      </c>
      <c r="B24">
        <v>17524508</v>
      </c>
      <c r="C24" t="s">
        <v>216</v>
      </c>
      <c r="D24">
        <v>8</v>
      </c>
      <c r="E24" s="15">
        <v>43062</v>
      </c>
      <c r="F24" t="s">
        <v>54</v>
      </c>
      <c r="G24" t="s">
        <v>195</v>
      </c>
      <c r="H24" s="16">
        <v>5577.5200999999997</v>
      </c>
      <c r="I24" s="16">
        <v>1075.7469000000001</v>
      </c>
      <c r="J24" s="16">
        <v>6000000</v>
      </c>
      <c r="K24">
        <v>0</v>
      </c>
      <c r="L24" t="s">
        <v>137</v>
      </c>
      <c r="O24">
        <v>0</v>
      </c>
    </row>
    <row r="25" spans="1:15" x14ac:dyDescent="0.2">
      <c r="A25" t="s">
        <v>168</v>
      </c>
      <c r="B25">
        <v>17526019</v>
      </c>
      <c r="C25" t="s">
        <v>228</v>
      </c>
      <c r="D25">
        <v>8</v>
      </c>
      <c r="E25" s="15">
        <v>43062</v>
      </c>
      <c r="F25" t="s">
        <v>54</v>
      </c>
      <c r="G25" t="s">
        <v>195</v>
      </c>
      <c r="H25" s="16">
        <v>74589.9375</v>
      </c>
      <c r="I25" s="16">
        <v>1075.7469000000001</v>
      </c>
      <c r="J25" s="16">
        <v>80239894</v>
      </c>
      <c r="K25">
        <v>0</v>
      </c>
      <c r="L25" t="s">
        <v>137</v>
      </c>
      <c r="O25">
        <v>0</v>
      </c>
    </row>
    <row r="26" spans="1:15" x14ac:dyDescent="0.2">
      <c r="A26" t="s">
        <v>201</v>
      </c>
      <c r="B26">
        <v>17524484</v>
      </c>
      <c r="C26" t="s">
        <v>215</v>
      </c>
      <c r="D26">
        <v>8</v>
      </c>
      <c r="E26" s="15">
        <v>43062</v>
      </c>
      <c r="F26" t="s">
        <v>54</v>
      </c>
      <c r="G26" t="s">
        <v>195</v>
      </c>
      <c r="H26" s="16">
        <v>11838.596</v>
      </c>
      <c r="I26" s="16">
        <v>1075.7469000000001</v>
      </c>
      <c r="J26" s="16">
        <v>12735333</v>
      </c>
      <c r="K26">
        <v>0</v>
      </c>
      <c r="L26" t="s">
        <v>137</v>
      </c>
      <c r="O26">
        <v>0</v>
      </c>
    </row>
    <row r="27" spans="1:15" x14ac:dyDescent="0.2">
      <c r="A27" t="s">
        <v>151</v>
      </c>
      <c r="B27">
        <v>17524490</v>
      </c>
      <c r="C27" t="s">
        <v>217</v>
      </c>
      <c r="D27">
        <v>8</v>
      </c>
      <c r="E27" s="15">
        <v>43062</v>
      </c>
      <c r="F27" t="s">
        <v>58</v>
      </c>
      <c r="G27" t="s">
        <v>195</v>
      </c>
      <c r="H27" s="16">
        <v>66428.155700000003</v>
      </c>
      <c r="I27" s="16">
        <v>1279.5779</v>
      </c>
      <c r="J27" s="16">
        <v>85000000</v>
      </c>
      <c r="K27">
        <v>0</v>
      </c>
      <c r="L27" t="s">
        <v>137</v>
      </c>
      <c r="O27">
        <v>0</v>
      </c>
    </row>
    <row r="28" spans="1:15" x14ac:dyDescent="0.2">
      <c r="A28" t="s">
        <v>165</v>
      </c>
      <c r="B28">
        <v>17524669</v>
      </c>
      <c r="C28" t="s">
        <v>218</v>
      </c>
      <c r="D28">
        <v>8</v>
      </c>
      <c r="E28" s="15">
        <v>43062</v>
      </c>
      <c r="F28" t="s">
        <v>58</v>
      </c>
      <c r="G28" t="s">
        <v>195</v>
      </c>
      <c r="H28" s="16">
        <v>31260.3086</v>
      </c>
      <c r="I28" s="16">
        <v>1279.5779</v>
      </c>
      <c r="J28" s="16">
        <v>40000000</v>
      </c>
      <c r="K28">
        <v>0</v>
      </c>
      <c r="L28" t="s">
        <v>137</v>
      </c>
      <c r="O28">
        <v>0</v>
      </c>
    </row>
    <row r="29" spans="1:15" x14ac:dyDescent="0.2">
      <c r="A29" t="s">
        <v>138</v>
      </c>
      <c r="B29">
        <v>17524791</v>
      </c>
      <c r="C29" t="s">
        <v>229</v>
      </c>
      <c r="D29">
        <v>0</v>
      </c>
      <c r="E29" s="15">
        <v>43062</v>
      </c>
      <c r="F29" t="s">
        <v>53</v>
      </c>
      <c r="G29" t="s">
        <v>195</v>
      </c>
      <c r="H29" s="16">
        <v>260.5881</v>
      </c>
      <c r="I29" s="16">
        <v>1046.9512999999999</v>
      </c>
      <c r="J29" s="16">
        <v>272823</v>
      </c>
      <c r="K29">
        <v>0</v>
      </c>
      <c r="L29" t="s">
        <v>137</v>
      </c>
      <c r="O29">
        <v>0</v>
      </c>
    </row>
    <row r="30" spans="1:15" x14ac:dyDescent="0.2">
      <c r="A30" t="s">
        <v>224</v>
      </c>
      <c r="B30">
        <v>17526054</v>
      </c>
      <c r="C30" t="s">
        <v>225</v>
      </c>
      <c r="D30">
        <v>70</v>
      </c>
      <c r="E30" s="15">
        <v>43062</v>
      </c>
      <c r="F30" t="s">
        <v>59</v>
      </c>
      <c r="G30" t="s">
        <v>197</v>
      </c>
      <c r="H30" s="16">
        <v>1441.7345</v>
      </c>
      <c r="I30" s="16">
        <v>1770.3434</v>
      </c>
      <c r="J30" s="16">
        <v>2552365</v>
      </c>
      <c r="K30">
        <v>0</v>
      </c>
      <c r="L30" t="s">
        <v>137</v>
      </c>
      <c r="M30" t="s">
        <v>150</v>
      </c>
      <c r="O30">
        <v>0</v>
      </c>
    </row>
    <row r="31" spans="1:15" x14ac:dyDescent="0.2">
      <c r="A31" t="s">
        <v>230</v>
      </c>
      <c r="B31">
        <v>17524795</v>
      </c>
      <c r="C31" t="s">
        <v>231</v>
      </c>
      <c r="D31">
        <v>8</v>
      </c>
      <c r="E31" s="15">
        <v>43062</v>
      </c>
      <c r="F31" t="s">
        <v>51</v>
      </c>
      <c r="G31" t="s">
        <v>195</v>
      </c>
      <c r="H31" s="16">
        <v>11610.5355</v>
      </c>
      <c r="I31" s="16">
        <v>1731.1863000000001</v>
      </c>
      <c r="J31" s="16">
        <v>20100000</v>
      </c>
      <c r="K31">
        <v>0</v>
      </c>
      <c r="L31" t="s">
        <v>137</v>
      </c>
      <c r="O31">
        <v>0</v>
      </c>
    </row>
    <row r="32" spans="1:15" x14ac:dyDescent="0.2">
      <c r="A32" t="s">
        <v>230</v>
      </c>
      <c r="B32">
        <v>17524797</v>
      </c>
      <c r="C32" t="s">
        <v>232</v>
      </c>
      <c r="D32">
        <v>8</v>
      </c>
      <c r="E32" s="15">
        <v>43062</v>
      </c>
      <c r="F32" t="s">
        <v>51</v>
      </c>
      <c r="G32" t="s">
        <v>195</v>
      </c>
      <c r="H32" s="16">
        <v>5834.1496999999999</v>
      </c>
      <c r="I32" s="16">
        <v>1731.1863000000001</v>
      </c>
      <c r="J32" s="16">
        <v>10100000</v>
      </c>
      <c r="K32">
        <v>0</v>
      </c>
      <c r="L32" t="s">
        <v>137</v>
      </c>
      <c r="O32">
        <v>0</v>
      </c>
    </row>
    <row r="33" spans="1:15" x14ac:dyDescent="0.2">
      <c r="A33" t="s">
        <v>230</v>
      </c>
      <c r="B33">
        <v>17524802</v>
      </c>
      <c r="C33" t="s">
        <v>233</v>
      </c>
      <c r="D33">
        <v>8</v>
      </c>
      <c r="E33" s="15">
        <v>43062</v>
      </c>
      <c r="F33" t="s">
        <v>51</v>
      </c>
      <c r="G33" t="s">
        <v>195</v>
      </c>
      <c r="H33" s="16">
        <v>14498.7284</v>
      </c>
      <c r="I33" s="16">
        <v>1731.1863000000001</v>
      </c>
      <c r="J33" s="16">
        <v>25100000</v>
      </c>
      <c r="K33">
        <v>0</v>
      </c>
      <c r="L33" t="s">
        <v>137</v>
      </c>
      <c r="O33">
        <v>0</v>
      </c>
    </row>
    <row r="34" spans="1:15" x14ac:dyDescent="0.2">
      <c r="A34" t="s">
        <v>230</v>
      </c>
      <c r="B34">
        <v>17524793</v>
      </c>
      <c r="C34" t="s">
        <v>234</v>
      </c>
      <c r="D34">
        <v>8</v>
      </c>
      <c r="E34" s="15">
        <v>43062</v>
      </c>
      <c r="F34" t="s">
        <v>51</v>
      </c>
      <c r="G34" t="s">
        <v>195</v>
      </c>
      <c r="H34" s="16">
        <v>5834.1496999999999</v>
      </c>
      <c r="I34" s="16">
        <v>1731.1863000000001</v>
      </c>
      <c r="J34" s="16">
        <v>10100000</v>
      </c>
      <c r="K34">
        <v>0</v>
      </c>
      <c r="L34" t="s">
        <v>137</v>
      </c>
      <c r="O34">
        <v>0</v>
      </c>
    </row>
    <row r="35" spans="1:15" x14ac:dyDescent="0.2">
      <c r="A35" t="s">
        <v>147</v>
      </c>
      <c r="B35">
        <v>17524947</v>
      </c>
      <c r="C35" t="s">
        <v>235</v>
      </c>
      <c r="D35">
        <v>21</v>
      </c>
      <c r="E35" s="15">
        <v>43062</v>
      </c>
      <c r="F35" t="s">
        <v>51</v>
      </c>
      <c r="G35" t="s">
        <v>195</v>
      </c>
      <c r="H35" s="16">
        <v>8664.5787</v>
      </c>
      <c r="I35" s="16">
        <v>1731.1863000000001</v>
      </c>
      <c r="J35" s="16">
        <v>15000000</v>
      </c>
      <c r="K35">
        <v>0</v>
      </c>
      <c r="L35" t="s">
        <v>137</v>
      </c>
      <c r="O35">
        <v>0</v>
      </c>
    </row>
    <row r="36" spans="1:15" x14ac:dyDescent="0.2">
      <c r="A36" t="s">
        <v>134</v>
      </c>
      <c r="B36">
        <v>17524655</v>
      </c>
      <c r="C36" t="s">
        <v>219</v>
      </c>
      <c r="D36">
        <v>8</v>
      </c>
      <c r="E36" s="15">
        <v>43062</v>
      </c>
      <c r="F36" t="s">
        <v>51</v>
      </c>
      <c r="G36" t="s">
        <v>195</v>
      </c>
      <c r="H36" s="16">
        <v>0.104</v>
      </c>
      <c r="I36" s="16">
        <v>1731.1863000000001</v>
      </c>
      <c r="J36" s="16">
        <v>180</v>
      </c>
      <c r="K36">
        <v>0</v>
      </c>
      <c r="L36" t="s">
        <v>137</v>
      </c>
      <c r="O36">
        <v>0</v>
      </c>
    </row>
    <row r="37" spans="1:15" x14ac:dyDescent="0.2">
      <c r="A37" t="s">
        <v>236</v>
      </c>
      <c r="B37">
        <v>17525895</v>
      </c>
      <c r="C37" t="s">
        <v>237</v>
      </c>
      <c r="D37">
        <v>8</v>
      </c>
      <c r="E37" s="15">
        <v>43062</v>
      </c>
      <c r="F37" t="s">
        <v>51</v>
      </c>
      <c r="G37" t="s">
        <v>197</v>
      </c>
      <c r="H37" s="16">
        <v>10894.9553</v>
      </c>
      <c r="I37" s="16">
        <v>1731.1863000000001</v>
      </c>
      <c r="J37" s="16">
        <v>18861197</v>
      </c>
      <c r="K37">
        <v>0</v>
      </c>
      <c r="L37" t="s">
        <v>137</v>
      </c>
      <c r="O37">
        <v>0</v>
      </c>
    </row>
    <row r="38" spans="1:15" x14ac:dyDescent="0.2">
      <c r="A38" t="s">
        <v>205</v>
      </c>
      <c r="B38">
        <v>17524635</v>
      </c>
      <c r="C38" t="s">
        <v>206</v>
      </c>
      <c r="D38">
        <v>8</v>
      </c>
      <c r="E38" s="15">
        <v>43062</v>
      </c>
      <c r="F38" t="s">
        <v>51</v>
      </c>
      <c r="G38" t="s">
        <v>195</v>
      </c>
      <c r="H38" s="16">
        <v>10108.6752</v>
      </c>
      <c r="I38" s="16">
        <v>1731.1863000000001</v>
      </c>
      <c r="J38" s="16">
        <v>17500000</v>
      </c>
      <c r="K38">
        <v>0</v>
      </c>
      <c r="L38" t="s">
        <v>137</v>
      </c>
      <c r="O38">
        <v>0</v>
      </c>
    </row>
    <row r="39" spans="1:15" x14ac:dyDescent="0.2">
      <c r="A39" t="s">
        <v>134</v>
      </c>
      <c r="B39">
        <v>17524578</v>
      </c>
      <c r="C39" t="s">
        <v>221</v>
      </c>
      <c r="D39">
        <v>8</v>
      </c>
      <c r="E39" s="15">
        <v>43062</v>
      </c>
      <c r="F39" t="s">
        <v>51</v>
      </c>
      <c r="G39" t="s">
        <v>195</v>
      </c>
      <c r="H39" s="16">
        <v>173.29159999999999</v>
      </c>
      <c r="I39" s="16">
        <v>1731.1863000000001</v>
      </c>
      <c r="J39" s="16">
        <v>300000</v>
      </c>
      <c r="K39">
        <v>0</v>
      </c>
      <c r="L39" t="s">
        <v>137</v>
      </c>
      <c r="O39">
        <v>0</v>
      </c>
    </row>
    <row r="40" spans="1:15" x14ac:dyDescent="0.2">
      <c r="A40" t="s">
        <v>138</v>
      </c>
      <c r="B40">
        <v>17524722</v>
      </c>
      <c r="C40" t="s">
        <v>203</v>
      </c>
      <c r="D40">
        <v>21</v>
      </c>
      <c r="E40" s="15">
        <v>43062</v>
      </c>
      <c r="F40" t="s">
        <v>51</v>
      </c>
      <c r="G40" t="s">
        <v>195</v>
      </c>
      <c r="H40" s="16">
        <v>4352.3824999999997</v>
      </c>
      <c r="I40" s="16">
        <v>1731.1863000000001</v>
      </c>
      <c r="J40" s="16">
        <v>7534785</v>
      </c>
      <c r="K40">
        <v>0</v>
      </c>
      <c r="L40" t="s">
        <v>137</v>
      </c>
      <c r="O40">
        <v>0</v>
      </c>
    </row>
    <row r="41" spans="1:15" x14ac:dyDescent="0.2">
      <c r="A41" t="s">
        <v>175</v>
      </c>
      <c r="B41">
        <v>17524301</v>
      </c>
      <c r="C41" t="s">
        <v>220</v>
      </c>
      <c r="D41">
        <v>8</v>
      </c>
      <c r="E41" s="15">
        <v>43062</v>
      </c>
      <c r="F41" t="s">
        <v>51</v>
      </c>
      <c r="G41" t="s">
        <v>197</v>
      </c>
      <c r="H41" s="16">
        <v>4959.9070000000002</v>
      </c>
      <c r="I41" s="16">
        <v>1731.1863000000001</v>
      </c>
      <c r="J41" s="16">
        <v>8586523</v>
      </c>
      <c r="K41">
        <v>0</v>
      </c>
      <c r="L41" t="s">
        <v>137</v>
      </c>
      <c r="O41">
        <v>0</v>
      </c>
    </row>
    <row r="42" spans="1:15" x14ac:dyDescent="0.2">
      <c r="A42" t="s">
        <v>138</v>
      </c>
      <c r="B42">
        <v>17524504</v>
      </c>
      <c r="C42" t="s">
        <v>194</v>
      </c>
      <c r="D42">
        <v>21</v>
      </c>
      <c r="E42" s="15">
        <v>43062</v>
      </c>
      <c r="F42" t="s">
        <v>51</v>
      </c>
      <c r="G42" t="s">
        <v>195</v>
      </c>
      <c r="H42" s="16">
        <v>26571.374800000001</v>
      </c>
      <c r="I42" s="16">
        <v>1731.1863000000001</v>
      </c>
      <c r="J42" s="16">
        <v>46000000</v>
      </c>
      <c r="K42">
        <v>0</v>
      </c>
      <c r="L42" t="s">
        <v>137</v>
      </c>
      <c r="N42" t="s">
        <v>156</v>
      </c>
      <c r="O42">
        <v>13623</v>
      </c>
    </row>
    <row r="43" spans="1:15" x14ac:dyDescent="0.2">
      <c r="A43" t="s">
        <v>165</v>
      </c>
      <c r="B43">
        <v>17524881</v>
      </c>
      <c r="C43" t="s">
        <v>191</v>
      </c>
      <c r="D43">
        <v>8</v>
      </c>
      <c r="E43" s="15">
        <v>43062</v>
      </c>
      <c r="F43" t="s">
        <v>78</v>
      </c>
      <c r="G43" t="s">
        <v>195</v>
      </c>
      <c r="H43" s="16">
        <v>26442.5278</v>
      </c>
      <c r="I43" s="16">
        <v>1705.5858000000001</v>
      </c>
      <c r="J43" s="16">
        <v>45100000</v>
      </c>
      <c r="K43">
        <v>0</v>
      </c>
      <c r="L43" t="s">
        <v>137</v>
      </c>
      <c r="O43">
        <v>0</v>
      </c>
    </row>
    <row r="44" spans="1:15" x14ac:dyDescent="0.2">
      <c r="A44" t="s">
        <v>172</v>
      </c>
      <c r="B44">
        <v>17524746</v>
      </c>
      <c r="C44" t="s">
        <v>222</v>
      </c>
      <c r="D44">
        <v>0</v>
      </c>
      <c r="E44" s="15">
        <v>43062</v>
      </c>
      <c r="F44" t="s">
        <v>193</v>
      </c>
      <c r="G44" t="s">
        <v>195</v>
      </c>
      <c r="H44" s="16">
        <v>413251.06459999998</v>
      </c>
      <c r="I44" s="16">
        <v>1527.2299</v>
      </c>
      <c r="J44" s="16">
        <v>631129382</v>
      </c>
      <c r="K44">
        <v>0</v>
      </c>
      <c r="L44" t="s">
        <v>137</v>
      </c>
      <c r="O44">
        <v>0</v>
      </c>
    </row>
    <row r="45" spans="1:15" x14ac:dyDescent="0.2">
      <c r="E45" s="15"/>
      <c r="H45" s="16">
        <v>931440.95589999994</v>
      </c>
      <c r="I45" s="16"/>
      <c r="J45" s="16">
        <v>1380619310</v>
      </c>
    </row>
    <row r="46" spans="1:15" x14ac:dyDescent="0.2">
      <c r="E46" s="15"/>
      <c r="H46" s="16"/>
      <c r="I46" s="16"/>
      <c r="J46" s="16"/>
    </row>
    <row r="47" spans="1:15" x14ac:dyDescent="0.2">
      <c r="E47" s="15"/>
      <c r="H47" s="16"/>
      <c r="I47" s="16"/>
      <c r="J47" s="16"/>
    </row>
    <row r="48" spans="1:15" x14ac:dyDescent="0.2">
      <c r="E48" s="15"/>
      <c r="H48" s="16"/>
      <c r="I48" s="16"/>
      <c r="J48" s="16"/>
    </row>
    <row r="49" spans="5:10" x14ac:dyDescent="0.2">
      <c r="E49" s="15"/>
      <c r="H49" s="16"/>
      <c r="I49" s="16"/>
      <c r="J49" s="16"/>
    </row>
    <row r="50" spans="5:10" x14ac:dyDescent="0.2">
      <c r="E50" s="15"/>
      <c r="H50" s="16"/>
      <c r="I50" s="16"/>
      <c r="J50" s="16"/>
    </row>
    <row r="51" spans="5:10" x14ac:dyDescent="0.2">
      <c r="E51" s="15"/>
      <c r="H51" s="16"/>
      <c r="I51" s="16"/>
      <c r="J51" s="16"/>
    </row>
    <row r="52" spans="5:10" x14ac:dyDescent="0.2">
      <c r="E52" s="15"/>
      <c r="H52" s="16"/>
      <c r="I52" s="16"/>
      <c r="J52" s="16"/>
    </row>
    <row r="53" spans="5:10" x14ac:dyDescent="0.2">
      <c r="E53" s="15"/>
      <c r="H53" s="16"/>
      <c r="I53" s="16"/>
      <c r="J53" s="16"/>
    </row>
    <row r="54" spans="5:10" x14ac:dyDescent="0.2">
      <c r="E54" s="15"/>
      <c r="H54" s="16"/>
      <c r="I54" s="16"/>
      <c r="J54" s="16"/>
    </row>
    <row r="55" spans="5:10" x14ac:dyDescent="0.2">
      <c r="E55" s="15"/>
      <c r="H55" s="16"/>
      <c r="I55" s="16"/>
      <c r="J55" s="16"/>
    </row>
    <row r="56" spans="5:10" x14ac:dyDescent="0.2">
      <c r="E56" s="15"/>
      <c r="H56" s="16"/>
      <c r="I56" s="16"/>
      <c r="J56" s="16"/>
    </row>
    <row r="57" spans="5:10" x14ac:dyDescent="0.2">
      <c r="E57" s="15"/>
      <c r="H57" s="16"/>
      <c r="I57" s="16"/>
      <c r="J57" s="16"/>
    </row>
    <row r="58" spans="5:10" x14ac:dyDescent="0.2">
      <c r="E58" s="15"/>
      <c r="H58" s="16"/>
      <c r="I58" s="16"/>
      <c r="J58" s="16"/>
    </row>
    <row r="59" spans="5:10" x14ac:dyDescent="0.2">
      <c r="E59" s="15"/>
      <c r="H59" s="16"/>
      <c r="I59" s="16"/>
      <c r="J59" s="16"/>
    </row>
    <row r="60" spans="5:10" x14ac:dyDescent="0.2">
      <c r="E60" s="15"/>
      <c r="H60" s="16"/>
      <c r="I60" s="16"/>
      <c r="J60" s="16"/>
    </row>
    <row r="61" spans="5:10" x14ac:dyDescent="0.2">
      <c r="E61" s="15"/>
      <c r="H61" s="16"/>
      <c r="I61" s="16"/>
      <c r="J61" s="16"/>
    </row>
    <row r="62" spans="5:10" x14ac:dyDescent="0.2">
      <c r="E62" s="15"/>
      <c r="H62" s="16"/>
      <c r="I62" s="16"/>
      <c r="J62" s="16"/>
    </row>
    <row r="63" spans="5:10" x14ac:dyDescent="0.2">
      <c r="E63" s="15"/>
      <c r="H63" s="16"/>
      <c r="I63" s="16"/>
      <c r="J63" s="16"/>
    </row>
    <row r="64" spans="5:10" x14ac:dyDescent="0.2">
      <c r="E64" s="15"/>
      <c r="H64" s="16"/>
      <c r="I64" s="16"/>
      <c r="J64" s="16"/>
    </row>
    <row r="65" spans="5:10" x14ac:dyDescent="0.2">
      <c r="E65" s="15"/>
      <c r="H65" s="16"/>
      <c r="I65" s="16"/>
      <c r="J65" s="16"/>
    </row>
    <row r="66" spans="5:10" x14ac:dyDescent="0.2">
      <c r="E66" s="15"/>
      <c r="H66" s="16"/>
      <c r="I66" s="16"/>
      <c r="J66" s="16"/>
    </row>
    <row r="67" spans="5:10" x14ac:dyDescent="0.2">
      <c r="E67" s="15"/>
      <c r="H67" s="16"/>
      <c r="I67" s="16"/>
      <c r="J67" s="16"/>
    </row>
    <row r="68" spans="5:10" x14ac:dyDescent="0.2">
      <c r="E68" s="15"/>
      <c r="H68" s="16"/>
      <c r="I68" s="16"/>
      <c r="J68" s="16"/>
    </row>
    <row r="69" spans="5:10" x14ac:dyDescent="0.2">
      <c r="E69" s="15"/>
      <c r="H69" s="16"/>
      <c r="I69" s="16"/>
      <c r="J69" s="16"/>
    </row>
    <row r="70" spans="5:10" x14ac:dyDescent="0.2">
      <c r="E70" s="15"/>
      <c r="H70" s="16"/>
      <c r="I70" s="16"/>
      <c r="J70" s="16"/>
    </row>
    <row r="71" spans="5:10" x14ac:dyDescent="0.2">
      <c r="E71" s="15"/>
      <c r="H71" s="16"/>
      <c r="I71" s="16"/>
      <c r="J71" s="16"/>
    </row>
    <row r="72" spans="5:10" x14ac:dyDescent="0.2">
      <c r="E72" s="15"/>
      <c r="H72" s="16"/>
      <c r="I72" s="16"/>
      <c r="J72" s="16"/>
    </row>
    <row r="73" spans="5:10" x14ac:dyDescent="0.2">
      <c r="E73" s="15"/>
      <c r="H73" s="16"/>
      <c r="I73" s="16"/>
      <c r="J73" s="16"/>
    </row>
    <row r="74" spans="5:10" x14ac:dyDescent="0.2">
      <c r="E74" s="15"/>
      <c r="H74" s="16"/>
      <c r="I74" s="16"/>
      <c r="J74" s="16"/>
    </row>
    <row r="75" spans="5:10" x14ac:dyDescent="0.2">
      <c r="E75" s="15"/>
      <c r="H75" s="16"/>
      <c r="I75" s="16"/>
      <c r="J75" s="16"/>
    </row>
    <row r="76" spans="5:10" x14ac:dyDescent="0.2">
      <c r="E76" s="15"/>
      <c r="H76" s="16"/>
      <c r="I76" s="16"/>
      <c r="J76" s="16"/>
    </row>
    <row r="77" spans="5:10" x14ac:dyDescent="0.2">
      <c r="E77" s="15"/>
      <c r="H77" s="16"/>
      <c r="I77" s="16"/>
      <c r="J77" s="16"/>
    </row>
    <row r="78" spans="5:10" x14ac:dyDescent="0.2">
      <c r="E78" s="15"/>
      <c r="H78" s="16"/>
      <c r="J78" s="16"/>
    </row>
    <row r="79" spans="5:10" x14ac:dyDescent="0.2">
      <c r="E79" s="15"/>
    </row>
    <row r="80" spans="5:10" x14ac:dyDescent="0.2">
      <c r="E80" s="15"/>
    </row>
    <row r="81" spans="5:5" x14ac:dyDescent="0.2">
      <c r="E81" s="15"/>
    </row>
    <row r="82" spans="5:5" x14ac:dyDescent="0.2">
      <c r="E82" s="15"/>
    </row>
    <row r="83" spans="5:5" x14ac:dyDescent="0.2">
      <c r="E83" s="15"/>
    </row>
    <row r="84" spans="5:5" x14ac:dyDescent="0.2">
      <c r="E84" s="15"/>
    </row>
    <row r="85" spans="5:5" x14ac:dyDescent="0.2">
      <c r="E85" s="15"/>
    </row>
    <row r="86" spans="5:5" x14ac:dyDescent="0.2">
      <c r="E86" s="15"/>
    </row>
    <row r="87" spans="5:5" x14ac:dyDescent="0.2">
      <c r="E87" s="15"/>
    </row>
    <row r="88" spans="5:5" x14ac:dyDescent="0.2">
      <c r="E88" s="15"/>
    </row>
    <row r="89" spans="5:5" x14ac:dyDescent="0.2">
      <c r="E89" s="15"/>
    </row>
    <row r="90" spans="5:5" x14ac:dyDescent="0.2">
      <c r="E90" s="15"/>
    </row>
    <row r="91" spans="5:5" x14ac:dyDescent="0.2">
      <c r="E91" s="15"/>
    </row>
    <row r="92" spans="5:5" x14ac:dyDescent="0.2">
      <c r="E92" s="15"/>
    </row>
    <row r="93" spans="5:5" x14ac:dyDescent="0.2">
      <c r="E93" s="15"/>
    </row>
    <row r="94" spans="5:5" x14ac:dyDescent="0.2">
      <c r="E94" s="15"/>
    </row>
    <row r="95" spans="5:5" x14ac:dyDescent="0.2">
      <c r="E95" s="15"/>
    </row>
    <row r="96" spans="5:5" x14ac:dyDescent="0.2">
      <c r="E96" s="15"/>
    </row>
    <row r="97" spans="5:5" x14ac:dyDescent="0.2">
      <c r="E97" s="15"/>
    </row>
    <row r="98" spans="5:5" x14ac:dyDescent="0.2">
      <c r="E98" s="15"/>
    </row>
    <row r="99" spans="5:5" x14ac:dyDescent="0.2">
      <c r="E99" s="15"/>
    </row>
    <row r="100" spans="5:5" x14ac:dyDescent="0.2">
      <c r="E100" s="15"/>
    </row>
    <row r="101" spans="5:5" x14ac:dyDescent="0.2">
      <c r="E101" s="15"/>
    </row>
    <row r="102" spans="5:5" x14ac:dyDescent="0.2">
      <c r="E102" s="15"/>
    </row>
    <row r="103" spans="5:5" x14ac:dyDescent="0.2">
      <c r="E103" s="15"/>
    </row>
    <row r="104" spans="5:5" x14ac:dyDescent="0.2">
      <c r="E104" s="15"/>
    </row>
    <row r="105" spans="5:5" x14ac:dyDescent="0.2">
      <c r="E105" s="15"/>
    </row>
    <row r="106" spans="5:5" x14ac:dyDescent="0.2">
      <c r="E106" s="15"/>
    </row>
    <row r="107" spans="5:5" x14ac:dyDescent="0.2">
      <c r="E107" s="15"/>
    </row>
    <row r="108" spans="5:5" x14ac:dyDescent="0.2">
      <c r="E108" s="15"/>
    </row>
    <row r="109" spans="5:5" x14ac:dyDescent="0.2">
      <c r="E109" s="15"/>
    </row>
    <row r="110" spans="5:5" x14ac:dyDescent="0.2">
      <c r="E110" s="15"/>
    </row>
    <row r="111" spans="5:5" x14ac:dyDescent="0.2">
      <c r="E111" s="15"/>
    </row>
    <row r="112" spans="5:5" x14ac:dyDescent="0.2">
      <c r="E112" s="15"/>
    </row>
    <row r="113" spans="5:5" x14ac:dyDescent="0.2">
      <c r="E113" s="15"/>
    </row>
    <row r="114" spans="5:5" x14ac:dyDescent="0.2">
      <c r="E114" s="15"/>
    </row>
    <row r="115" spans="5:5" x14ac:dyDescent="0.2">
      <c r="E115" s="15"/>
    </row>
    <row r="116" spans="5:5" x14ac:dyDescent="0.2">
      <c r="E116" s="15"/>
    </row>
    <row r="117" spans="5:5" x14ac:dyDescent="0.2">
      <c r="E117" s="15"/>
    </row>
    <row r="118" spans="5:5" x14ac:dyDescent="0.2">
      <c r="E118" s="15"/>
    </row>
    <row r="119" spans="5:5" x14ac:dyDescent="0.2">
      <c r="E119" s="15"/>
    </row>
    <row r="120" spans="5:5" x14ac:dyDescent="0.2">
      <c r="E120" s="15"/>
    </row>
    <row r="121" spans="5:5" x14ac:dyDescent="0.2">
      <c r="E121" s="15"/>
    </row>
    <row r="122" spans="5:5" x14ac:dyDescent="0.2">
      <c r="E122" s="15"/>
    </row>
    <row r="123" spans="5:5" x14ac:dyDescent="0.2">
      <c r="E123" s="15"/>
    </row>
    <row r="124" spans="5:5" x14ac:dyDescent="0.2">
      <c r="E124" s="15"/>
    </row>
    <row r="125" spans="5:5" x14ac:dyDescent="0.2">
      <c r="E125" s="15"/>
    </row>
    <row r="126" spans="5:5" x14ac:dyDescent="0.2">
      <c r="E126" s="15"/>
    </row>
    <row r="127" spans="5:5" x14ac:dyDescent="0.2">
      <c r="E127" s="15"/>
    </row>
    <row r="128" spans="5:5" x14ac:dyDescent="0.2">
      <c r="E128" s="15"/>
    </row>
    <row r="129" spans="5:5" x14ac:dyDescent="0.2">
      <c r="E129" s="15"/>
    </row>
    <row r="130" spans="5:5" x14ac:dyDescent="0.2">
      <c r="E130" s="15"/>
    </row>
    <row r="131" spans="5:5" x14ac:dyDescent="0.2">
      <c r="E131" s="15"/>
    </row>
    <row r="132" spans="5:5" x14ac:dyDescent="0.2">
      <c r="E132" s="15"/>
    </row>
    <row r="133" spans="5:5" x14ac:dyDescent="0.2">
      <c r="E133" s="15"/>
    </row>
    <row r="134" spans="5:5" x14ac:dyDescent="0.2">
      <c r="E134" s="15"/>
    </row>
    <row r="135" spans="5:5" x14ac:dyDescent="0.2">
      <c r="E135" s="15"/>
    </row>
    <row r="136" spans="5:5" x14ac:dyDescent="0.2">
      <c r="E136" s="15"/>
    </row>
    <row r="137" spans="5:5" x14ac:dyDescent="0.2">
      <c r="E137" s="15"/>
    </row>
    <row r="138" spans="5:5" x14ac:dyDescent="0.2">
      <c r="E138" s="15"/>
    </row>
    <row r="139" spans="5:5" x14ac:dyDescent="0.2">
      <c r="E139" s="15"/>
    </row>
    <row r="140" spans="5:5" x14ac:dyDescent="0.2">
      <c r="E140" s="15"/>
    </row>
    <row r="141" spans="5:5" x14ac:dyDescent="0.2">
      <c r="E141" s="15"/>
    </row>
    <row r="142" spans="5:5" x14ac:dyDescent="0.2">
      <c r="E142" s="15"/>
    </row>
    <row r="143" spans="5:5" x14ac:dyDescent="0.2">
      <c r="E143" s="15"/>
    </row>
    <row r="144" spans="5:5" x14ac:dyDescent="0.2">
      <c r="E144" s="15"/>
    </row>
    <row r="145" spans="5:5" x14ac:dyDescent="0.2">
      <c r="E145" s="15"/>
    </row>
    <row r="146" spans="5:5" x14ac:dyDescent="0.2">
      <c r="E146" s="15"/>
    </row>
    <row r="147" spans="5:5" x14ac:dyDescent="0.2">
      <c r="E147" s="15"/>
    </row>
    <row r="148" spans="5:5" x14ac:dyDescent="0.2">
      <c r="E148" s="15"/>
    </row>
    <row r="149" spans="5:5" x14ac:dyDescent="0.2">
      <c r="E149" s="15"/>
    </row>
    <row r="150" spans="5:5" x14ac:dyDescent="0.2">
      <c r="E150" s="15"/>
    </row>
    <row r="151" spans="5:5" x14ac:dyDescent="0.2">
      <c r="E151" s="15"/>
    </row>
    <row r="152" spans="5:5" x14ac:dyDescent="0.2">
      <c r="E152" s="15"/>
    </row>
    <row r="153" spans="5:5" x14ac:dyDescent="0.2">
      <c r="E153" s="15"/>
    </row>
    <row r="154" spans="5:5" x14ac:dyDescent="0.2">
      <c r="E154" s="15"/>
    </row>
    <row r="155" spans="5:5" x14ac:dyDescent="0.2">
      <c r="E155" s="15"/>
    </row>
    <row r="156" spans="5:5" x14ac:dyDescent="0.2">
      <c r="E156" s="15"/>
    </row>
    <row r="157" spans="5:5" x14ac:dyDescent="0.2">
      <c r="E157" s="15"/>
    </row>
    <row r="158" spans="5:5" x14ac:dyDescent="0.2">
      <c r="E158" s="15"/>
    </row>
    <row r="159" spans="5:5" x14ac:dyDescent="0.2">
      <c r="E159" s="15"/>
    </row>
    <row r="160" spans="5:5" x14ac:dyDescent="0.2">
      <c r="E160" s="15"/>
    </row>
    <row r="161" spans="5:5" x14ac:dyDescent="0.2">
      <c r="E161" s="15"/>
    </row>
    <row r="162" spans="5:5" x14ac:dyDescent="0.2">
      <c r="E162" s="15"/>
    </row>
    <row r="163" spans="5:5" x14ac:dyDescent="0.2">
      <c r="E163" s="15"/>
    </row>
    <row r="164" spans="5:5" x14ac:dyDescent="0.2">
      <c r="E164" s="15"/>
    </row>
    <row r="165" spans="5:5" x14ac:dyDescent="0.2">
      <c r="E165" s="15"/>
    </row>
    <row r="166" spans="5:5" x14ac:dyDescent="0.2">
      <c r="E166" s="15"/>
    </row>
    <row r="167" spans="5:5" x14ac:dyDescent="0.2">
      <c r="E167" s="15"/>
    </row>
    <row r="168" spans="5:5" x14ac:dyDescent="0.2">
      <c r="E168" s="15"/>
    </row>
  </sheetData>
  <autoFilter ref="A1:O45" xr:uid="{390648B3-FC88-4FE2-9608-CFFAC88E3B7D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theme="3" tint="0.79998168889431442"/>
  </sheetPr>
  <dimension ref="A1:L13"/>
  <sheetViews>
    <sheetView zoomScale="80" zoomScaleNormal="80" workbookViewId="0"/>
  </sheetViews>
  <sheetFormatPr baseColWidth="10" defaultRowHeight="12.75" x14ac:dyDescent="0.2"/>
  <cols>
    <col min="3" max="3" width="8.42578125" customWidth="1"/>
    <col min="10" max="10" width="12.42578125" bestFit="1" customWidth="1"/>
  </cols>
  <sheetData>
    <row r="1" spans="1:12" x14ac:dyDescent="0.2">
      <c r="A1" s="47" t="s">
        <v>120</v>
      </c>
      <c r="B1" s="47" t="s">
        <v>121</v>
      </c>
      <c r="C1" s="47" t="s">
        <v>122</v>
      </c>
      <c r="D1" s="47" t="s">
        <v>123</v>
      </c>
      <c r="E1" s="47" t="s">
        <v>124</v>
      </c>
      <c r="F1" s="47" t="s">
        <v>45</v>
      </c>
      <c r="G1" s="47" t="s">
        <v>125</v>
      </c>
      <c r="H1" s="47" t="s">
        <v>126</v>
      </c>
      <c r="I1" s="47" t="s">
        <v>127</v>
      </c>
      <c r="J1" s="47" t="s">
        <v>128</v>
      </c>
      <c r="K1" s="47" t="s">
        <v>129</v>
      </c>
      <c r="L1" t="s">
        <v>223</v>
      </c>
    </row>
    <row r="2" spans="1:12" x14ac:dyDescent="0.2">
      <c r="A2" s="47" t="s">
        <v>165</v>
      </c>
      <c r="B2" s="47">
        <v>17524549</v>
      </c>
      <c r="C2" s="47" t="s">
        <v>190</v>
      </c>
      <c r="D2" s="47">
        <v>8</v>
      </c>
      <c r="E2" s="48">
        <v>43061</v>
      </c>
      <c r="F2" s="47" t="s">
        <v>47</v>
      </c>
      <c r="G2" s="47" t="s">
        <v>136</v>
      </c>
      <c r="H2" s="49">
        <v>2.52E-2</v>
      </c>
      <c r="I2" s="49">
        <v>1014.711</v>
      </c>
      <c r="J2" s="49">
        <v>25.56</v>
      </c>
      <c r="K2" s="47">
        <v>0</v>
      </c>
    </row>
    <row r="3" spans="1:12" x14ac:dyDescent="0.2">
      <c r="A3" s="47"/>
      <c r="B3" s="47"/>
      <c r="C3" s="47"/>
      <c r="D3" s="47"/>
      <c r="E3" s="48"/>
      <c r="F3" s="47"/>
      <c r="G3" s="47"/>
      <c r="H3" s="47">
        <v>2.52E-2</v>
      </c>
      <c r="I3" s="49"/>
      <c r="J3" s="49">
        <v>25.56</v>
      </c>
      <c r="K3" s="47"/>
    </row>
    <row r="4" spans="1:12" x14ac:dyDescent="0.2">
      <c r="A4" s="47"/>
      <c r="B4" s="47"/>
      <c r="C4" s="47"/>
      <c r="D4" s="47"/>
      <c r="E4" s="48"/>
      <c r="F4" s="47"/>
      <c r="G4" s="47"/>
      <c r="H4" s="47"/>
      <c r="I4" s="49"/>
      <c r="J4" s="52"/>
      <c r="K4" s="47"/>
    </row>
    <row r="5" spans="1:12" x14ac:dyDescent="0.2">
      <c r="A5" s="47"/>
      <c r="B5" s="47"/>
      <c r="C5" s="47"/>
      <c r="D5" s="47"/>
      <c r="E5" s="48"/>
      <c r="F5" s="47"/>
      <c r="G5" s="47"/>
      <c r="H5" s="47"/>
      <c r="I5" s="49"/>
      <c r="J5" s="47"/>
      <c r="K5" s="47"/>
    </row>
    <row r="6" spans="1:12" x14ac:dyDescent="0.2">
      <c r="A6" s="47"/>
      <c r="B6" s="47"/>
      <c r="C6" s="47"/>
      <c r="D6" s="47"/>
      <c r="E6" s="48"/>
      <c r="F6" s="47"/>
      <c r="G6" s="47"/>
      <c r="H6" s="47"/>
      <c r="I6" s="49"/>
      <c r="J6" s="49"/>
      <c r="K6" s="47"/>
    </row>
    <row r="7" spans="1:12" x14ac:dyDescent="0.2">
      <c r="A7" s="47"/>
      <c r="B7" s="47"/>
      <c r="C7" s="47"/>
      <c r="D7" s="47"/>
      <c r="E7" s="48"/>
      <c r="F7" s="47"/>
      <c r="G7" s="47"/>
      <c r="H7" s="47"/>
      <c r="I7" s="49"/>
      <c r="J7" s="47"/>
      <c r="K7" s="47"/>
    </row>
    <row r="8" spans="1:12" x14ac:dyDescent="0.2">
      <c r="A8" s="47"/>
      <c r="B8" s="47"/>
      <c r="C8" s="47"/>
      <c r="D8" s="47"/>
      <c r="E8" s="48"/>
      <c r="F8" s="47"/>
      <c r="G8" s="47"/>
      <c r="H8" s="47"/>
      <c r="I8" s="49"/>
      <c r="J8" s="47"/>
      <c r="K8" s="47"/>
    </row>
    <row r="9" spans="1:12" x14ac:dyDescent="0.2">
      <c r="A9" s="47"/>
      <c r="B9" s="47"/>
      <c r="C9" s="47"/>
      <c r="D9" s="47"/>
      <c r="E9" s="48"/>
      <c r="F9" s="47"/>
      <c r="G9" s="47"/>
      <c r="H9" s="47"/>
      <c r="I9" s="49"/>
      <c r="J9" s="49"/>
      <c r="K9" s="47"/>
    </row>
    <row r="10" spans="1:12" x14ac:dyDescent="0.2">
      <c r="A10" s="47"/>
      <c r="B10" s="47"/>
      <c r="C10" s="47"/>
      <c r="D10" s="47"/>
      <c r="E10" s="48"/>
      <c r="F10" s="47"/>
      <c r="G10" s="47"/>
      <c r="H10" s="47"/>
      <c r="I10" s="49"/>
      <c r="J10" s="49"/>
      <c r="K10" s="47"/>
    </row>
    <row r="11" spans="1:12" x14ac:dyDescent="0.2">
      <c r="A11" s="47"/>
      <c r="B11" s="47"/>
      <c r="C11" s="47"/>
      <c r="D11" s="47"/>
      <c r="E11" s="48"/>
      <c r="F11" s="47"/>
      <c r="G11" s="47"/>
      <c r="H11" s="47"/>
      <c r="I11" s="49"/>
      <c r="J11" s="49"/>
      <c r="K11" s="47"/>
    </row>
    <row r="12" spans="1:12" x14ac:dyDescent="0.2">
      <c r="A12" s="47"/>
      <c r="B12" s="47"/>
      <c r="C12" s="47"/>
      <c r="D12" s="47"/>
      <c r="E12" s="48"/>
      <c r="F12" s="47"/>
      <c r="G12" s="47"/>
      <c r="H12" s="47"/>
      <c r="I12" s="49"/>
      <c r="J12" s="49"/>
      <c r="K12" s="47"/>
    </row>
    <row r="13" spans="1:12" x14ac:dyDescent="0.2">
      <c r="A13" s="47"/>
      <c r="B13" s="47"/>
      <c r="C13" s="47"/>
      <c r="D13" s="47"/>
      <c r="E13" s="47"/>
      <c r="F13" s="47"/>
      <c r="G13" s="47"/>
      <c r="H13" s="49"/>
      <c r="I13" s="47"/>
      <c r="J13" s="49"/>
      <c r="K13" s="47"/>
    </row>
  </sheetData>
  <autoFilter ref="A1:L3" xr:uid="{3528D27B-B970-4040-BD54-1A44DACDF15B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2">
    <tabColor theme="3" tint="0.79998168889431442"/>
  </sheetPr>
  <dimension ref="E2:J28"/>
  <sheetViews>
    <sheetView zoomScale="80" zoomScaleNormal="80" workbookViewId="0"/>
  </sheetViews>
  <sheetFormatPr baseColWidth="10" defaultRowHeight="12.75" x14ac:dyDescent="0.2"/>
  <cols>
    <col min="1" max="1" width="7.42578125" bestFit="1" customWidth="1"/>
    <col min="2" max="2" width="10.28515625" bestFit="1" customWidth="1"/>
    <col min="3" max="3" width="11.5703125" bestFit="1" customWidth="1"/>
    <col min="4" max="4" width="7.28515625" bestFit="1" customWidth="1"/>
    <col min="5" max="5" width="11.28515625" bestFit="1" customWidth="1"/>
    <col min="6" max="6" width="11.7109375" bestFit="1" customWidth="1"/>
    <col min="7" max="7" width="9.140625" bestFit="1" customWidth="1"/>
    <col min="8" max="8" width="9.85546875" bestFit="1" customWidth="1"/>
    <col min="9" max="9" width="8.7109375" bestFit="1" customWidth="1"/>
    <col min="10" max="10" width="12.42578125" bestFit="1" customWidth="1"/>
    <col min="11" max="11" width="8.85546875" bestFit="1" customWidth="1"/>
    <col min="12" max="13" width="9.42578125" bestFit="1" customWidth="1"/>
    <col min="14" max="14" width="11" bestFit="1" customWidth="1"/>
    <col min="15" max="15" width="7.85546875" customWidth="1"/>
    <col min="16" max="16" width="5.5703125" bestFit="1" customWidth="1"/>
  </cols>
  <sheetData>
    <row r="2" spans="5:10" x14ac:dyDescent="0.2">
      <c r="E2" s="15"/>
      <c r="H2" s="16"/>
      <c r="I2" s="16"/>
      <c r="J2" s="16"/>
    </row>
    <row r="3" spans="5:10" x14ac:dyDescent="0.2">
      <c r="E3" s="15"/>
      <c r="H3" s="16"/>
      <c r="I3" s="16"/>
      <c r="J3" s="16"/>
    </row>
    <row r="4" spans="5:10" x14ac:dyDescent="0.2">
      <c r="E4" s="15"/>
      <c r="H4" s="16"/>
      <c r="J4" s="16"/>
    </row>
    <row r="5" spans="5:10" x14ac:dyDescent="0.2">
      <c r="E5" s="15"/>
    </row>
    <row r="6" spans="5:10" x14ac:dyDescent="0.2">
      <c r="E6" s="15"/>
    </row>
    <row r="7" spans="5:10" x14ac:dyDescent="0.2">
      <c r="E7" s="15"/>
    </row>
    <row r="8" spans="5:10" x14ac:dyDescent="0.2">
      <c r="E8" s="15"/>
    </row>
    <row r="9" spans="5:10" x14ac:dyDescent="0.2">
      <c r="E9" s="15"/>
    </row>
    <row r="10" spans="5:10" x14ac:dyDescent="0.2">
      <c r="E10" s="15"/>
    </row>
    <row r="11" spans="5:10" x14ac:dyDescent="0.2">
      <c r="E11" s="15"/>
    </row>
    <row r="12" spans="5:10" x14ac:dyDescent="0.2">
      <c r="E12" s="15"/>
    </row>
    <row r="13" spans="5:10" x14ac:dyDescent="0.2">
      <c r="E13" s="15"/>
    </row>
    <row r="14" spans="5:10" x14ac:dyDescent="0.2">
      <c r="E14" s="15"/>
    </row>
    <row r="15" spans="5:10" x14ac:dyDescent="0.2">
      <c r="E15" s="15"/>
    </row>
    <row r="16" spans="5:10" x14ac:dyDescent="0.2">
      <c r="E16" s="15"/>
    </row>
    <row r="17" spans="5:5" x14ac:dyDescent="0.2">
      <c r="E17" s="15"/>
    </row>
    <row r="18" spans="5:5" x14ac:dyDescent="0.2">
      <c r="E18" s="15"/>
    </row>
    <row r="19" spans="5:5" x14ac:dyDescent="0.2">
      <c r="E19" s="15"/>
    </row>
    <row r="20" spans="5:5" x14ac:dyDescent="0.2">
      <c r="E20" s="15"/>
    </row>
    <row r="21" spans="5:5" x14ac:dyDescent="0.2">
      <c r="E21" s="15"/>
    </row>
    <row r="22" spans="5:5" x14ac:dyDescent="0.2">
      <c r="E22" s="15"/>
    </row>
    <row r="23" spans="5:5" x14ac:dyDescent="0.2">
      <c r="E23" s="15"/>
    </row>
    <row r="24" spans="5:5" x14ac:dyDescent="0.2">
      <c r="E24" s="15"/>
    </row>
    <row r="25" spans="5:5" x14ac:dyDescent="0.2">
      <c r="E25" s="15"/>
    </row>
    <row r="26" spans="5:5" x14ac:dyDescent="0.2">
      <c r="E26" s="15"/>
    </row>
    <row r="27" spans="5:5" x14ac:dyDescent="0.2">
      <c r="E27" s="15"/>
    </row>
    <row r="28" spans="5:5" x14ac:dyDescent="0.2">
      <c r="E28" s="1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4"/>
  <dimension ref="F1:J37"/>
  <sheetViews>
    <sheetView workbookViewId="0">
      <selection activeCell="F1" sqref="F1:F4"/>
    </sheetView>
  </sheetViews>
  <sheetFormatPr baseColWidth="10" defaultRowHeight="12.75" x14ac:dyDescent="0.2"/>
  <cols>
    <col min="6" max="6" width="12.7109375" bestFit="1" customWidth="1"/>
    <col min="8" max="8" width="12.7109375" bestFit="1" customWidth="1"/>
    <col min="10" max="10" width="12.7109375" bestFit="1" customWidth="1"/>
  </cols>
  <sheetData>
    <row r="1" spans="6:10" x14ac:dyDescent="0.2">
      <c r="F1" t="s">
        <v>85</v>
      </c>
    </row>
    <row r="2" spans="6:10" x14ac:dyDescent="0.2">
      <c r="F2" t="s">
        <v>52</v>
      </c>
      <c r="J2" t="s">
        <v>45</v>
      </c>
    </row>
    <row r="3" spans="6:10" x14ac:dyDescent="0.2">
      <c r="F3" t="s">
        <v>54</v>
      </c>
      <c r="J3" t="s">
        <v>77</v>
      </c>
    </row>
    <row r="4" spans="6:10" x14ac:dyDescent="0.2">
      <c r="F4" t="s">
        <v>58</v>
      </c>
      <c r="J4" t="s">
        <v>64</v>
      </c>
    </row>
    <row r="5" spans="6:10" x14ac:dyDescent="0.2">
      <c r="F5" t="s">
        <v>47</v>
      </c>
      <c r="J5" t="s">
        <v>55</v>
      </c>
    </row>
    <row r="6" spans="6:10" x14ac:dyDescent="0.2">
      <c r="F6" t="s">
        <v>60</v>
      </c>
      <c r="J6" t="s">
        <v>54</v>
      </c>
    </row>
    <row r="7" spans="6:10" x14ac:dyDescent="0.2">
      <c r="F7" t="s">
        <v>61</v>
      </c>
      <c r="J7" t="s">
        <v>58</v>
      </c>
    </row>
    <row r="8" spans="6:10" x14ac:dyDescent="0.2">
      <c r="F8" t="s">
        <v>57</v>
      </c>
      <c r="J8" t="s">
        <v>52</v>
      </c>
    </row>
    <row r="9" spans="6:10" x14ac:dyDescent="0.2">
      <c r="F9" t="s">
        <v>48</v>
      </c>
      <c r="J9" t="s">
        <v>74</v>
      </c>
    </row>
    <row r="10" spans="6:10" x14ac:dyDescent="0.2">
      <c r="F10" t="s">
        <v>62</v>
      </c>
      <c r="J10" t="s">
        <v>51</v>
      </c>
    </row>
    <row r="11" spans="6:10" x14ac:dyDescent="0.2">
      <c r="F11" t="s">
        <v>49</v>
      </c>
      <c r="J11" t="s">
        <v>57</v>
      </c>
    </row>
    <row r="12" spans="6:10" x14ac:dyDescent="0.2">
      <c r="F12" t="s">
        <v>63</v>
      </c>
    </row>
    <row r="13" spans="6:10" x14ac:dyDescent="0.2">
      <c r="F13" t="s">
        <v>64</v>
      </c>
      <c r="H13" t="s">
        <v>59</v>
      </c>
    </row>
    <row r="14" spans="6:10" x14ac:dyDescent="0.2">
      <c r="F14" t="s">
        <v>65</v>
      </c>
      <c r="H14" t="s">
        <v>51</v>
      </c>
    </row>
    <row r="15" spans="6:10" x14ac:dyDescent="0.2">
      <c r="F15" t="s">
        <v>71</v>
      </c>
      <c r="H15" t="s">
        <v>78</v>
      </c>
    </row>
    <row r="16" spans="6:10" x14ac:dyDescent="0.2">
      <c r="F16" t="s">
        <v>72</v>
      </c>
    </row>
    <row r="17" spans="6:6" x14ac:dyDescent="0.2">
      <c r="F17" t="s">
        <v>50</v>
      </c>
    </row>
    <row r="18" spans="6:6" x14ac:dyDescent="0.2">
      <c r="F18" t="s">
        <v>56</v>
      </c>
    </row>
    <row r="19" spans="6:6" x14ac:dyDescent="0.2">
      <c r="F19" t="s">
        <v>66</v>
      </c>
    </row>
    <row r="20" spans="6:6" x14ac:dyDescent="0.2">
      <c r="F20" t="s">
        <v>67</v>
      </c>
    </row>
    <row r="21" spans="6:6" x14ac:dyDescent="0.2">
      <c r="F21" t="s">
        <v>55</v>
      </c>
    </row>
    <row r="22" spans="6:6" x14ac:dyDescent="0.2">
      <c r="F22" t="s">
        <v>68</v>
      </c>
    </row>
    <row r="23" spans="6:6" x14ac:dyDescent="0.2">
      <c r="F23" t="s">
        <v>46</v>
      </c>
    </row>
    <row r="24" spans="6:6" x14ac:dyDescent="0.2">
      <c r="F24" t="s">
        <v>69</v>
      </c>
    </row>
    <row r="25" spans="6:6" x14ac:dyDescent="0.2">
      <c r="F25" t="s">
        <v>70</v>
      </c>
    </row>
    <row r="26" spans="6:6" x14ac:dyDescent="0.2">
      <c r="F26" t="s">
        <v>53</v>
      </c>
    </row>
    <row r="27" spans="6:6" x14ac:dyDescent="0.2">
      <c r="F27" t="s">
        <v>73</v>
      </c>
    </row>
    <row r="28" spans="6:6" x14ac:dyDescent="0.2">
      <c r="F28" t="s">
        <v>74</v>
      </c>
    </row>
    <row r="29" spans="6:6" x14ac:dyDescent="0.2">
      <c r="F29" t="s">
        <v>75</v>
      </c>
    </row>
    <row r="30" spans="6:6" x14ac:dyDescent="0.2">
      <c r="F30" t="s">
        <v>76</v>
      </c>
    </row>
    <row r="31" spans="6:6" x14ac:dyDescent="0.2">
      <c r="F31" t="s">
        <v>79</v>
      </c>
    </row>
    <row r="32" spans="6:6" x14ac:dyDescent="0.2">
      <c r="F32" t="s">
        <v>80</v>
      </c>
    </row>
    <row r="33" spans="6:6" x14ac:dyDescent="0.2">
      <c r="F33" t="s">
        <v>81</v>
      </c>
    </row>
    <row r="34" spans="6:6" x14ac:dyDescent="0.2">
      <c r="F34" t="s">
        <v>82</v>
      </c>
    </row>
    <row r="35" spans="6:6" x14ac:dyDescent="0.2">
      <c r="F35" t="s">
        <v>77</v>
      </c>
    </row>
    <row r="36" spans="6:6" x14ac:dyDescent="0.2">
      <c r="F36" t="s">
        <v>83</v>
      </c>
    </row>
    <row r="37" spans="6:6" x14ac:dyDescent="0.2">
      <c r="F37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INFORME FF.MM.</vt:lpstr>
      <vt:lpstr>Parametros automatización</vt:lpstr>
      <vt:lpstr>RESUMEN</vt:lpstr>
      <vt:lpstr>LIQUIDEZ</vt:lpstr>
      <vt:lpstr>RENTA</vt:lpstr>
      <vt:lpstr>DEUDA 360</vt:lpstr>
      <vt:lpstr>MACRO</vt:lpstr>
      <vt:lpstr>ESTRATEGIA</vt:lpstr>
      <vt:lpstr>INDICE CHILE</vt:lpstr>
      <vt:lpstr>MONEY MARKET</vt:lpstr>
      <vt:lpstr>LATAM</vt:lpstr>
      <vt:lpstr>GLOBALES</vt:lpstr>
      <vt:lpstr>INTERNAC.</vt:lpstr>
      <vt:lpstr>Aportes Capital Clp</vt:lpstr>
      <vt:lpstr>Retiro Capital CLP</vt:lpstr>
      <vt:lpstr>Aporte Capital Dolar</vt:lpstr>
      <vt:lpstr>Retiro Capital Dolar</vt:lpstr>
      <vt:lpstr>Hoja3</vt:lpstr>
      <vt:lpstr>RESUMEN!Área_de_impresión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smusaleme</dc:creator>
  <cp:lastModifiedBy>Diego Posch Ponce</cp:lastModifiedBy>
  <cp:lastPrinted>2016-12-20T15:01:57Z</cp:lastPrinted>
  <dcterms:created xsi:type="dcterms:W3CDTF">2010-06-18T16:37:57Z</dcterms:created>
  <dcterms:modified xsi:type="dcterms:W3CDTF">2017-11-23T18:29:29Z</dcterms:modified>
</cp:coreProperties>
</file>
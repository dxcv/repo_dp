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GBI\GBI-EM Global Div\Latam\"/>
    </mc:Choice>
  </mc:AlternateContent>
  <xr:revisionPtr revIDLastSave="0" documentId="8_{B456C8D0-DFDB-4BF0-91F3-0DA5995E2988}" xr6:coauthVersionLast="28" xr6:coauthVersionMax="28" xr10:uidLastSave="{00000000-0000-0000-0000-000000000000}"/>
  <bookViews>
    <workbookView xWindow="0" yWindow="0" windowWidth="28800" windowHeight="12210" activeTab="2" xr2:uid="{00000000-000D-0000-FFFF-FFFF00000000}"/>
  </bookViews>
  <sheets>
    <sheet name="JPM_COMP_GBI_EMGLOBAL_DIV" sheetId="1" r:id="rId1"/>
    <sheet name="GBI_PORT" sheetId="2" r:id="rId2"/>
    <sheet name="Country Codes" sheetId="3" r:id="rId3"/>
  </sheets>
  <definedNames>
    <definedName name="_xlnm._FilterDatabase" localSheetId="0" hidden="1">JPM_COMP_GBI_EMGLOBAL_DIV!$A$2:$AO$220</definedName>
  </definedNames>
  <calcPr calcId="171027"/>
  <fileRecoveryPr autoRecover="0"/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2" i="3"/>
</calcChain>
</file>

<file path=xl/sharedStrings.xml><?xml version="1.0" encoding="utf-8"?>
<sst xmlns="http://schemas.openxmlformats.org/spreadsheetml/2006/main" count="2057" uniqueCount="849">
  <si>
    <t>BIG ID</t>
  </si>
  <si>
    <t>Local ID</t>
  </si>
  <si>
    <t>Bond Description</t>
  </si>
  <si>
    <t>Liquidity</t>
  </si>
  <si>
    <t>Price</t>
  </si>
  <si>
    <t>Accr Int</t>
  </si>
  <si>
    <t>Total Rtn</t>
  </si>
  <si>
    <t>1D Rtn</t>
  </si>
  <si>
    <t>MTD Rtn</t>
  </si>
  <si>
    <t>12M Rtn</t>
  </si>
  <si>
    <t>YTD Rtn</t>
  </si>
  <si>
    <t>Outs-Loc MM</t>
  </si>
  <si>
    <t>MVal-Loc MM</t>
  </si>
  <si>
    <t>MVal-USD MM</t>
  </si>
  <si>
    <t>MVal-EUR MM</t>
  </si>
  <si>
    <t>Weight % - Daily Stats</t>
  </si>
  <si>
    <t>Mac Dur</t>
  </si>
  <si>
    <t>Mod Dur</t>
  </si>
  <si>
    <t>Yield</t>
  </si>
  <si>
    <t>Convexity</t>
  </si>
  <si>
    <t>Coupon</t>
  </si>
  <si>
    <t>Freq</t>
  </si>
  <si>
    <t>ISIN</t>
  </si>
  <si>
    <t>Currency</t>
  </si>
  <si>
    <t>1D Rtn USD</t>
  </si>
  <si>
    <t>MTD Rtn USD</t>
  </si>
  <si>
    <t>12M Rtn USD</t>
  </si>
  <si>
    <t>YTD Rtn USD</t>
  </si>
  <si>
    <t>1D Rtn EUR</t>
  </si>
  <si>
    <t>MTD Rtn EUR</t>
  </si>
  <si>
    <t>12M Rtn EUR</t>
  </si>
  <si>
    <t>YTD Rtn EUR</t>
  </si>
  <si>
    <t>Inclusion(%)</t>
  </si>
  <si>
    <t>Inclusion Direction</t>
  </si>
  <si>
    <t>Country</t>
  </si>
  <si>
    <t>Weight % - FOM</t>
  </si>
  <si>
    <t>Weight % - Daily USD Rtrn</t>
  </si>
  <si>
    <t>Traded</t>
  </si>
  <si>
    <t>IDR</t>
  </si>
  <si>
    <t>-</t>
  </si>
  <si>
    <t>ID</t>
  </si>
  <si>
    <t>IDSUK0004</t>
  </si>
  <si>
    <t>EJ8415667</t>
  </si>
  <si>
    <t>Indonesia 8.2500%  INDOI  Sep 2020</t>
  </si>
  <si>
    <t>IDP000001604</t>
  </si>
  <si>
    <t>XID0011</t>
  </si>
  <si>
    <t>FR31</t>
  </si>
  <si>
    <t>Indonesia 11.0000%  INDOG  Nov 2020</t>
  </si>
  <si>
    <t>IDG000006206</t>
  </si>
  <si>
    <t>XID0014</t>
  </si>
  <si>
    <t>FR34</t>
  </si>
  <si>
    <t>Indonesia 12.8000%  INDOG  Jun 2021</t>
  </si>
  <si>
    <t>IDG000006503</t>
  </si>
  <si>
    <t>XID0033</t>
  </si>
  <si>
    <t>FR53</t>
  </si>
  <si>
    <t>Indonesia 8.2500%  INDOG  Jul 2021</t>
  </si>
  <si>
    <t>IDG000009101</t>
  </si>
  <si>
    <t>XID0040</t>
  </si>
  <si>
    <t>FR61</t>
  </si>
  <si>
    <t>Indonesia 7.0000%  INDOG  May 2022</t>
  </si>
  <si>
    <t>IDG000010000</t>
  </si>
  <si>
    <t>XID0044</t>
  </si>
  <si>
    <t>FR63</t>
  </si>
  <si>
    <t>Indonesia 5.6250%  INDOG  May 2023</t>
  </si>
  <si>
    <t>IDG000010208</t>
  </si>
  <si>
    <t>XID0048</t>
  </si>
  <si>
    <t>FR70</t>
  </si>
  <si>
    <t>Indonesia 8.3750%  INDOG  Mar 2024</t>
  </si>
  <si>
    <t>IDG000012006</t>
  </si>
  <si>
    <t>XID0019</t>
  </si>
  <si>
    <t>FR40</t>
  </si>
  <si>
    <t>Indonesia 11.0000%  IDGB  Sep 2025</t>
  </si>
  <si>
    <t>IDG000007204</t>
  </si>
  <si>
    <t>XID0036</t>
  </si>
  <si>
    <t>FR56</t>
  </si>
  <si>
    <t>Indonesia 8.3750%  IDGB  Sep 2026</t>
  </si>
  <si>
    <t>IDG000009507</t>
  </si>
  <si>
    <t>XID0038</t>
  </si>
  <si>
    <t>FR59</t>
  </si>
  <si>
    <t>Indonesia 7.0000%  INDOG  May 2027</t>
  </si>
  <si>
    <t>IDG000009804</t>
  </si>
  <si>
    <t>XID0043</t>
  </si>
  <si>
    <t>FR64</t>
  </si>
  <si>
    <t>Indonesia 6.1250%  INDOG  May 2028</t>
  </si>
  <si>
    <t>IDG000010307</t>
  </si>
  <si>
    <t>XID0049</t>
  </si>
  <si>
    <t>FR71</t>
  </si>
  <si>
    <t>Indonesia 9.0000%  INDOG  Mar 2029</t>
  </si>
  <si>
    <t>IDG000011107</t>
  </si>
  <si>
    <t>XID0032</t>
  </si>
  <si>
    <t>FR52</t>
  </si>
  <si>
    <t>Indonesia 10.5000%  IDGB  Aug 2030</t>
  </si>
  <si>
    <t>IDG000009002</t>
  </si>
  <si>
    <t>XID0051</t>
  </si>
  <si>
    <t>FR73</t>
  </si>
  <si>
    <t>Indonesia 8.7500%  INDOG  May 2031</t>
  </si>
  <si>
    <t>IDG000011701</t>
  </si>
  <si>
    <t>XID0034</t>
  </si>
  <si>
    <t>FR54</t>
  </si>
  <si>
    <t>Indonesia 9.5000%  INDOG  Jul 2031</t>
  </si>
  <si>
    <t>IDG000009200</t>
  </si>
  <si>
    <t>IDSUK0005</t>
  </si>
  <si>
    <t>IDP000002206</t>
  </si>
  <si>
    <t>Indonesia 8.8750%  INDOI  Nov 2031</t>
  </si>
  <si>
    <t>XID0039</t>
  </si>
  <si>
    <t>FR58</t>
  </si>
  <si>
    <t>Indonesia 8.2500%  INDOG  Jun 2032</t>
  </si>
  <si>
    <t>IDG000009705</t>
  </si>
  <si>
    <t>XID0053</t>
  </si>
  <si>
    <t>FR74</t>
  </si>
  <si>
    <t>Indonesia 7.5000%  INDOG  Aug 2032</t>
  </si>
  <si>
    <t>IDG000012204</t>
  </si>
  <si>
    <t>XID0045</t>
  </si>
  <si>
    <t>FR65</t>
  </si>
  <si>
    <t>Indonesia 6.6250%  INDOG  May 2033</t>
  </si>
  <si>
    <t>IDG000010406</t>
  </si>
  <si>
    <t>XID0047</t>
  </si>
  <si>
    <t>FR68</t>
  </si>
  <si>
    <t>Indonesia 8.3750%  INDOG  Mar 2034</t>
  </si>
  <si>
    <t>IDG000010802</t>
  </si>
  <si>
    <t>XID0052</t>
  </si>
  <si>
    <t>FR72</t>
  </si>
  <si>
    <t>Indonesia 8.2500%  INDOG  May 2036</t>
  </si>
  <si>
    <t>IDG000011602</t>
  </si>
  <si>
    <t>XID0054</t>
  </si>
  <si>
    <t>FR75</t>
  </si>
  <si>
    <t>Indonesia 7.5000%  INDOG  May 2038</t>
  </si>
  <si>
    <t>IDG000012303</t>
  </si>
  <si>
    <t>MYR</t>
  </si>
  <si>
    <t>MY</t>
  </si>
  <si>
    <t>XMY0070</t>
  </si>
  <si>
    <t>MYBMJ1400047</t>
  </si>
  <si>
    <t>Malaysia 3.6540%  MGS  Oct 2019</t>
  </si>
  <si>
    <t>XMY0043</t>
  </si>
  <si>
    <t>MYBMO0900021</t>
  </si>
  <si>
    <t>Malaysia 4.3780%  MYGB  Nov 2019</t>
  </si>
  <si>
    <t>XMY0060</t>
  </si>
  <si>
    <t>MYBML1200062</t>
  </si>
  <si>
    <t>Malaysia 3.4920%  MGS  Mar 2020</t>
  </si>
  <si>
    <t>MYSUK0026</t>
  </si>
  <si>
    <t>MYBGH1600048</t>
  </si>
  <si>
    <t>Malaysia 3.2260%  MGII  Apr 2020</t>
  </si>
  <si>
    <t>XMY0072</t>
  </si>
  <si>
    <t>MYBMJ1500036</t>
  </si>
  <si>
    <t>Malaysia 3.6590%  MGS  Oct 2020</t>
  </si>
  <si>
    <t>XMY0050</t>
  </si>
  <si>
    <t>MYBMO1100019</t>
  </si>
  <si>
    <t>Malaysia 4.1600%  MGS  Jul 2021</t>
  </si>
  <si>
    <t>XMY0076</t>
  </si>
  <si>
    <t>MYBMJ1600042</t>
  </si>
  <si>
    <t>Malaysia 3.6200%  MGS  Nov 2021</t>
  </si>
  <si>
    <t>XMY0075</t>
  </si>
  <si>
    <t>MYBML1600014</t>
  </si>
  <si>
    <t>Malaysia 3.8000%  MGS  Aug 2023</t>
  </si>
  <si>
    <t>XMY0067</t>
  </si>
  <si>
    <t>MYBMO1400013</t>
  </si>
  <si>
    <t>Malaysia 4.1810%  MGS  Jul 2024</t>
  </si>
  <si>
    <t>XMY0079</t>
  </si>
  <si>
    <t>MYBML1700020</t>
  </si>
  <si>
    <t>Malaysia 4.0590%  MGS  Sep 2024</t>
  </si>
  <si>
    <t>XMY0071</t>
  </si>
  <si>
    <t>MYBMO1500010</t>
  </si>
  <si>
    <t>Malaysia 3.9550%  MGS  Sep 2025</t>
  </si>
  <si>
    <t>XMY0077</t>
  </si>
  <si>
    <t>MYBMO1600034</t>
  </si>
  <si>
    <t>Malaysia 3.9000%  MGS  Nov 2026</t>
  </si>
  <si>
    <t>XMY0080</t>
  </si>
  <si>
    <t>MYBMO1700040</t>
  </si>
  <si>
    <t>Malaysia 3.8990%  MGS  Nov 2027</t>
  </si>
  <si>
    <t>XMY0053</t>
  </si>
  <si>
    <t>MYBMX1100044</t>
  </si>
  <si>
    <t>Malaysia 4.2320%  MGS  Jun 2031</t>
  </si>
  <si>
    <t>XPX0001</t>
  </si>
  <si>
    <t>US718286BJ59</t>
  </si>
  <si>
    <t>Philippines 4.9500% PHILI Jan 2021</t>
  </si>
  <si>
    <t>PXP</t>
  </si>
  <si>
    <t>PH</t>
  </si>
  <si>
    <t>XPX0003</t>
  </si>
  <si>
    <t>US718286BX44</t>
  </si>
  <si>
    <t>Philippines Global 3.9000%  PHILI  Nov 2022</t>
  </si>
  <si>
    <t>XPX0002</t>
  </si>
  <si>
    <t>US718286BM88</t>
  </si>
  <si>
    <t>Philippines Global 6.2500%  PHILI</t>
  </si>
  <si>
    <t>THB</t>
  </si>
  <si>
    <t>TH</t>
  </si>
  <si>
    <t>XTH0052</t>
  </si>
  <si>
    <t>LB196A</t>
  </si>
  <si>
    <t>Thailand 3.8750%  THGB  Jun 2019</t>
  </si>
  <si>
    <t>TH062303T609</t>
  </si>
  <si>
    <t>XTH0066</t>
  </si>
  <si>
    <t>LB206A</t>
  </si>
  <si>
    <t>Thailand 2.5500%  THAIG  Jun 2020</t>
  </si>
  <si>
    <t>TH062303U607</t>
  </si>
  <si>
    <t>XTH0060</t>
  </si>
  <si>
    <t>LB21DA</t>
  </si>
  <si>
    <t>Thailand 3.6500%  THAIG  Dec 2021</t>
  </si>
  <si>
    <t>TH0623031C01</t>
  </si>
  <si>
    <t>XTH0067</t>
  </si>
  <si>
    <t>LB226A</t>
  </si>
  <si>
    <t>Thailand 1.8750%  THAIG  Jun 2022</t>
  </si>
  <si>
    <t>TH0623032602</t>
  </si>
  <si>
    <t>XTH0071</t>
  </si>
  <si>
    <t>LB22DA</t>
  </si>
  <si>
    <t>Thailand 2.0000%  THAIG  Dec 2022</t>
  </si>
  <si>
    <t>TH0623032C00</t>
  </si>
  <si>
    <t>XTH0058</t>
  </si>
  <si>
    <t>LB236A</t>
  </si>
  <si>
    <t>Thailand 3.6250%  THAIG  Jun 2023</t>
  </si>
  <si>
    <t>TH0623033600</t>
  </si>
  <si>
    <t>XTH0061</t>
  </si>
  <si>
    <t>LB25DA</t>
  </si>
  <si>
    <t>Thailand 3.8500%  THAIG  Dec 2025</t>
  </si>
  <si>
    <t>TH0623035C07</t>
  </si>
  <si>
    <t>XTH0069</t>
  </si>
  <si>
    <t>LB26DA</t>
  </si>
  <si>
    <t>Thailand 2.1250%  THAIG  Dec 2026</t>
  </si>
  <si>
    <t>TH0623036C06</t>
  </si>
  <si>
    <t>XTH0055</t>
  </si>
  <si>
    <t>LB296A</t>
  </si>
  <si>
    <t>Thailand 4.8750%  THGB  Jun 2029</t>
  </si>
  <si>
    <t>TH0623039607</t>
  </si>
  <si>
    <t>XTH0070</t>
  </si>
  <si>
    <t>LB316A</t>
  </si>
  <si>
    <t>Thailand 3.6500%  THAIG  Jun 2031</t>
  </si>
  <si>
    <t>TH0623A3B608</t>
  </si>
  <si>
    <t>XTH0068</t>
  </si>
  <si>
    <t>LB366A</t>
  </si>
  <si>
    <t>Thailand 3.4000%  THAIG  Jun 2036</t>
  </si>
  <si>
    <t>TH062303G606</t>
  </si>
  <si>
    <t>XCZ0030</t>
  </si>
  <si>
    <t>CZ0001003834</t>
  </si>
  <si>
    <t>Czech 1.5000%  CZGB  Oct 2019</t>
  </si>
  <si>
    <t>CZK</t>
  </si>
  <si>
    <t>IN</t>
  </si>
  <si>
    <t>CZ</t>
  </si>
  <si>
    <t>XCZ0039</t>
  </si>
  <si>
    <t>CZ0001005011</t>
  </si>
  <si>
    <t>Czech 0.0000%  CZGB  Feb 2020</t>
  </si>
  <si>
    <t>XCZ0017</t>
  </si>
  <si>
    <t>CZ0001001317</t>
  </si>
  <si>
    <t>Czech 3.7500%  CZGB  Sep 2020</t>
  </si>
  <si>
    <t>XCZ0029</t>
  </si>
  <si>
    <t>CZ0001002851</t>
  </si>
  <si>
    <t>Czech 3.8500%  CZGB  Sep 2021</t>
  </si>
  <si>
    <t>XCZ0024</t>
  </si>
  <si>
    <t>CZ0001001945</t>
  </si>
  <si>
    <t>Czech 4.7000%  CZGB  Sep 2022</t>
  </si>
  <si>
    <t>XCZ0040</t>
  </si>
  <si>
    <t>CZ0001004600</t>
  </si>
  <si>
    <t>Czech 0.4500%  CZGB  Oct 2023</t>
  </si>
  <si>
    <t>XCZ0026</t>
  </si>
  <si>
    <t>CZ0001002547</t>
  </si>
  <si>
    <t>Czech 5.7000%  CZGB  May 2024</t>
  </si>
  <si>
    <t>XCZ0034</t>
  </si>
  <si>
    <t>CZ0001004253</t>
  </si>
  <si>
    <t>Czech 2.4000%  CZGB  Sep 2025</t>
  </si>
  <si>
    <t>XCZ0036</t>
  </si>
  <si>
    <t>CZ0001004469</t>
  </si>
  <si>
    <t>Czech 1.0000%  CZGB  Jun 2026</t>
  </si>
  <si>
    <t>XCZ0032</t>
  </si>
  <si>
    <t>CZ0001003859</t>
  </si>
  <si>
    <t>Czech 2.5000%  CZGB  Aug 2028</t>
  </si>
  <si>
    <t>XCZ0038</t>
  </si>
  <si>
    <t>CZ0001004477</t>
  </si>
  <si>
    <t>Czech 0.9500%  CZGB  May 2030</t>
  </si>
  <si>
    <t>HUF</t>
  </si>
  <si>
    <t>HU</t>
  </si>
  <si>
    <t>XHU0046</t>
  </si>
  <si>
    <t>HU0000402433</t>
  </si>
  <si>
    <t>Hungary 6.5000%  HGB  Jun 2019</t>
  </si>
  <si>
    <t>XHU0060</t>
  </si>
  <si>
    <t>HU0000403092</t>
  </si>
  <si>
    <t>Hungary 2.0000%  HGB  Oct 2019</t>
  </si>
  <si>
    <t>XHU0056</t>
  </si>
  <si>
    <t>HU0000402953</t>
  </si>
  <si>
    <t>Hungary 3.5000%  HGB  Jun 2020</t>
  </si>
  <si>
    <t>XHU0062</t>
  </si>
  <si>
    <t>HU0000403258</t>
  </si>
  <si>
    <t>Hungary 1.0000%  HGB  Sep 2020</t>
  </si>
  <si>
    <t>XHU0032</t>
  </si>
  <si>
    <t>HU0000402235</t>
  </si>
  <si>
    <t>Hungary 7.5000%  T-Bon  Nov 2020</t>
  </si>
  <si>
    <t>XHU0059</t>
  </si>
  <si>
    <t>HU0000403100</t>
  </si>
  <si>
    <t>Hungary 2.5000%  HGB  Oct 2021</t>
  </si>
  <si>
    <t>XHU0050</t>
  </si>
  <si>
    <t>HU0000402524</t>
  </si>
  <si>
    <t>Hungary 7.0000%  HGB  Jun 2022</t>
  </si>
  <si>
    <t>XHU0063</t>
  </si>
  <si>
    <t>HU0000403266</t>
  </si>
  <si>
    <t>Hungary 1.7500%  HGB  Oct 2022</t>
  </si>
  <si>
    <t>XHU0044</t>
  </si>
  <si>
    <t>HU0000402383</t>
  </si>
  <si>
    <t>Hungary 6.0000%  HGB  Nov 2023</t>
  </si>
  <si>
    <t>XHU0058</t>
  </si>
  <si>
    <t>HU0000403068</t>
  </si>
  <si>
    <t>Hungary 3.0000%  HGB  Jun 2024</t>
  </si>
  <si>
    <t>XHU0055</t>
  </si>
  <si>
    <t>HU0000402748</t>
  </si>
  <si>
    <t>Hungary 5.5000%  HGB  Jun 2025</t>
  </si>
  <si>
    <t>XHU0061</t>
  </si>
  <si>
    <t>HU0000403118</t>
  </si>
  <si>
    <t>Hungary 3.0000%  HGB  Oct 2027</t>
  </si>
  <si>
    <t>PLN</t>
  </si>
  <si>
    <t>PL</t>
  </si>
  <si>
    <t>XPL0079</t>
  </si>
  <si>
    <t>PL0000108148</t>
  </si>
  <si>
    <t>Poland 3.2500%  POLGB  Jul 2019</t>
  </si>
  <si>
    <t>XPL0059</t>
  </si>
  <si>
    <t>LPL0059</t>
  </si>
  <si>
    <t>Poland 5.5000%  POLGB  Oct 2019</t>
  </si>
  <si>
    <t>PL0000105441</t>
  </si>
  <si>
    <t>XPL0081</t>
  </si>
  <si>
    <t>PL0000108510</t>
  </si>
  <si>
    <t>Poland 1.5000%  POLGB  Apr 2020</t>
  </si>
  <si>
    <t>XPL0064</t>
  </si>
  <si>
    <t>PL0000106126</t>
  </si>
  <si>
    <t>Poland 5.2500%  POLGB  Oct 2020</t>
  </si>
  <si>
    <t>XPL0083</t>
  </si>
  <si>
    <t>PL0000108916</t>
  </si>
  <si>
    <t>Poland 2.0000%  POLGB  Apr 2021</t>
  </si>
  <si>
    <t>XPL0086</t>
  </si>
  <si>
    <t>PL0000109153</t>
  </si>
  <si>
    <t>Poland 1.7500%  POLGB  Jul 2021</t>
  </si>
  <si>
    <t>XPL0069</t>
  </si>
  <si>
    <t>PL0000106670</t>
  </si>
  <si>
    <t>Poland 5.7500%  POLGB  Oct 2021</t>
  </si>
  <si>
    <t>XPL0088</t>
  </si>
  <si>
    <t>PL0000109492</t>
  </si>
  <si>
    <t>Poland 2.2500%  POLGB  Apr 2022</t>
  </si>
  <si>
    <t>XPL0040</t>
  </si>
  <si>
    <t>LPL0040</t>
  </si>
  <si>
    <t>Poland 5.7500%  T-Bon  Sep 2022</t>
  </si>
  <si>
    <t>PL0000102646</t>
  </si>
  <si>
    <t>XPL0090</t>
  </si>
  <si>
    <t>PL0000110151</t>
  </si>
  <si>
    <t>Poland 2.5000%  POLGB  Jan 2023</t>
  </si>
  <si>
    <t>XPL0074</t>
  </si>
  <si>
    <t>PL0000107264</t>
  </si>
  <si>
    <t>Poland 4.0000%  POLGB  Oct 2023</t>
  </si>
  <si>
    <t>XPL0080</t>
  </si>
  <si>
    <t>PL0000108197</t>
  </si>
  <si>
    <t>Poland 3.2500%  POLGB  Jul 2025</t>
  </si>
  <si>
    <t>XPL0084</t>
  </si>
  <si>
    <t>PL0000108866</t>
  </si>
  <si>
    <t>Poland 2.5000%  POLGB  Jul 2026</t>
  </si>
  <si>
    <t>XPL0087</t>
  </si>
  <si>
    <t>PL0000109427</t>
  </si>
  <si>
    <t>Poland 2.5000%  POLGB  Jul 2027</t>
  </si>
  <si>
    <t>RON</t>
  </si>
  <si>
    <t>RO</t>
  </si>
  <si>
    <t>XRO0017</t>
  </si>
  <si>
    <t>RO1419DBN014</t>
  </si>
  <si>
    <t>Romania 4.7500%  ROMGB  Jun 2019</t>
  </si>
  <si>
    <t>XRO0025</t>
  </si>
  <si>
    <t>RO1620DBN017</t>
  </si>
  <si>
    <t>Romania 2.2500%  ROMGB  Feb 2020</t>
  </si>
  <si>
    <t>XRO0019</t>
  </si>
  <si>
    <t>RO1320DBN022</t>
  </si>
  <si>
    <t>Romania 5.7500%  ROMGB  Apr 2020</t>
  </si>
  <si>
    <t>XRO0023</t>
  </si>
  <si>
    <t>RO1521DBN041</t>
  </si>
  <si>
    <t>Romania 3.2500%  ROMGB  Mar 2021</t>
  </si>
  <si>
    <t>XRO0016</t>
  </si>
  <si>
    <t>RO1121DBN032</t>
  </si>
  <si>
    <t>Romania 5.9500%  ROMGB  Jun 2021</t>
  </si>
  <si>
    <t>XRO0028</t>
  </si>
  <si>
    <t>RO1722DBN045</t>
  </si>
  <si>
    <t>Romania 3.4000%  ROMGB  Mar 2022</t>
  </si>
  <si>
    <t>XRO0026</t>
  </si>
  <si>
    <t>RO1522DBN056</t>
  </si>
  <si>
    <t>Romania 3.5000%  ROMGB  Dec 2022</t>
  </si>
  <si>
    <t>XRO0014</t>
  </si>
  <si>
    <t>RO1323DBN018</t>
  </si>
  <si>
    <t>Romania 5.8500%  ROMGB  Apr 2023</t>
  </si>
  <si>
    <t>XRO0027</t>
  </si>
  <si>
    <t>RO1624DBN027</t>
  </si>
  <si>
    <t>Romania 3.2500%  ROMGB  Apr 2024</t>
  </si>
  <si>
    <t>XRO0020</t>
  </si>
  <si>
    <t>RO1425DBN029</t>
  </si>
  <si>
    <t>Romania 4.7500%  ROMGB  Feb 2025</t>
  </si>
  <si>
    <t>XRO0024</t>
  </si>
  <si>
    <t>RO1227DBN011</t>
  </si>
  <si>
    <t>Romania 5.8000%  ROMGB  Jul 2027</t>
  </si>
  <si>
    <t>RUB</t>
  </si>
  <si>
    <t>RU</t>
  </si>
  <si>
    <t>XRU0041</t>
  </si>
  <si>
    <t>RU000A0JTG59</t>
  </si>
  <si>
    <t>Russia 6.8000%  RFLB  Dec 2019</t>
  </si>
  <si>
    <t>XRU0048</t>
  </si>
  <si>
    <t>RU000A0JTYA5</t>
  </si>
  <si>
    <t>Russia 6.4000%  RFLB  May 2020</t>
  </si>
  <si>
    <t>XRU0036</t>
  </si>
  <si>
    <t>RU000A0JREQ7</t>
  </si>
  <si>
    <t>Russia 7.6000%  RFLB  Apr 2021</t>
  </si>
  <si>
    <t>XRU0049</t>
  </si>
  <si>
    <t>RU000A0JVW30</t>
  </si>
  <si>
    <t>Russia 7.5000%  RFLB  Aug 2021</t>
  </si>
  <si>
    <t>XRU0040</t>
  </si>
  <si>
    <t>RU000A0JSMA2</t>
  </si>
  <si>
    <t>Russia 7.6000%  RFLB  Jul 2022</t>
  </si>
  <si>
    <t>XRU0052</t>
  </si>
  <si>
    <t>RU000A0JXB41</t>
  </si>
  <si>
    <t>Russia 7.4000%  RFLB  Dec 2022</t>
  </si>
  <si>
    <t>XRU0042</t>
  </si>
  <si>
    <t>RU000A0JTJL3</t>
  </si>
  <si>
    <t>Russia 7.0000%  RFLB  Jan 2023</t>
  </si>
  <si>
    <t>XRU0045</t>
  </si>
  <si>
    <t>SU26215RMFS2</t>
  </si>
  <si>
    <t>Russia 7.0000%  RFLB  Aug 2023</t>
  </si>
  <si>
    <t>RU000A0JU4L3</t>
  </si>
  <si>
    <t>XRU0054</t>
  </si>
  <si>
    <t>RU000A0JXQF2</t>
  </si>
  <si>
    <t>Russia 7.1000%  RFLB  Oct 2024</t>
  </si>
  <si>
    <t>XRU0051</t>
  </si>
  <si>
    <t>RU000A0JWM07</t>
  </si>
  <si>
    <t>Russia 7.7500%  RFLB  Sep 2026</t>
  </si>
  <si>
    <t>XRU0038</t>
  </si>
  <si>
    <t>RU000A0JS3W6</t>
  </si>
  <si>
    <t>Russia 8.1500%  RFLB  Feb 2027</t>
  </si>
  <si>
    <t>XRU0043</t>
  </si>
  <si>
    <t>RU000A0JTK38</t>
  </si>
  <si>
    <t>Russia 7.0500%  RFLB  Jan 2028</t>
  </si>
  <si>
    <t>XRU0050</t>
  </si>
  <si>
    <t>RU000A0JVW48</t>
  </si>
  <si>
    <t>Russia 8.5000%  RFLB  Sep 2031</t>
  </si>
  <si>
    <t>XRU0053</t>
  </si>
  <si>
    <t>RU000A0JXFM1</t>
  </si>
  <si>
    <t>Russia 7.7000%  RFLB  Mar 2033</t>
  </si>
  <si>
    <t>TRY</t>
  </si>
  <si>
    <t>TR</t>
  </si>
  <si>
    <t>XTR0045</t>
  </si>
  <si>
    <t>TRT100719T18</t>
  </si>
  <si>
    <t>Turkey 8.5000%  TURKG  Jul 2019</t>
  </si>
  <si>
    <t>XTR0013</t>
  </si>
  <si>
    <t>EI1037098</t>
  </si>
  <si>
    <t>Turkey 10.5000%  Bond  Jan 2020</t>
  </si>
  <si>
    <t>TRT150120T16</t>
  </si>
  <si>
    <t>XTR0048</t>
  </si>
  <si>
    <t>TRT050220T17</t>
  </si>
  <si>
    <t>Turkey 7.4000%  TURKG  Feb 2020</t>
  </si>
  <si>
    <t>XTR0050</t>
  </si>
  <si>
    <t>TRT080720T19</t>
  </si>
  <si>
    <t>Turkey 9.4000%  TURKG  Jul 2020</t>
  </si>
  <si>
    <t>XTR0051</t>
  </si>
  <si>
    <t>TRT170221T12</t>
  </si>
  <si>
    <t>Turkey 10.7000%  TURKG  Feb 2021</t>
  </si>
  <si>
    <t>XTR0054</t>
  </si>
  <si>
    <t>TRT220921T18</t>
  </si>
  <si>
    <t>Turkey 9.2000%  TURKG  Sep 2021</t>
  </si>
  <si>
    <t>XTR0028</t>
  </si>
  <si>
    <t>EI9341138</t>
  </si>
  <si>
    <t>Turkey 9.5000%  TURKG  Jan 2022</t>
  </si>
  <si>
    <t>TRT120122T17</t>
  </si>
  <si>
    <t>XTR0056</t>
  </si>
  <si>
    <t>TRT020322T17</t>
  </si>
  <si>
    <t>Turkey 11.0000%  TURKG  Mar 2022</t>
  </si>
  <si>
    <t>XTR0057</t>
  </si>
  <si>
    <t>TRT170822T15</t>
  </si>
  <si>
    <t>Turkey 10.7000%  TURKG  Aug 2022</t>
  </si>
  <si>
    <t>XTR0032</t>
  </si>
  <si>
    <t>EJ3484700</t>
  </si>
  <si>
    <t>Turkey 8.5000%  TURKG  Sep 2022</t>
  </si>
  <si>
    <t>TRT140922T17</t>
  </si>
  <si>
    <t>XTR0035</t>
  </si>
  <si>
    <t>TRT080323T10</t>
  </si>
  <si>
    <t>Turkey 7.1000%  TURKG  Mar 2023</t>
  </si>
  <si>
    <t>XTR0040</t>
  </si>
  <si>
    <t>EJ8700001</t>
  </si>
  <si>
    <t>Turkey 8.8000%  TURKG  Sep 2023</t>
  </si>
  <si>
    <t>TRT270923T11</t>
  </si>
  <si>
    <t>XTR0043</t>
  </si>
  <si>
    <t>TRT200324T13</t>
  </si>
  <si>
    <t>Turkey 10.4000%  TURKG  Mar 2024</t>
  </si>
  <si>
    <t>XTR0046</t>
  </si>
  <si>
    <t>TRT240724T15</t>
  </si>
  <si>
    <t>Turkey 9.0000%  TURKG  Jul 2024</t>
  </si>
  <si>
    <t>XTR0049</t>
  </si>
  <si>
    <t>TRT120325T12</t>
  </si>
  <si>
    <t>Turkey 8.0000%  TURKG  Mar 2025</t>
  </si>
  <si>
    <t>XTR0052</t>
  </si>
  <si>
    <t>TRT110226T13</t>
  </si>
  <si>
    <t>Turkey 10.6000%  TURKG  Feb 2026</t>
  </si>
  <si>
    <t>XTR0055</t>
  </si>
  <si>
    <t>TRT240227T17</t>
  </si>
  <si>
    <t>Turkey 11.0000%  TURKG  Feb 2027</t>
  </si>
  <si>
    <t>XTR0058</t>
  </si>
  <si>
    <t>TRT110827T16</t>
  </si>
  <si>
    <t>Turkey 10.5000%  TURKG  Aug 2027</t>
  </si>
  <si>
    <t>XAR0002</t>
  </si>
  <si>
    <t>ARARGE3202H4</t>
  </si>
  <si>
    <t>Argentina 18.2000%  ARGTE  Oct 2021</t>
  </si>
  <si>
    <t>ARS</t>
  </si>
  <si>
    <t>AR</t>
  </si>
  <si>
    <t>XAR0003</t>
  </si>
  <si>
    <t>ARARGE4502J2</t>
  </si>
  <si>
    <t>Argentina 16.0000%  ARGTE  Oct 2023</t>
  </si>
  <si>
    <t>XAR0004</t>
  </si>
  <si>
    <t>ARARGE4502K0</t>
  </si>
  <si>
    <t>Argentina 15.5000%  ARGTE  Oct 2026</t>
  </si>
  <si>
    <t>BRL</t>
  </si>
  <si>
    <t>BR</t>
  </si>
  <si>
    <t>XBR0037</t>
  </si>
  <si>
    <t>BRSTNCLTN798</t>
  </si>
  <si>
    <t>Brazil 0.0000%  BLTN  Jul 2019</t>
  </si>
  <si>
    <t>XBR0044</t>
  </si>
  <si>
    <t>BRSTNCLTN7H4</t>
  </si>
  <si>
    <t>Brazil 0.0000%  BLTN  Oct 2019</t>
  </si>
  <si>
    <t>XBR0038</t>
  </si>
  <si>
    <t>BRSTNCLTN7B7</t>
  </si>
  <si>
    <t>Brazil 0.0000%  BLTN  Jan 2020</t>
  </si>
  <si>
    <t>XBR0041</t>
  </si>
  <si>
    <t>BRSTNCLTN7F8</t>
  </si>
  <si>
    <t>Brazil 0.0000%  BLTN  Jul 2020</t>
  </si>
  <si>
    <t>XBR0012</t>
  </si>
  <si>
    <t>EI1383294</t>
  </si>
  <si>
    <t>Brazil 10.0000%  NTNF  Jan 2021</t>
  </si>
  <si>
    <t>BRSTNCNTF0N5</t>
  </si>
  <si>
    <t>XBR0045</t>
  </si>
  <si>
    <t>BRSTNCLTN7I2</t>
  </si>
  <si>
    <t>Brazil 0.0000%  BLTN  Jul 2021</t>
  </si>
  <si>
    <t>XBR0023</t>
  </si>
  <si>
    <t>BRSTNCNTF147</t>
  </si>
  <si>
    <t>Brazil 10.0000%  BNTNF  Jan 2023</t>
  </si>
  <si>
    <t>XBR0032</t>
  </si>
  <si>
    <t>BRSTNCNTF170</t>
  </si>
  <si>
    <t>Brazil 10.0000%  BNTNF  Jan 2025</t>
  </si>
  <si>
    <t>XBR0040</t>
  </si>
  <si>
    <t>BRSTNCNTF1P8</t>
  </si>
  <si>
    <t>Brazil 10.0000%  BNTNF  Jan 2027</t>
  </si>
  <si>
    <t>XBX0002</t>
  </si>
  <si>
    <t>US105756BL31</t>
  </si>
  <si>
    <t>Brazil 12.5000%  Bond  Jan 2022</t>
  </si>
  <si>
    <t>BXL</t>
  </si>
  <si>
    <t>XBX0004</t>
  </si>
  <si>
    <t>US105756BT66</t>
  </si>
  <si>
    <t>Brazil 8.5000% Bond Jan 2024</t>
  </si>
  <si>
    <t>XBX0003</t>
  </si>
  <si>
    <t>US105756BN96</t>
  </si>
  <si>
    <t>Brazil 10.2500%  Bond  Jan 2028</t>
  </si>
  <si>
    <t>XCE0007</t>
  </si>
  <si>
    <t>CL0002329671</t>
  </si>
  <si>
    <t>Chile Nominal 4.5000%  BTPCL  Feb 2021</t>
  </si>
  <si>
    <t>CLP</t>
  </si>
  <si>
    <t>CL</t>
  </si>
  <si>
    <t>XCE0005</t>
  </si>
  <si>
    <t>CL0002269331</t>
  </si>
  <si>
    <t>Chile Nominal 4.5000%  BTPCL  Mar 2021</t>
  </si>
  <si>
    <t>XCE0003</t>
  </si>
  <si>
    <t>CL0002172501</t>
  </si>
  <si>
    <t>Chile Nominal 4.5000%  BTPCL  Mar 2026</t>
  </si>
  <si>
    <t>XCE0006</t>
  </si>
  <si>
    <t>CL0002187822</t>
  </si>
  <si>
    <t>Chile Nominal 5.0000%  BTPCL  Mar 2035</t>
  </si>
  <si>
    <t>XCE0004</t>
  </si>
  <si>
    <t>CL0001974774</t>
  </si>
  <si>
    <t>Chile Nominal 6.0000%  BTPCL  Jan 2043</t>
  </si>
  <si>
    <t>XCG0001</t>
  </si>
  <si>
    <t>US168863AU21</t>
  </si>
  <si>
    <t>Chile 5.5000%  CHILE  Aug 20</t>
  </si>
  <si>
    <t>CGP</t>
  </si>
  <si>
    <t>XCO0036</t>
  </si>
  <si>
    <t>COL17CT03011</t>
  </si>
  <si>
    <t>Colombia 7.0000%  COLTE  Sep 2019</t>
  </si>
  <si>
    <t>COP</t>
  </si>
  <si>
    <t>CO</t>
  </si>
  <si>
    <t>XCO0018</t>
  </si>
  <si>
    <t>TFIT15240720</t>
  </si>
  <si>
    <t>Colombia 11.0000%  COLTE  Jul 2020</t>
  </si>
  <si>
    <t>COL17CT02302</t>
  </si>
  <si>
    <t>XCO0033</t>
  </si>
  <si>
    <t>COL17CT02864</t>
  </si>
  <si>
    <t>Colombia 7.0000%  COLTE  May 2022</t>
  </si>
  <si>
    <t>XCO0028</t>
  </si>
  <si>
    <t>TFIT16240724</t>
  </si>
  <si>
    <t>Colombia 10.0000%  COLTE  Jul 2024</t>
  </si>
  <si>
    <t>COL17CT02385</t>
  </si>
  <si>
    <t>XCO0032</t>
  </si>
  <si>
    <t>EI8220614</t>
  </si>
  <si>
    <t>Colombia 7.5000%  COLTE  Aug 2026</t>
  </si>
  <si>
    <t>COL17CT02625</t>
  </si>
  <si>
    <t>XCO0037</t>
  </si>
  <si>
    <t>COL17CT02914</t>
  </si>
  <si>
    <t>Colombia 6.0000%  COLTE  Apr 2028</t>
  </si>
  <si>
    <t>XCO0038</t>
  </si>
  <si>
    <t>COL17CT03342</t>
  </si>
  <si>
    <t>Colombia 7.7500%  COLTE  Sep 2030</t>
  </si>
  <si>
    <t>XCO0039</t>
  </si>
  <si>
    <t>COL17CT03490</t>
  </si>
  <si>
    <t>Colombia 7.0000%  COLTE  Jun 2032</t>
  </si>
  <si>
    <t>XCO0031</t>
  </si>
  <si>
    <t>XS0502258444</t>
  </si>
  <si>
    <t>Colombia 7.7500% TES G April 2021</t>
  </si>
  <si>
    <t>CXP</t>
  </si>
  <si>
    <t>XCO0034</t>
  </si>
  <si>
    <t>XS0833886095</t>
  </si>
  <si>
    <t>Colombia 4.3750%  TES G  Mar 2023</t>
  </si>
  <si>
    <t>XCO0021</t>
  </si>
  <si>
    <t>XS0306322065</t>
  </si>
  <si>
    <t>Colombia 9.8500%  TES G  Jun 2027</t>
  </si>
  <si>
    <t>MXN</t>
  </si>
  <si>
    <t>MX</t>
  </si>
  <si>
    <t>XMX0043</t>
  </si>
  <si>
    <t>MX0MGO0000V0</t>
  </si>
  <si>
    <t>Mexico 5.0000%  MBONO  Dec 2019</t>
  </si>
  <si>
    <t>XMX0030</t>
  </si>
  <si>
    <t>MX0MGO0000L1</t>
  </si>
  <si>
    <t>Mexico 8.0000%  Bonos  Jun 2020</t>
  </si>
  <si>
    <t>XMX0035</t>
  </si>
  <si>
    <t>MX0MGO0000N7</t>
  </si>
  <si>
    <t>Mexico 6.5000%  MBONO  Jun 2021</t>
  </si>
  <si>
    <t>XMX0038</t>
  </si>
  <si>
    <t>EJ0234298</t>
  </si>
  <si>
    <t>Mexico 6.5000%  Bonos  Jun 2022</t>
  </si>
  <si>
    <t>MX0MGO0000Q0</t>
  </si>
  <si>
    <t>XMX0013</t>
  </si>
  <si>
    <t>MX0MGO000003</t>
  </si>
  <si>
    <t>Mexico 8.0000%    Dec 2023</t>
  </si>
  <si>
    <t>XMX0019</t>
  </si>
  <si>
    <t>MX0MGO000078</t>
  </si>
  <si>
    <t>Mexico 10.0000%  MBONO  Dec 2024</t>
  </si>
  <si>
    <t>XMX0044</t>
  </si>
  <si>
    <t>MX0MGO0000Y4</t>
  </si>
  <si>
    <t>Mexico 5.7500%  MBONO  Mar 2026</t>
  </si>
  <si>
    <t>XMX0025</t>
  </si>
  <si>
    <t>MX0MGO0000D8</t>
  </si>
  <si>
    <t>Mexico 7.5000%  Bonos  Jun 2027</t>
  </si>
  <si>
    <t>XMX0033</t>
  </si>
  <si>
    <t>MX0MGO0000H9</t>
  </si>
  <si>
    <t>Mexico 8.5000%  MBONO  May 2029</t>
  </si>
  <si>
    <t>XMX0037</t>
  </si>
  <si>
    <t>MX0MGO0000P2</t>
  </si>
  <si>
    <t>Mexico 7.7500%  MBONO  May 2031</t>
  </si>
  <si>
    <t>XMX0042</t>
  </si>
  <si>
    <t>MX0MGO0000U2</t>
  </si>
  <si>
    <t>Mexico 7.7500%  MBONO  Nov 2034</t>
  </si>
  <si>
    <t>XMX0024</t>
  </si>
  <si>
    <t>MX0MGO0000B2</t>
  </si>
  <si>
    <t>Mexico 10.0000%  Bonos  Nov 2036</t>
  </si>
  <si>
    <t>XMX0034</t>
  </si>
  <si>
    <t>MX0MGO0000J5</t>
  </si>
  <si>
    <t>Mexico 8.5000%  MBONO  Nov 2038</t>
  </si>
  <si>
    <t>XMX0040</t>
  </si>
  <si>
    <t>MX0MGO0000R8</t>
  </si>
  <si>
    <t>Mexico 7.7500%  MBONO  Nov 2042</t>
  </si>
  <si>
    <t>XMX0045</t>
  </si>
  <si>
    <t>MX0MGO000102</t>
  </si>
  <si>
    <t>Mexico 8.0000%  MBONO  Nov 2047</t>
  </si>
  <si>
    <t>XPE0004</t>
  </si>
  <si>
    <t>PEP01000CY33</t>
  </si>
  <si>
    <t>Peru 7.84% 15 Y Aug 2020</t>
  </si>
  <si>
    <t>PEN</t>
  </si>
  <si>
    <t>PE</t>
  </si>
  <si>
    <t>XPE0009</t>
  </si>
  <si>
    <t>PEP01000C4W4</t>
  </si>
  <si>
    <t>Peru 5.7000%  PERUG  Aug 2024</t>
  </si>
  <si>
    <t>XPE0005</t>
  </si>
  <si>
    <t>PEP01000C0J9</t>
  </si>
  <si>
    <t>Peru 8.2% 20 Y Aug 2026</t>
  </si>
  <si>
    <t>XPE0010</t>
  </si>
  <si>
    <t>PEP01000C5D1</t>
  </si>
  <si>
    <t>Peru 6.3500%  PERUG  Aug 2028</t>
  </si>
  <si>
    <t>XPE0007</t>
  </si>
  <si>
    <t>PEP01000C4G7</t>
  </si>
  <si>
    <t>Peru 6.9500%    Aug 2031</t>
  </si>
  <si>
    <t>XPE0011</t>
  </si>
  <si>
    <t>PEP01000C5E9</t>
  </si>
  <si>
    <t>Peru 6.1500%  PERUG  Aug 2032</t>
  </si>
  <si>
    <t>XPE0006</t>
  </si>
  <si>
    <t>PEP01000C2Z1</t>
  </si>
  <si>
    <t>Peru 6.9% 30Y Aug 2037</t>
  </si>
  <si>
    <t>XUG0001</t>
  </si>
  <si>
    <t>USP96006AE41</t>
  </si>
  <si>
    <t>Uruguay Global 9.8750% URUGUA Jun 2022</t>
  </si>
  <si>
    <t>UGU</t>
  </si>
  <si>
    <t>UY</t>
  </si>
  <si>
    <t>XUG0002</t>
  </si>
  <si>
    <t>USP80557BV53</t>
  </si>
  <si>
    <t>Uruguay Global 8.5000%  URUGU  Mar 2028</t>
  </si>
  <si>
    <t>ZAR</t>
  </si>
  <si>
    <t>ZA</t>
  </si>
  <si>
    <t>XZA0035</t>
  </si>
  <si>
    <t>R207000</t>
  </si>
  <si>
    <t>South Africa 7.2500%  RSA  Jan 2020</t>
  </si>
  <si>
    <t>ZAG000024738</t>
  </si>
  <si>
    <t>XZA0041</t>
  </si>
  <si>
    <t>R208000</t>
  </si>
  <si>
    <t>South Africa 6.7500%  RSA  Mar 2021</t>
  </si>
  <si>
    <t>ZAG000030396</t>
  </si>
  <si>
    <t>XZA0046</t>
  </si>
  <si>
    <t>ZAG000096165</t>
  </si>
  <si>
    <t>South Africa 7.7500%  SAGB  Feb 2023</t>
  </si>
  <si>
    <t>XZA0027</t>
  </si>
  <si>
    <t>R186000</t>
  </si>
  <si>
    <t>ZA 10.50%  RSA   Dec 2026</t>
  </si>
  <si>
    <t>ZAG000016320</t>
  </si>
  <si>
    <t>XZA0048</t>
  </si>
  <si>
    <t>ZAG000106998</t>
  </si>
  <si>
    <t>South Africa 8.0000%  SAGB  Jan 2030</t>
  </si>
  <si>
    <t>XZA0044</t>
  </si>
  <si>
    <t>ZAG000077470</t>
  </si>
  <si>
    <t>XZA0049</t>
  </si>
  <si>
    <t>ZAG000107004</t>
  </si>
  <si>
    <t>South Africa 8.2500%  SAGB  Mar 2032</t>
  </si>
  <si>
    <t>XZA0052</t>
  </si>
  <si>
    <t>ZAG000125972</t>
  </si>
  <si>
    <t>South Africa 8.8750%  SAGB  Feb 2035</t>
  </si>
  <si>
    <t>XZA0042</t>
  </si>
  <si>
    <t>R209000</t>
  </si>
  <si>
    <t>South Africa 6.2500%  RSA  Mar 2036</t>
  </si>
  <si>
    <t>ZAG000030404</t>
  </si>
  <si>
    <t>XZA0050</t>
  </si>
  <si>
    <t>ZAG000107012</t>
  </si>
  <si>
    <t>South Africa 8.5000%  SAGB  Jan 2037</t>
  </si>
  <si>
    <t>XZA0053</t>
  </si>
  <si>
    <t>ZAG000125980</t>
  </si>
  <si>
    <t>South Africa 9.0000%  SAGB  Jan 2040</t>
  </si>
  <si>
    <t>XZA0045</t>
  </si>
  <si>
    <t>ZAG000077488</t>
  </si>
  <si>
    <t>South Africa 6.5000%  SAGB  Feb 2041</t>
  </si>
  <si>
    <t>XZA0051</t>
  </si>
  <si>
    <t>ZAG000106972</t>
  </si>
  <si>
    <t>South Africa 8.7500%  SAGB  Jan 2044</t>
  </si>
  <si>
    <t>XZA0047</t>
  </si>
  <si>
    <t>ZAG000096173</t>
  </si>
  <si>
    <t>South Africa 8.7500%  SAGB  Feb 2048</t>
  </si>
  <si>
    <t>Isin</t>
  </si>
  <si>
    <t>Weight</t>
  </si>
  <si>
    <t>Country Code</t>
  </si>
  <si>
    <t>Weight GBI_EM_Div_Latam</t>
  </si>
  <si>
    <t>Weight GBI_EM_Div</t>
  </si>
  <si>
    <t>ARARGE3202H4 Corp</t>
  </si>
  <si>
    <t>ARARGE4502J2 Corp</t>
  </si>
  <si>
    <t>ARARGE4502K0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</si>
  <si>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</si>
  <si>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</si>
  <si>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</si>
  <si>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</si>
  <si>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</si>
  <si>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</si>
  <si>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</si>
  <si>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</si>
  <si>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</si>
  <si>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</si>
  <si>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</si>
  <si>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</si>
  <si>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</si>
  <si>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</si>
  <si>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</si>
  <si>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</si>
  <si>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</si>
  <si>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</si>
  <si>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</si>
  <si>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</si>
  <si>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</si>
  <si>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</si>
  <si>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</si>
  <si>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</si>
  <si>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</si>
  <si>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</si>
  <si>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</si>
  <si>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</si>
  <si>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</si>
  <si>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</si>
  <si>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</si>
  <si>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</si>
  <si>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</si>
  <si>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</si>
  <si>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</si>
  <si>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</si>
  <si>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</si>
  <si>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</si>
  <si>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</si>
  <si>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</si>
  <si>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</si>
  <si>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</si>
  <si>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</si>
  <si>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</si>
  <si>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</si>
  <si>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</si>
  <si>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</si>
  <si>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</si>
  <si>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</si>
  <si>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</si>
  <si>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</si>
  <si>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</si>
  <si>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</si>
  <si>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GBI_EMGLOBAL_DIV</t>
  </si>
  <si>
    <t>Maturity</t>
  </si>
  <si>
    <t>Mat Sect</t>
  </si>
  <si>
    <t>Issue Dt</t>
  </si>
  <si>
    <t xml:space="preserve"> '1-3'</t>
  </si>
  <si>
    <t xml:space="preserve"> '3-5'</t>
  </si>
  <si>
    <t xml:space="preserve"> '5-7'</t>
  </si>
  <si>
    <t xml:space="preserve"> '7-10'</t>
  </si>
  <si>
    <t xml:space="preserve"> '10+'</t>
  </si>
  <si>
    <t>XMY0081</t>
  </si>
  <si>
    <t>MYBMX1700033</t>
  </si>
  <si>
    <t>Malaysia 4.7620%  MGS  Apr 2037</t>
  </si>
  <si>
    <t>MYSUK0027</t>
  </si>
  <si>
    <t>MYBGI1700036</t>
  </si>
  <si>
    <t>Malaysia 3.9480%  MGII  Apr 2022</t>
  </si>
  <si>
    <t>XPL0091</t>
  </si>
  <si>
    <t>PL0000110375</t>
  </si>
  <si>
    <t>Poland 0.0000%  POLGB  Jul 2020</t>
  </si>
  <si>
    <t>12M USD Rtrn Beta</t>
  </si>
  <si>
    <t>XCZ0041</t>
  </si>
  <si>
    <t>CZ0001005037</t>
  </si>
  <si>
    <t>Czech 0.2500%  CZGB  Feb 2027</t>
  </si>
  <si>
    <t>XHU0064</t>
  </si>
  <si>
    <t>HU0000403340</t>
  </si>
  <si>
    <t>Hungary 2.7500%  HGB  Dec 2026</t>
  </si>
  <si>
    <t>XRU0055</t>
  </si>
  <si>
    <t>RU000A0ZYCK6</t>
  </si>
  <si>
    <t>Russia 7.0000%  RFLB  Dec 2021</t>
  </si>
  <si>
    <t>XBR0048</t>
  </si>
  <si>
    <t>BRSTNCLTN7J0</t>
  </si>
  <si>
    <t>Brazil 0.0000%  BLTN  Apr 2020</t>
  </si>
  <si>
    <t>XBR0046</t>
  </si>
  <si>
    <t>BRSTNCLTN7K8</t>
  </si>
  <si>
    <t>Brazil 0.0000%  BLTN  Jan 2022</t>
  </si>
  <si>
    <t>XBR0047</t>
  </si>
  <si>
    <t>BRSTNCNTF1Q6</t>
  </si>
  <si>
    <t>Brazil 10.0000%  BNTNF  Jan 2029</t>
  </si>
  <si>
    <t>BRSTNCLTN7J0 Corp</t>
  </si>
  <si>
    <t>BRSTNCLTN7K8 Corp</t>
  </si>
  <si>
    <t>BRSTNCNTF1Q6 Corp</t>
  </si>
  <si>
    <t>IDSUK0006</t>
  </si>
  <si>
    <t>IDP000002107</t>
  </si>
  <si>
    <t>Indonesia 8.7500%  INDOI  Aug 2023</t>
  </si>
  <si>
    <t>XPL0092</t>
  </si>
  <si>
    <t>PL0000107611</t>
  </si>
  <si>
    <t>Poland 2.7500%  POLGB  Apr 2028</t>
  </si>
  <si>
    <t>MYSUK0028</t>
  </si>
  <si>
    <t>MYBGO1700018</t>
  </si>
  <si>
    <t>Malaysia 4.2580%  MGII  Jul 2027</t>
  </si>
  <si>
    <t>XTR0059</t>
  </si>
  <si>
    <t>TRT180123T10</t>
  </si>
  <si>
    <t>Turkey 12.2000%  TURKG  Jan 2023</t>
  </si>
  <si>
    <t>XCO0040</t>
  </si>
  <si>
    <t>COL17CT03557</t>
  </si>
  <si>
    <t>Colombia 6.2500%  COLTE  Nov 2025</t>
  </si>
  <si>
    <t>XDX0001</t>
  </si>
  <si>
    <t>USP3579EBZ99</t>
  </si>
  <si>
    <t>Dominican Republic Global 8.9000%  DOMRE REGS Feb 2023</t>
  </si>
  <si>
    <t>DXP</t>
  </si>
  <si>
    <t>DX</t>
  </si>
  <si>
    <t>South Africa 7.000%  SAGB  Feb 2031</t>
  </si>
  <si>
    <t>COL17CT03557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</si>
</sst>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000%"/>
    <numFmt numFmtId="165" formatCode="0.000"/>
    <numFmt numFmtId="166" formatCode="dd\-mmm\-yyyy"/>
  </numFmts>
  <fonts count="7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sz val="11"/>
      <color rgb="FF59594F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sz val="10"/>
      <color indexed="8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u/>
      <sz val="10"/>
      <color indexed="12"/>
      <name val="Arial"/>
      <family val="2"/>
    </font>
    <font>
      <b/>
      <sz val="18"/>
      <color indexed="62"/>
      <name val="Cambria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rgb="FF9C0006"/>
      <name val="Arial"/>
      <family val="2"/>
    </font>
    <font>
      <sz val="8"/>
      <color rgb="FF9C0006"/>
      <name val="Arial"/>
      <family val="2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i/>
      <sz val="10"/>
      <color rgb="FF7F7F7F"/>
      <name val="Arial"/>
      <family val="2"/>
    </font>
    <font>
      <i/>
      <sz val="8"/>
      <color rgb="FF7F7F7F"/>
      <name val="Arial"/>
      <family val="2"/>
    </font>
    <font>
      <sz val="10"/>
      <color rgb="FF006100"/>
      <name val="Arial"/>
      <family val="2"/>
    </font>
    <font>
      <sz val="8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8"/>
      <color rgb="FF3F3F76"/>
      <name val="Arial"/>
      <family val="2"/>
    </font>
    <font>
      <sz val="10"/>
      <color rgb="FFFA7D00"/>
      <name val="Arial"/>
      <family val="2"/>
    </font>
    <font>
      <sz val="8"/>
      <color rgb="FFFA7D00"/>
      <name val="Arial"/>
      <family val="2"/>
    </font>
    <font>
      <sz val="11"/>
      <color rgb="FF9C6500"/>
      <name val="Arial"/>
      <family val="2"/>
      <scheme val="minor"/>
    </font>
    <font>
      <sz val="10"/>
      <color rgb="FF9C6500"/>
      <name val="Arial"/>
      <family val="2"/>
    </font>
    <font>
      <sz val="8"/>
      <color rgb="FF9C6500"/>
      <name val="Arial"/>
      <family val="2"/>
    </font>
    <font>
      <b/>
      <sz val="10"/>
      <color rgb="FF3F3F3F"/>
      <name val="Arial"/>
      <family val="2"/>
    </font>
    <font>
      <b/>
      <sz val="8"/>
      <color rgb="FF3F3F3F"/>
      <name val="Arial"/>
      <family val="2"/>
    </font>
    <font>
      <b/>
      <sz val="18"/>
      <color theme="3"/>
      <name val="Arial"/>
      <family val="2"/>
      <scheme val="maj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39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46" fillId="10" borderId="0" applyNumberFormat="0" applyBorder="0" applyAlignment="0" applyProtection="0"/>
    <xf numFmtId="0" fontId="23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6" fillId="14" borderId="0" applyNumberFormat="0" applyBorder="0" applyAlignment="0" applyProtection="0"/>
    <xf numFmtId="0" fontId="23" fillId="36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6" fillId="18" borderId="0" applyNumberFormat="0" applyBorder="0" applyAlignment="0" applyProtection="0"/>
    <xf numFmtId="0" fontId="23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6" fillId="22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23" fillId="40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6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6" fillId="30" borderId="0" applyNumberFormat="0" applyBorder="0" applyAlignment="0" applyProtection="0"/>
    <xf numFmtId="0" fontId="23" fillId="35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23" fillId="35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6" fillId="11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6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6" fillId="19" borderId="0" applyNumberFormat="0" applyBorder="0" applyAlignment="0" applyProtection="0"/>
    <xf numFmtId="0" fontId="23" fillId="44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6" fillId="23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23" fillId="40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6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6" fillId="31" borderId="0" applyNumberFormat="0" applyBorder="0" applyAlignment="0" applyProtection="0"/>
    <xf numFmtId="0" fontId="23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17" fillId="12" borderId="0" applyNumberFormat="0" applyBorder="0" applyAlignment="0" applyProtection="0"/>
    <xf numFmtId="0" fontId="30" fillId="47" borderId="0" applyNumberFormat="0" applyBorder="0" applyAlignment="0" applyProtection="0"/>
    <xf numFmtId="0" fontId="17" fillId="12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12" borderId="0" applyNumberFormat="0" applyBorder="0" applyAlignment="0" applyProtection="0"/>
    <xf numFmtId="0" fontId="30" fillId="4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16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20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17" fillId="20" borderId="0" applyNumberFormat="0" applyBorder="0" applyAlignment="0" applyProtection="0"/>
    <xf numFmtId="0" fontId="30" fillId="44" borderId="0" applyNumberFormat="0" applyBorder="0" applyAlignment="0" applyProtection="0"/>
    <xf numFmtId="0" fontId="17" fillId="20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49" fillId="20" borderId="0" applyNumberFormat="0" applyBorder="0" applyAlignment="0" applyProtection="0"/>
    <xf numFmtId="0" fontId="30" fillId="44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24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17" fillId="24" borderId="0" applyNumberFormat="0" applyBorder="0" applyAlignment="0" applyProtection="0"/>
    <xf numFmtId="0" fontId="30" fillId="49" borderId="0" applyNumberFormat="0" applyBorder="0" applyAlignment="0" applyProtection="0"/>
    <xf numFmtId="0" fontId="17" fillId="24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49" fillId="24" borderId="0" applyNumberFormat="0" applyBorder="0" applyAlignment="0" applyProtection="0"/>
    <xf numFmtId="0" fontId="30" fillId="49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2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17" fillId="32" borderId="0" applyNumberFormat="0" applyBorder="0" applyAlignment="0" applyProtection="0"/>
    <xf numFmtId="0" fontId="30" fillId="50" borderId="0" applyNumberFormat="0" applyBorder="0" applyAlignment="0" applyProtection="0"/>
    <xf numFmtId="0" fontId="17" fillId="3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32" borderId="0" applyNumberFormat="0" applyBorder="0" applyAlignment="0" applyProtection="0"/>
    <xf numFmtId="0" fontId="30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17" fillId="9" borderId="0" applyNumberFormat="0" applyBorder="0" applyAlignment="0" applyProtection="0"/>
    <xf numFmtId="0" fontId="30" fillId="51" borderId="0" applyNumberFormat="0" applyBorder="0" applyAlignment="0" applyProtection="0"/>
    <xf numFmtId="0" fontId="17" fillId="9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9" borderId="0" applyNumberFormat="0" applyBorder="0" applyAlignment="0" applyProtection="0"/>
    <xf numFmtId="0" fontId="30" fillId="51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13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49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17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49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21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17" fillId="21" borderId="0" applyNumberFormat="0" applyBorder="0" applyAlignment="0" applyProtection="0"/>
    <xf numFmtId="0" fontId="30" fillId="49" borderId="0" applyNumberFormat="0" applyBorder="0" applyAlignment="0" applyProtection="0"/>
    <xf numFmtId="0" fontId="17" fillId="21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49" fillId="21" borderId="0" applyNumberFormat="0" applyBorder="0" applyAlignment="0" applyProtection="0"/>
    <xf numFmtId="0" fontId="30" fillId="49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29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49" fillId="29" borderId="0" applyNumberFormat="0" applyBorder="0" applyAlignment="0" applyProtection="0"/>
    <xf numFmtId="0" fontId="30" fillId="55" borderId="0" applyNumberFormat="0" applyBorder="0" applyAlignment="0" applyProtection="0"/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51" fillId="3" borderId="0" applyNumberFormat="0" applyBorder="0" applyAlignment="0" applyProtection="0"/>
    <xf numFmtId="0" fontId="31" fillId="36" borderId="0" applyNumberFormat="0" applyBorder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52" fillId="6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11" fillId="6" borderId="4" applyNumberFormat="0" applyAlignment="0" applyProtection="0"/>
    <xf numFmtId="0" fontId="22" fillId="42" borderId="11" applyNumberFormat="0" applyAlignment="0" applyProtection="0"/>
    <xf numFmtId="0" fontId="11" fillId="6" borderId="4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53" fillId="6" borderId="4" applyNumberFormat="0" applyAlignment="0" applyProtection="0"/>
    <xf numFmtId="0" fontId="22" fillId="42" borderId="11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55" fillId="7" borderId="7" applyNumberFormat="0" applyAlignment="0" applyProtection="0"/>
    <xf numFmtId="0" fontId="32" fillId="58" borderId="12" applyNumberFormat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59" fillId="2" borderId="0" applyNumberFormat="0" applyBorder="0" applyAlignment="0" applyProtection="0"/>
    <xf numFmtId="0" fontId="34" fillId="38" borderId="0" applyNumberFormat="0" applyBorder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60" fillId="0" borderId="1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3" fillId="0" borderId="1" applyNumberFormat="0" applyFill="0" applyAlignment="0" applyProtection="0"/>
    <xf numFmtId="0" fontId="24" fillId="0" borderId="13" applyNumberFormat="0" applyFill="0" applyAlignment="0" applyProtection="0"/>
    <xf numFmtId="0" fontId="3" fillId="0" borderId="1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61" fillId="0" borderId="2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4" fillId="0" borderId="2" applyNumberFormat="0" applyFill="0" applyAlignment="0" applyProtection="0"/>
    <xf numFmtId="0" fontId="25" fillId="0" borderId="15" applyNumberFormat="0" applyFill="0" applyAlignment="0" applyProtection="0"/>
    <xf numFmtId="0" fontId="4" fillId="0" borderId="2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62" fillId="0" borderId="3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5" fillId="0" borderId="3" applyNumberFormat="0" applyFill="0" applyAlignment="0" applyProtection="0"/>
    <xf numFmtId="0" fontId="26" fillId="0" borderId="16" applyNumberFormat="0" applyFill="0" applyAlignment="0" applyProtection="0"/>
    <xf numFmtId="0" fontId="5" fillId="0" borderId="3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5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9" fillId="5" borderId="4" applyNumberFormat="0" applyAlignment="0" applyProtection="0"/>
    <xf numFmtId="0" fontId="35" fillId="35" borderId="11" applyNumberFormat="0" applyAlignment="0" applyProtection="0"/>
    <xf numFmtId="0" fontId="9" fillId="5" borderId="4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64" fillId="5" borderId="4" applyNumberFormat="0" applyAlignment="0" applyProtection="0"/>
    <xf numFmtId="0" fontId="35" fillId="35" borderId="11" applyNumberFormat="0" applyAlignment="0" applyProtection="0"/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66" fontId="40" fillId="0" borderId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66" fillId="0" borderId="6" applyNumberFormat="0" applyFill="0" applyAlignment="0" applyProtection="0"/>
    <xf numFmtId="0" fontId="67" fillId="4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9" fillId="4" borderId="0" applyNumberFormat="0" applyBorder="0" applyAlignment="0" applyProtection="0"/>
    <xf numFmtId="0" fontId="28" fillId="45" borderId="0" applyNumberFormat="0" applyBorder="0" applyAlignment="0" applyProtection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47" fillId="0" borderId="0"/>
    <xf numFmtId="0" fontId="47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3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21" fillId="0" borderId="0"/>
    <xf numFmtId="0" fontId="23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47" fillId="8" borderId="8" applyNumberFormat="0" applyFont="0" applyAlignment="0" applyProtection="0"/>
    <xf numFmtId="0" fontId="23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6" fillId="8" borderId="8" applyNumberFormat="0" applyFont="0" applyAlignment="0" applyProtection="0"/>
    <xf numFmtId="0" fontId="23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6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10" fillId="6" borderId="5" applyNumberFormat="0" applyAlignment="0" applyProtection="0"/>
    <xf numFmtId="0" fontId="21" fillId="60" borderId="10" applyNumberFormat="0" applyFont="0" applyAlignment="0"/>
    <xf numFmtId="0" fontId="10" fillId="6" borderId="5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71" fillId="6" borderId="5" applyNumberFormat="0" applyAlignment="0" applyProtection="0"/>
    <xf numFmtId="0" fontId="21" fillId="60" borderId="10" applyNumberFormat="0" applyFont="0" applyAlignment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16" fillId="0" borderId="9" applyNumberFormat="0" applyFill="0" applyAlignment="0" applyProtection="0"/>
    <xf numFmtId="0" fontId="37" fillId="0" borderId="21" applyNumberFormat="0" applyFill="0" applyAlignment="0" applyProtection="0"/>
    <xf numFmtId="0" fontId="16" fillId="0" borderId="9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74" fillId="0" borderId="9" applyNumberFormat="0" applyFill="0" applyAlignment="0" applyProtection="0"/>
    <xf numFmtId="0" fontId="37" fillId="0" borderId="21" applyNumberFormat="0" applyFill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6" fillId="0" borderId="0" applyNumberFormat="0" applyFill="0" applyBorder="0" applyAlignment="0" applyProtection="0"/>
  </cellStyleXfs>
  <cellXfs count="2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164" fontId="0" fillId="0" borderId="0" xfId="42" applyNumberFormat="1" applyFont="1"/>
    <xf numFmtId="9" fontId="0" fillId="0" borderId="0" xfId="42" applyFont="1" applyAlignment="1">
      <alignment horizontal="center"/>
    </xf>
    <xf numFmtId="0" fontId="18" fillId="3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42" applyNumberFormat="1" applyFont="1" applyAlignment="1">
      <alignment horizontal="center"/>
    </xf>
    <xf numFmtId="10" fontId="0" fillId="0" borderId="0" xfId="42" applyNumberFormat="1" applyFont="1" applyAlignment="1">
      <alignment horizontal="center"/>
    </xf>
    <xf numFmtId="10" fontId="0" fillId="0" borderId="0" xfId="0" applyNumberFormat="1"/>
    <xf numFmtId="0" fontId="0" fillId="0" borderId="0" xfId="0"/>
    <xf numFmtId="15" fontId="47" fillId="0" borderId="0" xfId="1119" applyNumberFormat="1" applyAlignment="1">
      <alignment horizontal="left"/>
    </xf>
    <xf numFmtId="0" fontId="47" fillId="0" borderId="0" xfId="1119" applyNumberFormat="1" applyAlignment="1">
      <alignment horizontal="left"/>
    </xf>
    <xf numFmtId="0" fontId="47" fillId="0" borderId="0" xfId="1119" applyNumberFormat="1" applyFont="1" applyAlignment="1">
      <alignment horizontal="left"/>
    </xf>
    <xf numFmtId="0" fontId="73" fillId="0" borderId="0" xfId="1119" applyNumberFormat="1" applyFont="1" applyAlignment="1">
      <alignment horizontal="left"/>
    </xf>
    <xf numFmtId="15" fontId="47" fillId="0" borderId="0" xfId="1119" applyNumberFormat="1" applyFont="1" applyAlignment="1">
      <alignment horizontal="left"/>
    </xf>
    <xf numFmtId="10" fontId="0" fillId="0" borderId="0" xfId="42" applyNumberFormat="1" applyFont="1"/>
    <xf numFmtId="0" fontId="47" fillId="33" borderId="0" xfId="1119" applyNumberFormat="1" applyFont="1" applyFill="1" applyAlignment="1">
      <alignment horizontal="left"/>
    </xf>
    <xf numFmtId="15" fontId="47" fillId="33" borderId="0" xfId="1119" applyNumberFormat="1" applyFont="1" applyFill="1" applyAlignment="1">
      <alignment horizontal="left"/>
    </xf>
    <xf numFmtId="0" fontId="0" fillId="33" borderId="0" xfId="0" applyFill="1"/>
  </cellXfs>
  <cellStyles count="1397">
    <cellStyle name="20% - Accent1 10" xfId="43" xr:uid="{00000000-0005-0000-0000-00002F000000}"/>
    <cellStyle name="20% - Accent1 11" xfId="44" xr:uid="{00000000-0005-0000-0000-000030000000}"/>
    <cellStyle name="20% - Accent1 2" xfId="45" xr:uid="{00000000-0005-0000-0000-000031000000}"/>
    <cellStyle name="20% - Accent1 2 2" xfId="46" xr:uid="{00000000-0005-0000-0000-000032000000}"/>
    <cellStyle name="20% - Accent1 2 3" xfId="47" xr:uid="{00000000-0005-0000-0000-000033000000}"/>
    <cellStyle name="20% - Accent1 2 4" xfId="48" xr:uid="{00000000-0005-0000-0000-000034000000}"/>
    <cellStyle name="20% - Accent1 2 5" xfId="49" xr:uid="{00000000-0005-0000-0000-000035000000}"/>
    <cellStyle name="20% - Accent1 2 6" xfId="50" xr:uid="{00000000-0005-0000-0000-000036000000}"/>
    <cellStyle name="20% - Accent1 2 7" xfId="51" xr:uid="{00000000-0005-0000-0000-000037000000}"/>
    <cellStyle name="20% - Accent1 3" xfId="52" xr:uid="{00000000-0005-0000-0000-000038000000}"/>
    <cellStyle name="20% - Accent1 3 2" xfId="53" xr:uid="{00000000-0005-0000-0000-000039000000}"/>
    <cellStyle name="20% - Accent1 3 3" xfId="54" xr:uid="{00000000-0005-0000-0000-00003A000000}"/>
    <cellStyle name="20% - Accent1 3 4" xfId="55" xr:uid="{00000000-0005-0000-0000-00003B000000}"/>
    <cellStyle name="20% - Accent1 3 4 2" xfId="56" xr:uid="{00000000-0005-0000-0000-00003C000000}"/>
    <cellStyle name="20% - Accent1 3 4 3" xfId="57" xr:uid="{00000000-0005-0000-0000-00003D000000}"/>
    <cellStyle name="20% - Accent1 3 4 4" xfId="58" xr:uid="{00000000-0005-0000-0000-00003E000000}"/>
    <cellStyle name="20% - Accent1 3 5" xfId="59" xr:uid="{00000000-0005-0000-0000-00003F000000}"/>
    <cellStyle name="20% - Accent1 3 5 2" xfId="60" xr:uid="{00000000-0005-0000-0000-000040000000}"/>
    <cellStyle name="20% - Accent1 3 5 3" xfId="61" xr:uid="{00000000-0005-0000-0000-000041000000}"/>
    <cellStyle name="20% - Accent1 3 5 4" xfId="62" xr:uid="{00000000-0005-0000-0000-000042000000}"/>
    <cellStyle name="20% - Accent1 4" xfId="63" xr:uid="{00000000-0005-0000-0000-000043000000}"/>
    <cellStyle name="20% - Accent1 4 2" xfId="64" xr:uid="{00000000-0005-0000-0000-000044000000}"/>
    <cellStyle name="20% - Accent1 4 3" xfId="65" xr:uid="{00000000-0005-0000-0000-000045000000}"/>
    <cellStyle name="20% - Accent1 4 3 2" xfId="66" xr:uid="{00000000-0005-0000-0000-000046000000}"/>
    <cellStyle name="20% - Accent1 4 3 3" xfId="67" xr:uid="{00000000-0005-0000-0000-000047000000}"/>
    <cellStyle name="20% - Accent1 4 3 4" xfId="68" xr:uid="{00000000-0005-0000-0000-000048000000}"/>
    <cellStyle name="20% - Accent1 4 4" xfId="69" xr:uid="{00000000-0005-0000-0000-000049000000}"/>
    <cellStyle name="20% - Accent1 4 4 2" xfId="70" xr:uid="{00000000-0005-0000-0000-00004A000000}"/>
    <cellStyle name="20% - Accent1 4 4 3" xfId="71" xr:uid="{00000000-0005-0000-0000-00004B000000}"/>
    <cellStyle name="20% - Accent1 4 4 4" xfId="72" xr:uid="{00000000-0005-0000-0000-00004C000000}"/>
    <cellStyle name="20% - Accent1 5" xfId="73" xr:uid="{00000000-0005-0000-0000-00004D000000}"/>
    <cellStyle name="20% - Accent1 5 2" xfId="74" xr:uid="{00000000-0005-0000-0000-00004E000000}"/>
    <cellStyle name="20% - Accent1 6" xfId="75" xr:uid="{00000000-0005-0000-0000-00004F000000}"/>
    <cellStyle name="20% - Accent1 6 2" xfId="76" xr:uid="{00000000-0005-0000-0000-000050000000}"/>
    <cellStyle name="20% - Accent1 7" xfId="77" xr:uid="{00000000-0005-0000-0000-000051000000}"/>
    <cellStyle name="20% - Accent1 8" xfId="78" xr:uid="{00000000-0005-0000-0000-000052000000}"/>
    <cellStyle name="20% - Accent1 8 2" xfId="79" xr:uid="{00000000-0005-0000-0000-000053000000}"/>
    <cellStyle name="20% - Accent1 8 3" xfId="80" xr:uid="{00000000-0005-0000-0000-000054000000}"/>
    <cellStyle name="20% - Accent1 8 4" xfId="81" xr:uid="{00000000-0005-0000-0000-000055000000}"/>
    <cellStyle name="20% - Accent1 9" xfId="82" xr:uid="{00000000-0005-0000-0000-000056000000}"/>
    <cellStyle name="20% - Accent1 9 2" xfId="83" xr:uid="{00000000-0005-0000-0000-000057000000}"/>
    <cellStyle name="20% - Accent1 9 3" xfId="84" xr:uid="{00000000-0005-0000-0000-000058000000}"/>
    <cellStyle name="20% - Accent1 9 4" xfId="85" xr:uid="{00000000-0005-0000-0000-000059000000}"/>
    <cellStyle name="20% - Accent2 10" xfId="86" xr:uid="{00000000-0005-0000-0000-00005A000000}"/>
    <cellStyle name="20% - Accent2 11" xfId="87" xr:uid="{00000000-0005-0000-0000-00005B000000}"/>
    <cellStyle name="20% - Accent2 2" xfId="88" xr:uid="{00000000-0005-0000-0000-00005C000000}"/>
    <cellStyle name="20% - Accent2 2 2" xfId="89" xr:uid="{00000000-0005-0000-0000-00005D000000}"/>
    <cellStyle name="20% - Accent2 2 3" xfId="90" xr:uid="{00000000-0005-0000-0000-00005E000000}"/>
    <cellStyle name="20% - Accent2 2 4" xfId="91" xr:uid="{00000000-0005-0000-0000-00005F000000}"/>
    <cellStyle name="20% - Accent2 2 5" xfId="92" xr:uid="{00000000-0005-0000-0000-000060000000}"/>
    <cellStyle name="20% - Accent2 2 6" xfId="93" xr:uid="{00000000-0005-0000-0000-000061000000}"/>
    <cellStyle name="20% - Accent2 2 7" xfId="94" xr:uid="{00000000-0005-0000-0000-000062000000}"/>
    <cellStyle name="20% - Accent2 3" xfId="95" xr:uid="{00000000-0005-0000-0000-000063000000}"/>
    <cellStyle name="20% - Accent2 3 2" xfId="96" xr:uid="{00000000-0005-0000-0000-000064000000}"/>
    <cellStyle name="20% - Accent2 3 3" xfId="97" xr:uid="{00000000-0005-0000-0000-000065000000}"/>
    <cellStyle name="20% - Accent2 3 4" xfId="98" xr:uid="{00000000-0005-0000-0000-000066000000}"/>
    <cellStyle name="20% - Accent2 3 4 2" xfId="99" xr:uid="{00000000-0005-0000-0000-000067000000}"/>
    <cellStyle name="20% - Accent2 3 4 3" xfId="100" xr:uid="{00000000-0005-0000-0000-000068000000}"/>
    <cellStyle name="20% - Accent2 3 4 4" xfId="101" xr:uid="{00000000-0005-0000-0000-000069000000}"/>
    <cellStyle name="20% - Accent2 3 5" xfId="102" xr:uid="{00000000-0005-0000-0000-00006A000000}"/>
    <cellStyle name="20% - Accent2 3 5 2" xfId="103" xr:uid="{00000000-0005-0000-0000-00006B000000}"/>
    <cellStyle name="20% - Accent2 3 5 3" xfId="104" xr:uid="{00000000-0005-0000-0000-00006C000000}"/>
    <cellStyle name="20% - Accent2 3 5 4" xfId="105" xr:uid="{00000000-0005-0000-0000-00006D000000}"/>
    <cellStyle name="20% - Accent2 4" xfId="106" xr:uid="{00000000-0005-0000-0000-00006E000000}"/>
    <cellStyle name="20% - Accent2 4 2" xfId="107" xr:uid="{00000000-0005-0000-0000-00006F000000}"/>
    <cellStyle name="20% - Accent2 4 3" xfId="108" xr:uid="{00000000-0005-0000-0000-000070000000}"/>
    <cellStyle name="20% - Accent2 4 3 2" xfId="109" xr:uid="{00000000-0005-0000-0000-000071000000}"/>
    <cellStyle name="20% - Accent2 4 3 3" xfId="110" xr:uid="{00000000-0005-0000-0000-000072000000}"/>
    <cellStyle name="20% - Accent2 4 3 4" xfId="111" xr:uid="{00000000-0005-0000-0000-000073000000}"/>
    <cellStyle name="20% - Accent2 4 4" xfId="112" xr:uid="{00000000-0005-0000-0000-000074000000}"/>
    <cellStyle name="20% - Accent2 4 4 2" xfId="113" xr:uid="{00000000-0005-0000-0000-000075000000}"/>
    <cellStyle name="20% - Accent2 4 4 3" xfId="114" xr:uid="{00000000-0005-0000-0000-000076000000}"/>
    <cellStyle name="20% - Accent2 4 4 4" xfId="115" xr:uid="{00000000-0005-0000-0000-000077000000}"/>
    <cellStyle name="20% - Accent2 5" xfId="116" xr:uid="{00000000-0005-0000-0000-000078000000}"/>
    <cellStyle name="20% - Accent2 5 2" xfId="117" xr:uid="{00000000-0005-0000-0000-000079000000}"/>
    <cellStyle name="20% - Accent2 6" xfId="118" xr:uid="{00000000-0005-0000-0000-00007A000000}"/>
    <cellStyle name="20% - Accent2 6 2" xfId="119" xr:uid="{00000000-0005-0000-0000-00007B000000}"/>
    <cellStyle name="20% - Accent2 7" xfId="120" xr:uid="{00000000-0005-0000-0000-00007C000000}"/>
    <cellStyle name="20% - Accent2 8" xfId="121" xr:uid="{00000000-0005-0000-0000-00007D000000}"/>
    <cellStyle name="20% - Accent2 8 2" xfId="122" xr:uid="{00000000-0005-0000-0000-00007E000000}"/>
    <cellStyle name="20% - Accent2 8 3" xfId="123" xr:uid="{00000000-0005-0000-0000-00007F000000}"/>
    <cellStyle name="20% - Accent2 8 4" xfId="124" xr:uid="{00000000-0005-0000-0000-000080000000}"/>
    <cellStyle name="20% - Accent2 9" xfId="125" xr:uid="{00000000-0005-0000-0000-000081000000}"/>
    <cellStyle name="20% - Accent2 9 2" xfId="126" xr:uid="{00000000-0005-0000-0000-000082000000}"/>
    <cellStyle name="20% - Accent2 9 3" xfId="127" xr:uid="{00000000-0005-0000-0000-000083000000}"/>
    <cellStyle name="20% - Accent2 9 4" xfId="128" xr:uid="{00000000-0005-0000-0000-000084000000}"/>
    <cellStyle name="20% - Accent3 10" xfId="129" xr:uid="{00000000-0005-0000-0000-000085000000}"/>
    <cellStyle name="20% - Accent3 11" xfId="130" xr:uid="{00000000-0005-0000-0000-000086000000}"/>
    <cellStyle name="20% - Accent3 2" xfId="131" xr:uid="{00000000-0005-0000-0000-000087000000}"/>
    <cellStyle name="20% - Accent3 2 2" xfId="132" xr:uid="{00000000-0005-0000-0000-000088000000}"/>
    <cellStyle name="20% - Accent3 2 3" xfId="133" xr:uid="{00000000-0005-0000-0000-000089000000}"/>
    <cellStyle name="20% - Accent3 2 4" xfId="134" xr:uid="{00000000-0005-0000-0000-00008A000000}"/>
    <cellStyle name="20% - Accent3 2 5" xfId="135" xr:uid="{00000000-0005-0000-0000-00008B000000}"/>
    <cellStyle name="20% - Accent3 2 6" xfId="136" xr:uid="{00000000-0005-0000-0000-00008C000000}"/>
    <cellStyle name="20% - Accent3 2 7" xfId="137" xr:uid="{00000000-0005-0000-0000-00008D000000}"/>
    <cellStyle name="20% - Accent3 3" xfId="138" xr:uid="{00000000-0005-0000-0000-00008E000000}"/>
    <cellStyle name="20% - Accent3 3 2" xfId="139" xr:uid="{00000000-0005-0000-0000-00008F000000}"/>
    <cellStyle name="20% - Accent3 3 3" xfId="140" xr:uid="{00000000-0005-0000-0000-000090000000}"/>
    <cellStyle name="20% - Accent3 3 4" xfId="141" xr:uid="{00000000-0005-0000-0000-000091000000}"/>
    <cellStyle name="20% - Accent3 3 4 2" xfId="142" xr:uid="{00000000-0005-0000-0000-000092000000}"/>
    <cellStyle name="20% - Accent3 3 4 3" xfId="143" xr:uid="{00000000-0005-0000-0000-000093000000}"/>
    <cellStyle name="20% - Accent3 3 4 4" xfId="144" xr:uid="{00000000-0005-0000-0000-000094000000}"/>
    <cellStyle name="20% - Accent3 3 5" xfId="145" xr:uid="{00000000-0005-0000-0000-000095000000}"/>
    <cellStyle name="20% - Accent3 3 5 2" xfId="146" xr:uid="{00000000-0005-0000-0000-000096000000}"/>
    <cellStyle name="20% - Accent3 3 5 3" xfId="147" xr:uid="{00000000-0005-0000-0000-000097000000}"/>
    <cellStyle name="20% - Accent3 3 5 4" xfId="148" xr:uid="{00000000-0005-0000-0000-000098000000}"/>
    <cellStyle name="20% - Accent3 4" xfId="149" xr:uid="{00000000-0005-0000-0000-000099000000}"/>
    <cellStyle name="20% - Accent3 4 2" xfId="150" xr:uid="{00000000-0005-0000-0000-00009A000000}"/>
    <cellStyle name="20% - Accent3 4 3" xfId="151" xr:uid="{00000000-0005-0000-0000-00009B000000}"/>
    <cellStyle name="20% - Accent3 4 3 2" xfId="152" xr:uid="{00000000-0005-0000-0000-00009C000000}"/>
    <cellStyle name="20% - Accent3 4 3 3" xfId="153" xr:uid="{00000000-0005-0000-0000-00009D000000}"/>
    <cellStyle name="20% - Accent3 4 3 4" xfId="154" xr:uid="{00000000-0005-0000-0000-00009E000000}"/>
    <cellStyle name="20% - Accent3 4 4" xfId="155" xr:uid="{00000000-0005-0000-0000-00009F000000}"/>
    <cellStyle name="20% - Accent3 4 4 2" xfId="156" xr:uid="{00000000-0005-0000-0000-0000A0000000}"/>
    <cellStyle name="20% - Accent3 4 4 3" xfId="157" xr:uid="{00000000-0005-0000-0000-0000A1000000}"/>
    <cellStyle name="20% - Accent3 4 4 4" xfId="158" xr:uid="{00000000-0005-0000-0000-0000A2000000}"/>
    <cellStyle name="20% - Accent3 5" xfId="159" xr:uid="{00000000-0005-0000-0000-0000A3000000}"/>
    <cellStyle name="20% - Accent3 5 2" xfId="160" xr:uid="{00000000-0005-0000-0000-0000A4000000}"/>
    <cellStyle name="20% - Accent3 6" xfId="161" xr:uid="{00000000-0005-0000-0000-0000A5000000}"/>
    <cellStyle name="20% - Accent3 6 2" xfId="162" xr:uid="{00000000-0005-0000-0000-0000A6000000}"/>
    <cellStyle name="20% - Accent3 7" xfId="163" xr:uid="{00000000-0005-0000-0000-0000A7000000}"/>
    <cellStyle name="20% - Accent3 8" xfId="164" xr:uid="{00000000-0005-0000-0000-0000A8000000}"/>
    <cellStyle name="20% - Accent3 8 2" xfId="165" xr:uid="{00000000-0005-0000-0000-0000A9000000}"/>
    <cellStyle name="20% - Accent3 8 3" xfId="166" xr:uid="{00000000-0005-0000-0000-0000AA000000}"/>
    <cellStyle name="20% - Accent3 8 4" xfId="167" xr:uid="{00000000-0005-0000-0000-0000AB000000}"/>
    <cellStyle name="20% - Accent3 9" xfId="168" xr:uid="{00000000-0005-0000-0000-0000AC000000}"/>
    <cellStyle name="20% - Accent3 9 2" xfId="169" xr:uid="{00000000-0005-0000-0000-0000AD000000}"/>
    <cellStyle name="20% - Accent3 9 3" xfId="170" xr:uid="{00000000-0005-0000-0000-0000AE000000}"/>
    <cellStyle name="20% - Accent3 9 4" xfId="171" xr:uid="{00000000-0005-0000-0000-0000AF000000}"/>
    <cellStyle name="20% - Accent4 10" xfId="172" xr:uid="{00000000-0005-0000-0000-0000B0000000}"/>
    <cellStyle name="20% - Accent4 11" xfId="173" xr:uid="{00000000-0005-0000-0000-0000B1000000}"/>
    <cellStyle name="20% - Accent4 2" xfId="174" xr:uid="{00000000-0005-0000-0000-0000B2000000}"/>
    <cellStyle name="20% - Accent4 2 2" xfId="175" xr:uid="{00000000-0005-0000-0000-0000B3000000}"/>
    <cellStyle name="20% - Accent4 2 3" xfId="176" xr:uid="{00000000-0005-0000-0000-0000B4000000}"/>
    <cellStyle name="20% - Accent4 2 4" xfId="177" xr:uid="{00000000-0005-0000-0000-0000B5000000}"/>
    <cellStyle name="20% - Accent4 2 5" xfId="178" xr:uid="{00000000-0005-0000-0000-0000B6000000}"/>
    <cellStyle name="20% - Accent4 2 6" xfId="179" xr:uid="{00000000-0005-0000-0000-0000B7000000}"/>
    <cellStyle name="20% - Accent4 2 7" xfId="180" xr:uid="{00000000-0005-0000-0000-0000B8000000}"/>
    <cellStyle name="20% - Accent4 3" xfId="181" xr:uid="{00000000-0005-0000-0000-0000B9000000}"/>
    <cellStyle name="20% - Accent4 3 2" xfId="182" xr:uid="{00000000-0005-0000-0000-0000BA000000}"/>
    <cellStyle name="20% - Accent4 3 3" xfId="183" xr:uid="{00000000-0005-0000-0000-0000BB000000}"/>
    <cellStyle name="20% - Accent4 3 4" xfId="184" xr:uid="{00000000-0005-0000-0000-0000BC000000}"/>
    <cellStyle name="20% - Accent4 3 4 2" xfId="185" xr:uid="{00000000-0005-0000-0000-0000BD000000}"/>
    <cellStyle name="20% - Accent4 3 4 3" xfId="186" xr:uid="{00000000-0005-0000-0000-0000BE000000}"/>
    <cellStyle name="20% - Accent4 3 4 4" xfId="187" xr:uid="{00000000-0005-0000-0000-0000BF000000}"/>
    <cellStyle name="20% - Accent4 3 5" xfId="188" xr:uid="{00000000-0005-0000-0000-0000C0000000}"/>
    <cellStyle name="20% - Accent4 3 5 2" xfId="189" xr:uid="{00000000-0005-0000-0000-0000C1000000}"/>
    <cellStyle name="20% - Accent4 3 5 3" xfId="190" xr:uid="{00000000-0005-0000-0000-0000C2000000}"/>
    <cellStyle name="20% - Accent4 3 5 4" xfId="191" xr:uid="{00000000-0005-0000-0000-0000C3000000}"/>
    <cellStyle name="20% - Accent4 4" xfId="192" xr:uid="{00000000-0005-0000-0000-0000C4000000}"/>
    <cellStyle name="20% - Accent4 4 2" xfId="193" xr:uid="{00000000-0005-0000-0000-0000C5000000}"/>
    <cellStyle name="20% - Accent4 4 3" xfId="194" xr:uid="{00000000-0005-0000-0000-0000C6000000}"/>
    <cellStyle name="20% - Accent4 4 3 2" xfId="195" xr:uid="{00000000-0005-0000-0000-0000C7000000}"/>
    <cellStyle name="20% - Accent4 4 3 3" xfId="196" xr:uid="{00000000-0005-0000-0000-0000C8000000}"/>
    <cellStyle name="20% - Accent4 4 3 4" xfId="197" xr:uid="{00000000-0005-0000-0000-0000C9000000}"/>
    <cellStyle name="20% - Accent4 4 4" xfId="198" xr:uid="{00000000-0005-0000-0000-0000CA000000}"/>
    <cellStyle name="20% - Accent4 4 4 2" xfId="199" xr:uid="{00000000-0005-0000-0000-0000CB000000}"/>
    <cellStyle name="20% - Accent4 4 4 3" xfId="200" xr:uid="{00000000-0005-0000-0000-0000CC000000}"/>
    <cellStyle name="20% - Accent4 4 4 4" xfId="201" xr:uid="{00000000-0005-0000-0000-0000CD000000}"/>
    <cellStyle name="20% - Accent4 5" xfId="202" xr:uid="{00000000-0005-0000-0000-0000CE000000}"/>
    <cellStyle name="20% - Accent4 5 2" xfId="203" xr:uid="{00000000-0005-0000-0000-0000CF000000}"/>
    <cellStyle name="20% - Accent4 6" xfId="204" xr:uid="{00000000-0005-0000-0000-0000D0000000}"/>
    <cellStyle name="20% - Accent4 6 2" xfId="205" xr:uid="{00000000-0005-0000-0000-0000D1000000}"/>
    <cellStyle name="20% - Accent4 7" xfId="206" xr:uid="{00000000-0005-0000-0000-0000D2000000}"/>
    <cellStyle name="20% - Accent4 8" xfId="207" xr:uid="{00000000-0005-0000-0000-0000D3000000}"/>
    <cellStyle name="20% - Accent4 8 2" xfId="208" xr:uid="{00000000-0005-0000-0000-0000D4000000}"/>
    <cellStyle name="20% - Accent4 8 3" xfId="209" xr:uid="{00000000-0005-0000-0000-0000D5000000}"/>
    <cellStyle name="20% - Accent4 8 4" xfId="210" xr:uid="{00000000-0005-0000-0000-0000D6000000}"/>
    <cellStyle name="20% - Accent4 9" xfId="211" xr:uid="{00000000-0005-0000-0000-0000D7000000}"/>
    <cellStyle name="20% - Accent4 9 2" xfId="212" xr:uid="{00000000-0005-0000-0000-0000D8000000}"/>
    <cellStyle name="20% - Accent4 9 3" xfId="213" xr:uid="{00000000-0005-0000-0000-0000D9000000}"/>
    <cellStyle name="20% - Accent4 9 4" xfId="214" xr:uid="{00000000-0005-0000-0000-0000DA000000}"/>
    <cellStyle name="20% - Accent5 10" xfId="215" xr:uid="{00000000-0005-0000-0000-0000DB000000}"/>
    <cellStyle name="20% - Accent5 11" xfId="216" xr:uid="{00000000-0005-0000-0000-0000DC000000}"/>
    <cellStyle name="20% - Accent5 2" xfId="217" xr:uid="{00000000-0005-0000-0000-0000DD000000}"/>
    <cellStyle name="20% - Accent5 2 2" xfId="218" xr:uid="{00000000-0005-0000-0000-0000DE000000}"/>
    <cellStyle name="20% - Accent5 2 3" xfId="219" xr:uid="{00000000-0005-0000-0000-0000DF000000}"/>
    <cellStyle name="20% - Accent5 2 4" xfId="220" xr:uid="{00000000-0005-0000-0000-0000E0000000}"/>
    <cellStyle name="20% - Accent5 2 5" xfId="221" xr:uid="{00000000-0005-0000-0000-0000E1000000}"/>
    <cellStyle name="20% - Accent5 2 6" xfId="222" xr:uid="{00000000-0005-0000-0000-0000E2000000}"/>
    <cellStyle name="20% - Accent5 3" xfId="223" xr:uid="{00000000-0005-0000-0000-0000E3000000}"/>
    <cellStyle name="20% - Accent5 3 2" xfId="224" xr:uid="{00000000-0005-0000-0000-0000E4000000}"/>
    <cellStyle name="20% - Accent5 3 3" xfId="225" xr:uid="{00000000-0005-0000-0000-0000E5000000}"/>
    <cellStyle name="20% - Accent5 3 4" xfId="226" xr:uid="{00000000-0005-0000-0000-0000E6000000}"/>
    <cellStyle name="20% - Accent5 3 4 2" xfId="227" xr:uid="{00000000-0005-0000-0000-0000E7000000}"/>
    <cellStyle name="20% - Accent5 3 4 3" xfId="228" xr:uid="{00000000-0005-0000-0000-0000E8000000}"/>
    <cellStyle name="20% - Accent5 3 4 4" xfId="229" xr:uid="{00000000-0005-0000-0000-0000E9000000}"/>
    <cellStyle name="20% - Accent5 3 5" xfId="230" xr:uid="{00000000-0005-0000-0000-0000EA000000}"/>
    <cellStyle name="20% - Accent5 3 5 2" xfId="231" xr:uid="{00000000-0005-0000-0000-0000EB000000}"/>
    <cellStyle name="20% - Accent5 3 5 3" xfId="232" xr:uid="{00000000-0005-0000-0000-0000EC000000}"/>
    <cellStyle name="20% - Accent5 3 5 4" xfId="233" xr:uid="{00000000-0005-0000-0000-0000ED000000}"/>
    <cellStyle name="20% - Accent5 4" xfId="234" xr:uid="{00000000-0005-0000-0000-0000EE000000}"/>
    <cellStyle name="20% - Accent5 4 2" xfId="235" xr:uid="{00000000-0005-0000-0000-0000EF000000}"/>
    <cellStyle name="20% - Accent5 4 3" xfId="236" xr:uid="{00000000-0005-0000-0000-0000F0000000}"/>
    <cellStyle name="20% - Accent5 4 3 2" xfId="237" xr:uid="{00000000-0005-0000-0000-0000F1000000}"/>
    <cellStyle name="20% - Accent5 4 3 3" xfId="238" xr:uid="{00000000-0005-0000-0000-0000F2000000}"/>
    <cellStyle name="20% - Accent5 4 3 4" xfId="239" xr:uid="{00000000-0005-0000-0000-0000F3000000}"/>
    <cellStyle name="20% - Accent5 4 4" xfId="240" xr:uid="{00000000-0005-0000-0000-0000F4000000}"/>
    <cellStyle name="20% - Accent5 4 4 2" xfId="241" xr:uid="{00000000-0005-0000-0000-0000F5000000}"/>
    <cellStyle name="20% - Accent5 4 4 3" xfId="242" xr:uid="{00000000-0005-0000-0000-0000F6000000}"/>
    <cellStyle name="20% - Accent5 4 4 4" xfId="243" xr:uid="{00000000-0005-0000-0000-0000F7000000}"/>
    <cellStyle name="20% - Accent5 5" xfId="244" xr:uid="{00000000-0005-0000-0000-0000F8000000}"/>
    <cellStyle name="20% - Accent5 5 2" xfId="245" xr:uid="{00000000-0005-0000-0000-0000F9000000}"/>
    <cellStyle name="20% - Accent5 6" xfId="246" xr:uid="{00000000-0005-0000-0000-0000FA000000}"/>
    <cellStyle name="20% - Accent5 7" xfId="247" xr:uid="{00000000-0005-0000-0000-0000FB000000}"/>
    <cellStyle name="20% - Accent5 8" xfId="248" xr:uid="{00000000-0005-0000-0000-0000FC000000}"/>
    <cellStyle name="20% - Accent5 8 2" xfId="249" xr:uid="{00000000-0005-0000-0000-0000FD000000}"/>
    <cellStyle name="20% - Accent5 8 3" xfId="250" xr:uid="{00000000-0005-0000-0000-0000FE000000}"/>
    <cellStyle name="20% - Accent5 8 4" xfId="251" xr:uid="{00000000-0005-0000-0000-0000FF000000}"/>
    <cellStyle name="20% - Accent5 9" xfId="252" xr:uid="{00000000-0005-0000-0000-000000010000}"/>
    <cellStyle name="20% - Accent5 9 2" xfId="253" xr:uid="{00000000-0005-0000-0000-000001010000}"/>
    <cellStyle name="20% - Accent5 9 3" xfId="254" xr:uid="{00000000-0005-0000-0000-000002010000}"/>
    <cellStyle name="20% - Accent5 9 4" xfId="255" xr:uid="{00000000-0005-0000-0000-000003010000}"/>
    <cellStyle name="20% - Accent6 10" xfId="256" xr:uid="{00000000-0005-0000-0000-000004010000}"/>
    <cellStyle name="20% - Accent6 11" xfId="257" xr:uid="{00000000-0005-0000-0000-000005010000}"/>
    <cellStyle name="20% - Accent6 2" xfId="258" xr:uid="{00000000-0005-0000-0000-000006010000}"/>
    <cellStyle name="20% - Accent6 2 2" xfId="259" xr:uid="{00000000-0005-0000-0000-000007010000}"/>
    <cellStyle name="20% - Accent6 2 3" xfId="260" xr:uid="{00000000-0005-0000-0000-000008010000}"/>
    <cellStyle name="20% - Accent6 2 4" xfId="261" xr:uid="{00000000-0005-0000-0000-000009010000}"/>
    <cellStyle name="20% - Accent6 2 5" xfId="262" xr:uid="{00000000-0005-0000-0000-00000A010000}"/>
    <cellStyle name="20% - Accent6 2 6" xfId="263" xr:uid="{00000000-0005-0000-0000-00000B010000}"/>
    <cellStyle name="20% - Accent6 2 7" xfId="264" xr:uid="{00000000-0005-0000-0000-00000C010000}"/>
    <cellStyle name="20% - Accent6 3" xfId="265" xr:uid="{00000000-0005-0000-0000-00000D010000}"/>
    <cellStyle name="20% - Accent6 3 2" xfId="266" xr:uid="{00000000-0005-0000-0000-00000E010000}"/>
    <cellStyle name="20% - Accent6 3 3" xfId="267" xr:uid="{00000000-0005-0000-0000-00000F010000}"/>
    <cellStyle name="20% - Accent6 3 4" xfId="268" xr:uid="{00000000-0005-0000-0000-000010010000}"/>
    <cellStyle name="20% - Accent6 3 4 2" xfId="269" xr:uid="{00000000-0005-0000-0000-000011010000}"/>
    <cellStyle name="20% - Accent6 3 4 3" xfId="270" xr:uid="{00000000-0005-0000-0000-000012010000}"/>
    <cellStyle name="20% - Accent6 3 4 4" xfId="271" xr:uid="{00000000-0005-0000-0000-000013010000}"/>
    <cellStyle name="20% - Accent6 3 5" xfId="272" xr:uid="{00000000-0005-0000-0000-000014010000}"/>
    <cellStyle name="20% - Accent6 3 5 2" xfId="273" xr:uid="{00000000-0005-0000-0000-000015010000}"/>
    <cellStyle name="20% - Accent6 3 5 3" xfId="274" xr:uid="{00000000-0005-0000-0000-000016010000}"/>
    <cellStyle name="20% - Accent6 3 5 4" xfId="275" xr:uid="{00000000-0005-0000-0000-000017010000}"/>
    <cellStyle name="20% - Accent6 4" xfId="276" xr:uid="{00000000-0005-0000-0000-000018010000}"/>
    <cellStyle name="20% - Accent6 4 2" xfId="277" xr:uid="{00000000-0005-0000-0000-000019010000}"/>
    <cellStyle name="20% - Accent6 4 3" xfId="278" xr:uid="{00000000-0005-0000-0000-00001A010000}"/>
    <cellStyle name="20% - Accent6 4 3 2" xfId="279" xr:uid="{00000000-0005-0000-0000-00001B010000}"/>
    <cellStyle name="20% - Accent6 4 3 3" xfId="280" xr:uid="{00000000-0005-0000-0000-00001C010000}"/>
    <cellStyle name="20% - Accent6 4 3 4" xfId="281" xr:uid="{00000000-0005-0000-0000-00001D010000}"/>
    <cellStyle name="20% - Accent6 4 4" xfId="282" xr:uid="{00000000-0005-0000-0000-00001E010000}"/>
    <cellStyle name="20% - Accent6 4 4 2" xfId="283" xr:uid="{00000000-0005-0000-0000-00001F010000}"/>
    <cellStyle name="20% - Accent6 4 4 3" xfId="284" xr:uid="{00000000-0005-0000-0000-000020010000}"/>
    <cellStyle name="20% - Accent6 4 4 4" xfId="285" xr:uid="{00000000-0005-0000-0000-000021010000}"/>
    <cellStyle name="20% - Accent6 5" xfId="286" xr:uid="{00000000-0005-0000-0000-000022010000}"/>
    <cellStyle name="20% - Accent6 5 2" xfId="287" xr:uid="{00000000-0005-0000-0000-000023010000}"/>
    <cellStyle name="20% - Accent6 6" xfId="288" xr:uid="{00000000-0005-0000-0000-000024010000}"/>
    <cellStyle name="20% - Accent6 6 2" xfId="289" xr:uid="{00000000-0005-0000-0000-000025010000}"/>
    <cellStyle name="20% - Accent6 7" xfId="290" xr:uid="{00000000-0005-0000-0000-000026010000}"/>
    <cellStyle name="20% - Accent6 8" xfId="291" xr:uid="{00000000-0005-0000-0000-000027010000}"/>
    <cellStyle name="20% - Accent6 8 2" xfId="292" xr:uid="{00000000-0005-0000-0000-000028010000}"/>
    <cellStyle name="20% - Accent6 8 3" xfId="293" xr:uid="{00000000-0005-0000-0000-000029010000}"/>
    <cellStyle name="20% - Accent6 8 4" xfId="294" xr:uid="{00000000-0005-0000-0000-00002A010000}"/>
    <cellStyle name="20% - Accent6 9" xfId="295" xr:uid="{00000000-0005-0000-0000-00002B010000}"/>
    <cellStyle name="20% - Accent6 9 2" xfId="296" xr:uid="{00000000-0005-0000-0000-00002C010000}"/>
    <cellStyle name="20% - Accent6 9 3" xfId="297" xr:uid="{00000000-0005-0000-0000-00002D010000}"/>
    <cellStyle name="20% - Accent6 9 4" xfId="298" xr:uid="{00000000-0005-0000-0000-00002E010000}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Accent1 10" xfId="299" xr:uid="{00000000-0005-0000-0000-00002F010000}"/>
    <cellStyle name="40% - Accent1 11" xfId="300" xr:uid="{00000000-0005-0000-0000-000030010000}"/>
    <cellStyle name="40% - Accent1 2" xfId="301" xr:uid="{00000000-0005-0000-0000-000031010000}"/>
    <cellStyle name="40% - Accent1 2 2" xfId="302" xr:uid="{00000000-0005-0000-0000-000032010000}"/>
    <cellStyle name="40% - Accent1 2 3" xfId="303" xr:uid="{00000000-0005-0000-0000-000033010000}"/>
    <cellStyle name="40% - Accent1 2 4" xfId="304" xr:uid="{00000000-0005-0000-0000-000034010000}"/>
    <cellStyle name="40% - Accent1 2 5" xfId="305" xr:uid="{00000000-0005-0000-0000-000035010000}"/>
    <cellStyle name="40% - Accent1 2 6" xfId="306" xr:uid="{00000000-0005-0000-0000-000036010000}"/>
    <cellStyle name="40% - Accent1 2 7" xfId="307" xr:uid="{00000000-0005-0000-0000-000037010000}"/>
    <cellStyle name="40% - Accent1 3" xfId="308" xr:uid="{00000000-0005-0000-0000-000038010000}"/>
    <cellStyle name="40% - Accent1 3 2" xfId="309" xr:uid="{00000000-0005-0000-0000-000039010000}"/>
    <cellStyle name="40% - Accent1 3 3" xfId="310" xr:uid="{00000000-0005-0000-0000-00003A010000}"/>
    <cellStyle name="40% - Accent1 3 4" xfId="311" xr:uid="{00000000-0005-0000-0000-00003B010000}"/>
    <cellStyle name="40% - Accent1 3 4 2" xfId="312" xr:uid="{00000000-0005-0000-0000-00003C010000}"/>
    <cellStyle name="40% - Accent1 3 4 3" xfId="313" xr:uid="{00000000-0005-0000-0000-00003D010000}"/>
    <cellStyle name="40% - Accent1 3 4 4" xfId="314" xr:uid="{00000000-0005-0000-0000-00003E010000}"/>
    <cellStyle name="40% - Accent1 3 5" xfId="315" xr:uid="{00000000-0005-0000-0000-00003F010000}"/>
    <cellStyle name="40% - Accent1 3 5 2" xfId="316" xr:uid="{00000000-0005-0000-0000-000040010000}"/>
    <cellStyle name="40% - Accent1 3 5 3" xfId="317" xr:uid="{00000000-0005-0000-0000-000041010000}"/>
    <cellStyle name="40% - Accent1 3 5 4" xfId="318" xr:uid="{00000000-0005-0000-0000-000042010000}"/>
    <cellStyle name="40% - Accent1 4" xfId="319" xr:uid="{00000000-0005-0000-0000-000043010000}"/>
    <cellStyle name="40% - Accent1 4 2" xfId="320" xr:uid="{00000000-0005-0000-0000-000044010000}"/>
    <cellStyle name="40% - Accent1 4 3" xfId="321" xr:uid="{00000000-0005-0000-0000-000045010000}"/>
    <cellStyle name="40% - Accent1 4 3 2" xfId="322" xr:uid="{00000000-0005-0000-0000-000046010000}"/>
    <cellStyle name="40% - Accent1 4 3 3" xfId="323" xr:uid="{00000000-0005-0000-0000-000047010000}"/>
    <cellStyle name="40% - Accent1 4 3 4" xfId="324" xr:uid="{00000000-0005-0000-0000-000048010000}"/>
    <cellStyle name="40% - Accent1 4 4" xfId="325" xr:uid="{00000000-0005-0000-0000-000049010000}"/>
    <cellStyle name="40% - Accent1 4 4 2" xfId="326" xr:uid="{00000000-0005-0000-0000-00004A010000}"/>
    <cellStyle name="40% - Accent1 4 4 3" xfId="327" xr:uid="{00000000-0005-0000-0000-00004B010000}"/>
    <cellStyle name="40% - Accent1 4 4 4" xfId="328" xr:uid="{00000000-0005-0000-0000-00004C010000}"/>
    <cellStyle name="40% - Accent1 5" xfId="329" xr:uid="{00000000-0005-0000-0000-00004D010000}"/>
    <cellStyle name="40% - Accent1 5 2" xfId="330" xr:uid="{00000000-0005-0000-0000-00004E010000}"/>
    <cellStyle name="40% - Accent1 6" xfId="331" xr:uid="{00000000-0005-0000-0000-00004F010000}"/>
    <cellStyle name="40% - Accent1 6 2" xfId="332" xr:uid="{00000000-0005-0000-0000-000050010000}"/>
    <cellStyle name="40% - Accent1 7" xfId="333" xr:uid="{00000000-0005-0000-0000-000051010000}"/>
    <cellStyle name="40% - Accent1 8" xfId="334" xr:uid="{00000000-0005-0000-0000-000052010000}"/>
    <cellStyle name="40% - Accent1 8 2" xfId="335" xr:uid="{00000000-0005-0000-0000-000053010000}"/>
    <cellStyle name="40% - Accent1 8 3" xfId="336" xr:uid="{00000000-0005-0000-0000-000054010000}"/>
    <cellStyle name="40% - Accent1 8 4" xfId="337" xr:uid="{00000000-0005-0000-0000-000055010000}"/>
    <cellStyle name="40% - Accent1 9" xfId="338" xr:uid="{00000000-0005-0000-0000-000056010000}"/>
    <cellStyle name="40% - Accent1 9 2" xfId="339" xr:uid="{00000000-0005-0000-0000-000057010000}"/>
    <cellStyle name="40% - Accent1 9 3" xfId="340" xr:uid="{00000000-0005-0000-0000-000058010000}"/>
    <cellStyle name="40% - Accent1 9 4" xfId="341" xr:uid="{00000000-0005-0000-0000-000059010000}"/>
    <cellStyle name="40% - Accent2 10" xfId="342" xr:uid="{00000000-0005-0000-0000-00005A010000}"/>
    <cellStyle name="40% - Accent2 11" xfId="343" xr:uid="{00000000-0005-0000-0000-00005B010000}"/>
    <cellStyle name="40% - Accent2 2" xfId="344" xr:uid="{00000000-0005-0000-0000-00005C010000}"/>
    <cellStyle name="40% - Accent2 2 2" xfId="345" xr:uid="{00000000-0005-0000-0000-00005D010000}"/>
    <cellStyle name="40% - Accent2 2 3" xfId="346" xr:uid="{00000000-0005-0000-0000-00005E010000}"/>
    <cellStyle name="40% - Accent2 2 4" xfId="347" xr:uid="{00000000-0005-0000-0000-00005F010000}"/>
    <cellStyle name="40% - Accent2 2 5" xfId="348" xr:uid="{00000000-0005-0000-0000-000060010000}"/>
    <cellStyle name="40% - Accent2 2 6" xfId="349" xr:uid="{00000000-0005-0000-0000-000061010000}"/>
    <cellStyle name="40% - Accent2 3" xfId="350" xr:uid="{00000000-0005-0000-0000-000062010000}"/>
    <cellStyle name="40% - Accent2 3 2" xfId="351" xr:uid="{00000000-0005-0000-0000-000063010000}"/>
    <cellStyle name="40% - Accent2 3 3" xfId="352" xr:uid="{00000000-0005-0000-0000-000064010000}"/>
    <cellStyle name="40% - Accent2 3 4" xfId="353" xr:uid="{00000000-0005-0000-0000-000065010000}"/>
    <cellStyle name="40% - Accent2 3 4 2" xfId="354" xr:uid="{00000000-0005-0000-0000-000066010000}"/>
    <cellStyle name="40% - Accent2 3 4 3" xfId="355" xr:uid="{00000000-0005-0000-0000-000067010000}"/>
    <cellStyle name="40% - Accent2 3 4 4" xfId="356" xr:uid="{00000000-0005-0000-0000-000068010000}"/>
    <cellStyle name="40% - Accent2 3 5" xfId="357" xr:uid="{00000000-0005-0000-0000-000069010000}"/>
    <cellStyle name="40% - Accent2 3 5 2" xfId="358" xr:uid="{00000000-0005-0000-0000-00006A010000}"/>
    <cellStyle name="40% - Accent2 3 5 3" xfId="359" xr:uid="{00000000-0005-0000-0000-00006B010000}"/>
    <cellStyle name="40% - Accent2 3 5 4" xfId="360" xr:uid="{00000000-0005-0000-0000-00006C010000}"/>
    <cellStyle name="40% - Accent2 4" xfId="361" xr:uid="{00000000-0005-0000-0000-00006D010000}"/>
    <cellStyle name="40% - Accent2 4 2" xfId="362" xr:uid="{00000000-0005-0000-0000-00006E010000}"/>
    <cellStyle name="40% - Accent2 4 3" xfId="363" xr:uid="{00000000-0005-0000-0000-00006F010000}"/>
    <cellStyle name="40% - Accent2 4 3 2" xfId="364" xr:uid="{00000000-0005-0000-0000-000070010000}"/>
    <cellStyle name="40% - Accent2 4 3 3" xfId="365" xr:uid="{00000000-0005-0000-0000-000071010000}"/>
    <cellStyle name="40% - Accent2 4 3 4" xfId="366" xr:uid="{00000000-0005-0000-0000-000072010000}"/>
    <cellStyle name="40% - Accent2 4 4" xfId="367" xr:uid="{00000000-0005-0000-0000-000073010000}"/>
    <cellStyle name="40% - Accent2 4 4 2" xfId="368" xr:uid="{00000000-0005-0000-0000-000074010000}"/>
    <cellStyle name="40% - Accent2 4 4 3" xfId="369" xr:uid="{00000000-0005-0000-0000-000075010000}"/>
    <cellStyle name="40% - Accent2 4 4 4" xfId="370" xr:uid="{00000000-0005-0000-0000-000076010000}"/>
    <cellStyle name="40% - Accent2 5" xfId="371" xr:uid="{00000000-0005-0000-0000-000077010000}"/>
    <cellStyle name="40% - Accent2 5 2" xfId="372" xr:uid="{00000000-0005-0000-0000-000078010000}"/>
    <cellStyle name="40% - Accent2 6" xfId="373" xr:uid="{00000000-0005-0000-0000-000079010000}"/>
    <cellStyle name="40% - Accent2 7" xfId="374" xr:uid="{00000000-0005-0000-0000-00007A010000}"/>
    <cellStyle name="40% - Accent2 8" xfId="375" xr:uid="{00000000-0005-0000-0000-00007B010000}"/>
    <cellStyle name="40% - Accent2 8 2" xfId="376" xr:uid="{00000000-0005-0000-0000-00007C010000}"/>
    <cellStyle name="40% - Accent2 8 3" xfId="377" xr:uid="{00000000-0005-0000-0000-00007D010000}"/>
    <cellStyle name="40% - Accent2 8 4" xfId="378" xr:uid="{00000000-0005-0000-0000-00007E010000}"/>
    <cellStyle name="40% - Accent2 9" xfId="379" xr:uid="{00000000-0005-0000-0000-00007F010000}"/>
    <cellStyle name="40% - Accent2 9 2" xfId="380" xr:uid="{00000000-0005-0000-0000-000080010000}"/>
    <cellStyle name="40% - Accent2 9 3" xfId="381" xr:uid="{00000000-0005-0000-0000-000081010000}"/>
    <cellStyle name="40% - Accent2 9 4" xfId="382" xr:uid="{00000000-0005-0000-0000-000082010000}"/>
    <cellStyle name="40% - Accent3 10" xfId="383" xr:uid="{00000000-0005-0000-0000-000083010000}"/>
    <cellStyle name="40% - Accent3 11" xfId="384" xr:uid="{00000000-0005-0000-0000-000084010000}"/>
    <cellStyle name="40% - Accent3 2" xfId="385" xr:uid="{00000000-0005-0000-0000-000085010000}"/>
    <cellStyle name="40% - Accent3 2 2" xfId="386" xr:uid="{00000000-0005-0000-0000-000086010000}"/>
    <cellStyle name="40% - Accent3 2 3" xfId="387" xr:uid="{00000000-0005-0000-0000-000087010000}"/>
    <cellStyle name="40% - Accent3 2 4" xfId="388" xr:uid="{00000000-0005-0000-0000-000088010000}"/>
    <cellStyle name="40% - Accent3 2 5" xfId="389" xr:uid="{00000000-0005-0000-0000-000089010000}"/>
    <cellStyle name="40% - Accent3 2 6" xfId="390" xr:uid="{00000000-0005-0000-0000-00008A010000}"/>
    <cellStyle name="40% - Accent3 2 7" xfId="391" xr:uid="{00000000-0005-0000-0000-00008B010000}"/>
    <cellStyle name="40% - Accent3 3" xfId="392" xr:uid="{00000000-0005-0000-0000-00008C010000}"/>
    <cellStyle name="40% - Accent3 3 2" xfId="393" xr:uid="{00000000-0005-0000-0000-00008D010000}"/>
    <cellStyle name="40% - Accent3 3 3" xfId="394" xr:uid="{00000000-0005-0000-0000-00008E010000}"/>
    <cellStyle name="40% - Accent3 3 4" xfId="395" xr:uid="{00000000-0005-0000-0000-00008F010000}"/>
    <cellStyle name="40% - Accent3 3 4 2" xfId="396" xr:uid="{00000000-0005-0000-0000-000090010000}"/>
    <cellStyle name="40% - Accent3 3 4 3" xfId="397" xr:uid="{00000000-0005-0000-0000-000091010000}"/>
    <cellStyle name="40% - Accent3 3 4 4" xfId="398" xr:uid="{00000000-0005-0000-0000-000092010000}"/>
    <cellStyle name="40% - Accent3 3 5" xfId="399" xr:uid="{00000000-0005-0000-0000-000093010000}"/>
    <cellStyle name="40% - Accent3 3 5 2" xfId="400" xr:uid="{00000000-0005-0000-0000-000094010000}"/>
    <cellStyle name="40% - Accent3 3 5 3" xfId="401" xr:uid="{00000000-0005-0000-0000-000095010000}"/>
    <cellStyle name="40% - Accent3 3 5 4" xfId="402" xr:uid="{00000000-0005-0000-0000-000096010000}"/>
    <cellStyle name="40% - Accent3 4" xfId="403" xr:uid="{00000000-0005-0000-0000-000097010000}"/>
    <cellStyle name="40% - Accent3 4 2" xfId="404" xr:uid="{00000000-0005-0000-0000-000098010000}"/>
    <cellStyle name="40% - Accent3 4 3" xfId="405" xr:uid="{00000000-0005-0000-0000-000099010000}"/>
    <cellStyle name="40% - Accent3 4 3 2" xfId="406" xr:uid="{00000000-0005-0000-0000-00009A010000}"/>
    <cellStyle name="40% - Accent3 4 3 3" xfId="407" xr:uid="{00000000-0005-0000-0000-00009B010000}"/>
    <cellStyle name="40% - Accent3 4 3 4" xfId="408" xr:uid="{00000000-0005-0000-0000-00009C010000}"/>
    <cellStyle name="40% - Accent3 4 4" xfId="409" xr:uid="{00000000-0005-0000-0000-00009D010000}"/>
    <cellStyle name="40% - Accent3 4 4 2" xfId="410" xr:uid="{00000000-0005-0000-0000-00009E010000}"/>
    <cellStyle name="40% - Accent3 4 4 3" xfId="411" xr:uid="{00000000-0005-0000-0000-00009F010000}"/>
    <cellStyle name="40% - Accent3 4 4 4" xfId="412" xr:uid="{00000000-0005-0000-0000-0000A0010000}"/>
    <cellStyle name="40% - Accent3 5" xfId="413" xr:uid="{00000000-0005-0000-0000-0000A1010000}"/>
    <cellStyle name="40% - Accent3 5 2" xfId="414" xr:uid="{00000000-0005-0000-0000-0000A2010000}"/>
    <cellStyle name="40% - Accent3 6" xfId="415" xr:uid="{00000000-0005-0000-0000-0000A3010000}"/>
    <cellStyle name="40% - Accent3 6 2" xfId="416" xr:uid="{00000000-0005-0000-0000-0000A4010000}"/>
    <cellStyle name="40% - Accent3 7" xfId="417" xr:uid="{00000000-0005-0000-0000-0000A5010000}"/>
    <cellStyle name="40% - Accent3 8" xfId="418" xr:uid="{00000000-0005-0000-0000-0000A6010000}"/>
    <cellStyle name="40% - Accent3 8 2" xfId="419" xr:uid="{00000000-0005-0000-0000-0000A7010000}"/>
    <cellStyle name="40% - Accent3 8 3" xfId="420" xr:uid="{00000000-0005-0000-0000-0000A8010000}"/>
    <cellStyle name="40% - Accent3 8 4" xfId="421" xr:uid="{00000000-0005-0000-0000-0000A9010000}"/>
    <cellStyle name="40% - Accent3 9" xfId="422" xr:uid="{00000000-0005-0000-0000-0000AA010000}"/>
    <cellStyle name="40% - Accent3 9 2" xfId="423" xr:uid="{00000000-0005-0000-0000-0000AB010000}"/>
    <cellStyle name="40% - Accent3 9 3" xfId="424" xr:uid="{00000000-0005-0000-0000-0000AC010000}"/>
    <cellStyle name="40% - Accent3 9 4" xfId="425" xr:uid="{00000000-0005-0000-0000-0000AD010000}"/>
    <cellStyle name="40% - Accent4 10" xfId="426" xr:uid="{00000000-0005-0000-0000-0000AE010000}"/>
    <cellStyle name="40% - Accent4 11" xfId="427" xr:uid="{00000000-0005-0000-0000-0000AF010000}"/>
    <cellStyle name="40% - Accent4 2" xfId="428" xr:uid="{00000000-0005-0000-0000-0000B0010000}"/>
    <cellStyle name="40% - Accent4 2 2" xfId="429" xr:uid="{00000000-0005-0000-0000-0000B1010000}"/>
    <cellStyle name="40% - Accent4 2 3" xfId="430" xr:uid="{00000000-0005-0000-0000-0000B2010000}"/>
    <cellStyle name="40% - Accent4 2 4" xfId="431" xr:uid="{00000000-0005-0000-0000-0000B3010000}"/>
    <cellStyle name="40% - Accent4 2 5" xfId="432" xr:uid="{00000000-0005-0000-0000-0000B4010000}"/>
    <cellStyle name="40% - Accent4 2 6" xfId="433" xr:uid="{00000000-0005-0000-0000-0000B5010000}"/>
    <cellStyle name="40% - Accent4 2 7" xfId="434" xr:uid="{00000000-0005-0000-0000-0000B6010000}"/>
    <cellStyle name="40% - Accent4 3" xfId="435" xr:uid="{00000000-0005-0000-0000-0000B7010000}"/>
    <cellStyle name="40% - Accent4 3 2" xfId="436" xr:uid="{00000000-0005-0000-0000-0000B8010000}"/>
    <cellStyle name="40% - Accent4 3 3" xfId="437" xr:uid="{00000000-0005-0000-0000-0000B9010000}"/>
    <cellStyle name="40% - Accent4 3 4" xfId="438" xr:uid="{00000000-0005-0000-0000-0000BA010000}"/>
    <cellStyle name="40% - Accent4 3 4 2" xfId="439" xr:uid="{00000000-0005-0000-0000-0000BB010000}"/>
    <cellStyle name="40% - Accent4 3 4 3" xfId="440" xr:uid="{00000000-0005-0000-0000-0000BC010000}"/>
    <cellStyle name="40% - Accent4 3 4 4" xfId="441" xr:uid="{00000000-0005-0000-0000-0000BD010000}"/>
    <cellStyle name="40% - Accent4 3 5" xfId="442" xr:uid="{00000000-0005-0000-0000-0000BE010000}"/>
    <cellStyle name="40% - Accent4 3 5 2" xfId="443" xr:uid="{00000000-0005-0000-0000-0000BF010000}"/>
    <cellStyle name="40% - Accent4 3 5 3" xfId="444" xr:uid="{00000000-0005-0000-0000-0000C0010000}"/>
    <cellStyle name="40% - Accent4 3 5 4" xfId="445" xr:uid="{00000000-0005-0000-0000-0000C1010000}"/>
    <cellStyle name="40% - Accent4 4" xfId="446" xr:uid="{00000000-0005-0000-0000-0000C2010000}"/>
    <cellStyle name="40% - Accent4 4 2" xfId="447" xr:uid="{00000000-0005-0000-0000-0000C3010000}"/>
    <cellStyle name="40% - Accent4 4 3" xfId="448" xr:uid="{00000000-0005-0000-0000-0000C4010000}"/>
    <cellStyle name="40% - Accent4 4 3 2" xfId="449" xr:uid="{00000000-0005-0000-0000-0000C5010000}"/>
    <cellStyle name="40% - Accent4 4 3 3" xfId="450" xr:uid="{00000000-0005-0000-0000-0000C6010000}"/>
    <cellStyle name="40% - Accent4 4 3 4" xfId="451" xr:uid="{00000000-0005-0000-0000-0000C7010000}"/>
    <cellStyle name="40% - Accent4 4 4" xfId="452" xr:uid="{00000000-0005-0000-0000-0000C8010000}"/>
    <cellStyle name="40% - Accent4 4 4 2" xfId="453" xr:uid="{00000000-0005-0000-0000-0000C9010000}"/>
    <cellStyle name="40% - Accent4 4 4 3" xfId="454" xr:uid="{00000000-0005-0000-0000-0000CA010000}"/>
    <cellStyle name="40% - Accent4 4 4 4" xfId="455" xr:uid="{00000000-0005-0000-0000-0000CB010000}"/>
    <cellStyle name="40% - Accent4 5" xfId="456" xr:uid="{00000000-0005-0000-0000-0000CC010000}"/>
    <cellStyle name="40% - Accent4 5 2" xfId="457" xr:uid="{00000000-0005-0000-0000-0000CD010000}"/>
    <cellStyle name="40% - Accent4 6" xfId="458" xr:uid="{00000000-0005-0000-0000-0000CE010000}"/>
    <cellStyle name="40% - Accent4 6 2" xfId="459" xr:uid="{00000000-0005-0000-0000-0000CF010000}"/>
    <cellStyle name="40% - Accent4 7" xfId="460" xr:uid="{00000000-0005-0000-0000-0000D0010000}"/>
    <cellStyle name="40% - Accent4 8" xfId="461" xr:uid="{00000000-0005-0000-0000-0000D1010000}"/>
    <cellStyle name="40% - Accent4 8 2" xfId="462" xr:uid="{00000000-0005-0000-0000-0000D2010000}"/>
    <cellStyle name="40% - Accent4 8 3" xfId="463" xr:uid="{00000000-0005-0000-0000-0000D3010000}"/>
    <cellStyle name="40% - Accent4 8 4" xfId="464" xr:uid="{00000000-0005-0000-0000-0000D4010000}"/>
    <cellStyle name="40% - Accent4 9" xfId="465" xr:uid="{00000000-0005-0000-0000-0000D5010000}"/>
    <cellStyle name="40% - Accent4 9 2" xfId="466" xr:uid="{00000000-0005-0000-0000-0000D6010000}"/>
    <cellStyle name="40% - Accent4 9 3" xfId="467" xr:uid="{00000000-0005-0000-0000-0000D7010000}"/>
    <cellStyle name="40% - Accent4 9 4" xfId="468" xr:uid="{00000000-0005-0000-0000-0000D8010000}"/>
    <cellStyle name="40% - Accent5 10" xfId="469" xr:uid="{00000000-0005-0000-0000-0000D9010000}"/>
    <cellStyle name="40% - Accent5 11" xfId="470" xr:uid="{00000000-0005-0000-0000-0000DA010000}"/>
    <cellStyle name="40% - Accent5 2" xfId="471" xr:uid="{00000000-0005-0000-0000-0000DB010000}"/>
    <cellStyle name="40% - Accent5 2 2" xfId="472" xr:uid="{00000000-0005-0000-0000-0000DC010000}"/>
    <cellStyle name="40% - Accent5 2 3" xfId="473" xr:uid="{00000000-0005-0000-0000-0000DD010000}"/>
    <cellStyle name="40% - Accent5 2 4" xfId="474" xr:uid="{00000000-0005-0000-0000-0000DE010000}"/>
    <cellStyle name="40% - Accent5 2 5" xfId="475" xr:uid="{00000000-0005-0000-0000-0000DF010000}"/>
    <cellStyle name="40% - Accent5 2 6" xfId="476" xr:uid="{00000000-0005-0000-0000-0000E0010000}"/>
    <cellStyle name="40% - Accent5 2 7" xfId="477" xr:uid="{00000000-0005-0000-0000-0000E1010000}"/>
    <cellStyle name="40% - Accent5 3" xfId="478" xr:uid="{00000000-0005-0000-0000-0000E2010000}"/>
    <cellStyle name="40% - Accent5 3 2" xfId="479" xr:uid="{00000000-0005-0000-0000-0000E3010000}"/>
    <cellStyle name="40% - Accent5 3 3" xfId="480" xr:uid="{00000000-0005-0000-0000-0000E4010000}"/>
    <cellStyle name="40% - Accent5 3 4" xfId="481" xr:uid="{00000000-0005-0000-0000-0000E5010000}"/>
    <cellStyle name="40% - Accent5 3 4 2" xfId="482" xr:uid="{00000000-0005-0000-0000-0000E6010000}"/>
    <cellStyle name="40% - Accent5 3 4 3" xfId="483" xr:uid="{00000000-0005-0000-0000-0000E7010000}"/>
    <cellStyle name="40% - Accent5 3 4 4" xfId="484" xr:uid="{00000000-0005-0000-0000-0000E8010000}"/>
    <cellStyle name="40% - Accent5 3 5" xfId="485" xr:uid="{00000000-0005-0000-0000-0000E9010000}"/>
    <cellStyle name="40% - Accent5 3 5 2" xfId="486" xr:uid="{00000000-0005-0000-0000-0000EA010000}"/>
    <cellStyle name="40% - Accent5 3 5 3" xfId="487" xr:uid="{00000000-0005-0000-0000-0000EB010000}"/>
    <cellStyle name="40% - Accent5 3 5 4" xfId="488" xr:uid="{00000000-0005-0000-0000-0000EC010000}"/>
    <cellStyle name="40% - Accent5 4" xfId="489" xr:uid="{00000000-0005-0000-0000-0000ED010000}"/>
    <cellStyle name="40% - Accent5 4 2" xfId="490" xr:uid="{00000000-0005-0000-0000-0000EE010000}"/>
    <cellStyle name="40% - Accent5 4 3" xfId="491" xr:uid="{00000000-0005-0000-0000-0000EF010000}"/>
    <cellStyle name="40% - Accent5 4 3 2" xfId="492" xr:uid="{00000000-0005-0000-0000-0000F0010000}"/>
    <cellStyle name="40% - Accent5 4 3 3" xfId="493" xr:uid="{00000000-0005-0000-0000-0000F1010000}"/>
    <cellStyle name="40% - Accent5 4 3 4" xfId="494" xr:uid="{00000000-0005-0000-0000-0000F2010000}"/>
    <cellStyle name="40% - Accent5 4 4" xfId="495" xr:uid="{00000000-0005-0000-0000-0000F3010000}"/>
    <cellStyle name="40% - Accent5 4 4 2" xfId="496" xr:uid="{00000000-0005-0000-0000-0000F4010000}"/>
    <cellStyle name="40% - Accent5 4 4 3" xfId="497" xr:uid="{00000000-0005-0000-0000-0000F5010000}"/>
    <cellStyle name="40% - Accent5 4 4 4" xfId="498" xr:uid="{00000000-0005-0000-0000-0000F6010000}"/>
    <cellStyle name="40% - Accent5 5" xfId="499" xr:uid="{00000000-0005-0000-0000-0000F7010000}"/>
    <cellStyle name="40% - Accent5 5 2" xfId="500" xr:uid="{00000000-0005-0000-0000-0000F8010000}"/>
    <cellStyle name="40% - Accent5 6" xfId="501" xr:uid="{00000000-0005-0000-0000-0000F9010000}"/>
    <cellStyle name="40% - Accent5 7" xfId="502" xr:uid="{00000000-0005-0000-0000-0000FA010000}"/>
    <cellStyle name="40% - Accent5 8" xfId="503" xr:uid="{00000000-0005-0000-0000-0000FB010000}"/>
    <cellStyle name="40% - Accent5 8 2" xfId="504" xr:uid="{00000000-0005-0000-0000-0000FC010000}"/>
    <cellStyle name="40% - Accent5 8 3" xfId="505" xr:uid="{00000000-0005-0000-0000-0000FD010000}"/>
    <cellStyle name="40% - Accent5 8 4" xfId="506" xr:uid="{00000000-0005-0000-0000-0000FE010000}"/>
    <cellStyle name="40% - Accent5 9" xfId="507" xr:uid="{00000000-0005-0000-0000-0000FF010000}"/>
    <cellStyle name="40% - Accent5 9 2" xfId="508" xr:uid="{00000000-0005-0000-0000-000000020000}"/>
    <cellStyle name="40% - Accent5 9 3" xfId="509" xr:uid="{00000000-0005-0000-0000-000001020000}"/>
    <cellStyle name="40% - Accent5 9 4" xfId="510" xr:uid="{00000000-0005-0000-0000-000002020000}"/>
    <cellStyle name="40% - Accent6 10" xfId="511" xr:uid="{00000000-0005-0000-0000-000003020000}"/>
    <cellStyle name="40% - Accent6 11" xfId="512" xr:uid="{00000000-0005-0000-0000-000004020000}"/>
    <cellStyle name="40% - Accent6 2" xfId="513" xr:uid="{00000000-0005-0000-0000-000005020000}"/>
    <cellStyle name="40% - Accent6 2 2" xfId="514" xr:uid="{00000000-0005-0000-0000-000006020000}"/>
    <cellStyle name="40% - Accent6 2 3" xfId="515" xr:uid="{00000000-0005-0000-0000-000007020000}"/>
    <cellStyle name="40% - Accent6 2 4" xfId="516" xr:uid="{00000000-0005-0000-0000-000008020000}"/>
    <cellStyle name="40% - Accent6 2 5" xfId="517" xr:uid="{00000000-0005-0000-0000-000009020000}"/>
    <cellStyle name="40% - Accent6 2 6" xfId="518" xr:uid="{00000000-0005-0000-0000-00000A020000}"/>
    <cellStyle name="40% - Accent6 2 7" xfId="519" xr:uid="{00000000-0005-0000-0000-00000B020000}"/>
    <cellStyle name="40% - Accent6 3" xfId="520" xr:uid="{00000000-0005-0000-0000-00000C020000}"/>
    <cellStyle name="40% - Accent6 3 2" xfId="521" xr:uid="{00000000-0005-0000-0000-00000D020000}"/>
    <cellStyle name="40% - Accent6 3 3" xfId="522" xr:uid="{00000000-0005-0000-0000-00000E020000}"/>
    <cellStyle name="40% - Accent6 3 4" xfId="523" xr:uid="{00000000-0005-0000-0000-00000F020000}"/>
    <cellStyle name="40% - Accent6 3 4 2" xfId="524" xr:uid="{00000000-0005-0000-0000-000010020000}"/>
    <cellStyle name="40% - Accent6 3 4 3" xfId="525" xr:uid="{00000000-0005-0000-0000-000011020000}"/>
    <cellStyle name="40% - Accent6 3 4 4" xfId="526" xr:uid="{00000000-0005-0000-0000-000012020000}"/>
    <cellStyle name="40% - Accent6 3 5" xfId="527" xr:uid="{00000000-0005-0000-0000-000013020000}"/>
    <cellStyle name="40% - Accent6 3 5 2" xfId="528" xr:uid="{00000000-0005-0000-0000-000014020000}"/>
    <cellStyle name="40% - Accent6 3 5 3" xfId="529" xr:uid="{00000000-0005-0000-0000-000015020000}"/>
    <cellStyle name="40% - Accent6 3 5 4" xfId="530" xr:uid="{00000000-0005-0000-0000-000016020000}"/>
    <cellStyle name="40% - Accent6 4" xfId="531" xr:uid="{00000000-0005-0000-0000-000017020000}"/>
    <cellStyle name="40% - Accent6 4 2" xfId="532" xr:uid="{00000000-0005-0000-0000-000018020000}"/>
    <cellStyle name="40% - Accent6 4 3" xfId="533" xr:uid="{00000000-0005-0000-0000-000019020000}"/>
    <cellStyle name="40% - Accent6 4 3 2" xfId="534" xr:uid="{00000000-0005-0000-0000-00001A020000}"/>
    <cellStyle name="40% - Accent6 4 3 3" xfId="535" xr:uid="{00000000-0005-0000-0000-00001B020000}"/>
    <cellStyle name="40% - Accent6 4 3 4" xfId="536" xr:uid="{00000000-0005-0000-0000-00001C020000}"/>
    <cellStyle name="40% - Accent6 4 4" xfId="537" xr:uid="{00000000-0005-0000-0000-00001D020000}"/>
    <cellStyle name="40% - Accent6 4 4 2" xfId="538" xr:uid="{00000000-0005-0000-0000-00001E020000}"/>
    <cellStyle name="40% - Accent6 4 4 3" xfId="539" xr:uid="{00000000-0005-0000-0000-00001F020000}"/>
    <cellStyle name="40% - Accent6 4 4 4" xfId="540" xr:uid="{00000000-0005-0000-0000-000020020000}"/>
    <cellStyle name="40% - Accent6 5" xfId="541" xr:uid="{00000000-0005-0000-0000-000021020000}"/>
    <cellStyle name="40% - Accent6 5 2" xfId="542" xr:uid="{00000000-0005-0000-0000-000022020000}"/>
    <cellStyle name="40% - Accent6 6" xfId="543" xr:uid="{00000000-0005-0000-0000-000023020000}"/>
    <cellStyle name="40% - Accent6 6 2" xfId="544" xr:uid="{00000000-0005-0000-0000-000024020000}"/>
    <cellStyle name="40% - Accent6 7" xfId="545" xr:uid="{00000000-0005-0000-0000-000025020000}"/>
    <cellStyle name="40% - Accent6 8" xfId="546" xr:uid="{00000000-0005-0000-0000-000026020000}"/>
    <cellStyle name="40% - Accent6 8 2" xfId="547" xr:uid="{00000000-0005-0000-0000-000027020000}"/>
    <cellStyle name="40% - Accent6 8 3" xfId="548" xr:uid="{00000000-0005-0000-0000-000028020000}"/>
    <cellStyle name="40% - Accent6 8 4" xfId="549" xr:uid="{00000000-0005-0000-0000-000029020000}"/>
    <cellStyle name="40% - Accent6 9" xfId="550" xr:uid="{00000000-0005-0000-0000-00002A020000}"/>
    <cellStyle name="40% - Accent6 9 2" xfId="551" xr:uid="{00000000-0005-0000-0000-00002B020000}"/>
    <cellStyle name="40% - Accent6 9 3" xfId="552" xr:uid="{00000000-0005-0000-0000-00002C020000}"/>
    <cellStyle name="40% - Accent6 9 4" xfId="553" xr:uid="{00000000-0005-0000-0000-00002D020000}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Accent1 2" xfId="554" xr:uid="{00000000-0005-0000-0000-00002E020000}"/>
    <cellStyle name="60% - Accent1 2 2" xfId="555" xr:uid="{00000000-0005-0000-0000-00002F020000}"/>
    <cellStyle name="60% - Accent1 2 3" xfId="556" xr:uid="{00000000-0005-0000-0000-000030020000}"/>
    <cellStyle name="60% - Accent1 2 4" xfId="557" xr:uid="{00000000-0005-0000-0000-000031020000}"/>
    <cellStyle name="60% - Accent1 2 5" xfId="558" xr:uid="{00000000-0005-0000-0000-000032020000}"/>
    <cellStyle name="60% - Accent1 2 6" xfId="559" xr:uid="{00000000-0005-0000-0000-000033020000}"/>
    <cellStyle name="60% - Accent1 2 7" xfId="560" xr:uid="{00000000-0005-0000-0000-000034020000}"/>
    <cellStyle name="60% - Accent1 3" xfId="561" xr:uid="{00000000-0005-0000-0000-000035020000}"/>
    <cellStyle name="60% - Accent1 3 2" xfId="562" xr:uid="{00000000-0005-0000-0000-000036020000}"/>
    <cellStyle name="60% - Accent1 3 3" xfId="563" xr:uid="{00000000-0005-0000-0000-000037020000}"/>
    <cellStyle name="60% - Accent1 4" xfId="564" xr:uid="{00000000-0005-0000-0000-000038020000}"/>
    <cellStyle name="60% - Accent1 4 2" xfId="565" xr:uid="{00000000-0005-0000-0000-000039020000}"/>
    <cellStyle name="60% - Accent1 5" xfId="566" xr:uid="{00000000-0005-0000-0000-00003A020000}"/>
    <cellStyle name="60% - Accent1 6" xfId="567" xr:uid="{00000000-0005-0000-0000-00003B020000}"/>
    <cellStyle name="60% - Accent1 7" xfId="568" xr:uid="{00000000-0005-0000-0000-00003C020000}"/>
    <cellStyle name="60% - Accent1 8" xfId="569" xr:uid="{00000000-0005-0000-0000-00003D020000}"/>
    <cellStyle name="60% - Accent1 9" xfId="570" xr:uid="{00000000-0005-0000-0000-00003E020000}"/>
    <cellStyle name="60% - Accent2 2" xfId="571" xr:uid="{00000000-0005-0000-0000-00003F020000}"/>
    <cellStyle name="60% - Accent2 2 2" xfId="572" xr:uid="{00000000-0005-0000-0000-000040020000}"/>
    <cellStyle name="60% - Accent2 2 3" xfId="573" xr:uid="{00000000-0005-0000-0000-000041020000}"/>
    <cellStyle name="60% - Accent2 2 4" xfId="574" xr:uid="{00000000-0005-0000-0000-000042020000}"/>
    <cellStyle name="60% - Accent2 2 5" xfId="575" xr:uid="{00000000-0005-0000-0000-000043020000}"/>
    <cellStyle name="60% - Accent2 2 6" xfId="576" xr:uid="{00000000-0005-0000-0000-000044020000}"/>
    <cellStyle name="60% - Accent2 2 7" xfId="577" xr:uid="{00000000-0005-0000-0000-000045020000}"/>
    <cellStyle name="60% - Accent2 3" xfId="578" xr:uid="{00000000-0005-0000-0000-000046020000}"/>
    <cellStyle name="60% - Accent2 3 2" xfId="579" xr:uid="{00000000-0005-0000-0000-000047020000}"/>
    <cellStyle name="60% - Accent2 3 3" xfId="580" xr:uid="{00000000-0005-0000-0000-000048020000}"/>
    <cellStyle name="60% - Accent2 4" xfId="581" xr:uid="{00000000-0005-0000-0000-000049020000}"/>
    <cellStyle name="60% - Accent2 4 2" xfId="582" xr:uid="{00000000-0005-0000-0000-00004A020000}"/>
    <cellStyle name="60% - Accent2 5" xfId="583" xr:uid="{00000000-0005-0000-0000-00004B020000}"/>
    <cellStyle name="60% - Accent2 6" xfId="584" xr:uid="{00000000-0005-0000-0000-00004C020000}"/>
    <cellStyle name="60% - Accent2 7" xfId="585" xr:uid="{00000000-0005-0000-0000-00004D020000}"/>
    <cellStyle name="60% - Accent2 8" xfId="586" xr:uid="{00000000-0005-0000-0000-00004E020000}"/>
    <cellStyle name="60% - Accent2 9" xfId="587" xr:uid="{00000000-0005-0000-0000-00004F020000}"/>
    <cellStyle name="60% - Accent3 2" xfId="588" xr:uid="{00000000-0005-0000-0000-000050020000}"/>
    <cellStyle name="60% - Accent3 2 2" xfId="589" xr:uid="{00000000-0005-0000-0000-000051020000}"/>
    <cellStyle name="60% - Accent3 2 3" xfId="590" xr:uid="{00000000-0005-0000-0000-000052020000}"/>
    <cellStyle name="60% - Accent3 2 4" xfId="591" xr:uid="{00000000-0005-0000-0000-000053020000}"/>
    <cellStyle name="60% - Accent3 2 5" xfId="592" xr:uid="{00000000-0005-0000-0000-000054020000}"/>
    <cellStyle name="60% - Accent3 2 6" xfId="593" xr:uid="{00000000-0005-0000-0000-000055020000}"/>
    <cellStyle name="60% - Accent3 2 7" xfId="594" xr:uid="{00000000-0005-0000-0000-000056020000}"/>
    <cellStyle name="60% - Accent3 3" xfId="595" xr:uid="{00000000-0005-0000-0000-000057020000}"/>
    <cellStyle name="60% - Accent3 3 2" xfId="596" xr:uid="{00000000-0005-0000-0000-000058020000}"/>
    <cellStyle name="60% - Accent3 3 3" xfId="597" xr:uid="{00000000-0005-0000-0000-000059020000}"/>
    <cellStyle name="60% - Accent3 4" xfId="598" xr:uid="{00000000-0005-0000-0000-00005A020000}"/>
    <cellStyle name="60% - Accent3 4 2" xfId="599" xr:uid="{00000000-0005-0000-0000-00005B020000}"/>
    <cellStyle name="60% - Accent3 5" xfId="600" xr:uid="{00000000-0005-0000-0000-00005C020000}"/>
    <cellStyle name="60% - Accent3 6" xfId="601" xr:uid="{00000000-0005-0000-0000-00005D020000}"/>
    <cellStyle name="60% - Accent3 7" xfId="602" xr:uid="{00000000-0005-0000-0000-00005E020000}"/>
    <cellStyle name="60% - Accent3 8" xfId="603" xr:uid="{00000000-0005-0000-0000-00005F020000}"/>
    <cellStyle name="60% - Accent3 9" xfId="604" xr:uid="{00000000-0005-0000-0000-000060020000}"/>
    <cellStyle name="60% - Accent4 2" xfId="605" xr:uid="{00000000-0005-0000-0000-000061020000}"/>
    <cellStyle name="60% - Accent4 2 2" xfId="606" xr:uid="{00000000-0005-0000-0000-000062020000}"/>
    <cellStyle name="60% - Accent4 2 3" xfId="607" xr:uid="{00000000-0005-0000-0000-000063020000}"/>
    <cellStyle name="60% - Accent4 2 4" xfId="608" xr:uid="{00000000-0005-0000-0000-000064020000}"/>
    <cellStyle name="60% - Accent4 2 5" xfId="609" xr:uid="{00000000-0005-0000-0000-000065020000}"/>
    <cellStyle name="60% - Accent4 2 6" xfId="610" xr:uid="{00000000-0005-0000-0000-000066020000}"/>
    <cellStyle name="60% - Accent4 2 7" xfId="611" xr:uid="{00000000-0005-0000-0000-000067020000}"/>
    <cellStyle name="60% - Accent4 3" xfId="612" xr:uid="{00000000-0005-0000-0000-000068020000}"/>
    <cellStyle name="60% - Accent4 3 2" xfId="613" xr:uid="{00000000-0005-0000-0000-000069020000}"/>
    <cellStyle name="60% - Accent4 3 3" xfId="614" xr:uid="{00000000-0005-0000-0000-00006A020000}"/>
    <cellStyle name="60% - Accent4 4" xfId="615" xr:uid="{00000000-0005-0000-0000-00006B020000}"/>
    <cellStyle name="60% - Accent4 4 2" xfId="616" xr:uid="{00000000-0005-0000-0000-00006C020000}"/>
    <cellStyle name="60% - Accent4 5" xfId="617" xr:uid="{00000000-0005-0000-0000-00006D020000}"/>
    <cellStyle name="60% - Accent4 6" xfId="618" xr:uid="{00000000-0005-0000-0000-00006E020000}"/>
    <cellStyle name="60% - Accent4 7" xfId="619" xr:uid="{00000000-0005-0000-0000-00006F020000}"/>
    <cellStyle name="60% - Accent4 8" xfId="620" xr:uid="{00000000-0005-0000-0000-000070020000}"/>
    <cellStyle name="60% - Accent4 9" xfId="621" xr:uid="{00000000-0005-0000-0000-000071020000}"/>
    <cellStyle name="60% - Accent5 2" xfId="622" xr:uid="{00000000-0005-0000-0000-000072020000}"/>
    <cellStyle name="60% - Accent5 2 2" xfId="623" xr:uid="{00000000-0005-0000-0000-000073020000}"/>
    <cellStyle name="60% - Accent5 2 3" xfId="624" xr:uid="{00000000-0005-0000-0000-000074020000}"/>
    <cellStyle name="60% - Accent5 2 4" xfId="625" xr:uid="{00000000-0005-0000-0000-000075020000}"/>
    <cellStyle name="60% - Accent5 2 5" xfId="626" xr:uid="{00000000-0005-0000-0000-000076020000}"/>
    <cellStyle name="60% - Accent5 2 6" xfId="627" xr:uid="{00000000-0005-0000-0000-000077020000}"/>
    <cellStyle name="60% - Accent5 2 7" xfId="628" xr:uid="{00000000-0005-0000-0000-000078020000}"/>
    <cellStyle name="60% - Accent5 3" xfId="629" xr:uid="{00000000-0005-0000-0000-000079020000}"/>
    <cellStyle name="60% - Accent5 3 2" xfId="630" xr:uid="{00000000-0005-0000-0000-00007A020000}"/>
    <cellStyle name="60% - Accent5 3 3" xfId="631" xr:uid="{00000000-0005-0000-0000-00007B020000}"/>
    <cellStyle name="60% - Accent5 4" xfId="632" xr:uid="{00000000-0005-0000-0000-00007C020000}"/>
    <cellStyle name="60% - Accent5 4 2" xfId="633" xr:uid="{00000000-0005-0000-0000-00007D020000}"/>
    <cellStyle name="60% - Accent5 5" xfId="634" xr:uid="{00000000-0005-0000-0000-00007E020000}"/>
    <cellStyle name="60% - Accent5 6" xfId="635" xr:uid="{00000000-0005-0000-0000-00007F020000}"/>
    <cellStyle name="60% - Accent5 7" xfId="636" xr:uid="{00000000-0005-0000-0000-000080020000}"/>
    <cellStyle name="60% - Accent5 8" xfId="637" xr:uid="{00000000-0005-0000-0000-000081020000}"/>
    <cellStyle name="60% - Accent5 9" xfId="638" xr:uid="{00000000-0005-0000-0000-000082020000}"/>
    <cellStyle name="60% - Accent6 2" xfId="639" xr:uid="{00000000-0005-0000-0000-000083020000}"/>
    <cellStyle name="60% - Accent6 2 2" xfId="640" xr:uid="{00000000-0005-0000-0000-000084020000}"/>
    <cellStyle name="60% - Accent6 2 3" xfId="641" xr:uid="{00000000-0005-0000-0000-000085020000}"/>
    <cellStyle name="60% - Accent6 2 4" xfId="642" xr:uid="{00000000-0005-0000-0000-000086020000}"/>
    <cellStyle name="60% - Accent6 2 5" xfId="643" xr:uid="{00000000-0005-0000-0000-000087020000}"/>
    <cellStyle name="60% - Accent6 2 6" xfId="644" xr:uid="{00000000-0005-0000-0000-000088020000}"/>
    <cellStyle name="60% - Accent6 2 7" xfId="645" xr:uid="{00000000-0005-0000-0000-000089020000}"/>
    <cellStyle name="60% - Accent6 3" xfId="646" xr:uid="{00000000-0005-0000-0000-00008A020000}"/>
    <cellStyle name="60% - Accent6 3 2" xfId="647" xr:uid="{00000000-0005-0000-0000-00008B020000}"/>
    <cellStyle name="60% - Accent6 3 3" xfId="648" xr:uid="{00000000-0005-0000-0000-00008C020000}"/>
    <cellStyle name="60% - Accent6 4" xfId="649" xr:uid="{00000000-0005-0000-0000-00008D020000}"/>
    <cellStyle name="60% - Accent6 4 2" xfId="650" xr:uid="{00000000-0005-0000-0000-00008E020000}"/>
    <cellStyle name="60% - Accent6 5" xfId="651" xr:uid="{00000000-0005-0000-0000-00008F020000}"/>
    <cellStyle name="60% - Accent6 6" xfId="652" xr:uid="{00000000-0005-0000-0000-000090020000}"/>
    <cellStyle name="60% - Accent6 7" xfId="653" xr:uid="{00000000-0005-0000-0000-000091020000}"/>
    <cellStyle name="60% - Accent6 8" xfId="654" xr:uid="{00000000-0005-0000-0000-000092020000}"/>
    <cellStyle name="60% - Accent6 9" xfId="655" xr:uid="{00000000-0005-0000-0000-00009302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Accent1 2" xfId="656" xr:uid="{00000000-0005-0000-0000-000094020000}"/>
    <cellStyle name="Accent1 2 2" xfId="657" xr:uid="{00000000-0005-0000-0000-000095020000}"/>
    <cellStyle name="Accent1 2 3" xfId="658" xr:uid="{00000000-0005-0000-0000-000096020000}"/>
    <cellStyle name="Accent1 2 4" xfId="659" xr:uid="{00000000-0005-0000-0000-000097020000}"/>
    <cellStyle name="Accent1 2 5" xfId="660" xr:uid="{00000000-0005-0000-0000-000098020000}"/>
    <cellStyle name="Accent1 2 6" xfId="661" xr:uid="{00000000-0005-0000-0000-000099020000}"/>
    <cellStyle name="Accent1 2 7" xfId="662" xr:uid="{00000000-0005-0000-0000-00009A020000}"/>
    <cellStyle name="Accent1 3" xfId="663" xr:uid="{00000000-0005-0000-0000-00009B020000}"/>
    <cellStyle name="Accent1 3 2" xfId="664" xr:uid="{00000000-0005-0000-0000-00009C020000}"/>
    <cellStyle name="Accent1 3 3" xfId="665" xr:uid="{00000000-0005-0000-0000-00009D020000}"/>
    <cellStyle name="Accent1 4" xfId="666" xr:uid="{00000000-0005-0000-0000-00009E020000}"/>
    <cellStyle name="Accent1 4 2" xfId="667" xr:uid="{00000000-0005-0000-0000-00009F020000}"/>
    <cellStyle name="Accent1 5" xfId="668" xr:uid="{00000000-0005-0000-0000-0000A0020000}"/>
    <cellStyle name="Accent1 6" xfId="669" xr:uid="{00000000-0005-0000-0000-0000A1020000}"/>
    <cellStyle name="Accent1 7" xfId="670" xr:uid="{00000000-0005-0000-0000-0000A2020000}"/>
    <cellStyle name="Accent1 8" xfId="671" xr:uid="{00000000-0005-0000-0000-0000A3020000}"/>
    <cellStyle name="Accent1 9" xfId="672" xr:uid="{00000000-0005-0000-0000-0000A4020000}"/>
    <cellStyle name="Accent2 2" xfId="673" xr:uid="{00000000-0005-0000-0000-0000A5020000}"/>
    <cellStyle name="Accent2 2 2" xfId="674" xr:uid="{00000000-0005-0000-0000-0000A6020000}"/>
    <cellStyle name="Accent2 2 3" xfId="675" xr:uid="{00000000-0005-0000-0000-0000A7020000}"/>
    <cellStyle name="Accent2 2 4" xfId="676" xr:uid="{00000000-0005-0000-0000-0000A8020000}"/>
    <cellStyle name="Accent2 2 5" xfId="677" xr:uid="{00000000-0005-0000-0000-0000A9020000}"/>
    <cellStyle name="Accent2 2 6" xfId="678" xr:uid="{00000000-0005-0000-0000-0000AA020000}"/>
    <cellStyle name="Accent2 2 7" xfId="679" xr:uid="{00000000-0005-0000-0000-0000AB020000}"/>
    <cellStyle name="Accent2 3" xfId="680" xr:uid="{00000000-0005-0000-0000-0000AC020000}"/>
    <cellStyle name="Accent2 3 2" xfId="681" xr:uid="{00000000-0005-0000-0000-0000AD020000}"/>
    <cellStyle name="Accent2 3 3" xfId="682" xr:uid="{00000000-0005-0000-0000-0000AE020000}"/>
    <cellStyle name="Accent2 4" xfId="683" xr:uid="{00000000-0005-0000-0000-0000AF020000}"/>
    <cellStyle name="Accent2 4 2" xfId="684" xr:uid="{00000000-0005-0000-0000-0000B0020000}"/>
    <cellStyle name="Accent2 5" xfId="685" xr:uid="{00000000-0005-0000-0000-0000B1020000}"/>
    <cellStyle name="Accent2 6" xfId="686" xr:uid="{00000000-0005-0000-0000-0000B2020000}"/>
    <cellStyle name="Accent2 7" xfId="687" xr:uid="{00000000-0005-0000-0000-0000B3020000}"/>
    <cellStyle name="Accent2 8" xfId="688" xr:uid="{00000000-0005-0000-0000-0000B4020000}"/>
    <cellStyle name="Accent2 9" xfId="689" xr:uid="{00000000-0005-0000-0000-0000B5020000}"/>
    <cellStyle name="Accent3 2" xfId="690" xr:uid="{00000000-0005-0000-0000-0000B6020000}"/>
    <cellStyle name="Accent3 2 2" xfId="691" xr:uid="{00000000-0005-0000-0000-0000B7020000}"/>
    <cellStyle name="Accent3 2 3" xfId="692" xr:uid="{00000000-0005-0000-0000-0000B8020000}"/>
    <cellStyle name="Accent3 2 4" xfId="693" xr:uid="{00000000-0005-0000-0000-0000B9020000}"/>
    <cellStyle name="Accent3 2 5" xfId="694" xr:uid="{00000000-0005-0000-0000-0000BA020000}"/>
    <cellStyle name="Accent3 2 6" xfId="695" xr:uid="{00000000-0005-0000-0000-0000BB020000}"/>
    <cellStyle name="Accent3 2 7" xfId="696" xr:uid="{00000000-0005-0000-0000-0000BC020000}"/>
    <cellStyle name="Accent3 3" xfId="697" xr:uid="{00000000-0005-0000-0000-0000BD020000}"/>
    <cellStyle name="Accent3 3 2" xfId="698" xr:uid="{00000000-0005-0000-0000-0000BE020000}"/>
    <cellStyle name="Accent3 3 3" xfId="699" xr:uid="{00000000-0005-0000-0000-0000BF020000}"/>
    <cellStyle name="Accent3 4" xfId="700" xr:uid="{00000000-0005-0000-0000-0000C0020000}"/>
    <cellStyle name="Accent3 4 2" xfId="701" xr:uid="{00000000-0005-0000-0000-0000C1020000}"/>
    <cellStyle name="Accent3 5" xfId="702" xr:uid="{00000000-0005-0000-0000-0000C2020000}"/>
    <cellStyle name="Accent3 6" xfId="703" xr:uid="{00000000-0005-0000-0000-0000C3020000}"/>
    <cellStyle name="Accent3 7" xfId="704" xr:uid="{00000000-0005-0000-0000-0000C4020000}"/>
    <cellStyle name="Accent3 8" xfId="705" xr:uid="{00000000-0005-0000-0000-0000C5020000}"/>
    <cellStyle name="Accent3 9" xfId="706" xr:uid="{00000000-0005-0000-0000-0000C6020000}"/>
    <cellStyle name="Accent4 2" xfId="707" xr:uid="{00000000-0005-0000-0000-0000C7020000}"/>
    <cellStyle name="Accent4 2 2" xfId="708" xr:uid="{00000000-0005-0000-0000-0000C8020000}"/>
    <cellStyle name="Accent4 2 3" xfId="709" xr:uid="{00000000-0005-0000-0000-0000C9020000}"/>
    <cellStyle name="Accent4 2 4" xfId="710" xr:uid="{00000000-0005-0000-0000-0000CA020000}"/>
    <cellStyle name="Accent4 2 5" xfId="711" xr:uid="{00000000-0005-0000-0000-0000CB020000}"/>
    <cellStyle name="Accent4 2 6" xfId="712" xr:uid="{00000000-0005-0000-0000-0000CC020000}"/>
    <cellStyle name="Accent4 2 7" xfId="713" xr:uid="{00000000-0005-0000-0000-0000CD020000}"/>
    <cellStyle name="Accent4 3" xfId="714" xr:uid="{00000000-0005-0000-0000-0000CE020000}"/>
    <cellStyle name="Accent4 3 2" xfId="715" xr:uid="{00000000-0005-0000-0000-0000CF020000}"/>
    <cellStyle name="Accent4 3 3" xfId="716" xr:uid="{00000000-0005-0000-0000-0000D0020000}"/>
    <cellStyle name="Accent4 4" xfId="717" xr:uid="{00000000-0005-0000-0000-0000D1020000}"/>
    <cellStyle name="Accent4 4 2" xfId="718" xr:uid="{00000000-0005-0000-0000-0000D2020000}"/>
    <cellStyle name="Accent4 5" xfId="719" xr:uid="{00000000-0005-0000-0000-0000D3020000}"/>
    <cellStyle name="Accent4 6" xfId="720" xr:uid="{00000000-0005-0000-0000-0000D4020000}"/>
    <cellStyle name="Accent4 7" xfId="721" xr:uid="{00000000-0005-0000-0000-0000D5020000}"/>
    <cellStyle name="Accent4 8" xfId="722" xr:uid="{00000000-0005-0000-0000-0000D6020000}"/>
    <cellStyle name="Accent4 9" xfId="723" xr:uid="{00000000-0005-0000-0000-0000D7020000}"/>
    <cellStyle name="Accent5 2" xfId="724" xr:uid="{00000000-0005-0000-0000-0000D8020000}"/>
    <cellStyle name="Accent5 2 2" xfId="725" xr:uid="{00000000-0005-0000-0000-0000D9020000}"/>
    <cellStyle name="Accent5 2 3" xfId="726" xr:uid="{00000000-0005-0000-0000-0000DA020000}"/>
    <cellStyle name="Accent5 2 4" xfId="727" xr:uid="{00000000-0005-0000-0000-0000DB020000}"/>
    <cellStyle name="Accent5 2 5" xfId="728" xr:uid="{00000000-0005-0000-0000-0000DC020000}"/>
    <cellStyle name="Accent5 2 6" xfId="729" xr:uid="{00000000-0005-0000-0000-0000DD020000}"/>
    <cellStyle name="Accent5 3" xfId="730" xr:uid="{00000000-0005-0000-0000-0000DE020000}"/>
    <cellStyle name="Accent5 3 2" xfId="731" xr:uid="{00000000-0005-0000-0000-0000DF020000}"/>
    <cellStyle name="Accent5 3 3" xfId="732" xr:uid="{00000000-0005-0000-0000-0000E0020000}"/>
    <cellStyle name="Accent5 4" xfId="733" xr:uid="{00000000-0005-0000-0000-0000E1020000}"/>
    <cellStyle name="Accent5 4 2" xfId="734" xr:uid="{00000000-0005-0000-0000-0000E2020000}"/>
    <cellStyle name="Accent5 5" xfId="735" xr:uid="{00000000-0005-0000-0000-0000E3020000}"/>
    <cellStyle name="Accent5 6" xfId="736" xr:uid="{00000000-0005-0000-0000-0000E4020000}"/>
    <cellStyle name="Accent5 7" xfId="737" xr:uid="{00000000-0005-0000-0000-0000E5020000}"/>
    <cellStyle name="Accent5 8" xfId="738" xr:uid="{00000000-0005-0000-0000-0000E6020000}"/>
    <cellStyle name="Accent5 9" xfId="739" xr:uid="{00000000-0005-0000-0000-0000E7020000}"/>
    <cellStyle name="Accent6 2" xfId="740" xr:uid="{00000000-0005-0000-0000-0000E8020000}"/>
    <cellStyle name="Accent6 2 2" xfId="741" xr:uid="{00000000-0005-0000-0000-0000E9020000}"/>
    <cellStyle name="Accent6 2 3" xfId="742" xr:uid="{00000000-0005-0000-0000-0000EA020000}"/>
    <cellStyle name="Accent6 2 4" xfId="743" xr:uid="{00000000-0005-0000-0000-0000EB020000}"/>
    <cellStyle name="Accent6 2 5" xfId="744" xr:uid="{00000000-0005-0000-0000-0000EC020000}"/>
    <cellStyle name="Accent6 2 6" xfId="745" xr:uid="{00000000-0005-0000-0000-0000ED020000}"/>
    <cellStyle name="Accent6 2 7" xfId="746" xr:uid="{00000000-0005-0000-0000-0000EE020000}"/>
    <cellStyle name="Accent6 3" xfId="747" xr:uid="{00000000-0005-0000-0000-0000EF020000}"/>
    <cellStyle name="Accent6 3 2" xfId="748" xr:uid="{00000000-0005-0000-0000-0000F0020000}"/>
    <cellStyle name="Accent6 3 3" xfId="749" xr:uid="{00000000-0005-0000-0000-0000F1020000}"/>
    <cellStyle name="Accent6 4" xfId="750" xr:uid="{00000000-0005-0000-0000-0000F2020000}"/>
    <cellStyle name="Accent6 4 2" xfId="751" xr:uid="{00000000-0005-0000-0000-0000F3020000}"/>
    <cellStyle name="Accent6 5" xfId="752" xr:uid="{00000000-0005-0000-0000-0000F4020000}"/>
    <cellStyle name="Accent6 6" xfId="753" xr:uid="{00000000-0005-0000-0000-0000F5020000}"/>
    <cellStyle name="Accent6 7" xfId="754" xr:uid="{00000000-0005-0000-0000-0000F6020000}"/>
    <cellStyle name="Accent6 8" xfId="755" xr:uid="{00000000-0005-0000-0000-0000F7020000}"/>
    <cellStyle name="Accent6 9" xfId="756" xr:uid="{00000000-0005-0000-0000-0000F8020000}"/>
    <cellStyle name="ALIB Output" xfId="757" xr:uid="{00000000-0005-0000-0000-0000F9020000}"/>
    <cellStyle name="ALIB Output 2" xfId="758" xr:uid="{00000000-0005-0000-0000-0000FA020000}"/>
    <cellStyle name="ALIB Output 2 2" xfId="759" xr:uid="{00000000-0005-0000-0000-0000FB020000}"/>
    <cellStyle name="ALIB Output 3" xfId="760" xr:uid="{00000000-0005-0000-0000-0000FC020000}"/>
    <cellStyle name="ALIB Output 3 2" xfId="761" xr:uid="{00000000-0005-0000-0000-0000FD020000}"/>
    <cellStyle name="ALIB Output 4" xfId="762" xr:uid="{00000000-0005-0000-0000-0000FE020000}"/>
    <cellStyle name="ALIB Output 4 2" xfId="763" xr:uid="{00000000-0005-0000-0000-0000FF020000}"/>
    <cellStyle name="ALIB Output 5" xfId="764" xr:uid="{00000000-0005-0000-0000-000000030000}"/>
    <cellStyle name="ALIB Output 5 2" xfId="765" xr:uid="{00000000-0005-0000-0000-000001030000}"/>
    <cellStyle name="ALIB Output 6" xfId="766" xr:uid="{00000000-0005-0000-0000-000002030000}"/>
    <cellStyle name="ALIB Output 6 2" xfId="767" xr:uid="{00000000-0005-0000-0000-000003030000}"/>
    <cellStyle name="ALIB Output 6 2 2" xfId="768" xr:uid="{00000000-0005-0000-0000-000004030000}"/>
    <cellStyle name="ALIB Output 6 3" xfId="769" xr:uid="{00000000-0005-0000-0000-000005030000}"/>
    <cellStyle name="ALIB Output 7" xfId="770" xr:uid="{00000000-0005-0000-0000-000006030000}"/>
    <cellStyle name="ALIB Output 7 2" xfId="771" xr:uid="{00000000-0005-0000-0000-000007030000}"/>
    <cellStyle name="ALIB Output 7 2 2" xfId="772" xr:uid="{00000000-0005-0000-0000-000008030000}"/>
    <cellStyle name="ALIB Output 7 3" xfId="773" xr:uid="{00000000-0005-0000-0000-000009030000}"/>
    <cellStyle name="ALIB Output 8" xfId="774" xr:uid="{00000000-0005-0000-0000-00000A030000}"/>
    <cellStyle name="ALIB Output 8 2" xfId="775" xr:uid="{00000000-0005-0000-0000-00000B030000}"/>
    <cellStyle name="ALIB Output 8 3" xfId="776" xr:uid="{00000000-0005-0000-0000-00000C030000}"/>
    <cellStyle name="AutoFormat Options" xfId="777" xr:uid="{00000000-0005-0000-0000-00000D030000}"/>
    <cellStyle name="AutoFormat Options 2" xfId="778" xr:uid="{00000000-0005-0000-0000-00000E030000}"/>
    <cellStyle name="AutoFormat Options 3" xfId="779" xr:uid="{00000000-0005-0000-0000-00000F030000}"/>
    <cellStyle name="AutoFormat Options 4" xfId="780" xr:uid="{00000000-0005-0000-0000-000010030000}"/>
    <cellStyle name="AutoFormat Options 5" xfId="781" xr:uid="{00000000-0005-0000-0000-000011030000}"/>
    <cellStyle name="AutoFormat Options 6" xfId="782" xr:uid="{00000000-0005-0000-0000-000012030000}"/>
    <cellStyle name="AutoFormat Options 6 2" xfId="783" xr:uid="{00000000-0005-0000-0000-000013030000}"/>
    <cellStyle name="AutoFormat Options 7" xfId="784" xr:uid="{00000000-0005-0000-0000-000014030000}"/>
    <cellStyle name="AutoFormat Options 7 2" xfId="785" xr:uid="{00000000-0005-0000-0000-000015030000}"/>
    <cellStyle name="AutoFormat Options 8" xfId="786" xr:uid="{00000000-0005-0000-0000-000016030000}"/>
    <cellStyle name="Bad 2" xfId="787" xr:uid="{00000000-0005-0000-0000-000017030000}"/>
    <cellStyle name="Bad 2 2" xfId="788" xr:uid="{00000000-0005-0000-0000-000018030000}"/>
    <cellStyle name="Bad 2 3" xfId="789" xr:uid="{00000000-0005-0000-0000-000019030000}"/>
    <cellStyle name="Bad 2 4" xfId="790" xr:uid="{00000000-0005-0000-0000-00001A030000}"/>
    <cellStyle name="Bad 2 5" xfId="791" xr:uid="{00000000-0005-0000-0000-00001B030000}"/>
    <cellStyle name="Bad 2 6" xfId="792" xr:uid="{00000000-0005-0000-0000-00001C030000}"/>
    <cellStyle name="Bad 2 7" xfId="793" xr:uid="{00000000-0005-0000-0000-00001D030000}"/>
    <cellStyle name="Bad 3" xfId="794" xr:uid="{00000000-0005-0000-0000-00001E030000}"/>
    <cellStyle name="Bad 3 2" xfId="795" xr:uid="{00000000-0005-0000-0000-00001F030000}"/>
    <cellStyle name="Bad 3 3" xfId="796" xr:uid="{00000000-0005-0000-0000-000020030000}"/>
    <cellStyle name="Bad 4" xfId="797" xr:uid="{00000000-0005-0000-0000-000021030000}"/>
    <cellStyle name="Bad 4 2" xfId="798" xr:uid="{00000000-0005-0000-0000-000022030000}"/>
    <cellStyle name="Bad 5" xfId="799" xr:uid="{00000000-0005-0000-0000-000023030000}"/>
    <cellStyle name="Bad 6" xfId="800" xr:uid="{00000000-0005-0000-0000-000024030000}"/>
    <cellStyle name="Bad 7" xfId="801" xr:uid="{00000000-0005-0000-0000-000025030000}"/>
    <cellStyle name="Bad 8" xfId="802" xr:uid="{00000000-0005-0000-0000-000026030000}"/>
    <cellStyle name="Bad 9" xfId="803" xr:uid="{00000000-0005-0000-0000-000027030000}"/>
    <cellStyle name="Bueno" xfId="6" builtinId="26" customBuiltin="1"/>
    <cellStyle name="Calculation 2" xfId="804" xr:uid="{00000000-0005-0000-0000-000028030000}"/>
    <cellStyle name="Calculation 2 2" xfId="805" xr:uid="{00000000-0005-0000-0000-000029030000}"/>
    <cellStyle name="Calculation 2 3" xfId="806" xr:uid="{00000000-0005-0000-0000-00002A030000}"/>
    <cellStyle name="Calculation 2 4" xfId="807" xr:uid="{00000000-0005-0000-0000-00002B030000}"/>
    <cellStyle name="Calculation 2 5" xfId="808" xr:uid="{00000000-0005-0000-0000-00002C030000}"/>
    <cellStyle name="Calculation 2 6" xfId="809" xr:uid="{00000000-0005-0000-0000-00002D030000}"/>
    <cellStyle name="Calculation 2 7" xfId="810" xr:uid="{00000000-0005-0000-0000-00002E030000}"/>
    <cellStyle name="Calculation 3" xfId="811" xr:uid="{00000000-0005-0000-0000-00002F030000}"/>
    <cellStyle name="Calculation 3 2" xfId="812" xr:uid="{00000000-0005-0000-0000-000030030000}"/>
    <cellStyle name="Calculation 3 3" xfId="813" xr:uid="{00000000-0005-0000-0000-000031030000}"/>
    <cellStyle name="Calculation 4" xfId="814" xr:uid="{00000000-0005-0000-0000-000032030000}"/>
    <cellStyle name="Calculation 4 2" xfId="815" xr:uid="{00000000-0005-0000-0000-000033030000}"/>
    <cellStyle name="Calculation 5" xfId="816" xr:uid="{00000000-0005-0000-0000-000034030000}"/>
    <cellStyle name="Calculation 6" xfId="817" xr:uid="{00000000-0005-0000-0000-000035030000}"/>
    <cellStyle name="Calculation 7" xfId="818" xr:uid="{00000000-0005-0000-0000-000036030000}"/>
    <cellStyle name="Calculation 8" xfId="819" xr:uid="{00000000-0005-0000-0000-000037030000}"/>
    <cellStyle name="Calculation 9" xfId="820" xr:uid="{00000000-0005-0000-0000-000038030000}"/>
    <cellStyle name="Cálculo" xfId="11" builtinId="22" customBuiltin="1"/>
    <cellStyle name="Celda de comprobación" xfId="13" builtinId="23" customBuiltin="1"/>
    <cellStyle name="Celda vinculada" xfId="12" builtinId="24" customBuiltin="1"/>
    <cellStyle name="Check Cell 2" xfId="821" xr:uid="{00000000-0005-0000-0000-000039030000}"/>
    <cellStyle name="Check Cell 2 2" xfId="822" xr:uid="{00000000-0005-0000-0000-00003A030000}"/>
    <cellStyle name="Check Cell 2 3" xfId="823" xr:uid="{00000000-0005-0000-0000-00003B030000}"/>
    <cellStyle name="Check Cell 2 4" xfId="824" xr:uid="{00000000-0005-0000-0000-00003C030000}"/>
    <cellStyle name="Check Cell 2 5" xfId="825" xr:uid="{00000000-0005-0000-0000-00003D030000}"/>
    <cellStyle name="Check Cell 2 6" xfId="826" xr:uid="{00000000-0005-0000-0000-00003E030000}"/>
    <cellStyle name="Check Cell 3" xfId="827" xr:uid="{00000000-0005-0000-0000-00003F030000}"/>
    <cellStyle name="Check Cell 3 2" xfId="828" xr:uid="{00000000-0005-0000-0000-000040030000}"/>
    <cellStyle name="Check Cell 3 3" xfId="829" xr:uid="{00000000-0005-0000-0000-000041030000}"/>
    <cellStyle name="Check Cell 4" xfId="830" xr:uid="{00000000-0005-0000-0000-000042030000}"/>
    <cellStyle name="Check Cell 4 2" xfId="831" xr:uid="{00000000-0005-0000-0000-000043030000}"/>
    <cellStyle name="Check Cell 5" xfId="832" xr:uid="{00000000-0005-0000-0000-000044030000}"/>
    <cellStyle name="Check Cell 6" xfId="833" xr:uid="{00000000-0005-0000-0000-000045030000}"/>
    <cellStyle name="Check Cell 7" xfId="834" xr:uid="{00000000-0005-0000-0000-000046030000}"/>
    <cellStyle name="Check Cell 8" xfId="835" xr:uid="{00000000-0005-0000-0000-000047030000}"/>
    <cellStyle name="Check Cell 9" xfId="836" xr:uid="{00000000-0005-0000-0000-000048030000}"/>
    <cellStyle name="Comma 2" xfId="837" xr:uid="{00000000-0005-0000-0000-000049030000}"/>
    <cellStyle name="Comma 2 2" xfId="838" xr:uid="{00000000-0005-0000-0000-00004A030000}"/>
    <cellStyle name="Comma 2 3" xfId="839" xr:uid="{00000000-0005-0000-0000-00004B030000}"/>
    <cellStyle name="Comma 2 4" xfId="840" xr:uid="{00000000-0005-0000-0000-00004C030000}"/>
    <cellStyle name="Comma 3" xfId="841" xr:uid="{00000000-0005-0000-0000-00004D030000}"/>
    <cellStyle name="Comma 3 2" xfId="842" xr:uid="{00000000-0005-0000-0000-00004E030000}"/>
    <cellStyle name="Comma 3 3" xfId="843" xr:uid="{00000000-0005-0000-0000-00004F030000}"/>
    <cellStyle name="Comma 3 4" xfId="844" xr:uid="{00000000-0005-0000-0000-000050030000}"/>
    <cellStyle name="Comma 3 5" xfId="845" xr:uid="{00000000-0005-0000-0000-000051030000}"/>
    <cellStyle name="Comma 4" xfId="846" xr:uid="{00000000-0005-0000-0000-000052030000}"/>
    <cellStyle name="Comma 4 2" xfId="847" xr:uid="{00000000-0005-0000-0000-000053030000}"/>
    <cellStyle name="Comma 5" xfId="848" xr:uid="{00000000-0005-0000-0000-000054030000}"/>
    <cellStyle name="Comma 6" xfId="849" xr:uid="{00000000-0005-0000-0000-000055030000}"/>
    <cellStyle name="Comma 7" xfId="850" xr:uid="{00000000-0005-0000-0000-000056030000}"/>
    <cellStyle name="Comma 8" xfId="851" xr:uid="{00000000-0005-0000-0000-000057030000}"/>
    <cellStyle name="Comma 9" xfId="852" xr:uid="{00000000-0005-0000-0000-000058030000}"/>
    <cellStyle name="Comma 9 2" xfId="853" xr:uid="{00000000-0005-0000-0000-000059030000}"/>
    <cellStyle name="Comma 9 3" xfId="854" xr:uid="{00000000-0005-0000-0000-00005A030000}"/>
    <cellStyle name="Comma 9 4" xfId="855" xr:uid="{00000000-0005-0000-0000-00005B030000}"/>
    <cellStyle name="Currency 10" xfId="856" xr:uid="{00000000-0005-0000-0000-00005C030000}"/>
    <cellStyle name="Currency 11" xfId="857" xr:uid="{00000000-0005-0000-0000-00005D030000}"/>
    <cellStyle name="Currency 12" xfId="858" xr:uid="{00000000-0005-0000-0000-00005E030000}"/>
    <cellStyle name="Currency 12 2" xfId="859" xr:uid="{00000000-0005-0000-0000-00005F030000}"/>
    <cellStyle name="Currency 12 3" xfId="860" xr:uid="{00000000-0005-0000-0000-000060030000}"/>
    <cellStyle name="Currency 12 4" xfId="861" xr:uid="{00000000-0005-0000-0000-000061030000}"/>
    <cellStyle name="Currency 2" xfId="862" xr:uid="{00000000-0005-0000-0000-000062030000}"/>
    <cellStyle name="Currency 2 2" xfId="863" xr:uid="{00000000-0005-0000-0000-000063030000}"/>
    <cellStyle name="Currency 3" xfId="864" xr:uid="{00000000-0005-0000-0000-000064030000}"/>
    <cellStyle name="Currency 3 2" xfId="865" xr:uid="{00000000-0005-0000-0000-000065030000}"/>
    <cellStyle name="Currency 4" xfId="866" xr:uid="{00000000-0005-0000-0000-000066030000}"/>
    <cellStyle name="Currency 4 2" xfId="867" xr:uid="{00000000-0005-0000-0000-000067030000}"/>
    <cellStyle name="Currency 4 2 2" xfId="868" xr:uid="{00000000-0005-0000-0000-000068030000}"/>
    <cellStyle name="Currency 4 3" xfId="869" xr:uid="{00000000-0005-0000-0000-000069030000}"/>
    <cellStyle name="Currency 4 4" xfId="870" xr:uid="{00000000-0005-0000-0000-00006A030000}"/>
    <cellStyle name="Currency 5" xfId="871" xr:uid="{00000000-0005-0000-0000-00006B030000}"/>
    <cellStyle name="Currency 5 2" xfId="872" xr:uid="{00000000-0005-0000-0000-00006C030000}"/>
    <cellStyle name="Currency 6" xfId="873" xr:uid="{00000000-0005-0000-0000-00006D030000}"/>
    <cellStyle name="Currency 6 2" xfId="874" xr:uid="{00000000-0005-0000-0000-00006E030000}"/>
    <cellStyle name="Currency 7" xfId="875" xr:uid="{00000000-0005-0000-0000-00006F030000}"/>
    <cellStyle name="Currency 8" xfId="876" xr:uid="{00000000-0005-0000-0000-000070030000}"/>
    <cellStyle name="Currency 9" xfId="877" xr:uid="{00000000-0005-0000-0000-000071030000}"/>
    <cellStyle name="Currency 9 2" xfId="878" xr:uid="{00000000-0005-0000-0000-000072030000}"/>
    <cellStyle name="Currency 9 2 2" xfId="879" xr:uid="{00000000-0005-0000-0000-000073030000}"/>
    <cellStyle name="Currency 9 2 3" xfId="880" xr:uid="{00000000-0005-0000-0000-000074030000}"/>
    <cellStyle name="Currency 9 2 4" xfId="881" xr:uid="{00000000-0005-0000-0000-000075030000}"/>
    <cellStyle name="Currency 9 3" xfId="882" xr:uid="{00000000-0005-0000-0000-000076030000}"/>
    <cellStyle name="Currency 9 4" xfId="883" xr:uid="{00000000-0005-0000-0000-000077030000}"/>
    <cellStyle name="Currency 9 5" xfId="884" xr:uid="{00000000-0005-0000-0000-000078030000}"/>
    <cellStyle name="Currency 9 6" xfId="885" xr:uid="{00000000-0005-0000-0000-000079030000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886" xr:uid="{00000000-0005-0000-0000-00007A030000}"/>
    <cellStyle name="Explanatory Text 2" xfId="887" xr:uid="{00000000-0005-0000-0000-00007B030000}"/>
    <cellStyle name="Explanatory Text 2 2" xfId="888" xr:uid="{00000000-0005-0000-0000-00007C030000}"/>
    <cellStyle name="Explanatory Text 2 3" xfId="889" xr:uid="{00000000-0005-0000-0000-00007D030000}"/>
    <cellStyle name="Explanatory Text 2 4" xfId="890" xr:uid="{00000000-0005-0000-0000-00007E030000}"/>
    <cellStyle name="Explanatory Text 2 5" xfId="891" xr:uid="{00000000-0005-0000-0000-00007F030000}"/>
    <cellStyle name="Explanatory Text 2 6" xfId="892" xr:uid="{00000000-0005-0000-0000-000080030000}"/>
    <cellStyle name="Explanatory Text 3" xfId="893" xr:uid="{00000000-0005-0000-0000-000081030000}"/>
    <cellStyle name="Explanatory Text 3 2" xfId="894" xr:uid="{00000000-0005-0000-0000-000082030000}"/>
    <cellStyle name="Explanatory Text 3 3" xfId="895" xr:uid="{00000000-0005-0000-0000-000083030000}"/>
    <cellStyle name="Explanatory Text 4" xfId="896" xr:uid="{00000000-0005-0000-0000-000084030000}"/>
    <cellStyle name="Explanatory Text 4 2" xfId="897" xr:uid="{00000000-0005-0000-0000-000085030000}"/>
    <cellStyle name="Explanatory Text 5" xfId="898" xr:uid="{00000000-0005-0000-0000-000086030000}"/>
    <cellStyle name="Explanatory Text 6" xfId="899" xr:uid="{00000000-0005-0000-0000-000087030000}"/>
    <cellStyle name="Explanatory Text 7" xfId="900" xr:uid="{00000000-0005-0000-0000-000088030000}"/>
    <cellStyle name="Explanatory Text 8" xfId="901" xr:uid="{00000000-0005-0000-0000-000089030000}"/>
    <cellStyle name="Explanatory Text 9" xfId="902" xr:uid="{00000000-0005-0000-0000-00008A030000}"/>
    <cellStyle name="Good 2" xfId="903" xr:uid="{00000000-0005-0000-0000-00008B030000}"/>
    <cellStyle name="Good 2 2" xfId="904" xr:uid="{00000000-0005-0000-0000-00008C030000}"/>
    <cellStyle name="Good 2 3" xfId="905" xr:uid="{00000000-0005-0000-0000-00008D030000}"/>
    <cellStyle name="Good 2 4" xfId="906" xr:uid="{00000000-0005-0000-0000-00008E030000}"/>
    <cellStyle name="Good 2 5" xfId="907" xr:uid="{00000000-0005-0000-0000-00008F030000}"/>
    <cellStyle name="Good 2 6" xfId="908" xr:uid="{00000000-0005-0000-0000-000090030000}"/>
    <cellStyle name="Good 2 7" xfId="909" xr:uid="{00000000-0005-0000-0000-000091030000}"/>
    <cellStyle name="Good 3" xfId="910" xr:uid="{00000000-0005-0000-0000-000092030000}"/>
    <cellStyle name="Good 3 2" xfId="911" xr:uid="{00000000-0005-0000-0000-000093030000}"/>
    <cellStyle name="Good 3 3" xfId="912" xr:uid="{00000000-0005-0000-0000-000094030000}"/>
    <cellStyle name="Good 4" xfId="913" xr:uid="{00000000-0005-0000-0000-000095030000}"/>
    <cellStyle name="Good 4 2" xfId="914" xr:uid="{00000000-0005-0000-0000-000096030000}"/>
    <cellStyle name="Good 5" xfId="915" xr:uid="{00000000-0005-0000-0000-000097030000}"/>
    <cellStyle name="Good 6" xfId="916" xr:uid="{00000000-0005-0000-0000-000098030000}"/>
    <cellStyle name="Good 7" xfId="917" xr:uid="{00000000-0005-0000-0000-000099030000}"/>
    <cellStyle name="Good 8" xfId="918" xr:uid="{00000000-0005-0000-0000-00009A030000}"/>
    <cellStyle name="Good 9" xfId="919" xr:uid="{00000000-0005-0000-0000-00009B030000}"/>
    <cellStyle name="Heading 1 2" xfId="920" xr:uid="{00000000-0005-0000-0000-00009C030000}"/>
    <cellStyle name="Heading 1 2 2" xfId="921" xr:uid="{00000000-0005-0000-0000-00009D030000}"/>
    <cellStyle name="Heading 1 2 3" xfId="922" xr:uid="{00000000-0005-0000-0000-00009E030000}"/>
    <cellStyle name="Heading 1 2 4" xfId="923" xr:uid="{00000000-0005-0000-0000-00009F030000}"/>
    <cellStyle name="Heading 1 2 5" xfId="924" xr:uid="{00000000-0005-0000-0000-0000A0030000}"/>
    <cellStyle name="Heading 1 2 6" xfId="925" xr:uid="{00000000-0005-0000-0000-0000A1030000}"/>
    <cellStyle name="Heading 1 2 7" xfId="926" xr:uid="{00000000-0005-0000-0000-0000A2030000}"/>
    <cellStyle name="Heading 1 3" xfId="927" xr:uid="{00000000-0005-0000-0000-0000A3030000}"/>
    <cellStyle name="Heading 1 3 2" xfId="928" xr:uid="{00000000-0005-0000-0000-0000A4030000}"/>
    <cellStyle name="Heading 1 3 3" xfId="929" xr:uid="{00000000-0005-0000-0000-0000A5030000}"/>
    <cellStyle name="Heading 1 4" xfId="930" xr:uid="{00000000-0005-0000-0000-0000A6030000}"/>
    <cellStyle name="Heading 1 4 2" xfId="931" xr:uid="{00000000-0005-0000-0000-0000A7030000}"/>
    <cellStyle name="Heading 1 5" xfId="932" xr:uid="{00000000-0005-0000-0000-0000A8030000}"/>
    <cellStyle name="Heading 1 6" xfId="933" xr:uid="{00000000-0005-0000-0000-0000A9030000}"/>
    <cellStyle name="Heading 1 7" xfId="934" xr:uid="{00000000-0005-0000-0000-0000AA030000}"/>
    <cellStyle name="Heading 2 2" xfId="935" xr:uid="{00000000-0005-0000-0000-0000AB030000}"/>
    <cellStyle name="Heading 2 2 2" xfId="936" xr:uid="{00000000-0005-0000-0000-0000AC030000}"/>
    <cellStyle name="Heading 2 2 3" xfId="937" xr:uid="{00000000-0005-0000-0000-0000AD030000}"/>
    <cellStyle name="Heading 2 2 4" xfId="938" xr:uid="{00000000-0005-0000-0000-0000AE030000}"/>
    <cellStyle name="Heading 2 2 5" xfId="939" xr:uid="{00000000-0005-0000-0000-0000AF030000}"/>
    <cellStyle name="Heading 2 2 6" xfId="940" xr:uid="{00000000-0005-0000-0000-0000B0030000}"/>
    <cellStyle name="Heading 2 2 7" xfId="941" xr:uid="{00000000-0005-0000-0000-0000B1030000}"/>
    <cellStyle name="Heading 2 3" xfId="942" xr:uid="{00000000-0005-0000-0000-0000B2030000}"/>
    <cellStyle name="Heading 2 3 2" xfId="943" xr:uid="{00000000-0005-0000-0000-0000B3030000}"/>
    <cellStyle name="Heading 2 3 3" xfId="944" xr:uid="{00000000-0005-0000-0000-0000B4030000}"/>
    <cellStyle name="Heading 2 4" xfId="945" xr:uid="{00000000-0005-0000-0000-0000B5030000}"/>
    <cellStyle name="Heading 2 4 2" xfId="946" xr:uid="{00000000-0005-0000-0000-0000B6030000}"/>
    <cellStyle name="Heading 2 5" xfId="947" xr:uid="{00000000-0005-0000-0000-0000B7030000}"/>
    <cellStyle name="Heading 2 6" xfId="948" xr:uid="{00000000-0005-0000-0000-0000B8030000}"/>
    <cellStyle name="Heading 2 7" xfId="949" xr:uid="{00000000-0005-0000-0000-0000B9030000}"/>
    <cellStyle name="Heading 3 2" xfId="950" xr:uid="{00000000-0005-0000-0000-0000BA030000}"/>
    <cellStyle name="Heading 3 2 2" xfId="951" xr:uid="{00000000-0005-0000-0000-0000BB030000}"/>
    <cellStyle name="Heading 3 2 3" xfId="952" xr:uid="{00000000-0005-0000-0000-0000BC030000}"/>
    <cellStyle name="Heading 3 2 4" xfId="953" xr:uid="{00000000-0005-0000-0000-0000BD030000}"/>
    <cellStyle name="Heading 3 2 5" xfId="954" xr:uid="{00000000-0005-0000-0000-0000BE030000}"/>
    <cellStyle name="Heading 3 2 6" xfId="955" xr:uid="{00000000-0005-0000-0000-0000BF030000}"/>
    <cellStyle name="Heading 3 2 7" xfId="956" xr:uid="{00000000-0005-0000-0000-0000C0030000}"/>
    <cellStyle name="Heading 3 3" xfId="957" xr:uid="{00000000-0005-0000-0000-0000C1030000}"/>
    <cellStyle name="Heading 3 3 2" xfId="958" xr:uid="{00000000-0005-0000-0000-0000C2030000}"/>
    <cellStyle name="Heading 3 3 3" xfId="959" xr:uid="{00000000-0005-0000-0000-0000C3030000}"/>
    <cellStyle name="Heading 3 4" xfId="960" xr:uid="{00000000-0005-0000-0000-0000C4030000}"/>
    <cellStyle name="Heading 3 4 2" xfId="961" xr:uid="{00000000-0005-0000-0000-0000C5030000}"/>
    <cellStyle name="Heading 3 5" xfId="962" xr:uid="{00000000-0005-0000-0000-0000C6030000}"/>
    <cellStyle name="Heading 3 6" xfId="963" xr:uid="{00000000-0005-0000-0000-0000C7030000}"/>
    <cellStyle name="Heading 3 7" xfId="964" xr:uid="{00000000-0005-0000-0000-0000C8030000}"/>
    <cellStyle name="Heading 4 2" xfId="965" xr:uid="{00000000-0005-0000-0000-0000C9030000}"/>
    <cellStyle name="Heading 4 2 2" xfId="966" xr:uid="{00000000-0005-0000-0000-0000CA030000}"/>
    <cellStyle name="Heading 4 2 3" xfId="967" xr:uid="{00000000-0005-0000-0000-0000CB030000}"/>
    <cellStyle name="Heading 4 2 4" xfId="968" xr:uid="{00000000-0005-0000-0000-0000CC030000}"/>
    <cellStyle name="Heading 4 2 5" xfId="969" xr:uid="{00000000-0005-0000-0000-0000CD030000}"/>
    <cellStyle name="Heading 4 2 6" xfId="970" xr:uid="{00000000-0005-0000-0000-0000CE030000}"/>
    <cellStyle name="Heading 4 2 7" xfId="971" xr:uid="{00000000-0005-0000-0000-0000CF030000}"/>
    <cellStyle name="Heading 4 3" xfId="972" xr:uid="{00000000-0005-0000-0000-0000D0030000}"/>
    <cellStyle name="Heading 4 3 2" xfId="973" xr:uid="{00000000-0005-0000-0000-0000D1030000}"/>
    <cellStyle name="Heading 4 3 3" xfId="974" xr:uid="{00000000-0005-0000-0000-0000D2030000}"/>
    <cellStyle name="Heading 4 4" xfId="975" xr:uid="{00000000-0005-0000-0000-0000D3030000}"/>
    <cellStyle name="Heading 4 4 2" xfId="976" xr:uid="{00000000-0005-0000-0000-0000D4030000}"/>
    <cellStyle name="Heading 4 5" xfId="977" xr:uid="{00000000-0005-0000-0000-0000D5030000}"/>
    <cellStyle name="Heading 4 6" xfId="978" xr:uid="{00000000-0005-0000-0000-0000D6030000}"/>
    <cellStyle name="Heading 4 7" xfId="979" xr:uid="{00000000-0005-0000-0000-0000D7030000}"/>
    <cellStyle name="Hyperlink 2" xfId="980" xr:uid="{00000000-0005-0000-0000-0000D9030000}"/>
    <cellStyle name="Hyperlink 2 2" xfId="981" xr:uid="{00000000-0005-0000-0000-0000DA030000}"/>
    <cellStyle name="Hyperlink 2 3" xfId="982" xr:uid="{00000000-0005-0000-0000-0000DB030000}"/>
    <cellStyle name="Hyperlink 2 4" xfId="983" xr:uid="{00000000-0005-0000-0000-0000DC030000}"/>
    <cellStyle name="Hyperlink 3" xfId="984" xr:uid="{00000000-0005-0000-0000-0000DD030000}"/>
    <cellStyle name="Incorrecto" xfId="7" builtinId="27" customBuiltin="1"/>
    <cellStyle name="Input 2" xfId="985" xr:uid="{00000000-0005-0000-0000-0000DE030000}"/>
    <cellStyle name="Input 2 2" xfId="986" xr:uid="{00000000-0005-0000-0000-0000DF030000}"/>
    <cellStyle name="Input 2 3" xfId="987" xr:uid="{00000000-0005-0000-0000-0000E0030000}"/>
    <cellStyle name="Input 2 4" xfId="988" xr:uid="{00000000-0005-0000-0000-0000E1030000}"/>
    <cellStyle name="Input 2 5" xfId="989" xr:uid="{00000000-0005-0000-0000-0000E2030000}"/>
    <cellStyle name="Input 2 6" xfId="990" xr:uid="{00000000-0005-0000-0000-0000E3030000}"/>
    <cellStyle name="Input 2 7" xfId="991" xr:uid="{00000000-0005-0000-0000-0000E4030000}"/>
    <cellStyle name="Input 3" xfId="992" xr:uid="{00000000-0005-0000-0000-0000E5030000}"/>
    <cellStyle name="Input 3 2" xfId="993" xr:uid="{00000000-0005-0000-0000-0000E6030000}"/>
    <cellStyle name="Input 3 3" xfId="994" xr:uid="{00000000-0005-0000-0000-0000E7030000}"/>
    <cellStyle name="Input 4" xfId="995" xr:uid="{00000000-0005-0000-0000-0000E8030000}"/>
    <cellStyle name="Input 4 2" xfId="996" xr:uid="{00000000-0005-0000-0000-0000E9030000}"/>
    <cellStyle name="Input 5" xfId="997" xr:uid="{00000000-0005-0000-0000-0000EA030000}"/>
    <cellStyle name="Input 6" xfId="998" xr:uid="{00000000-0005-0000-0000-0000EB030000}"/>
    <cellStyle name="Input 7" xfId="999" xr:uid="{00000000-0005-0000-0000-0000EC030000}"/>
    <cellStyle name="Input 8" xfId="1000" xr:uid="{00000000-0005-0000-0000-0000ED030000}"/>
    <cellStyle name="Input 9" xfId="1001" xr:uid="{00000000-0005-0000-0000-0000EE030000}"/>
    <cellStyle name="Inputs" xfId="1002" xr:uid="{00000000-0005-0000-0000-0000EF030000}"/>
    <cellStyle name="Inputs 2" xfId="1003" xr:uid="{00000000-0005-0000-0000-0000F0030000}"/>
    <cellStyle name="Inputs 2 2" xfId="1004" xr:uid="{00000000-0005-0000-0000-0000F1030000}"/>
    <cellStyle name="Inputs 3" xfId="1005" xr:uid="{00000000-0005-0000-0000-0000F2030000}"/>
    <cellStyle name="Inputs 3 2" xfId="1006" xr:uid="{00000000-0005-0000-0000-0000F3030000}"/>
    <cellStyle name="Inputs 4" xfId="1007" xr:uid="{00000000-0005-0000-0000-0000F4030000}"/>
    <cellStyle name="Inputs 4 2" xfId="1008" xr:uid="{00000000-0005-0000-0000-0000F5030000}"/>
    <cellStyle name="Inputs 5" xfId="1009" xr:uid="{00000000-0005-0000-0000-0000F6030000}"/>
    <cellStyle name="Inputs 5 2" xfId="1010" xr:uid="{00000000-0005-0000-0000-0000F7030000}"/>
    <cellStyle name="Inputs 6" xfId="1011" xr:uid="{00000000-0005-0000-0000-0000F8030000}"/>
    <cellStyle name="Inputs 6 2" xfId="1012" xr:uid="{00000000-0005-0000-0000-0000F9030000}"/>
    <cellStyle name="Inputs 6 2 2" xfId="1013" xr:uid="{00000000-0005-0000-0000-0000FA030000}"/>
    <cellStyle name="Inputs 6 3" xfId="1014" xr:uid="{00000000-0005-0000-0000-0000FB030000}"/>
    <cellStyle name="Inputs 7" xfId="1015" xr:uid="{00000000-0005-0000-0000-0000FC030000}"/>
    <cellStyle name="Inputs 7 2" xfId="1016" xr:uid="{00000000-0005-0000-0000-0000FD030000}"/>
    <cellStyle name="Inputs 7 2 2" xfId="1017" xr:uid="{00000000-0005-0000-0000-0000FE030000}"/>
    <cellStyle name="Inputs 7 3" xfId="1018" xr:uid="{00000000-0005-0000-0000-0000FF030000}"/>
    <cellStyle name="Inputs 8" xfId="1019" xr:uid="{00000000-0005-0000-0000-000000040000}"/>
    <cellStyle name="Inputs 8 2" xfId="1020" xr:uid="{00000000-0005-0000-0000-000001040000}"/>
    <cellStyle name="Inputs 8 3" xfId="1021" xr:uid="{00000000-0005-0000-0000-000002040000}"/>
    <cellStyle name="JPM Date" xfId="1022" xr:uid="{00000000-0005-0000-0000-000003040000}"/>
    <cellStyle name="Linked Cell 2" xfId="1023" xr:uid="{00000000-0005-0000-0000-000004040000}"/>
    <cellStyle name="Linked Cell 2 2" xfId="1024" xr:uid="{00000000-0005-0000-0000-000005040000}"/>
    <cellStyle name="Linked Cell 2 3" xfId="1025" xr:uid="{00000000-0005-0000-0000-000006040000}"/>
    <cellStyle name="Linked Cell 2 4" xfId="1026" xr:uid="{00000000-0005-0000-0000-000007040000}"/>
    <cellStyle name="Linked Cell 2 5" xfId="1027" xr:uid="{00000000-0005-0000-0000-000008040000}"/>
    <cellStyle name="Linked Cell 2 6" xfId="1028" xr:uid="{00000000-0005-0000-0000-000009040000}"/>
    <cellStyle name="Linked Cell 3" xfId="1029" xr:uid="{00000000-0005-0000-0000-00000A040000}"/>
    <cellStyle name="Linked Cell 3 2" xfId="1030" xr:uid="{00000000-0005-0000-0000-00000B040000}"/>
    <cellStyle name="Linked Cell 3 3" xfId="1031" xr:uid="{00000000-0005-0000-0000-00000C040000}"/>
    <cellStyle name="Linked Cell 4" xfId="1032" xr:uid="{00000000-0005-0000-0000-00000D040000}"/>
    <cellStyle name="Linked Cell 4 2" xfId="1033" xr:uid="{00000000-0005-0000-0000-00000E040000}"/>
    <cellStyle name="Linked Cell 5" xfId="1034" xr:uid="{00000000-0005-0000-0000-00000F040000}"/>
    <cellStyle name="Linked Cell 6" xfId="1035" xr:uid="{00000000-0005-0000-0000-000010040000}"/>
    <cellStyle name="Linked Cell 7" xfId="1036" xr:uid="{00000000-0005-0000-0000-000011040000}"/>
    <cellStyle name="Linked Cell 8" xfId="1037" xr:uid="{00000000-0005-0000-0000-000012040000}"/>
    <cellStyle name="Neutral" xfId="8" builtinId="28" customBuiltin="1"/>
    <cellStyle name="Neutral 10" xfId="1038" xr:uid="{00000000-0005-0000-0000-000013040000}"/>
    <cellStyle name="Neutral 2" xfId="1039" xr:uid="{00000000-0005-0000-0000-000014040000}"/>
    <cellStyle name="Neutral 2 2" xfId="1040" xr:uid="{00000000-0005-0000-0000-000015040000}"/>
    <cellStyle name="Neutral 2 3" xfId="1041" xr:uid="{00000000-0005-0000-0000-000016040000}"/>
    <cellStyle name="Neutral 2 4" xfId="1042" xr:uid="{00000000-0005-0000-0000-000017040000}"/>
    <cellStyle name="Neutral 2 5" xfId="1043" xr:uid="{00000000-0005-0000-0000-000018040000}"/>
    <cellStyle name="Neutral 2 6" xfId="1044" xr:uid="{00000000-0005-0000-0000-000019040000}"/>
    <cellStyle name="Neutral 2 7" xfId="1045" xr:uid="{00000000-0005-0000-0000-00001A040000}"/>
    <cellStyle name="Neutral 3" xfId="1046" xr:uid="{00000000-0005-0000-0000-00001B040000}"/>
    <cellStyle name="Neutral 3 2" xfId="1047" xr:uid="{00000000-0005-0000-0000-00001C040000}"/>
    <cellStyle name="Neutral 3 3" xfId="1048" xr:uid="{00000000-0005-0000-0000-00001D040000}"/>
    <cellStyle name="Neutral 4" xfId="1049" xr:uid="{00000000-0005-0000-0000-00001E040000}"/>
    <cellStyle name="Neutral 4 2" xfId="1050" xr:uid="{00000000-0005-0000-0000-00001F040000}"/>
    <cellStyle name="Neutral 5" xfId="1051" xr:uid="{00000000-0005-0000-0000-000020040000}"/>
    <cellStyle name="Neutral 6" xfId="1052" xr:uid="{00000000-0005-0000-0000-000021040000}"/>
    <cellStyle name="Neutral 7" xfId="1053" xr:uid="{00000000-0005-0000-0000-000022040000}"/>
    <cellStyle name="Neutral 8" xfId="1054" xr:uid="{00000000-0005-0000-0000-000023040000}"/>
    <cellStyle name="Neutral 9" xfId="1055" xr:uid="{00000000-0005-0000-0000-000024040000}"/>
    <cellStyle name="Normal" xfId="0" builtinId="0"/>
    <cellStyle name="Normal 10" xfId="1056" xr:uid="{00000000-0005-0000-0000-000025040000}"/>
    <cellStyle name="Normal 10 2" xfId="1057" xr:uid="{00000000-0005-0000-0000-000026040000}"/>
    <cellStyle name="Normal 100" xfId="1058" xr:uid="{00000000-0005-0000-0000-000027040000}"/>
    <cellStyle name="Normal 101" xfId="1059" xr:uid="{00000000-0005-0000-0000-000028040000}"/>
    <cellStyle name="Normal 11" xfId="1060" xr:uid="{00000000-0005-0000-0000-000029040000}"/>
    <cellStyle name="Normal 11 2" xfId="1061" xr:uid="{00000000-0005-0000-0000-00002A040000}"/>
    <cellStyle name="Normal 12" xfId="1062" xr:uid="{00000000-0005-0000-0000-00002B040000}"/>
    <cellStyle name="Normal 12 2" xfId="1063" xr:uid="{00000000-0005-0000-0000-00002C040000}"/>
    <cellStyle name="Normal 13" xfId="1064" xr:uid="{00000000-0005-0000-0000-00002D040000}"/>
    <cellStyle name="Normal 13 2" xfId="1065" xr:uid="{00000000-0005-0000-0000-00002E040000}"/>
    <cellStyle name="Normal 14" xfId="1066" xr:uid="{00000000-0005-0000-0000-00002F040000}"/>
    <cellStyle name="Normal 14 2" xfId="1067" xr:uid="{00000000-0005-0000-0000-000030040000}"/>
    <cellStyle name="Normal 14 3" xfId="1068" xr:uid="{00000000-0005-0000-0000-000031040000}"/>
    <cellStyle name="Normal 15" xfId="1069" xr:uid="{00000000-0005-0000-0000-000032040000}"/>
    <cellStyle name="Normal 15 2" xfId="1070" xr:uid="{00000000-0005-0000-0000-000033040000}"/>
    <cellStyle name="Normal 16" xfId="1071" xr:uid="{00000000-0005-0000-0000-000034040000}"/>
    <cellStyle name="Normal 16 2" xfId="1072" xr:uid="{00000000-0005-0000-0000-000035040000}"/>
    <cellStyle name="Normal 16 3" xfId="1073" xr:uid="{00000000-0005-0000-0000-000036040000}"/>
    <cellStyle name="Normal 17" xfId="1074" xr:uid="{00000000-0005-0000-0000-000037040000}"/>
    <cellStyle name="Normal 17 2" xfId="1075" xr:uid="{00000000-0005-0000-0000-000038040000}"/>
    <cellStyle name="Normal 17 3" xfId="1076" xr:uid="{00000000-0005-0000-0000-000039040000}"/>
    <cellStyle name="Normal 17 3 2" xfId="1077" xr:uid="{00000000-0005-0000-0000-00003A040000}"/>
    <cellStyle name="Normal 17 3 3" xfId="1078" xr:uid="{00000000-0005-0000-0000-00003B040000}"/>
    <cellStyle name="Normal 17 3 4" xfId="1079" xr:uid="{00000000-0005-0000-0000-00003C040000}"/>
    <cellStyle name="Normal 17 4" xfId="1080" xr:uid="{00000000-0005-0000-0000-00003D040000}"/>
    <cellStyle name="Normal 17 4 2" xfId="1081" xr:uid="{00000000-0005-0000-0000-00003E040000}"/>
    <cellStyle name="Normal 17 4 3" xfId="1082" xr:uid="{00000000-0005-0000-0000-00003F040000}"/>
    <cellStyle name="Normal 17 4 4" xfId="1083" xr:uid="{00000000-0005-0000-0000-000040040000}"/>
    <cellStyle name="Normal 18" xfId="1084" xr:uid="{00000000-0005-0000-0000-000041040000}"/>
    <cellStyle name="Normal 18 2" xfId="1085" xr:uid="{00000000-0005-0000-0000-000042040000}"/>
    <cellStyle name="Normal 18 3" xfId="1086" xr:uid="{00000000-0005-0000-0000-000043040000}"/>
    <cellStyle name="Normal 18 3 2" xfId="1087" xr:uid="{00000000-0005-0000-0000-000044040000}"/>
    <cellStyle name="Normal 18 3 3" xfId="1088" xr:uid="{00000000-0005-0000-0000-000045040000}"/>
    <cellStyle name="Normal 18 3 4" xfId="1089" xr:uid="{00000000-0005-0000-0000-000046040000}"/>
    <cellStyle name="Normal 18 4" xfId="1090" xr:uid="{00000000-0005-0000-0000-000047040000}"/>
    <cellStyle name="Normal 18 4 2" xfId="1091" xr:uid="{00000000-0005-0000-0000-000048040000}"/>
    <cellStyle name="Normal 18 4 3" xfId="1092" xr:uid="{00000000-0005-0000-0000-000049040000}"/>
    <cellStyle name="Normal 18 4 4" xfId="1093" xr:uid="{00000000-0005-0000-0000-00004A040000}"/>
    <cellStyle name="Normal 19" xfId="1094" xr:uid="{00000000-0005-0000-0000-00004B040000}"/>
    <cellStyle name="Normal 19 2" xfId="1095" xr:uid="{00000000-0005-0000-0000-00004C040000}"/>
    <cellStyle name="Normal 2" xfId="1096" xr:uid="{00000000-0005-0000-0000-00004D040000}"/>
    <cellStyle name="Normal 2 2" xfId="1097" xr:uid="{00000000-0005-0000-0000-00004E040000}"/>
    <cellStyle name="Normal 2 2 2" xfId="1098" xr:uid="{00000000-0005-0000-0000-00004F040000}"/>
    <cellStyle name="Normal 2 2 2 2" xfId="1099" xr:uid="{00000000-0005-0000-0000-000050040000}"/>
    <cellStyle name="Normal 2 2 3" xfId="1100" xr:uid="{00000000-0005-0000-0000-000051040000}"/>
    <cellStyle name="Normal 2 3" xfId="1101" xr:uid="{00000000-0005-0000-0000-000052040000}"/>
    <cellStyle name="Normal 2 3 2" xfId="1102" xr:uid="{00000000-0005-0000-0000-000053040000}"/>
    <cellStyle name="Normal 2 4" xfId="1103" xr:uid="{00000000-0005-0000-0000-000054040000}"/>
    <cellStyle name="Normal 2_Index" xfId="1104" xr:uid="{00000000-0005-0000-0000-000055040000}"/>
    <cellStyle name="Normal 20" xfId="1105" xr:uid="{00000000-0005-0000-0000-000056040000}"/>
    <cellStyle name="Normal 20 2" xfId="1106" xr:uid="{00000000-0005-0000-0000-000057040000}"/>
    <cellStyle name="Normal 21" xfId="1107" xr:uid="{00000000-0005-0000-0000-000058040000}"/>
    <cellStyle name="Normal 21 2" xfId="1108" xr:uid="{00000000-0005-0000-0000-000059040000}"/>
    <cellStyle name="Normal 22" xfId="1109" xr:uid="{00000000-0005-0000-0000-00005A040000}"/>
    <cellStyle name="Normal 22 2" xfId="1110" xr:uid="{00000000-0005-0000-0000-00005B040000}"/>
    <cellStyle name="Normal 23" xfId="1111" xr:uid="{00000000-0005-0000-0000-00005C040000}"/>
    <cellStyle name="Normal 23 2" xfId="1112" xr:uid="{00000000-0005-0000-0000-00005D040000}"/>
    <cellStyle name="Normal 24" xfId="1113" xr:uid="{00000000-0005-0000-0000-00005E040000}"/>
    <cellStyle name="Normal 25" xfId="1114" xr:uid="{00000000-0005-0000-0000-00005F040000}"/>
    <cellStyle name="Normal 26" xfId="1115" xr:uid="{00000000-0005-0000-0000-000060040000}"/>
    <cellStyle name="Normal 27" xfId="1116" xr:uid="{00000000-0005-0000-0000-000061040000}"/>
    <cellStyle name="Normal 28" xfId="1117" xr:uid="{00000000-0005-0000-0000-000062040000}"/>
    <cellStyle name="Normal 29" xfId="1118" xr:uid="{00000000-0005-0000-0000-000063040000}"/>
    <cellStyle name="Normal 3" xfId="1119" xr:uid="{00000000-0005-0000-0000-000064040000}"/>
    <cellStyle name="Normal 3 2" xfId="1120" xr:uid="{00000000-0005-0000-0000-000065040000}"/>
    <cellStyle name="Normal 3 2 2" xfId="1121" xr:uid="{00000000-0005-0000-0000-000066040000}"/>
    <cellStyle name="Normal 3 3" xfId="1122" xr:uid="{00000000-0005-0000-0000-000067040000}"/>
    <cellStyle name="Normal 3 4" xfId="1123" xr:uid="{00000000-0005-0000-0000-000068040000}"/>
    <cellStyle name="Normal 3 5" xfId="1124" xr:uid="{00000000-0005-0000-0000-000069040000}"/>
    <cellStyle name="Normal 3 6" xfId="1125" xr:uid="{00000000-0005-0000-0000-00006A040000}"/>
    <cellStyle name="Normal 3 7" xfId="1126" xr:uid="{00000000-0005-0000-0000-00006B040000}"/>
    <cellStyle name="Normal 3_08-12c" xfId="1127" xr:uid="{00000000-0005-0000-0000-00006C040000}"/>
    <cellStyle name="Normal 30" xfId="1128" xr:uid="{00000000-0005-0000-0000-00006D040000}"/>
    <cellStyle name="Normal 31" xfId="1129" xr:uid="{00000000-0005-0000-0000-00006E040000}"/>
    <cellStyle name="Normal 32" xfId="1130" xr:uid="{00000000-0005-0000-0000-00006F040000}"/>
    <cellStyle name="Normal 33" xfId="1131" xr:uid="{00000000-0005-0000-0000-000070040000}"/>
    <cellStyle name="Normal 34" xfId="1132" xr:uid="{00000000-0005-0000-0000-000071040000}"/>
    <cellStyle name="Normal 35" xfId="1133" xr:uid="{00000000-0005-0000-0000-000072040000}"/>
    <cellStyle name="Normal 36" xfId="1134" xr:uid="{00000000-0005-0000-0000-000073040000}"/>
    <cellStyle name="Normal 37" xfId="1135" xr:uid="{00000000-0005-0000-0000-000074040000}"/>
    <cellStyle name="Normal 37 2" xfId="1136" xr:uid="{00000000-0005-0000-0000-000075040000}"/>
    <cellStyle name="Normal 37 2 2" xfId="1137" xr:uid="{00000000-0005-0000-0000-000076040000}"/>
    <cellStyle name="Normal 37 2 3" xfId="1138" xr:uid="{00000000-0005-0000-0000-000077040000}"/>
    <cellStyle name="Normal 37 2 4" xfId="1139" xr:uid="{00000000-0005-0000-0000-000078040000}"/>
    <cellStyle name="Normal 37 3" xfId="1140" xr:uid="{00000000-0005-0000-0000-000079040000}"/>
    <cellStyle name="Normal 37 4" xfId="1141" xr:uid="{00000000-0005-0000-0000-00007A040000}"/>
    <cellStyle name="Normal 37 5" xfId="1142" xr:uid="{00000000-0005-0000-0000-00007B040000}"/>
    <cellStyle name="Normal 38" xfId="1143" xr:uid="{00000000-0005-0000-0000-00007C040000}"/>
    <cellStyle name="Normal 39" xfId="1144" xr:uid="{00000000-0005-0000-0000-00007D040000}"/>
    <cellStyle name="Normal 4" xfId="1145" xr:uid="{00000000-0005-0000-0000-00007E040000}"/>
    <cellStyle name="Normal 4 2" xfId="1146" xr:uid="{00000000-0005-0000-0000-00007F040000}"/>
    <cellStyle name="Normal 4 3" xfId="1147" xr:uid="{00000000-0005-0000-0000-000080040000}"/>
    <cellStyle name="Normal 40" xfId="1148" xr:uid="{00000000-0005-0000-0000-000081040000}"/>
    <cellStyle name="Normal 41" xfId="1149" xr:uid="{00000000-0005-0000-0000-000082040000}"/>
    <cellStyle name="Normal 42" xfId="1150" xr:uid="{00000000-0005-0000-0000-000083040000}"/>
    <cellStyle name="Normal 43" xfId="1151" xr:uid="{00000000-0005-0000-0000-000084040000}"/>
    <cellStyle name="Normal 44" xfId="1152" xr:uid="{00000000-0005-0000-0000-000085040000}"/>
    <cellStyle name="Normal 45" xfId="1153" xr:uid="{00000000-0005-0000-0000-000086040000}"/>
    <cellStyle name="Normal 46" xfId="1154" xr:uid="{00000000-0005-0000-0000-000087040000}"/>
    <cellStyle name="Normal 47" xfId="1155" xr:uid="{00000000-0005-0000-0000-000088040000}"/>
    <cellStyle name="Normal 48" xfId="1156" xr:uid="{00000000-0005-0000-0000-000089040000}"/>
    <cellStyle name="Normal 49" xfId="1157" xr:uid="{00000000-0005-0000-0000-00008A040000}"/>
    <cellStyle name="Normal 5" xfId="1158" xr:uid="{00000000-0005-0000-0000-00008B040000}"/>
    <cellStyle name="Normal 5 2" xfId="1159" xr:uid="{00000000-0005-0000-0000-00008C040000}"/>
    <cellStyle name="Normal 50" xfId="1160" xr:uid="{00000000-0005-0000-0000-00008D040000}"/>
    <cellStyle name="Normal 51" xfId="1161" xr:uid="{00000000-0005-0000-0000-00008E040000}"/>
    <cellStyle name="Normal 52" xfId="1162" xr:uid="{00000000-0005-0000-0000-00008F040000}"/>
    <cellStyle name="Normal 53" xfId="1163" xr:uid="{00000000-0005-0000-0000-000090040000}"/>
    <cellStyle name="Normal 54" xfId="1164" xr:uid="{00000000-0005-0000-0000-000091040000}"/>
    <cellStyle name="Normal 55" xfId="1165" xr:uid="{00000000-0005-0000-0000-000092040000}"/>
    <cellStyle name="Normal 56" xfId="1166" xr:uid="{00000000-0005-0000-0000-000093040000}"/>
    <cellStyle name="Normal 57" xfId="1167" xr:uid="{00000000-0005-0000-0000-000094040000}"/>
    <cellStyle name="Normal 58" xfId="1168" xr:uid="{00000000-0005-0000-0000-000095040000}"/>
    <cellStyle name="Normal 59" xfId="1169" xr:uid="{00000000-0005-0000-0000-000096040000}"/>
    <cellStyle name="Normal 59 2" xfId="1170" xr:uid="{00000000-0005-0000-0000-000097040000}"/>
    <cellStyle name="Normal 59 3" xfId="1171" xr:uid="{00000000-0005-0000-0000-000098040000}"/>
    <cellStyle name="Normal 59 4" xfId="1172" xr:uid="{00000000-0005-0000-0000-000099040000}"/>
    <cellStyle name="Normal 6" xfId="1173" xr:uid="{00000000-0005-0000-0000-00009A040000}"/>
    <cellStyle name="Normal 6 2" xfId="1174" xr:uid="{00000000-0005-0000-0000-00009B040000}"/>
    <cellStyle name="Normal 60" xfId="1175" xr:uid="{00000000-0005-0000-0000-00009C040000}"/>
    <cellStyle name="Normal 60 2" xfId="1176" xr:uid="{00000000-0005-0000-0000-00009D040000}"/>
    <cellStyle name="Normal 60 3" xfId="1177" xr:uid="{00000000-0005-0000-0000-00009E040000}"/>
    <cellStyle name="Normal 60 4" xfId="1178" xr:uid="{00000000-0005-0000-0000-00009F040000}"/>
    <cellStyle name="Normal 61" xfId="1179" xr:uid="{00000000-0005-0000-0000-0000A0040000}"/>
    <cellStyle name="Normal 61 2" xfId="1180" xr:uid="{00000000-0005-0000-0000-0000A1040000}"/>
    <cellStyle name="Normal 61 3" xfId="1181" xr:uid="{00000000-0005-0000-0000-0000A2040000}"/>
    <cellStyle name="Normal 61 4" xfId="1182" xr:uid="{00000000-0005-0000-0000-0000A3040000}"/>
    <cellStyle name="Normal 62" xfId="1183" xr:uid="{00000000-0005-0000-0000-0000A4040000}"/>
    <cellStyle name="Normal 62 2" xfId="1184" xr:uid="{00000000-0005-0000-0000-0000A5040000}"/>
    <cellStyle name="Normal 62 3" xfId="1185" xr:uid="{00000000-0005-0000-0000-0000A6040000}"/>
    <cellStyle name="Normal 62 4" xfId="1186" xr:uid="{00000000-0005-0000-0000-0000A7040000}"/>
    <cellStyle name="Normal 63" xfId="1187" xr:uid="{00000000-0005-0000-0000-0000A8040000}"/>
    <cellStyle name="Normal 63 2" xfId="1188" xr:uid="{00000000-0005-0000-0000-0000A9040000}"/>
    <cellStyle name="Normal 63 3" xfId="1189" xr:uid="{00000000-0005-0000-0000-0000AA040000}"/>
    <cellStyle name="Normal 63 4" xfId="1190" xr:uid="{00000000-0005-0000-0000-0000AB040000}"/>
    <cellStyle name="Normal 64" xfId="1191" xr:uid="{00000000-0005-0000-0000-0000AC040000}"/>
    <cellStyle name="Normal 64 2" xfId="1192" xr:uid="{00000000-0005-0000-0000-0000AD040000}"/>
    <cellStyle name="Normal 64 3" xfId="1193" xr:uid="{00000000-0005-0000-0000-0000AE040000}"/>
    <cellStyle name="Normal 64 4" xfId="1194" xr:uid="{00000000-0005-0000-0000-0000AF040000}"/>
    <cellStyle name="Normal 65" xfId="1195" xr:uid="{00000000-0005-0000-0000-0000B0040000}"/>
    <cellStyle name="Normal 65 2" xfId="1196" xr:uid="{00000000-0005-0000-0000-0000B1040000}"/>
    <cellStyle name="Normal 66" xfId="1197" xr:uid="{00000000-0005-0000-0000-0000B2040000}"/>
    <cellStyle name="Normal 66 2" xfId="1198" xr:uid="{00000000-0005-0000-0000-0000B3040000}"/>
    <cellStyle name="Normal 67" xfId="1199" xr:uid="{00000000-0005-0000-0000-0000B4040000}"/>
    <cellStyle name="Normal 67 2" xfId="1200" xr:uid="{00000000-0005-0000-0000-0000B5040000}"/>
    <cellStyle name="Normal 68" xfId="1201" xr:uid="{00000000-0005-0000-0000-0000B6040000}"/>
    <cellStyle name="Normal 68 2" xfId="1202" xr:uid="{00000000-0005-0000-0000-0000B7040000}"/>
    <cellStyle name="Normal 69" xfId="1203" xr:uid="{00000000-0005-0000-0000-0000B8040000}"/>
    <cellStyle name="Normal 69 2" xfId="1204" xr:uid="{00000000-0005-0000-0000-0000B9040000}"/>
    <cellStyle name="Normal 7" xfId="1205" xr:uid="{00000000-0005-0000-0000-0000BA040000}"/>
    <cellStyle name="Normal 7 2" xfId="1206" xr:uid="{00000000-0005-0000-0000-0000BB040000}"/>
    <cellStyle name="Normal 70" xfId="1207" xr:uid="{00000000-0005-0000-0000-0000BC040000}"/>
    <cellStyle name="Normal 70 2" xfId="1208" xr:uid="{00000000-0005-0000-0000-0000BD040000}"/>
    <cellStyle name="Normal 71" xfId="1209" xr:uid="{00000000-0005-0000-0000-0000BE040000}"/>
    <cellStyle name="Normal 71 2" xfId="1210" xr:uid="{00000000-0005-0000-0000-0000BF040000}"/>
    <cellStyle name="Normal 72" xfId="1211" xr:uid="{00000000-0005-0000-0000-0000C0040000}"/>
    <cellStyle name="Normal 72 2" xfId="1212" xr:uid="{00000000-0005-0000-0000-0000C1040000}"/>
    <cellStyle name="Normal 73" xfId="1213" xr:uid="{00000000-0005-0000-0000-0000C2040000}"/>
    <cellStyle name="Normal 73 2" xfId="1214" xr:uid="{00000000-0005-0000-0000-0000C3040000}"/>
    <cellStyle name="Normal 74" xfId="1215" xr:uid="{00000000-0005-0000-0000-0000C4040000}"/>
    <cellStyle name="Normal 74 2" xfId="1216" xr:uid="{00000000-0005-0000-0000-0000C5040000}"/>
    <cellStyle name="Normal 75" xfId="1217" xr:uid="{00000000-0005-0000-0000-0000C6040000}"/>
    <cellStyle name="Normal 75 2" xfId="1218" xr:uid="{00000000-0005-0000-0000-0000C7040000}"/>
    <cellStyle name="Normal 76" xfId="1219" xr:uid="{00000000-0005-0000-0000-0000C8040000}"/>
    <cellStyle name="Normal 76 2" xfId="1220" xr:uid="{00000000-0005-0000-0000-0000C9040000}"/>
    <cellStyle name="Normal 77" xfId="1221" xr:uid="{00000000-0005-0000-0000-0000CA040000}"/>
    <cellStyle name="Normal 77 2" xfId="1222" xr:uid="{00000000-0005-0000-0000-0000CB040000}"/>
    <cellStyle name="Normal 78" xfId="1223" xr:uid="{00000000-0005-0000-0000-0000CC040000}"/>
    <cellStyle name="Normal 78 2" xfId="1224" xr:uid="{00000000-0005-0000-0000-0000CD040000}"/>
    <cellStyle name="Normal 79" xfId="1225" xr:uid="{00000000-0005-0000-0000-0000CE040000}"/>
    <cellStyle name="Normal 79 2" xfId="1226" xr:uid="{00000000-0005-0000-0000-0000CF040000}"/>
    <cellStyle name="Normal 8" xfId="1227" xr:uid="{00000000-0005-0000-0000-0000D0040000}"/>
    <cellStyle name="Normal 8 2" xfId="1228" xr:uid="{00000000-0005-0000-0000-0000D1040000}"/>
    <cellStyle name="Normal 80" xfId="1229" xr:uid="{00000000-0005-0000-0000-0000D2040000}"/>
    <cellStyle name="Normal 80 2" xfId="1230" xr:uid="{00000000-0005-0000-0000-0000D3040000}"/>
    <cellStyle name="Normal 81" xfId="1231" xr:uid="{00000000-0005-0000-0000-0000D4040000}"/>
    <cellStyle name="Normal 81 2" xfId="1232" xr:uid="{00000000-0005-0000-0000-0000D5040000}"/>
    <cellStyle name="Normal 82" xfId="1233" xr:uid="{00000000-0005-0000-0000-0000D6040000}"/>
    <cellStyle name="Normal 82 2" xfId="1234" xr:uid="{00000000-0005-0000-0000-0000D7040000}"/>
    <cellStyle name="Normal 83" xfId="1235" xr:uid="{00000000-0005-0000-0000-0000D8040000}"/>
    <cellStyle name="Normal 84" xfId="1236" xr:uid="{00000000-0005-0000-0000-0000D9040000}"/>
    <cellStyle name="Normal 85" xfId="1237" xr:uid="{00000000-0005-0000-0000-0000DA040000}"/>
    <cellStyle name="Normal 86" xfId="1238" xr:uid="{00000000-0005-0000-0000-0000DB040000}"/>
    <cellStyle name="Normal 87" xfId="1239" xr:uid="{00000000-0005-0000-0000-0000DC040000}"/>
    <cellStyle name="Normal 88" xfId="1240" xr:uid="{00000000-0005-0000-0000-0000DD040000}"/>
    <cellStyle name="Normal 89" xfId="1241" xr:uid="{00000000-0005-0000-0000-0000DE040000}"/>
    <cellStyle name="Normal 9" xfId="1242" xr:uid="{00000000-0005-0000-0000-0000DF040000}"/>
    <cellStyle name="Normal 9 2" xfId="1243" xr:uid="{00000000-0005-0000-0000-0000E0040000}"/>
    <cellStyle name="Normal 90" xfId="1244" xr:uid="{00000000-0005-0000-0000-0000E1040000}"/>
    <cellStyle name="Normal 91" xfId="1245" xr:uid="{00000000-0005-0000-0000-0000E2040000}"/>
    <cellStyle name="Normal 92" xfId="1246" xr:uid="{00000000-0005-0000-0000-0000E3040000}"/>
    <cellStyle name="Normal 93" xfId="1247" xr:uid="{00000000-0005-0000-0000-0000E4040000}"/>
    <cellStyle name="Normal 94" xfId="1248" xr:uid="{00000000-0005-0000-0000-0000E5040000}"/>
    <cellStyle name="Normal 95" xfId="1249" xr:uid="{00000000-0005-0000-0000-0000E6040000}"/>
    <cellStyle name="Normal 96" xfId="1250" xr:uid="{00000000-0005-0000-0000-0000E7040000}"/>
    <cellStyle name="Normal 97" xfId="1251" xr:uid="{00000000-0005-0000-0000-0000E8040000}"/>
    <cellStyle name="Normal 98" xfId="1252" xr:uid="{00000000-0005-0000-0000-0000E9040000}"/>
    <cellStyle name="Normal 99" xfId="1253" xr:uid="{00000000-0005-0000-0000-0000EA040000}"/>
    <cellStyle name="Notas" xfId="15" builtinId="10" customBuiltin="1"/>
    <cellStyle name="Note 10" xfId="1254" xr:uid="{00000000-0005-0000-0000-0000EB040000}"/>
    <cellStyle name="Note 10 2" xfId="1255" xr:uid="{00000000-0005-0000-0000-0000EC040000}"/>
    <cellStyle name="Note 10 2 2" xfId="1256" xr:uid="{00000000-0005-0000-0000-0000ED040000}"/>
    <cellStyle name="Note 10 2 2 2" xfId="1257" xr:uid="{00000000-0005-0000-0000-0000EE040000}"/>
    <cellStyle name="Note 10 2 2 3" xfId="1258" xr:uid="{00000000-0005-0000-0000-0000EF040000}"/>
    <cellStyle name="Note 10 2 2 4" xfId="1259" xr:uid="{00000000-0005-0000-0000-0000F0040000}"/>
    <cellStyle name="Note 10 2 3" xfId="1260" xr:uid="{00000000-0005-0000-0000-0000F1040000}"/>
    <cellStyle name="Note 10 2 4" xfId="1261" xr:uid="{00000000-0005-0000-0000-0000F2040000}"/>
    <cellStyle name="Note 10 2 5" xfId="1262" xr:uid="{00000000-0005-0000-0000-0000F3040000}"/>
    <cellStyle name="Note 10 3" xfId="1263" xr:uid="{00000000-0005-0000-0000-0000F4040000}"/>
    <cellStyle name="Note 11" xfId="1264" xr:uid="{00000000-0005-0000-0000-0000F5040000}"/>
    <cellStyle name="Note 12" xfId="1265" xr:uid="{00000000-0005-0000-0000-0000F6040000}"/>
    <cellStyle name="Note 13" xfId="1266" xr:uid="{00000000-0005-0000-0000-0000F7040000}"/>
    <cellStyle name="Note 14" xfId="1267" xr:uid="{00000000-0005-0000-0000-0000F8040000}"/>
    <cellStyle name="Note 14 2" xfId="1268" xr:uid="{00000000-0005-0000-0000-0000F9040000}"/>
    <cellStyle name="Note 14 3" xfId="1269" xr:uid="{00000000-0005-0000-0000-0000FA040000}"/>
    <cellStyle name="Note 14 4" xfId="1270" xr:uid="{00000000-0005-0000-0000-0000FB040000}"/>
    <cellStyle name="Note 15" xfId="1271" xr:uid="{00000000-0005-0000-0000-0000FC040000}"/>
    <cellStyle name="Note 15 2" xfId="1272" xr:uid="{00000000-0005-0000-0000-0000FD040000}"/>
    <cellStyle name="Note 15 3" xfId="1273" xr:uid="{00000000-0005-0000-0000-0000FE040000}"/>
    <cellStyle name="Note 15 4" xfId="1274" xr:uid="{00000000-0005-0000-0000-0000FF040000}"/>
    <cellStyle name="Note 16" xfId="1275" xr:uid="{00000000-0005-0000-0000-000000050000}"/>
    <cellStyle name="Note 16 2" xfId="1276" xr:uid="{00000000-0005-0000-0000-000001050000}"/>
    <cellStyle name="Note 16 3" xfId="1277" xr:uid="{00000000-0005-0000-0000-000002050000}"/>
    <cellStyle name="Note 16 4" xfId="1278" xr:uid="{00000000-0005-0000-0000-000003050000}"/>
    <cellStyle name="Note 17" xfId="1279" xr:uid="{00000000-0005-0000-0000-000004050000}"/>
    <cellStyle name="Note 2" xfId="1280" xr:uid="{00000000-0005-0000-0000-000005050000}"/>
    <cellStyle name="Note 2 10" xfId="1281" xr:uid="{00000000-0005-0000-0000-000006050000}"/>
    <cellStyle name="Note 2 2" xfId="1282" xr:uid="{00000000-0005-0000-0000-000007050000}"/>
    <cellStyle name="Note 2 2 2" xfId="1283" xr:uid="{00000000-0005-0000-0000-000008050000}"/>
    <cellStyle name="Note 2 2 3" xfId="1284" xr:uid="{00000000-0005-0000-0000-000009050000}"/>
    <cellStyle name="Note 2 3" xfId="1285" xr:uid="{00000000-0005-0000-0000-00000A050000}"/>
    <cellStyle name="Note 2 3 2" xfId="1286" xr:uid="{00000000-0005-0000-0000-00000B050000}"/>
    <cellStyle name="Note 2 3 3" xfId="1287" xr:uid="{00000000-0005-0000-0000-00000C050000}"/>
    <cellStyle name="Note 2 4" xfId="1288" xr:uid="{00000000-0005-0000-0000-00000D050000}"/>
    <cellStyle name="Note 2 5" xfId="1289" xr:uid="{00000000-0005-0000-0000-00000E050000}"/>
    <cellStyle name="Note 2 6" xfId="1290" xr:uid="{00000000-0005-0000-0000-00000F050000}"/>
    <cellStyle name="Note 2 7" xfId="1291" xr:uid="{00000000-0005-0000-0000-000010050000}"/>
    <cellStyle name="Note 2 8" xfId="1292" xr:uid="{00000000-0005-0000-0000-000011050000}"/>
    <cellStyle name="Note 2 9" xfId="1293" xr:uid="{00000000-0005-0000-0000-000012050000}"/>
    <cellStyle name="Note 3" xfId="1294" xr:uid="{00000000-0005-0000-0000-000013050000}"/>
    <cellStyle name="Note 3 2" xfId="1295" xr:uid="{00000000-0005-0000-0000-000014050000}"/>
    <cellStyle name="Note 3 3" xfId="1296" xr:uid="{00000000-0005-0000-0000-000015050000}"/>
    <cellStyle name="Note 4" xfId="1297" xr:uid="{00000000-0005-0000-0000-000016050000}"/>
    <cellStyle name="Note 4 2" xfId="1298" xr:uid="{00000000-0005-0000-0000-000017050000}"/>
    <cellStyle name="Note 4 3" xfId="1299" xr:uid="{00000000-0005-0000-0000-000018050000}"/>
    <cellStyle name="Note 5" xfId="1300" xr:uid="{00000000-0005-0000-0000-000019050000}"/>
    <cellStyle name="Note 5 2" xfId="1301" xr:uid="{00000000-0005-0000-0000-00001A050000}"/>
    <cellStyle name="Note 6" xfId="1302" xr:uid="{00000000-0005-0000-0000-00001B050000}"/>
    <cellStyle name="Note 6 2" xfId="1303" xr:uid="{00000000-0005-0000-0000-00001C050000}"/>
    <cellStyle name="Note 6 2 2" xfId="1304" xr:uid="{00000000-0005-0000-0000-00001D050000}"/>
    <cellStyle name="Note 6 3" xfId="1305" xr:uid="{00000000-0005-0000-0000-00001E050000}"/>
    <cellStyle name="Note 6 4" xfId="1306" xr:uid="{00000000-0005-0000-0000-00001F050000}"/>
    <cellStyle name="Note 7" xfId="1307" xr:uid="{00000000-0005-0000-0000-000020050000}"/>
    <cellStyle name="Note 7 2" xfId="1308" xr:uid="{00000000-0005-0000-0000-000021050000}"/>
    <cellStyle name="Note 8" xfId="1309" xr:uid="{00000000-0005-0000-0000-000022050000}"/>
    <cellStyle name="Note 8 2" xfId="1310" xr:uid="{00000000-0005-0000-0000-000023050000}"/>
    <cellStyle name="Note 9" xfId="1311" xr:uid="{00000000-0005-0000-0000-000024050000}"/>
    <cellStyle name="Note 9 2" xfId="1312" xr:uid="{00000000-0005-0000-0000-000025050000}"/>
    <cellStyle name="Note 9 3" xfId="1313" xr:uid="{00000000-0005-0000-0000-000026050000}"/>
    <cellStyle name="Note 9 3 2" xfId="1314" xr:uid="{00000000-0005-0000-0000-000027050000}"/>
    <cellStyle name="Note 9 3 2 2" xfId="1315" xr:uid="{00000000-0005-0000-0000-000028050000}"/>
    <cellStyle name="Note 9 3 2 3" xfId="1316" xr:uid="{00000000-0005-0000-0000-000029050000}"/>
    <cellStyle name="Note 9 3 2 4" xfId="1317" xr:uid="{00000000-0005-0000-0000-00002A050000}"/>
    <cellStyle name="Note 9 3 3" xfId="1318" xr:uid="{00000000-0005-0000-0000-00002B050000}"/>
    <cellStyle name="Note 9 3 4" xfId="1319" xr:uid="{00000000-0005-0000-0000-00002C050000}"/>
    <cellStyle name="Note 9 3 5" xfId="1320" xr:uid="{00000000-0005-0000-0000-00002D050000}"/>
    <cellStyle name="Note 9 4" xfId="1321" xr:uid="{00000000-0005-0000-0000-00002E050000}"/>
    <cellStyle name="Object" xfId="1322" xr:uid="{00000000-0005-0000-0000-00002F050000}"/>
    <cellStyle name="Object 2" xfId="1323" xr:uid="{00000000-0005-0000-0000-000030050000}"/>
    <cellStyle name="Object 3" xfId="1324" xr:uid="{00000000-0005-0000-0000-000031050000}"/>
    <cellStyle name="Object 4" xfId="1325" xr:uid="{00000000-0005-0000-0000-000032050000}"/>
    <cellStyle name="Output 2" xfId="1326" xr:uid="{00000000-0005-0000-0000-000033050000}"/>
    <cellStyle name="Output 2 2" xfId="1327" xr:uid="{00000000-0005-0000-0000-000034050000}"/>
    <cellStyle name="Output 2 3" xfId="1328" xr:uid="{00000000-0005-0000-0000-000035050000}"/>
    <cellStyle name="Output 2 4" xfId="1329" xr:uid="{00000000-0005-0000-0000-000036050000}"/>
    <cellStyle name="Output 2 5" xfId="1330" xr:uid="{00000000-0005-0000-0000-000037050000}"/>
    <cellStyle name="Output 2 6" xfId="1331" xr:uid="{00000000-0005-0000-0000-000038050000}"/>
    <cellStyle name="Output 2 7" xfId="1332" xr:uid="{00000000-0005-0000-0000-000039050000}"/>
    <cellStyle name="Output 3" xfId="1333" xr:uid="{00000000-0005-0000-0000-00003A050000}"/>
    <cellStyle name="Output 3 2" xfId="1334" xr:uid="{00000000-0005-0000-0000-00003B050000}"/>
    <cellStyle name="Output 3 3" xfId="1335" xr:uid="{00000000-0005-0000-0000-00003C050000}"/>
    <cellStyle name="Output 4" xfId="1336" xr:uid="{00000000-0005-0000-0000-00003D050000}"/>
    <cellStyle name="Output 4 2" xfId="1337" xr:uid="{00000000-0005-0000-0000-00003E050000}"/>
    <cellStyle name="Output 5" xfId="1338" xr:uid="{00000000-0005-0000-0000-00003F050000}"/>
    <cellStyle name="Output 6" xfId="1339" xr:uid="{00000000-0005-0000-0000-000040050000}"/>
    <cellStyle name="Output 7" xfId="1340" xr:uid="{00000000-0005-0000-0000-000041050000}"/>
    <cellStyle name="Output 8" xfId="1341" xr:uid="{00000000-0005-0000-0000-000042050000}"/>
    <cellStyle name="Output 9" xfId="1342" xr:uid="{00000000-0005-0000-0000-000043050000}"/>
    <cellStyle name="Percent 2" xfId="1343" xr:uid="{00000000-0005-0000-0000-000044050000}"/>
    <cellStyle name="Percent 2 2" xfId="1344" xr:uid="{00000000-0005-0000-0000-000045050000}"/>
    <cellStyle name="Percent 3" xfId="1345" xr:uid="{00000000-0005-0000-0000-000046050000}"/>
    <cellStyle name="Percent 3 2" xfId="1346" xr:uid="{00000000-0005-0000-0000-000047050000}"/>
    <cellStyle name="Percent 4" xfId="1347" xr:uid="{00000000-0005-0000-0000-000048050000}"/>
    <cellStyle name="Percent 5" xfId="1348" xr:uid="{00000000-0005-0000-0000-000049050000}"/>
    <cellStyle name="Percent 6" xfId="1349" xr:uid="{00000000-0005-0000-0000-00004A050000}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itle 2" xfId="1350" xr:uid="{00000000-0005-0000-0000-00004B050000}"/>
    <cellStyle name="Title 2 2" xfId="1351" xr:uid="{00000000-0005-0000-0000-00004C050000}"/>
    <cellStyle name="Title 2 3" xfId="1352" xr:uid="{00000000-0005-0000-0000-00004D050000}"/>
    <cellStyle name="Title 2 4" xfId="1353" xr:uid="{00000000-0005-0000-0000-00004E050000}"/>
    <cellStyle name="Title 2 5" xfId="1354" xr:uid="{00000000-0005-0000-0000-00004F050000}"/>
    <cellStyle name="Title 2 6" xfId="1355" xr:uid="{00000000-0005-0000-0000-000050050000}"/>
    <cellStyle name="Title 3" xfId="1356" xr:uid="{00000000-0005-0000-0000-000051050000}"/>
    <cellStyle name="Title 3 2" xfId="1357" xr:uid="{00000000-0005-0000-0000-000052050000}"/>
    <cellStyle name="Title 4" xfId="1358" xr:uid="{00000000-0005-0000-0000-000053050000}"/>
    <cellStyle name="Title 4 2" xfId="1359" xr:uid="{00000000-0005-0000-0000-000054050000}"/>
    <cellStyle name="Title 5" xfId="1360" xr:uid="{00000000-0005-0000-0000-000055050000}"/>
    <cellStyle name="Title 6" xfId="1361" xr:uid="{00000000-0005-0000-0000-000056050000}"/>
    <cellStyle name="Title 7" xfId="1362" xr:uid="{00000000-0005-0000-0000-000057050000}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  <cellStyle name="Total 2" xfId="1363" xr:uid="{00000000-0005-0000-0000-000058050000}"/>
    <cellStyle name="Total 2 2" xfId="1364" xr:uid="{00000000-0005-0000-0000-000059050000}"/>
    <cellStyle name="Total 2 3" xfId="1365" xr:uid="{00000000-0005-0000-0000-00005A050000}"/>
    <cellStyle name="Total 2 4" xfId="1366" xr:uid="{00000000-0005-0000-0000-00005B050000}"/>
    <cellStyle name="Total 2 5" xfId="1367" xr:uid="{00000000-0005-0000-0000-00005C050000}"/>
    <cellStyle name="Total 2 6" xfId="1368" xr:uid="{00000000-0005-0000-0000-00005D050000}"/>
    <cellStyle name="Total 2 7" xfId="1369" xr:uid="{00000000-0005-0000-0000-00005E050000}"/>
    <cellStyle name="Total 3" xfId="1370" xr:uid="{00000000-0005-0000-0000-00005F050000}"/>
    <cellStyle name="Total 3 2" xfId="1371" xr:uid="{00000000-0005-0000-0000-000060050000}"/>
    <cellStyle name="Total 3 3" xfId="1372" xr:uid="{00000000-0005-0000-0000-000061050000}"/>
    <cellStyle name="Total 4" xfId="1373" xr:uid="{00000000-0005-0000-0000-000062050000}"/>
    <cellStyle name="Total 4 2" xfId="1374" xr:uid="{00000000-0005-0000-0000-000063050000}"/>
    <cellStyle name="Total 5" xfId="1375" xr:uid="{00000000-0005-0000-0000-000064050000}"/>
    <cellStyle name="Total 6" xfId="1376" xr:uid="{00000000-0005-0000-0000-000065050000}"/>
    <cellStyle name="Total 7" xfId="1377" xr:uid="{00000000-0005-0000-0000-000066050000}"/>
    <cellStyle name="Total 8" xfId="1378" xr:uid="{00000000-0005-0000-0000-000067050000}"/>
    <cellStyle name="Total 9" xfId="1379" xr:uid="{00000000-0005-0000-0000-000068050000}"/>
    <cellStyle name="Warning Text 10" xfId="1380" xr:uid="{00000000-0005-0000-0000-000069050000}"/>
    <cellStyle name="Warning Text 2" xfId="1381" xr:uid="{00000000-0005-0000-0000-00006A050000}"/>
    <cellStyle name="Warning Text 2 2" xfId="1382" xr:uid="{00000000-0005-0000-0000-00006B050000}"/>
    <cellStyle name="Warning Text 2 3" xfId="1383" xr:uid="{00000000-0005-0000-0000-00006C050000}"/>
    <cellStyle name="Warning Text 2 4" xfId="1384" xr:uid="{00000000-0005-0000-0000-00006D050000}"/>
    <cellStyle name="Warning Text 2 5" xfId="1385" xr:uid="{00000000-0005-0000-0000-00006E050000}"/>
    <cellStyle name="Warning Text 2 6" xfId="1386" xr:uid="{00000000-0005-0000-0000-00006F050000}"/>
    <cellStyle name="Warning Text 3" xfId="1387" xr:uid="{00000000-0005-0000-0000-000070050000}"/>
    <cellStyle name="Warning Text 4" xfId="1388" xr:uid="{00000000-0005-0000-0000-000071050000}"/>
    <cellStyle name="Warning Text 4 2" xfId="1389" xr:uid="{00000000-0005-0000-0000-000072050000}"/>
    <cellStyle name="Warning Text 4 3" xfId="1390" xr:uid="{00000000-0005-0000-0000-000073050000}"/>
    <cellStyle name="Warning Text 5" xfId="1391" xr:uid="{00000000-0005-0000-0000-000074050000}"/>
    <cellStyle name="Warning Text 5 2" xfId="1392" xr:uid="{00000000-0005-0000-0000-000075050000}"/>
    <cellStyle name="Warning Text 6" xfId="1393" xr:uid="{00000000-0005-0000-0000-000076050000}"/>
    <cellStyle name="Warning Text 7" xfId="1394" xr:uid="{00000000-0005-0000-0000-000077050000}"/>
    <cellStyle name="Warning Text 8" xfId="1395" xr:uid="{00000000-0005-0000-0000-000078050000}"/>
    <cellStyle name="Warning Text 9" xfId="1396" xr:uid="{00000000-0005-0000-0000-00007905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28575</xdr:rowOff>
        </xdr:from>
        <xdr:to>
          <xdr:col>10</xdr:col>
          <xdr:colOff>723900</xdr:colOff>
          <xdr:row>0</xdr:row>
          <xdr:rowOff>295275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Filtra Latam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000"/>
  <sheetViews>
    <sheetView workbookViewId="0">
      <pane ySplit="2" topLeftCell="A3" activePane="bottomLeft" state="frozen"/>
      <selection pane="bottomLeft" activeCell="C5" sqref="C5"/>
    </sheetView>
  </sheetViews>
  <sheetFormatPr baseColWidth="10" defaultRowHeight="14.25" x14ac:dyDescent="0.2"/>
  <cols>
    <col min="1" max="1" width="25" customWidth="1"/>
    <col min="2" max="2" width="15.625" customWidth="1"/>
    <col min="3" max="3" width="39.5" customWidth="1"/>
    <col min="14" max="14" width="12.5" customWidth="1"/>
    <col min="15" max="15" width="15.25" customWidth="1"/>
    <col min="16" max="16" width="15.875" customWidth="1"/>
    <col min="17" max="17" width="13.5" customWidth="1"/>
    <col min="18" max="18" width="20.25" customWidth="1"/>
    <col min="19" max="19" width="9.875" customWidth="1"/>
    <col min="26" max="26" width="15.625" customWidth="1"/>
    <col min="29" max="29" width="12.375" customWidth="1"/>
    <col min="30" max="30" width="12" customWidth="1"/>
    <col min="31" max="31" width="11.625" customWidth="1"/>
    <col min="32" max="32" width="10.5" customWidth="1"/>
    <col min="38" max="38" width="10.25" customWidth="1"/>
    <col min="39" max="39" width="15" customWidth="1"/>
    <col min="40" max="40" width="23.75" customWidth="1"/>
    <col min="41" max="41" width="17.375" customWidth="1"/>
    <col min="44" max="44" width="19.625" customWidth="1"/>
  </cols>
  <sheetData>
    <row r="1" spans="1:44" ht="24.75" customHeight="1" x14ac:dyDescent="0.2">
      <c r="A1" s="15" t="s">
        <v>787</v>
      </c>
      <c r="B1" s="14">
        <v>20180430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</row>
    <row r="2" spans="1:44" x14ac:dyDescent="0.2">
      <c r="A2" s="15" t="s">
        <v>0</v>
      </c>
      <c r="B2" s="15" t="s">
        <v>1</v>
      </c>
      <c r="C2" s="15" t="s">
        <v>2</v>
      </c>
      <c r="D2" s="15" t="s">
        <v>3</v>
      </c>
      <c r="E2" s="15" t="s">
        <v>788</v>
      </c>
      <c r="F2" s="15" t="s">
        <v>789</v>
      </c>
      <c r="G2" s="15" t="s">
        <v>4</v>
      </c>
      <c r="H2" s="15" t="s">
        <v>5</v>
      </c>
      <c r="I2" s="15" t="s">
        <v>6</v>
      </c>
      <c r="J2" s="15" t="s">
        <v>7</v>
      </c>
      <c r="K2" s="15" t="s">
        <v>8</v>
      </c>
      <c r="L2" s="15" t="s">
        <v>9</v>
      </c>
      <c r="M2" s="15" t="s">
        <v>10</v>
      </c>
      <c r="N2" s="15" t="s">
        <v>11</v>
      </c>
      <c r="O2" s="15" t="s">
        <v>12</v>
      </c>
      <c r="P2" s="15" t="s">
        <v>13</v>
      </c>
      <c r="Q2" s="15" t="s">
        <v>14</v>
      </c>
      <c r="R2" s="15" t="s">
        <v>15</v>
      </c>
      <c r="S2" s="15" t="s">
        <v>16</v>
      </c>
      <c r="T2" s="15" t="s">
        <v>17</v>
      </c>
      <c r="U2" s="15" t="s">
        <v>18</v>
      </c>
      <c r="V2" s="15" t="s">
        <v>19</v>
      </c>
      <c r="W2" s="15" t="s">
        <v>20</v>
      </c>
      <c r="X2" s="15" t="s">
        <v>790</v>
      </c>
      <c r="Y2" s="15" t="s">
        <v>21</v>
      </c>
      <c r="Z2" s="15" t="s">
        <v>22</v>
      </c>
      <c r="AA2" s="15" t="s">
        <v>23</v>
      </c>
      <c r="AB2" s="15" t="s">
        <v>24</v>
      </c>
      <c r="AC2" s="15" t="s">
        <v>25</v>
      </c>
      <c r="AD2" s="15" t="s">
        <v>26</v>
      </c>
      <c r="AE2" s="15" t="s">
        <v>27</v>
      </c>
      <c r="AF2" s="15" t="s">
        <v>28</v>
      </c>
      <c r="AG2" s="15" t="s">
        <v>29</v>
      </c>
      <c r="AH2" s="15" t="s">
        <v>30</v>
      </c>
      <c r="AI2" s="15" t="s">
        <v>31</v>
      </c>
      <c r="AJ2" s="15" t="s">
        <v>32</v>
      </c>
      <c r="AK2" s="15" t="s">
        <v>33</v>
      </c>
      <c r="AL2" s="15" t="s">
        <v>34</v>
      </c>
      <c r="AM2" s="15" t="s">
        <v>35</v>
      </c>
      <c r="AN2" s="15" t="s">
        <v>36</v>
      </c>
      <c r="AO2" s="15" t="s">
        <v>805</v>
      </c>
    </row>
    <row r="3" spans="1:44" x14ac:dyDescent="0.2">
      <c r="A3" s="14" t="s">
        <v>41</v>
      </c>
      <c r="B3" s="14" t="s">
        <v>42</v>
      </c>
      <c r="C3" s="14" t="s">
        <v>43</v>
      </c>
      <c r="D3" s="14" t="s">
        <v>37</v>
      </c>
      <c r="E3" s="16">
        <v>44089</v>
      </c>
      <c r="F3" s="14" t="s">
        <v>791</v>
      </c>
      <c r="G3" s="14">
        <v>106.05</v>
      </c>
      <c r="H3" s="14">
        <v>1.0985050000000001</v>
      </c>
      <c r="I3" s="14">
        <v>114.292985</v>
      </c>
      <c r="J3" s="14">
        <v>2.0983999999999999E-2</v>
      </c>
      <c r="K3" s="14">
        <v>0.35793399999999997</v>
      </c>
      <c r="L3" s="14">
        <v>10.066630999999999</v>
      </c>
      <c r="M3" s="14">
        <v>2.3530820000000001</v>
      </c>
      <c r="N3" s="14">
        <v>28425938.910996001</v>
      </c>
      <c r="O3" s="14">
        <v>30457968.698936</v>
      </c>
      <c r="P3" s="14">
        <v>2211.1850669999999</v>
      </c>
      <c r="Q3" s="14">
        <v>1786.527484</v>
      </c>
      <c r="R3" s="14">
        <v>0.237036</v>
      </c>
      <c r="S3" s="14">
        <v>2.1862370000000002</v>
      </c>
      <c r="T3" s="14">
        <v>2.1280299999999999</v>
      </c>
      <c r="U3" s="14">
        <v>5.4704370000000004</v>
      </c>
      <c r="V3" s="14">
        <v>5.7949840000000004</v>
      </c>
      <c r="W3" s="14">
        <v>8.25</v>
      </c>
      <c r="X3" s="16">
        <v>41536</v>
      </c>
      <c r="Y3" s="14">
        <v>2</v>
      </c>
      <c r="Z3" s="14" t="s">
        <v>44</v>
      </c>
      <c r="AA3" s="14" t="s">
        <v>38</v>
      </c>
      <c r="AB3" s="14">
        <v>-4.0737000000000002E-2</v>
      </c>
      <c r="AC3" s="14">
        <v>0.30693399999999998</v>
      </c>
      <c r="AD3" s="14">
        <v>6.2471209999999999</v>
      </c>
      <c r="AE3" s="14">
        <v>0.814944</v>
      </c>
      <c r="AF3" s="14">
        <v>-0.30321399999999998</v>
      </c>
      <c r="AG3" s="14">
        <v>-0.32925399999999999</v>
      </c>
      <c r="AH3" s="14">
        <v>-8.161524</v>
      </c>
      <c r="AI3" s="14">
        <v>-2.1906889999999999</v>
      </c>
      <c r="AJ3" s="14">
        <v>100</v>
      </c>
      <c r="AK3" s="14" t="s">
        <v>39</v>
      </c>
      <c r="AL3" s="14" t="s">
        <v>40</v>
      </c>
      <c r="AM3" s="14">
        <v>0.237036</v>
      </c>
      <c r="AN3" s="14">
        <v>0.237036</v>
      </c>
      <c r="AO3" s="14"/>
      <c r="AR3" s="4"/>
    </row>
    <row r="4" spans="1:44" x14ac:dyDescent="0.2">
      <c r="A4" s="14" t="s">
        <v>45</v>
      </c>
      <c r="B4" s="14" t="s">
        <v>46</v>
      </c>
      <c r="C4" s="14" t="s">
        <v>47</v>
      </c>
      <c r="D4" s="14" t="s">
        <v>37</v>
      </c>
      <c r="E4" s="16">
        <v>44150</v>
      </c>
      <c r="F4" s="14" t="s">
        <v>791</v>
      </c>
      <c r="G4" s="14">
        <v>112.125</v>
      </c>
      <c r="H4" s="14">
        <v>5.1353590000000002</v>
      </c>
      <c r="I4" s="14">
        <v>414.56855300000001</v>
      </c>
      <c r="J4" s="14">
        <v>2.6008E-2</v>
      </c>
      <c r="K4" s="14">
        <v>-9.2691999999999997E-2</v>
      </c>
      <c r="L4" s="14">
        <v>8.7414500000000004</v>
      </c>
      <c r="M4" s="14">
        <v>1.4755929999999999</v>
      </c>
      <c r="N4" s="14">
        <v>13133746.367103999</v>
      </c>
      <c r="O4" s="14">
        <v>15400678.155454</v>
      </c>
      <c r="P4" s="14">
        <v>1118.0571460000001</v>
      </c>
      <c r="Q4" s="14">
        <v>903.33452799999998</v>
      </c>
      <c r="R4" s="14">
        <v>0.119854</v>
      </c>
      <c r="S4" s="14">
        <v>2.195716</v>
      </c>
      <c r="T4" s="14">
        <v>2.1342180000000002</v>
      </c>
      <c r="U4" s="14">
        <v>5.7630030000000003</v>
      </c>
      <c r="V4" s="14">
        <v>6.0749029999999999</v>
      </c>
      <c r="W4" s="14">
        <v>11</v>
      </c>
      <c r="X4" s="16">
        <v>38519</v>
      </c>
      <c r="Y4" s="14">
        <v>2</v>
      </c>
      <c r="Z4" s="14" t="s">
        <v>48</v>
      </c>
      <c r="AA4" s="14" t="s">
        <v>38</v>
      </c>
      <c r="AB4" s="14">
        <v>-3.5715999999999998E-2</v>
      </c>
      <c r="AC4" s="14">
        <v>-0.14346400000000001</v>
      </c>
      <c r="AD4" s="14">
        <v>4.9679260000000003</v>
      </c>
      <c r="AE4" s="14">
        <v>-4.9357999999999999E-2</v>
      </c>
      <c r="AF4" s="14">
        <v>-0.29820600000000003</v>
      </c>
      <c r="AG4" s="14">
        <v>-0.77679500000000001</v>
      </c>
      <c r="AH4" s="14">
        <v>-9.2672419999999995</v>
      </c>
      <c r="AI4" s="14">
        <v>-3.029223</v>
      </c>
      <c r="AJ4" s="14">
        <v>100</v>
      </c>
      <c r="AK4" s="14" t="s">
        <v>39</v>
      </c>
      <c r="AL4" s="14" t="s">
        <v>40</v>
      </c>
      <c r="AM4" s="14">
        <v>0.119854</v>
      </c>
      <c r="AN4" s="14">
        <v>0.119854</v>
      </c>
      <c r="AO4" s="14"/>
    </row>
    <row r="5" spans="1:44" x14ac:dyDescent="0.2">
      <c r="A5" s="14" t="s">
        <v>49</v>
      </c>
      <c r="B5" s="14" t="s">
        <v>50</v>
      </c>
      <c r="C5" s="14" t="s">
        <v>51</v>
      </c>
      <c r="D5" s="14" t="s">
        <v>37</v>
      </c>
      <c r="E5" s="16">
        <v>44362</v>
      </c>
      <c r="F5" s="14" t="s">
        <v>792</v>
      </c>
      <c r="G5" s="14">
        <v>119.125</v>
      </c>
      <c r="H5" s="14">
        <v>4.887912</v>
      </c>
      <c r="I5" s="14">
        <v>428.66236300000003</v>
      </c>
      <c r="J5" s="14">
        <v>2.8469000000000001E-2</v>
      </c>
      <c r="K5" s="14">
        <v>0.28228900000000001</v>
      </c>
      <c r="L5" s="14">
        <v>8.5169990000000002</v>
      </c>
      <c r="M5" s="14">
        <v>1.0035609999999999</v>
      </c>
      <c r="N5" s="14">
        <v>11882821.985714</v>
      </c>
      <c r="O5" s="14">
        <v>14736233.582706001</v>
      </c>
      <c r="P5" s="14">
        <v>1069.8198540000001</v>
      </c>
      <c r="Q5" s="14">
        <v>864.36119799999994</v>
      </c>
      <c r="R5" s="14">
        <v>0.11468299999999999</v>
      </c>
      <c r="S5" s="14">
        <v>2.6055100000000002</v>
      </c>
      <c r="T5" s="14">
        <v>2.5299580000000002</v>
      </c>
      <c r="U5" s="14">
        <v>5.9725270000000004</v>
      </c>
      <c r="V5" s="14">
        <v>8.4430119999999995</v>
      </c>
      <c r="W5" s="14">
        <v>12.8</v>
      </c>
      <c r="X5" s="16">
        <v>38743</v>
      </c>
      <c r="Y5" s="14">
        <v>2</v>
      </c>
      <c r="Z5" s="14" t="s">
        <v>52</v>
      </c>
      <c r="AA5" s="14" t="s">
        <v>38</v>
      </c>
      <c r="AB5" s="14">
        <v>-3.3257000000000002E-2</v>
      </c>
      <c r="AC5" s="14">
        <v>0.231327</v>
      </c>
      <c r="AD5" s="14">
        <v>4.7512639999999999</v>
      </c>
      <c r="AE5" s="14">
        <v>-0.514297</v>
      </c>
      <c r="AF5" s="14">
        <v>-0.29575299999999999</v>
      </c>
      <c r="AG5" s="14">
        <v>-0.40438099999999999</v>
      </c>
      <c r="AH5" s="14">
        <v>-9.4545209999999997</v>
      </c>
      <c r="AI5" s="14">
        <v>-3.4803009999999999</v>
      </c>
      <c r="AJ5" s="14">
        <v>100</v>
      </c>
      <c r="AK5" s="14" t="s">
        <v>39</v>
      </c>
      <c r="AL5" s="14" t="s">
        <v>40</v>
      </c>
      <c r="AM5" s="14">
        <v>0.11468299999999999</v>
      </c>
      <c r="AN5" s="14">
        <v>0.11468299999999999</v>
      </c>
      <c r="AO5" s="14"/>
    </row>
    <row r="6" spans="1:44" x14ac:dyDescent="0.2">
      <c r="A6" s="14" t="s">
        <v>53</v>
      </c>
      <c r="B6" s="14" t="s">
        <v>54</v>
      </c>
      <c r="C6" s="14" t="s">
        <v>55</v>
      </c>
      <c r="D6" s="14" t="s">
        <v>37</v>
      </c>
      <c r="E6" s="16">
        <v>44392</v>
      </c>
      <c r="F6" s="14" t="s">
        <v>792</v>
      </c>
      <c r="G6" s="14">
        <v>106.6</v>
      </c>
      <c r="H6" s="14">
        <v>2.4613260000000001</v>
      </c>
      <c r="I6" s="14">
        <v>190.92119099999999</v>
      </c>
      <c r="J6" s="14">
        <v>0.27454400000000001</v>
      </c>
      <c r="K6" s="14">
        <v>0.28808099999999998</v>
      </c>
      <c r="L6" s="14">
        <v>8.9220229999999994</v>
      </c>
      <c r="M6" s="14">
        <v>1.362684</v>
      </c>
      <c r="N6" s="14">
        <v>73838785.011419997</v>
      </c>
      <c r="O6" s="14">
        <v>80529558.011267006</v>
      </c>
      <c r="P6" s="14">
        <v>5846.2781230000001</v>
      </c>
      <c r="Q6" s="14">
        <v>4723.5017559999997</v>
      </c>
      <c r="R6" s="14">
        <v>0.62671299999999996</v>
      </c>
      <c r="S6" s="14">
        <v>2.8262710000000002</v>
      </c>
      <c r="T6" s="14">
        <v>2.7446459999999999</v>
      </c>
      <c r="U6" s="14">
        <v>5.9478879999999998</v>
      </c>
      <c r="V6" s="14">
        <v>9.5083099999999998</v>
      </c>
      <c r="W6" s="14">
        <v>8.25</v>
      </c>
      <c r="X6" s="16">
        <v>40367</v>
      </c>
      <c r="Y6" s="14">
        <v>2</v>
      </c>
      <c r="Z6" s="14" t="s">
        <v>56</v>
      </c>
      <c r="AA6" s="14" t="s">
        <v>38</v>
      </c>
      <c r="AB6" s="14">
        <v>0.21266599999999999</v>
      </c>
      <c r="AC6" s="14">
        <v>0.23711599999999999</v>
      </c>
      <c r="AD6" s="14">
        <v>5.1422330000000001</v>
      </c>
      <c r="AE6" s="14">
        <v>-0.16057099999999999</v>
      </c>
      <c r="AF6" s="14">
        <v>-5.0476E-2</v>
      </c>
      <c r="AG6" s="14">
        <v>-0.39862900000000001</v>
      </c>
      <c r="AH6" s="14">
        <v>-9.1165730000000007</v>
      </c>
      <c r="AI6" s="14">
        <v>-3.1371199999999999</v>
      </c>
      <c r="AJ6" s="14">
        <v>100</v>
      </c>
      <c r="AK6" s="14" t="s">
        <v>39</v>
      </c>
      <c r="AL6" s="14" t="s">
        <v>40</v>
      </c>
      <c r="AM6" s="14">
        <v>0.62671299999999996</v>
      </c>
      <c r="AN6" s="14">
        <v>0.62671299999999996</v>
      </c>
      <c r="AO6" s="14"/>
    </row>
    <row r="7" spans="1:44" x14ac:dyDescent="0.2">
      <c r="A7" s="14" t="s">
        <v>57</v>
      </c>
      <c r="B7" s="14" t="s">
        <v>58</v>
      </c>
      <c r="C7" s="14" t="s">
        <v>59</v>
      </c>
      <c r="D7" s="14" t="s">
        <v>37</v>
      </c>
      <c r="E7" s="16">
        <v>44696</v>
      </c>
      <c r="F7" s="14" t="s">
        <v>792</v>
      </c>
      <c r="G7" s="14">
        <v>102.9</v>
      </c>
      <c r="H7" s="14">
        <v>3.2679559999999999</v>
      </c>
      <c r="I7" s="14">
        <v>154.92185799999999</v>
      </c>
      <c r="J7" s="14">
        <v>6.5506999999999996E-2</v>
      </c>
      <c r="K7" s="14">
        <v>0.14535300000000001</v>
      </c>
      <c r="L7" s="14">
        <v>8.5642899999999997</v>
      </c>
      <c r="M7" s="14">
        <v>0.68353399999999997</v>
      </c>
      <c r="N7" s="14">
        <v>73728210.412185997</v>
      </c>
      <c r="O7" s="14">
        <v>78275733.843355</v>
      </c>
      <c r="P7" s="14">
        <v>5682.6551849999996</v>
      </c>
      <c r="Q7" s="14">
        <v>4591.302565</v>
      </c>
      <c r="R7" s="14">
        <v>0.60917299999999996</v>
      </c>
      <c r="S7" s="14">
        <v>3.4819369999999998</v>
      </c>
      <c r="T7" s="14">
        <v>3.3778459999999999</v>
      </c>
      <c r="U7" s="14">
        <v>6.1631660000000004</v>
      </c>
      <c r="V7" s="14">
        <v>14.259781</v>
      </c>
      <c r="W7" s="14">
        <v>7</v>
      </c>
      <c r="X7" s="16">
        <v>40822</v>
      </c>
      <c r="Y7" s="14">
        <v>2</v>
      </c>
      <c r="Z7" s="14" t="s">
        <v>60</v>
      </c>
      <c r="AA7" s="14" t="s">
        <v>38</v>
      </c>
      <c r="AB7" s="14">
        <v>3.7580000000000001E-3</v>
      </c>
      <c r="AC7" s="14">
        <v>9.4460000000000002E-2</v>
      </c>
      <c r="AD7" s="14">
        <v>4.796913</v>
      </c>
      <c r="AE7" s="14">
        <v>-0.829515</v>
      </c>
      <c r="AF7" s="14">
        <v>-0.25883600000000001</v>
      </c>
      <c r="AG7" s="14">
        <v>-0.54037999999999997</v>
      </c>
      <c r="AH7" s="14">
        <v>-9.4150620000000007</v>
      </c>
      <c r="AI7" s="14">
        <v>-3.7861210000000001</v>
      </c>
      <c r="AJ7" s="14">
        <v>100</v>
      </c>
      <c r="AK7" s="14" t="s">
        <v>39</v>
      </c>
      <c r="AL7" s="14" t="s">
        <v>40</v>
      </c>
      <c r="AM7" s="14">
        <v>0.60917299999999996</v>
      </c>
      <c r="AN7" s="14">
        <v>0.60917299999999996</v>
      </c>
      <c r="AO7" s="14"/>
    </row>
    <row r="8" spans="1:44" x14ac:dyDescent="0.2">
      <c r="A8" s="14" t="s">
        <v>61</v>
      </c>
      <c r="B8" s="14" t="s">
        <v>62</v>
      </c>
      <c r="C8" s="14" t="s">
        <v>63</v>
      </c>
      <c r="D8" s="14" t="s">
        <v>37</v>
      </c>
      <c r="E8" s="16">
        <v>45061</v>
      </c>
      <c r="F8" s="14" t="s">
        <v>793</v>
      </c>
      <c r="G8" s="14">
        <v>98.1</v>
      </c>
      <c r="H8" s="14">
        <v>2.626036</v>
      </c>
      <c r="I8" s="14">
        <v>141.11550800000001</v>
      </c>
      <c r="J8" s="14">
        <v>-0.10877199999999999</v>
      </c>
      <c r="K8" s="14">
        <v>-0.50561</v>
      </c>
      <c r="L8" s="14">
        <v>10.857196</v>
      </c>
      <c r="M8" s="14">
        <v>1.4713750000000001</v>
      </c>
      <c r="N8" s="14">
        <v>45336227.904792003</v>
      </c>
      <c r="O8" s="14">
        <v>45665385.200346999</v>
      </c>
      <c r="P8" s="14">
        <v>3315.2118190000001</v>
      </c>
      <c r="Q8" s="14">
        <v>2678.5261529999998</v>
      </c>
      <c r="R8" s="14">
        <v>0.35538599999999998</v>
      </c>
      <c r="S8" s="14">
        <v>4.3313160000000002</v>
      </c>
      <c r="T8" s="14">
        <v>4.2038570000000002</v>
      </c>
      <c r="U8" s="14">
        <v>6.063879</v>
      </c>
      <c r="V8" s="14">
        <v>21.618480999999999</v>
      </c>
      <c r="W8" s="14">
        <v>5.625</v>
      </c>
      <c r="X8" s="16">
        <v>41134</v>
      </c>
      <c r="Y8" s="14">
        <v>2</v>
      </c>
      <c r="Z8" s="14" t="s">
        <v>64</v>
      </c>
      <c r="AA8" s="14" t="s">
        <v>38</v>
      </c>
      <c r="AB8" s="14">
        <v>-0.17041300000000001</v>
      </c>
      <c r="AC8" s="14">
        <v>-0.556172</v>
      </c>
      <c r="AD8" s="14">
        <v>7.0102510000000002</v>
      </c>
      <c r="AE8" s="14">
        <v>-5.3512999999999998E-2</v>
      </c>
      <c r="AF8" s="14">
        <v>-0.43254999999999999</v>
      </c>
      <c r="AG8" s="14">
        <v>-1.186885</v>
      </c>
      <c r="AH8" s="14">
        <v>-7.5018849999999997</v>
      </c>
      <c r="AI8" s="14">
        <v>-3.0332539999999999</v>
      </c>
      <c r="AJ8" s="14">
        <v>100</v>
      </c>
      <c r="AK8" s="14" t="s">
        <v>39</v>
      </c>
      <c r="AL8" s="14" t="s">
        <v>40</v>
      </c>
      <c r="AM8" s="14">
        <v>0.35538599999999998</v>
      </c>
      <c r="AN8" s="14">
        <v>0.35538599999999998</v>
      </c>
      <c r="AO8" s="14"/>
    </row>
    <row r="9" spans="1:44" x14ac:dyDescent="0.2">
      <c r="A9" s="14" t="s">
        <v>827</v>
      </c>
      <c r="B9" s="14" t="s">
        <v>828</v>
      </c>
      <c r="C9" s="14" t="s">
        <v>829</v>
      </c>
      <c r="D9" s="14" t="s">
        <v>37</v>
      </c>
      <c r="E9" s="16">
        <v>45153</v>
      </c>
      <c r="F9" s="14" t="s">
        <v>793</v>
      </c>
      <c r="G9" s="14">
        <v>110.625</v>
      </c>
      <c r="H9" s="14">
        <v>1.8611880000000001</v>
      </c>
      <c r="I9" s="14">
        <v>100.732119</v>
      </c>
      <c r="J9" s="14">
        <v>2.1552999999999999E-2</v>
      </c>
      <c r="K9" s="14">
        <v>0.41259299999999999</v>
      </c>
      <c r="L9" s="14"/>
      <c r="M9" s="14"/>
      <c r="N9" s="14">
        <v>16055473.44225</v>
      </c>
      <c r="O9" s="14">
        <v>18060190.015702002</v>
      </c>
      <c r="P9" s="14">
        <v>1311.1321660000001</v>
      </c>
      <c r="Q9" s="14">
        <v>1059.3295350000001</v>
      </c>
      <c r="R9" s="14">
        <v>0.14055200000000001</v>
      </c>
      <c r="S9" s="14">
        <v>4.3264820000000004</v>
      </c>
      <c r="T9" s="14">
        <v>4.1933949999999998</v>
      </c>
      <c r="U9" s="14">
        <v>6.3474649999999997</v>
      </c>
      <c r="V9" s="14">
        <v>21.985419</v>
      </c>
      <c r="W9" s="14">
        <v>8.75</v>
      </c>
      <c r="X9" s="16">
        <v>42383</v>
      </c>
      <c r="Y9" s="14">
        <v>2</v>
      </c>
      <c r="Z9" s="14" t="s">
        <v>828</v>
      </c>
      <c r="AA9" s="14" t="s">
        <v>38</v>
      </c>
      <c r="AB9" s="14">
        <v>-4.0168000000000002E-2</v>
      </c>
      <c r="AC9" s="14">
        <v>0.361564</v>
      </c>
      <c r="AD9" s="14"/>
      <c r="AE9" s="14"/>
      <c r="AF9" s="14">
        <v>-0.302647</v>
      </c>
      <c r="AG9" s="14">
        <v>-0.27496999999999999</v>
      </c>
      <c r="AH9" s="14"/>
      <c r="AI9" s="14"/>
      <c r="AJ9" s="14">
        <v>100</v>
      </c>
      <c r="AK9" s="14" t="s">
        <v>39</v>
      </c>
      <c r="AL9" s="14" t="s">
        <v>40</v>
      </c>
      <c r="AM9" s="14">
        <v>0.14055200000000001</v>
      </c>
      <c r="AN9" s="14">
        <v>0.14055200000000001</v>
      </c>
      <c r="AO9" s="14"/>
    </row>
    <row r="10" spans="1:44" x14ac:dyDescent="0.2">
      <c r="A10" s="14" t="s">
        <v>65</v>
      </c>
      <c r="B10" s="14" t="s">
        <v>66</v>
      </c>
      <c r="C10" s="14" t="s">
        <v>67</v>
      </c>
      <c r="D10" s="14" t="s">
        <v>37</v>
      </c>
      <c r="E10" s="16">
        <v>45366</v>
      </c>
      <c r="F10" s="14" t="s">
        <v>793</v>
      </c>
      <c r="G10" s="14">
        <v>109.25</v>
      </c>
      <c r="H10" s="14">
        <v>1.1151489999999999</v>
      </c>
      <c r="I10" s="14">
        <v>145.416707</v>
      </c>
      <c r="J10" s="14">
        <v>-0.45422299999999999</v>
      </c>
      <c r="K10" s="14">
        <v>1.0802000000000001E-2</v>
      </c>
      <c r="L10" s="14">
        <v>9.5282420000000005</v>
      </c>
      <c r="M10" s="14">
        <v>0.20838499999999999</v>
      </c>
      <c r="N10" s="14">
        <v>98133579.002003998</v>
      </c>
      <c r="O10" s="14">
        <v>108305271.132596</v>
      </c>
      <c r="P10" s="14">
        <v>7862.737024</v>
      </c>
      <c r="Q10" s="14">
        <v>6352.7001890000001</v>
      </c>
      <c r="R10" s="14">
        <v>0.84287500000000004</v>
      </c>
      <c r="S10" s="14">
        <v>4.7659250000000002</v>
      </c>
      <c r="T10" s="14">
        <v>4.617083</v>
      </c>
      <c r="U10" s="14">
        <v>6.4474669999999996</v>
      </c>
      <c r="V10" s="14">
        <v>26.496003000000002</v>
      </c>
      <c r="W10" s="14">
        <v>8.375</v>
      </c>
      <c r="X10" s="16">
        <v>41515</v>
      </c>
      <c r="Y10" s="14">
        <v>2</v>
      </c>
      <c r="Z10" s="14" t="s">
        <v>68</v>
      </c>
      <c r="AA10" s="14" t="s">
        <v>38</v>
      </c>
      <c r="AB10" s="14">
        <v>-0.51565099999999997</v>
      </c>
      <c r="AC10" s="14">
        <v>-4.0022000000000002E-2</v>
      </c>
      <c r="AD10" s="14">
        <v>5.7274149999999997</v>
      </c>
      <c r="AE10" s="14">
        <v>-1.2975239999999999</v>
      </c>
      <c r="AF10" s="14">
        <v>-0.77688100000000004</v>
      </c>
      <c r="AG10" s="14">
        <v>-0.67400899999999997</v>
      </c>
      <c r="AH10" s="14">
        <v>-8.6107499999999995</v>
      </c>
      <c r="AI10" s="14">
        <v>-4.2401759999999999</v>
      </c>
      <c r="AJ10" s="14">
        <v>100</v>
      </c>
      <c r="AK10" s="14" t="s">
        <v>39</v>
      </c>
      <c r="AL10" s="14" t="s">
        <v>40</v>
      </c>
      <c r="AM10" s="14">
        <v>0.84287500000000004</v>
      </c>
      <c r="AN10" s="14">
        <v>0.84287500000000004</v>
      </c>
      <c r="AO10" s="14"/>
    </row>
    <row r="11" spans="1:44" x14ac:dyDescent="0.2">
      <c r="A11" s="14" t="s">
        <v>69</v>
      </c>
      <c r="B11" s="14" t="s">
        <v>70</v>
      </c>
      <c r="C11" s="14" t="s">
        <v>71</v>
      </c>
      <c r="D11" s="14" t="s">
        <v>37</v>
      </c>
      <c r="E11" s="16">
        <v>45915</v>
      </c>
      <c r="F11" s="14" t="s">
        <v>794</v>
      </c>
      <c r="G11" s="14">
        <v>125.875</v>
      </c>
      <c r="H11" s="14">
        <v>1.464674</v>
      </c>
      <c r="I11" s="14">
        <v>381.51330200000001</v>
      </c>
      <c r="J11" s="14">
        <v>0.141902</v>
      </c>
      <c r="K11" s="14">
        <v>1.0813919999999999</v>
      </c>
      <c r="L11" s="14">
        <v>10.573270000000001</v>
      </c>
      <c r="M11" s="14">
        <v>1.035509</v>
      </c>
      <c r="N11" s="14">
        <v>19194292.663816001</v>
      </c>
      <c r="O11" s="14">
        <v>24441949.688018002</v>
      </c>
      <c r="P11" s="14">
        <v>1774.4346210000001</v>
      </c>
      <c r="Q11" s="14">
        <v>1433.654861</v>
      </c>
      <c r="R11" s="14">
        <v>0.190217</v>
      </c>
      <c r="S11" s="14">
        <v>5.432823</v>
      </c>
      <c r="T11" s="14">
        <v>5.2615610000000004</v>
      </c>
      <c r="U11" s="14">
        <v>6.509925</v>
      </c>
      <c r="V11" s="14">
        <v>35.814900999999999</v>
      </c>
      <c r="W11" s="14">
        <v>11</v>
      </c>
      <c r="X11" s="16">
        <v>38981</v>
      </c>
      <c r="Y11" s="14">
        <v>2</v>
      </c>
      <c r="Z11" s="14" t="s">
        <v>72</v>
      </c>
      <c r="AA11" s="14" t="s">
        <v>38</v>
      </c>
      <c r="AB11" s="14">
        <v>8.0106999999999998E-2</v>
      </c>
      <c r="AC11" s="14">
        <v>1.0300240000000001</v>
      </c>
      <c r="AD11" s="14">
        <v>6.7361779999999998</v>
      </c>
      <c r="AE11" s="14">
        <v>-0.48282900000000001</v>
      </c>
      <c r="AF11" s="14">
        <v>-0.18268799999999999</v>
      </c>
      <c r="AG11" s="14">
        <v>0.38924999999999998</v>
      </c>
      <c r="AH11" s="14">
        <v>-7.7387899999999998</v>
      </c>
      <c r="AI11" s="14">
        <v>-3.4497710000000001</v>
      </c>
      <c r="AJ11" s="14">
        <v>100</v>
      </c>
      <c r="AK11" s="14" t="s">
        <v>39</v>
      </c>
      <c r="AL11" s="14" t="s">
        <v>40</v>
      </c>
      <c r="AM11" s="14">
        <v>0.190217</v>
      </c>
      <c r="AN11" s="14">
        <v>0.190217</v>
      </c>
      <c r="AO11" s="14"/>
    </row>
    <row r="12" spans="1:44" x14ac:dyDescent="0.2">
      <c r="A12" s="14" t="s">
        <v>73</v>
      </c>
      <c r="B12" s="14" t="s">
        <v>74</v>
      </c>
      <c r="C12" s="14" t="s">
        <v>75</v>
      </c>
      <c r="D12" s="14" t="s">
        <v>37</v>
      </c>
      <c r="E12" s="16">
        <v>46280</v>
      </c>
      <c r="F12" s="14" t="s">
        <v>794</v>
      </c>
      <c r="G12" s="14">
        <v>111.75</v>
      </c>
      <c r="H12" s="14">
        <v>1.1151489999999999</v>
      </c>
      <c r="I12" s="14">
        <v>195.27059199999999</v>
      </c>
      <c r="J12" s="14">
        <v>2.0220999999999999E-2</v>
      </c>
      <c r="K12" s="14">
        <v>0.65892200000000001</v>
      </c>
      <c r="L12" s="14">
        <v>10.510767</v>
      </c>
      <c r="M12" s="14">
        <v>0.97226900000000005</v>
      </c>
      <c r="N12" s="14">
        <v>89625712.759417996</v>
      </c>
      <c r="O12" s="14">
        <v>101156194.65739</v>
      </c>
      <c r="P12" s="14">
        <v>7343.728967</v>
      </c>
      <c r="Q12" s="14">
        <v>5933.36751</v>
      </c>
      <c r="R12" s="14">
        <v>0.78723799999999999</v>
      </c>
      <c r="S12" s="14">
        <v>6.2576150000000004</v>
      </c>
      <c r="T12" s="14">
        <v>6.0600519999999998</v>
      </c>
      <c r="U12" s="14">
        <v>6.5201539999999998</v>
      </c>
      <c r="V12" s="14">
        <v>46.822195000000001</v>
      </c>
      <c r="W12" s="14">
        <v>8.375</v>
      </c>
      <c r="X12" s="16">
        <v>40444</v>
      </c>
      <c r="Y12" s="14">
        <v>2</v>
      </c>
      <c r="Z12" s="14" t="s">
        <v>76</v>
      </c>
      <c r="AA12" s="14" t="s">
        <v>38</v>
      </c>
      <c r="AB12" s="14">
        <v>-4.1500000000000002E-2</v>
      </c>
      <c r="AC12" s="14">
        <v>0.607769</v>
      </c>
      <c r="AD12" s="14">
        <v>6.6758439999999997</v>
      </c>
      <c r="AE12" s="14">
        <v>-0.54511900000000002</v>
      </c>
      <c r="AF12" s="14">
        <v>-0.30397400000000002</v>
      </c>
      <c r="AG12" s="14">
        <v>-3.0327E-2</v>
      </c>
      <c r="AH12" s="14">
        <v>-7.7909420000000003</v>
      </c>
      <c r="AI12" s="14">
        <v>-3.5102030000000002</v>
      </c>
      <c r="AJ12" s="14">
        <v>100</v>
      </c>
      <c r="AK12" s="14" t="s">
        <v>39</v>
      </c>
      <c r="AL12" s="14" t="s">
        <v>40</v>
      </c>
      <c r="AM12" s="14">
        <v>0.78723799999999999</v>
      </c>
      <c r="AN12" s="14">
        <v>0.78723799999999999</v>
      </c>
      <c r="AO12" s="14"/>
    </row>
    <row r="13" spans="1:44" x14ac:dyDescent="0.2">
      <c r="A13" s="14" t="s">
        <v>77</v>
      </c>
      <c r="B13" s="14" t="s">
        <v>78</v>
      </c>
      <c r="C13" s="14" t="s">
        <v>79</v>
      </c>
      <c r="D13" s="14" t="s">
        <v>37</v>
      </c>
      <c r="E13" s="16">
        <v>46522</v>
      </c>
      <c r="F13" s="14" t="s">
        <v>794</v>
      </c>
      <c r="G13" s="14">
        <v>103</v>
      </c>
      <c r="H13" s="14">
        <v>3.2679559999999999</v>
      </c>
      <c r="I13" s="14">
        <v>162.29651100000001</v>
      </c>
      <c r="J13" s="14">
        <v>-9.9567000000000003E-2</v>
      </c>
      <c r="K13" s="14">
        <v>1.124336</v>
      </c>
      <c r="L13" s="14">
        <v>10.325467</v>
      </c>
      <c r="M13" s="14">
        <v>0.13323299999999999</v>
      </c>
      <c r="N13" s="14">
        <v>83399879.977259994</v>
      </c>
      <c r="O13" s="14">
        <v>88627347.592409</v>
      </c>
      <c r="P13" s="14">
        <v>6434.1607750000003</v>
      </c>
      <c r="Q13" s="14">
        <v>5198.4816799999999</v>
      </c>
      <c r="R13" s="14">
        <v>0.68973300000000004</v>
      </c>
      <c r="S13" s="14">
        <v>6.6749720000000003</v>
      </c>
      <c r="T13" s="14">
        <v>6.4634770000000001</v>
      </c>
      <c r="U13" s="14">
        <v>6.5443090000000002</v>
      </c>
      <c r="V13" s="14">
        <v>53.956614999999999</v>
      </c>
      <c r="W13" s="14">
        <v>7</v>
      </c>
      <c r="X13" s="16">
        <v>40801</v>
      </c>
      <c r="Y13" s="14">
        <v>2</v>
      </c>
      <c r="Z13" s="14" t="s">
        <v>80</v>
      </c>
      <c r="AA13" s="14" t="s">
        <v>38</v>
      </c>
      <c r="AB13" s="14">
        <v>-0.161214</v>
      </c>
      <c r="AC13" s="14">
        <v>1.072946</v>
      </c>
      <c r="AD13" s="14">
        <v>6.4969749999999999</v>
      </c>
      <c r="AE13" s="14">
        <v>-1.3715459999999999</v>
      </c>
      <c r="AF13" s="14">
        <v>-0.423375</v>
      </c>
      <c r="AG13" s="14">
        <v>0.43190000000000001</v>
      </c>
      <c r="AH13" s="14">
        <v>-7.9455539999999996</v>
      </c>
      <c r="AI13" s="14">
        <v>-4.311992</v>
      </c>
      <c r="AJ13" s="14">
        <v>100</v>
      </c>
      <c r="AK13" s="14" t="s">
        <v>39</v>
      </c>
      <c r="AL13" s="14" t="s">
        <v>40</v>
      </c>
      <c r="AM13" s="14">
        <v>0.68973300000000004</v>
      </c>
      <c r="AN13" s="14">
        <v>0.68973300000000004</v>
      </c>
      <c r="AO13" s="14"/>
    </row>
    <row r="14" spans="1:44" x14ac:dyDescent="0.2">
      <c r="A14" s="14" t="s">
        <v>81</v>
      </c>
      <c r="B14" s="14" t="s">
        <v>82</v>
      </c>
      <c r="C14" s="14" t="s">
        <v>83</v>
      </c>
      <c r="D14" s="14" t="s">
        <v>37</v>
      </c>
      <c r="E14" s="16">
        <v>46888</v>
      </c>
      <c r="F14" s="14" t="s">
        <v>795</v>
      </c>
      <c r="G14" s="14">
        <v>96.45</v>
      </c>
      <c r="H14" s="14">
        <v>2.859461</v>
      </c>
      <c r="I14" s="14">
        <v>148.264331</v>
      </c>
      <c r="J14" s="14">
        <v>-3.3373E-2</v>
      </c>
      <c r="K14" s="14">
        <v>0.367315</v>
      </c>
      <c r="L14" s="14">
        <v>13.262559</v>
      </c>
      <c r="M14" s="14">
        <v>0.83385299999999996</v>
      </c>
      <c r="N14" s="14">
        <v>52185825.057465002</v>
      </c>
      <c r="O14" s="14">
        <v>51825461.753080003</v>
      </c>
      <c r="P14" s="14">
        <v>3762.4205419999998</v>
      </c>
      <c r="Q14" s="14">
        <v>3039.8485430000001</v>
      </c>
      <c r="R14" s="14">
        <v>0.40332600000000002</v>
      </c>
      <c r="S14" s="14">
        <v>7.376296</v>
      </c>
      <c r="T14" s="14">
        <v>7.1403829999999999</v>
      </c>
      <c r="U14" s="14">
        <v>6.6078609999999998</v>
      </c>
      <c r="V14" s="14">
        <v>65.721543999999994</v>
      </c>
      <c r="W14" s="14">
        <v>6.125</v>
      </c>
      <c r="X14" s="16">
        <v>41134</v>
      </c>
      <c r="Y14" s="14">
        <v>2</v>
      </c>
      <c r="Z14" s="14" t="s">
        <v>84</v>
      </c>
      <c r="AA14" s="14" t="s">
        <v>38</v>
      </c>
      <c r="AB14" s="14">
        <v>-9.5061000000000007E-2</v>
      </c>
      <c r="AC14" s="14">
        <v>0.31630900000000001</v>
      </c>
      <c r="AD14" s="14">
        <v>9.3321439999999996</v>
      </c>
      <c r="AE14" s="14">
        <v>-0.68145500000000003</v>
      </c>
      <c r="AF14" s="14">
        <v>-0.35739500000000002</v>
      </c>
      <c r="AG14" s="14">
        <v>-0.319938</v>
      </c>
      <c r="AH14" s="14">
        <v>-5.4948740000000003</v>
      </c>
      <c r="AI14" s="14">
        <v>-3.6424750000000001</v>
      </c>
      <c r="AJ14" s="14">
        <v>100</v>
      </c>
      <c r="AK14" s="14" t="s">
        <v>39</v>
      </c>
      <c r="AL14" s="14" t="s">
        <v>40</v>
      </c>
      <c r="AM14" s="14">
        <v>0.40332600000000002</v>
      </c>
      <c r="AN14" s="14">
        <v>0.40332600000000002</v>
      </c>
      <c r="AO14" s="14"/>
    </row>
    <row r="15" spans="1:44" x14ac:dyDescent="0.2">
      <c r="A15" s="14" t="s">
        <v>85</v>
      </c>
      <c r="B15" s="14" t="s">
        <v>86</v>
      </c>
      <c r="C15" s="14" t="s">
        <v>87</v>
      </c>
      <c r="D15" s="14" t="s">
        <v>37</v>
      </c>
      <c r="E15" s="16">
        <v>47192</v>
      </c>
      <c r="F15" s="14" t="s">
        <v>795</v>
      </c>
      <c r="G15" s="14">
        <v>116.6</v>
      </c>
      <c r="H15" s="14">
        <v>1.1983699999999999</v>
      </c>
      <c r="I15" s="14">
        <v>166.40313900000001</v>
      </c>
      <c r="J15" s="14">
        <v>-2.1738E-2</v>
      </c>
      <c r="K15" s="14">
        <v>1.350787</v>
      </c>
      <c r="L15" s="14">
        <v>12.030518000000001</v>
      </c>
      <c r="M15" s="14">
        <v>1.183667</v>
      </c>
      <c r="N15" s="14">
        <v>68939384.579522997</v>
      </c>
      <c r="O15" s="14">
        <v>81209471.022972003</v>
      </c>
      <c r="P15" s="14">
        <v>5895.6383910000004</v>
      </c>
      <c r="Q15" s="14">
        <v>4763.382396</v>
      </c>
      <c r="R15" s="14">
        <v>0.63200500000000004</v>
      </c>
      <c r="S15" s="14">
        <v>7.3807650000000002</v>
      </c>
      <c r="T15" s="14">
        <v>7.1379010000000003</v>
      </c>
      <c r="U15" s="14">
        <v>6.8049169999999997</v>
      </c>
      <c r="V15" s="14">
        <v>67.717661000000007</v>
      </c>
      <c r="W15" s="14">
        <v>9</v>
      </c>
      <c r="X15" s="16">
        <v>41529</v>
      </c>
      <c r="Y15" s="14">
        <v>2</v>
      </c>
      <c r="Z15" s="14" t="s">
        <v>88</v>
      </c>
      <c r="AA15" s="14" t="s">
        <v>38</v>
      </c>
      <c r="AB15" s="14">
        <v>-8.3432999999999993E-2</v>
      </c>
      <c r="AC15" s="14">
        <v>1.299282</v>
      </c>
      <c r="AD15" s="14">
        <v>8.1428569999999993</v>
      </c>
      <c r="AE15" s="14">
        <v>-0.33689799999999998</v>
      </c>
      <c r="AF15" s="14">
        <v>-0.34579799999999999</v>
      </c>
      <c r="AG15" s="14">
        <v>0.65680099999999997</v>
      </c>
      <c r="AH15" s="14">
        <v>-6.5228760000000001</v>
      </c>
      <c r="AI15" s="14">
        <v>-3.3081900000000002</v>
      </c>
      <c r="AJ15" s="14">
        <v>100</v>
      </c>
      <c r="AK15" s="14" t="s">
        <v>39</v>
      </c>
      <c r="AL15" s="14" t="s">
        <v>40</v>
      </c>
      <c r="AM15" s="14">
        <v>0.63200500000000004</v>
      </c>
      <c r="AN15" s="14">
        <v>0.63200500000000004</v>
      </c>
      <c r="AO15" s="14"/>
    </row>
    <row r="16" spans="1:44" x14ac:dyDescent="0.2">
      <c r="A16" s="14" t="s">
        <v>89</v>
      </c>
      <c r="B16" s="14" t="s">
        <v>90</v>
      </c>
      <c r="C16" s="14" t="s">
        <v>91</v>
      </c>
      <c r="D16" s="14" t="s">
        <v>37</v>
      </c>
      <c r="E16" s="16">
        <v>47710</v>
      </c>
      <c r="F16" s="14" t="s">
        <v>795</v>
      </c>
      <c r="G16" s="14">
        <v>128.625</v>
      </c>
      <c r="H16" s="14">
        <v>2.233425</v>
      </c>
      <c r="I16" s="14">
        <v>289.88446699999997</v>
      </c>
      <c r="J16" s="14">
        <v>-0.16908200000000001</v>
      </c>
      <c r="K16" s="14">
        <v>0.96186199999999999</v>
      </c>
      <c r="L16" s="14">
        <v>11.960922</v>
      </c>
      <c r="M16" s="14">
        <v>0.82462299999999999</v>
      </c>
      <c r="N16" s="14">
        <v>17347293.144499999</v>
      </c>
      <c r="O16" s="14">
        <v>22700394.660907</v>
      </c>
      <c r="P16" s="14">
        <v>1648.0013550000001</v>
      </c>
      <c r="Q16" s="14">
        <v>1331.503074</v>
      </c>
      <c r="R16" s="14">
        <v>0.17666399999999999</v>
      </c>
      <c r="S16" s="14">
        <v>7.6691859999999998</v>
      </c>
      <c r="T16" s="14">
        <v>7.4104520000000003</v>
      </c>
      <c r="U16" s="14">
        <v>6.982952</v>
      </c>
      <c r="V16" s="14">
        <v>76.086720999999997</v>
      </c>
      <c r="W16" s="14">
        <v>10.5</v>
      </c>
      <c r="X16" s="16">
        <v>40045</v>
      </c>
      <c r="Y16" s="14">
        <v>2</v>
      </c>
      <c r="Z16" s="14" t="s">
        <v>92</v>
      </c>
      <c r="AA16" s="14" t="s">
        <v>38</v>
      </c>
      <c r="AB16" s="14">
        <v>-0.230686</v>
      </c>
      <c r="AC16" s="14">
        <v>0.910555</v>
      </c>
      <c r="AD16" s="14">
        <v>8.0756759999999996</v>
      </c>
      <c r="AE16" s="14">
        <v>-0.69054599999999999</v>
      </c>
      <c r="AF16" s="14">
        <v>-0.49266399999999999</v>
      </c>
      <c r="AG16" s="14">
        <v>0.27053899999999997</v>
      </c>
      <c r="AH16" s="14">
        <v>-6.5809470000000001</v>
      </c>
      <c r="AI16" s="14">
        <v>-3.6512950000000002</v>
      </c>
      <c r="AJ16" s="14">
        <v>100</v>
      </c>
      <c r="AK16" s="14" t="s">
        <v>39</v>
      </c>
      <c r="AL16" s="14" t="s">
        <v>40</v>
      </c>
      <c r="AM16" s="14">
        <v>0.17666399999999999</v>
      </c>
      <c r="AN16" s="14">
        <v>0.17666399999999999</v>
      </c>
      <c r="AO16" s="14"/>
    </row>
    <row r="17" spans="1:41" x14ac:dyDescent="0.2">
      <c r="A17" s="14" t="s">
        <v>93</v>
      </c>
      <c r="B17" s="14" t="s">
        <v>94</v>
      </c>
      <c r="C17" s="14" t="s">
        <v>95</v>
      </c>
      <c r="D17" s="14" t="s">
        <v>37</v>
      </c>
      <c r="E17" s="16">
        <v>47983</v>
      </c>
      <c r="F17" s="14" t="s">
        <v>795</v>
      </c>
      <c r="G17" s="14">
        <v>114.125</v>
      </c>
      <c r="H17" s="14">
        <v>4.0849450000000003</v>
      </c>
      <c r="I17" s="14">
        <v>132.87523100000001</v>
      </c>
      <c r="J17" s="14">
        <v>2.0506E-2</v>
      </c>
      <c r="K17" s="14">
        <v>0.60528499999999996</v>
      </c>
      <c r="L17" s="14">
        <v>10.989954000000001</v>
      </c>
      <c r="M17" s="14">
        <v>0.11576699999999999</v>
      </c>
      <c r="N17" s="14">
        <v>48880242.985078998</v>
      </c>
      <c r="O17" s="14">
        <v>57781308.227003001</v>
      </c>
      <c r="P17" s="14">
        <v>4194.8025859999998</v>
      </c>
      <c r="Q17" s="14">
        <v>3389.1917159999998</v>
      </c>
      <c r="R17" s="14">
        <v>0.44967699999999999</v>
      </c>
      <c r="S17" s="14">
        <v>8.0770560000000007</v>
      </c>
      <c r="T17" s="14">
        <v>7.8014130000000002</v>
      </c>
      <c r="U17" s="14">
        <v>7.066484</v>
      </c>
      <c r="V17" s="14">
        <v>85.453213000000005</v>
      </c>
      <c r="W17" s="14">
        <v>8.75</v>
      </c>
      <c r="X17" s="16">
        <v>42222</v>
      </c>
      <c r="Y17" s="14">
        <v>2</v>
      </c>
      <c r="Z17" s="14" t="s">
        <v>96</v>
      </c>
      <c r="AA17" s="14" t="s">
        <v>38</v>
      </c>
      <c r="AB17" s="14">
        <v>-4.1214000000000001E-2</v>
      </c>
      <c r="AC17" s="14">
        <v>0.55415899999999996</v>
      </c>
      <c r="AD17" s="14">
        <v>7.1384020000000001</v>
      </c>
      <c r="AE17" s="14">
        <v>-1.3887499999999999</v>
      </c>
      <c r="AF17" s="14">
        <v>-0.30369000000000002</v>
      </c>
      <c r="AG17" s="14">
        <v>-8.3597000000000005E-2</v>
      </c>
      <c r="AH17" s="14">
        <v>-7.3911129999999998</v>
      </c>
      <c r="AI17" s="14">
        <v>-4.3286829999999998</v>
      </c>
      <c r="AJ17" s="14">
        <v>100</v>
      </c>
      <c r="AK17" s="14" t="s">
        <v>39</v>
      </c>
      <c r="AL17" s="14" t="s">
        <v>40</v>
      </c>
      <c r="AM17" s="14">
        <v>0.44967699999999999</v>
      </c>
      <c r="AN17" s="14">
        <v>0.44967699999999999</v>
      </c>
      <c r="AO17" s="14"/>
    </row>
    <row r="18" spans="1:41" x14ac:dyDescent="0.2">
      <c r="A18" s="14" t="s">
        <v>97</v>
      </c>
      <c r="B18" s="14" t="s">
        <v>98</v>
      </c>
      <c r="C18" s="14" t="s">
        <v>99</v>
      </c>
      <c r="D18" s="14" t="s">
        <v>37</v>
      </c>
      <c r="E18" s="16">
        <v>48044</v>
      </c>
      <c r="F18" s="14" t="s">
        <v>795</v>
      </c>
      <c r="G18" s="14">
        <v>120.625</v>
      </c>
      <c r="H18" s="14">
        <v>2.8342540000000001</v>
      </c>
      <c r="I18" s="14">
        <v>223.01670899999999</v>
      </c>
      <c r="J18" s="14">
        <v>2.1319999999999999E-2</v>
      </c>
      <c r="K18" s="14">
        <v>0.77442699999999998</v>
      </c>
      <c r="L18" s="14">
        <v>11.955448000000001</v>
      </c>
      <c r="M18" s="14">
        <v>1.7253309999999999</v>
      </c>
      <c r="N18" s="14">
        <v>20001798.086952001</v>
      </c>
      <c r="O18" s="14">
        <v>24694070.733468998</v>
      </c>
      <c r="P18" s="14">
        <v>1792.7380840000001</v>
      </c>
      <c r="Q18" s="14">
        <v>1448.4431480000001</v>
      </c>
      <c r="R18" s="14">
        <v>0.19217899999999999</v>
      </c>
      <c r="S18" s="14">
        <v>8.1071480000000005</v>
      </c>
      <c r="T18" s="14">
        <v>7.8305759999999998</v>
      </c>
      <c r="U18" s="14">
        <v>7.0639070000000004</v>
      </c>
      <c r="V18" s="14">
        <v>85.845928999999998</v>
      </c>
      <c r="W18" s="14">
        <v>9.5</v>
      </c>
      <c r="X18" s="16">
        <v>40381</v>
      </c>
      <c r="Y18" s="14">
        <v>2</v>
      </c>
      <c r="Z18" s="14" t="s">
        <v>100</v>
      </c>
      <c r="AA18" s="14" t="s">
        <v>38</v>
      </c>
      <c r="AB18" s="14">
        <v>-4.0400999999999999E-2</v>
      </c>
      <c r="AC18" s="14">
        <v>0.72321500000000005</v>
      </c>
      <c r="AD18" s="14">
        <v>8.070392</v>
      </c>
      <c r="AE18" s="14">
        <v>0.196626</v>
      </c>
      <c r="AF18" s="14">
        <v>-0.30287900000000001</v>
      </c>
      <c r="AG18" s="14">
        <v>8.4387000000000004E-2</v>
      </c>
      <c r="AH18" s="14">
        <v>-6.5855139999999999</v>
      </c>
      <c r="AI18" s="14">
        <v>-2.7905720000000001</v>
      </c>
      <c r="AJ18" s="14">
        <v>100</v>
      </c>
      <c r="AK18" s="14" t="s">
        <v>39</v>
      </c>
      <c r="AL18" s="14" t="s">
        <v>40</v>
      </c>
      <c r="AM18" s="14">
        <v>0.19217899999999999</v>
      </c>
      <c r="AN18" s="14">
        <v>0.19217899999999999</v>
      </c>
      <c r="AO18" s="14"/>
    </row>
    <row r="19" spans="1:41" x14ac:dyDescent="0.2">
      <c r="A19" s="14" t="s">
        <v>101</v>
      </c>
      <c r="B19" s="14" t="s">
        <v>102</v>
      </c>
      <c r="C19" s="14" t="s">
        <v>103</v>
      </c>
      <c r="D19" s="14" t="s">
        <v>37</v>
      </c>
      <c r="E19" s="16">
        <v>48167</v>
      </c>
      <c r="F19" s="14" t="s">
        <v>795</v>
      </c>
      <c r="G19" s="14">
        <v>113.4</v>
      </c>
      <c r="H19" s="14">
        <v>4.1433010000000001</v>
      </c>
      <c r="I19" s="14">
        <v>119.208302</v>
      </c>
      <c r="J19" s="14">
        <v>-0.69926600000000005</v>
      </c>
      <c r="K19" s="14">
        <v>-0.49505900000000003</v>
      </c>
      <c r="L19" s="14">
        <v>12.798438000000001</v>
      </c>
      <c r="M19" s="14">
        <v>0.98193200000000003</v>
      </c>
      <c r="N19" s="14">
        <v>26604177.857749</v>
      </c>
      <c r="O19" s="14">
        <v>31271428.885836001</v>
      </c>
      <c r="P19" s="14">
        <v>2270.240581</v>
      </c>
      <c r="Q19" s="14">
        <v>1834.2414000000001</v>
      </c>
      <c r="R19" s="14">
        <v>0.243367</v>
      </c>
      <c r="S19" s="14">
        <v>8.1881409999999999</v>
      </c>
      <c r="T19" s="14">
        <v>7.9001739999999998</v>
      </c>
      <c r="U19" s="14">
        <v>7.2901290000000003</v>
      </c>
      <c r="V19" s="14">
        <v>88.675302000000002</v>
      </c>
      <c r="W19" s="14">
        <v>8.875</v>
      </c>
      <c r="X19" s="16">
        <v>42397</v>
      </c>
      <c r="Y19" s="14">
        <v>2</v>
      </c>
      <c r="Z19" s="14" t="s">
        <v>102</v>
      </c>
      <c r="AA19" s="14" t="s">
        <v>38</v>
      </c>
      <c r="AB19" s="14">
        <v>-0.76054200000000005</v>
      </c>
      <c r="AC19" s="14">
        <v>-0.54562600000000006</v>
      </c>
      <c r="AD19" s="14">
        <v>8.8841289999999997</v>
      </c>
      <c r="AE19" s="14">
        <v>-0.53560099999999999</v>
      </c>
      <c r="AF19" s="14">
        <v>-1.021129</v>
      </c>
      <c r="AG19" s="14">
        <v>-1.1764060000000001</v>
      </c>
      <c r="AH19" s="14">
        <v>-5.8821320000000004</v>
      </c>
      <c r="AI19" s="14">
        <v>-3.500969</v>
      </c>
      <c r="AJ19" s="14">
        <v>100</v>
      </c>
      <c r="AK19" s="14" t="s">
        <v>39</v>
      </c>
      <c r="AL19" s="14" t="s">
        <v>40</v>
      </c>
      <c r="AM19" s="14">
        <v>0.243367</v>
      </c>
      <c r="AN19" s="14">
        <v>0.243367</v>
      </c>
      <c r="AO19" s="14"/>
    </row>
    <row r="20" spans="1:41" x14ac:dyDescent="0.2">
      <c r="A20" s="14" t="s">
        <v>104</v>
      </c>
      <c r="B20" s="14" t="s">
        <v>105</v>
      </c>
      <c r="C20" s="14" t="s">
        <v>106</v>
      </c>
      <c r="D20" s="14" t="s">
        <v>37</v>
      </c>
      <c r="E20" s="16">
        <v>48380</v>
      </c>
      <c r="F20" s="14" t="s">
        <v>795</v>
      </c>
      <c r="G20" s="14">
        <v>109.875</v>
      </c>
      <c r="H20" s="14">
        <v>3.1504120000000002</v>
      </c>
      <c r="I20" s="14">
        <v>164.88421199999999</v>
      </c>
      <c r="J20" s="14">
        <v>2.0108999999999998E-2</v>
      </c>
      <c r="K20" s="14">
        <v>0.34296199999999999</v>
      </c>
      <c r="L20" s="14">
        <v>11.898521000000001</v>
      </c>
      <c r="M20" s="14">
        <v>1.5083770000000001</v>
      </c>
      <c r="N20" s="14">
        <v>31592742.638225999</v>
      </c>
      <c r="O20" s="14">
        <v>35707827.556727998</v>
      </c>
      <c r="P20" s="14">
        <v>2592.313881</v>
      </c>
      <c r="Q20" s="14">
        <v>2094.4605969999998</v>
      </c>
      <c r="R20" s="14">
        <v>0.277893</v>
      </c>
      <c r="S20" s="14">
        <v>8.6201899999999991</v>
      </c>
      <c r="T20" s="14">
        <v>8.3238230000000009</v>
      </c>
      <c r="U20" s="14">
        <v>7.1209410000000002</v>
      </c>
      <c r="V20" s="14">
        <v>97.541106999999997</v>
      </c>
      <c r="W20" s="14">
        <v>8.25</v>
      </c>
      <c r="X20" s="16">
        <v>40745</v>
      </c>
      <c r="Y20" s="14">
        <v>2</v>
      </c>
      <c r="Z20" s="14" t="s">
        <v>107</v>
      </c>
      <c r="AA20" s="14" t="s">
        <v>38</v>
      </c>
      <c r="AB20" s="14">
        <v>-4.1611000000000002E-2</v>
      </c>
      <c r="AC20" s="14">
        <v>0.29196899999999998</v>
      </c>
      <c r="AD20" s="14">
        <v>8.0154399999999999</v>
      </c>
      <c r="AE20" s="14">
        <v>-1.7068E-2</v>
      </c>
      <c r="AF20" s="14">
        <v>-0.30408600000000002</v>
      </c>
      <c r="AG20" s="14">
        <v>-0.34412399999999999</v>
      </c>
      <c r="AH20" s="14">
        <v>-6.6330140000000002</v>
      </c>
      <c r="AI20" s="14">
        <v>-2.9978950000000002</v>
      </c>
      <c r="AJ20" s="14">
        <v>100</v>
      </c>
      <c r="AK20" s="14" t="s">
        <v>39</v>
      </c>
      <c r="AL20" s="14" t="s">
        <v>40</v>
      </c>
      <c r="AM20" s="14">
        <v>0.277893</v>
      </c>
      <c r="AN20" s="14">
        <v>0.277893</v>
      </c>
      <c r="AO20" s="14"/>
    </row>
    <row r="21" spans="1:41" x14ac:dyDescent="0.2">
      <c r="A21" s="14" t="s">
        <v>108</v>
      </c>
      <c r="B21" s="14" t="s">
        <v>109</v>
      </c>
      <c r="C21" s="14" t="s">
        <v>110</v>
      </c>
      <c r="D21" s="14" t="s">
        <v>37</v>
      </c>
      <c r="E21" s="16">
        <v>48441</v>
      </c>
      <c r="F21" s="14" t="s">
        <v>795</v>
      </c>
      <c r="G21" s="14">
        <v>103.25</v>
      </c>
      <c r="H21" s="14">
        <v>1.5953040000000001</v>
      </c>
      <c r="I21" s="14">
        <v>108.639127</v>
      </c>
      <c r="J21" s="14">
        <v>-9.9618999999999999E-2</v>
      </c>
      <c r="K21" s="14">
        <v>0.19373599999999999</v>
      </c>
      <c r="L21" s="14"/>
      <c r="M21" s="14">
        <v>-2.7699000000000001E-2</v>
      </c>
      <c r="N21" s="14">
        <v>32318479.565122999</v>
      </c>
      <c r="O21" s="14">
        <v>33884408.105378002</v>
      </c>
      <c r="P21" s="14">
        <v>2459.9374280000002</v>
      </c>
      <c r="Q21" s="14">
        <v>1987.507012</v>
      </c>
      <c r="R21" s="14">
        <v>0.26370199999999999</v>
      </c>
      <c r="S21" s="14">
        <v>8.9624710000000007</v>
      </c>
      <c r="T21" s="14">
        <v>8.6541300000000003</v>
      </c>
      <c r="U21" s="14">
        <v>7.1258749999999997</v>
      </c>
      <c r="V21" s="14">
        <v>103.398566</v>
      </c>
      <c r="W21" s="14">
        <v>7.5</v>
      </c>
      <c r="X21" s="16">
        <v>42684</v>
      </c>
      <c r="Y21" s="14">
        <v>2</v>
      </c>
      <c r="Z21" s="14" t="s">
        <v>111</v>
      </c>
      <c r="AA21" s="14" t="s">
        <v>38</v>
      </c>
      <c r="AB21" s="14">
        <v>-0.16126599999999999</v>
      </c>
      <c r="AC21" s="14">
        <v>0.142819</v>
      </c>
      <c r="AD21" s="14"/>
      <c r="AE21" s="14">
        <v>-1.53006</v>
      </c>
      <c r="AF21" s="14">
        <v>-0.42342600000000002</v>
      </c>
      <c r="AG21" s="14">
        <v>-0.49232700000000001</v>
      </c>
      <c r="AH21" s="14"/>
      <c r="AI21" s="14">
        <v>-4.4657799999999996</v>
      </c>
      <c r="AJ21" s="14">
        <v>100</v>
      </c>
      <c r="AK21" s="14" t="s">
        <v>39</v>
      </c>
      <c r="AL21" s="14" t="s">
        <v>40</v>
      </c>
      <c r="AM21" s="14">
        <v>0.26370199999999999</v>
      </c>
      <c r="AN21" s="14">
        <v>0.26370199999999999</v>
      </c>
      <c r="AO21" s="14"/>
    </row>
    <row r="22" spans="1:41" x14ac:dyDescent="0.2">
      <c r="A22" s="14" t="s">
        <v>112</v>
      </c>
      <c r="B22" s="14" t="s">
        <v>113</v>
      </c>
      <c r="C22" s="14" t="s">
        <v>114</v>
      </c>
      <c r="D22" s="14" t="s">
        <v>37</v>
      </c>
      <c r="E22" s="16">
        <v>48714</v>
      </c>
      <c r="F22" s="14" t="s">
        <v>795</v>
      </c>
      <c r="G22" s="14">
        <v>97.1</v>
      </c>
      <c r="H22" s="14">
        <v>3.0928870000000002</v>
      </c>
      <c r="I22" s="14">
        <v>147.03859199999999</v>
      </c>
      <c r="J22" s="14">
        <v>-0.45482699999999998</v>
      </c>
      <c r="K22" s="14">
        <v>-0.83227399999999996</v>
      </c>
      <c r="L22" s="14">
        <v>14.794072999999999</v>
      </c>
      <c r="M22" s="14">
        <v>1.454723</v>
      </c>
      <c r="N22" s="14">
        <v>44359612.209890999</v>
      </c>
      <c r="O22" s="14">
        <v>44445176.019905999</v>
      </c>
      <c r="P22" s="14">
        <v>3226.6271750000001</v>
      </c>
      <c r="Q22" s="14">
        <v>2606.9541690000001</v>
      </c>
      <c r="R22" s="14">
        <v>0.34588999999999998</v>
      </c>
      <c r="S22" s="14">
        <v>9.3661159999999999</v>
      </c>
      <c r="T22" s="14">
        <v>9.0523969999999991</v>
      </c>
      <c r="U22" s="14">
        <v>6.9311720000000001</v>
      </c>
      <c r="V22" s="14">
        <v>114.408168</v>
      </c>
      <c r="W22" s="14">
        <v>6.625</v>
      </c>
      <c r="X22" s="16">
        <v>41151</v>
      </c>
      <c r="Y22" s="14">
        <v>2</v>
      </c>
      <c r="Z22" s="14" t="s">
        <v>115</v>
      </c>
      <c r="AA22" s="14" t="s">
        <v>38</v>
      </c>
      <c r="AB22" s="14">
        <v>-0.51625399999999999</v>
      </c>
      <c r="AC22" s="14">
        <v>-0.88266999999999995</v>
      </c>
      <c r="AD22" s="14">
        <v>10.810511</v>
      </c>
      <c r="AE22" s="14">
        <v>-6.9915000000000005E-2</v>
      </c>
      <c r="AF22" s="14">
        <v>-0.77748200000000001</v>
      </c>
      <c r="AG22" s="14">
        <v>-1.511312</v>
      </c>
      <c r="AH22" s="14">
        <v>-4.2169949999999998</v>
      </c>
      <c r="AI22" s="14">
        <v>-3.0491670000000002</v>
      </c>
      <c r="AJ22" s="14">
        <v>100</v>
      </c>
      <c r="AK22" s="14" t="s">
        <v>39</v>
      </c>
      <c r="AL22" s="14" t="s">
        <v>40</v>
      </c>
      <c r="AM22" s="14">
        <v>0.34588999999999998</v>
      </c>
      <c r="AN22" s="14">
        <v>0.34588999999999998</v>
      </c>
      <c r="AO22" s="14"/>
    </row>
    <row r="23" spans="1:41" x14ac:dyDescent="0.2">
      <c r="A23" s="14" t="s">
        <v>116</v>
      </c>
      <c r="B23" s="14" t="s">
        <v>117</v>
      </c>
      <c r="C23" s="14" t="s">
        <v>118</v>
      </c>
      <c r="D23" s="14" t="s">
        <v>37</v>
      </c>
      <c r="E23" s="16">
        <v>49018</v>
      </c>
      <c r="F23" s="14" t="s">
        <v>795</v>
      </c>
      <c r="G23" s="14">
        <v>110.45</v>
      </c>
      <c r="H23" s="14">
        <v>1.1151489999999999</v>
      </c>
      <c r="I23" s="14">
        <v>165.56682000000001</v>
      </c>
      <c r="J23" s="14">
        <v>2.0456999999999999E-2</v>
      </c>
      <c r="K23" s="14">
        <v>0.87200699999999998</v>
      </c>
      <c r="L23" s="14">
        <v>11.684549000000001</v>
      </c>
      <c r="M23" s="14">
        <v>0.74185400000000001</v>
      </c>
      <c r="N23" s="14">
        <v>68208080.278799996</v>
      </c>
      <c r="O23" s="14">
        <v>76096446.704467997</v>
      </c>
      <c r="P23" s="14">
        <v>5524.4434789999996</v>
      </c>
      <c r="Q23" s="14">
        <v>4463.4753810000002</v>
      </c>
      <c r="R23" s="14">
        <v>0.59221299999999999</v>
      </c>
      <c r="S23" s="14">
        <v>9.3114439999999998</v>
      </c>
      <c r="T23" s="14">
        <v>8.9858229999999999</v>
      </c>
      <c r="U23" s="14">
        <v>7.2474319999999999</v>
      </c>
      <c r="V23" s="14">
        <v>114.630269</v>
      </c>
      <c r="W23" s="14">
        <v>8.375</v>
      </c>
      <c r="X23" s="16">
        <v>41487</v>
      </c>
      <c r="Y23" s="14">
        <v>2</v>
      </c>
      <c r="Z23" s="14" t="s">
        <v>119</v>
      </c>
      <c r="AA23" s="14" t="s">
        <v>38</v>
      </c>
      <c r="AB23" s="14">
        <v>-4.1263000000000001E-2</v>
      </c>
      <c r="AC23" s="14">
        <v>0.82074599999999998</v>
      </c>
      <c r="AD23" s="14">
        <v>7.8088939999999996</v>
      </c>
      <c r="AE23" s="14">
        <v>-0.77207199999999998</v>
      </c>
      <c r="AF23" s="14">
        <v>-0.30373899999999998</v>
      </c>
      <c r="AG23" s="14">
        <v>0.18129899999999999</v>
      </c>
      <c r="AH23" s="14">
        <v>-6.8115500000000004</v>
      </c>
      <c r="AI23" s="14">
        <v>-3.7303899999999999</v>
      </c>
      <c r="AJ23" s="14">
        <v>100</v>
      </c>
      <c r="AK23" s="14" t="s">
        <v>39</v>
      </c>
      <c r="AL23" s="14" t="s">
        <v>40</v>
      </c>
      <c r="AM23" s="14">
        <v>0.59221299999999999</v>
      </c>
      <c r="AN23" s="14">
        <v>0.59221299999999999</v>
      </c>
      <c r="AO23" s="14"/>
    </row>
    <row r="24" spans="1:41" x14ac:dyDescent="0.2">
      <c r="A24" s="14" t="s">
        <v>120</v>
      </c>
      <c r="B24" s="14" t="s">
        <v>121</v>
      </c>
      <c r="C24" s="14" t="s">
        <v>122</v>
      </c>
      <c r="D24" s="14" t="s">
        <v>37</v>
      </c>
      <c r="E24" s="16">
        <v>49810</v>
      </c>
      <c r="F24" s="14" t="s">
        <v>795</v>
      </c>
      <c r="G24" s="14">
        <v>109.1</v>
      </c>
      <c r="H24" s="14">
        <v>3.8515190000000001</v>
      </c>
      <c r="I24" s="14">
        <v>127.342388</v>
      </c>
      <c r="J24" s="14">
        <v>-1.9620000000000002E-3</v>
      </c>
      <c r="K24" s="14">
        <v>0.65890400000000005</v>
      </c>
      <c r="L24" s="14">
        <v>11.114034999999999</v>
      </c>
      <c r="M24" s="14">
        <v>-3.1026999999999999E-2</v>
      </c>
      <c r="N24" s="14">
        <v>65631822.701169997</v>
      </c>
      <c r="O24" s="14">
        <v>74132140.909548998</v>
      </c>
      <c r="P24" s="14">
        <v>5381.8389710000001</v>
      </c>
      <c r="Q24" s="14">
        <v>4348.2580360000002</v>
      </c>
      <c r="R24" s="14">
        <v>0.57692600000000005</v>
      </c>
      <c r="S24" s="14">
        <v>9.7048810000000003</v>
      </c>
      <c r="T24" s="14">
        <v>9.3620020000000004</v>
      </c>
      <c r="U24" s="14">
        <v>7.3249050000000002</v>
      </c>
      <c r="V24" s="14">
        <v>131.18784600000001</v>
      </c>
      <c r="W24" s="14">
        <v>8.25</v>
      </c>
      <c r="X24" s="16">
        <v>42194</v>
      </c>
      <c r="Y24" s="14">
        <v>2</v>
      </c>
      <c r="Z24" s="14" t="s">
        <v>123</v>
      </c>
      <c r="AA24" s="14" t="s">
        <v>38</v>
      </c>
      <c r="AB24" s="14">
        <v>-6.3669000000000003E-2</v>
      </c>
      <c r="AC24" s="14">
        <v>0.60775100000000004</v>
      </c>
      <c r="AD24" s="14">
        <v>7.258178</v>
      </c>
      <c r="AE24" s="14">
        <v>-1.533337</v>
      </c>
      <c r="AF24" s="14">
        <v>-0.32608500000000001</v>
      </c>
      <c r="AG24" s="14">
        <v>-3.0345E-2</v>
      </c>
      <c r="AH24" s="14">
        <v>-7.2875800000000002</v>
      </c>
      <c r="AI24" s="14">
        <v>-4.46896</v>
      </c>
      <c r="AJ24" s="14">
        <v>100</v>
      </c>
      <c r="AK24" s="14" t="s">
        <v>39</v>
      </c>
      <c r="AL24" s="14" t="s">
        <v>40</v>
      </c>
      <c r="AM24" s="14">
        <v>0.57692600000000005</v>
      </c>
      <c r="AN24" s="14">
        <v>0.57692600000000005</v>
      </c>
      <c r="AO24" s="14"/>
    </row>
    <row r="25" spans="1:41" x14ac:dyDescent="0.2">
      <c r="A25" s="14" t="s">
        <v>124</v>
      </c>
      <c r="B25" s="14" t="s">
        <v>125</v>
      </c>
      <c r="C25" s="14" t="s">
        <v>126</v>
      </c>
      <c r="D25" s="14" t="s">
        <v>37</v>
      </c>
      <c r="E25" s="16">
        <v>50540</v>
      </c>
      <c r="F25" s="14" t="s">
        <v>795</v>
      </c>
      <c r="G25" s="14">
        <v>102.15</v>
      </c>
      <c r="H25" s="14">
        <v>3.5013809999999999</v>
      </c>
      <c r="I25" s="14">
        <v>104.564656</v>
      </c>
      <c r="J25" s="14">
        <v>-0.21709999999999999</v>
      </c>
      <c r="K25" s="14">
        <v>0.12085899999999999</v>
      </c>
      <c r="L25" s="14"/>
      <c r="M25" s="14">
        <v>-0.39757900000000002</v>
      </c>
      <c r="N25" s="14">
        <v>35027403.335261002</v>
      </c>
      <c r="O25" s="14">
        <v>37006935.427616</v>
      </c>
      <c r="P25" s="14">
        <v>2686.6264059999999</v>
      </c>
      <c r="Q25" s="14">
        <v>2170.6604229999998</v>
      </c>
      <c r="R25" s="14">
        <v>0.28800300000000001</v>
      </c>
      <c r="S25" s="14">
        <v>10.422241</v>
      </c>
      <c r="T25" s="14">
        <v>10.055892999999999</v>
      </c>
      <c r="U25" s="14">
        <v>7.2862309999999999</v>
      </c>
      <c r="V25" s="14">
        <v>153.74155400000001</v>
      </c>
      <c r="W25" s="14">
        <v>7.5</v>
      </c>
      <c r="X25" s="16">
        <v>42957</v>
      </c>
      <c r="Y25" s="14">
        <v>2</v>
      </c>
      <c r="Z25" s="14" t="s">
        <v>127</v>
      </c>
      <c r="AA25" s="14" t="s">
        <v>38</v>
      </c>
      <c r="AB25" s="14">
        <v>-0.27867399999999998</v>
      </c>
      <c r="AC25" s="14">
        <v>6.9979E-2</v>
      </c>
      <c r="AD25" s="14"/>
      <c r="AE25" s="14">
        <v>-1.8943810000000001</v>
      </c>
      <c r="AF25" s="14">
        <v>-0.54052599999999995</v>
      </c>
      <c r="AG25" s="14">
        <v>-0.56470600000000004</v>
      </c>
      <c r="AH25" s="14"/>
      <c r="AI25" s="14">
        <v>-4.8192399999999997</v>
      </c>
      <c r="AJ25" s="14">
        <v>100</v>
      </c>
      <c r="AK25" s="14" t="s">
        <v>39</v>
      </c>
      <c r="AL25" s="14" t="s">
        <v>40</v>
      </c>
      <c r="AM25" s="14">
        <v>0.28800300000000001</v>
      </c>
      <c r="AN25" s="14">
        <v>0.28800300000000001</v>
      </c>
      <c r="AO25" s="14"/>
    </row>
    <row r="26" spans="1:41" x14ac:dyDescent="0.2">
      <c r="A26" s="14" t="s">
        <v>130</v>
      </c>
      <c r="B26" s="14" t="s">
        <v>131</v>
      </c>
      <c r="C26" s="14" t="s">
        <v>132</v>
      </c>
      <c r="D26" s="14" t="s">
        <v>37</v>
      </c>
      <c r="E26" s="16">
        <v>43769</v>
      </c>
      <c r="F26" s="14" t="s">
        <v>791</v>
      </c>
      <c r="G26" s="14">
        <v>100.30105</v>
      </c>
      <c r="H26" s="14">
        <v>3.0033000000000001E-2</v>
      </c>
      <c r="I26" s="14">
        <v>115.774378</v>
      </c>
      <c r="J26" s="14">
        <v>-1.1604E-2</v>
      </c>
      <c r="K26" s="14">
        <v>-0.10161299999999999</v>
      </c>
      <c r="L26" s="14">
        <v>3.7159279999999999</v>
      </c>
      <c r="M26" s="14">
        <v>0.42870999999999998</v>
      </c>
      <c r="N26" s="14">
        <v>11800</v>
      </c>
      <c r="O26" s="14">
        <v>11839.067779000001</v>
      </c>
      <c r="P26" s="14">
        <v>3043.8533950000001</v>
      </c>
      <c r="Q26" s="14">
        <v>2459.2820510000001</v>
      </c>
      <c r="R26" s="14">
        <v>0.326297</v>
      </c>
      <c r="S26" s="14">
        <v>1.468858</v>
      </c>
      <c r="T26" s="14">
        <v>1.444053</v>
      </c>
      <c r="U26" s="14">
        <v>3.4355090000000001</v>
      </c>
      <c r="V26" s="14">
        <v>2.8159730000000001</v>
      </c>
      <c r="W26" s="14">
        <v>3.6539999999999999</v>
      </c>
      <c r="X26" s="16">
        <v>41759</v>
      </c>
      <c r="Y26" s="14">
        <v>2</v>
      </c>
      <c r="Z26" s="14" t="s">
        <v>131</v>
      </c>
      <c r="AA26" s="14" t="s">
        <v>128</v>
      </c>
      <c r="AB26" s="14">
        <v>1.25E-3</v>
      </c>
      <c r="AC26" s="14">
        <v>-0.65382099999999999</v>
      </c>
      <c r="AD26" s="14">
        <v>17.608716000000001</v>
      </c>
      <c r="AE26" s="14">
        <v>4.4954340000000004</v>
      </c>
      <c r="AF26" s="14">
        <v>-0.26133800000000001</v>
      </c>
      <c r="AG26" s="14">
        <v>-1.2839160000000001</v>
      </c>
      <c r="AH26" s="14">
        <v>1.6592750000000001</v>
      </c>
      <c r="AI26" s="14">
        <v>1.3800730000000001</v>
      </c>
      <c r="AJ26" s="14">
        <v>100</v>
      </c>
      <c r="AK26" s="14" t="s">
        <v>39</v>
      </c>
      <c r="AL26" s="14" t="s">
        <v>129</v>
      </c>
      <c r="AM26" s="14">
        <v>0.326297</v>
      </c>
      <c r="AN26" s="14">
        <v>0.326297</v>
      </c>
      <c r="AO26" s="14"/>
    </row>
    <row r="27" spans="1:41" x14ac:dyDescent="0.2">
      <c r="A27" s="14" t="s">
        <v>133</v>
      </c>
      <c r="B27" s="14" t="s">
        <v>134</v>
      </c>
      <c r="C27" s="14" t="s">
        <v>135</v>
      </c>
      <c r="D27" s="14" t="s">
        <v>37</v>
      </c>
      <c r="E27" s="16">
        <v>43798</v>
      </c>
      <c r="F27" s="14" t="s">
        <v>791</v>
      </c>
      <c r="G27" s="14">
        <v>101.40940000000001</v>
      </c>
      <c r="H27" s="14">
        <v>1.859151</v>
      </c>
      <c r="I27" s="14">
        <v>146.068296</v>
      </c>
      <c r="J27" s="14">
        <v>-1.3193E-2</v>
      </c>
      <c r="K27" s="14">
        <v>-0.10820399999999999</v>
      </c>
      <c r="L27" s="14">
        <v>3.722156</v>
      </c>
      <c r="M27" s="14">
        <v>0.359599</v>
      </c>
      <c r="N27" s="14">
        <v>17119</v>
      </c>
      <c r="O27" s="14">
        <v>17678.543192000001</v>
      </c>
      <c r="P27" s="14">
        <v>4545.1968610000004</v>
      </c>
      <c r="Q27" s="14">
        <v>3672.2928510000002</v>
      </c>
      <c r="R27" s="14">
        <v>0.48723899999999998</v>
      </c>
      <c r="S27" s="14">
        <v>1.5086790000000001</v>
      </c>
      <c r="T27" s="14">
        <v>1.4830970000000001</v>
      </c>
      <c r="U27" s="14">
        <v>3.4497979999999999</v>
      </c>
      <c r="V27" s="14">
        <v>2.9954480000000001</v>
      </c>
      <c r="W27" s="14">
        <v>4.3780000000000001</v>
      </c>
      <c r="X27" s="16">
        <v>39962</v>
      </c>
      <c r="Y27" s="14">
        <v>2</v>
      </c>
      <c r="Z27" s="14" t="s">
        <v>134</v>
      </c>
      <c r="AA27" s="14" t="s">
        <v>128</v>
      </c>
      <c r="AB27" s="14">
        <v>-3.4000000000000002E-4</v>
      </c>
      <c r="AC27" s="14">
        <v>-0.66037599999999996</v>
      </c>
      <c r="AD27" s="14">
        <v>17.615777999999999</v>
      </c>
      <c r="AE27" s="14">
        <v>4.4235239999999996</v>
      </c>
      <c r="AF27" s="14">
        <v>-0.26292300000000002</v>
      </c>
      <c r="AG27" s="14">
        <v>-1.290429</v>
      </c>
      <c r="AH27" s="14">
        <v>1.6653800000000001</v>
      </c>
      <c r="AI27" s="14">
        <v>1.310308</v>
      </c>
      <c r="AJ27" s="14">
        <v>100</v>
      </c>
      <c r="AK27" s="14" t="s">
        <v>39</v>
      </c>
      <c r="AL27" s="14" t="s">
        <v>129</v>
      </c>
      <c r="AM27" s="14">
        <v>0.48723899999999998</v>
      </c>
      <c r="AN27" s="14">
        <v>0.48723899999999998</v>
      </c>
      <c r="AO27" s="14"/>
    </row>
    <row r="28" spans="1:41" x14ac:dyDescent="0.2">
      <c r="A28" s="14" t="s">
        <v>136</v>
      </c>
      <c r="B28" s="14" t="s">
        <v>137</v>
      </c>
      <c r="C28" s="14" t="s">
        <v>138</v>
      </c>
      <c r="D28" s="14" t="s">
        <v>37</v>
      </c>
      <c r="E28" s="16">
        <v>43921</v>
      </c>
      <c r="F28" s="14" t="s">
        <v>791</v>
      </c>
      <c r="G28" s="14">
        <v>99.940049999999999</v>
      </c>
      <c r="H28" s="14">
        <v>0.31571500000000002</v>
      </c>
      <c r="I28" s="14">
        <v>120.207796</v>
      </c>
      <c r="J28" s="14">
        <v>-1.541E-2</v>
      </c>
      <c r="K28" s="14">
        <v>-5.2213000000000002E-2</v>
      </c>
      <c r="L28" s="14">
        <v>3.8383959999999999</v>
      </c>
      <c r="M28" s="14">
        <v>0.44509700000000002</v>
      </c>
      <c r="N28" s="14">
        <v>11000</v>
      </c>
      <c r="O28" s="14">
        <v>11028.134158000001</v>
      </c>
      <c r="P28" s="14">
        <v>2835.3603699999999</v>
      </c>
      <c r="Q28" s="14">
        <v>2290.8300629999999</v>
      </c>
      <c r="R28" s="14">
        <v>0.30394700000000002</v>
      </c>
      <c r="S28" s="14">
        <v>1.8598749999999999</v>
      </c>
      <c r="T28" s="14">
        <v>1.827723</v>
      </c>
      <c r="U28" s="14">
        <v>3.5182739999999999</v>
      </c>
      <c r="V28" s="14">
        <v>4.293539</v>
      </c>
      <c r="W28" s="14">
        <v>3.492</v>
      </c>
      <c r="X28" s="16">
        <v>41180</v>
      </c>
      <c r="Y28" s="14">
        <v>2</v>
      </c>
      <c r="Z28" s="14" t="s">
        <v>137</v>
      </c>
      <c r="AA28" s="14" t="s">
        <v>128</v>
      </c>
      <c r="AB28" s="14">
        <v>-2.5569999999999998E-3</v>
      </c>
      <c r="AC28" s="14">
        <v>-0.60469499999999998</v>
      </c>
      <c r="AD28" s="14">
        <v>17.747588</v>
      </c>
      <c r="AE28" s="14">
        <v>4.5124839999999997</v>
      </c>
      <c r="AF28" s="14">
        <v>-0.26513399999999998</v>
      </c>
      <c r="AG28" s="14">
        <v>-1.2351000000000001</v>
      </c>
      <c r="AH28" s="14">
        <v>1.7793140000000001</v>
      </c>
      <c r="AI28" s="14">
        <v>1.3966160000000001</v>
      </c>
      <c r="AJ28" s="14">
        <v>100</v>
      </c>
      <c r="AK28" s="14" t="s">
        <v>39</v>
      </c>
      <c r="AL28" s="14" t="s">
        <v>129</v>
      </c>
      <c r="AM28" s="14">
        <v>0.30394700000000002</v>
      </c>
      <c r="AN28" s="14">
        <v>0.30394700000000002</v>
      </c>
      <c r="AO28" s="14"/>
    </row>
    <row r="29" spans="1:41" x14ac:dyDescent="0.2">
      <c r="A29" s="14" t="s">
        <v>139</v>
      </c>
      <c r="B29" s="14" t="s">
        <v>140</v>
      </c>
      <c r="C29" s="14" t="s">
        <v>141</v>
      </c>
      <c r="D29" s="14" t="s">
        <v>37</v>
      </c>
      <c r="E29" s="16">
        <v>43936</v>
      </c>
      <c r="F29" s="14" t="s">
        <v>791</v>
      </c>
      <c r="G29" s="14">
        <v>99.250050000000002</v>
      </c>
      <c r="H29" s="14">
        <v>0.15909000000000001</v>
      </c>
      <c r="I29" s="14">
        <v>102.85019</v>
      </c>
      <c r="J29" s="14">
        <v>6.8370000000000002E-3</v>
      </c>
      <c r="K29" s="14">
        <v>0.109657</v>
      </c>
      <c r="L29" s="14"/>
      <c r="M29" s="14">
        <v>0.74925600000000003</v>
      </c>
      <c r="N29" s="14">
        <v>7000</v>
      </c>
      <c r="O29" s="14">
        <v>6958.6398289999997</v>
      </c>
      <c r="P29" s="14">
        <v>1789.083386</v>
      </c>
      <c r="Q29" s="14">
        <v>1445.490333</v>
      </c>
      <c r="R29" s="14">
        <v>0.19178700000000001</v>
      </c>
      <c r="S29" s="14">
        <v>1.904528</v>
      </c>
      <c r="T29" s="14">
        <v>1.8706510000000001</v>
      </c>
      <c r="U29" s="14">
        <v>3.6219060000000001</v>
      </c>
      <c r="V29" s="14">
        <v>4.4691609999999997</v>
      </c>
      <c r="W29" s="14">
        <v>3.226</v>
      </c>
      <c r="X29" s="16">
        <v>42650</v>
      </c>
      <c r="Y29" s="14">
        <v>2</v>
      </c>
      <c r="Z29" s="14" t="s">
        <v>140</v>
      </c>
      <c r="AA29" s="14" t="s">
        <v>128</v>
      </c>
      <c r="AB29" s="14">
        <v>1.9692999999999999E-2</v>
      </c>
      <c r="AC29" s="14">
        <v>-0.44372</v>
      </c>
      <c r="AD29" s="14"/>
      <c r="AE29" s="14">
        <v>4.8289590000000002</v>
      </c>
      <c r="AF29" s="14">
        <v>-0.24294199999999999</v>
      </c>
      <c r="AG29" s="14">
        <v>-1.0751459999999999</v>
      </c>
      <c r="AH29" s="14"/>
      <c r="AI29" s="14">
        <v>1.7036549999999999</v>
      </c>
      <c r="AJ29" s="14">
        <v>100</v>
      </c>
      <c r="AK29" s="14" t="s">
        <v>39</v>
      </c>
      <c r="AL29" s="14" t="s">
        <v>129</v>
      </c>
      <c r="AM29" s="14">
        <v>0.19178700000000001</v>
      </c>
      <c r="AN29" s="14">
        <v>0.19178700000000001</v>
      </c>
      <c r="AO29" s="14"/>
    </row>
    <row r="30" spans="1:41" x14ac:dyDescent="0.2">
      <c r="A30" s="14" t="s">
        <v>142</v>
      </c>
      <c r="B30" s="14" t="s">
        <v>143</v>
      </c>
      <c r="C30" s="14" t="s">
        <v>144</v>
      </c>
      <c r="D30" s="14" t="s">
        <v>37</v>
      </c>
      <c r="E30" s="16">
        <v>44119</v>
      </c>
      <c r="F30" s="14" t="s">
        <v>791</v>
      </c>
      <c r="G30" s="14">
        <v>100.205</v>
      </c>
      <c r="H30" s="14">
        <v>0.18044399999999999</v>
      </c>
      <c r="I30" s="14">
        <v>111.166667</v>
      </c>
      <c r="J30" s="14">
        <v>-4.9923000000000002E-2</v>
      </c>
      <c r="K30" s="14">
        <v>-0.191942</v>
      </c>
      <c r="L30" s="14">
        <v>4.0413389999999998</v>
      </c>
      <c r="M30" s="14">
        <v>0.400393</v>
      </c>
      <c r="N30" s="14">
        <v>11742.134</v>
      </c>
      <c r="O30" s="14">
        <v>11787.393332</v>
      </c>
      <c r="P30" s="14">
        <v>3030.567767</v>
      </c>
      <c r="Q30" s="14">
        <v>2448.5479260000002</v>
      </c>
      <c r="R30" s="14">
        <v>0.32487300000000002</v>
      </c>
      <c r="S30" s="14">
        <v>2.3638680000000001</v>
      </c>
      <c r="T30" s="14">
        <v>2.3224779999999998</v>
      </c>
      <c r="U30" s="14">
        <v>3.564314</v>
      </c>
      <c r="V30" s="14">
        <v>6.6551169999999997</v>
      </c>
      <c r="W30" s="14">
        <v>3.6589999999999998</v>
      </c>
      <c r="X30" s="16">
        <v>42109</v>
      </c>
      <c r="Y30" s="14">
        <v>2</v>
      </c>
      <c r="Z30" s="14" t="s">
        <v>143</v>
      </c>
      <c r="AA30" s="14" t="s">
        <v>128</v>
      </c>
      <c r="AB30" s="14">
        <v>-3.7074000000000003E-2</v>
      </c>
      <c r="AC30" s="14">
        <v>-0.74365099999999995</v>
      </c>
      <c r="AD30" s="14">
        <v>17.977716000000001</v>
      </c>
      <c r="AE30" s="14">
        <v>4.4659700000000004</v>
      </c>
      <c r="AF30" s="14">
        <v>-0.29956100000000002</v>
      </c>
      <c r="AG30" s="14">
        <v>-1.373176</v>
      </c>
      <c r="AH30" s="14">
        <v>1.978234</v>
      </c>
      <c r="AI30" s="14">
        <v>1.351488</v>
      </c>
      <c r="AJ30" s="14">
        <v>100</v>
      </c>
      <c r="AK30" s="14" t="s">
        <v>39</v>
      </c>
      <c r="AL30" s="14" t="s">
        <v>129</v>
      </c>
      <c r="AM30" s="14">
        <v>0.32487300000000002</v>
      </c>
      <c r="AN30" s="14">
        <v>0.32487300000000002</v>
      </c>
      <c r="AO30" s="14"/>
    </row>
    <row r="31" spans="1:41" x14ac:dyDescent="0.2">
      <c r="A31" s="14" t="s">
        <v>145</v>
      </c>
      <c r="B31" s="14" t="s">
        <v>146</v>
      </c>
      <c r="C31" s="14" t="s">
        <v>147</v>
      </c>
      <c r="D31" s="14" t="s">
        <v>37</v>
      </c>
      <c r="E31" s="16">
        <v>44392</v>
      </c>
      <c r="F31" s="14" t="s">
        <v>792</v>
      </c>
      <c r="G31" s="14">
        <v>101.69985</v>
      </c>
      <c r="H31" s="14">
        <v>1.230904</v>
      </c>
      <c r="I31" s="14">
        <v>133.97738000000001</v>
      </c>
      <c r="J31" s="14">
        <v>-6.2037000000000002E-2</v>
      </c>
      <c r="K31" s="14">
        <v>-0.200406</v>
      </c>
      <c r="L31" s="14">
        <v>4.4576130000000003</v>
      </c>
      <c r="M31" s="14">
        <v>0.46258100000000002</v>
      </c>
      <c r="N31" s="14">
        <v>13500</v>
      </c>
      <c r="O31" s="14">
        <v>13895.651805</v>
      </c>
      <c r="P31" s="14">
        <v>3572.6061970000001</v>
      </c>
      <c r="Q31" s="14">
        <v>2886.4879999999998</v>
      </c>
      <c r="R31" s="14">
        <v>0.38297900000000001</v>
      </c>
      <c r="S31" s="14">
        <v>2.9956130000000001</v>
      </c>
      <c r="T31" s="14">
        <v>2.942736</v>
      </c>
      <c r="U31" s="14">
        <v>3.5936910000000002</v>
      </c>
      <c r="V31" s="14">
        <v>10.495433999999999</v>
      </c>
      <c r="W31" s="14">
        <v>4.16</v>
      </c>
      <c r="X31" s="16">
        <v>40557</v>
      </c>
      <c r="Y31" s="14">
        <v>2</v>
      </c>
      <c r="Z31" s="14" t="s">
        <v>146</v>
      </c>
      <c r="AA31" s="14" t="s">
        <v>128</v>
      </c>
      <c r="AB31" s="14">
        <v>-4.9189999999999998E-2</v>
      </c>
      <c r="AC31" s="14">
        <v>-0.75206899999999999</v>
      </c>
      <c r="AD31" s="14">
        <v>18.449749000000001</v>
      </c>
      <c r="AE31" s="14">
        <v>4.5306759999999997</v>
      </c>
      <c r="AF31" s="14">
        <v>-0.31164399999999998</v>
      </c>
      <c r="AG31" s="14">
        <v>-1.38154</v>
      </c>
      <c r="AH31" s="14">
        <v>2.3862519999999998</v>
      </c>
      <c r="AI31" s="14">
        <v>1.4142650000000001</v>
      </c>
      <c r="AJ31" s="14">
        <v>100</v>
      </c>
      <c r="AK31" s="14" t="s">
        <v>39</v>
      </c>
      <c r="AL31" s="14" t="s">
        <v>129</v>
      </c>
      <c r="AM31" s="14">
        <v>0.38297900000000001</v>
      </c>
      <c r="AN31" s="14">
        <v>0.38297900000000001</v>
      </c>
      <c r="AO31" s="14"/>
    </row>
    <row r="32" spans="1:41" x14ac:dyDescent="0.2">
      <c r="A32" s="14" t="s">
        <v>148</v>
      </c>
      <c r="B32" s="14" t="s">
        <v>149</v>
      </c>
      <c r="C32" s="14" t="s">
        <v>150</v>
      </c>
      <c r="D32" s="14" t="s">
        <v>37</v>
      </c>
      <c r="E32" s="16">
        <v>44530</v>
      </c>
      <c r="F32" s="14" t="s">
        <v>792</v>
      </c>
      <c r="G32" s="14">
        <v>100.2801</v>
      </c>
      <c r="H32" s="14">
        <v>1.527342</v>
      </c>
      <c r="I32" s="14">
        <v>104.161024</v>
      </c>
      <c r="J32" s="14">
        <v>-6.4556000000000002E-2</v>
      </c>
      <c r="K32" s="14">
        <v>-9.4622999999999999E-2</v>
      </c>
      <c r="L32" s="14">
        <v>4.8960509999999999</v>
      </c>
      <c r="M32" s="14">
        <v>0.93441700000000005</v>
      </c>
      <c r="N32" s="14">
        <v>10000</v>
      </c>
      <c r="O32" s="14">
        <v>10180.744247000001</v>
      </c>
      <c r="P32" s="14">
        <v>2617.4943429999998</v>
      </c>
      <c r="Q32" s="14">
        <v>2114.8051569999998</v>
      </c>
      <c r="R32" s="14">
        <v>0.28059200000000001</v>
      </c>
      <c r="S32" s="14">
        <v>3.3373620000000002</v>
      </c>
      <c r="T32" s="14">
        <v>3.2794370000000002</v>
      </c>
      <c r="U32" s="14">
        <v>3.5325739999999999</v>
      </c>
      <c r="V32" s="14">
        <v>12.893838000000001</v>
      </c>
      <c r="W32" s="14">
        <v>3.62</v>
      </c>
      <c r="X32" s="16">
        <v>42521</v>
      </c>
      <c r="Y32" s="14">
        <v>2</v>
      </c>
      <c r="Z32" s="14" t="s">
        <v>149</v>
      </c>
      <c r="AA32" s="14" t="s">
        <v>128</v>
      </c>
      <c r="AB32" s="14">
        <v>-5.1708999999999998E-2</v>
      </c>
      <c r="AC32" s="14">
        <v>-0.64686999999999995</v>
      </c>
      <c r="AD32" s="14">
        <v>18.946916999999999</v>
      </c>
      <c r="AE32" s="14">
        <v>5.0216190000000003</v>
      </c>
      <c r="AF32" s="14">
        <v>-0.31415700000000002</v>
      </c>
      <c r="AG32" s="14">
        <v>-1.2770079999999999</v>
      </c>
      <c r="AH32" s="14">
        <v>2.8159969999999999</v>
      </c>
      <c r="AI32" s="14">
        <v>1.890571</v>
      </c>
      <c r="AJ32" s="14">
        <v>100</v>
      </c>
      <c r="AK32" s="14" t="s">
        <v>39</v>
      </c>
      <c r="AL32" s="14" t="s">
        <v>129</v>
      </c>
      <c r="AM32" s="14">
        <v>0.28059200000000001</v>
      </c>
      <c r="AN32" s="14">
        <v>0.28059200000000001</v>
      </c>
      <c r="AO32" s="14"/>
    </row>
    <row r="33" spans="1:41" x14ac:dyDescent="0.2">
      <c r="A33" s="14" t="s">
        <v>799</v>
      </c>
      <c r="B33" s="14" t="s">
        <v>800</v>
      </c>
      <c r="C33" s="14" t="s">
        <v>801</v>
      </c>
      <c r="D33" s="14" t="s">
        <v>37</v>
      </c>
      <c r="E33" s="16">
        <v>44665</v>
      </c>
      <c r="F33" s="14" t="s">
        <v>792</v>
      </c>
      <c r="G33" s="14">
        <v>100.32510000000001</v>
      </c>
      <c r="H33" s="14">
        <v>0.205512</v>
      </c>
      <c r="I33" s="14">
        <v>101.08513600000001</v>
      </c>
      <c r="J33" s="14">
        <v>-6.8866999999999998E-2</v>
      </c>
      <c r="K33" s="14">
        <v>6.3169000000000003E-2</v>
      </c>
      <c r="L33" s="14"/>
      <c r="M33" s="14">
        <v>0.85028599999999999</v>
      </c>
      <c r="N33" s="14">
        <v>11000</v>
      </c>
      <c r="O33" s="14">
        <v>11058.367356000001</v>
      </c>
      <c r="P33" s="14">
        <v>2843.1333989999998</v>
      </c>
      <c r="Q33" s="14">
        <v>2297.1102850000002</v>
      </c>
      <c r="R33" s="14">
        <v>0.30478</v>
      </c>
      <c r="S33" s="14">
        <v>3.689022</v>
      </c>
      <c r="T33" s="14">
        <v>3.6192600000000001</v>
      </c>
      <c r="U33" s="14">
        <v>3.8550059999999999</v>
      </c>
      <c r="V33" s="14">
        <v>15.441750000000001</v>
      </c>
      <c r="W33" s="14">
        <v>3.948</v>
      </c>
      <c r="X33" s="16">
        <v>42839</v>
      </c>
      <c r="Y33" s="14">
        <v>2</v>
      </c>
      <c r="Z33" s="14" t="s">
        <v>800</v>
      </c>
      <c r="AA33" s="14" t="s">
        <v>128</v>
      </c>
      <c r="AB33" s="14">
        <v>-5.6021000000000001E-2</v>
      </c>
      <c r="AC33" s="14">
        <v>-0.48995100000000003</v>
      </c>
      <c r="AD33" s="14"/>
      <c r="AE33" s="14">
        <v>4.9340809999999999</v>
      </c>
      <c r="AF33" s="14">
        <v>-0.31845800000000002</v>
      </c>
      <c r="AG33" s="14">
        <v>-1.121084</v>
      </c>
      <c r="AH33" s="14"/>
      <c r="AI33" s="14">
        <v>1.8056430000000001</v>
      </c>
      <c r="AJ33" s="14">
        <v>100</v>
      </c>
      <c r="AK33" s="14" t="s">
        <v>39</v>
      </c>
      <c r="AL33" s="14" t="s">
        <v>129</v>
      </c>
      <c r="AM33" s="14">
        <v>0.30478</v>
      </c>
      <c r="AN33" s="14">
        <v>0.30478</v>
      </c>
      <c r="AO33" s="14"/>
    </row>
    <row r="34" spans="1:41" x14ac:dyDescent="0.2">
      <c r="A34" s="14" t="s">
        <v>151</v>
      </c>
      <c r="B34" s="14" t="s">
        <v>152</v>
      </c>
      <c r="C34" s="14" t="s">
        <v>153</v>
      </c>
      <c r="D34" s="14" t="s">
        <v>37</v>
      </c>
      <c r="E34" s="16">
        <v>45155</v>
      </c>
      <c r="F34" s="14" t="s">
        <v>793</v>
      </c>
      <c r="G34" s="14">
        <v>99.95</v>
      </c>
      <c r="H34" s="14">
        <v>0.78082200000000002</v>
      </c>
      <c r="I34" s="14">
        <v>107.496314</v>
      </c>
      <c r="J34" s="14">
        <v>1.035E-2</v>
      </c>
      <c r="K34" s="14">
        <v>7.6583999999999999E-2</v>
      </c>
      <c r="L34" s="14">
        <v>4.8641209999999999</v>
      </c>
      <c r="M34" s="14">
        <v>1.1967049999999999</v>
      </c>
      <c r="N34" s="14">
        <v>10000</v>
      </c>
      <c r="O34" s="14">
        <v>10073.082192</v>
      </c>
      <c r="P34" s="14">
        <v>2589.8141639999999</v>
      </c>
      <c r="Q34" s="14">
        <v>2092.4409500000002</v>
      </c>
      <c r="R34" s="14">
        <v>0.27762500000000001</v>
      </c>
      <c r="S34" s="14">
        <v>4.8055289999999999</v>
      </c>
      <c r="T34" s="14">
        <v>4.7156840000000004</v>
      </c>
      <c r="U34" s="14">
        <v>3.8104619999999998</v>
      </c>
      <c r="V34" s="14">
        <v>25.983764999999998</v>
      </c>
      <c r="W34" s="14">
        <v>3.8</v>
      </c>
      <c r="X34" s="16">
        <v>42417</v>
      </c>
      <c r="Y34" s="14">
        <v>2</v>
      </c>
      <c r="Z34" s="14" t="s">
        <v>152</v>
      </c>
      <c r="AA34" s="14" t="s">
        <v>128</v>
      </c>
      <c r="AB34" s="14">
        <v>2.3206999999999998E-2</v>
      </c>
      <c r="AC34" s="14">
        <v>-0.476609</v>
      </c>
      <c r="AD34" s="14">
        <v>18.910710000000002</v>
      </c>
      <c r="AE34" s="14">
        <v>5.2945279999999997</v>
      </c>
      <c r="AF34" s="14">
        <v>-0.23943800000000001</v>
      </c>
      <c r="AG34" s="14">
        <v>-1.1078269999999999</v>
      </c>
      <c r="AH34" s="14">
        <v>2.7847</v>
      </c>
      <c r="AI34" s="14">
        <v>2.1553439999999999</v>
      </c>
      <c r="AJ34" s="14">
        <v>100</v>
      </c>
      <c r="AK34" s="14" t="s">
        <v>39</v>
      </c>
      <c r="AL34" s="14" t="s">
        <v>129</v>
      </c>
      <c r="AM34" s="14">
        <v>0.27762500000000001</v>
      </c>
      <c r="AN34" s="14">
        <v>0.27762500000000001</v>
      </c>
      <c r="AO34" s="14"/>
    </row>
    <row r="35" spans="1:41" x14ac:dyDescent="0.2">
      <c r="A35" s="14" t="s">
        <v>154</v>
      </c>
      <c r="B35" s="14" t="s">
        <v>155</v>
      </c>
      <c r="C35" s="14" t="s">
        <v>156</v>
      </c>
      <c r="D35" s="14" t="s">
        <v>37</v>
      </c>
      <c r="E35" s="16">
        <v>45488</v>
      </c>
      <c r="F35" s="14" t="s">
        <v>793</v>
      </c>
      <c r="G35" s="14">
        <v>101.5</v>
      </c>
      <c r="H35" s="14">
        <v>1.2371179999999999</v>
      </c>
      <c r="I35" s="14">
        <v>121.07435</v>
      </c>
      <c r="J35" s="14">
        <v>1.1167E-2</v>
      </c>
      <c r="K35" s="14">
        <v>9.2426999999999995E-2</v>
      </c>
      <c r="L35" s="14">
        <v>4.8898520000000003</v>
      </c>
      <c r="M35" s="14">
        <v>1.132725</v>
      </c>
      <c r="N35" s="14">
        <v>11020</v>
      </c>
      <c r="O35" s="14">
        <v>11321.630381999999</v>
      </c>
      <c r="P35" s="14">
        <v>2910.8189699999998</v>
      </c>
      <c r="Q35" s="14">
        <v>2351.7968569999998</v>
      </c>
      <c r="R35" s="14">
        <v>0.31203599999999998</v>
      </c>
      <c r="S35" s="14">
        <v>5.4664590000000004</v>
      </c>
      <c r="T35" s="14">
        <v>5.3617809999999997</v>
      </c>
      <c r="U35" s="14">
        <v>3.904585</v>
      </c>
      <c r="V35" s="14">
        <v>33.855618</v>
      </c>
      <c r="W35" s="14">
        <v>4.181</v>
      </c>
      <c r="X35" s="16">
        <v>41649</v>
      </c>
      <c r="Y35" s="14">
        <v>2</v>
      </c>
      <c r="Z35" s="14" t="s">
        <v>155</v>
      </c>
      <c r="AA35" s="14" t="s">
        <v>128</v>
      </c>
      <c r="AB35" s="14">
        <v>2.4024E-2</v>
      </c>
      <c r="AC35" s="14">
        <v>-0.46085399999999999</v>
      </c>
      <c r="AD35" s="14">
        <v>18.939888</v>
      </c>
      <c r="AE35" s="14">
        <v>5.227957</v>
      </c>
      <c r="AF35" s="14">
        <v>-0.238623</v>
      </c>
      <c r="AG35" s="14">
        <v>-1.0921719999999999</v>
      </c>
      <c r="AH35" s="14">
        <v>2.8099210000000001</v>
      </c>
      <c r="AI35" s="14">
        <v>2.0907580000000001</v>
      </c>
      <c r="AJ35" s="14">
        <v>100</v>
      </c>
      <c r="AK35" s="14" t="s">
        <v>39</v>
      </c>
      <c r="AL35" s="14" t="s">
        <v>129</v>
      </c>
      <c r="AM35" s="14">
        <v>0.31203599999999998</v>
      </c>
      <c r="AN35" s="14">
        <v>0.31203599999999998</v>
      </c>
      <c r="AO35" s="14"/>
    </row>
    <row r="36" spans="1:41" x14ac:dyDescent="0.2">
      <c r="A36" s="14" t="s">
        <v>157</v>
      </c>
      <c r="B36" s="14" t="s">
        <v>158</v>
      </c>
      <c r="C36" s="14" t="s">
        <v>159</v>
      </c>
      <c r="D36" s="14" t="s">
        <v>37</v>
      </c>
      <c r="E36" s="16">
        <v>45565</v>
      </c>
      <c r="F36" s="14" t="s">
        <v>793</v>
      </c>
      <c r="G36" s="14">
        <v>100.85</v>
      </c>
      <c r="H36" s="14">
        <v>0.36697800000000003</v>
      </c>
      <c r="I36" s="14">
        <v>102.835656</v>
      </c>
      <c r="J36" s="14">
        <v>1.1004E-2</v>
      </c>
      <c r="K36" s="14">
        <v>3.8649999999999997E-2</v>
      </c>
      <c r="L36" s="14"/>
      <c r="M36" s="14">
        <v>0.944604</v>
      </c>
      <c r="N36" s="14">
        <v>11000</v>
      </c>
      <c r="O36" s="14">
        <v>11133.867588999999</v>
      </c>
      <c r="P36" s="14">
        <v>2862.5446940000002</v>
      </c>
      <c r="Q36" s="14">
        <v>2312.7936450000002</v>
      </c>
      <c r="R36" s="14">
        <v>0.30686099999999999</v>
      </c>
      <c r="S36" s="14">
        <v>5.6938040000000001</v>
      </c>
      <c r="T36" s="14">
        <v>5.5848170000000001</v>
      </c>
      <c r="U36" s="14">
        <v>3.9029630000000002</v>
      </c>
      <c r="V36" s="14">
        <v>36.361860999999998</v>
      </c>
      <c r="W36" s="14">
        <v>4.0590000000000002</v>
      </c>
      <c r="X36" s="16">
        <v>42825</v>
      </c>
      <c r="Y36" s="14">
        <v>2</v>
      </c>
      <c r="Z36" s="14" t="s">
        <v>158</v>
      </c>
      <c r="AA36" s="14" t="s">
        <v>128</v>
      </c>
      <c r="AB36" s="14">
        <v>2.3859999999999999E-2</v>
      </c>
      <c r="AC36" s="14">
        <v>-0.51433399999999996</v>
      </c>
      <c r="AD36" s="14"/>
      <c r="AE36" s="14">
        <v>5.0322190000000004</v>
      </c>
      <c r="AF36" s="14">
        <v>-0.238786</v>
      </c>
      <c r="AG36" s="14">
        <v>-1.145313</v>
      </c>
      <c r="AH36" s="14"/>
      <c r="AI36" s="14">
        <v>1.900855</v>
      </c>
      <c r="AJ36" s="14">
        <v>100</v>
      </c>
      <c r="AK36" s="14" t="s">
        <v>39</v>
      </c>
      <c r="AL36" s="14" t="s">
        <v>129</v>
      </c>
      <c r="AM36" s="14">
        <v>0.30686099999999999</v>
      </c>
      <c r="AN36" s="14">
        <v>0.30686099999999999</v>
      </c>
      <c r="AO36" s="14"/>
    </row>
    <row r="37" spans="1:41" x14ac:dyDescent="0.2">
      <c r="A37" s="14" t="s">
        <v>160</v>
      </c>
      <c r="B37" s="14" t="s">
        <v>161</v>
      </c>
      <c r="C37" s="14" t="s">
        <v>162</v>
      </c>
      <c r="D37" s="14" t="s">
        <v>37</v>
      </c>
      <c r="E37" s="16">
        <v>45915</v>
      </c>
      <c r="F37" s="14" t="s">
        <v>794</v>
      </c>
      <c r="G37" s="14">
        <v>99.9</v>
      </c>
      <c r="H37" s="14">
        <v>0.530945</v>
      </c>
      <c r="I37" s="14">
        <v>112.090507</v>
      </c>
      <c r="J37" s="14">
        <v>1.0805E-2</v>
      </c>
      <c r="K37" s="14">
        <v>-1.5746E-2</v>
      </c>
      <c r="L37" s="14">
        <v>5.3466269999999998</v>
      </c>
      <c r="M37" s="14">
        <v>1.5201229999999999</v>
      </c>
      <c r="N37" s="14">
        <v>13672.2</v>
      </c>
      <c r="O37" s="14">
        <v>13731.11969</v>
      </c>
      <c r="P37" s="14">
        <v>3530.3045870000001</v>
      </c>
      <c r="Q37" s="14">
        <v>2852.3104039999998</v>
      </c>
      <c r="R37" s="14">
        <v>0.378444</v>
      </c>
      <c r="S37" s="14">
        <v>6.4332180000000001</v>
      </c>
      <c r="T37" s="14">
        <v>6.3081670000000001</v>
      </c>
      <c r="U37" s="14">
        <v>3.9647160000000001</v>
      </c>
      <c r="V37" s="14">
        <v>46.491135</v>
      </c>
      <c r="W37" s="14">
        <v>3.9550000000000001</v>
      </c>
      <c r="X37" s="16">
        <v>42076</v>
      </c>
      <c r="Y37" s="14">
        <v>2</v>
      </c>
      <c r="Z37" s="14" t="s">
        <v>161</v>
      </c>
      <c r="AA37" s="14" t="s">
        <v>128</v>
      </c>
      <c r="AB37" s="14">
        <v>2.3661999999999999E-2</v>
      </c>
      <c r="AC37" s="14">
        <v>-0.56842999999999999</v>
      </c>
      <c r="AD37" s="14">
        <v>19.457847000000001</v>
      </c>
      <c r="AE37" s="14">
        <v>5.6310419999999999</v>
      </c>
      <c r="AF37" s="14">
        <v>-0.238984</v>
      </c>
      <c r="AG37" s="14">
        <v>-1.199065</v>
      </c>
      <c r="AH37" s="14">
        <v>3.257638</v>
      </c>
      <c r="AI37" s="14">
        <v>2.4818250000000002</v>
      </c>
      <c r="AJ37" s="14">
        <v>100</v>
      </c>
      <c r="AK37" s="14" t="s">
        <v>39</v>
      </c>
      <c r="AL37" s="14" t="s">
        <v>129</v>
      </c>
      <c r="AM37" s="14">
        <v>0.378444</v>
      </c>
      <c r="AN37" s="14">
        <v>0.378444</v>
      </c>
      <c r="AO37" s="14"/>
    </row>
    <row r="38" spans="1:41" x14ac:dyDescent="0.2">
      <c r="A38" s="14" t="s">
        <v>163</v>
      </c>
      <c r="B38" s="14" t="s">
        <v>164</v>
      </c>
      <c r="C38" s="14" t="s">
        <v>165</v>
      </c>
      <c r="D38" s="14" t="s">
        <v>37</v>
      </c>
      <c r="E38" s="16">
        <v>46356</v>
      </c>
      <c r="F38" s="14" t="s">
        <v>794</v>
      </c>
      <c r="G38" s="14">
        <v>99.15</v>
      </c>
      <c r="H38" s="14">
        <v>1.6454789999999999</v>
      </c>
      <c r="I38" s="14">
        <v>102.403858</v>
      </c>
      <c r="J38" s="14">
        <v>1.0616E-2</v>
      </c>
      <c r="K38" s="14">
        <v>-6.7863999999999994E-2</v>
      </c>
      <c r="L38" s="14">
        <v>4.8135529999999997</v>
      </c>
      <c r="M38" s="14">
        <v>1.5058879999999999</v>
      </c>
      <c r="N38" s="14">
        <v>9500</v>
      </c>
      <c r="O38" s="14">
        <v>9575.5705479999997</v>
      </c>
      <c r="P38" s="14">
        <v>2461.9026990000002</v>
      </c>
      <c r="Q38" s="14">
        <v>1989.0948530000001</v>
      </c>
      <c r="R38" s="14">
        <v>0.26391300000000001</v>
      </c>
      <c r="S38" s="14">
        <v>7.2473789999999996</v>
      </c>
      <c r="T38" s="14">
        <v>7.1047500000000001</v>
      </c>
      <c r="U38" s="14">
        <v>4.0150350000000001</v>
      </c>
      <c r="V38" s="14">
        <v>59.917724999999997</v>
      </c>
      <c r="W38" s="14">
        <v>3.9</v>
      </c>
      <c r="X38" s="16">
        <v>42514</v>
      </c>
      <c r="Y38" s="14">
        <v>2</v>
      </c>
      <c r="Z38" s="14" t="s">
        <v>164</v>
      </c>
      <c r="AA38" s="14" t="s">
        <v>128</v>
      </c>
      <c r="AB38" s="14">
        <v>2.3473000000000001E-2</v>
      </c>
      <c r="AC38" s="14">
        <v>-0.620259</v>
      </c>
      <c r="AD38" s="14">
        <v>18.853369000000001</v>
      </c>
      <c r="AE38" s="14">
        <v>5.6162299999999998</v>
      </c>
      <c r="AF38" s="14">
        <v>-0.239173</v>
      </c>
      <c r="AG38" s="14">
        <v>-1.2505660000000001</v>
      </c>
      <c r="AH38" s="14">
        <v>2.7351350000000001</v>
      </c>
      <c r="AI38" s="14">
        <v>2.4674550000000002</v>
      </c>
      <c r="AJ38" s="14">
        <v>100</v>
      </c>
      <c r="AK38" s="14" t="s">
        <v>39</v>
      </c>
      <c r="AL38" s="14" t="s">
        <v>129</v>
      </c>
      <c r="AM38" s="14">
        <v>0.26391300000000001</v>
      </c>
      <c r="AN38" s="14">
        <v>0.26391300000000001</v>
      </c>
      <c r="AO38" s="14"/>
    </row>
    <row r="39" spans="1:41" x14ac:dyDescent="0.2">
      <c r="A39" s="14" t="s">
        <v>833</v>
      </c>
      <c r="B39" s="14" t="s">
        <v>834</v>
      </c>
      <c r="C39" s="14" t="s">
        <v>835</v>
      </c>
      <c r="D39" s="14" t="s">
        <v>37</v>
      </c>
      <c r="E39" s="16">
        <v>46594</v>
      </c>
      <c r="F39" s="14" t="s">
        <v>794</v>
      </c>
      <c r="G39" s="14">
        <v>100.40035</v>
      </c>
      <c r="H39" s="14">
        <v>1.131578</v>
      </c>
      <c r="I39" s="14">
        <v>99.803240000000002</v>
      </c>
      <c r="J39" s="14">
        <v>-9.1979000000000005E-2</v>
      </c>
      <c r="K39" s="14">
        <v>-0.237678</v>
      </c>
      <c r="L39" s="14"/>
      <c r="M39" s="14"/>
      <c r="N39" s="14">
        <v>11000</v>
      </c>
      <c r="O39" s="14">
        <v>11168.512089</v>
      </c>
      <c r="P39" s="14">
        <v>2871.4518800000001</v>
      </c>
      <c r="Q39" s="14">
        <v>2319.9902080000002</v>
      </c>
      <c r="R39" s="14">
        <v>0.30781599999999998</v>
      </c>
      <c r="S39" s="14">
        <v>7.6475530000000003</v>
      </c>
      <c r="T39" s="14">
        <v>7.4901239999999998</v>
      </c>
      <c r="U39" s="14">
        <v>4.2036410000000002</v>
      </c>
      <c r="V39" s="14">
        <v>67.012705999999994</v>
      </c>
      <c r="W39" s="14">
        <v>4.258</v>
      </c>
      <c r="X39" s="16">
        <v>42761</v>
      </c>
      <c r="Y39" s="14">
        <v>2</v>
      </c>
      <c r="Z39" s="14" t="s">
        <v>834</v>
      </c>
      <c r="AA39" s="14" t="s">
        <v>128</v>
      </c>
      <c r="AB39" s="14">
        <v>-7.9135999999999998E-2</v>
      </c>
      <c r="AC39" s="14">
        <v>-0.789134</v>
      </c>
      <c r="AD39" s="14"/>
      <c r="AE39" s="14"/>
      <c r="AF39" s="14">
        <v>-0.34151199999999998</v>
      </c>
      <c r="AG39" s="14">
        <v>-1.4183699999999999</v>
      </c>
      <c r="AH39" s="14"/>
      <c r="AI39" s="14"/>
      <c r="AJ39" s="14">
        <v>100</v>
      </c>
      <c r="AK39" s="14" t="s">
        <v>39</v>
      </c>
      <c r="AL39" s="14" t="s">
        <v>129</v>
      </c>
      <c r="AM39" s="14">
        <v>0.30781599999999998</v>
      </c>
      <c r="AN39" s="14">
        <v>0.30781599999999998</v>
      </c>
      <c r="AO39" s="14"/>
    </row>
    <row r="40" spans="1:41" x14ac:dyDescent="0.2">
      <c r="A40" s="14" t="s">
        <v>166</v>
      </c>
      <c r="B40" s="14" t="s">
        <v>167</v>
      </c>
      <c r="C40" s="14" t="s">
        <v>168</v>
      </c>
      <c r="D40" s="14" t="s">
        <v>37</v>
      </c>
      <c r="E40" s="16">
        <v>46707</v>
      </c>
      <c r="F40" s="14" t="s">
        <v>794</v>
      </c>
      <c r="G40" s="14">
        <v>99.2</v>
      </c>
      <c r="H40" s="14">
        <v>1.794608</v>
      </c>
      <c r="I40" s="14">
        <v>101.588055</v>
      </c>
      <c r="J40" s="14">
        <v>1.0593E-2</v>
      </c>
      <c r="K40" s="14">
        <v>-0.26541900000000002</v>
      </c>
      <c r="L40" s="14"/>
      <c r="M40" s="14">
        <v>0.39118399999999998</v>
      </c>
      <c r="N40" s="14">
        <v>14500</v>
      </c>
      <c r="O40" s="14">
        <v>14644.218192</v>
      </c>
      <c r="P40" s="14">
        <v>3765.064453</v>
      </c>
      <c r="Q40" s="14">
        <v>3041.984692</v>
      </c>
      <c r="R40" s="14">
        <v>0.40361000000000002</v>
      </c>
      <c r="S40" s="14">
        <v>7.9061300000000001</v>
      </c>
      <c r="T40" s="14">
        <v>7.7511760000000001</v>
      </c>
      <c r="U40" s="14">
        <v>3.9982169999999999</v>
      </c>
      <c r="V40" s="14">
        <v>71.816665999999998</v>
      </c>
      <c r="W40" s="14">
        <v>3.899</v>
      </c>
      <c r="X40" s="16">
        <v>42871</v>
      </c>
      <c r="Y40" s="14">
        <v>2</v>
      </c>
      <c r="Z40" s="14" t="s">
        <v>167</v>
      </c>
      <c r="AA40" s="14" t="s">
        <v>128</v>
      </c>
      <c r="AB40" s="14">
        <v>2.3449000000000001E-2</v>
      </c>
      <c r="AC40" s="14">
        <v>-0.81672199999999995</v>
      </c>
      <c r="AD40" s="14"/>
      <c r="AE40" s="14">
        <v>4.4563879999999996</v>
      </c>
      <c r="AF40" s="14">
        <v>-0.23919599999999999</v>
      </c>
      <c r="AG40" s="14">
        <v>-1.445783</v>
      </c>
      <c r="AH40" s="14"/>
      <c r="AI40" s="14">
        <v>1.3421920000000001</v>
      </c>
      <c r="AJ40" s="14">
        <v>100</v>
      </c>
      <c r="AK40" s="14" t="s">
        <v>39</v>
      </c>
      <c r="AL40" s="14" t="s">
        <v>129</v>
      </c>
      <c r="AM40" s="14">
        <v>0.40361000000000002</v>
      </c>
      <c r="AN40" s="14">
        <v>0.40361000000000002</v>
      </c>
      <c r="AO40" s="14"/>
    </row>
    <row r="41" spans="1:41" x14ac:dyDescent="0.2">
      <c r="A41" s="14" t="s">
        <v>169</v>
      </c>
      <c r="B41" s="14" t="s">
        <v>170</v>
      </c>
      <c r="C41" s="14" t="s">
        <v>171</v>
      </c>
      <c r="D41" s="14" t="s">
        <v>37</v>
      </c>
      <c r="E41" s="16">
        <v>48029</v>
      </c>
      <c r="F41" s="14" t="s">
        <v>795</v>
      </c>
      <c r="G41" s="14">
        <v>98.3</v>
      </c>
      <c r="H41" s="14">
        <v>1.426126</v>
      </c>
      <c r="I41" s="14">
        <v>106.36458</v>
      </c>
      <c r="J41" s="14">
        <v>-0.13880300000000001</v>
      </c>
      <c r="K41" s="14">
        <v>-0.40298099999999998</v>
      </c>
      <c r="L41" s="14">
        <v>5.5182190000000002</v>
      </c>
      <c r="M41" s="14">
        <v>0.95363299999999995</v>
      </c>
      <c r="N41" s="14">
        <v>12750</v>
      </c>
      <c r="O41" s="14">
        <v>12715.081068</v>
      </c>
      <c r="P41" s="14">
        <v>3269.0785620000001</v>
      </c>
      <c r="Q41" s="14">
        <v>2641.2527770000002</v>
      </c>
      <c r="R41" s="14">
        <v>0.350441</v>
      </c>
      <c r="S41" s="14">
        <v>10.050993999999999</v>
      </c>
      <c r="T41" s="14">
        <v>9.8345669999999998</v>
      </c>
      <c r="U41" s="14">
        <v>4.4013499999999999</v>
      </c>
      <c r="V41" s="14">
        <v>119.757552</v>
      </c>
      <c r="W41" s="14">
        <v>4.2320000000000002</v>
      </c>
      <c r="X41" s="16">
        <v>40724</v>
      </c>
      <c r="Y41" s="14">
        <v>2</v>
      </c>
      <c r="Z41" s="14" t="s">
        <v>170</v>
      </c>
      <c r="AA41" s="14" t="s">
        <v>128</v>
      </c>
      <c r="AB41" s="14">
        <v>-0.12596499999999999</v>
      </c>
      <c r="AC41" s="14">
        <v>-0.95352300000000001</v>
      </c>
      <c r="AD41" s="14">
        <v>19.652425000000001</v>
      </c>
      <c r="AE41" s="14">
        <v>5.0416129999999999</v>
      </c>
      <c r="AF41" s="14">
        <v>-0.38821899999999998</v>
      </c>
      <c r="AG41" s="14">
        <v>-1.581717</v>
      </c>
      <c r="AH41" s="14">
        <v>3.425827</v>
      </c>
      <c r="AI41" s="14">
        <v>1.909969</v>
      </c>
      <c r="AJ41" s="14">
        <v>100</v>
      </c>
      <c r="AK41" s="14" t="s">
        <v>39</v>
      </c>
      <c r="AL41" s="14" t="s">
        <v>129</v>
      </c>
      <c r="AM41" s="14">
        <v>0.350441</v>
      </c>
      <c r="AN41" s="14">
        <v>0.350441</v>
      </c>
      <c r="AO41" s="14"/>
    </row>
    <row r="42" spans="1:41" x14ac:dyDescent="0.2">
      <c r="A42" s="14" t="s">
        <v>796</v>
      </c>
      <c r="B42" s="14" t="s">
        <v>797</v>
      </c>
      <c r="C42" s="14" t="s">
        <v>798</v>
      </c>
      <c r="D42" s="14" t="s">
        <v>37</v>
      </c>
      <c r="E42" s="16">
        <v>50137</v>
      </c>
      <c r="F42" s="14" t="s">
        <v>795</v>
      </c>
      <c r="G42" s="14">
        <v>101.95</v>
      </c>
      <c r="H42" s="14">
        <v>0.33921099999999998</v>
      </c>
      <c r="I42" s="14">
        <v>101.556074</v>
      </c>
      <c r="J42" s="14">
        <v>-6.0630999999999997E-2</v>
      </c>
      <c r="K42" s="14">
        <v>-0.58056099999999999</v>
      </c>
      <c r="L42" s="14"/>
      <c r="M42" s="14">
        <v>0.61782899999999996</v>
      </c>
      <c r="N42" s="14">
        <v>12500</v>
      </c>
      <c r="O42" s="14">
        <v>12786.15137</v>
      </c>
      <c r="P42" s="14">
        <v>3287.350911</v>
      </c>
      <c r="Q42" s="14">
        <v>2656.015926</v>
      </c>
      <c r="R42" s="14">
        <v>0.35239999999999999</v>
      </c>
      <c r="S42" s="14">
        <v>12.711584</v>
      </c>
      <c r="T42" s="14">
        <v>12.425635</v>
      </c>
      <c r="U42" s="14">
        <v>4.602576</v>
      </c>
      <c r="V42" s="14">
        <v>202.70726199999999</v>
      </c>
      <c r="W42" s="14">
        <v>4.7619999999999996</v>
      </c>
      <c r="X42" s="16">
        <v>42832</v>
      </c>
      <c r="Y42" s="14">
        <v>2</v>
      </c>
      <c r="Z42" s="14" t="s">
        <v>797</v>
      </c>
      <c r="AA42" s="14" t="s">
        <v>128</v>
      </c>
      <c r="AB42" s="14">
        <v>-4.7782999999999999E-2</v>
      </c>
      <c r="AC42" s="14">
        <v>-1.1301220000000001</v>
      </c>
      <c r="AD42" s="14"/>
      <c r="AE42" s="14">
        <v>4.6922100000000002</v>
      </c>
      <c r="AF42" s="14">
        <v>-0.31024200000000002</v>
      </c>
      <c r="AG42" s="14">
        <v>-1.757196</v>
      </c>
      <c r="AH42" s="14"/>
      <c r="AI42" s="14">
        <v>1.570983</v>
      </c>
      <c r="AJ42" s="14">
        <v>100</v>
      </c>
      <c r="AK42" s="14" t="s">
        <v>39</v>
      </c>
      <c r="AL42" s="14" t="s">
        <v>129</v>
      </c>
      <c r="AM42" s="14">
        <v>0.35239999999999999</v>
      </c>
      <c r="AN42" s="14">
        <v>0.35239999999999999</v>
      </c>
      <c r="AO42" s="14"/>
    </row>
    <row r="43" spans="1:41" x14ac:dyDescent="0.2">
      <c r="A43" s="14" t="s">
        <v>172</v>
      </c>
      <c r="B43" s="14" t="s">
        <v>173</v>
      </c>
      <c r="C43" s="14" t="s">
        <v>174</v>
      </c>
      <c r="D43" s="14" t="s">
        <v>37</v>
      </c>
      <c r="E43" s="16">
        <v>44211</v>
      </c>
      <c r="F43" s="14" t="s">
        <v>791</v>
      </c>
      <c r="G43" s="14">
        <v>101.8</v>
      </c>
      <c r="H43" s="14">
        <v>1.4850000000000001</v>
      </c>
      <c r="I43" s="14">
        <v>141.37466699999999</v>
      </c>
      <c r="J43" s="14">
        <v>4.0007000000000001E-2</v>
      </c>
      <c r="K43" s="14">
        <v>0.29778900000000003</v>
      </c>
      <c r="L43" s="14">
        <v>4.053363</v>
      </c>
      <c r="M43" s="14">
        <v>0.391509</v>
      </c>
      <c r="N43" s="14">
        <v>44109</v>
      </c>
      <c r="O43" s="14">
        <v>45557.980649999998</v>
      </c>
      <c r="P43" s="14">
        <v>874.853205</v>
      </c>
      <c r="Q43" s="14">
        <v>706.83784800000001</v>
      </c>
      <c r="R43" s="14">
        <v>9.3783000000000005E-2</v>
      </c>
      <c r="S43" s="14">
        <v>2.5272130000000002</v>
      </c>
      <c r="T43" s="14">
        <v>2.474939</v>
      </c>
      <c r="U43" s="14">
        <v>4.224221</v>
      </c>
      <c r="V43" s="14">
        <v>7.6142469999999998</v>
      </c>
      <c r="W43" s="14">
        <v>4.95</v>
      </c>
      <c r="X43" s="16">
        <v>40438</v>
      </c>
      <c r="Y43" s="14">
        <v>2</v>
      </c>
      <c r="Z43" s="14" t="s">
        <v>173</v>
      </c>
      <c r="AA43" s="14" t="s">
        <v>175</v>
      </c>
      <c r="AB43" s="14">
        <v>3.2322999999999998E-2</v>
      </c>
      <c r="AC43" s="14">
        <v>0.49520700000000001</v>
      </c>
      <c r="AD43" s="14">
        <v>-0.81211800000000001</v>
      </c>
      <c r="AE43" s="14">
        <v>-3.7629549999999998</v>
      </c>
      <c r="AF43" s="14">
        <v>-0.230346</v>
      </c>
      <c r="AG43" s="14">
        <v>-0.142175</v>
      </c>
      <c r="AH43" s="14">
        <v>-14.263427999999999</v>
      </c>
      <c r="AI43" s="14">
        <v>-6.6321050000000001</v>
      </c>
      <c r="AJ43" s="14">
        <v>100</v>
      </c>
      <c r="AK43" s="14" t="s">
        <v>39</v>
      </c>
      <c r="AL43" s="14" t="s">
        <v>176</v>
      </c>
      <c r="AM43" s="14">
        <v>9.3783000000000005E-2</v>
      </c>
      <c r="AN43" s="14">
        <v>9.3783000000000005E-2</v>
      </c>
      <c r="AO43" s="14"/>
    </row>
    <row r="44" spans="1:41" x14ac:dyDescent="0.2">
      <c r="A44" s="14" t="s">
        <v>177</v>
      </c>
      <c r="B44" s="14" t="s">
        <v>178</v>
      </c>
      <c r="C44" s="14" t="s">
        <v>179</v>
      </c>
      <c r="D44" s="14" t="s">
        <v>37</v>
      </c>
      <c r="E44" s="16">
        <v>44891</v>
      </c>
      <c r="F44" s="14" t="s">
        <v>792</v>
      </c>
      <c r="G44" s="14">
        <v>97.6</v>
      </c>
      <c r="H44" s="14">
        <v>1.700833</v>
      </c>
      <c r="I44" s="14">
        <v>117.74624300000001</v>
      </c>
      <c r="J44" s="14">
        <v>3.2774999999999999E-2</v>
      </c>
      <c r="K44" s="14">
        <v>0.106809</v>
      </c>
      <c r="L44" s="14">
        <v>3.8710439999999999</v>
      </c>
      <c r="M44" s="14">
        <v>-0.17527699999999999</v>
      </c>
      <c r="N44" s="14">
        <v>30800</v>
      </c>
      <c r="O44" s="14">
        <v>30584.656666999999</v>
      </c>
      <c r="P44" s="14">
        <v>587.31937900000003</v>
      </c>
      <c r="Q44" s="14">
        <v>474.52482800000001</v>
      </c>
      <c r="R44" s="14">
        <v>6.2960000000000002E-2</v>
      </c>
      <c r="S44" s="14">
        <v>4.1484870000000003</v>
      </c>
      <c r="T44" s="14">
        <v>4.0575850000000004</v>
      </c>
      <c r="U44" s="14">
        <v>4.480575</v>
      </c>
      <c r="V44" s="14">
        <v>19.559072</v>
      </c>
      <c r="W44" s="14">
        <v>3.9</v>
      </c>
      <c r="X44" s="16">
        <v>41239</v>
      </c>
      <c r="Y44" s="14">
        <v>2</v>
      </c>
      <c r="Z44" s="14" t="s">
        <v>178</v>
      </c>
      <c r="AA44" s="14" t="s">
        <v>175</v>
      </c>
      <c r="AB44" s="14">
        <v>2.5092E-2</v>
      </c>
      <c r="AC44" s="14">
        <v>0.30385099999999998</v>
      </c>
      <c r="AD44" s="14">
        <v>-0.98591300000000004</v>
      </c>
      <c r="AE44" s="14">
        <v>-4.3062849999999999</v>
      </c>
      <c r="AF44" s="14">
        <v>-0.23755799999999999</v>
      </c>
      <c r="AG44" s="14">
        <v>-0.33231699999999997</v>
      </c>
      <c r="AH44" s="14">
        <v>-14.413653</v>
      </c>
      <c r="AI44" s="14">
        <v>-7.1592370000000001</v>
      </c>
      <c r="AJ44" s="14">
        <v>100</v>
      </c>
      <c r="AK44" s="14" t="s">
        <v>39</v>
      </c>
      <c r="AL44" s="14" t="s">
        <v>176</v>
      </c>
      <c r="AM44" s="14">
        <v>6.2960000000000002E-2</v>
      </c>
      <c r="AN44" s="14">
        <v>6.2960000000000002E-2</v>
      </c>
      <c r="AO44" s="14"/>
    </row>
    <row r="45" spans="1:41" x14ac:dyDescent="0.2">
      <c r="A45" s="14" t="s">
        <v>180</v>
      </c>
      <c r="B45" s="14" t="s">
        <v>181</v>
      </c>
      <c r="C45" s="14" t="s">
        <v>182</v>
      </c>
      <c r="D45" s="14" t="s">
        <v>37</v>
      </c>
      <c r="E45" s="16">
        <v>49688</v>
      </c>
      <c r="F45" s="14" t="s">
        <v>795</v>
      </c>
      <c r="G45" s="14">
        <v>109.72499999999999</v>
      </c>
      <c r="H45" s="14">
        <v>1.892361</v>
      </c>
      <c r="I45" s="14">
        <v>178.526824</v>
      </c>
      <c r="J45" s="14">
        <v>-0.51145700000000005</v>
      </c>
      <c r="K45" s="14">
        <v>-0.28644199999999997</v>
      </c>
      <c r="L45" s="14">
        <v>4.4389430000000001</v>
      </c>
      <c r="M45" s="14">
        <v>-1.084657</v>
      </c>
      <c r="N45" s="14">
        <v>54770</v>
      </c>
      <c r="O45" s="14">
        <v>61132.828680999999</v>
      </c>
      <c r="P45" s="14">
        <v>1173.9381410000001</v>
      </c>
      <c r="Q45" s="14">
        <v>948.48359100000005</v>
      </c>
      <c r="R45" s="14">
        <v>0.12584500000000001</v>
      </c>
      <c r="S45" s="14">
        <v>11.094423000000001</v>
      </c>
      <c r="T45" s="14">
        <v>10.803557</v>
      </c>
      <c r="U45" s="14">
        <v>5.3846309999999997</v>
      </c>
      <c r="V45" s="14">
        <v>160.10494299999999</v>
      </c>
      <c r="W45" s="14">
        <v>6.25</v>
      </c>
      <c r="X45" s="16">
        <v>40557</v>
      </c>
      <c r="Y45" s="14">
        <v>2</v>
      </c>
      <c r="Z45" s="14" t="s">
        <v>181</v>
      </c>
      <c r="AA45" s="14" t="s">
        <v>175</v>
      </c>
      <c r="AB45" s="14">
        <v>-0.51909899999999998</v>
      </c>
      <c r="AC45" s="14">
        <v>-9.0174000000000004E-2</v>
      </c>
      <c r="AD45" s="14">
        <v>-0.44456800000000002</v>
      </c>
      <c r="AE45" s="14">
        <v>-5.1780330000000001</v>
      </c>
      <c r="AF45" s="14">
        <v>-0.78031899999999998</v>
      </c>
      <c r="AG45" s="14">
        <v>-0.72384300000000001</v>
      </c>
      <c r="AH45" s="14">
        <v>-13.945722</v>
      </c>
      <c r="AI45" s="14">
        <v>-8.0049949999999992</v>
      </c>
      <c r="AJ45" s="14">
        <v>100</v>
      </c>
      <c r="AK45" s="14" t="s">
        <v>39</v>
      </c>
      <c r="AL45" s="14" t="s">
        <v>176</v>
      </c>
      <c r="AM45" s="14">
        <v>0.12584500000000001</v>
      </c>
      <c r="AN45" s="14">
        <v>0.12584500000000001</v>
      </c>
      <c r="AO45" s="14"/>
    </row>
    <row r="46" spans="1:41" x14ac:dyDescent="0.2">
      <c r="A46" s="14" t="s">
        <v>185</v>
      </c>
      <c r="B46" s="14" t="s">
        <v>186</v>
      </c>
      <c r="C46" s="14" t="s">
        <v>187</v>
      </c>
      <c r="D46" s="14" t="s">
        <v>37</v>
      </c>
      <c r="E46" s="16">
        <v>43629</v>
      </c>
      <c r="F46" s="14" t="s">
        <v>791</v>
      </c>
      <c r="G46" s="14">
        <v>102.9336</v>
      </c>
      <c r="H46" s="14">
        <v>1.496918</v>
      </c>
      <c r="I46" s="14">
        <v>146.01837399999999</v>
      </c>
      <c r="J46" s="14">
        <v>-1.0529999999999999E-2</v>
      </c>
      <c r="K46" s="14">
        <v>-1.023E-2</v>
      </c>
      <c r="L46" s="14">
        <v>1.89011</v>
      </c>
      <c r="M46" s="14">
        <v>0.50205699999999998</v>
      </c>
      <c r="N46" s="14">
        <v>217284.022001</v>
      </c>
      <c r="O46" s="14">
        <v>226910.829291</v>
      </c>
      <c r="P46" s="14">
        <v>7271.5011549999999</v>
      </c>
      <c r="Q46" s="14">
        <v>5875.0110329999998</v>
      </c>
      <c r="R46" s="14">
        <v>0.77949500000000005</v>
      </c>
      <c r="S46" s="14">
        <v>1.084292</v>
      </c>
      <c r="T46" s="14">
        <v>1.0776399999999999</v>
      </c>
      <c r="U46" s="14">
        <v>1.2345740000000001</v>
      </c>
      <c r="V46" s="14">
        <v>1.7191449999999999</v>
      </c>
      <c r="W46" s="14">
        <v>3.875</v>
      </c>
      <c r="X46" s="16">
        <v>39962</v>
      </c>
      <c r="Y46" s="14">
        <v>2</v>
      </c>
      <c r="Z46" s="14" t="s">
        <v>188</v>
      </c>
      <c r="AA46" s="14" t="s">
        <v>183</v>
      </c>
      <c r="AB46" s="14">
        <v>3.8890000000000001E-3</v>
      </c>
      <c r="AC46" s="14">
        <v>0.132358</v>
      </c>
      <c r="AD46" s="14">
        <v>12.219358</v>
      </c>
      <c r="AE46" s="14">
        <v>4.9884259999999996</v>
      </c>
      <c r="AF46" s="14">
        <v>-0.25870500000000002</v>
      </c>
      <c r="AG46" s="14">
        <v>-0.502722</v>
      </c>
      <c r="AH46" s="14">
        <v>-2.9992079999999999</v>
      </c>
      <c r="AI46" s="14">
        <v>1.858368</v>
      </c>
      <c r="AJ46" s="14">
        <v>100</v>
      </c>
      <c r="AK46" s="14" t="s">
        <v>39</v>
      </c>
      <c r="AL46" s="14" t="s">
        <v>184</v>
      </c>
      <c r="AM46" s="14">
        <v>0.77949500000000005</v>
      </c>
      <c r="AN46" s="14">
        <v>0.77949500000000005</v>
      </c>
      <c r="AO46" s="14"/>
    </row>
    <row r="47" spans="1:41" x14ac:dyDescent="0.2">
      <c r="A47" s="14" t="s">
        <v>189</v>
      </c>
      <c r="B47" s="14" t="s">
        <v>190</v>
      </c>
      <c r="C47" s="14" t="s">
        <v>191</v>
      </c>
      <c r="D47" s="14" t="s">
        <v>37</v>
      </c>
      <c r="E47" s="16">
        <v>44008</v>
      </c>
      <c r="F47" s="14" t="s">
        <v>791</v>
      </c>
      <c r="G47" s="14">
        <v>102.39570000000001</v>
      </c>
      <c r="H47" s="14">
        <v>0.89424700000000001</v>
      </c>
      <c r="I47" s="14">
        <v>107.335882</v>
      </c>
      <c r="J47" s="14">
        <v>-8.4430000000000009E-3</v>
      </c>
      <c r="K47" s="14">
        <v>-6.4912999999999998E-2</v>
      </c>
      <c r="L47" s="14">
        <v>2.3712520000000001</v>
      </c>
      <c r="M47" s="14">
        <v>0.631436</v>
      </c>
      <c r="N47" s="14">
        <v>177651.894237</v>
      </c>
      <c r="O47" s="14">
        <v>183496.54664700001</v>
      </c>
      <c r="P47" s="14">
        <v>5880.2629870000001</v>
      </c>
      <c r="Q47" s="14">
        <v>4750.9598349999997</v>
      </c>
      <c r="R47" s="14">
        <v>0.63035600000000003</v>
      </c>
      <c r="S47" s="14">
        <v>2.086503</v>
      </c>
      <c r="T47" s="14">
        <v>2.0718019999999999</v>
      </c>
      <c r="U47" s="14">
        <v>1.4190780000000001</v>
      </c>
      <c r="V47" s="14">
        <v>5.4083079999999999</v>
      </c>
      <c r="W47" s="14">
        <v>2.5499999999999998</v>
      </c>
      <c r="X47" s="16">
        <v>42181</v>
      </c>
      <c r="Y47" s="14">
        <v>2</v>
      </c>
      <c r="Z47" s="14" t="s">
        <v>192</v>
      </c>
      <c r="AA47" s="14" t="s">
        <v>183</v>
      </c>
      <c r="AB47" s="14">
        <v>5.9760000000000004E-3</v>
      </c>
      <c r="AC47" s="14">
        <v>7.7598E-2</v>
      </c>
      <c r="AD47" s="14">
        <v>12.749276999999999</v>
      </c>
      <c r="AE47" s="14">
        <v>5.1235799999999996</v>
      </c>
      <c r="AF47" s="14">
        <v>-0.25662299999999999</v>
      </c>
      <c r="AG47" s="14">
        <v>-0.55713500000000005</v>
      </c>
      <c r="AH47" s="14">
        <v>-2.5411540000000001</v>
      </c>
      <c r="AI47" s="14">
        <v>1.989493</v>
      </c>
      <c r="AJ47" s="14">
        <v>100</v>
      </c>
      <c r="AK47" s="14" t="s">
        <v>39</v>
      </c>
      <c r="AL47" s="14" t="s">
        <v>184</v>
      </c>
      <c r="AM47" s="14">
        <v>0.63035600000000003</v>
      </c>
      <c r="AN47" s="14">
        <v>0.63035600000000003</v>
      </c>
      <c r="AO47" s="14"/>
    </row>
    <row r="48" spans="1:41" x14ac:dyDescent="0.2">
      <c r="A48" s="14" t="s">
        <v>193</v>
      </c>
      <c r="B48" s="14" t="s">
        <v>194</v>
      </c>
      <c r="C48" s="14" t="s">
        <v>195</v>
      </c>
      <c r="D48" s="14" t="s">
        <v>37</v>
      </c>
      <c r="E48" s="16">
        <v>44547</v>
      </c>
      <c r="F48" s="14" t="s">
        <v>792</v>
      </c>
      <c r="G48" s="14">
        <v>107.123</v>
      </c>
      <c r="H48" s="14">
        <v>1.37</v>
      </c>
      <c r="I48" s="14">
        <v>138.36405300000001</v>
      </c>
      <c r="J48" s="14">
        <v>-2.8146999999999998E-2</v>
      </c>
      <c r="K48" s="14">
        <v>-8.2267000000000007E-2</v>
      </c>
      <c r="L48" s="14">
        <v>3.245266</v>
      </c>
      <c r="M48" s="14">
        <v>0.64662500000000001</v>
      </c>
      <c r="N48" s="14">
        <v>289073.17644200003</v>
      </c>
      <c r="O48" s="14">
        <v>313624.16131699999</v>
      </c>
      <c r="P48" s="14">
        <v>10050.284768</v>
      </c>
      <c r="Q48" s="14">
        <v>8120.1298919999999</v>
      </c>
      <c r="R48" s="14">
        <v>1.077377</v>
      </c>
      <c r="S48" s="14">
        <v>3.3914040000000001</v>
      </c>
      <c r="T48" s="14">
        <v>3.3641000000000001</v>
      </c>
      <c r="U48" s="14">
        <v>1.623245</v>
      </c>
      <c r="V48" s="14">
        <v>13.506330999999999</v>
      </c>
      <c r="W48" s="14">
        <v>3.65</v>
      </c>
      <c r="X48" s="16">
        <v>40501</v>
      </c>
      <c r="Y48" s="14">
        <v>2</v>
      </c>
      <c r="Z48" s="14" t="s">
        <v>196</v>
      </c>
      <c r="AA48" s="14" t="s">
        <v>183</v>
      </c>
      <c r="AB48" s="14">
        <v>-1.3731E-2</v>
      </c>
      <c r="AC48" s="14">
        <v>6.0219000000000002E-2</v>
      </c>
      <c r="AD48" s="14">
        <v>13.711895</v>
      </c>
      <c r="AE48" s="14">
        <v>5.1394460000000004</v>
      </c>
      <c r="AF48" s="14">
        <v>-0.276279</v>
      </c>
      <c r="AG48" s="14">
        <v>-0.57440400000000003</v>
      </c>
      <c r="AH48" s="14">
        <v>-1.7090810000000001</v>
      </c>
      <c r="AI48" s="14">
        <v>2.0048859999999999</v>
      </c>
      <c r="AJ48" s="14">
        <v>100</v>
      </c>
      <c r="AK48" s="14" t="s">
        <v>39</v>
      </c>
      <c r="AL48" s="14" t="s">
        <v>184</v>
      </c>
      <c r="AM48" s="14">
        <v>1.077377</v>
      </c>
      <c r="AN48" s="14">
        <v>1.077377</v>
      </c>
      <c r="AO48" s="14"/>
    </row>
    <row r="49" spans="1:41" x14ac:dyDescent="0.2">
      <c r="A49" s="14" t="s">
        <v>197</v>
      </c>
      <c r="B49" s="14" t="s">
        <v>198</v>
      </c>
      <c r="C49" s="14" t="s">
        <v>199</v>
      </c>
      <c r="D49" s="14" t="s">
        <v>37</v>
      </c>
      <c r="E49" s="16">
        <v>44729</v>
      </c>
      <c r="F49" s="14" t="s">
        <v>792</v>
      </c>
      <c r="G49" s="14">
        <v>100.51300000000001</v>
      </c>
      <c r="H49" s="14">
        <v>0.70376700000000003</v>
      </c>
      <c r="I49" s="14">
        <v>103.41718</v>
      </c>
      <c r="J49" s="14">
        <v>-6.2997999999999998E-2</v>
      </c>
      <c r="K49" s="14">
        <v>-0.13109000000000001</v>
      </c>
      <c r="L49" s="14">
        <v>3.7331569999999998</v>
      </c>
      <c r="M49" s="14">
        <v>0.62606099999999998</v>
      </c>
      <c r="N49" s="14">
        <v>191320.61883799999</v>
      </c>
      <c r="O49" s="14">
        <v>193648.545228</v>
      </c>
      <c r="P49" s="14">
        <v>6205.5902079999996</v>
      </c>
      <c r="Q49" s="14">
        <v>5013.8080369999998</v>
      </c>
      <c r="R49" s="14">
        <v>0.66523100000000002</v>
      </c>
      <c r="S49" s="14">
        <v>3.9601229999999998</v>
      </c>
      <c r="T49" s="14">
        <v>3.9258459999999999</v>
      </c>
      <c r="U49" s="14">
        <v>1.7462059999999999</v>
      </c>
      <c r="V49" s="14">
        <v>17.788896999999999</v>
      </c>
      <c r="W49" s="14">
        <v>1.875</v>
      </c>
      <c r="X49" s="16">
        <v>42566</v>
      </c>
      <c r="Y49" s="14">
        <v>2</v>
      </c>
      <c r="Z49" s="14" t="s">
        <v>200</v>
      </c>
      <c r="AA49" s="14" t="s">
        <v>183</v>
      </c>
      <c r="AB49" s="14">
        <v>-4.8586999999999998E-2</v>
      </c>
      <c r="AC49" s="14">
        <v>1.1325999999999999E-2</v>
      </c>
      <c r="AD49" s="14">
        <v>14.249247</v>
      </c>
      <c r="AE49" s="14">
        <v>5.1179649999999999</v>
      </c>
      <c r="AF49" s="14">
        <v>-0.31104300000000001</v>
      </c>
      <c r="AG49" s="14">
        <v>-0.62298600000000004</v>
      </c>
      <c r="AH49" s="14">
        <v>-1.2446010000000001</v>
      </c>
      <c r="AI49" s="14">
        <v>1.9840450000000001</v>
      </c>
      <c r="AJ49" s="14">
        <v>100</v>
      </c>
      <c r="AK49" s="14" t="s">
        <v>39</v>
      </c>
      <c r="AL49" s="14" t="s">
        <v>184</v>
      </c>
      <c r="AM49" s="14">
        <v>0.66523100000000002</v>
      </c>
      <c r="AN49" s="14">
        <v>0.66523100000000002</v>
      </c>
      <c r="AO49" s="14"/>
    </row>
    <row r="50" spans="1:41" x14ac:dyDescent="0.2">
      <c r="A50" s="14" t="s">
        <v>201</v>
      </c>
      <c r="B50" s="14" t="s">
        <v>202</v>
      </c>
      <c r="C50" s="14" t="s">
        <v>203</v>
      </c>
      <c r="D50" s="14" t="s">
        <v>37</v>
      </c>
      <c r="E50" s="16">
        <v>44912</v>
      </c>
      <c r="F50" s="14" t="s">
        <v>792</v>
      </c>
      <c r="G50" s="14">
        <v>100.8121</v>
      </c>
      <c r="H50" s="14">
        <v>0.75068500000000005</v>
      </c>
      <c r="I50" s="14">
        <v>100.97319899999999</v>
      </c>
      <c r="J50" s="14">
        <v>-3.4986000000000003E-2</v>
      </c>
      <c r="K50" s="14">
        <v>-8.1564999999999999E-2</v>
      </c>
      <c r="L50" s="14"/>
      <c r="M50" s="14">
        <v>0.68173799999999996</v>
      </c>
      <c r="N50" s="14">
        <v>164887.86669900001</v>
      </c>
      <c r="O50" s="14">
        <v>167464.70943399999</v>
      </c>
      <c r="P50" s="14">
        <v>5366.512616</v>
      </c>
      <c r="Q50" s="14">
        <v>4335.8751039999997</v>
      </c>
      <c r="R50" s="14">
        <v>0.57528299999999999</v>
      </c>
      <c r="S50" s="14">
        <v>4.4073279999999997</v>
      </c>
      <c r="T50" s="14">
        <v>4.3676519999999996</v>
      </c>
      <c r="U50" s="14">
        <v>1.8168029999999999</v>
      </c>
      <c r="V50" s="14">
        <v>21.870875000000002</v>
      </c>
      <c r="W50" s="14">
        <v>2</v>
      </c>
      <c r="X50" s="16">
        <v>42951</v>
      </c>
      <c r="Y50" s="14">
        <v>2</v>
      </c>
      <c r="Z50" s="14" t="s">
        <v>204</v>
      </c>
      <c r="AA50" s="14" t="s">
        <v>183</v>
      </c>
      <c r="AB50" s="14">
        <v>-2.0570999999999999E-2</v>
      </c>
      <c r="AC50" s="14">
        <v>6.0921999999999997E-2</v>
      </c>
      <c r="AD50" s="14"/>
      <c r="AE50" s="14">
        <v>5.1761280000000003</v>
      </c>
      <c r="AF50" s="14">
        <v>-0.28310099999999999</v>
      </c>
      <c r="AG50" s="14">
        <v>-0.57370600000000005</v>
      </c>
      <c r="AH50" s="14"/>
      <c r="AI50" s="14">
        <v>2.0404740000000001</v>
      </c>
      <c r="AJ50" s="14">
        <v>100</v>
      </c>
      <c r="AK50" s="14" t="s">
        <v>39</v>
      </c>
      <c r="AL50" s="14" t="s">
        <v>184</v>
      </c>
      <c r="AM50" s="14">
        <v>0.57528299999999999</v>
      </c>
      <c r="AN50" s="14">
        <v>0.57528299999999999</v>
      </c>
      <c r="AO50" s="14"/>
    </row>
    <row r="51" spans="1:41" x14ac:dyDescent="0.2">
      <c r="A51" s="14" t="s">
        <v>205</v>
      </c>
      <c r="B51" s="14" t="s">
        <v>206</v>
      </c>
      <c r="C51" s="14" t="s">
        <v>207</v>
      </c>
      <c r="D51" s="14" t="s">
        <v>37</v>
      </c>
      <c r="E51" s="16">
        <v>45093</v>
      </c>
      <c r="F51" s="14" t="s">
        <v>793</v>
      </c>
      <c r="G51" s="14">
        <v>108.52760000000001</v>
      </c>
      <c r="H51" s="14">
        <v>1.3705480000000001</v>
      </c>
      <c r="I51" s="14">
        <v>135.29584800000001</v>
      </c>
      <c r="J51" s="14">
        <v>-2.0136999999999999E-2</v>
      </c>
      <c r="K51" s="14">
        <v>3.8601000000000003E-2</v>
      </c>
      <c r="L51" s="14">
        <v>4.1707470000000004</v>
      </c>
      <c r="M51" s="14">
        <v>0.704017</v>
      </c>
      <c r="N51" s="14">
        <v>186842.44411000001</v>
      </c>
      <c r="O51" s="14">
        <v>205336.385652</v>
      </c>
      <c r="P51" s="14">
        <v>6580.1344520000002</v>
      </c>
      <c r="Q51" s="14">
        <v>5316.4211459999997</v>
      </c>
      <c r="R51" s="14">
        <v>0.70538199999999995</v>
      </c>
      <c r="S51" s="14">
        <v>4.6797149999999998</v>
      </c>
      <c r="T51" s="14">
        <v>4.6362719999999999</v>
      </c>
      <c r="U51" s="14">
        <v>1.874031</v>
      </c>
      <c r="V51" s="14">
        <v>25.128039000000001</v>
      </c>
      <c r="W51" s="14">
        <v>3.625</v>
      </c>
      <c r="X51" s="16">
        <v>40406</v>
      </c>
      <c r="Y51" s="14">
        <v>2</v>
      </c>
      <c r="Z51" s="14" t="s">
        <v>208</v>
      </c>
      <c r="AA51" s="14" t="s">
        <v>183</v>
      </c>
      <c r="AB51" s="14">
        <v>-5.7190000000000001E-3</v>
      </c>
      <c r="AC51" s="14">
        <v>0.181259</v>
      </c>
      <c r="AD51" s="14">
        <v>14.731197999999999</v>
      </c>
      <c r="AE51" s="14">
        <v>5.1993999999999998</v>
      </c>
      <c r="AF51" s="14">
        <v>-0.26828800000000003</v>
      </c>
      <c r="AG51" s="14">
        <v>-0.45413100000000001</v>
      </c>
      <c r="AH51" s="14">
        <v>-0.82801000000000002</v>
      </c>
      <c r="AI51" s="14">
        <v>2.0630519999999999</v>
      </c>
      <c r="AJ51" s="14">
        <v>100</v>
      </c>
      <c r="AK51" s="14" t="s">
        <v>39</v>
      </c>
      <c r="AL51" s="14" t="s">
        <v>184</v>
      </c>
      <c r="AM51" s="14">
        <v>0.70538199999999995</v>
      </c>
      <c r="AN51" s="14">
        <v>0.70538199999999995</v>
      </c>
      <c r="AO51" s="14"/>
    </row>
    <row r="52" spans="1:41" x14ac:dyDescent="0.2">
      <c r="A52" s="14" t="s">
        <v>209</v>
      </c>
      <c r="B52" s="14" t="s">
        <v>210</v>
      </c>
      <c r="C52" s="14" t="s">
        <v>211</v>
      </c>
      <c r="D52" s="14" t="s">
        <v>37</v>
      </c>
      <c r="E52" s="16">
        <v>46003</v>
      </c>
      <c r="F52" s="14" t="s">
        <v>794</v>
      </c>
      <c r="G52" s="14">
        <v>111.0814</v>
      </c>
      <c r="H52" s="14">
        <v>1.497808</v>
      </c>
      <c r="I52" s="14">
        <v>144.36449200000001</v>
      </c>
      <c r="J52" s="14">
        <v>-7.1152000000000007E-2</v>
      </c>
      <c r="K52" s="14">
        <v>0.16062899999999999</v>
      </c>
      <c r="L52" s="14">
        <v>4.3655809999999997</v>
      </c>
      <c r="M52" s="14">
        <v>0.40134999999999998</v>
      </c>
      <c r="N52" s="14">
        <v>193850.38431600001</v>
      </c>
      <c r="O52" s="14">
        <v>218235.227793</v>
      </c>
      <c r="P52" s="14">
        <v>6993.4860129999997</v>
      </c>
      <c r="Q52" s="14">
        <v>5650.3886350000002</v>
      </c>
      <c r="R52" s="14">
        <v>0.74969200000000003</v>
      </c>
      <c r="S52" s="14">
        <v>6.6368229999999997</v>
      </c>
      <c r="T52" s="14">
        <v>6.5627009999999997</v>
      </c>
      <c r="U52" s="14">
        <v>2.2588819999999998</v>
      </c>
      <c r="V52" s="14">
        <v>50.374040000000001</v>
      </c>
      <c r="W52" s="14">
        <v>3.85</v>
      </c>
      <c r="X52" s="16">
        <v>40508</v>
      </c>
      <c r="Y52" s="14">
        <v>2</v>
      </c>
      <c r="Z52" s="14" t="s">
        <v>212</v>
      </c>
      <c r="AA52" s="14" t="s">
        <v>183</v>
      </c>
      <c r="AB52" s="14">
        <v>-5.6742000000000001E-2</v>
      </c>
      <c r="AC52" s="14">
        <v>0.30346099999999998</v>
      </c>
      <c r="AD52" s="14">
        <v>14.945783</v>
      </c>
      <c r="AE52" s="14">
        <v>4.8832230000000001</v>
      </c>
      <c r="AF52" s="14">
        <v>-0.31917699999999999</v>
      </c>
      <c r="AG52" s="14">
        <v>-0.332704</v>
      </c>
      <c r="AH52" s="14">
        <v>-0.64252500000000001</v>
      </c>
      <c r="AI52" s="14">
        <v>1.7563009999999999</v>
      </c>
      <c r="AJ52" s="14">
        <v>100</v>
      </c>
      <c r="AK52" s="14" t="s">
        <v>39</v>
      </c>
      <c r="AL52" s="14" t="s">
        <v>184</v>
      </c>
      <c r="AM52" s="14">
        <v>0.74969200000000003</v>
      </c>
      <c r="AN52" s="14">
        <v>0.74969200000000003</v>
      </c>
      <c r="AO52" s="14"/>
    </row>
    <row r="53" spans="1:41" x14ac:dyDescent="0.2">
      <c r="A53" s="14" t="s">
        <v>213</v>
      </c>
      <c r="B53" s="14" t="s">
        <v>214</v>
      </c>
      <c r="C53" s="14" t="s">
        <v>215</v>
      </c>
      <c r="D53" s="14" t="s">
        <v>37</v>
      </c>
      <c r="E53" s="16">
        <v>46373</v>
      </c>
      <c r="F53" s="14" t="s">
        <v>794</v>
      </c>
      <c r="G53" s="14">
        <v>97.763199999999998</v>
      </c>
      <c r="H53" s="14">
        <v>0.79760299999999995</v>
      </c>
      <c r="I53" s="14">
        <v>106.350156</v>
      </c>
      <c r="J53" s="14">
        <v>-5.5893999999999999E-2</v>
      </c>
      <c r="K53" s="14">
        <v>3.0849000000000001E-2</v>
      </c>
      <c r="L53" s="14">
        <v>4.3618030000000001</v>
      </c>
      <c r="M53" s="14">
        <v>6.6169000000000006E-2</v>
      </c>
      <c r="N53" s="14">
        <v>182315.16244700001</v>
      </c>
      <c r="O53" s="14">
        <v>179691.28762399999</v>
      </c>
      <c r="P53" s="14">
        <v>5758.3210529999997</v>
      </c>
      <c r="Q53" s="14">
        <v>4652.4368210000002</v>
      </c>
      <c r="R53" s="14">
        <v>0.61728400000000005</v>
      </c>
      <c r="S53" s="14">
        <v>7.8511800000000003</v>
      </c>
      <c r="T53" s="14">
        <v>7.7575519999999996</v>
      </c>
      <c r="U53" s="14">
        <v>2.4138480000000002</v>
      </c>
      <c r="V53" s="14">
        <v>67.901717000000005</v>
      </c>
      <c r="W53" s="14">
        <v>2.125</v>
      </c>
      <c r="X53" s="16">
        <v>42597</v>
      </c>
      <c r="Y53" s="14">
        <v>2</v>
      </c>
      <c r="Z53" s="14" t="s">
        <v>216</v>
      </c>
      <c r="AA53" s="14" t="s">
        <v>183</v>
      </c>
      <c r="AB53" s="14">
        <v>-4.1481999999999998E-2</v>
      </c>
      <c r="AC53" s="14">
        <v>0.17349600000000001</v>
      </c>
      <c r="AD53" s="14">
        <v>14.941623</v>
      </c>
      <c r="AE53" s="14">
        <v>4.5330789999999999</v>
      </c>
      <c r="AF53" s="14">
        <v>-0.303956</v>
      </c>
      <c r="AG53" s="14">
        <v>-0.46184500000000001</v>
      </c>
      <c r="AH53" s="14">
        <v>-0.64612199999999997</v>
      </c>
      <c r="AI53" s="14">
        <v>1.416596</v>
      </c>
      <c r="AJ53" s="14">
        <v>100</v>
      </c>
      <c r="AK53" s="14" t="s">
        <v>39</v>
      </c>
      <c r="AL53" s="14" t="s">
        <v>184</v>
      </c>
      <c r="AM53" s="14">
        <v>0.61728400000000005</v>
      </c>
      <c r="AN53" s="14">
        <v>0.61728400000000005</v>
      </c>
      <c r="AO53" s="14"/>
    </row>
    <row r="54" spans="1:41" x14ac:dyDescent="0.2">
      <c r="A54" s="14" t="s">
        <v>217</v>
      </c>
      <c r="B54" s="14" t="s">
        <v>218</v>
      </c>
      <c r="C54" s="14" t="s">
        <v>219</v>
      </c>
      <c r="D54" s="14" t="s">
        <v>37</v>
      </c>
      <c r="E54" s="16">
        <v>47291</v>
      </c>
      <c r="F54" s="14" t="s">
        <v>795</v>
      </c>
      <c r="G54" s="14">
        <v>121.34381</v>
      </c>
      <c r="H54" s="14">
        <v>1.7630140000000001</v>
      </c>
      <c r="I54" s="14">
        <v>136.28829400000001</v>
      </c>
      <c r="J54" s="14">
        <v>-1.6188000000000001E-2</v>
      </c>
      <c r="K54" s="14">
        <v>0.21048700000000001</v>
      </c>
      <c r="L54" s="14">
        <v>4.2160169999999999</v>
      </c>
      <c r="M54" s="14">
        <v>4.4184000000000001E-2</v>
      </c>
      <c r="N54" s="14">
        <v>210831.18186700001</v>
      </c>
      <c r="O54" s="14">
        <v>259547.571363</v>
      </c>
      <c r="P54" s="14">
        <v>8317.3662129999993</v>
      </c>
      <c r="Q54" s="14">
        <v>6720.0179470000003</v>
      </c>
      <c r="R54" s="14">
        <v>0.89161100000000004</v>
      </c>
      <c r="S54" s="14">
        <v>8.8543249999999993</v>
      </c>
      <c r="T54" s="14">
        <v>8.7385009999999994</v>
      </c>
      <c r="U54" s="14">
        <v>2.6509</v>
      </c>
      <c r="V54" s="14">
        <v>92.678657000000001</v>
      </c>
      <c r="W54" s="14">
        <v>4.875</v>
      </c>
      <c r="X54" s="16">
        <v>40137</v>
      </c>
      <c r="Y54" s="14">
        <v>2</v>
      </c>
      <c r="Z54" s="14" t="s">
        <v>220</v>
      </c>
      <c r="AA54" s="14" t="s">
        <v>183</v>
      </c>
      <c r="AB54" s="14">
        <v>-1.7700000000000001E-3</v>
      </c>
      <c r="AC54" s="14">
        <v>0.35338999999999998</v>
      </c>
      <c r="AD54" s="14">
        <v>14.781057000000001</v>
      </c>
      <c r="AE54" s="14">
        <v>4.5101139999999997</v>
      </c>
      <c r="AF54" s="14">
        <v>-0.264349</v>
      </c>
      <c r="AG54" s="14">
        <v>-0.28309200000000001</v>
      </c>
      <c r="AH54" s="14">
        <v>-0.78491200000000005</v>
      </c>
      <c r="AI54" s="14">
        <v>1.3943160000000001</v>
      </c>
      <c r="AJ54" s="14">
        <v>100</v>
      </c>
      <c r="AK54" s="14" t="s">
        <v>39</v>
      </c>
      <c r="AL54" s="14" t="s">
        <v>184</v>
      </c>
      <c r="AM54" s="14">
        <v>0.89161100000000004</v>
      </c>
      <c r="AN54" s="14">
        <v>0.89161100000000004</v>
      </c>
      <c r="AO54" s="14"/>
    </row>
    <row r="55" spans="1:41" x14ac:dyDescent="0.2">
      <c r="A55" s="14" t="s">
        <v>221</v>
      </c>
      <c r="B55" s="14" t="s">
        <v>222</v>
      </c>
      <c r="C55" s="14" t="s">
        <v>223</v>
      </c>
      <c r="D55" s="14" t="s">
        <v>37</v>
      </c>
      <c r="E55" s="16">
        <v>48019</v>
      </c>
      <c r="F55" s="14" t="s">
        <v>795</v>
      </c>
      <c r="G55" s="14">
        <v>108.63030000000001</v>
      </c>
      <c r="H55" s="14">
        <v>1.34</v>
      </c>
      <c r="I55" s="14">
        <v>103.77314699999999</v>
      </c>
      <c r="J55" s="14">
        <v>-5.3058000000000001E-2</v>
      </c>
      <c r="K55" s="14">
        <v>0.54612799999999995</v>
      </c>
      <c r="L55" s="14"/>
      <c r="M55" s="14">
        <v>-0.40490799999999999</v>
      </c>
      <c r="N55" s="14">
        <v>166565.05740300001</v>
      </c>
      <c r="O55" s="14">
        <v>183172.09332099999</v>
      </c>
      <c r="P55" s="14">
        <v>5869.865675</v>
      </c>
      <c r="Q55" s="14">
        <v>4742.5593239999998</v>
      </c>
      <c r="R55" s="14">
        <v>0.62924199999999997</v>
      </c>
      <c r="S55" s="14">
        <v>10.542903000000001</v>
      </c>
      <c r="T55" s="14">
        <v>10.394379000000001</v>
      </c>
      <c r="U55" s="14">
        <v>2.8577659999999998</v>
      </c>
      <c r="V55" s="14">
        <v>129.55779000000001</v>
      </c>
      <c r="W55" s="14">
        <v>3.65</v>
      </c>
      <c r="X55" s="16">
        <v>40494</v>
      </c>
      <c r="Y55" s="14">
        <v>2</v>
      </c>
      <c r="Z55" s="14" t="s">
        <v>224</v>
      </c>
      <c r="AA55" s="14" t="s">
        <v>183</v>
      </c>
      <c r="AB55" s="14">
        <v>-3.8644999999999999E-2</v>
      </c>
      <c r="AC55" s="14">
        <v>0.68950999999999996</v>
      </c>
      <c r="AD55" s="14"/>
      <c r="AE55" s="14">
        <v>4.0409740000000003</v>
      </c>
      <c r="AF55" s="14">
        <v>-0.30112699999999998</v>
      </c>
      <c r="AG55" s="14">
        <v>5.0895000000000003E-2</v>
      </c>
      <c r="AH55" s="14"/>
      <c r="AI55" s="14">
        <v>0.93916299999999997</v>
      </c>
      <c r="AJ55" s="14">
        <v>100</v>
      </c>
      <c r="AK55" s="14" t="s">
        <v>39</v>
      </c>
      <c r="AL55" s="14" t="s">
        <v>184</v>
      </c>
      <c r="AM55" s="14">
        <v>0.62924199999999997</v>
      </c>
      <c r="AN55" s="14">
        <v>0.62924199999999997</v>
      </c>
      <c r="AO55" s="14"/>
    </row>
    <row r="56" spans="1:41" x14ac:dyDescent="0.2">
      <c r="A56" s="14" t="s">
        <v>225</v>
      </c>
      <c r="B56" s="14" t="s">
        <v>226</v>
      </c>
      <c r="C56" s="14" t="s">
        <v>227</v>
      </c>
      <c r="D56" s="14" t="s">
        <v>37</v>
      </c>
      <c r="E56" s="16">
        <v>49843</v>
      </c>
      <c r="F56" s="14" t="s">
        <v>795</v>
      </c>
      <c r="G56" s="14">
        <v>104.5699</v>
      </c>
      <c r="H56" s="14">
        <v>1.2761640000000001</v>
      </c>
      <c r="I56" s="14">
        <v>98.058261000000002</v>
      </c>
      <c r="J56" s="14">
        <v>-0.28293800000000002</v>
      </c>
      <c r="K56" s="14">
        <v>1.5624199999999999</v>
      </c>
      <c r="L56" s="14">
        <v>5.0290980000000003</v>
      </c>
      <c r="M56" s="14">
        <v>-1.3558760000000001</v>
      </c>
      <c r="N56" s="14">
        <v>140323.06682000001</v>
      </c>
      <c r="O56" s="14">
        <v>148526.44365100001</v>
      </c>
      <c r="P56" s="14">
        <v>4759.6239009999999</v>
      </c>
      <c r="Q56" s="14">
        <v>3845.5392270000002</v>
      </c>
      <c r="R56" s="14">
        <v>0.51022500000000004</v>
      </c>
      <c r="S56" s="14">
        <v>13.624774</v>
      </c>
      <c r="T56" s="14">
        <v>13.418820999999999</v>
      </c>
      <c r="U56" s="14">
        <v>3.06962</v>
      </c>
      <c r="V56" s="14">
        <v>222.49457000000001</v>
      </c>
      <c r="W56" s="14">
        <v>3.4</v>
      </c>
      <c r="X56" s="16">
        <v>42328</v>
      </c>
      <c r="Y56" s="14">
        <v>2</v>
      </c>
      <c r="Z56" s="14" t="s">
        <v>228</v>
      </c>
      <c r="AA56" s="14" t="s">
        <v>183</v>
      </c>
      <c r="AB56" s="14">
        <v>-0.26855800000000002</v>
      </c>
      <c r="AC56" s="14">
        <v>1.7072510000000001</v>
      </c>
      <c r="AD56" s="14">
        <v>15.676565999999999</v>
      </c>
      <c r="AE56" s="14">
        <v>3.047555</v>
      </c>
      <c r="AF56" s="14">
        <v>-0.53043700000000005</v>
      </c>
      <c r="AG56" s="14">
        <v>1.062182</v>
      </c>
      <c r="AH56" s="14">
        <v>-1.0847000000000001E-2</v>
      </c>
      <c r="AI56" s="14">
        <v>-2.4639000000000001E-2</v>
      </c>
      <c r="AJ56" s="14">
        <v>100</v>
      </c>
      <c r="AK56" s="14" t="s">
        <v>39</v>
      </c>
      <c r="AL56" s="14" t="s">
        <v>184</v>
      </c>
      <c r="AM56" s="14">
        <v>0.51022500000000004</v>
      </c>
      <c r="AN56" s="14">
        <v>0.51022500000000004</v>
      </c>
      <c r="AO56" s="14"/>
    </row>
    <row r="57" spans="1:41" x14ac:dyDescent="0.2">
      <c r="A57" s="14" t="s">
        <v>229</v>
      </c>
      <c r="B57" s="14" t="s">
        <v>230</v>
      </c>
      <c r="C57" s="14" t="s">
        <v>231</v>
      </c>
      <c r="D57" s="14" t="s">
        <v>37</v>
      </c>
      <c r="E57" s="16">
        <v>43767</v>
      </c>
      <c r="F57" s="14" t="s">
        <v>791</v>
      </c>
      <c r="G57" s="14">
        <v>101.51</v>
      </c>
      <c r="H57" s="14">
        <v>0.76666699999999999</v>
      </c>
      <c r="I57" s="14">
        <v>108.43685000000001</v>
      </c>
      <c r="J57" s="14">
        <v>-2.4288000000000001E-2</v>
      </c>
      <c r="K57" s="14">
        <v>0.185888</v>
      </c>
      <c r="L57" s="14">
        <v>-0.83008099999999996</v>
      </c>
      <c r="M57" s="14">
        <v>-0.22952600000000001</v>
      </c>
      <c r="N57" s="14">
        <v>80624.570000000007</v>
      </c>
      <c r="O57" s="14">
        <v>82460.122709999996</v>
      </c>
      <c r="P57" s="14">
        <v>4032.6742330000002</v>
      </c>
      <c r="Q57" s="14">
        <v>3258.2000750000002</v>
      </c>
      <c r="R57" s="14">
        <v>0.43229699999999999</v>
      </c>
      <c r="S57" s="14">
        <v>1.475446</v>
      </c>
      <c r="T57" s="14">
        <v>1.4684170000000001</v>
      </c>
      <c r="U57" s="14">
        <v>0.47866999999999998</v>
      </c>
      <c r="V57" s="14">
        <v>3.6319469999999998</v>
      </c>
      <c r="W57" s="14">
        <v>1.5</v>
      </c>
      <c r="X57" s="16">
        <v>41288</v>
      </c>
      <c r="Y57" s="14">
        <v>1</v>
      </c>
      <c r="Z57" s="14" t="s">
        <v>230</v>
      </c>
      <c r="AA57" s="14" t="s">
        <v>232</v>
      </c>
      <c r="AB57" s="14">
        <v>0.15588199999999999</v>
      </c>
      <c r="AC57" s="14">
        <v>1.1300300000000001</v>
      </c>
      <c r="AD57" s="14">
        <v>21.338139999999999</v>
      </c>
      <c r="AE57" s="14">
        <v>3.7324079999999999</v>
      </c>
      <c r="AF57" s="14">
        <v>-0.107111</v>
      </c>
      <c r="AG57" s="14">
        <v>0.488622</v>
      </c>
      <c r="AH57" s="14">
        <v>4.8829359999999999</v>
      </c>
      <c r="AI57" s="14">
        <v>0.63979600000000003</v>
      </c>
      <c r="AJ57" s="14">
        <v>100</v>
      </c>
      <c r="AK57" s="14" t="s">
        <v>39</v>
      </c>
      <c r="AL57" s="14" t="s">
        <v>234</v>
      </c>
      <c r="AM57" s="14">
        <v>0.43229699999999999</v>
      </c>
      <c r="AN57" s="14">
        <v>0.43229699999999999</v>
      </c>
      <c r="AO57" s="14"/>
    </row>
    <row r="58" spans="1:41" x14ac:dyDescent="0.2">
      <c r="A58" s="14" t="s">
        <v>235</v>
      </c>
      <c r="B58" s="14" t="s">
        <v>236</v>
      </c>
      <c r="C58" s="14" t="s">
        <v>237</v>
      </c>
      <c r="D58" s="14" t="s">
        <v>37</v>
      </c>
      <c r="E58" s="16">
        <v>43871</v>
      </c>
      <c r="F58" s="14" t="s">
        <v>791</v>
      </c>
      <c r="G58" s="14">
        <v>99.14</v>
      </c>
      <c r="H58" s="14">
        <v>0</v>
      </c>
      <c r="I58" s="14">
        <v>98.643822</v>
      </c>
      <c r="J58" s="14">
        <v>4.0363000000000003E-2</v>
      </c>
      <c r="K58" s="14">
        <v>4.0363000000000003E-2</v>
      </c>
      <c r="L58" s="14"/>
      <c r="M58" s="14">
        <v>-9.0698000000000001E-2</v>
      </c>
      <c r="N58" s="14">
        <v>40253.879999999997</v>
      </c>
      <c r="O58" s="14">
        <v>39907.696631999999</v>
      </c>
      <c r="P58" s="14">
        <v>1951.6674800000001</v>
      </c>
      <c r="Q58" s="14">
        <v>1576.8501900000001</v>
      </c>
      <c r="R58" s="14">
        <v>0.20921600000000001</v>
      </c>
      <c r="S58" s="14">
        <v>1.774138</v>
      </c>
      <c r="T58" s="14">
        <v>1.7655270000000001</v>
      </c>
      <c r="U58" s="14">
        <v>0.48769400000000002</v>
      </c>
      <c r="V58" s="14">
        <v>4.874028</v>
      </c>
      <c r="W58" s="14">
        <v>0</v>
      </c>
      <c r="X58" s="16">
        <v>42776</v>
      </c>
      <c r="Y58" s="14">
        <v>1</v>
      </c>
      <c r="Z58" s="14" t="s">
        <v>236</v>
      </c>
      <c r="AA58" s="14" t="s">
        <v>232</v>
      </c>
      <c r="AB58" s="14">
        <v>0.22064900000000001</v>
      </c>
      <c r="AC58" s="14">
        <v>0.98313399999999995</v>
      </c>
      <c r="AD58" s="14"/>
      <c r="AE58" s="14">
        <v>3.8767480000000001</v>
      </c>
      <c r="AF58" s="14">
        <v>-4.2514000000000003E-2</v>
      </c>
      <c r="AG58" s="14">
        <v>0.34265800000000002</v>
      </c>
      <c r="AH58" s="14"/>
      <c r="AI58" s="14">
        <v>0.779833</v>
      </c>
      <c r="AJ58" s="14">
        <v>100</v>
      </c>
      <c r="AK58" s="14" t="s">
        <v>39</v>
      </c>
      <c r="AL58" s="14" t="s">
        <v>234</v>
      </c>
      <c r="AM58" s="14">
        <v>0.20921600000000001</v>
      </c>
      <c r="AN58" s="14">
        <v>0.20921600000000001</v>
      </c>
      <c r="AO58" s="14"/>
    </row>
    <row r="59" spans="1:41" x14ac:dyDescent="0.2">
      <c r="A59" s="14" t="s">
        <v>238</v>
      </c>
      <c r="B59" s="14" t="s">
        <v>239</v>
      </c>
      <c r="C59" s="14" t="s">
        <v>240</v>
      </c>
      <c r="D59" s="14" t="s">
        <v>37</v>
      </c>
      <c r="E59" s="16">
        <v>44086</v>
      </c>
      <c r="F59" s="14" t="s">
        <v>791</v>
      </c>
      <c r="G59" s="14">
        <v>107.45</v>
      </c>
      <c r="H59" s="14">
        <v>2.40625</v>
      </c>
      <c r="I59" s="14">
        <v>171.42226700000001</v>
      </c>
      <c r="J59" s="14">
        <v>4.6427000000000003E-2</v>
      </c>
      <c r="K59" s="14">
        <v>0.197404</v>
      </c>
      <c r="L59" s="14">
        <v>-1.2879609999999999</v>
      </c>
      <c r="M59" s="14">
        <v>-0.66759800000000002</v>
      </c>
      <c r="N59" s="14">
        <v>74318.34</v>
      </c>
      <c r="O59" s="14">
        <v>81643.341386</v>
      </c>
      <c r="P59" s="14">
        <v>3992.7299189999999</v>
      </c>
      <c r="Q59" s="14">
        <v>3225.9270580000002</v>
      </c>
      <c r="R59" s="14">
        <v>0.42801499999999998</v>
      </c>
      <c r="S59" s="14">
        <v>2.2594880000000002</v>
      </c>
      <c r="T59" s="14">
        <v>2.2469610000000002</v>
      </c>
      <c r="U59" s="14">
        <v>0.55748600000000004</v>
      </c>
      <c r="V59" s="14">
        <v>7.4410920000000003</v>
      </c>
      <c r="W59" s="14">
        <v>3.75</v>
      </c>
      <c r="X59" s="16">
        <v>38607</v>
      </c>
      <c r="Y59" s="14">
        <v>1</v>
      </c>
      <c r="Z59" s="14" t="s">
        <v>239</v>
      </c>
      <c r="AA59" s="14" t="s">
        <v>232</v>
      </c>
      <c r="AB59" s="14">
        <v>0.22672400000000001</v>
      </c>
      <c r="AC59" s="14">
        <v>1.1416550000000001</v>
      </c>
      <c r="AD59" s="14">
        <v>20.777906000000002</v>
      </c>
      <c r="AE59" s="14">
        <v>3.2769400000000002</v>
      </c>
      <c r="AF59" s="14">
        <v>-3.6455000000000001E-2</v>
      </c>
      <c r="AG59" s="14">
        <v>0.50017299999999998</v>
      </c>
      <c r="AH59" s="14">
        <v>4.3986770000000002</v>
      </c>
      <c r="AI59" s="14">
        <v>0.197907</v>
      </c>
      <c r="AJ59" s="14">
        <v>100</v>
      </c>
      <c r="AK59" s="14" t="s">
        <v>39</v>
      </c>
      <c r="AL59" s="14" t="s">
        <v>234</v>
      </c>
      <c r="AM59" s="14">
        <v>0.42801499999999998</v>
      </c>
      <c r="AN59" s="14">
        <v>0.42801499999999998</v>
      </c>
      <c r="AO59" s="14"/>
    </row>
    <row r="60" spans="1:41" x14ac:dyDescent="0.2">
      <c r="A60" s="14" t="s">
        <v>241</v>
      </c>
      <c r="B60" s="14" t="s">
        <v>242</v>
      </c>
      <c r="C60" s="14" t="s">
        <v>243</v>
      </c>
      <c r="D60" s="14" t="s">
        <v>37</v>
      </c>
      <c r="E60" s="16">
        <v>44468</v>
      </c>
      <c r="F60" s="14" t="s">
        <v>792</v>
      </c>
      <c r="G60" s="14">
        <v>110.7405</v>
      </c>
      <c r="H60" s="14">
        <v>2.288611</v>
      </c>
      <c r="I60" s="14">
        <v>140.877039</v>
      </c>
      <c r="J60" s="14">
        <v>4.4926000000000001E-2</v>
      </c>
      <c r="K60" s="14">
        <v>0.43112800000000001</v>
      </c>
      <c r="L60" s="14">
        <v>-1.6687559999999999</v>
      </c>
      <c r="M60" s="14">
        <v>-0.53936799999999996</v>
      </c>
      <c r="N60" s="14">
        <v>73335</v>
      </c>
      <c r="O60" s="14">
        <v>82889.898633000004</v>
      </c>
      <c r="P60" s="14">
        <v>4053.6922260000001</v>
      </c>
      <c r="Q60" s="14">
        <v>3275.1815670000001</v>
      </c>
      <c r="R60" s="14">
        <v>0.43454999999999999</v>
      </c>
      <c r="S60" s="14">
        <v>3.2050489999999998</v>
      </c>
      <c r="T60" s="14">
        <v>3.1843859999999999</v>
      </c>
      <c r="U60" s="14">
        <v>0.648895</v>
      </c>
      <c r="V60" s="14">
        <v>13.731508</v>
      </c>
      <c r="W60" s="14">
        <v>3.85</v>
      </c>
      <c r="X60" s="16">
        <v>40511</v>
      </c>
      <c r="Y60" s="14">
        <v>1</v>
      </c>
      <c r="Z60" s="14" t="s">
        <v>242</v>
      </c>
      <c r="AA60" s="14" t="s">
        <v>232</v>
      </c>
      <c r="AB60" s="14">
        <v>0.22522</v>
      </c>
      <c r="AC60" s="14">
        <v>1.3775809999999999</v>
      </c>
      <c r="AD60" s="14">
        <v>20.311989000000001</v>
      </c>
      <c r="AE60" s="14">
        <v>3.4102619999999999</v>
      </c>
      <c r="AF60" s="14">
        <v>-3.7955000000000003E-2</v>
      </c>
      <c r="AG60" s="14">
        <v>0.73460300000000001</v>
      </c>
      <c r="AH60" s="14">
        <v>3.9959449999999999</v>
      </c>
      <c r="AI60" s="14">
        <v>0.32725500000000002</v>
      </c>
      <c r="AJ60" s="14">
        <v>100</v>
      </c>
      <c r="AK60" s="14" t="s">
        <v>39</v>
      </c>
      <c r="AL60" s="14" t="s">
        <v>234</v>
      </c>
      <c r="AM60" s="14">
        <v>0.43454999999999999</v>
      </c>
      <c r="AN60" s="14">
        <v>0.43454999999999999</v>
      </c>
      <c r="AO60" s="14"/>
    </row>
    <row r="61" spans="1:41" x14ac:dyDescent="0.2">
      <c r="A61" s="14" t="s">
        <v>244</v>
      </c>
      <c r="B61" s="14" t="s">
        <v>245</v>
      </c>
      <c r="C61" s="14" t="s">
        <v>246</v>
      </c>
      <c r="D61" s="14" t="s">
        <v>37</v>
      </c>
      <c r="E61" s="16">
        <v>44816</v>
      </c>
      <c r="F61" s="14" t="s">
        <v>792</v>
      </c>
      <c r="G61" s="14">
        <v>116.398</v>
      </c>
      <c r="H61" s="14">
        <v>3.0158330000000002</v>
      </c>
      <c r="I61" s="14">
        <v>182.75878900000001</v>
      </c>
      <c r="J61" s="14">
        <v>9.1119000000000006E-2</v>
      </c>
      <c r="K61" s="14">
        <v>0.36308299999999999</v>
      </c>
      <c r="L61" s="14">
        <v>-2.4024999999999999</v>
      </c>
      <c r="M61" s="14">
        <v>-0.649088</v>
      </c>
      <c r="N61" s="14">
        <v>67328.59</v>
      </c>
      <c r="O61" s="14">
        <v>80399.650248000005</v>
      </c>
      <c r="P61" s="14">
        <v>3931.9077779999998</v>
      </c>
      <c r="Q61" s="14">
        <v>3176.7857949999998</v>
      </c>
      <c r="R61" s="14">
        <v>0.42149500000000001</v>
      </c>
      <c r="S61" s="14">
        <v>3.9724110000000001</v>
      </c>
      <c r="T61" s="14">
        <v>3.938968</v>
      </c>
      <c r="U61" s="14">
        <v>0.84903300000000004</v>
      </c>
      <c r="V61" s="14">
        <v>20.422967</v>
      </c>
      <c r="W61" s="14">
        <v>4.7</v>
      </c>
      <c r="X61" s="16">
        <v>39251</v>
      </c>
      <c r="Y61" s="14">
        <v>1</v>
      </c>
      <c r="Z61" s="14" t="s">
        <v>245</v>
      </c>
      <c r="AA61" s="14" t="s">
        <v>232</v>
      </c>
      <c r="AB61" s="14">
        <v>0.27149699999999999</v>
      </c>
      <c r="AC61" s="14">
        <v>1.3088949999999999</v>
      </c>
      <c r="AD61" s="14">
        <v>19.414227</v>
      </c>
      <c r="AE61" s="14">
        <v>3.2961849999999999</v>
      </c>
      <c r="AF61" s="14">
        <v>8.2000000000000007E-3</v>
      </c>
      <c r="AG61" s="14">
        <v>0.66635299999999997</v>
      </c>
      <c r="AH61" s="14">
        <v>3.219932</v>
      </c>
      <c r="AI61" s="14">
        <v>0.21657899999999999</v>
      </c>
      <c r="AJ61" s="14">
        <v>100</v>
      </c>
      <c r="AK61" s="14" t="s">
        <v>39</v>
      </c>
      <c r="AL61" s="14" t="s">
        <v>234</v>
      </c>
      <c r="AM61" s="14">
        <v>0.42149500000000001</v>
      </c>
      <c r="AN61" s="14">
        <v>0.42149500000000001</v>
      </c>
      <c r="AO61" s="14"/>
    </row>
    <row r="62" spans="1:41" x14ac:dyDescent="0.2">
      <c r="A62" s="14" t="s">
        <v>247</v>
      </c>
      <c r="B62" s="14" t="s">
        <v>248</v>
      </c>
      <c r="C62" s="14" t="s">
        <v>249</v>
      </c>
      <c r="D62" s="14" t="s">
        <v>37</v>
      </c>
      <c r="E62" s="16">
        <v>45224</v>
      </c>
      <c r="F62" s="14" t="s">
        <v>793</v>
      </c>
      <c r="G62" s="14">
        <v>96.5505</v>
      </c>
      <c r="H62" s="14">
        <v>0.23499999999999999</v>
      </c>
      <c r="I62" s="14">
        <v>95.605903999999995</v>
      </c>
      <c r="J62" s="14">
        <v>0.26083400000000001</v>
      </c>
      <c r="K62" s="14">
        <v>0.59304299999999999</v>
      </c>
      <c r="L62" s="14"/>
      <c r="M62" s="14">
        <v>0.114061</v>
      </c>
      <c r="N62" s="14">
        <v>45454.1</v>
      </c>
      <c r="O62" s="14">
        <v>43992.977955000002</v>
      </c>
      <c r="P62" s="14">
        <v>2151.4562770000002</v>
      </c>
      <c r="Q62" s="14">
        <v>1738.269595</v>
      </c>
      <c r="R62" s="14">
        <v>0.230633</v>
      </c>
      <c r="S62" s="14">
        <v>5.4109299999999996</v>
      </c>
      <c r="T62" s="14">
        <v>5.351985</v>
      </c>
      <c r="U62" s="14">
        <v>1.101375</v>
      </c>
      <c r="V62" s="14">
        <v>34.178305999999999</v>
      </c>
      <c r="W62" s="14">
        <v>0.45</v>
      </c>
      <c r="X62" s="16">
        <v>42272</v>
      </c>
      <c r="Y62" s="14">
        <v>1</v>
      </c>
      <c r="Z62" s="14" t="s">
        <v>248</v>
      </c>
      <c r="AA62" s="14" t="s">
        <v>232</v>
      </c>
      <c r="AB62" s="14">
        <v>0.44151699999999999</v>
      </c>
      <c r="AC62" s="14">
        <v>1.5410219999999999</v>
      </c>
      <c r="AD62" s="14"/>
      <c r="AE62" s="14">
        <v>4.089639</v>
      </c>
      <c r="AF62" s="14">
        <v>0.17777399999999999</v>
      </c>
      <c r="AG62" s="14">
        <v>0.89700800000000003</v>
      </c>
      <c r="AH62" s="14"/>
      <c r="AI62" s="14">
        <v>0.98637600000000003</v>
      </c>
      <c r="AJ62" s="14">
        <v>100</v>
      </c>
      <c r="AK62" s="14" t="s">
        <v>39</v>
      </c>
      <c r="AL62" s="14" t="s">
        <v>234</v>
      </c>
      <c r="AM62" s="14">
        <v>0.230633</v>
      </c>
      <c r="AN62" s="14">
        <v>0.230633</v>
      </c>
      <c r="AO62" s="14"/>
    </row>
    <row r="63" spans="1:41" x14ac:dyDescent="0.2">
      <c r="A63" s="14" t="s">
        <v>250</v>
      </c>
      <c r="B63" s="14" t="s">
        <v>251</v>
      </c>
      <c r="C63" s="14" t="s">
        <v>252</v>
      </c>
      <c r="D63" s="14" t="s">
        <v>37</v>
      </c>
      <c r="E63" s="16">
        <v>45437</v>
      </c>
      <c r="F63" s="14" t="s">
        <v>793</v>
      </c>
      <c r="G63" s="14">
        <v>127.1525</v>
      </c>
      <c r="H63" s="14">
        <v>-0.348333</v>
      </c>
      <c r="I63" s="14">
        <v>189.35732300000001</v>
      </c>
      <c r="J63" s="14">
        <v>0.178198</v>
      </c>
      <c r="K63" s="14">
        <v>0.558921</v>
      </c>
      <c r="L63" s="14">
        <v>-2.5273910000000002</v>
      </c>
      <c r="M63" s="14">
        <v>-0.763845</v>
      </c>
      <c r="N63" s="14">
        <v>74702.649999999994</v>
      </c>
      <c r="O63" s="14">
        <v>94726.072809999998</v>
      </c>
      <c r="P63" s="14">
        <v>4632.5348599999998</v>
      </c>
      <c r="Q63" s="14">
        <v>3742.8576069999999</v>
      </c>
      <c r="R63" s="14">
        <v>0.49660199999999999</v>
      </c>
      <c r="S63" s="14">
        <v>5.4025179999999997</v>
      </c>
      <c r="T63" s="14">
        <v>5.3463310000000002</v>
      </c>
      <c r="U63" s="14">
        <v>1.0509390000000001</v>
      </c>
      <c r="V63" s="14">
        <v>35.819436000000003</v>
      </c>
      <c r="W63" s="14">
        <v>5.7</v>
      </c>
      <c r="X63" s="16">
        <v>39958</v>
      </c>
      <c r="Y63" s="14">
        <v>1</v>
      </c>
      <c r="Z63" s="14" t="s">
        <v>251</v>
      </c>
      <c r="AA63" s="14" t="s">
        <v>232</v>
      </c>
      <c r="AB63" s="14">
        <v>0.358732</v>
      </c>
      <c r="AC63" s="14">
        <v>1.5065789999999999</v>
      </c>
      <c r="AD63" s="14">
        <v>19.261417000000002</v>
      </c>
      <c r="AE63" s="14">
        <v>3.1768700000000001</v>
      </c>
      <c r="AF63" s="14">
        <v>9.5205999999999999E-2</v>
      </c>
      <c r="AG63" s="14">
        <v>0.86278200000000005</v>
      </c>
      <c r="AH63" s="14">
        <v>3.0878459999999999</v>
      </c>
      <c r="AI63" s="14">
        <v>0.10082099999999999</v>
      </c>
      <c r="AJ63" s="14">
        <v>100</v>
      </c>
      <c r="AK63" s="14" t="s">
        <v>39</v>
      </c>
      <c r="AL63" s="14" t="s">
        <v>234</v>
      </c>
      <c r="AM63" s="14">
        <v>0.49660199999999999</v>
      </c>
      <c r="AN63" s="14">
        <v>0.49660199999999999</v>
      </c>
      <c r="AO63" s="14"/>
    </row>
    <row r="64" spans="1:41" x14ac:dyDescent="0.2">
      <c r="A64" s="14" t="s">
        <v>253</v>
      </c>
      <c r="B64" s="14" t="s">
        <v>254</v>
      </c>
      <c r="C64" s="14" t="s">
        <v>255</v>
      </c>
      <c r="D64" s="14" t="s">
        <v>37</v>
      </c>
      <c r="E64" s="16">
        <v>45917</v>
      </c>
      <c r="F64" s="14" t="s">
        <v>794</v>
      </c>
      <c r="G64" s="14">
        <v>106.94</v>
      </c>
      <c r="H64" s="14">
        <v>1.506667</v>
      </c>
      <c r="I64" s="14">
        <v>108.16367</v>
      </c>
      <c r="J64" s="14">
        <v>0.27638600000000002</v>
      </c>
      <c r="K64" s="14">
        <v>0.90669500000000003</v>
      </c>
      <c r="L64" s="14">
        <v>-3.1074820000000001</v>
      </c>
      <c r="M64" s="14">
        <v>-0.26660600000000001</v>
      </c>
      <c r="N64" s="14">
        <v>68212.81</v>
      </c>
      <c r="O64" s="14">
        <v>73974.518685000003</v>
      </c>
      <c r="P64" s="14">
        <v>3617.6896849999998</v>
      </c>
      <c r="Q64" s="14">
        <v>2922.9132140000002</v>
      </c>
      <c r="R64" s="14">
        <v>0.38781199999999999</v>
      </c>
      <c r="S64" s="14">
        <v>6.7759419999999997</v>
      </c>
      <c r="T64" s="14">
        <v>6.6823699999999997</v>
      </c>
      <c r="U64" s="14">
        <v>1.400274</v>
      </c>
      <c r="V64" s="14">
        <v>53.831462999999999</v>
      </c>
      <c r="W64" s="14">
        <v>2.4</v>
      </c>
      <c r="X64" s="16">
        <v>41715</v>
      </c>
      <c r="Y64" s="14">
        <v>1</v>
      </c>
      <c r="Z64" s="14" t="s">
        <v>254</v>
      </c>
      <c r="AA64" s="14" t="s">
        <v>232</v>
      </c>
      <c r="AB64" s="14">
        <v>0.457098</v>
      </c>
      <c r="AC64" s="14">
        <v>1.8576299999999999</v>
      </c>
      <c r="AD64" s="14">
        <v>18.551653999999999</v>
      </c>
      <c r="AE64" s="14">
        <v>3.6938550000000001</v>
      </c>
      <c r="AF64" s="14">
        <v>0.19331300000000001</v>
      </c>
      <c r="AG64" s="14">
        <v>1.2116070000000001</v>
      </c>
      <c r="AH64" s="14">
        <v>2.4743369999999998</v>
      </c>
      <c r="AI64" s="14">
        <v>0.60239299999999996</v>
      </c>
      <c r="AJ64" s="14">
        <v>100</v>
      </c>
      <c r="AK64" s="14" t="s">
        <v>39</v>
      </c>
      <c r="AL64" s="14" t="s">
        <v>234</v>
      </c>
      <c r="AM64" s="14">
        <v>0.38781199999999999</v>
      </c>
      <c r="AN64" s="14">
        <v>0.38781199999999999</v>
      </c>
      <c r="AO64" s="14"/>
    </row>
    <row r="65" spans="1:41" x14ac:dyDescent="0.2">
      <c r="A65" s="14" t="s">
        <v>256</v>
      </c>
      <c r="B65" s="14" t="s">
        <v>257</v>
      </c>
      <c r="C65" s="14" t="s">
        <v>258</v>
      </c>
      <c r="D65" s="14" t="s">
        <v>37</v>
      </c>
      <c r="E65" s="16">
        <v>46199</v>
      </c>
      <c r="F65" s="14" t="s">
        <v>794</v>
      </c>
      <c r="G65" s="14">
        <v>96.027500000000003</v>
      </c>
      <c r="H65" s="14">
        <v>0.85277800000000004</v>
      </c>
      <c r="I65" s="14">
        <v>92.699776</v>
      </c>
      <c r="J65" s="14">
        <v>0.30791000000000002</v>
      </c>
      <c r="K65" s="14">
        <v>1.1504209999999999</v>
      </c>
      <c r="L65" s="14">
        <v>-3.8886379999999998</v>
      </c>
      <c r="M65" s="14">
        <v>-0.55172500000000002</v>
      </c>
      <c r="N65" s="14">
        <v>51540.99</v>
      </c>
      <c r="O65" s="14">
        <v>49933.054280999997</v>
      </c>
      <c r="P65" s="14">
        <v>2441.9529680000001</v>
      </c>
      <c r="Q65" s="14">
        <v>1972.9764620000001</v>
      </c>
      <c r="R65" s="14">
        <v>0.26177400000000001</v>
      </c>
      <c r="S65" s="14">
        <v>7.7904220000000004</v>
      </c>
      <c r="T65" s="14">
        <v>7.673718</v>
      </c>
      <c r="U65" s="14">
        <v>1.520824</v>
      </c>
      <c r="V65" s="14">
        <v>68.30453</v>
      </c>
      <c r="W65" s="14">
        <v>1</v>
      </c>
      <c r="X65" s="16">
        <v>42181</v>
      </c>
      <c r="Y65" s="14">
        <v>1</v>
      </c>
      <c r="Z65" s="14" t="s">
        <v>257</v>
      </c>
      <c r="AA65" s="14" t="s">
        <v>232</v>
      </c>
      <c r="AB65" s="14">
        <v>0.488678</v>
      </c>
      <c r="AC65" s="14">
        <v>2.103653</v>
      </c>
      <c r="AD65" s="14">
        <v>17.595880000000001</v>
      </c>
      <c r="AE65" s="14">
        <v>3.3974139999999999</v>
      </c>
      <c r="AF65" s="14">
        <v>0.22481100000000001</v>
      </c>
      <c r="AG65" s="14">
        <v>1.45607</v>
      </c>
      <c r="AH65" s="14">
        <v>1.64818</v>
      </c>
      <c r="AI65" s="14">
        <v>0.31479000000000001</v>
      </c>
      <c r="AJ65" s="14">
        <v>100</v>
      </c>
      <c r="AK65" s="14" t="s">
        <v>39</v>
      </c>
      <c r="AL65" s="14" t="s">
        <v>234</v>
      </c>
      <c r="AM65" s="14">
        <v>0.26177400000000001</v>
      </c>
      <c r="AN65" s="14">
        <v>0.26177400000000001</v>
      </c>
      <c r="AO65" s="14"/>
    </row>
    <row r="66" spans="1:41" x14ac:dyDescent="0.2">
      <c r="A66" s="14" t="s">
        <v>806</v>
      </c>
      <c r="B66" s="14" t="s">
        <v>807</v>
      </c>
      <c r="C66" s="14" t="s">
        <v>808</v>
      </c>
      <c r="D66" s="14" t="s">
        <v>37</v>
      </c>
      <c r="E66" s="16">
        <v>46428</v>
      </c>
      <c r="F66" s="14" t="s">
        <v>794</v>
      </c>
      <c r="G66" s="14">
        <v>89.566500000000005</v>
      </c>
      <c r="H66" s="14">
        <v>5.7639000000000003E-2</v>
      </c>
      <c r="I66" s="14">
        <v>102.963269</v>
      </c>
      <c r="J66" s="14">
        <v>0.39287100000000003</v>
      </c>
      <c r="K66" s="14">
        <v>1.4715549999999999</v>
      </c>
      <c r="L66" s="14"/>
      <c r="M66" s="14"/>
      <c r="N66" s="14">
        <v>38070.46</v>
      </c>
      <c r="O66" s="14">
        <v>34120.321945999996</v>
      </c>
      <c r="P66" s="14">
        <v>1668.6385929999999</v>
      </c>
      <c r="Q66" s="14">
        <v>1348.176935</v>
      </c>
      <c r="R66" s="14">
        <v>0.17887600000000001</v>
      </c>
      <c r="S66" s="14">
        <v>8.6797690000000003</v>
      </c>
      <c r="T66" s="14">
        <v>8.5491050000000008</v>
      </c>
      <c r="U66" s="14">
        <v>1.5283910000000001</v>
      </c>
      <c r="V66" s="14">
        <v>82.024370000000005</v>
      </c>
      <c r="W66" s="14">
        <v>0.25</v>
      </c>
      <c r="X66" s="16">
        <v>42776</v>
      </c>
      <c r="Y66" s="14">
        <v>1</v>
      </c>
      <c r="Z66" s="14" t="s">
        <v>807</v>
      </c>
      <c r="AA66" s="14" t="s">
        <v>232</v>
      </c>
      <c r="AB66" s="14">
        <v>0.573793</v>
      </c>
      <c r="AC66" s="14">
        <v>2.427813</v>
      </c>
      <c r="AD66" s="14"/>
      <c r="AE66" s="14"/>
      <c r="AF66" s="14">
        <v>0.30970199999999998</v>
      </c>
      <c r="AG66" s="14">
        <v>1.7781739999999999</v>
      </c>
      <c r="AH66" s="14"/>
      <c r="AI66" s="14"/>
      <c r="AJ66" s="14">
        <v>100</v>
      </c>
      <c r="AK66" s="14" t="s">
        <v>39</v>
      </c>
      <c r="AL66" s="14" t="s">
        <v>234</v>
      </c>
      <c r="AM66" s="14">
        <v>0.17887600000000001</v>
      </c>
      <c r="AN66" s="14">
        <v>0.17887600000000001</v>
      </c>
      <c r="AO66" s="14"/>
    </row>
    <row r="67" spans="1:41" x14ac:dyDescent="0.2">
      <c r="A67" s="14" t="s">
        <v>259</v>
      </c>
      <c r="B67" s="14" t="s">
        <v>260</v>
      </c>
      <c r="C67" s="14" t="s">
        <v>261</v>
      </c>
      <c r="D67" s="14" t="s">
        <v>37</v>
      </c>
      <c r="E67" s="16">
        <v>46990</v>
      </c>
      <c r="F67" s="14" t="s">
        <v>795</v>
      </c>
      <c r="G67" s="14">
        <v>107.6525</v>
      </c>
      <c r="H67" s="14">
        <v>1.7222219999999999</v>
      </c>
      <c r="I67" s="14">
        <v>118.16145</v>
      </c>
      <c r="J67" s="14">
        <v>0.237508</v>
      </c>
      <c r="K67" s="14">
        <v>1.4727349999999999</v>
      </c>
      <c r="L67" s="14">
        <v>-4.0219129999999996</v>
      </c>
      <c r="M67" s="14">
        <v>0.55072100000000002</v>
      </c>
      <c r="N67" s="14">
        <v>85926.15</v>
      </c>
      <c r="O67" s="14">
        <v>93981.487878999993</v>
      </c>
      <c r="P67" s="14">
        <v>4596.1212770000002</v>
      </c>
      <c r="Q67" s="14">
        <v>3713.4372440000002</v>
      </c>
      <c r="R67" s="14">
        <v>0.49269800000000002</v>
      </c>
      <c r="S67" s="14">
        <v>9.1229089999999999</v>
      </c>
      <c r="T67" s="14">
        <v>8.9718929999999997</v>
      </c>
      <c r="U67" s="14">
        <v>1.683209</v>
      </c>
      <c r="V67" s="14">
        <v>96.111345</v>
      </c>
      <c r="W67" s="14">
        <v>2.5</v>
      </c>
      <c r="X67" s="16">
        <v>41330</v>
      </c>
      <c r="Y67" s="14">
        <v>1</v>
      </c>
      <c r="Z67" s="14" t="s">
        <v>260</v>
      </c>
      <c r="AA67" s="14" t="s">
        <v>232</v>
      </c>
      <c r="AB67" s="14">
        <v>0.41814899999999999</v>
      </c>
      <c r="AC67" s="14">
        <v>2.4290039999999999</v>
      </c>
      <c r="AD67" s="14">
        <v>17.432812999999999</v>
      </c>
      <c r="AE67" s="14">
        <v>4.5436379999999996</v>
      </c>
      <c r="AF67" s="14">
        <v>0.15446799999999999</v>
      </c>
      <c r="AG67" s="14">
        <v>1.779358</v>
      </c>
      <c r="AH67" s="14">
        <v>1.5072270000000001</v>
      </c>
      <c r="AI67" s="14">
        <v>1.426841</v>
      </c>
      <c r="AJ67" s="14">
        <v>100</v>
      </c>
      <c r="AK67" s="14" t="s">
        <v>39</v>
      </c>
      <c r="AL67" s="14" t="s">
        <v>234</v>
      </c>
      <c r="AM67" s="14">
        <v>0.49269800000000002</v>
      </c>
      <c r="AN67" s="14">
        <v>0.49269800000000002</v>
      </c>
      <c r="AO67" s="14"/>
    </row>
    <row r="68" spans="1:41" x14ac:dyDescent="0.2">
      <c r="A68" s="14" t="s">
        <v>262</v>
      </c>
      <c r="B68" s="14" t="s">
        <v>263</v>
      </c>
      <c r="C68" s="14" t="s">
        <v>264</v>
      </c>
      <c r="D68" s="14" t="s">
        <v>37</v>
      </c>
      <c r="E68" s="16">
        <v>47618</v>
      </c>
      <c r="F68" s="14" t="s">
        <v>795</v>
      </c>
      <c r="G68" s="14">
        <v>89.730500000000006</v>
      </c>
      <c r="H68" s="14">
        <v>-3.1667000000000001E-2</v>
      </c>
      <c r="I68" s="14">
        <v>94.230384000000001</v>
      </c>
      <c r="J68" s="14">
        <v>0.57783799999999996</v>
      </c>
      <c r="K68" s="14">
        <v>2.2750279999999998</v>
      </c>
      <c r="L68" s="14">
        <v>-5.8347530000000001</v>
      </c>
      <c r="M68" s="14">
        <v>-1.0071999999999999E-2</v>
      </c>
      <c r="N68" s="14">
        <v>53352.93</v>
      </c>
      <c r="O68" s="14">
        <v>47856.955758999997</v>
      </c>
      <c r="P68" s="14">
        <v>2340.4223280000001</v>
      </c>
      <c r="Q68" s="14">
        <v>1890.944759</v>
      </c>
      <c r="R68" s="14">
        <v>0.25089</v>
      </c>
      <c r="S68" s="14">
        <v>11.389787999999999</v>
      </c>
      <c r="T68" s="14">
        <v>11.176067</v>
      </c>
      <c r="U68" s="14">
        <v>1.91231</v>
      </c>
      <c r="V68" s="14">
        <v>140.29068599999999</v>
      </c>
      <c r="W68" s="14">
        <v>0.95</v>
      </c>
      <c r="X68" s="16">
        <v>42139</v>
      </c>
      <c r="Y68" s="14">
        <v>1</v>
      </c>
      <c r="Z68" s="14" t="s">
        <v>263</v>
      </c>
      <c r="AA68" s="14" t="s">
        <v>232</v>
      </c>
      <c r="AB68" s="14">
        <v>0.75909199999999999</v>
      </c>
      <c r="AC68" s="14">
        <v>3.238858</v>
      </c>
      <c r="AD68" s="14">
        <v>15.214734999999999</v>
      </c>
      <c r="AE68" s="14">
        <v>3.9605769999999998</v>
      </c>
      <c r="AF68" s="14">
        <v>0.49451499999999998</v>
      </c>
      <c r="AG68" s="14">
        <v>2.5840749999999999</v>
      </c>
      <c r="AH68" s="14">
        <v>-0.41004800000000002</v>
      </c>
      <c r="AI68" s="14">
        <v>0.86116300000000001</v>
      </c>
      <c r="AJ68" s="14">
        <v>100</v>
      </c>
      <c r="AK68" s="14" t="s">
        <v>39</v>
      </c>
      <c r="AL68" s="14" t="s">
        <v>234</v>
      </c>
      <c r="AM68" s="14">
        <v>0.25089</v>
      </c>
      <c r="AN68" s="14">
        <v>0.25089</v>
      </c>
      <c r="AO68" s="14"/>
    </row>
    <row r="69" spans="1:41" x14ac:dyDescent="0.2">
      <c r="A69" s="14" t="s">
        <v>267</v>
      </c>
      <c r="B69" s="14" t="s">
        <v>268</v>
      </c>
      <c r="C69" s="14" t="s">
        <v>269</v>
      </c>
      <c r="D69" s="14" t="s">
        <v>37</v>
      </c>
      <c r="E69" s="16">
        <v>43640</v>
      </c>
      <c r="F69" s="14" t="s">
        <v>791</v>
      </c>
      <c r="G69" s="14">
        <v>107.57525</v>
      </c>
      <c r="H69" s="14">
        <v>5.5917810000000001</v>
      </c>
      <c r="I69" s="14">
        <v>230.28954100000001</v>
      </c>
      <c r="J69" s="14">
        <v>1.84E-4</v>
      </c>
      <c r="K69" s="14">
        <v>2.3723000000000001E-2</v>
      </c>
      <c r="L69" s="14">
        <v>0.47468300000000002</v>
      </c>
      <c r="M69" s="14">
        <v>-4.0341000000000002E-2</v>
      </c>
      <c r="N69" s="14">
        <v>683584.95</v>
      </c>
      <c r="O69" s="14">
        <v>773592.79105999996</v>
      </c>
      <c r="P69" s="14">
        <v>3086.3417380000001</v>
      </c>
      <c r="Q69" s="14">
        <v>2493.610518</v>
      </c>
      <c r="R69" s="14">
        <v>0.33085199999999998</v>
      </c>
      <c r="S69" s="14">
        <v>1.082182</v>
      </c>
      <c r="T69" s="14">
        <v>1.0836600000000001</v>
      </c>
      <c r="U69" s="14">
        <v>-0.13636799999999999</v>
      </c>
      <c r="V69" s="14">
        <v>2.3137569999999998</v>
      </c>
      <c r="W69" s="14">
        <v>6.5</v>
      </c>
      <c r="X69" s="16">
        <v>39484</v>
      </c>
      <c r="Y69" s="14">
        <v>1</v>
      </c>
      <c r="Z69" s="14" t="s">
        <v>268</v>
      </c>
      <c r="AA69" s="14" t="s">
        <v>265</v>
      </c>
      <c r="AB69" s="14">
        <v>0.29256399999999999</v>
      </c>
      <c r="AC69" s="14">
        <v>1.294899</v>
      </c>
      <c r="AD69" s="14">
        <v>17.366087</v>
      </c>
      <c r="AE69" s="14">
        <v>3.0230700000000001</v>
      </c>
      <c r="AF69" s="14">
        <v>2.9211999999999998E-2</v>
      </c>
      <c r="AG69" s="14">
        <v>0.65244500000000005</v>
      </c>
      <c r="AH69" s="14">
        <v>1.4495499999999999</v>
      </c>
      <c r="AI69" s="14">
        <v>-4.8395000000000001E-2</v>
      </c>
      <c r="AJ69" s="14">
        <v>100</v>
      </c>
      <c r="AK69" s="14" t="s">
        <v>39</v>
      </c>
      <c r="AL69" s="14" t="s">
        <v>266</v>
      </c>
      <c r="AM69" s="14">
        <v>0.33085199999999998</v>
      </c>
      <c r="AN69" s="14">
        <v>0.33085199999999998</v>
      </c>
      <c r="AO69" s="14"/>
    </row>
    <row r="70" spans="1:41" x14ac:dyDescent="0.2">
      <c r="A70" s="14" t="s">
        <v>270</v>
      </c>
      <c r="B70" s="14" t="s">
        <v>271</v>
      </c>
      <c r="C70" s="14" t="s">
        <v>272</v>
      </c>
      <c r="D70" s="14" t="s">
        <v>37</v>
      </c>
      <c r="E70" s="16">
        <v>43768</v>
      </c>
      <c r="F70" s="14" t="s">
        <v>791</v>
      </c>
      <c r="G70" s="14">
        <v>102.85845</v>
      </c>
      <c r="H70" s="14">
        <v>1.0191779999999999</v>
      </c>
      <c r="I70" s="14">
        <v>106.074736</v>
      </c>
      <c r="J70" s="14">
        <v>-1.4756999999999999E-2</v>
      </c>
      <c r="K70" s="14">
        <v>-4.1050999999999997E-2</v>
      </c>
      <c r="L70" s="14">
        <v>0.84909800000000002</v>
      </c>
      <c r="M70" s="14">
        <v>-0.12484199999999999</v>
      </c>
      <c r="N70" s="14">
        <v>299918.33</v>
      </c>
      <c r="O70" s="14">
        <v>311548.04738800001</v>
      </c>
      <c r="P70" s="14">
        <v>1242.958509</v>
      </c>
      <c r="Q70" s="14">
        <v>1004.248613</v>
      </c>
      <c r="R70" s="14">
        <v>0.133243</v>
      </c>
      <c r="S70" s="14">
        <v>1.4708300000000001</v>
      </c>
      <c r="T70" s="14">
        <v>1.469654</v>
      </c>
      <c r="U70" s="14">
        <v>8.0060000000000006E-2</v>
      </c>
      <c r="V70" s="14">
        <v>3.647205</v>
      </c>
      <c r="W70" s="14">
        <v>2</v>
      </c>
      <c r="X70" s="16">
        <v>42382</v>
      </c>
      <c r="Y70" s="14">
        <v>1</v>
      </c>
      <c r="Z70" s="14" t="s">
        <v>271</v>
      </c>
      <c r="AA70" s="14" t="s">
        <v>265</v>
      </c>
      <c r="AB70" s="14">
        <v>0.27757900000000002</v>
      </c>
      <c r="AC70" s="14">
        <v>1.229301</v>
      </c>
      <c r="AD70" s="14">
        <v>17.803447999999999</v>
      </c>
      <c r="AE70" s="14">
        <v>2.9359799999999998</v>
      </c>
      <c r="AF70" s="14">
        <v>1.4265999999999999E-2</v>
      </c>
      <c r="AG70" s="14">
        <v>0.58726299999999998</v>
      </c>
      <c r="AH70" s="14">
        <v>1.8275980000000001</v>
      </c>
      <c r="AI70" s="14">
        <v>-0.13288800000000001</v>
      </c>
      <c r="AJ70" s="14">
        <v>100</v>
      </c>
      <c r="AK70" s="14" t="s">
        <v>39</v>
      </c>
      <c r="AL70" s="14" t="s">
        <v>266</v>
      </c>
      <c r="AM70" s="14">
        <v>0.133243</v>
      </c>
      <c r="AN70" s="14">
        <v>0.133243</v>
      </c>
      <c r="AO70" s="14"/>
    </row>
    <row r="71" spans="1:41" x14ac:dyDescent="0.2">
      <c r="A71" s="14" t="s">
        <v>273</v>
      </c>
      <c r="B71" s="14" t="s">
        <v>274</v>
      </c>
      <c r="C71" s="14" t="s">
        <v>275</v>
      </c>
      <c r="D71" s="14" t="s">
        <v>37</v>
      </c>
      <c r="E71" s="16">
        <v>44006</v>
      </c>
      <c r="F71" s="14" t="s">
        <v>791</v>
      </c>
      <c r="G71" s="14">
        <v>106.95885</v>
      </c>
      <c r="H71" s="14">
        <v>3.0109590000000002</v>
      </c>
      <c r="I71" s="14">
        <v>112.151032</v>
      </c>
      <c r="J71" s="14">
        <v>7.6400000000000003E-4</v>
      </c>
      <c r="K71" s="14">
        <v>3.3947999999999999E-2</v>
      </c>
      <c r="L71" s="14">
        <v>1.9718059999999999</v>
      </c>
      <c r="M71" s="14">
        <v>0.25098199999999998</v>
      </c>
      <c r="N71" s="14">
        <v>760088.35</v>
      </c>
      <c r="O71" s="14">
        <v>835867.70599699998</v>
      </c>
      <c r="P71" s="14">
        <v>3334.7950209999999</v>
      </c>
      <c r="Q71" s="14">
        <v>2694.3484050000002</v>
      </c>
      <c r="R71" s="14">
        <v>0.35748600000000003</v>
      </c>
      <c r="S71" s="14">
        <v>2.0442749999999998</v>
      </c>
      <c r="T71" s="14">
        <v>2.0394779999999999</v>
      </c>
      <c r="U71" s="14">
        <v>0.23521700000000001</v>
      </c>
      <c r="V71" s="14">
        <v>6.3433510000000002</v>
      </c>
      <c r="W71" s="14">
        <v>3.5</v>
      </c>
      <c r="X71" s="16">
        <v>41906</v>
      </c>
      <c r="Y71" s="14">
        <v>1</v>
      </c>
      <c r="Z71" s="14" t="s">
        <v>274</v>
      </c>
      <c r="AA71" s="14" t="s">
        <v>265</v>
      </c>
      <c r="AB71" s="14">
        <v>0.29314499999999999</v>
      </c>
      <c r="AC71" s="14">
        <v>1.305253</v>
      </c>
      <c r="AD71" s="14">
        <v>19.114901</v>
      </c>
      <c r="AE71" s="14">
        <v>3.323321</v>
      </c>
      <c r="AF71" s="14">
        <v>2.9791999999999999E-2</v>
      </c>
      <c r="AG71" s="14">
        <v>0.66273400000000005</v>
      </c>
      <c r="AH71" s="14">
        <v>2.9611999999999998</v>
      </c>
      <c r="AI71" s="14">
        <v>0.24290500000000001</v>
      </c>
      <c r="AJ71" s="14">
        <v>100</v>
      </c>
      <c r="AK71" s="14" t="s">
        <v>39</v>
      </c>
      <c r="AL71" s="14" t="s">
        <v>266</v>
      </c>
      <c r="AM71" s="14">
        <v>0.35748600000000003</v>
      </c>
      <c r="AN71" s="14">
        <v>0.35748600000000003</v>
      </c>
      <c r="AO71" s="14"/>
    </row>
    <row r="72" spans="1:41" x14ac:dyDescent="0.2">
      <c r="A72" s="14" t="s">
        <v>276</v>
      </c>
      <c r="B72" s="14" t="s">
        <v>277</v>
      </c>
      <c r="C72" s="14" t="s">
        <v>278</v>
      </c>
      <c r="D72" s="14" t="s">
        <v>37</v>
      </c>
      <c r="E72" s="16">
        <v>44097</v>
      </c>
      <c r="F72" s="14" t="s">
        <v>791</v>
      </c>
      <c r="G72" s="14">
        <v>101.2757</v>
      </c>
      <c r="H72" s="14">
        <v>0.61095900000000003</v>
      </c>
      <c r="I72" s="14">
        <v>101.308987</v>
      </c>
      <c r="J72" s="14">
        <v>1.3649999999999999E-3</v>
      </c>
      <c r="K72" s="14">
        <v>6.9253999999999996E-2</v>
      </c>
      <c r="L72" s="14"/>
      <c r="M72" s="14">
        <v>0.24493300000000001</v>
      </c>
      <c r="N72" s="14">
        <v>526051.38</v>
      </c>
      <c r="O72" s="14">
        <v>535976.17520099995</v>
      </c>
      <c r="P72" s="14">
        <v>2138.3415909999999</v>
      </c>
      <c r="Q72" s="14">
        <v>1727.673581</v>
      </c>
      <c r="R72" s="14">
        <v>0.22922699999999999</v>
      </c>
      <c r="S72" s="14">
        <v>2.3594900000000001</v>
      </c>
      <c r="T72" s="14">
        <v>2.3486609999999999</v>
      </c>
      <c r="U72" s="14">
        <v>0.46107700000000001</v>
      </c>
      <c r="V72" s="14">
        <v>7.9016700000000002</v>
      </c>
      <c r="W72" s="14">
        <v>1</v>
      </c>
      <c r="X72" s="16">
        <v>42746</v>
      </c>
      <c r="Y72" s="14">
        <v>1</v>
      </c>
      <c r="Z72" s="14" t="s">
        <v>277</v>
      </c>
      <c r="AA72" s="14" t="s">
        <v>265</v>
      </c>
      <c r="AB72" s="14">
        <v>0.29374800000000001</v>
      </c>
      <c r="AC72" s="14">
        <v>1.341008</v>
      </c>
      <c r="AD72" s="14"/>
      <c r="AE72" s="14">
        <v>3.3170860000000002</v>
      </c>
      <c r="AF72" s="14">
        <v>3.0393E-2</v>
      </c>
      <c r="AG72" s="14">
        <v>0.69826200000000005</v>
      </c>
      <c r="AH72" s="14"/>
      <c r="AI72" s="14">
        <v>0.23685700000000001</v>
      </c>
      <c r="AJ72" s="14">
        <v>100</v>
      </c>
      <c r="AK72" s="14" t="s">
        <v>39</v>
      </c>
      <c r="AL72" s="14" t="s">
        <v>266</v>
      </c>
      <c r="AM72" s="14">
        <v>0.22922699999999999</v>
      </c>
      <c r="AN72" s="14">
        <v>0.22922699999999999</v>
      </c>
      <c r="AO72" s="14"/>
    </row>
    <row r="73" spans="1:41" x14ac:dyDescent="0.2">
      <c r="A73" s="14" t="s">
        <v>279</v>
      </c>
      <c r="B73" s="14" t="s">
        <v>280</v>
      </c>
      <c r="C73" s="14" t="s">
        <v>281</v>
      </c>
      <c r="D73" s="14" t="s">
        <v>37</v>
      </c>
      <c r="E73" s="16">
        <v>44147</v>
      </c>
      <c r="F73" s="14" t="s">
        <v>791</v>
      </c>
      <c r="G73" s="14">
        <v>117.75875000000001</v>
      </c>
      <c r="H73" s="14">
        <v>3.5547949999999999</v>
      </c>
      <c r="I73" s="14">
        <v>308.12037800000002</v>
      </c>
      <c r="J73" s="14">
        <v>1.444E-3</v>
      </c>
      <c r="K73" s="14">
        <v>4.4069999999999998E-2</v>
      </c>
      <c r="L73" s="14">
        <v>2.2175549999999999</v>
      </c>
      <c r="M73" s="14">
        <v>0.22917799999999999</v>
      </c>
      <c r="N73" s="14">
        <v>817187.47</v>
      </c>
      <c r="O73" s="14">
        <v>991359.08523500001</v>
      </c>
      <c r="P73" s="14">
        <v>3955.1466310000001</v>
      </c>
      <c r="Q73" s="14">
        <v>3195.5616319999999</v>
      </c>
      <c r="R73" s="14">
        <v>0.42398599999999997</v>
      </c>
      <c r="S73" s="14">
        <v>2.3409110000000002</v>
      </c>
      <c r="T73" s="14">
        <v>2.3312119999999998</v>
      </c>
      <c r="U73" s="14">
        <v>0.41604099999999999</v>
      </c>
      <c r="V73" s="14">
        <v>8.027825</v>
      </c>
      <c r="W73" s="14">
        <v>7.5</v>
      </c>
      <c r="X73" s="16">
        <v>38028</v>
      </c>
      <c r="Y73" s="14">
        <v>1</v>
      </c>
      <c r="Z73" s="14" t="s">
        <v>280</v>
      </c>
      <c r="AA73" s="14" t="s">
        <v>265</v>
      </c>
      <c r="AB73" s="14">
        <v>0.29382799999999998</v>
      </c>
      <c r="AC73" s="14">
        <v>1.3155030000000001</v>
      </c>
      <c r="AD73" s="14">
        <v>19.401965000000001</v>
      </c>
      <c r="AE73" s="14">
        <v>3.3008479999999998</v>
      </c>
      <c r="AF73" s="14">
        <v>3.0471999999999999E-2</v>
      </c>
      <c r="AG73" s="14">
        <v>0.67291900000000004</v>
      </c>
      <c r="AH73" s="14">
        <v>3.2093340000000001</v>
      </c>
      <c r="AI73" s="14">
        <v>0.22110199999999999</v>
      </c>
      <c r="AJ73" s="14">
        <v>100</v>
      </c>
      <c r="AK73" s="14" t="s">
        <v>39</v>
      </c>
      <c r="AL73" s="14" t="s">
        <v>266</v>
      </c>
      <c r="AM73" s="14">
        <v>0.42398599999999997</v>
      </c>
      <c r="AN73" s="14">
        <v>0.42398599999999997</v>
      </c>
      <c r="AO73" s="14"/>
    </row>
    <row r="74" spans="1:41" x14ac:dyDescent="0.2">
      <c r="A74" s="14" t="s">
        <v>282</v>
      </c>
      <c r="B74" s="14" t="s">
        <v>283</v>
      </c>
      <c r="C74" s="14" t="s">
        <v>284</v>
      </c>
      <c r="D74" s="14" t="s">
        <v>37</v>
      </c>
      <c r="E74" s="16">
        <v>44496</v>
      </c>
      <c r="F74" s="14" t="s">
        <v>792</v>
      </c>
      <c r="G74" s="14">
        <v>105.71445</v>
      </c>
      <c r="H74" s="14">
        <v>1.294521</v>
      </c>
      <c r="I74" s="14">
        <v>108.882863</v>
      </c>
      <c r="J74" s="14">
        <v>3.5929000000000003E-2</v>
      </c>
      <c r="K74" s="14">
        <v>0.172905</v>
      </c>
      <c r="L74" s="14">
        <v>3.994923</v>
      </c>
      <c r="M74" s="14">
        <v>0.26533499999999999</v>
      </c>
      <c r="N74" s="14">
        <v>652428.53</v>
      </c>
      <c r="O74" s="14">
        <v>698157.05351400003</v>
      </c>
      <c r="P74" s="14">
        <v>2785.3817650000001</v>
      </c>
      <c r="Q74" s="14">
        <v>2250.449838</v>
      </c>
      <c r="R74" s="14">
        <v>0.29858899999999999</v>
      </c>
      <c r="S74" s="14">
        <v>3.3432870000000001</v>
      </c>
      <c r="T74" s="14">
        <v>3.3158660000000002</v>
      </c>
      <c r="U74" s="14">
        <v>0.826959</v>
      </c>
      <c r="V74" s="14">
        <v>14.583602000000001</v>
      </c>
      <c r="W74" s="14">
        <v>2.5</v>
      </c>
      <c r="X74" s="16">
        <v>42382</v>
      </c>
      <c r="Y74" s="14">
        <v>1</v>
      </c>
      <c r="Z74" s="14" t="s">
        <v>283</v>
      </c>
      <c r="AA74" s="14" t="s">
        <v>265</v>
      </c>
      <c r="AB74" s="14">
        <v>0.32841399999999998</v>
      </c>
      <c r="AC74" s="14">
        <v>1.4459759999999999</v>
      </c>
      <c r="AD74" s="14">
        <v>21.478137</v>
      </c>
      <c r="AE74" s="14">
        <v>3.3381129999999999</v>
      </c>
      <c r="AF74" s="14">
        <v>6.4967999999999998E-2</v>
      </c>
      <c r="AG74" s="14">
        <v>0.80256400000000006</v>
      </c>
      <c r="AH74" s="14">
        <v>5.0039470000000001</v>
      </c>
      <c r="AI74" s="14">
        <v>0.25725599999999998</v>
      </c>
      <c r="AJ74" s="14">
        <v>100</v>
      </c>
      <c r="AK74" s="14" t="s">
        <v>39</v>
      </c>
      <c r="AL74" s="14" t="s">
        <v>266</v>
      </c>
      <c r="AM74" s="14">
        <v>0.29858899999999999</v>
      </c>
      <c r="AN74" s="14">
        <v>0.29858899999999999</v>
      </c>
      <c r="AO74" s="14"/>
    </row>
    <row r="75" spans="1:41" x14ac:dyDescent="0.2">
      <c r="A75" s="14" t="s">
        <v>285</v>
      </c>
      <c r="B75" s="14" t="s">
        <v>286</v>
      </c>
      <c r="C75" s="14" t="s">
        <v>287</v>
      </c>
      <c r="D75" s="14" t="s">
        <v>37</v>
      </c>
      <c r="E75" s="16">
        <v>44736</v>
      </c>
      <c r="F75" s="14" t="s">
        <v>792</v>
      </c>
      <c r="G75" s="14">
        <v>124.07575</v>
      </c>
      <c r="H75" s="14">
        <v>6.0219180000000003</v>
      </c>
      <c r="I75" s="14">
        <v>191.35409200000001</v>
      </c>
      <c r="J75" s="14">
        <v>2.9099999999999998E-3</v>
      </c>
      <c r="K75" s="14">
        <v>8.1672999999999996E-2</v>
      </c>
      <c r="L75" s="14">
        <v>4.9760010000000001</v>
      </c>
      <c r="M75" s="14">
        <v>-9.5915E-2</v>
      </c>
      <c r="N75" s="14">
        <v>972313.83</v>
      </c>
      <c r="O75" s="14">
        <v>1264957.6166069999</v>
      </c>
      <c r="P75" s="14">
        <v>5046.7009690000004</v>
      </c>
      <c r="Q75" s="14">
        <v>4077.4832099999999</v>
      </c>
      <c r="R75" s="14">
        <v>0.54100000000000004</v>
      </c>
      <c r="S75" s="14">
        <v>3.608266</v>
      </c>
      <c r="T75" s="14">
        <v>3.5715560000000002</v>
      </c>
      <c r="U75" s="14">
        <v>1.0278499999999999</v>
      </c>
      <c r="V75" s="14">
        <v>17.582072</v>
      </c>
      <c r="W75" s="14">
        <v>7</v>
      </c>
      <c r="X75" s="16">
        <v>40562</v>
      </c>
      <c r="Y75" s="14">
        <v>1</v>
      </c>
      <c r="Z75" s="14" t="s">
        <v>286</v>
      </c>
      <c r="AA75" s="14" t="s">
        <v>265</v>
      </c>
      <c r="AB75" s="14">
        <v>0.295298</v>
      </c>
      <c r="AC75" s="14">
        <v>1.353585</v>
      </c>
      <c r="AD75" s="14">
        <v>22.62415</v>
      </c>
      <c r="AE75" s="14">
        <v>2.9657930000000001</v>
      </c>
      <c r="AF75" s="14">
        <v>3.1939000000000002E-2</v>
      </c>
      <c r="AG75" s="14">
        <v>0.71075900000000003</v>
      </c>
      <c r="AH75" s="14">
        <v>5.9945440000000003</v>
      </c>
      <c r="AI75" s="14">
        <v>-0.103964</v>
      </c>
      <c r="AJ75" s="14">
        <v>100</v>
      </c>
      <c r="AK75" s="14" t="s">
        <v>39</v>
      </c>
      <c r="AL75" s="14" t="s">
        <v>266</v>
      </c>
      <c r="AM75" s="14">
        <v>0.54100000000000004</v>
      </c>
      <c r="AN75" s="14">
        <v>0.54100000000000004</v>
      </c>
      <c r="AO75" s="14"/>
    </row>
    <row r="76" spans="1:41" x14ac:dyDescent="0.2">
      <c r="A76" s="14" t="s">
        <v>288</v>
      </c>
      <c r="B76" s="14" t="s">
        <v>289</v>
      </c>
      <c r="C76" s="14" t="s">
        <v>290</v>
      </c>
      <c r="D76" s="14" t="s">
        <v>37</v>
      </c>
      <c r="E76" s="16">
        <v>44860</v>
      </c>
      <c r="F76" s="14" t="s">
        <v>792</v>
      </c>
      <c r="G76" s="14">
        <v>102.11409999999999</v>
      </c>
      <c r="H76" s="14">
        <v>0.91095899999999996</v>
      </c>
      <c r="I76" s="14">
        <v>103.994855</v>
      </c>
      <c r="J76" s="14">
        <v>4.6442999999999998E-2</v>
      </c>
      <c r="K76" s="14">
        <v>-3.1690000000000003E-2</v>
      </c>
      <c r="L76" s="14"/>
      <c r="M76" s="14">
        <v>-0.36983300000000002</v>
      </c>
      <c r="N76" s="14">
        <v>959049.77</v>
      </c>
      <c r="O76" s="14">
        <v>988061.59046199999</v>
      </c>
      <c r="P76" s="14">
        <v>3941.9908780000001</v>
      </c>
      <c r="Q76" s="14">
        <v>3184.9324379999998</v>
      </c>
      <c r="R76" s="14">
        <v>0.42257600000000001</v>
      </c>
      <c r="S76" s="14">
        <v>4.3132820000000001</v>
      </c>
      <c r="T76" s="14">
        <v>4.2596030000000003</v>
      </c>
      <c r="U76" s="14">
        <v>1.260184</v>
      </c>
      <c r="V76" s="14">
        <v>22.811672999999999</v>
      </c>
      <c r="W76" s="14">
        <v>1.75</v>
      </c>
      <c r="X76" s="16">
        <v>42746</v>
      </c>
      <c r="Y76" s="14">
        <v>1</v>
      </c>
      <c r="Z76" s="14" t="s">
        <v>289</v>
      </c>
      <c r="AA76" s="14" t="s">
        <v>265</v>
      </c>
      <c r="AB76" s="14">
        <v>0.33895799999999998</v>
      </c>
      <c r="AC76" s="14">
        <v>1.2387809999999999</v>
      </c>
      <c r="AD76" s="14"/>
      <c r="AE76" s="14">
        <v>2.6834799999999999</v>
      </c>
      <c r="AF76" s="14">
        <v>7.5483999999999996E-2</v>
      </c>
      <c r="AG76" s="14">
        <v>0.59668299999999996</v>
      </c>
      <c r="AH76" s="14"/>
      <c r="AI76" s="14">
        <v>-0.37785999999999997</v>
      </c>
      <c r="AJ76" s="14">
        <v>100</v>
      </c>
      <c r="AK76" s="14" t="s">
        <v>39</v>
      </c>
      <c r="AL76" s="14" t="s">
        <v>266</v>
      </c>
      <c r="AM76" s="14">
        <v>0.42257600000000001</v>
      </c>
      <c r="AN76" s="14">
        <v>0.42257600000000001</v>
      </c>
      <c r="AO76" s="14"/>
    </row>
    <row r="77" spans="1:41" x14ac:dyDescent="0.2">
      <c r="A77" s="14" t="s">
        <v>291</v>
      </c>
      <c r="B77" s="14" t="s">
        <v>292</v>
      </c>
      <c r="C77" s="14" t="s">
        <v>293</v>
      </c>
      <c r="D77" s="14" t="s">
        <v>37</v>
      </c>
      <c r="E77" s="16">
        <v>45254</v>
      </c>
      <c r="F77" s="14" t="s">
        <v>793</v>
      </c>
      <c r="G77" s="14">
        <v>124.19074999999999</v>
      </c>
      <c r="H77" s="14">
        <v>2.6465749999999999</v>
      </c>
      <c r="I77" s="14">
        <v>244.50437600000001</v>
      </c>
      <c r="J77" s="14">
        <v>3.98E-3</v>
      </c>
      <c r="K77" s="14">
        <v>8.8195999999999997E-2</v>
      </c>
      <c r="L77" s="14">
        <v>7.4782130000000002</v>
      </c>
      <c r="M77" s="14">
        <v>-0.62365400000000004</v>
      </c>
      <c r="N77" s="14">
        <v>998706.32</v>
      </c>
      <c r="O77" s="14">
        <v>1266732.3843139999</v>
      </c>
      <c r="P77" s="14">
        <v>5053.7816190000003</v>
      </c>
      <c r="Q77" s="14">
        <v>4083.2040229999998</v>
      </c>
      <c r="R77" s="14">
        <v>0.54175899999999999</v>
      </c>
      <c r="S77" s="14">
        <v>4.8693119999999999</v>
      </c>
      <c r="T77" s="14">
        <v>4.8002890000000003</v>
      </c>
      <c r="U77" s="14">
        <v>1.437889</v>
      </c>
      <c r="V77" s="14">
        <v>29.784151000000001</v>
      </c>
      <c r="W77" s="14">
        <v>6</v>
      </c>
      <c r="X77" s="16">
        <v>39092</v>
      </c>
      <c r="Y77" s="14">
        <v>1</v>
      </c>
      <c r="Z77" s="14" t="s">
        <v>292</v>
      </c>
      <c r="AA77" s="14" t="s">
        <v>265</v>
      </c>
      <c r="AB77" s="14">
        <v>0.296371</v>
      </c>
      <c r="AC77" s="14">
        <v>1.36019</v>
      </c>
      <c r="AD77" s="14">
        <v>25.547024</v>
      </c>
      <c r="AE77" s="14">
        <v>2.4218799999999998</v>
      </c>
      <c r="AF77" s="14">
        <v>3.3008999999999997E-2</v>
      </c>
      <c r="AG77" s="14">
        <v>0.71732200000000002</v>
      </c>
      <c r="AH77" s="14">
        <v>8.5210340000000002</v>
      </c>
      <c r="AI77" s="14">
        <v>-0.63166</v>
      </c>
      <c r="AJ77" s="14">
        <v>100</v>
      </c>
      <c r="AK77" s="14" t="s">
        <v>39</v>
      </c>
      <c r="AL77" s="14" t="s">
        <v>266</v>
      </c>
      <c r="AM77" s="14">
        <v>0.54175899999999999</v>
      </c>
      <c r="AN77" s="14">
        <v>0.54175899999999999</v>
      </c>
      <c r="AO77" s="14"/>
    </row>
    <row r="78" spans="1:41" x14ac:dyDescent="0.2">
      <c r="A78" s="14" t="s">
        <v>294</v>
      </c>
      <c r="B78" s="14" t="s">
        <v>295</v>
      </c>
      <c r="C78" s="14" t="s">
        <v>296</v>
      </c>
      <c r="D78" s="14" t="s">
        <v>37</v>
      </c>
      <c r="E78" s="16">
        <v>45469</v>
      </c>
      <c r="F78" s="14" t="s">
        <v>793</v>
      </c>
      <c r="G78" s="14">
        <v>107.47485</v>
      </c>
      <c r="H78" s="14">
        <v>2.564384</v>
      </c>
      <c r="I78" s="14">
        <v>115.74969400000001</v>
      </c>
      <c r="J78" s="14">
        <v>4.7029999999999997E-3</v>
      </c>
      <c r="K78" s="14">
        <v>-9.2699000000000004E-2</v>
      </c>
      <c r="L78" s="14">
        <v>9.255001</v>
      </c>
      <c r="M78" s="14">
        <v>-0.98930200000000001</v>
      </c>
      <c r="N78" s="14">
        <v>804260.79</v>
      </c>
      <c r="O78" s="14">
        <v>885002.40915299999</v>
      </c>
      <c r="P78" s="14">
        <v>3530.8238449999999</v>
      </c>
      <c r="Q78" s="14">
        <v>2852.7299389999998</v>
      </c>
      <c r="R78" s="14">
        <v>0.3785</v>
      </c>
      <c r="S78" s="14">
        <v>5.5926</v>
      </c>
      <c r="T78" s="14">
        <v>5.4987789999999999</v>
      </c>
      <c r="U78" s="14">
        <v>1.7062170000000001</v>
      </c>
      <c r="V78" s="14">
        <v>37.682617</v>
      </c>
      <c r="W78" s="14">
        <v>3</v>
      </c>
      <c r="X78" s="16">
        <v>42081</v>
      </c>
      <c r="Y78" s="14">
        <v>1</v>
      </c>
      <c r="Z78" s="14" t="s">
        <v>295</v>
      </c>
      <c r="AA78" s="14" t="s">
        <v>265</v>
      </c>
      <c r="AB78" s="14">
        <v>0.29709600000000003</v>
      </c>
      <c r="AC78" s="14">
        <v>1.1769970000000001</v>
      </c>
      <c r="AD78" s="14">
        <v>27.622517999999999</v>
      </c>
      <c r="AE78" s="14">
        <v>2.045026</v>
      </c>
      <c r="AF78" s="14">
        <v>3.3731999999999998E-2</v>
      </c>
      <c r="AG78" s="14">
        <v>0.53529099999999996</v>
      </c>
      <c r="AH78" s="14">
        <v>10.315061</v>
      </c>
      <c r="AI78" s="14">
        <v>-0.99727900000000003</v>
      </c>
      <c r="AJ78" s="14">
        <v>100</v>
      </c>
      <c r="AK78" s="14" t="s">
        <v>39</v>
      </c>
      <c r="AL78" s="14" t="s">
        <v>266</v>
      </c>
      <c r="AM78" s="14">
        <v>0.3785</v>
      </c>
      <c r="AN78" s="14">
        <v>0.3785</v>
      </c>
      <c r="AO78" s="14"/>
    </row>
    <row r="79" spans="1:41" x14ac:dyDescent="0.2">
      <c r="A79" s="14" t="s">
        <v>297</v>
      </c>
      <c r="B79" s="14" t="s">
        <v>298</v>
      </c>
      <c r="C79" s="14" t="s">
        <v>299</v>
      </c>
      <c r="D79" s="14" t="s">
        <v>37</v>
      </c>
      <c r="E79" s="16">
        <v>45832</v>
      </c>
      <c r="F79" s="14" t="s">
        <v>794</v>
      </c>
      <c r="G79" s="14">
        <v>123.2144</v>
      </c>
      <c r="H79" s="14">
        <v>4.7315069999999997</v>
      </c>
      <c r="I79" s="14">
        <v>137.87719200000001</v>
      </c>
      <c r="J79" s="14">
        <v>5.5590000000000001E-2</v>
      </c>
      <c r="K79" s="14">
        <v>-0.21366099999999999</v>
      </c>
      <c r="L79" s="14">
        <v>9.6758839999999999</v>
      </c>
      <c r="M79" s="14">
        <v>-1.038249</v>
      </c>
      <c r="N79" s="14">
        <v>1197558.1599999999</v>
      </c>
      <c r="O79" s="14">
        <v>1532226.6478599999</v>
      </c>
      <c r="P79" s="14">
        <v>6113.0030029999998</v>
      </c>
      <c r="Q79" s="14">
        <v>4939.0021839999999</v>
      </c>
      <c r="R79" s="14">
        <v>0.65530600000000006</v>
      </c>
      <c r="S79" s="14">
        <v>5.9892859999999999</v>
      </c>
      <c r="T79" s="14">
        <v>5.8730789999999997</v>
      </c>
      <c r="U79" s="14">
        <v>1.9786319999999999</v>
      </c>
      <c r="V79" s="14">
        <v>44.573444000000002</v>
      </c>
      <c r="W79" s="14">
        <v>5.5</v>
      </c>
      <c r="X79" s="16">
        <v>41654</v>
      </c>
      <c r="Y79" s="14">
        <v>1</v>
      </c>
      <c r="Z79" s="14" t="s">
        <v>298</v>
      </c>
      <c r="AA79" s="14" t="s">
        <v>265</v>
      </c>
      <c r="AB79" s="14">
        <v>0.348132</v>
      </c>
      <c r="AC79" s="14">
        <v>1.054497</v>
      </c>
      <c r="AD79" s="14">
        <v>28.114158</v>
      </c>
      <c r="AE79" s="14">
        <v>1.9945790000000001</v>
      </c>
      <c r="AF79" s="14">
        <v>8.4634000000000001E-2</v>
      </c>
      <c r="AG79" s="14">
        <v>0.41356799999999999</v>
      </c>
      <c r="AH79" s="14">
        <v>10.740027</v>
      </c>
      <c r="AI79" s="14">
        <v>-1.0462229999999999</v>
      </c>
      <c r="AJ79" s="14">
        <v>100</v>
      </c>
      <c r="AK79" s="14" t="s">
        <v>39</v>
      </c>
      <c r="AL79" s="14" t="s">
        <v>266</v>
      </c>
      <c r="AM79" s="14">
        <v>0.65530600000000006</v>
      </c>
      <c r="AN79" s="14">
        <v>0.65530600000000006</v>
      </c>
      <c r="AO79" s="14"/>
    </row>
    <row r="80" spans="1:41" x14ac:dyDescent="0.2">
      <c r="A80" s="14" t="s">
        <v>809</v>
      </c>
      <c r="B80" s="14" t="s">
        <v>810</v>
      </c>
      <c r="C80" s="14" t="s">
        <v>811</v>
      </c>
      <c r="D80" s="14" t="s">
        <v>37</v>
      </c>
      <c r="E80" s="16">
        <v>46378</v>
      </c>
      <c r="F80" s="14" t="s">
        <v>794</v>
      </c>
      <c r="G80" s="14">
        <v>103.3884</v>
      </c>
      <c r="H80" s="14">
        <v>1.0020549999999999</v>
      </c>
      <c r="I80" s="14">
        <v>99.585673</v>
      </c>
      <c r="J80" s="14">
        <v>-0.13456099999999999</v>
      </c>
      <c r="K80" s="14">
        <v>-0.38528800000000002</v>
      </c>
      <c r="L80" s="14"/>
      <c r="M80" s="14"/>
      <c r="N80" s="14">
        <v>310449.59000000003</v>
      </c>
      <c r="O80" s="14">
        <v>324079.73890900001</v>
      </c>
      <c r="P80" s="14">
        <v>1292.955203</v>
      </c>
      <c r="Q80" s="14">
        <v>1044.643454</v>
      </c>
      <c r="R80" s="14">
        <v>0.138603</v>
      </c>
      <c r="S80" s="14">
        <v>7.7575479999999999</v>
      </c>
      <c r="T80" s="14">
        <v>7.582389</v>
      </c>
      <c r="U80" s="14">
        <v>2.3100809999999998</v>
      </c>
      <c r="V80" s="14">
        <v>68.983081999999996</v>
      </c>
      <c r="W80" s="14">
        <v>2.75</v>
      </c>
      <c r="X80" s="16">
        <v>42879</v>
      </c>
      <c r="Y80" s="14">
        <v>1</v>
      </c>
      <c r="Z80" s="14" t="s">
        <v>810</v>
      </c>
      <c r="AA80" s="14" t="s">
        <v>265</v>
      </c>
      <c r="AB80" s="14">
        <v>0.15742500000000001</v>
      </c>
      <c r="AC80" s="14">
        <v>0.88068900000000006</v>
      </c>
      <c r="AD80" s="14"/>
      <c r="AE80" s="14"/>
      <c r="AF80" s="14">
        <v>-0.105572</v>
      </c>
      <c r="AG80" s="14">
        <v>0.24086199999999999</v>
      </c>
      <c r="AH80" s="14"/>
      <c r="AI80" s="14"/>
      <c r="AJ80" s="14">
        <v>100</v>
      </c>
      <c r="AK80" s="14" t="s">
        <v>39</v>
      </c>
      <c r="AL80" s="14" t="s">
        <v>266</v>
      </c>
      <c r="AM80" s="14">
        <v>0.138603</v>
      </c>
      <c r="AN80" s="14">
        <v>0.138603</v>
      </c>
      <c r="AO80" s="14"/>
    </row>
    <row r="81" spans="1:41" x14ac:dyDescent="0.2">
      <c r="A81" s="14" t="s">
        <v>300</v>
      </c>
      <c r="B81" s="14" t="s">
        <v>301</v>
      </c>
      <c r="C81" s="14" t="s">
        <v>302</v>
      </c>
      <c r="D81" s="14" t="s">
        <v>37</v>
      </c>
      <c r="E81" s="16">
        <v>46687</v>
      </c>
      <c r="F81" s="14" t="s">
        <v>794</v>
      </c>
      <c r="G81" s="14">
        <v>104.8622</v>
      </c>
      <c r="H81" s="14">
        <v>1.5534250000000001</v>
      </c>
      <c r="I81" s="14">
        <v>110.24306300000001</v>
      </c>
      <c r="J81" s="14">
        <v>-8.3307999999999993E-2</v>
      </c>
      <c r="K81" s="14">
        <v>-0.190082</v>
      </c>
      <c r="L81" s="14">
        <v>10.486764000000001</v>
      </c>
      <c r="M81" s="14">
        <v>-2.5314169999999998</v>
      </c>
      <c r="N81" s="14">
        <v>830699.54</v>
      </c>
      <c r="O81" s="14">
        <v>883994.10451800004</v>
      </c>
      <c r="P81" s="14">
        <v>3526.8010920000002</v>
      </c>
      <c r="Q81" s="14">
        <v>2849.4797549999998</v>
      </c>
      <c r="R81" s="14">
        <v>0.37806800000000002</v>
      </c>
      <c r="S81" s="14">
        <v>8.3153889999999997</v>
      </c>
      <c r="T81" s="14">
        <v>8.1191150000000007</v>
      </c>
      <c r="U81" s="14">
        <v>2.417427</v>
      </c>
      <c r="V81" s="14">
        <v>79.707192000000006</v>
      </c>
      <c r="W81" s="14">
        <v>3</v>
      </c>
      <c r="X81" s="16">
        <v>42382</v>
      </c>
      <c r="Y81" s="14">
        <v>1</v>
      </c>
      <c r="Z81" s="14" t="s">
        <v>301</v>
      </c>
      <c r="AA81" s="14" t="s">
        <v>265</v>
      </c>
      <c r="AB81" s="14">
        <v>0.20882800000000001</v>
      </c>
      <c r="AC81" s="14">
        <v>1.078376</v>
      </c>
      <c r="AD81" s="14">
        <v>29.061360000000001</v>
      </c>
      <c r="AE81" s="14">
        <v>0.45565099999999997</v>
      </c>
      <c r="AF81" s="14">
        <v>-5.4304999999999999E-2</v>
      </c>
      <c r="AG81" s="14">
        <v>0.43729499999999999</v>
      </c>
      <c r="AH81" s="14">
        <v>11.558775000000001</v>
      </c>
      <c r="AI81" s="14">
        <v>-2.5392700000000001</v>
      </c>
      <c r="AJ81" s="14">
        <v>100</v>
      </c>
      <c r="AK81" s="14" t="s">
        <v>39</v>
      </c>
      <c r="AL81" s="14" t="s">
        <v>266</v>
      </c>
      <c r="AM81" s="14">
        <v>0.37806800000000002</v>
      </c>
      <c r="AN81" s="14">
        <v>0.37806800000000002</v>
      </c>
      <c r="AO81" s="14"/>
    </row>
    <row r="82" spans="1:41" x14ac:dyDescent="0.2">
      <c r="A82" s="14" t="s">
        <v>305</v>
      </c>
      <c r="B82" s="14" t="s">
        <v>306</v>
      </c>
      <c r="C82" s="14" t="s">
        <v>307</v>
      </c>
      <c r="D82" s="14" t="s">
        <v>37</v>
      </c>
      <c r="E82" s="16">
        <v>43671</v>
      </c>
      <c r="F82" s="14" t="s">
        <v>791</v>
      </c>
      <c r="G82" s="14">
        <v>102.38</v>
      </c>
      <c r="H82" s="14">
        <v>2.519863</v>
      </c>
      <c r="I82" s="14">
        <v>115.26387800000001</v>
      </c>
      <c r="J82" s="14">
        <v>8.4989999999999996E-3</v>
      </c>
      <c r="K82" s="14">
        <v>4.5323000000000002E-2</v>
      </c>
      <c r="L82" s="14">
        <v>2.9540739999999999</v>
      </c>
      <c r="M82" s="14">
        <v>0.77207000000000003</v>
      </c>
      <c r="N82" s="14">
        <v>16256.622167</v>
      </c>
      <c r="O82" s="14">
        <v>17053.174384000002</v>
      </c>
      <c r="P82" s="14">
        <v>5071.5006119999998</v>
      </c>
      <c r="Q82" s="14">
        <v>4097.5200869999999</v>
      </c>
      <c r="R82" s="14">
        <v>0.54365799999999997</v>
      </c>
      <c r="S82" s="14">
        <v>1.1936119999999999</v>
      </c>
      <c r="T82" s="14">
        <v>1.1785730000000001</v>
      </c>
      <c r="U82" s="14">
        <v>1.276027</v>
      </c>
      <c r="V82" s="14">
        <v>2.5819459999999999</v>
      </c>
      <c r="W82" s="14">
        <v>3.25</v>
      </c>
      <c r="X82" s="16">
        <v>41771</v>
      </c>
      <c r="Y82" s="14">
        <v>1</v>
      </c>
      <c r="Z82" s="14" t="s">
        <v>306</v>
      </c>
      <c r="AA82" s="14" t="s">
        <v>303</v>
      </c>
      <c r="AB82" s="14">
        <v>0.230076</v>
      </c>
      <c r="AC82" s="14">
        <v>1.912312</v>
      </c>
      <c r="AD82" s="14">
        <v>21.136488</v>
      </c>
      <c r="AE82" s="14">
        <v>4.1360830000000002</v>
      </c>
      <c r="AF82" s="14">
        <v>-3.3112000000000003E-2</v>
      </c>
      <c r="AG82" s="14">
        <v>1.2659419999999999</v>
      </c>
      <c r="AH82" s="14">
        <v>4.7086309999999996</v>
      </c>
      <c r="AI82" s="14">
        <v>1.031436</v>
      </c>
      <c r="AJ82" s="14">
        <v>100</v>
      </c>
      <c r="AK82" s="14" t="s">
        <v>39</v>
      </c>
      <c r="AL82" s="14" t="s">
        <v>304</v>
      </c>
      <c r="AM82" s="14">
        <v>0.54365799999999997</v>
      </c>
      <c r="AN82" s="14">
        <v>0.54365799999999997</v>
      </c>
      <c r="AO82" s="14"/>
    </row>
    <row r="83" spans="1:41" x14ac:dyDescent="0.2">
      <c r="A83" s="14" t="s">
        <v>308</v>
      </c>
      <c r="B83" s="14" t="s">
        <v>309</v>
      </c>
      <c r="C83" s="14" t="s">
        <v>310</v>
      </c>
      <c r="D83" s="14" t="s">
        <v>37</v>
      </c>
      <c r="E83" s="16">
        <v>43763</v>
      </c>
      <c r="F83" s="14" t="s">
        <v>791</v>
      </c>
      <c r="G83" s="14">
        <v>106.21</v>
      </c>
      <c r="H83" s="14">
        <v>2.878082</v>
      </c>
      <c r="I83" s="14">
        <v>175.62060600000001</v>
      </c>
      <c r="J83" s="14">
        <v>1.3842E-2</v>
      </c>
      <c r="K83" s="14">
        <v>5.6146000000000001E-2</v>
      </c>
      <c r="L83" s="14">
        <v>3.1607400000000001</v>
      </c>
      <c r="M83" s="14">
        <v>0.99937900000000002</v>
      </c>
      <c r="N83" s="14">
        <v>13289.481082</v>
      </c>
      <c r="O83" s="14">
        <v>14497.240045</v>
      </c>
      <c r="P83" s="14">
        <v>4311.3827439999995</v>
      </c>
      <c r="Q83" s="14">
        <v>3483.382681</v>
      </c>
      <c r="R83" s="14">
        <v>0.46217399999999997</v>
      </c>
      <c r="S83" s="14">
        <v>1.426266</v>
      </c>
      <c r="T83" s="14">
        <v>1.4090039999999999</v>
      </c>
      <c r="U83" s="14">
        <v>1.2251080000000001</v>
      </c>
      <c r="V83" s="14">
        <v>3.4237030000000002</v>
      </c>
      <c r="W83" s="14">
        <v>5.5</v>
      </c>
      <c r="X83" s="16">
        <v>39746</v>
      </c>
      <c r="Y83" s="14">
        <v>1</v>
      </c>
      <c r="Z83" s="14" t="s">
        <v>311</v>
      </c>
      <c r="AA83" s="14" t="s">
        <v>303</v>
      </c>
      <c r="AB83" s="14">
        <v>0.235431</v>
      </c>
      <c r="AC83" s="14">
        <v>1.9233370000000001</v>
      </c>
      <c r="AD83" s="14">
        <v>21.379653000000001</v>
      </c>
      <c r="AE83" s="14">
        <v>4.3709809999999996</v>
      </c>
      <c r="AF83" s="14">
        <v>-2.7771000000000001E-2</v>
      </c>
      <c r="AG83" s="14">
        <v>1.2768980000000001</v>
      </c>
      <c r="AH83" s="14">
        <v>4.9188179999999999</v>
      </c>
      <c r="AI83" s="14">
        <v>1.259331</v>
      </c>
      <c r="AJ83" s="14">
        <v>100</v>
      </c>
      <c r="AK83" s="14" t="s">
        <v>39</v>
      </c>
      <c r="AL83" s="14" t="s">
        <v>304</v>
      </c>
      <c r="AM83" s="14">
        <v>0.46217399999999997</v>
      </c>
      <c r="AN83" s="14">
        <v>0.46217399999999997</v>
      </c>
      <c r="AO83" s="14"/>
    </row>
    <row r="84" spans="1:41" x14ac:dyDescent="0.2">
      <c r="A84" s="14" t="s">
        <v>312</v>
      </c>
      <c r="B84" s="14" t="s">
        <v>313</v>
      </c>
      <c r="C84" s="14" t="s">
        <v>314</v>
      </c>
      <c r="D84" s="14" t="s">
        <v>37</v>
      </c>
      <c r="E84" s="16">
        <v>43946</v>
      </c>
      <c r="F84" s="14" t="s">
        <v>791</v>
      </c>
      <c r="G84" s="14">
        <v>99.99</v>
      </c>
      <c r="H84" s="14">
        <v>3.6985999999999998E-2</v>
      </c>
      <c r="I84" s="14">
        <v>108.15539699999999</v>
      </c>
      <c r="J84" s="14">
        <v>3.3325E-2</v>
      </c>
      <c r="K84" s="14">
        <v>2.5085E-2</v>
      </c>
      <c r="L84" s="14">
        <v>3.9329260000000001</v>
      </c>
      <c r="M84" s="14">
        <v>1.282052</v>
      </c>
      <c r="N84" s="14">
        <v>21092.364698000001</v>
      </c>
      <c r="O84" s="14">
        <v>21098.056746999999</v>
      </c>
      <c r="P84" s="14">
        <v>6274.4217179999996</v>
      </c>
      <c r="Q84" s="14">
        <v>5069.4204719999998</v>
      </c>
      <c r="R84" s="14">
        <v>0.67261000000000004</v>
      </c>
      <c r="S84" s="14">
        <v>1.9601519999999999</v>
      </c>
      <c r="T84" s="14">
        <v>1.9312069999999999</v>
      </c>
      <c r="U84" s="14">
        <v>1.4987999999999999</v>
      </c>
      <c r="V84" s="14">
        <v>5.6459000000000001</v>
      </c>
      <c r="W84" s="14">
        <v>1.5</v>
      </c>
      <c r="X84" s="16">
        <v>42030</v>
      </c>
      <c r="Y84" s="14">
        <v>1</v>
      </c>
      <c r="Z84" s="14" t="s">
        <v>313</v>
      </c>
      <c r="AA84" s="14" t="s">
        <v>303</v>
      </c>
      <c r="AB84" s="14">
        <v>0.25495699999999999</v>
      </c>
      <c r="AC84" s="14">
        <v>1.891697</v>
      </c>
      <c r="AD84" s="14">
        <v>22.288212000000001</v>
      </c>
      <c r="AE84" s="14">
        <v>4.6630900000000004</v>
      </c>
      <c r="AF84" s="14">
        <v>-8.2959999999999996E-3</v>
      </c>
      <c r="AG84" s="14">
        <v>1.245458</v>
      </c>
      <c r="AH84" s="14">
        <v>5.7041639999999996</v>
      </c>
      <c r="AI84" s="14">
        <v>1.5427310000000001</v>
      </c>
      <c r="AJ84" s="14">
        <v>100</v>
      </c>
      <c r="AK84" s="14" t="s">
        <v>39</v>
      </c>
      <c r="AL84" s="14" t="s">
        <v>304</v>
      </c>
      <c r="AM84" s="14">
        <v>0.67261000000000004</v>
      </c>
      <c r="AN84" s="14">
        <v>0.67261000000000004</v>
      </c>
      <c r="AO84" s="14"/>
    </row>
    <row r="85" spans="1:41" x14ac:dyDescent="0.2">
      <c r="A85" s="14" t="s">
        <v>802</v>
      </c>
      <c r="B85" s="14" t="s">
        <v>803</v>
      </c>
      <c r="C85" s="14" t="s">
        <v>804</v>
      </c>
      <c r="D85" s="14" t="s">
        <v>37</v>
      </c>
      <c r="E85" s="16">
        <v>44037</v>
      </c>
      <c r="F85" s="14" t="s">
        <v>791</v>
      </c>
      <c r="G85" s="14">
        <v>96.62</v>
      </c>
      <c r="H85" s="14">
        <v>0</v>
      </c>
      <c r="I85" s="14">
        <v>101.321309</v>
      </c>
      <c r="J85" s="14">
        <v>2.5881000000000001E-2</v>
      </c>
      <c r="K85" s="14">
        <v>3.6237999999999999E-2</v>
      </c>
      <c r="L85" s="14"/>
      <c r="M85" s="14">
        <v>1.342563</v>
      </c>
      <c r="N85" s="14">
        <v>6609.7851819999996</v>
      </c>
      <c r="O85" s="14">
        <v>6386.3744429999997</v>
      </c>
      <c r="P85" s="14">
        <v>1899.265273</v>
      </c>
      <c r="Q85" s="14">
        <v>1534.511814</v>
      </c>
      <c r="R85" s="14">
        <v>0.203599</v>
      </c>
      <c r="S85" s="14">
        <v>2.2261129999999998</v>
      </c>
      <c r="T85" s="14">
        <v>2.1920950000000001</v>
      </c>
      <c r="U85" s="14">
        <v>1.5518339999999999</v>
      </c>
      <c r="V85" s="14">
        <v>6.9633599999999998</v>
      </c>
      <c r="W85" s="14">
        <v>0</v>
      </c>
      <c r="X85" s="16">
        <v>43035</v>
      </c>
      <c r="Y85" s="14">
        <v>1</v>
      </c>
      <c r="Z85" s="14" t="s">
        <v>803</v>
      </c>
      <c r="AA85" s="14" t="s">
        <v>303</v>
      </c>
      <c r="AB85" s="14">
        <v>0.24749699999999999</v>
      </c>
      <c r="AC85" s="14">
        <v>1.903057</v>
      </c>
      <c r="AD85" s="14"/>
      <c r="AE85" s="14">
        <v>4.7256220000000004</v>
      </c>
      <c r="AF85" s="14">
        <v>-1.5737000000000001E-2</v>
      </c>
      <c r="AG85" s="14">
        <v>1.2567459999999999</v>
      </c>
      <c r="AH85" s="14"/>
      <c r="AI85" s="14">
        <v>1.603399</v>
      </c>
      <c r="AJ85" s="14">
        <v>100</v>
      </c>
      <c r="AK85" s="14" t="s">
        <v>39</v>
      </c>
      <c r="AL85" s="14" t="s">
        <v>304</v>
      </c>
      <c r="AM85" s="14">
        <v>0.203599</v>
      </c>
      <c r="AN85" s="14">
        <v>0.203599</v>
      </c>
      <c r="AO85" s="14"/>
    </row>
    <row r="86" spans="1:41" x14ac:dyDescent="0.2">
      <c r="A86" s="14" t="s">
        <v>315</v>
      </c>
      <c r="B86" s="14" t="s">
        <v>316</v>
      </c>
      <c r="C86" s="14" t="s">
        <v>317</v>
      </c>
      <c r="D86" s="14" t="s">
        <v>37</v>
      </c>
      <c r="E86" s="16">
        <v>44129</v>
      </c>
      <c r="F86" s="14" t="s">
        <v>791</v>
      </c>
      <c r="G86" s="14">
        <v>109.07</v>
      </c>
      <c r="H86" s="14">
        <v>2.7472599999999998</v>
      </c>
      <c r="I86" s="14">
        <v>166.320324</v>
      </c>
      <c r="J86" s="14">
        <v>4.8748E-2</v>
      </c>
      <c r="K86" s="14">
        <v>0.10326100000000001</v>
      </c>
      <c r="L86" s="14">
        <v>4.530996</v>
      </c>
      <c r="M86" s="14">
        <v>1.5457510000000001</v>
      </c>
      <c r="N86" s="14">
        <v>12810.047009</v>
      </c>
      <c r="O86" s="14">
        <v>14323.843606</v>
      </c>
      <c r="P86" s="14">
        <v>4259.8157959999999</v>
      </c>
      <c r="Q86" s="14">
        <v>3441.719153</v>
      </c>
      <c r="R86" s="14">
        <v>0.45664700000000003</v>
      </c>
      <c r="S86" s="14">
        <v>2.3373930000000001</v>
      </c>
      <c r="T86" s="14">
        <v>2.3031779999999999</v>
      </c>
      <c r="U86" s="14">
        <v>1.4855750000000001</v>
      </c>
      <c r="V86" s="14">
        <v>7.7805460000000002</v>
      </c>
      <c r="W86" s="14">
        <v>5.25</v>
      </c>
      <c r="X86" s="16">
        <v>40284</v>
      </c>
      <c r="Y86" s="14">
        <v>1</v>
      </c>
      <c r="Z86" s="14" t="s">
        <v>316</v>
      </c>
      <c r="AA86" s="14" t="s">
        <v>303</v>
      </c>
      <c r="AB86" s="14">
        <v>0.27041399999999999</v>
      </c>
      <c r="AC86" s="14">
        <v>1.9713309999999999</v>
      </c>
      <c r="AD86" s="14">
        <v>22.991906</v>
      </c>
      <c r="AE86" s="14">
        <v>4.9355919999999998</v>
      </c>
      <c r="AF86" s="14">
        <v>7.1199999999999996E-3</v>
      </c>
      <c r="AG86" s="14">
        <v>1.3245880000000001</v>
      </c>
      <c r="AH86" s="14">
        <v>6.3124269999999996</v>
      </c>
      <c r="AI86" s="14">
        <v>1.80711</v>
      </c>
      <c r="AJ86" s="14">
        <v>100</v>
      </c>
      <c r="AK86" s="14" t="s">
        <v>39</v>
      </c>
      <c r="AL86" s="14" t="s">
        <v>304</v>
      </c>
      <c r="AM86" s="14">
        <v>0.45664700000000003</v>
      </c>
      <c r="AN86" s="14">
        <v>0.45664700000000003</v>
      </c>
      <c r="AO86" s="14"/>
    </row>
    <row r="87" spans="1:41" x14ac:dyDescent="0.2">
      <c r="A87" s="14" t="s">
        <v>318</v>
      </c>
      <c r="B87" s="14" t="s">
        <v>319</v>
      </c>
      <c r="C87" s="14" t="s">
        <v>320</v>
      </c>
      <c r="D87" s="14" t="s">
        <v>37</v>
      </c>
      <c r="E87" s="16">
        <v>44311</v>
      </c>
      <c r="F87" s="14" t="s">
        <v>791</v>
      </c>
      <c r="G87" s="14">
        <v>100.72</v>
      </c>
      <c r="H87" s="14">
        <v>4.9314999999999998E-2</v>
      </c>
      <c r="I87" s="14">
        <v>107.689919</v>
      </c>
      <c r="J87" s="14">
        <v>3.4035999999999997E-2</v>
      </c>
      <c r="K87" s="14">
        <v>0.12883500000000001</v>
      </c>
      <c r="L87" s="14">
        <v>5.14445</v>
      </c>
      <c r="M87" s="14">
        <v>1.946528</v>
      </c>
      <c r="N87" s="14">
        <v>19043.575391999999</v>
      </c>
      <c r="O87" s="14">
        <v>19190.080486999999</v>
      </c>
      <c r="P87" s="14">
        <v>5707.0022710000003</v>
      </c>
      <c r="Q87" s="14">
        <v>4610.9737990000003</v>
      </c>
      <c r="R87" s="14">
        <v>0.61178299999999997</v>
      </c>
      <c r="S87" s="14">
        <v>2.9167779999999999</v>
      </c>
      <c r="T87" s="14">
        <v>2.8667210000000001</v>
      </c>
      <c r="U87" s="14">
        <v>1.7461279999999999</v>
      </c>
      <c r="V87" s="14">
        <v>11.125406999999999</v>
      </c>
      <c r="W87" s="14">
        <v>2</v>
      </c>
      <c r="X87" s="16">
        <v>42289</v>
      </c>
      <c r="Y87" s="14">
        <v>1</v>
      </c>
      <c r="Z87" s="14" t="s">
        <v>319</v>
      </c>
      <c r="AA87" s="14" t="s">
        <v>303</v>
      </c>
      <c r="AB87" s="14">
        <v>0.25567000000000001</v>
      </c>
      <c r="AC87" s="14">
        <v>1.997382</v>
      </c>
      <c r="AD87" s="14">
        <v>23.713699999999999</v>
      </c>
      <c r="AE87" s="14">
        <v>5.3497479999999999</v>
      </c>
      <c r="AF87" s="14">
        <v>-7.5849999999999997E-3</v>
      </c>
      <c r="AG87" s="14">
        <v>1.350473</v>
      </c>
      <c r="AH87" s="14">
        <v>6.9363359999999998</v>
      </c>
      <c r="AI87" s="14">
        <v>2.2089180000000002</v>
      </c>
      <c r="AJ87" s="14">
        <v>100</v>
      </c>
      <c r="AK87" s="14" t="s">
        <v>39</v>
      </c>
      <c r="AL87" s="14" t="s">
        <v>304</v>
      </c>
      <c r="AM87" s="14">
        <v>0.61178299999999997</v>
      </c>
      <c r="AN87" s="14">
        <v>0.61178299999999997</v>
      </c>
      <c r="AO87" s="14"/>
    </row>
    <row r="88" spans="1:41" x14ac:dyDescent="0.2">
      <c r="A88" s="14" t="s">
        <v>321</v>
      </c>
      <c r="B88" s="14" t="s">
        <v>322</v>
      </c>
      <c r="C88" s="14" t="s">
        <v>323</v>
      </c>
      <c r="D88" s="14" t="s">
        <v>37</v>
      </c>
      <c r="E88" s="16">
        <v>44402</v>
      </c>
      <c r="F88" s="14" t="s">
        <v>792</v>
      </c>
      <c r="G88" s="14">
        <v>99.83</v>
      </c>
      <c r="H88" s="14">
        <v>1.356849</v>
      </c>
      <c r="I88" s="14">
        <v>105.318325</v>
      </c>
      <c r="J88" s="14">
        <v>5.4217000000000001E-2</v>
      </c>
      <c r="K88" s="14">
        <v>0.24457699999999999</v>
      </c>
      <c r="L88" s="14">
        <v>5.452896</v>
      </c>
      <c r="M88" s="14">
        <v>2.0414539999999999</v>
      </c>
      <c r="N88" s="14">
        <v>21457.476742999999</v>
      </c>
      <c r="O88" s="14">
        <v>21712.144659000001</v>
      </c>
      <c r="P88" s="14">
        <v>6457.0473769999999</v>
      </c>
      <c r="Q88" s="14">
        <v>5216.9729150000003</v>
      </c>
      <c r="R88" s="14">
        <v>0.692187</v>
      </c>
      <c r="S88" s="14">
        <v>3.1226799999999999</v>
      </c>
      <c r="T88" s="14">
        <v>3.0674429999999999</v>
      </c>
      <c r="U88" s="14">
        <v>1.800756</v>
      </c>
      <c r="V88" s="14">
        <v>12.642341999999999</v>
      </c>
      <c r="W88" s="14">
        <v>1.75</v>
      </c>
      <c r="X88" s="16">
        <v>42458</v>
      </c>
      <c r="Y88" s="14">
        <v>1</v>
      </c>
      <c r="Z88" s="14" t="s">
        <v>322</v>
      </c>
      <c r="AA88" s="14" t="s">
        <v>303</v>
      </c>
      <c r="AB88" s="14">
        <v>0.275895</v>
      </c>
      <c r="AC88" s="14">
        <v>2.1152850000000001</v>
      </c>
      <c r="AD88" s="14">
        <v>24.076619999999998</v>
      </c>
      <c r="AE88" s="14">
        <v>5.4478429999999998</v>
      </c>
      <c r="AF88" s="14">
        <v>1.2586999999999999E-2</v>
      </c>
      <c r="AG88" s="14">
        <v>1.4676279999999999</v>
      </c>
      <c r="AH88" s="14">
        <v>7.250038</v>
      </c>
      <c r="AI88" s="14">
        <v>2.3040880000000001</v>
      </c>
      <c r="AJ88" s="14">
        <v>100</v>
      </c>
      <c r="AK88" s="14" t="s">
        <v>39</v>
      </c>
      <c r="AL88" s="14" t="s">
        <v>304</v>
      </c>
      <c r="AM88" s="14">
        <v>0.692187</v>
      </c>
      <c r="AN88" s="14">
        <v>0.692187</v>
      </c>
      <c r="AO88" s="14"/>
    </row>
    <row r="89" spans="1:41" x14ac:dyDescent="0.2">
      <c r="A89" s="14" t="s">
        <v>324</v>
      </c>
      <c r="B89" s="14" t="s">
        <v>325</v>
      </c>
      <c r="C89" s="14" t="s">
        <v>326</v>
      </c>
      <c r="D89" s="14" t="s">
        <v>37</v>
      </c>
      <c r="E89" s="16">
        <v>44494</v>
      </c>
      <c r="F89" s="14" t="s">
        <v>792</v>
      </c>
      <c r="G89" s="14">
        <v>113.145</v>
      </c>
      <c r="H89" s="14">
        <v>3.0089039999999998</v>
      </c>
      <c r="I89" s="14">
        <v>156.48224200000001</v>
      </c>
      <c r="J89" s="14">
        <v>6.9704000000000002E-2</v>
      </c>
      <c r="K89" s="14">
        <v>0.25688699999999998</v>
      </c>
      <c r="L89" s="14">
        <v>5.2939819999999997</v>
      </c>
      <c r="M89" s="14">
        <v>1.854301</v>
      </c>
      <c r="N89" s="14">
        <v>11499.092602000001</v>
      </c>
      <c r="O89" s="14">
        <v>13356.644994</v>
      </c>
      <c r="P89" s="14">
        <v>3972.1773640000001</v>
      </c>
      <c r="Q89" s="14">
        <v>3209.3216160000002</v>
      </c>
      <c r="R89" s="14">
        <v>0.42581200000000002</v>
      </c>
      <c r="S89" s="14">
        <v>3.185549</v>
      </c>
      <c r="T89" s="14">
        <v>3.1289340000000001</v>
      </c>
      <c r="U89" s="14">
        <v>1.8093939999999999</v>
      </c>
      <c r="V89" s="14">
        <v>13.439246000000001</v>
      </c>
      <c r="W89" s="14">
        <v>5.75</v>
      </c>
      <c r="X89" s="16">
        <v>40749</v>
      </c>
      <c r="Y89" s="14">
        <v>1</v>
      </c>
      <c r="Z89" s="14" t="s">
        <v>325</v>
      </c>
      <c r="AA89" s="14" t="s">
        <v>303</v>
      </c>
      <c r="AB89" s="14">
        <v>0.29141600000000001</v>
      </c>
      <c r="AC89" s="14">
        <v>2.1278239999999999</v>
      </c>
      <c r="AD89" s="14">
        <v>23.889641000000001</v>
      </c>
      <c r="AE89" s="14">
        <v>5.2544430000000002</v>
      </c>
      <c r="AF89" s="14">
        <v>2.8067000000000002E-2</v>
      </c>
      <c r="AG89" s="14">
        <v>1.4800880000000001</v>
      </c>
      <c r="AH89" s="14">
        <v>7.0884159999999996</v>
      </c>
      <c r="AI89" s="14">
        <v>2.1164540000000001</v>
      </c>
      <c r="AJ89" s="14">
        <v>100</v>
      </c>
      <c r="AK89" s="14" t="s">
        <v>39</v>
      </c>
      <c r="AL89" s="14" t="s">
        <v>304</v>
      </c>
      <c r="AM89" s="14">
        <v>0.42581200000000002</v>
      </c>
      <c r="AN89" s="14">
        <v>0.42581200000000002</v>
      </c>
      <c r="AO89" s="14"/>
    </row>
    <row r="90" spans="1:41" x14ac:dyDescent="0.2">
      <c r="A90" s="14" t="s">
        <v>327</v>
      </c>
      <c r="B90" s="14" t="s">
        <v>328</v>
      </c>
      <c r="C90" s="14" t="s">
        <v>329</v>
      </c>
      <c r="D90" s="14" t="s">
        <v>37</v>
      </c>
      <c r="E90" s="16">
        <v>44676</v>
      </c>
      <c r="F90" s="14" t="s">
        <v>792</v>
      </c>
      <c r="G90" s="14">
        <v>100.69499999999999</v>
      </c>
      <c r="H90" s="14">
        <v>5.5479000000000001E-2</v>
      </c>
      <c r="I90" s="14">
        <v>107.186477</v>
      </c>
      <c r="J90" s="14">
        <v>0.12695000000000001</v>
      </c>
      <c r="K90" s="14">
        <v>0.29035499999999997</v>
      </c>
      <c r="L90" s="14">
        <v>5.7864690000000003</v>
      </c>
      <c r="M90" s="14">
        <v>2.244218</v>
      </c>
      <c r="N90" s="14">
        <v>20403.158676999999</v>
      </c>
      <c r="O90" s="14">
        <v>20556.280190000001</v>
      </c>
      <c r="P90" s="14">
        <v>6113.3009739999998</v>
      </c>
      <c r="Q90" s="14">
        <v>4939.2429300000003</v>
      </c>
      <c r="R90" s="14">
        <v>0.65533799999999998</v>
      </c>
      <c r="S90" s="14">
        <v>3.8453710000000001</v>
      </c>
      <c r="T90" s="14">
        <v>3.7675930000000002</v>
      </c>
      <c r="U90" s="14">
        <v>2.0644019999999998</v>
      </c>
      <c r="V90" s="14">
        <v>18.160675000000001</v>
      </c>
      <c r="W90" s="14">
        <v>2.25</v>
      </c>
      <c r="X90" s="16">
        <v>42668</v>
      </c>
      <c r="Y90" s="14">
        <v>1</v>
      </c>
      <c r="Z90" s="14" t="s">
        <v>328</v>
      </c>
      <c r="AA90" s="14" t="s">
        <v>303</v>
      </c>
      <c r="AB90" s="14">
        <v>0.34878999999999999</v>
      </c>
      <c r="AC90" s="14">
        <v>2.1619160000000002</v>
      </c>
      <c r="AD90" s="14">
        <v>24.469104000000002</v>
      </c>
      <c r="AE90" s="14">
        <v>5.657375</v>
      </c>
      <c r="AF90" s="14">
        <v>8.5290000000000005E-2</v>
      </c>
      <c r="AG90" s="14">
        <v>1.5139640000000001</v>
      </c>
      <c r="AH90" s="14">
        <v>7.589296</v>
      </c>
      <c r="AI90" s="14">
        <v>2.507374</v>
      </c>
      <c r="AJ90" s="14">
        <v>100</v>
      </c>
      <c r="AK90" s="14" t="s">
        <v>39</v>
      </c>
      <c r="AL90" s="14" t="s">
        <v>304</v>
      </c>
      <c r="AM90" s="14">
        <v>0.65533799999999998</v>
      </c>
      <c r="AN90" s="14">
        <v>0.65533799999999998</v>
      </c>
      <c r="AO90" s="14"/>
    </row>
    <row r="91" spans="1:41" x14ac:dyDescent="0.2">
      <c r="A91" s="14" t="s">
        <v>330</v>
      </c>
      <c r="B91" s="14" t="s">
        <v>331</v>
      </c>
      <c r="C91" s="14" t="s">
        <v>332</v>
      </c>
      <c r="D91" s="14" t="s">
        <v>37</v>
      </c>
      <c r="E91" s="16">
        <v>44827</v>
      </c>
      <c r="F91" s="14" t="s">
        <v>792</v>
      </c>
      <c r="G91" s="14">
        <v>115.065</v>
      </c>
      <c r="H91" s="14">
        <v>3.5130140000000001</v>
      </c>
      <c r="I91" s="14">
        <v>255.08998700000001</v>
      </c>
      <c r="J91" s="14">
        <v>5.9815E-2</v>
      </c>
      <c r="K91" s="14">
        <v>0.29833799999999999</v>
      </c>
      <c r="L91" s="14">
        <v>5.6587209999999999</v>
      </c>
      <c r="M91" s="14">
        <v>2.118703</v>
      </c>
      <c r="N91" s="14">
        <v>16009.749121999999</v>
      </c>
      <c r="O91" s="14">
        <v>18984.042506999998</v>
      </c>
      <c r="P91" s="14">
        <v>5645.7279470000003</v>
      </c>
      <c r="Q91" s="14">
        <v>4561.4671950000002</v>
      </c>
      <c r="R91" s="14">
        <v>0.60521499999999995</v>
      </c>
      <c r="S91" s="14">
        <v>3.917913</v>
      </c>
      <c r="T91" s="14">
        <v>3.8367770000000001</v>
      </c>
      <c r="U91" s="14">
        <v>2.1146850000000001</v>
      </c>
      <c r="V91" s="14">
        <v>19.629287999999999</v>
      </c>
      <c r="W91" s="14">
        <v>5.75</v>
      </c>
      <c r="X91" s="16">
        <v>37368</v>
      </c>
      <c r="Y91" s="14">
        <v>1</v>
      </c>
      <c r="Z91" s="14" t="s">
        <v>333</v>
      </c>
      <c r="AA91" s="14" t="s">
        <v>303</v>
      </c>
      <c r="AB91" s="14">
        <v>0.28150599999999998</v>
      </c>
      <c r="AC91" s="14">
        <v>2.1700490000000001</v>
      </c>
      <c r="AD91" s="14">
        <v>24.318795000000001</v>
      </c>
      <c r="AE91" s="14">
        <v>5.5276709999999998</v>
      </c>
      <c r="AF91" s="14">
        <v>1.8183000000000001E-2</v>
      </c>
      <c r="AG91" s="14">
        <v>1.522044</v>
      </c>
      <c r="AH91" s="14">
        <v>7.4593699999999998</v>
      </c>
      <c r="AI91" s="14">
        <v>2.3815360000000001</v>
      </c>
      <c r="AJ91" s="14">
        <v>100</v>
      </c>
      <c r="AK91" s="14" t="s">
        <v>39</v>
      </c>
      <c r="AL91" s="14" t="s">
        <v>304</v>
      </c>
      <c r="AM91" s="14">
        <v>0.60521499999999995</v>
      </c>
      <c r="AN91" s="14">
        <v>0.60521499999999995</v>
      </c>
      <c r="AO91" s="14"/>
    </row>
    <row r="92" spans="1:41" x14ac:dyDescent="0.2">
      <c r="A92" s="14" t="s">
        <v>334</v>
      </c>
      <c r="B92" s="14" t="s">
        <v>335</v>
      </c>
      <c r="C92" s="14" t="s">
        <v>336</v>
      </c>
      <c r="D92" s="14" t="s">
        <v>37</v>
      </c>
      <c r="E92" s="16">
        <v>44951</v>
      </c>
      <c r="F92" s="14" t="s">
        <v>792</v>
      </c>
      <c r="G92" s="14">
        <v>101.02500000000001</v>
      </c>
      <c r="H92" s="14">
        <v>0.67808199999999996</v>
      </c>
      <c r="I92" s="14">
        <v>103.729974</v>
      </c>
      <c r="J92" s="14">
        <v>0.15460699999999999</v>
      </c>
      <c r="K92" s="14">
        <v>0.41962699999999997</v>
      </c>
      <c r="L92" s="14"/>
      <c r="M92" s="14">
        <v>2.5053990000000002</v>
      </c>
      <c r="N92" s="14">
        <v>13888.291157</v>
      </c>
      <c r="O92" s="14">
        <v>14124.820170000001</v>
      </c>
      <c r="P92" s="14">
        <v>4200.6275509999996</v>
      </c>
      <c r="Q92" s="14">
        <v>3393.897997</v>
      </c>
      <c r="R92" s="14">
        <v>0.45030199999999998</v>
      </c>
      <c r="S92" s="14">
        <v>4.4920770000000001</v>
      </c>
      <c r="T92" s="14">
        <v>4.3925280000000004</v>
      </c>
      <c r="U92" s="14">
        <v>2.2663220000000002</v>
      </c>
      <c r="V92" s="14">
        <v>24.218133000000002</v>
      </c>
      <c r="W92" s="14">
        <v>2.5</v>
      </c>
      <c r="X92" s="16">
        <v>42954</v>
      </c>
      <c r="Y92" s="14">
        <v>1</v>
      </c>
      <c r="Z92" s="14" t="s">
        <v>335</v>
      </c>
      <c r="AA92" s="14" t="s">
        <v>303</v>
      </c>
      <c r="AB92" s="14">
        <v>0.37650800000000001</v>
      </c>
      <c r="AC92" s="14">
        <v>2.2936009999999998</v>
      </c>
      <c r="AD92" s="14"/>
      <c r="AE92" s="14">
        <v>5.927276</v>
      </c>
      <c r="AF92" s="14">
        <v>0.11293499999999999</v>
      </c>
      <c r="AG92" s="14">
        <v>1.6448130000000001</v>
      </c>
      <c r="AH92" s="14"/>
      <c r="AI92" s="14">
        <v>2.769228</v>
      </c>
      <c r="AJ92" s="14">
        <v>100</v>
      </c>
      <c r="AK92" s="14" t="s">
        <v>39</v>
      </c>
      <c r="AL92" s="14" t="s">
        <v>304</v>
      </c>
      <c r="AM92" s="14">
        <v>0.45030199999999998</v>
      </c>
      <c r="AN92" s="14">
        <v>0.45030199999999998</v>
      </c>
      <c r="AO92" s="14"/>
    </row>
    <row r="93" spans="1:41" x14ac:dyDescent="0.2">
      <c r="A93" s="14" t="s">
        <v>337</v>
      </c>
      <c r="B93" s="14" t="s">
        <v>338</v>
      </c>
      <c r="C93" s="14" t="s">
        <v>339</v>
      </c>
      <c r="D93" s="14" t="s">
        <v>37</v>
      </c>
      <c r="E93" s="16">
        <v>45224</v>
      </c>
      <c r="F93" s="14" t="s">
        <v>793</v>
      </c>
      <c r="G93" s="14">
        <v>108.12</v>
      </c>
      <c r="H93" s="14">
        <v>2.0931510000000002</v>
      </c>
      <c r="I93" s="14">
        <v>129.22043400000001</v>
      </c>
      <c r="J93" s="14">
        <v>0.17380599999999999</v>
      </c>
      <c r="K93" s="14">
        <v>0.53468400000000005</v>
      </c>
      <c r="L93" s="14">
        <v>5.8612260000000003</v>
      </c>
      <c r="M93" s="14">
        <v>2.4362910000000002</v>
      </c>
      <c r="N93" s="14">
        <v>19035.451509999999</v>
      </c>
      <c r="O93" s="14">
        <v>20979.570856999999</v>
      </c>
      <c r="P93" s="14">
        <v>6239.1848019999998</v>
      </c>
      <c r="Q93" s="14">
        <v>5040.9507979999998</v>
      </c>
      <c r="R93" s="14">
        <v>0.66883199999999998</v>
      </c>
      <c r="S93" s="14">
        <v>4.9549849999999998</v>
      </c>
      <c r="T93" s="14">
        <v>4.8390139999999997</v>
      </c>
      <c r="U93" s="14">
        <v>2.3965730000000001</v>
      </c>
      <c r="V93" s="14">
        <v>29.723403000000001</v>
      </c>
      <c r="W93" s="14">
        <v>4</v>
      </c>
      <c r="X93" s="16">
        <v>41207</v>
      </c>
      <c r="Y93" s="14">
        <v>1</v>
      </c>
      <c r="Z93" s="14" t="s">
        <v>338</v>
      </c>
      <c r="AA93" s="14" t="s">
        <v>303</v>
      </c>
      <c r="AB93" s="14">
        <v>0.39574900000000002</v>
      </c>
      <c r="AC93" s="14">
        <v>2.410806</v>
      </c>
      <c r="AD93" s="14">
        <v>24.557064</v>
      </c>
      <c r="AE93" s="14">
        <v>5.855861</v>
      </c>
      <c r="AF93" s="14">
        <v>0.13212599999999999</v>
      </c>
      <c r="AG93" s="14">
        <v>1.761274</v>
      </c>
      <c r="AH93" s="14">
        <v>7.6653269999999996</v>
      </c>
      <c r="AI93" s="14">
        <v>2.6999409999999999</v>
      </c>
      <c r="AJ93" s="14">
        <v>100</v>
      </c>
      <c r="AK93" s="14" t="s">
        <v>39</v>
      </c>
      <c r="AL93" s="14" t="s">
        <v>304</v>
      </c>
      <c r="AM93" s="14">
        <v>0.66883199999999998</v>
      </c>
      <c r="AN93" s="14">
        <v>0.66883199999999998</v>
      </c>
      <c r="AO93" s="14"/>
    </row>
    <row r="94" spans="1:41" x14ac:dyDescent="0.2">
      <c r="A94" s="14" t="s">
        <v>340</v>
      </c>
      <c r="B94" s="14" t="s">
        <v>341</v>
      </c>
      <c r="C94" s="14" t="s">
        <v>342</v>
      </c>
      <c r="D94" s="14" t="s">
        <v>37</v>
      </c>
      <c r="E94" s="16">
        <v>45863</v>
      </c>
      <c r="F94" s="14" t="s">
        <v>794</v>
      </c>
      <c r="G94" s="14">
        <v>103.15</v>
      </c>
      <c r="H94" s="14">
        <v>2.519863</v>
      </c>
      <c r="I94" s="14">
        <v>116.868557</v>
      </c>
      <c r="J94" s="14">
        <v>0.22686600000000001</v>
      </c>
      <c r="K94" s="14">
        <v>0.83351799999999998</v>
      </c>
      <c r="L94" s="14">
        <v>5.6673660000000003</v>
      </c>
      <c r="M94" s="14">
        <v>2.9835259999999999</v>
      </c>
      <c r="N94" s="14">
        <v>20202.065608000001</v>
      </c>
      <c r="O94" s="14">
        <v>21347.495053999999</v>
      </c>
      <c r="P94" s="14">
        <v>6348.6030110000002</v>
      </c>
      <c r="Q94" s="14">
        <v>5129.3552650000001</v>
      </c>
      <c r="R94" s="14">
        <v>0.680562</v>
      </c>
      <c r="S94" s="14">
        <v>6.4140699999999997</v>
      </c>
      <c r="T94" s="14">
        <v>6.2418170000000002</v>
      </c>
      <c r="U94" s="14">
        <v>2.7596630000000002</v>
      </c>
      <c r="V94" s="14">
        <v>48.309632000000001</v>
      </c>
      <c r="W94" s="14">
        <v>3.25</v>
      </c>
      <c r="X94" s="16">
        <v>41799</v>
      </c>
      <c r="Y94" s="14">
        <v>1</v>
      </c>
      <c r="Z94" s="14" t="s">
        <v>341</v>
      </c>
      <c r="AA94" s="14" t="s">
        <v>303</v>
      </c>
      <c r="AB94" s="14">
        <v>0.44892700000000002</v>
      </c>
      <c r="AC94" s="14">
        <v>2.7152159999999999</v>
      </c>
      <c r="AD94" s="14">
        <v>24.328966000000001</v>
      </c>
      <c r="AE94" s="14">
        <v>6.4213630000000004</v>
      </c>
      <c r="AF94" s="14">
        <v>0.185164</v>
      </c>
      <c r="AG94" s="14">
        <v>2.0637539999999999</v>
      </c>
      <c r="AH94" s="14">
        <v>7.4681620000000004</v>
      </c>
      <c r="AI94" s="14">
        <v>3.2485840000000001</v>
      </c>
      <c r="AJ94" s="14">
        <v>100</v>
      </c>
      <c r="AK94" s="14" t="s">
        <v>39</v>
      </c>
      <c r="AL94" s="14" t="s">
        <v>304</v>
      </c>
      <c r="AM94" s="14">
        <v>0.680562</v>
      </c>
      <c r="AN94" s="14">
        <v>0.680562</v>
      </c>
      <c r="AO94" s="14"/>
    </row>
    <row r="95" spans="1:41" x14ac:dyDescent="0.2">
      <c r="A95" s="14" t="s">
        <v>343</v>
      </c>
      <c r="B95" s="14" t="s">
        <v>344</v>
      </c>
      <c r="C95" s="14" t="s">
        <v>345</v>
      </c>
      <c r="D95" s="14" t="s">
        <v>37</v>
      </c>
      <c r="E95" s="16">
        <v>46228</v>
      </c>
      <c r="F95" s="14" t="s">
        <v>794</v>
      </c>
      <c r="G95" s="14">
        <v>97.344999999999999</v>
      </c>
      <c r="H95" s="14">
        <v>1.938356</v>
      </c>
      <c r="I95" s="14">
        <v>109.434482</v>
      </c>
      <c r="J95" s="14">
        <v>0.31032300000000002</v>
      </c>
      <c r="K95" s="14">
        <v>1.090106</v>
      </c>
      <c r="L95" s="14">
        <v>6.0548099999999998</v>
      </c>
      <c r="M95" s="14">
        <v>3.5094089999999998</v>
      </c>
      <c r="N95" s="14">
        <v>26246.840950999998</v>
      </c>
      <c r="O95" s="14">
        <v>26058.744583</v>
      </c>
      <c r="P95" s="14">
        <v>7749.6972779999996</v>
      </c>
      <c r="Q95" s="14">
        <v>6261.3697000000002</v>
      </c>
      <c r="R95" s="14">
        <v>0.83075699999999997</v>
      </c>
      <c r="S95" s="14">
        <v>7.3811119999999999</v>
      </c>
      <c r="T95" s="14">
        <v>7.1755990000000001</v>
      </c>
      <c r="U95" s="14">
        <v>2.8640530000000002</v>
      </c>
      <c r="V95" s="14">
        <v>62.392812999999997</v>
      </c>
      <c r="W95" s="14">
        <v>2.5</v>
      </c>
      <c r="X95" s="16">
        <v>42261</v>
      </c>
      <c r="Y95" s="14">
        <v>1</v>
      </c>
      <c r="Z95" s="14" t="s">
        <v>344</v>
      </c>
      <c r="AA95" s="14" t="s">
        <v>303</v>
      </c>
      <c r="AB95" s="14">
        <v>0.53256899999999996</v>
      </c>
      <c r="AC95" s="14">
        <v>2.9765920000000001</v>
      </c>
      <c r="AD95" s="14">
        <v>24.784835999999999</v>
      </c>
      <c r="AE95" s="14">
        <v>6.9648019999999997</v>
      </c>
      <c r="AF95" s="14">
        <v>0.26858599999999999</v>
      </c>
      <c r="AG95" s="14">
        <v>2.3234729999999999</v>
      </c>
      <c r="AH95" s="14">
        <v>7.862209</v>
      </c>
      <c r="AI95" s="14">
        <v>3.7758210000000001</v>
      </c>
      <c r="AJ95" s="14">
        <v>100</v>
      </c>
      <c r="AK95" s="14" t="s">
        <v>39</v>
      </c>
      <c r="AL95" s="14" t="s">
        <v>304</v>
      </c>
      <c r="AM95" s="14">
        <v>0.83075699999999997</v>
      </c>
      <c r="AN95" s="14">
        <v>0.83075699999999997</v>
      </c>
      <c r="AO95" s="14"/>
    </row>
    <row r="96" spans="1:41" x14ac:dyDescent="0.2">
      <c r="A96" s="14" t="s">
        <v>346</v>
      </c>
      <c r="B96" s="14" t="s">
        <v>347</v>
      </c>
      <c r="C96" s="14" t="s">
        <v>348</v>
      </c>
      <c r="D96" s="14" t="s">
        <v>37</v>
      </c>
      <c r="E96" s="16">
        <v>46593</v>
      </c>
      <c r="F96" s="14" t="s">
        <v>794</v>
      </c>
      <c r="G96" s="14">
        <v>96.275000000000006</v>
      </c>
      <c r="H96" s="14">
        <v>1.938356</v>
      </c>
      <c r="I96" s="14">
        <v>111.255742</v>
      </c>
      <c r="J96" s="14">
        <v>0.29321000000000003</v>
      </c>
      <c r="K96" s="14">
        <v>1.21163</v>
      </c>
      <c r="L96" s="14">
        <v>6.6253250000000001</v>
      </c>
      <c r="M96" s="14">
        <v>3.6310639999999998</v>
      </c>
      <c r="N96" s="14">
        <v>22719.693546999999</v>
      </c>
      <c r="O96" s="14">
        <v>22313.773542999999</v>
      </c>
      <c r="P96" s="14">
        <v>6635.9678050000002</v>
      </c>
      <c r="Q96" s="14">
        <v>5361.5317160000004</v>
      </c>
      <c r="R96" s="14">
        <v>0.71136699999999997</v>
      </c>
      <c r="S96" s="14">
        <v>8.1710820000000002</v>
      </c>
      <c r="T96" s="14">
        <v>7.9358009999999997</v>
      </c>
      <c r="U96" s="14">
        <v>2.9648080000000001</v>
      </c>
      <c r="V96" s="14">
        <v>76.066039000000004</v>
      </c>
      <c r="W96" s="14">
        <v>2.5</v>
      </c>
      <c r="X96" s="16">
        <v>42653</v>
      </c>
      <c r="Y96" s="14">
        <v>1</v>
      </c>
      <c r="Z96" s="14" t="s">
        <v>347</v>
      </c>
      <c r="AA96" s="14" t="s">
        <v>303</v>
      </c>
      <c r="AB96" s="14">
        <v>0.51541800000000004</v>
      </c>
      <c r="AC96" s="14">
        <v>3.100384</v>
      </c>
      <c r="AD96" s="14">
        <v>25.456108</v>
      </c>
      <c r="AE96" s="14">
        <v>7.0905180000000003</v>
      </c>
      <c r="AF96" s="14">
        <v>0.25148100000000001</v>
      </c>
      <c r="AG96" s="14">
        <v>2.4464790000000001</v>
      </c>
      <c r="AH96" s="14">
        <v>8.4424480000000006</v>
      </c>
      <c r="AI96" s="14">
        <v>3.8977900000000001</v>
      </c>
      <c r="AJ96" s="14">
        <v>100</v>
      </c>
      <c r="AK96" s="14" t="s">
        <v>39</v>
      </c>
      <c r="AL96" s="14" t="s">
        <v>304</v>
      </c>
      <c r="AM96" s="14">
        <v>0.71136699999999997</v>
      </c>
      <c r="AN96" s="14">
        <v>0.71136699999999997</v>
      </c>
      <c r="AO96" s="14"/>
    </row>
    <row r="97" spans="1:41" x14ac:dyDescent="0.2">
      <c r="A97" s="14" t="s">
        <v>830</v>
      </c>
      <c r="B97" s="14" t="s">
        <v>831</v>
      </c>
      <c r="C97" s="14" t="s">
        <v>832</v>
      </c>
      <c r="D97" s="14" t="s">
        <v>37</v>
      </c>
      <c r="E97" s="16">
        <v>46868</v>
      </c>
      <c r="F97" s="14" t="s">
        <v>794</v>
      </c>
      <c r="G97" s="14">
        <v>97.765000000000001</v>
      </c>
      <c r="H97" s="14">
        <v>6.7807999999999993E-2</v>
      </c>
      <c r="I97" s="14">
        <v>103.572462</v>
      </c>
      <c r="J97" s="14">
        <v>0.31598500000000002</v>
      </c>
      <c r="K97" s="14">
        <v>1.463749</v>
      </c>
      <c r="L97" s="14"/>
      <c r="M97" s="14"/>
      <c r="N97" s="14">
        <v>5582.1554020000003</v>
      </c>
      <c r="O97" s="14">
        <v>5461.1793889999999</v>
      </c>
      <c r="P97" s="14">
        <v>1624.1184189999999</v>
      </c>
      <c r="Q97" s="14">
        <v>1312.20685</v>
      </c>
      <c r="R97" s="14">
        <v>0.17410300000000001</v>
      </c>
      <c r="S97" s="14">
        <v>8.8392180000000007</v>
      </c>
      <c r="T97" s="14">
        <v>8.5809270000000009</v>
      </c>
      <c r="U97" s="14">
        <v>3.0100600000000002</v>
      </c>
      <c r="V97" s="14">
        <v>87.668863999999999</v>
      </c>
      <c r="W97" s="14">
        <v>2.75</v>
      </c>
      <c r="X97" s="16">
        <v>41414</v>
      </c>
      <c r="Y97" s="14">
        <v>1</v>
      </c>
      <c r="Z97" s="14" t="s">
        <v>831</v>
      </c>
      <c r="AA97" s="14" t="s">
        <v>303</v>
      </c>
      <c r="AB97" s="14">
        <v>0.53824300000000003</v>
      </c>
      <c r="AC97" s="14">
        <v>3.357208</v>
      </c>
      <c r="AD97" s="14"/>
      <c r="AE97" s="14"/>
      <c r="AF97" s="14">
        <v>0.27424500000000002</v>
      </c>
      <c r="AG97" s="14">
        <v>2.7016740000000001</v>
      </c>
      <c r="AH97" s="14"/>
      <c r="AI97" s="14"/>
      <c r="AJ97" s="14">
        <v>100</v>
      </c>
      <c r="AK97" s="14" t="s">
        <v>39</v>
      </c>
      <c r="AL97" s="14" t="s">
        <v>304</v>
      </c>
      <c r="AM97" s="14">
        <v>0.17410300000000001</v>
      </c>
      <c r="AN97" s="14">
        <v>0.17410300000000001</v>
      </c>
      <c r="AO97" s="14"/>
    </row>
    <row r="98" spans="1:41" x14ac:dyDescent="0.2">
      <c r="A98" s="14" t="s">
        <v>351</v>
      </c>
      <c r="B98" s="14" t="s">
        <v>352</v>
      </c>
      <c r="C98" s="14" t="s">
        <v>353</v>
      </c>
      <c r="D98" s="14" t="s">
        <v>37</v>
      </c>
      <c r="E98" s="16">
        <v>43640</v>
      </c>
      <c r="F98" s="14" t="s">
        <v>791</v>
      </c>
      <c r="G98" s="14">
        <v>102.45399999999999</v>
      </c>
      <c r="H98" s="14">
        <v>4.0732879999999998</v>
      </c>
      <c r="I98" s="14">
        <v>112.589156</v>
      </c>
      <c r="J98" s="14">
        <v>6.5950000000000002E-3</v>
      </c>
      <c r="K98" s="14">
        <v>0.131081</v>
      </c>
      <c r="L98" s="14">
        <v>0.42150599999999999</v>
      </c>
      <c r="M98" s="14">
        <v>0.99750799999999995</v>
      </c>
      <c r="N98" s="14">
        <v>8657.2199999999993</v>
      </c>
      <c r="O98" s="14">
        <v>9222.3016540000008</v>
      </c>
      <c r="P98" s="14">
        <v>2452.7398020000001</v>
      </c>
      <c r="Q98" s="14">
        <v>1981.691687</v>
      </c>
      <c r="R98" s="14">
        <v>0.26293</v>
      </c>
      <c r="S98" s="14">
        <v>1.0977589999999999</v>
      </c>
      <c r="T98" s="14">
        <v>1.0704419999999999</v>
      </c>
      <c r="U98" s="14">
        <v>2.5519370000000001</v>
      </c>
      <c r="V98" s="14">
        <v>2.2302</v>
      </c>
      <c r="W98" s="14">
        <v>4.75</v>
      </c>
      <c r="X98" s="16">
        <v>41696</v>
      </c>
      <c r="Y98" s="14">
        <v>1</v>
      </c>
      <c r="Z98" s="14" t="s">
        <v>352</v>
      </c>
      <c r="AA98" s="14" t="s">
        <v>349</v>
      </c>
      <c r="AB98" s="14">
        <v>7.5747999999999996E-2</v>
      </c>
      <c r="AC98" s="14">
        <v>0.94730899999999996</v>
      </c>
      <c r="AD98" s="14">
        <v>12.943479999999999</v>
      </c>
      <c r="AE98" s="14">
        <v>4.435721</v>
      </c>
      <c r="AF98" s="14">
        <v>-0.18703400000000001</v>
      </c>
      <c r="AG98" s="14">
        <v>0.30706</v>
      </c>
      <c r="AH98" s="14">
        <v>-2.3732880000000001</v>
      </c>
      <c r="AI98" s="14">
        <v>1.322141</v>
      </c>
      <c r="AJ98" s="14">
        <v>100</v>
      </c>
      <c r="AK98" s="14" t="s">
        <v>39</v>
      </c>
      <c r="AL98" s="14" t="s">
        <v>350</v>
      </c>
      <c r="AM98" s="14">
        <v>0.26293</v>
      </c>
      <c r="AN98" s="14">
        <v>0.26293</v>
      </c>
      <c r="AO98" s="14"/>
    </row>
    <row r="99" spans="1:41" x14ac:dyDescent="0.2">
      <c r="A99" s="14" t="s">
        <v>354</v>
      </c>
      <c r="B99" s="14" t="s">
        <v>355</v>
      </c>
      <c r="C99" s="14" t="s">
        <v>356</v>
      </c>
      <c r="D99" s="14" t="s">
        <v>37</v>
      </c>
      <c r="E99" s="16">
        <v>43887</v>
      </c>
      <c r="F99" s="14" t="s">
        <v>791</v>
      </c>
      <c r="G99" s="14">
        <v>99.0535</v>
      </c>
      <c r="H99" s="14">
        <v>0.40684900000000002</v>
      </c>
      <c r="I99" s="14">
        <v>101.000967</v>
      </c>
      <c r="J99" s="14">
        <v>7.2100000000000003E-3</v>
      </c>
      <c r="K99" s="14">
        <v>0.14591000000000001</v>
      </c>
      <c r="L99" s="14">
        <v>0.526478</v>
      </c>
      <c r="M99" s="14">
        <v>1.547256</v>
      </c>
      <c r="N99" s="14">
        <v>8860.3700000000008</v>
      </c>
      <c r="O99" s="14">
        <v>8812.5549530000008</v>
      </c>
      <c r="P99" s="14">
        <v>2343.764615</v>
      </c>
      <c r="Q99" s="14">
        <v>1893.64516</v>
      </c>
      <c r="R99" s="14">
        <v>0.25124800000000003</v>
      </c>
      <c r="S99" s="14">
        <v>1.7965990000000001</v>
      </c>
      <c r="T99" s="14">
        <v>1.7479039999999999</v>
      </c>
      <c r="U99" s="14">
        <v>2.7859219999999998</v>
      </c>
      <c r="V99" s="14">
        <v>4.7759999999999998</v>
      </c>
      <c r="W99" s="14">
        <v>2.25</v>
      </c>
      <c r="X99" s="16">
        <v>42450</v>
      </c>
      <c r="Y99" s="14">
        <v>1</v>
      </c>
      <c r="Z99" s="14" t="s">
        <v>355</v>
      </c>
      <c r="AA99" s="14" t="s">
        <v>349</v>
      </c>
      <c r="AB99" s="14">
        <v>7.6364000000000001E-2</v>
      </c>
      <c r="AC99" s="14">
        <v>0.96225899999999998</v>
      </c>
      <c r="AD99" s="14">
        <v>13.061541999999999</v>
      </c>
      <c r="AE99" s="14">
        <v>5.0041840000000004</v>
      </c>
      <c r="AF99" s="14">
        <v>-0.186421</v>
      </c>
      <c r="AG99" s="14">
        <v>0.32191500000000001</v>
      </c>
      <c r="AH99" s="14">
        <v>-2.271236</v>
      </c>
      <c r="AI99" s="14">
        <v>1.873656</v>
      </c>
      <c r="AJ99" s="14">
        <v>100</v>
      </c>
      <c r="AK99" s="14" t="s">
        <v>39</v>
      </c>
      <c r="AL99" s="14" t="s">
        <v>350</v>
      </c>
      <c r="AM99" s="14">
        <v>0.25124800000000003</v>
      </c>
      <c r="AN99" s="14">
        <v>0.25124800000000003</v>
      </c>
      <c r="AO99" s="14"/>
    </row>
    <row r="100" spans="1:41" x14ac:dyDescent="0.2">
      <c r="A100" s="14" t="s">
        <v>357</v>
      </c>
      <c r="B100" s="14" t="s">
        <v>358</v>
      </c>
      <c r="C100" s="14" t="s">
        <v>359</v>
      </c>
      <c r="D100" s="14" t="s">
        <v>37</v>
      </c>
      <c r="E100" s="16">
        <v>43950</v>
      </c>
      <c r="F100" s="14" t="s">
        <v>791</v>
      </c>
      <c r="G100" s="14">
        <v>105.5565</v>
      </c>
      <c r="H100" s="14">
        <v>6.3014000000000001E-2</v>
      </c>
      <c r="I100" s="14">
        <v>110.903363</v>
      </c>
      <c r="J100" s="14">
        <v>-5.4615999999999998E-2</v>
      </c>
      <c r="K100" s="14">
        <v>0.106089</v>
      </c>
      <c r="L100" s="14">
        <v>0.310141</v>
      </c>
      <c r="M100" s="14">
        <v>1.573299</v>
      </c>
      <c r="N100" s="14">
        <v>9220.75</v>
      </c>
      <c r="O100" s="14">
        <v>9738.9113089999992</v>
      </c>
      <c r="P100" s="14">
        <v>2590.1359870000001</v>
      </c>
      <c r="Q100" s="14">
        <v>2092.7009670000002</v>
      </c>
      <c r="R100" s="14">
        <v>0.27765899999999999</v>
      </c>
      <c r="S100" s="14">
        <v>1.9350210000000001</v>
      </c>
      <c r="T100" s="14">
        <v>1.8814280000000001</v>
      </c>
      <c r="U100" s="14">
        <v>2.8485079999999998</v>
      </c>
      <c r="V100" s="14">
        <v>5.4171990000000001</v>
      </c>
      <c r="W100" s="14">
        <v>5.75</v>
      </c>
      <c r="X100" s="16">
        <v>41353</v>
      </c>
      <c r="Y100" s="14">
        <v>1</v>
      </c>
      <c r="Z100" s="14" t="s">
        <v>358</v>
      </c>
      <c r="AA100" s="14" t="s">
        <v>349</v>
      </c>
      <c r="AB100" s="14">
        <v>1.4494999999999999E-2</v>
      </c>
      <c r="AC100" s="14">
        <v>0.92211299999999996</v>
      </c>
      <c r="AD100" s="14">
        <v>12.818229000000001</v>
      </c>
      <c r="AE100" s="14">
        <v>5.0311130000000004</v>
      </c>
      <c r="AF100" s="14">
        <v>-0.24812600000000001</v>
      </c>
      <c r="AG100" s="14">
        <v>0.282024</v>
      </c>
      <c r="AH100" s="14">
        <v>-2.4815529999999999</v>
      </c>
      <c r="AI100" s="14">
        <v>1.8997820000000001</v>
      </c>
      <c r="AJ100" s="14">
        <v>100</v>
      </c>
      <c r="AK100" s="14" t="s">
        <v>39</v>
      </c>
      <c r="AL100" s="14" t="s">
        <v>350</v>
      </c>
      <c r="AM100" s="14">
        <v>0.27765899999999999</v>
      </c>
      <c r="AN100" s="14">
        <v>0.27765899999999999</v>
      </c>
      <c r="AO100" s="14"/>
    </row>
    <row r="101" spans="1:41" x14ac:dyDescent="0.2">
      <c r="A101" s="14" t="s">
        <v>360</v>
      </c>
      <c r="B101" s="14" t="s">
        <v>361</v>
      </c>
      <c r="C101" s="14" t="s">
        <v>362</v>
      </c>
      <c r="D101" s="14" t="s">
        <v>37</v>
      </c>
      <c r="E101" s="16">
        <v>44277</v>
      </c>
      <c r="F101" s="14" t="s">
        <v>791</v>
      </c>
      <c r="G101" s="14">
        <v>100.27800000000001</v>
      </c>
      <c r="H101" s="14">
        <v>0.373973</v>
      </c>
      <c r="I101" s="14">
        <v>103.328311</v>
      </c>
      <c r="J101" s="14">
        <v>-2.6943999999999999E-2</v>
      </c>
      <c r="K101" s="14">
        <v>0.51727199999999995</v>
      </c>
      <c r="L101" s="14">
        <v>0.67013500000000004</v>
      </c>
      <c r="M101" s="14">
        <v>1.947314</v>
      </c>
      <c r="N101" s="14">
        <v>8804.35</v>
      </c>
      <c r="O101" s="14">
        <v>8861.7519499999999</v>
      </c>
      <c r="P101" s="14">
        <v>2356.848923</v>
      </c>
      <c r="Q101" s="14">
        <v>1904.2166299999999</v>
      </c>
      <c r="R101" s="14">
        <v>0.25265100000000001</v>
      </c>
      <c r="S101" s="14">
        <v>2.7910560000000002</v>
      </c>
      <c r="T101" s="14">
        <v>2.7059220000000002</v>
      </c>
      <c r="U101" s="14">
        <v>3.1462129999999999</v>
      </c>
      <c r="V101" s="14">
        <v>10.083907999999999</v>
      </c>
      <c r="W101" s="14">
        <v>3.25</v>
      </c>
      <c r="X101" s="16">
        <v>42303</v>
      </c>
      <c r="Y101" s="14">
        <v>1</v>
      </c>
      <c r="Z101" s="14" t="s">
        <v>361</v>
      </c>
      <c r="AA101" s="14" t="s">
        <v>349</v>
      </c>
      <c r="AB101" s="14">
        <v>4.2186000000000001E-2</v>
      </c>
      <c r="AC101" s="14">
        <v>1.336649</v>
      </c>
      <c r="AD101" s="14">
        <v>13.223112</v>
      </c>
      <c r="AE101" s="14">
        <v>5.4178610000000003</v>
      </c>
      <c r="AF101" s="14">
        <v>-0.22050800000000001</v>
      </c>
      <c r="AG101" s="14">
        <v>0.69393000000000005</v>
      </c>
      <c r="AH101" s="14">
        <v>-2.1315780000000002</v>
      </c>
      <c r="AI101" s="14">
        <v>2.2749999999999999</v>
      </c>
      <c r="AJ101" s="14">
        <v>100</v>
      </c>
      <c r="AK101" s="14" t="s">
        <v>39</v>
      </c>
      <c r="AL101" s="14" t="s">
        <v>350</v>
      </c>
      <c r="AM101" s="14">
        <v>0.25265100000000001</v>
      </c>
      <c r="AN101" s="14">
        <v>0.25265100000000001</v>
      </c>
      <c r="AO101" s="14"/>
    </row>
    <row r="102" spans="1:41" x14ac:dyDescent="0.2">
      <c r="A102" s="14" t="s">
        <v>363</v>
      </c>
      <c r="B102" s="14" t="s">
        <v>364</v>
      </c>
      <c r="C102" s="14" t="s">
        <v>365</v>
      </c>
      <c r="D102" s="14" t="s">
        <v>37</v>
      </c>
      <c r="E102" s="16">
        <v>44358</v>
      </c>
      <c r="F102" s="14" t="s">
        <v>792</v>
      </c>
      <c r="G102" s="14">
        <v>107.886</v>
      </c>
      <c r="H102" s="14">
        <v>5.3142469999999999</v>
      </c>
      <c r="I102" s="14">
        <v>121.814727</v>
      </c>
      <c r="J102" s="14">
        <v>-1.4777E-2</v>
      </c>
      <c r="K102" s="14">
        <v>0.31796400000000002</v>
      </c>
      <c r="L102" s="14">
        <v>0.33374999999999999</v>
      </c>
      <c r="M102" s="14">
        <v>1.8873150000000001</v>
      </c>
      <c r="N102" s="14">
        <v>8809.24</v>
      </c>
      <c r="O102" s="14">
        <v>9972.0814009999995</v>
      </c>
      <c r="P102" s="14">
        <v>2652.1493089999999</v>
      </c>
      <c r="Q102" s="14">
        <v>2142.8046450000002</v>
      </c>
      <c r="R102" s="14">
        <v>0.28430699999999998</v>
      </c>
      <c r="S102" s="14">
        <v>2.798492</v>
      </c>
      <c r="T102" s="14">
        <v>2.7105549999999998</v>
      </c>
      <c r="U102" s="14">
        <v>3.244221</v>
      </c>
      <c r="V102" s="14">
        <v>10.563625</v>
      </c>
      <c r="W102" s="14">
        <v>5.95</v>
      </c>
      <c r="X102" s="16">
        <v>40693</v>
      </c>
      <c r="Y102" s="14">
        <v>1</v>
      </c>
      <c r="Z102" s="14" t="s">
        <v>364</v>
      </c>
      <c r="AA102" s="14" t="s">
        <v>349</v>
      </c>
      <c r="AB102" s="14">
        <v>5.4362000000000001E-2</v>
      </c>
      <c r="AC102" s="14">
        <v>1.135715</v>
      </c>
      <c r="AD102" s="14">
        <v>12.844780999999999</v>
      </c>
      <c r="AE102" s="14">
        <v>5.3558190000000003</v>
      </c>
      <c r="AF102" s="14">
        <v>-0.20836499999999999</v>
      </c>
      <c r="AG102" s="14">
        <v>0.49427100000000002</v>
      </c>
      <c r="AH102" s="14">
        <v>-2.4586009999999998</v>
      </c>
      <c r="AI102" s="14">
        <v>2.2148080000000001</v>
      </c>
      <c r="AJ102" s="14">
        <v>100</v>
      </c>
      <c r="AK102" s="14" t="s">
        <v>39</v>
      </c>
      <c r="AL102" s="14" t="s">
        <v>350</v>
      </c>
      <c r="AM102" s="14">
        <v>0.28430699999999998</v>
      </c>
      <c r="AN102" s="14">
        <v>0.28430699999999998</v>
      </c>
      <c r="AO102" s="14"/>
    </row>
    <row r="103" spans="1:41" x14ac:dyDescent="0.2">
      <c r="A103" s="14" t="s">
        <v>366</v>
      </c>
      <c r="B103" s="14" t="s">
        <v>367</v>
      </c>
      <c r="C103" s="14" t="s">
        <v>368</v>
      </c>
      <c r="D103" s="14" t="s">
        <v>37</v>
      </c>
      <c r="E103" s="16">
        <v>44628</v>
      </c>
      <c r="F103" s="14" t="s">
        <v>792</v>
      </c>
      <c r="G103" s="14">
        <v>98.8035</v>
      </c>
      <c r="H103" s="14">
        <v>0.521644</v>
      </c>
      <c r="I103" s="14">
        <v>99.456598999999997</v>
      </c>
      <c r="J103" s="14">
        <v>0.116881</v>
      </c>
      <c r="K103" s="14">
        <v>0.29709400000000002</v>
      </c>
      <c r="L103" s="14"/>
      <c r="M103" s="14">
        <v>1.24864</v>
      </c>
      <c r="N103" s="14">
        <v>5794</v>
      </c>
      <c r="O103" s="14">
        <v>5754.8988339999996</v>
      </c>
      <c r="P103" s="14">
        <v>1530.5581999999999</v>
      </c>
      <c r="Q103" s="14">
        <v>1236.614851</v>
      </c>
      <c r="R103" s="14">
        <v>0.164074</v>
      </c>
      <c r="S103" s="14">
        <v>3.6517840000000001</v>
      </c>
      <c r="T103" s="14">
        <v>3.520238</v>
      </c>
      <c r="U103" s="14">
        <v>3.7368549999999998</v>
      </c>
      <c r="V103" s="14">
        <v>16.174983000000001</v>
      </c>
      <c r="W103" s="14">
        <v>3.4</v>
      </c>
      <c r="X103" s="16">
        <v>42802</v>
      </c>
      <c r="Y103" s="14">
        <v>1</v>
      </c>
      <c r="Z103" s="14" t="s">
        <v>367</v>
      </c>
      <c r="AA103" s="14" t="s">
        <v>349</v>
      </c>
      <c r="AB103" s="14">
        <v>0.186111</v>
      </c>
      <c r="AC103" s="14">
        <v>1.1146750000000001</v>
      </c>
      <c r="AD103" s="14"/>
      <c r="AE103" s="14">
        <v>4.6954029999999998</v>
      </c>
      <c r="AF103" s="14">
        <v>-7.6962000000000003E-2</v>
      </c>
      <c r="AG103" s="14">
        <v>0.47336499999999998</v>
      </c>
      <c r="AH103" s="14"/>
      <c r="AI103" s="14">
        <v>1.5740799999999999</v>
      </c>
      <c r="AJ103" s="14">
        <v>100</v>
      </c>
      <c r="AK103" s="14" t="s">
        <v>39</v>
      </c>
      <c r="AL103" s="14" t="s">
        <v>350</v>
      </c>
      <c r="AM103" s="14">
        <v>0.164074</v>
      </c>
      <c r="AN103" s="14">
        <v>0.164074</v>
      </c>
      <c r="AO103" s="14"/>
    </row>
    <row r="104" spans="1:41" x14ac:dyDescent="0.2">
      <c r="A104" s="14" t="s">
        <v>369</v>
      </c>
      <c r="B104" s="14" t="s">
        <v>370</v>
      </c>
      <c r="C104" s="14" t="s">
        <v>371</v>
      </c>
      <c r="D104" s="14" t="s">
        <v>37</v>
      </c>
      <c r="E104" s="16">
        <v>44914</v>
      </c>
      <c r="F104" s="14" t="s">
        <v>792</v>
      </c>
      <c r="G104" s="14">
        <v>98.267499999999998</v>
      </c>
      <c r="H104" s="14">
        <v>1.294521</v>
      </c>
      <c r="I104" s="14">
        <v>100.466053</v>
      </c>
      <c r="J104" s="14">
        <v>5.8451999999999997E-2</v>
      </c>
      <c r="K104" s="14">
        <v>0.41150599999999998</v>
      </c>
      <c r="L104" s="14">
        <v>-0.81831799999999999</v>
      </c>
      <c r="M104" s="14">
        <v>1.1879919999999999</v>
      </c>
      <c r="N104" s="14">
        <v>9103.35</v>
      </c>
      <c r="O104" s="14">
        <v>9063.4791980000009</v>
      </c>
      <c r="P104" s="14">
        <v>2410.4997870000002</v>
      </c>
      <c r="Q104" s="14">
        <v>1947.563858</v>
      </c>
      <c r="R104" s="14">
        <v>0.25840200000000002</v>
      </c>
      <c r="S104" s="14">
        <v>4.2994349999999999</v>
      </c>
      <c r="T104" s="14">
        <v>4.137575</v>
      </c>
      <c r="U104" s="14">
        <v>3.9119540000000002</v>
      </c>
      <c r="V104" s="14">
        <v>21.929234999999998</v>
      </c>
      <c r="W104" s="14">
        <v>3.5</v>
      </c>
      <c r="X104" s="16">
        <v>42312</v>
      </c>
      <c r="Y104" s="14">
        <v>1</v>
      </c>
      <c r="Z104" s="14" t="s">
        <v>370</v>
      </c>
      <c r="AA104" s="14" t="s">
        <v>349</v>
      </c>
      <c r="AB104" s="14">
        <v>0.127641</v>
      </c>
      <c r="AC104" s="14">
        <v>1.2300199999999999</v>
      </c>
      <c r="AD104" s="14">
        <v>11.549056999999999</v>
      </c>
      <c r="AE104" s="14">
        <v>4.6326890000000001</v>
      </c>
      <c r="AF104" s="14">
        <v>-0.13527800000000001</v>
      </c>
      <c r="AG104" s="14">
        <v>0.587978</v>
      </c>
      <c r="AH104" s="14">
        <v>-3.5786069999999999</v>
      </c>
      <c r="AI104" s="14">
        <v>1.5132369999999999</v>
      </c>
      <c r="AJ104" s="14">
        <v>100</v>
      </c>
      <c r="AK104" s="14" t="s">
        <v>39</v>
      </c>
      <c r="AL104" s="14" t="s">
        <v>350</v>
      </c>
      <c r="AM104" s="14">
        <v>0.25840200000000002</v>
      </c>
      <c r="AN104" s="14">
        <v>0.25840200000000002</v>
      </c>
      <c r="AO104" s="14"/>
    </row>
    <row r="105" spans="1:41" x14ac:dyDescent="0.2">
      <c r="A105" s="14" t="s">
        <v>372</v>
      </c>
      <c r="B105" s="14" t="s">
        <v>373</v>
      </c>
      <c r="C105" s="14" t="s">
        <v>374</v>
      </c>
      <c r="D105" s="14" t="s">
        <v>37</v>
      </c>
      <c r="E105" s="16">
        <v>45042</v>
      </c>
      <c r="F105" s="14" t="s">
        <v>792</v>
      </c>
      <c r="G105" s="14">
        <v>108.446</v>
      </c>
      <c r="H105" s="14">
        <v>0.112192</v>
      </c>
      <c r="I105" s="14">
        <v>130.482934</v>
      </c>
      <c r="J105" s="14">
        <v>7.6263999999999998E-2</v>
      </c>
      <c r="K105" s="14">
        <v>0.41014</v>
      </c>
      <c r="L105" s="14">
        <v>-0.71066300000000004</v>
      </c>
      <c r="M105" s="14">
        <v>1.102125</v>
      </c>
      <c r="N105" s="14">
        <v>9274.6200000000008</v>
      </c>
      <c r="O105" s="14">
        <v>10068.359767</v>
      </c>
      <c r="P105" s="14">
        <v>2677.7552569999998</v>
      </c>
      <c r="Q105" s="14">
        <v>2163.4929769999999</v>
      </c>
      <c r="R105" s="14">
        <v>0.28705199999999997</v>
      </c>
      <c r="S105" s="14">
        <v>4.4802119999999999</v>
      </c>
      <c r="T105" s="14">
        <v>4.3099119999999997</v>
      </c>
      <c r="U105" s="14">
        <v>3.951346</v>
      </c>
      <c r="V105" s="14">
        <v>23.896692000000002</v>
      </c>
      <c r="W105" s="14">
        <v>5.85</v>
      </c>
      <c r="X105" s="16">
        <v>41302</v>
      </c>
      <c r="Y105" s="14">
        <v>1</v>
      </c>
      <c r="Z105" s="14" t="s">
        <v>373</v>
      </c>
      <c r="AA105" s="14" t="s">
        <v>349</v>
      </c>
      <c r="AB105" s="14">
        <v>0.14546600000000001</v>
      </c>
      <c r="AC105" s="14">
        <v>1.2286429999999999</v>
      </c>
      <c r="AD105" s="14">
        <v>11.670135999999999</v>
      </c>
      <c r="AE105" s="14">
        <v>4.5438989999999997</v>
      </c>
      <c r="AF105" s="14">
        <v>-0.11749999999999999</v>
      </c>
      <c r="AG105" s="14">
        <v>0.58660900000000005</v>
      </c>
      <c r="AH105" s="14">
        <v>-3.4739469999999999</v>
      </c>
      <c r="AI105" s="14">
        <v>1.4270940000000001</v>
      </c>
      <c r="AJ105" s="14">
        <v>100</v>
      </c>
      <c r="AK105" s="14" t="s">
        <v>39</v>
      </c>
      <c r="AL105" s="14" t="s">
        <v>350</v>
      </c>
      <c r="AM105" s="14">
        <v>0.28705199999999997</v>
      </c>
      <c r="AN105" s="14">
        <v>0.28705199999999997</v>
      </c>
      <c r="AO105" s="14"/>
    </row>
    <row r="106" spans="1:41" x14ac:dyDescent="0.2">
      <c r="A106" s="14" t="s">
        <v>375</v>
      </c>
      <c r="B106" s="14" t="s">
        <v>376</v>
      </c>
      <c r="C106" s="14" t="s">
        <v>377</v>
      </c>
      <c r="D106" s="14" t="s">
        <v>37</v>
      </c>
      <c r="E106" s="16">
        <v>45411</v>
      </c>
      <c r="F106" s="14" t="s">
        <v>793</v>
      </c>
      <c r="G106" s="14">
        <v>95.287000000000006</v>
      </c>
      <c r="H106" s="14">
        <v>3.5616000000000002E-2</v>
      </c>
      <c r="I106" s="14">
        <v>99.262835999999993</v>
      </c>
      <c r="J106" s="14">
        <v>0.224361</v>
      </c>
      <c r="K106" s="14">
        <v>0.39857799999999999</v>
      </c>
      <c r="L106" s="14"/>
      <c r="M106" s="14">
        <v>0.86188699999999996</v>
      </c>
      <c r="N106" s="14">
        <v>6438.73</v>
      </c>
      <c r="O106" s="14">
        <v>6137.5659009999999</v>
      </c>
      <c r="P106" s="14">
        <v>1632.331357</v>
      </c>
      <c r="Q106" s="14">
        <v>1318.842496</v>
      </c>
      <c r="R106" s="14">
        <v>0.174984</v>
      </c>
      <c r="S106" s="14">
        <v>5.5229509999999999</v>
      </c>
      <c r="T106" s="14">
        <v>5.302683</v>
      </c>
      <c r="U106" s="14">
        <v>4.1539000000000001</v>
      </c>
      <c r="V106" s="14">
        <v>34.608808000000003</v>
      </c>
      <c r="W106" s="14">
        <v>3.25</v>
      </c>
      <c r="X106" s="16">
        <v>42611</v>
      </c>
      <c r="Y106" s="14">
        <v>1</v>
      </c>
      <c r="Z106" s="14" t="s">
        <v>376</v>
      </c>
      <c r="AA106" s="14" t="s">
        <v>349</v>
      </c>
      <c r="AB106" s="14">
        <v>0.29366500000000001</v>
      </c>
      <c r="AC106" s="14">
        <v>1.216987</v>
      </c>
      <c r="AD106" s="14"/>
      <c r="AE106" s="14">
        <v>4.2954829999999999</v>
      </c>
      <c r="AF106" s="14">
        <v>3.031E-2</v>
      </c>
      <c r="AG106" s="14">
        <v>0.57502699999999995</v>
      </c>
      <c r="AH106" s="14"/>
      <c r="AI106" s="14">
        <v>1.1860839999999999</v>
      </c>
      <c r="AJ106" s="14">
        <v>100</v>
      </c>
      <c r="AK106" s="14" t="s">
        <v>39</v>
      </c>
      <c r="AL106" s="14" t="s">
        <v>350</v>
      </c>
      <c r="AM106" s="14">
        <v>0.174984</v>
      </c>
      <c r="AN106" s="14">
        <v>0.174984</v>
      </c>
      <c r="AO106" s="14"/>
    </row>
    <row r="107" spans="1:41" x14ac:dyDescent="0.2">
      <c r="A107" s="14" t="s">
        <v>378</v>
      </c>
      <c r="B107" s="14" t="s">
        <v>379</v>
      </c>
      <c r="C107" s="14" t="s">
        <v>380</v>
      </c>
      <c r="D107" s="14" t="s">
        <v>37</v>
      </c>
      <c r="E107" s="16">
        <v>45712</v>
      </c>
      <c r="F107" s="14" t="s">
        <v>793</v>
      </c>
      <c r="G107" s="14">
        <v>103.5325</v>
      </c>
      <c r="H107" s="14">
        <v>0.88493200000000005</v>
      </c>
      <c r="I107" s="14">
        <v>100.544341</v>
      </c>
      <c r="J107" s="14">
        <v>1.7283E-2</v>
      </c>
      <c r="K107" s="14">
        <v>0.50880300000000001</v>
      </c>
      <c r="L107" s="14">
        <v>-0.31600299999999998</v>
      </c>
      <c r="M107" s="14">
        <v>1.243187</v>
      </c>
      <c r="N107" s="14">
        <v>9101.15</v>
      </c>
      <c r="O107" s="14">
        <v>9503.1870679999993</v>
      </c>
      <c r="P107" s="14">
        <v>2527.4433690000001</v>
      </c>
      <c r="Q107" s="14">
        <v>2042.048452</v>
      </c>
      <c r="R107" s="14">
        <v>0.27093899999999999</v>
      </c>
      <c r="S107" s="14">
        <v>5.9476339999999999</v>
      </c>
      <c r="T107" s="14">
        <v>5.711049</v>
      </c>
      <c r="U107" s="14">
        <v>4.1425840000000003</v>
      </c>
      <c r="V107" s="14">
        <v>40.938302999999998</v>
      </c>
      <c r="W107" s="14">
        <v>4.75</v>
      </c>
      <c r="X107" s="16">
        <v>41850</v>
      </c>
      <c r="Y107" s="14">
        <v>1</v>
      </c>
      <c r="Z107" s="14" t="s">
        <v>379</v>
      </c>
      <c r="AA107" s="14" t="s">
        <v>349</v>
      </c>
      <c r="AB107" s="14">
        <v>8.6443000000000006E-2</v>
      </c>
      <c r="AC107" s="14">
        <v>1.3281099999999999</v>
      </c>
      <c r="AD107" s="14">
        <v>12.114008</v>
      </c>
      <c r="AE107" s="14">
        <v>4.6897640000000003</v>
      </c>
      <c r="AF107" s="14">
        <v>-0.176367</v>
      </c>
      <c r="AG107" s="14">
        <v>0.685446</v>
      </c>
      <c r="AH107" s="14">
        <v>-3.090271</v>
      </c>
      <c r="AI107" s="14">
        <v>1.5686100000000001</v>
      </c>
      <c r="AJ107" s="14">
        <v>100</v>
      </c>
      <c r="AK107" s="14" t="s">
        <v>39</v>
      </c>
      <c r="AL107" s="14" t="s">
        <v>350</v>
      </c>
      <c r="AM107" s="14">
        <v>0.27093899999999999</v>
      </c>
      <c r="AN107" s="14">
        <v>0.27093899999999999</v>
      </c>
      <c r="AO107" s="14"/>
    </row>
    <row r="108" spans="1:41" x14ac:dyDescent="0.2">
      <c r="A108" s="14" t="s">
        <v>381</v>
      </c>
      <c r="B108" s="14" t="s">
        <v>382</v>
      </c>
      <c r="C108" s="14" t="s">
        <v>383</v>
      </c>
      <c r="D108" s="14" t="s">
        <v>37</v>
      </c>
      <c r="E108" s="16">
        <v>46594</v>
      </c>
      <c r="F108" s="14" t="s">
        <v>794</v>
      </c>
      <c r="G108" s="14">
        <v>110.4845</v>
      </c>
      <c r="H108" s="14">
        <v>4.4652050000000001</v>
      </c>
      <c r="I108" s="14">
        <v>99.365887999999998</v>
      </c>
      <c r="J108" s="14">
        <v>0.28789399999999998</v>
      </c>
      <c r="K108" s="14">
        <v>0.63466100000000003</v>
      </c>
      <c r="L108" s="14">
        <v>-0.99898200000000004</v>
      </c>
      <c r="M108" s="14">
        <v>0.50706200000000001</v>
      </c>
      <c r="N108" s="14">
        <v>9795.6200000000008</v>
      </c>
      <c r="O108" s="14">
        <v>11260.036340000001</v>
      </c>
      <c r="P108" s="14">
        <v>2994.6905160000001</v>
      </c>
      <c r="Q108" s="14">
        <v>2419.560892</v>
      </c>
      <c r="R108" s="14">
        <v>0.32102700000000001</v>
      </c>
      <c r="S108" s="14">
        <v>7.2158129999999998</v>
      </c>
      <c r="T108" s="14">
        <v>6.9122349999999999</v>
      </c>
      <c r="U108" s="14">
        <v>4.3918939999999997</v>
      </c>
      <c r="V108" s="14">
        <v>62.762058000000003</v>
      </c>
      <c r="W108" s="14">
        <v>5.8</v>
      </c>
      <c r="X108" s="16">
        <v>40966</v>
      </c>
      <c r="Y108" s="14">
        <v>1</v>
      </c>
      <c r="Z108" s="14" t="s">
        <v>382</v>
      </c>
      <c r="AA108" s="14" t="s">
        <v>349</v>
      </c>
      <c r="AB108" s="14">
        <v>0.357242</v>
      </c>
      <c r="AC108" s="14">
        <v>1.4549939999999999</v>
      </c>
      <c r="AD108" s="14">
        <v>11.345865999999999</v>
      </c>
      <c r="AE108" s="14">
        <v>3.928579</v>
      </c>
      <c r="AF108" s="14">
        <v>9.3719999999999998E-2</v>
      </c>
      <c r="AG108" s="14">
        <v>0.81152500000000005</v>
      </c>
      <c r="AH108" s="14">
        <v>-3.7542420000000001</v>
      </c>
      <c r="AI108" s="14">
        <v>0.83011900000000005</v>
      </c>
      <c r="AJ108" s="14">
        <v>100</v>
      </c>
      <c r="AK108" s="14" t="s">
        <v>39</v>
      </c>
      <c r="AL108" s="14" t="s">
        <v>350</v>
      </c>
      <c r="AM108" s="14">
        <v>0.32102700000000001</v>
      </c>
      <c r="AN108" s="14">
        <v>0.32102700000000001</v>
      </c>
      <c r="AO108" s="14"/>
    </row>
    <row r="109" spans="1:41" x14ac:dyDescent="0.2">
      <c r="A109" s="14" t="s">
        <v>386</v>
      </c>
      <c r="B109" s="14" t="s">
        <v>387</v>
      </c>
      <c r="C109" s="14" t="s">
        <v>388</v>
      </c>
      <c r="D109" s="14" t="s">
        <v>37</v>
      </c>
      <c r="E109" s="16">
        <v>43810</v>
      </c>
      <c r="F109" s="14" t="s">
        <v>791</v>
      </c>
      <c r="G109" s="14">
        <v>100.1</v>
      </c>
      <c r="H109" s="14">
        <v>2.6082190000000001</v>
      </c>
      <c r="I109" s="14">
        <v>142.67436699999999</v>
      </c>
      <c r="J109" s="14">
        <v>1.7697000000000001E-2</v>
      </c>
      <c r="K109" s="14">
        <v>-0.54672600000000005</v>
      </c>
      <c r="L109" s="14">
        <v>10.705208000000001</v>
      </c>
      <c r="M109" s="14">
        <v>2.0158999999999998</v>
      </c>
      <c r="N109" s="14">
        <v>150000</v>
      </c>
      <c r="O109" s="14">
        <v>154062.328767</v>
      </c>
      <c r="P109" s="14">
        <v>2517.2040729999999</v>
      </c>
      <c r="Q109" s="14">
        <v>2033.7756099999999</v>
      </c>
      <c r="R109" s="14">
        <v>0.269841</v>
      </c>
      <c r="S109" s="14">
        <v>1.5181579999999999</v>
      </c>
      <c r="T109" s="14">
        <v>1.4685900000000001</v>
      </c>
      <c r="U109" s="14">
        <v>6.7505420000000003</v>
      </c>
      <c r="V109" s="14">
        <v>2.9650089999999998</v>
      </c>
      <c r="W109" s="14">
        <v>6.8</v>
      </c>
      <c r="X109" s="16">
        <v>41262</v>
      </c>
      <c r="Y109" s="14">
        <v>2</v>
      </c>
      <c r="Z109" s="14" t="s">
        <v>387</v>
      </c>
      <c r="AA109" s="14" t="s">
        <v>384</v>
      </c>
      <c r="AB109" s="14">
        <v>0.53042</v>
      </c>
      <c r="AC109" s="14">
        <v>-6.5651489999999999</v>
      </c>
      <c r="AD109" s="14">
        <v>1.543647</v>
      </c>
      <c r="AE109" s="14">
        <v>-4.0388400000000004</v>
      </c>
      <c r="AF109" s="14">
        <v>0.26644299999999999</v>
      </c>
      <c r="AG109" s="14">
        <v>-7.1577510000000002</v>
      </c>
      <c r="AH109" s="14">
        <v>-12.227138</v>
      </c>
      <c r="AI109" s="14">
        <v>-6.8997650000000004</v>
      </c>
      <c r="AJ109" s="14">
        <v>100</v>
      </c>
      <c r="AK109" s="14" t="s">
        <v>39</v>
      </c>
      <c r="AL109" s="14" t="s">
        <v>385</v>
      </c>
      <c r="AM109" s="14">
        <v>0.269841</v>
      </c>
      <c r="AN109" s="14">
        <v>0.269841</v>
      </c>
      <c r="AO109" s="14"/>
    </row>
    <row r="110" spans="1:41" x14ac:dyDescent="0.2">
      <c r="A110" s="14" t="s">
        <v>389</v>
      </c>
      <c r="B110" s="14" t="s">
        <v>390</v>
      </c>
      <c r="C110" s="14" t="s">
        <v>391</v>
      </c>
      <c r="D110" s="14" t="s">
        <v>37</v>
      </c>
      <c r="E110" s="16">
        <v>43978</v>
      </c>
      <c r="F110" s="14" t="s">
        <v>791</v>
      </c>
      <c r="G110" s="14">
        <v>99.185000000000002</v>
      </c>
      <c r="H110" s="14">
        <v>2.7002739999999998</v>
      </c>
      <c r="I110" s="14">
        <v>133.561038</v>
      </c>
      <c r="J110" s="14">
        <v>0.10047200000000001</v>
      </c>
      <c r="K110" s="14">
        <v>-0.84557300000000002</v>
      </c>
      <c r="L110" s="14">
        <v>10.721938</v>
      </c>
      <c r="M110" s="14">
        <v>2.051555</v>
      </c>
      <c r="N110" s="14">
        <v>225518.679</v>
      </c>
      <c r="O110" s="14">
        <v>229770.323959</v>
      </c>
      <c r="P110" s="14">
        <v>3754.1870220000001</v>
      </c>
      <c r="Q110" s="14">
        <v>3033.196269</v>
      </c>
      <c r="R110" s="14">
        <v>0.40244400000000002</v>
      </c>
      <c r="S110" s="14">
        <v>1.924814</v>
      </c>
      <c r="T110" s="14">
        <v>1.8611009999999999</v>
      </c>
      <c r="U110" s="14">
        <v>6.8468220000000004</v>
      </c>
      <c r="V110" s="14">
        <v>4.5575609999999998</v>
      </c>
      <c r="W110" s="14">
        <v>6.4</v>
      </c>
      <c r="X110" s="16">
        <v>41570</v>
      </c>
      <c r="Y110" s="14">
        <v>2</v>
      </c>
      <c r="Z110" s="14" t="s">
        <v>390</v>
      </c>
      <c r="AA110" s="14" t="s">
        <v>384</v>
      </c>
      <c r="AB110" s="14">
        <v>0.61361900000000003</v>
      </c>
      <c r="AC110" s="14">
        <v>-6.8459120000000002</v>
      </c>
      <c r="AD110" s="14">
        <v>1.5589919999999999</v>
      </c>
      <c r="AE110" s="14">
        <v>-4.0053000000000001</v>
      </c>
      <c r="AF110" s="14">
        <v>0.34942400000000001</v>
      </c>
      <c r="AG110" s="14">
        <v>-7.4367330000000003</v>
      </c>
      <c r="AH110" s="14">
        <v>-12.213874000000001</v>
      </c>
      <c r="AI110" s="14">
        <v>-6.8672250000000004</v>
      </c>
      <c r="AJ110" s="14">
        <v>100</v>
      </c>
      <c r="AK110" s="14" t="s">
        <v>39</v>
      </c>
      <c r="AL110" s="14" t="s">
        <v>385</v>
      </c>
      <c r="AM110" s="14">
        <v>0.40244400000000002</v>
      </c>
      <c r="AN110" s="14">
        <v>0.40244400000000002</v>
      </c>
      <c r="AO110" s="14"/>
    </row>
    <row r="111" spans="1:41" x14ac:dyDescent="0.2">
      <c r="A111" s="14" t="s">
        <v>392</v>
      </c>
      <c r="B111" s="14" t="s">
        <v>393</v>
      </c>
      <c r="C111" s="14" t="s">
        <v>394</v>
      </c>
      <c r="D111" s="14" t="s">
        <v>37</v>
      </c>
      <c r="E111" s="16">
        <v>44300</v>
      </c>
      <c r="F111" s="14" t="s">
        <v>791</v>
      </c>
      <c r="G111" s="14">
        <v>102.2505</v>
      </c>
      <c r="H111" s="14">
        <v>0.29150700000000002</v>
      </c>
      <c r="I111" s="14">
        <v>172.32017200000001</v>
      </c>
      <c r="J111" s="14">
        <v>0.16730800000000001</v>
      </c>
      <c r="K111" s="14">
        <v>-0.710206</v>
      </c>
      <c r="L111" s="14">
        <v>11.292942999999999</v>
      </c>
      <c r="M111" s="14">
        <v>2.0436019999999999</v>
      </c>
      <c r="N111" s="14">
        <v>150000</v>
      </c>
      <c r="O111" s="14">
        <v>153813.010274</v>
      </c>
      <c r="P111" s="14">
        <v>2513.1304909999999</v>
      </c>
      <c r="Q111" s="14">
        <v>2030.484359</v>
      </c>
      <c r="R111" s="14">
        <v>0.26940399999999998</v>
      </c>
      <c r="S111" s="14">
        <v>2.7007310000000002</v>
      </c>
      <c r="T111" s="14">
        <v>2.6123500000000002</v>
      </c>
      <c r="U111" s="14">
        <v>6.7663960000000003</v>
      </c>
      <c r="V111" s="14">
        <v>8.4769679999999994</v>
      </c>
      <c r="W111" s="14">
        <v>7.6</v>
      </c>
      <c r="X111" s="16">
        <v>40646</v>
      </c>
      <c r="Y111" s="14">
        <v>2</v>
      </c>
      <c r="Z111" s="14" t="s">
        <v>393</v>
      </c>
      <c r="AA111" s="14" t="s">
        <v>384</v>
      </c>
      <c r="AB111" s="14">
        <v>0.68079699999999999</v>
      </c>
      <c r="AC111" s="14">
        <v>-6.7187359999999998</v>
      </c>
      <c r="AD111" s="14">
        <v>2.0827439999999999</v>
      </c>
      <c r="AE111" s="14">
        <v>-4.0127810000000004</v>
      </c>
      <c r="AF111" s="14">
        <v>0.41642600000000002</v>
      </c>
      <c r="AG111" s="14">
        <v>-7.3103639999999999</v>
      </c>
      <c r="AH111" s="14">
        <v>-11.761151</v>
      </c>
      <c r="AI111" s="14">
        <v>-6.8744829999999997</v>
      </c>
      <c r="AJ111" s="14">
        <v>100</v>
      </c>
      <c r="AK111" s="14" t="s">
        <v>39</v>
      </c>
      <c r="AL111" s="14" t="s">
        <v>385</v>
      </c>
      <c r="AM111" s="14">
        <v>0.26940399999999998</v>
      </c>
      <c r="AN111" s="14">
        <v>0.26940399999999998</v>
      </c>
      <c r="AO111" s="14"/>
    </row>
    <row r="112" spans="1:41" x14ac:dyDescent="0.2">
      <c r="A112" s="14" t="s">
        <v>395</v>
      </c>
      <c r="B112" s="14" t="s">
        <v>396</v>
      </c>
      <c r="C112" s="14" t="s">
        <v>397</v>
      </c>
      <c r="D112" s="14" t="s">
        <v>37</v>
      </c>
      <c r="E112" s="16">
        <v>44426</v>
      </c>
      <c r="F112" s="14" t="s">
        <v>792</v>
      </c>
      <c r="G112" s="14">
        <v>101.88</v>
      </c>
      <c r="H112" s="14">
        <v>1.438356</v>
      </c>
      <c r="I112" s="14">
        <v>121.37809300000001</v>
      </c>
      <c r="J112" s="14">
        <v>0.194989</v>
      </c>
      <c r="K112" s="14">
        <v>-1.0758030000000001</v>
      </c>
      <c r="L112" s="14">
        <v>11.332623999999999</v>
      </c>
      <c r="M112" s="14">
        <v>2.2006190000000001</v>
      </c>
      <c r="N112" s="14">
        <v>290000</v>
      </c>
      <c r="O112" s="14">
        <v>299623.232877</v>
      </c>
      <c r="P112" s="14">
        <v>4895.5044889999999</v>
      </c>
      <c r="Q112" s="14">
        <v>3955.3239789999998</v>
      </c>
      <c r="R112" s="14">
        <v>0.52479200000000004</v>
      </c>
      <c r="S112" s="14">
        <v>2.9517660000000001</v>
      </c>
      <c r="T112" s="14">
        <v>2.8537330000000001</v>
      </c>
      <c r="U112" s="14">
        <v>6.8705309999999997</v>
      </c>
      <c r="V112" s="14">
        <v>10.138111</v>
      </c>
      <c r="W112" s="14">
        <v>7.5</v>
      </c>
      <c r="X112" s="16">
        <v>42404</v>
      </c>
      <c r="Y112" s="14">
        <v>2</v>
      </c>
      <c r="Z112" s="14" t="s">
        <v>396</v>
      </c>
      <c r="AA112" s="14" t="s">
        <v>384</v>
      </c>
      <c r="AB112" s="14">
        <v>0.70862099999999995</v>
      </c>
      <c r="AC112" s="14">
        <v>-7.0622090000000002</v>
      </c>
      <c r="AD112" s="14">
        <v>2.1191409999999999</v>
      </c>
      <c r="AE112" s="14">
        <v>-3.8650829999999998</v>
      </c>
      <c r="AF112" s="14">
        <v>0.44417600000000002</v>
      </c>
      <c r="AG112" s="14">
        <v>-7.6516590000000004</v>
      </c>
      <c r="AH112" s="14">
        <v>-11.72969</v>
      </c>
      <c r="AI112" s="14">
        <v>-6.7311889999999996</v>
      </c>
      <c r="AJ112" s="14">
        <v>100</v>
      </c>
      <c r="AK112" s="14" t="s">
        <v>39</v>
      </c>
      <c r="AL112" s="14" t="s">
        <v>385</v>
      </c>
      <c r="AM112" s="14">
        <v>0.52479200000000004</v>
      </c>
      <c r="AN112" s="14">
        <v>0.52479200000000004</v>
      </c>
      <c r="AO112" s="14"/>
    </row>
    <row r="113" spans="1:41" x14ac:dyDescent="0.2">
      <c r="A113" s="14" t="s">
        <v>812</v>
      </c>
      <c r="B113" s="14" t="s">
        <v>813</v>
      </c>
      <c r="C113" s="14" t="s">
        <v>814</v>
      </c>
      <c r="D113" s="14" t="s">
        <v>37</v>
      </c>
      <c r="E113" s="16">
        <v>44545</v>
      </c>
      <c r="F113" s="14" t="s">
        <v>792</v>
      </c>
      <c r="G113" s="14">
        <v>100.34950000000001</v>
      </c>
      <c r="H113" s="14">
        <v>3.893151</v>
      </c>
      <c r="I113" s="14">
        <v>101.298349</v>
      </c>
      <c r="J113" s="14">
        <v>8.9199000000000001E-2</v>
      </c>
      <c r="K113" s="14">
        <v>-1.1219319999999999</v>
      </c>
      <c r="L113" s="14"/>
      <c r="M113" s="14"/>
      <c r="N113" s="14">
        <v>194999.973</v>
      </c>
      <c r="O113" s="14">
        <v>203273.14069</v>
      </c>
      <c r="P113" s="14">
        <v>3321.2530390000002</v>
      </c>
      <c r="Q113" s="14">
        <v>2683.407158</v>
      </c>
      <c r="R113" s="14">
        <v>0.35603400000000002</v>
      </c>
      <c r="S113" s="14">
        <v>3.1518030000000001</v>
      </c>
      <c r="T113" s="14">
        <v>3.0466829999999998</v>
      </c>
      <c r="U113" s="14">
        <v>6.9005910000000004</v>
      </c>
      <c r="V113" s="14">
        <v>11.728139000000001</v>
      </c>
      <c r="W113" s="14">
        <v>7</v>
      </c>
      <c r="X113" s="16">
        <v>43019</v>
      </c>
      <c r="Y113" s="14">
        <v>2</v>
      </c>
      <c r="Z113" s="14" t="s">
        <v>813</v>
      </c>
      <c r="AA113" s="14" t="s">
        <v>384</v>
      </c>
      <c r="AB113" s="14">
        <v>0.60228800000000005</v>
      </c>
      <c r="AC113" s="14">
        <v>-7.1055460000000004</v>
      </c>
      <c r="AD113" s="14"/>
      <c r="AE113" s="14"/>
      <c r="AF113" s="14">
        <v>0.33812300000000001</v>
      </c>
      <c r="AG113" s="14">
        <v>-7.6947210000000004</v>
      </c>
      <c r="AH113" s="14"/>
      <c r="AI113" s="14"/>
      <c r="AJ113" s="14">
        <v>100</v>
      </c>
      <c r="AK113" s="14" t="s">
        <v>39</v>
      </c>
      <c r="AL113" s="14" t="s">
        <v>385</v>
      </c>
      <c r="AM113" s="14">
        <v>0.35603400000000002</v>
      </c>
      <c r="AN113" s="14">
        <v>0.35603400000000002</v>
      </c>
      <c r="AO113" s="14"/>
    </row>
    <row r="114" spans="1:41" x14ac:dyDescent="0.2">
      <c r="A114" s="14" t="s">
        <v>398</v>
      </c>
      <c r="B114" s="14" t="s">
        <v>399</v>
      </c>
      <c r="C114" s="14" t="s">
        <v>400</v>
      </c>
      <c r="D114" s="14" t="s">
        <v>37</v>
      </c>
      <c r="E114" s="16">
        <v>44762</v>
      </c>
      <c r="F114" s="14" t="s">
        <v>792</v>
      </c>
      <c r="G114" s="14">
        <v>102.75</v>
      </c>
      <c r="H114" s="14">
        <v>2.0405479999999998</v>
      </c>
      <c r="I114" s="14">
        <v>150.70165299999999</v>
      </c>
      <c r="J114" s="14">
        <v>0.16370199999999999</v>
      </c>
      <c r="K114" s="14">
        <v>-1.367408</v>
      </c>
      <c r="L114" s="14">
        <v>11.707185000000001</v>
      </c>
      <c r="M114" s="14">
        <v>2.3392819999999999</v>
      </c>
      <c r="N114" s="14">
        <v>146118</v>
      </c>
      <c r="O114" s="14">
        <v>153117.852847</v>
      </c>
      <c r="P114" s="14">
        <v>2501.7724050000002</v>
      </c>
      <c r="Q114" s="14">
        <v>2021.307591</v>
      </c>
      <c r="R114" s="14">
        <v>0.26818700000000001</v>
      </c>
      <c r="S114" s="14">
        <v>3.6319940000000002</v>
      </c>
      <c r="T114" s="14">
        <v>3.511603</v>
      </c>
      <c r="U114" s="14">
        <v>6.8567479999999996</v>
      </c>
      <c r="V114" s="14">
        <v>15.317693</v>
      </c>
      <c r="W114" s="14">
        <v>7.6</v>
      </c>
      <c r="X114" s="16">
        <v>41122</v>
      </c>
      <c r="Y114" s="14">
        <v>2</v>
      </c>
      <c r="Z114" s="14" t="s">
        <v>399</v>
      </c>
      <c r="AA114" s="14" t="s">
        <v>384</v>
      </c>
      <c r="AB114" s="14">
        <v>0.67717400000000005</v>
      </c>
      <c r="AC114" s="14">
        <v>-7.3361679999999998</v>
      </c>
      <c r="AD114" s="14">
        <v>2.462704</v>
      </c>
      <c r="AE114" s="14">
        <v>-3.7346499999999998</v>
      </c>
      <c r="AF114" s="14">
        <v>0.41281200000000001</v>
      </c>
      <c r="AG114" s="14">
        <v>-7.9238799999999996</v>
      </c>
      <c r="AH114" s="14">
        <v>-11.432719000000001</v>
      </c>
      <c r="AI114" s="14">
        <v>-6.6046440000000004</v>
      </c>
      <c r="AJ114" s="14">
        <v>100</v>
      </c>
      <c r="AK114" s="14" t="s">
        <v>39</v>
      </c>
      <c r="AL114" s="14" t="s">
        <v>385</v>
      </c>
      <c r="AM114" s="14">
        <v>0.26818700000000001</v>
      </c>
      <c r="AN114" s="14">
        <v>0.26818700000000001</v>
      </c>
      <c r="AO114" s="14"/>
    </row>
    <row r="115" spans="1:41" x14ac:dyDescent="0.2">
      <c r="A115" s="14" t="s">
        <v>401</v>
      </c>
      <c r="B115" s="14" t="s">
        <v>402</v>
      </c>
      <c r="C115" s="14" t="s">
        <v>403</v>
      </c>
      <c r="D115" s="14" t="s">
        <v>37</v>
      </c>
      <c r="E115" s="16">
        <v>44902</v>
      </c>
      <c r="F115" s="14" t="s">
        <v>792</v>
      </c>
      <c r="G115" s="14">
        <v>102.05</v>
      </c>
      <c r="H115" s="14">
        <v>2.8383560000000001</v>
      </c>
      <c r="I115" s="14">
        <v>110.926378</v>
      </c>
      <c r="J115" s="14">
        <v>0.16253300000000001</v>
      </c>
      <c r="K115" s="14">
        <v>-1.557528</v>
      </c>
      <c r="L115" s="14">
        <v>10.926378</v>
      </c>
      <c r="M115" s="14">
        <v>2.7993320000000002</v>
      </c>
      <c r="N115" s="14">
        <v>350000</v>
      </c>
      <c r="O115" s="14">
        <v>367109.246575</v>
      </c>
      <c r="P115" s="14">
        <v>5998.1495670000004</v>
      </c>
      <c r="Q115" s="14">
        <v>4846.2063239999998</v>
      </c>
      <c r="R115" s="14">
        <v>0.64299399999999995</v>
      </c>
      <c r="S115" s="14">
        <v>3.8902809999999999</v>
      </c>
      <c r="T115" s="14">
        <v>3.7606790000000001</v>
      </c>
      <c r="U115" s="14">
        <v>6.8924859999999999</v>
      </c>
      <c r="V115" s="14">
        <v>17.673121999999999</v>
      </c>
      <c r="W115" s="14">
        <v>7.4</v>
      </c>
      <c r="X115" s="16">
        <v>42767</v>
      </c>
      <c r="Y115" s="14">
        <v>2</v>
      </c>
      <c r="Z115" s="14" t="s">
        <v>402</v>
      </c>
      <c r="AA115" s="14" t="s">
        <v>384</v>
      </c>
      <c r="AB115" s="14">
        <v>0.67599799999999999</v>
      </c>
      <c r="AC115" s="14">
        <v>-7.5147820000000003</v>
      </c>
      <c r="AD115" s="14">
        <v>1.7465139999999999</v>
      </c>
      <c r="AE115" s="14">
        <v>-3.3019050000000001</v>
      </c>
      <c r="AF115" s="14">
        <v>0.41163899999999998</v>
      </c>
      <c r="AG115" s="14">
        <v>-8.1013610000000007</v>
      </c>
      <c r="AH115" s="14">
        <v>-12.051783</v>
      </c>
      <c r="AI115" s="14">
        <v>-6.1848000000000001</v>
      </c>
      <c r="AJ115" s="14">
        <v>100</v>
      </c>
      <c r="AK115" s="14" t="s">
        <v>39</v>
      </c>
      <c r="AL115" s="14" t="s">
        <v>385</v>
      </c>
      <c r="AM115" s="14">
        <v>0.64299399999999995</v>
      </c>
      <c r="AN115" s="14">
        <v>0.64299399999999995</v>
      </c>
      <c r="AO115" s="14"/>
    </row>
    <row r="116" spans="1:41" x14ac:dyDescent="0.2">
      <c r="A116" s="14" t="s">
        <v>404</v>
      </c>
      <c r="B116" s="14" t="s">
        <v>405</v>
      </c>
      <c r="C116" s="14" t="s">
        <v>406</v>
      </c>
      <c r="D116" s="14" t="s">
        <v>37</v>
      </c>
      <c r="E116" s="16">
        <v>44951</v>
      </c>
      <c r="F116" s="14" t="s">
        <v>792</v>
      </c>
      <c r="G116" s="14">
        <v>100.6</v>
      </c>
      <c r="H116" s="14">
        <v>1.7452049999999999</v>
      </c>
      <c r="I116" s="14">
        <v>148.57428400000001</v>
      </c>
      <c r="J116" s="14">
        <v>0.26385700000000001</v>
      </c>
      <c r="K116" s="14">
        <v>-1.613159</v>
      </c>
      <c r="L116" s="14">
        <v>12.21245</v>
      </c>
      <c r="M116" s="14">
        <v>2.4644979999999999</v>
      </c>
      <c r="N116" s="14">
        <v>150000</v>
      </c>
      <c r="O116" s="14">
        <v>153517.808219</v>
      </c>
      <c r="P116" s="14">
        <v>2508.3072229999998</v>
      </c>
      <c r="Q116" s="14">
        <v>2026.587399</v>
      </c>
      <c r="R116" s="14">
        <v>0.26888699999999999</v>
      </c>
      <c r="S116" s="14">
        <v>4.0524690000000003</v>
      </c>
      <c r="T116" s="14">
        <v>3.9179550000000001</v>
      </c>
      <c r="U116" s="14">
        <v>6.8665450000000003</v>
      </c>
      <c r="V116" s="14">
        <v>18.909935999999998</v>
      </c>
      <c r="W116" s="14">
        <v>7</v>
      </c>
      <c r="X116" s="16">
        <v>41290</v>
      </c>
      <c r="Y116" s="14">
        <v>2</v>
      </c>
      <c r="Z116" s="14" t="s">
        <v>405</v>
      </c>
      <c r="AA116" s="14" t="s">
        <v>384</v>
      </c>
      <c r="AB116" s="14">
        <v>0.777841</v>
      </c>
      <c r="AC116" s="14">
        <v>-7.5670469999999996</v>
      </c>
      <c r="AD116" s="14">
        <v>2.9261550000000001</v>
      </c>
      <c r="AE116" s="14">
        <v>-3.6168659999999999</v>
      </c>
      <c r="AF116" s="14">
        <v>0.51321499999999998</v>
      </c>
      <c r="AG116" s="14">
        <v>-8.1532940000000007</v>
      </c>
      <c r="AH116" s="14">
        <v>-11.032118000000001</v>
      </c>
      <c r="AI116" s="14">
        <v>-6.4903709999999997</v>
      </c>
      <c r="AJ116" s="14">
        <v>100</v>
      </c>
      <c r="AK116" s="14" t="s">
        <v>39</v>
      </c>
      <c r="AL116" s="14" t="s">
        <v>385</v>
      </c>
      <c r="AM116" s="14">
        <v>0.26888699999999999</v>
      </c>
      <c r="AN116" s="14">
        <v>0.26888699999999999</v>
      </c>
      <c r="AO116" s="14"/>
    </row>
    <row r="117" spans="1:41" x14ac:dyDescent="0.2">
      <c r="A117" s="14" t="s">
        <v>407</v>
      </c>
      <c r="B117" s="14" t="s">
        <v>408</v>
      </c>
      <c r="C117" s="14" t="s">
        <v>409</v>
      </c>
      <c r="D117" s="14" t="s">
        <v>37</v>
      </c>
      <c r="E117" s="16">
        <v>45154</v>
      </c>
      <c r="F117" s="14" t="s">
        <v>793</v>
      </c>
      <c r="G117" s="14">
        <v>100.6</v>
      </c>
      <c r="H117" s="14">
        <v>1.3424659999999999</v>
      </c>
      <c r="I117" s="14">
        <v>151.39159699999999</v>
      </c>
      <c r="J117" s="14">
        <v>0.215501</v>
      </c>
      <c r="K117" s="14">
        <v>-1.5527759999999999</v>
      </c>
      <c r="L117" s="14">
        <v>12.96477</v>
      </c>
      <c r="M117" s="14">
        <v>2.318708</v>
      </c>
      <c r="N117" s="14">
        <v>249999.99900000001</v>
      </c>
      <c r="O117" s="14">
        <v>254856.16336400001</v>
      </c>
      <c r="P117" s="14">
        <v>4164.0612440000004</v>
      </c>
      <c r="Q117" s="14">
        <v>3364.354241</v>
      </c>
      <c r="R117" s="14">
        <v>0.446382</v>
      </c>
      <c r="S117" s="14">
        <v>4.4642499999999998</v>
      </c>
      <c r="T117" s="14">
        <v>4.3157860000000001</v>
      </c>
      <c r="U117" s="14">
        <v>6.8800489999999996</v>
      </c>
      <c r="V117" s="14">
        <v>22.888797</v>
      </c>
      <c r="W117" s="14">
        <v>7</v>
      </c>
      <c r="X117" s="16">
        <v>41521</v>
      </c>
      <c r="Y117" s="14">
        <v>2</v>
      </c>
      <c r="Z117" s="14" t="s">
        <v>410</v>
      </c>
      <c r="AA117" s="14" t="s">
        <v>384</v>
      </c>
      <c r="AB117" s="14">
        <v>0.72923700000000002</v>
      </c>
      <c r="AC117" s="14">
        <v>-7.5103179999999998</v>
      </c>
      <c r="AD117" s="14">
        <v>3.6162160000000001</v>
      </c>
      <c r="AE117" s="14">
        <v>-3.754003</v>
      </c>
      <c r="AF117" s="14">
        <v>0.46473900000000001</v>
      </c>
      <c r="AG117" s="14">
        <v>-8.0969250000000006</v>
      </c>
      <c r="AH117" s="14">
        <v>-10.435639999999999</v>
      </c>
      <c r="AI117" s="14">
        <v>-6.6234200000000003</v>
      </c>
      <c r="AJ117" s="14">
        <v>100</v>
      </c>
      <c r="AK117" s="14" t="s">
        <v>39</v>
      </c>
      <c r="AL117" s="14" t="s">
        <v>385</v>
      </c>
      <c r="AM117" s="14">
        <v>0.446382</v>
      </c>
      <c r="AN117" s="14">
        <v>0.446382</v>
      </c>
      <c r="AO117" s="14"/>
    </row>
    <row r="118" spans="1:41" x14ac:dyDescent="0.2">
      <c r="A118" s="14" t="s">
        <v>411</v>
      </c>
      <c r="B118" s="14" t="s">
        <v>412</v>
      </c>
      <c r="C118" s="14" t="s">
        <v>413</v>
      </c>
      <c r="D118" s="14" t="s">
        <v>37</v>
      </c>
      <c r="E118" s="16">
        <v>45581</v>
      </c>
      <c r="F118" s="14" t="s">
        <v>793</v>
      </c>
      <c r="G118" s="14">
        <v>100.45650000000001</v>
      </c>
      <c r="H118" s="14">
        <v>0.13616400000000001</v>
      </c>
      <c r="I118" s="14">
        <v>109.819074</v>
      </c>
      <c r="J118" s="14">
        <v>0.30604700000000001</v>
      </c>
      <c r="K118" s="14">
        <v>-1.5638289999999999</v>
      </c>
      <c r="L118" s="14"/>
      <c r="M118" s="14">
        <v>2.8748269999999998</v>
      </c>
      <c r="N118" s="14">
        <v>350000</v>
      </c>
      <c r="O118" s="14">
        <v>352074.325342</v>
      </c>
      <c r="P118" s="14">
        <v>5752.4959719999997</v>
      </c>
      <c r="Q118" s="14">
        <v>4647.7304450000001</v>
      </c>
      <c r="R118" s="14">
        <v>0.61665999999999999</v>
      </c>
      <c r="S118" s="14">
        <v>5.2943769999999999</v>
      </c>
      <c r="T118" s="14">
        <v>5.1145899999999997</v>
      </c>
      <c r="U118" s="14">
        <v>7.0303740000000001</v>
      </c>
      <c r="V118" s="14">
        <v>32.096648000000002</v>
      </c>
      <c r="W118" s="14">
        <v>7.1</v>
      </c>
      <c r="X118" s="16">
        <v>42858</v>
      </c>
      <c r="Y118" s="14">
        <v>2</v>
      </c>
      <c r="Z118" s="14" t="s">
        <v>412</v>
      </c>
      <c r="AA118" s="14" t="s">
        <v>384</v>
      </c>
      <c r="AB118" s="14">
        <v>0.82024799999999998</v>
      </c>
      <c r="AC118" s="14">
        <v>-7.520702</v>
      </c>
      <c r="AD118" s="14"/>
      <c r="AE118" s="14">
        <v>-3.2308910000000002</v>
      </c>
      <c r="AF118" s="14">
        <v>0.55550999999999995</v>
      </c>
      <c r="AG118" s="14">
        <v>-8.1072439999999997</v>
      </c>
      <c r="AH118" s="14"/>
      <c r="AI118" s="14">
        <v>-6.1159039999999996</v>
      </c>
      <c r="AJ118" s="14">
        <v>100</v>
      </c>
      <c r="AK118" s="14" t="s">
        <v>39</v>
      </c>
      <c r="AL118" s="14" t="s">
        <v>385</v>
      </c>
      <c r="AM118" s="14">
        <v>0.61665999999999999</v>
      </c>
      <c r="AN118" s="14">
        <v>0.61665999999999999</v>
      </c>
      <c r="AO118" s="14"/>
    </row>
    <row r="119" spans="1:41" x14ac:dyDescent="0.2">
      <c r="A119" s="14" t="s">
        <v>414</v>
      </c>
      <c r="B119" s="14" t="s">
        <v>415</v>
      </c>
      <c r="C119" s="14" t="s">
        <v>416</v>
      </c>
      <c r="D119" s="14" t="s">
        <v>37</v>
      </c>
      <c r="E119" s="16">
        <v>46281</v>
      </c>
      <c r="F119" s="14" t="s">
        <v>794</v>
      </c>
      <c r="G119" s="14">
        <v>103.70050000000001</v>
      </c>
      <c r="H119" s="14">
        <v>0.74315100000000001</v>
      </c>
      <c r="I119" s="14">
        <v>122.85226400000001</v>
      </c>
      <c r="J119" s="14">
        <v>0.50289499999999998</v>
      </c>
      <c r="K119" s="14">
        <v>-1.5951280000000001</v>
      </c>
      <c r="L119" s="14">
        <v>13.133811</v>
      </c>
      <c r="M119" s="14">
        <v>3.456029</v>
      </c>
      <c r="N119" s="14">
        <v>350000</v>
      </c>
      <c r="O119" s="14">
        <v>365552.777397</v>
      </c>
      <c r="P119" s="14">
        <v>5972.7186229999998</v>
      </c>
      <c r="Q119" s="14">
        <v>4825.6593860000003</v>
      </c>
      <c r="R119" s="14">
        <v>0.64026700000000003</v>
      </c>
      <c r="S119" s="14">
        <v>6.3182140000000002</v>
      </c>
      <c r="T119" s="14">
        <v>6.0993940000000002</v>
      </c>
      <c r="U119" s="14">
        <v>7.1751300000000002</v>
      </c>
      <c r="V119" s="14">
        <v>47.297409000000002</v>
      </c>
      <c r="W119" s="14">
        <v>7.75</v>
      </c>
      <c r="X119" s="16">
        <v>42550</v>
      </c>
      <c r="Y119" s="14">
        <v>2</v>
      </c>
      <c r="Z119" s="14" t="s">
        <v>415</v>
      </c>
      <c r="AA119" s="14" t="s">
        <v>384</v>
      </c>
      <c r="AB119" s="14">
        <v>1.018105</v>
      </c>
      <c r="AC119" s="14">
        <v>-7.5501069999999997</v>
      </c>
      <c r="AD119" s="14">
        <v>3.7712680000000001</v>
      </c>
      <c r="AE119" s="14">
        <v>-2.6841840000000001</v>
      </c>
      <c r="AF119" s="14">
        <v>0.75284799999999996</v>
      </c>
      <c r="AG119" s="14">
        <v>-8.1364619999999999</v>
      </c>
      <c r="AH119" s="14">
        <v>-10.301615</v>
      </c>
      <c r="AI119" s="14">
        <v>-5.5854949999999999</v>
      </c>
      <c r="AJ119" s="14">
        <v>100</v>
      </c>
      <c r="AK119" s="14" t="s">
        <v>39</v>
      </c>
      <c r="AL119" s="14" t="s">
        <v>385</v>
      </c>
      <c r="AM119" s="14">
        <v>0.64026700000000003</v>
      </c>
      <c r="AN119" s="14">
        <v>0.64026700000000003</v>
      </c>
      <c r="AO119" s="14"/>
    </row>
    <row r="120" spans="1:41" x14ac:dyDescent="0.2">
      <c r="A120" s="14" t="s">
        <v>417</v>
      </c>
      <c r="B120" s="14" t="s">
        <v>418</v>
      </c>
      <c r="C120" s="14" t="s">
        <v>419</v>
      </c>
      <c r="D120" s="14" t="s">
        <v>37</v>
      </c>
      <c r="E120" s="16">
        <v>46421</v>
      </c>
      <c r="F120" s="14" t="s">
        <v>794</v>
      </c>
      <c r="G120" s="14">
        <v>106.51349999999999</v>
      </c>
      <c r="H120" s="14">
        <v>1.7193149999999999</v>
      </c>
      <c r="I120" s="14">
        <v>171.26763299999999</v>
      </c>
      <c r="J120" s="14">
        <v>0.33866400000000002</v>
      </c>
      <c r="K120" s="14">
        <v>-1.5809329999999999</v>
      </c>
      <c r="L120" s="14">
        <v>12.102777</v>
      </c>
      <c r="M120" s="14">
        <v>3.4106070000000002</v>
      </c>
      <c r="N120" s="14">
        <v>349999.70299999998</v>
      </c>
      <c r="O120" s="14">
        <v>378814.531288</v>
      </c>
      <c r="P120" s="14">
        <v>6189.4006710000003</v>
      </c>
      <c r="Q120" s="14">
        <v>5000.7276970000003</v>
      </c>
      <c r="R120" s="14">
        <v>0.66349599999999997</v>
      </c>
      <c r="S120" s="14">
        <v>6.4134070000000003</v>
      </c>
      <c r="T120" s="14">
        <v>6.1918170000000003</v>
      </c>
      <c r="U120" s="14">
        <v>7.1575139999999999</v>
      </c>
      <c r="V120" s="14">
        <v>49.636789999999998</v>
      </c>
      <c r="W120" s="14">
        <v>8.15</v>
      </c>
      <c r="X120" s="16">
        <v>40961</v>
      </c>
      <c r="Y120" s="14">
        <v>2</v>
      </c>
      <c r="Z120" s="14" t="s">
        <v>418</v>
      </c>
      <c r="AA120" s="14" t="s">
        <v>384</v>
      </c>
      <c r="AB120" s="14">
        <v>0.85303200000000001</v>
      </c>
      <c r="AC120" s="14">
        <v>-7.5367709999999999</v>
      </c>
      <c r="AD120" s="14">
        <v>2.825558</v>
      </c>
      <c r="AE120" s="14">
        <v>-2.726909</v>
      </c>
      <c r="AF120" s="14">
        <v>0.58820799999999995</v>
      </c>
      <c r="AG120" s="14">
        <v>-8.1232100000000003</v>
      </c>
      <c r="AH120" s="14">
        <v>-11.119073</v>
      </c>
      <c r="AI120" s="14">
        <v>-5.6269470000000004</v>
      </c>
      <c r="AJ120" s="14">
        <v>100</v>
      </c>
      <c r="AK120" s="14" t="s">
        <v>39</v>
      </c>
      <c r="AL120" s="14" t="s">
        <v>385</v>
      </c>
      <c r="AM120" s="14">
        <v>0.66349599999999997</v>
      </c>
      <c r="AN120" s="14">
        <v>0.66349599999999997</v>
      </c>
      <c r="AO120" s="14"/>
    </row>
    <row r="121" spans="1:41" x14ac:dyDescent="0.2">
      <c r="A121" s="14" t="s">
        <v>420</v>
      </c>
      <c r="B121" s="14" t="s">
        <v>421</v>
      </c>
      <c r="C121" s="14" t="s">
        <v>422</v>
      </c>
      <c r="D121" s="14" t="s">
        <v>37</v>
      </c>
      <c r="E121" s="16">
        <v>46771</v>
      </c>
      <c r="F121" s="14" t="s">
        <v>794</v>
      </c>
      <c r="G121" s="14">
        <v>98.75</v>
      </c>
      <c r="H121" s="14">
        <v>1.757671</v>
      </c>
      <c r="I121" s="14">
        <v>144.006563</v>
      </c>
      <c r="J121" s="14">
        <v>0.46981200000000001</v>
      </c>
      <c r="K121" s="14">
        <v>-1.7325729999999999</v>
      </c>
      <c r="L121" s="14">
        <v>13.051173</v>
      </c>
      <c r="M121" s="14">
        <v>3.540276</v>
      </c>
      <c r="N121" s="14">
        <v>349999.99800000002</v>
      </c>
      <c r="O121" s="14">
        <v>351776.847305</v>
      </c>
      <c r="P121" s="14">
        <v>5747.635518</v>
      </c>
      <c r="Q121" s="14">
        <v>4643.8034399999997</v>
      </c>
      <c r="R121" s="14">
        <v>0.61613899999999999</v>
      </c>
      <c r="S121" s="14">
        <v>7.058408</v>
      </c>
      <c r="T121" s="14">
        <v>6.8115069999999998</v>
      </c>
      <c r="U121" s="14">
        <v>7.2495159999999998</v>
      </c>
      <c r="V121" s="14">
        <v>60.154398999999998</v>
      </c>
      <c r="W121" s="14">
        <v>7.05</v>
      </c>
      <c r="X121" s="16">
        <v>41297</v>
      </c>
      <c r="Y121" s="14">
        <v>2</v>
      </c>
      <c r="Z121" s="14" t="s">
        <v>421</v>
      </c>
      <c r="AA121" s="14" t="s">
        <v>384</v>
      </c>
      <c r="AB121" s="14">
        <v>0.98485299999999998</v>
      </c>
      <c r="AC121" s="14">
        <v>-7.6792340000000001</v>
      </c>
      <c r="AD121" s="14">
        <v>3.695468</v>
      </c>
      <c r="AE121" s="14">
        <v>-2.6049370000000001</v>
      </c>
      <c r="AF121" s="14">
        <v>0.71968299999999996</v>
      </c>
      <c r="AG121" s="14">
        <v>-8.2647700000000004</v>
      </c>
      <c r="AH121" s="14">
        <v>-10.367134999999999</v>
      </c>
      <c r="AI121" s="14">
        <v>-5.5086110000000001</v>
      </c>
      <c r="AJ121" s="14">
        <v>100</v>
      </c>
      <c r="AK121" s="14" t="s">
        <v>39</v>
      </c>
      <c r="AL121" s="14" t="s">
        <v>385</v>
      </c>
      <c r="AM121" s="14">
        <v>0.61613899999999999</v>
      </c>
      <c r="AN121" s="14">
        <v>0.61613899999999999</v>
      </c>
      <c r="AO121" s="14"/>
    </row>
    <row r="122" spans="1:41" x14ac:dyDescent="0.2">
      <c r="A122" s="14" t="s">
        <v>423</v>
      </c>
      <c r="B122" s="14" t="s">
        <v>424</v>
      </c>
      <c r="C122" s="14" t="s">
        <v>425</v>
      </c>
      <c r="D122" s="14" t="s">
        <v>37</v>
      </c>
      <c r="E122" s="16">
        <v>48108</v>
      </c>
      <c r="F122" s="14" t="s">
        <v>795</v>
      </c>
      <c r="G122" s="14">
        <v>110.40049999999999</v>
      </c>
      <c r="H122" s="14">
        <v>0.65205500000000005</v>
      </c>
      <c r="I122" s="14">
        <v>125.400221</v>
      </c>
      <c r="J122" s="14">
        <v>0.292763</v>
      </c>
      <c r="K122" s="14">
        <v>-1.3311090000000001</v>
      </c>
      <c r="L122" s="14">
        <v>14.250831</v>
      </c>
      <c r="M122" s="14">
        <v>4.1424339999999997</v>
      </c>
      <c r="N122" s="14">
        <v>249999.91500000001</v>
      </c>
      <c r="O122" s="14">
        <v>277631.29259199998</v>
      </c>
      <c r="P122" s="14">
        <v>4536.1810770000002</v>
      </c>
      <c r="Q122" s="14">
        <v>3665.008546</v>
      </c>
      <c r="R122" s="14">
        <v>0.48627300000000001</v>
      </c>
      <c r="S122" s="14">
        <v>8.4490339999999993</v>
      </c>
      <c r="T122" s="14">
        <v>8.1517859999999995</v>
      </c>
      <c r="U122" s="14">
        <v>7.2928439999999997</v>
      </c>
      <c r="V122" s="14">
        <v>91.338502000000005</v>
      </c>
      <c r="W122" s="14">
        <v>8.5</v>
      </c>
      <c r="X122" s="16">
        <v>42418</v>
      </c>
      <c r="Y122" s="14">
        <v>2</v>
      </c>
      <c r="Z122" s="14" t="s">
        <v>424</v>
      </c>
      <c r="AA122" s="14" t="s">
        <v>384</v>
      </c>
      <c r="AB122" s="14">
        <v>0.80689500000000003</v>
      </c>
      <c r="AC122" s="14">
        <v>-7.3020649999999998</v>
      </c>
      <c r="AD122" s="14">
        <v>4.7958470000000002</v>
      </c>
      <c r="AE122" s="14">
        <v>-2.0385170000000001</v>
      </c>
      <c r="AF122" s="14">
        <v>0.54219300000000004</v>
      </c>
      <c r="AG122" s="14">
        <v>-7.8899929999999996</v>
      </c>
      <c r="AH122" s="14">
        <v>-9.4159839999999999</v>
      </c>
      <c r="AI122" s="14">
        <v>-4.959079</v>
      </c>
      <c r="AJ122" s="14">
        <v>100</v>
      </c>
      <c r="AK122" s="14" t="s">
        <v>39</v>
      </c>
      <c r="AL122" s="14" t="s">
        <v>385</v>
      </c>
      <c r="AM122" s="14">
        <v>0.48627300000000001</v>
      </c>
      <c r="AN122" s="14">
        <v>0.48627300000000001</v>
      </c>
      <c r="AO122" s="14"/>
    </row>
    <row r="123" spans="1:41" x14ac:dyDescent="0.2">
      <c r="A123" s="14" t="s">
        <v>426</v>
      </c>
      <c r="B123" s="14" t="s">
        <v>427</v>
      </c>
      <c r="C123" s="14" t="s">
        <v>428</v>
      </c>
      <c r="D123" s="14" t="s">
        <v>37</v>
      </c>
      <c r="E123" s="16">
        <v>48661</v>
      </c>
      <c r="F123" s="14" t="s">
        <v>795</v>
      </c>
      <c r="G123" s="14">
        <v>102.745</v>
      </c>
      <c r="H123" s="14">
        <v>0.44301400000000002</v>
      </c>
      <c r="I123" s="14">
        <v>111.405575</v>
      </c>
      <c r="J123" s="14">
        <v>0.29978300000000002</v>
      </c>
      <c r="K123" s="14">
        <v>-1.1747080000000001</v>
      </c>
      <c r="L123" s="14"/>
      <c r="M123" s="14">
        <v>4.4670569999999996</v>
      </c>
      <c r="N123" s="14">
        <v>349999.83299999998</v>
      </c>
      <c r="O123" s="14">
        <v>361157.87562100001</v>
      </c>
      <c r="P123" s="14">
        <v>5900.9109019999996</v>
      </c>
      <c r="Q123" s="14">
        <v>4767.6423219999997</v>
      </c>
      <c r="R123" s="14">
        <v>0.63256999999999997</v>
      </c>
      <c r="S123" s="14">
        <v>9.1475120000000008</v>
      </c>
      <c r="T123" s="14">
        <v>8.8205559999999998</v>
      </c>
      <c r="U123" s="14">
        <v>7.4134840000000004</v>
      </c>
      <c r="V123" s="14">
        <v>108.285141</v>
      </c>
      <c r="W123" s="14">
        <v>7.7</v>
      </c>
      <c r="X123" s="16">
        <v>42809</v>
      </c>
      <c r="Y123" s="14">
        <v>2</v>
      </c>
      <c r="Z123" s="14" t="s">
        <v>427</v>
      </c>
      <c r="AA123" s="14" t="s">
        <v>384</v>
      </c>
      <c r="AB123" s="14">
        <v>0.81395200000000001</v>
      </c>
      <c r="AC123" s="14">
        <v>-7.1551280000000004</v>
      </c>
      <c r="AD123" s="14"/>
      <c r="AE123" s="14">
        <v>-1.733161</v>
      </c>
      <c r="AF123" s="14">
        <v>0.54923100000000002</v>
      </c>
      <c r="AG123" s="14">
        <v>-7.743989</v>
      </c>
      <c r="AH123" s="14"/>
      <c r="AI123" s="14">
        <v>-4.6628259999999999</v>
      </c>
      <c r="AJ123" s="14">
        <v>100</v>
      </c>
      <c r="AK123" s="14" t="s">
        <v>39</v>
      </c>
      <c r="AL123" s="14" t="s">
        <v>385</v>
      </c>
      <c r="AM123" s="14">
        <v>0.63256999999999997</v>
      </c>
      <c r="AN123" s="14">
        <v>0.63256999999999997</v>
      </c>
      <c r="AO123" s="14"/>
    </row>
    <row r="124" spans="1:41" x14ac:dyDescent="0.2">
      <c r="A124" s="14" t="s">
        <v>431</v>
      </c>
      <c r="B124" s="14" t="s">
        <v>432</v>
      </c>
      <c r="C124" s="14" t="s">
        <v>433</v>
      </c>
      <c r="D124" s="14" t="s">
        <v>37</v>
      </c>
      <c r="E124" s="16">
        <v>43656</v>
      </c>
      <c r="F124" s="14" t="s">
        <v>791</v>
      </c>
      <c r="G124" s="14">
        <v>94.3</v>
      </c>
      <c r="H124" s="14">
        <v>2.6082190000000001</v>
      </c>
      <c r="I124" s="14">
        <v>131.55015599999999</v>
      </c>
      <c r="J124" s="14">
        <v>0.12778300000000001</v>
      </c>
      <c r="K124" s="14">
        <v>0.56985399999999997</v>
      </c>
      <c r="L124" s="14">
        <v>8.1440959999999993</v>
      </c>
      <c r="M124" s="14">
        <v>3.2078129999999998</v>
      </c>
      <c r="N124" s="14">
        <v>15473.559784999999</v>
      </c>
      <c r="O124" s="14">
        <v>14995.151231</v>
      </c>
      <c r="P124" s="14">
        <v>3729.8587739999998</v>
      </c>
      <c r="Q124" s="14">
        <v>3013.5402560000002</v>
      </c>
      <c r="R124" s="14">
        <v>0.39983600000000002</v>
      </c>
      <c r="S124" s="14">
        <v>1.12853</v>
      </c>
      <c r="T124" s="14">
        <v>1.0553779999999999</v>
      </c>
      <c r="U124" s="14">
        <v>13.862818000000001</v>
      </c>
      <c r="V124" s="14">
        <v>1.6503479999999999</v>
      </c>
      <c r="W124" s="14">
        <v>8.5</v>
      </c>
      <c r="X124" s="16">
        <v>41836</v>
      </c>
      <c r="Y124" s="14">
        <v>2</v>
      </c>
      <c r="Z124" s="14" t="s">
        <v>432</v>
      </c>
      <c r="AA124" s="14" t="s">
        <v>429</v>
      </c>
      <c r="AB124" s="14">
        <v>2.0654349999999999</v>
      </c>
      <c r="AC124" s="14">
        <v>-0.90356000000000003</v>
      </c>
      <c r="AD124" s="14">
        <v>-1.2492129999999999</v>
      </c>
      <c r="AE124" s="14">
        <v>-2.6632980000000002</v>
      </c>
      <c r="AF124" s="14">
        <v>1.7974270000000001</v>
      </c>
      <c r="AG124" s="14">
        <v>-1.53207</v>
      </c>
      <c r="AH124" s="14">
        <v>-14.641246000000001</v>
      </c>
      <c r="AI124" s="14">
        <v>-5.565232</v>
      </c>
      <c r="AJ124" s="14">
        <v>100</v>
      </c>
      <c r="AK124" s="14" t="s">
        <v>39</v>
      </c>
      <c r="AL124" s="14" t="s">
        <v>430</v>
      </c>
      <c r="AM124" s="14">
        <v>0.39983600000000002</v>
      </c>
      <c r="AN124" s="14">
        <v>0.39983600000000002</v>
      </c>
      <c r="AO124" s="14"/>
    </row>
    <row r="125" spans="1:41" x14ac:dyDescent="0.2">
      <c r="A125" s="14" t="s">
        <v>434</v>
      </c>
      <c r="B125" s="14" t="s">
        <v>435</v>
      </c>
      <c r="C125" s="14" t="s">
        <v>436</v>
      </c>
      <c r="D125" s="14" t="s">
        <v>37</v>
      </c>
      <c r="E125" s="16">
        <v>43845</v>
      </c>
      <c r="F125" s="14" t="s">
        <v>791</v>
      </c>
      <c r="G125" s="14">
        <v>95.25</v>
      </c>
      <c r="H125" s="14">
        <v>3.0205479999999998</v>
      </c>
      <c r="I125" s="14">
        <v>216.74106</v>
      </c>
      <c r="J125" s="14">
        <v>0.23422999999999999</v>
      </c>
      <c r="K125" s="14">
        <v>0.57846600000000004</v>
      </c>
      <c r="L125" s="14">
        <v>6.7841170000000002</v>
      </c>
      <c r="M125" s="14">
        <v>2.7268669999999999</v>
      </c>
      <c r="N125" s="14">
        <v>11479.948308000001</v>
      </c>
      <c r="O125" s="14">
        <v>11281.408106000001</v>
      </c>
      <c r="P125" s="14">
        <v>2806.1110130000002</v>
      </c>
      <c r="Q125" s="14">
        <v>2267.1980389999999</v>
      </c>
      <c r="R125" s="14">
        <v>0.300811</v>
      </c>
      <c r="S125" s="14">
        <v>1.560721</v>
      </c>
      <c r="T125" s="14">
        <v>1.4605140000000001</v>
      </c>
      <c r="U125" s="14">
        <v>13.722196</v>
      </c>
      <c r="V125" s="14">
        <v>2.9528449999999999</v>
      </c>
      <c r="W125" s="14">
        <v>10.5</v>
      </c>
      <c r="X125" s="16">
        <v>40205</v>
      </c>
      <c r="Y125" s="14">
        <v>2</v>
      </c>
      <c r="Z125" s="14" t="s">
        <v>437</v>
      </c>
      <c r="AA125" s="14" t="s">
        <v>429</v>
      </c>
      <c r="AB125" s="14">
        <v>2.1739419999999998</v>
      </c>
      <c r="AC125" s="14">
        <v>-0.89507400000000004</v>
      </c>
      <c r="AD125" s="14">
        <v>-2.4910649999999999</v>
      </c>
      <c r="AE125" s="14">
        <v>-3.1168840000000002</v>
      </c>
      <c r="AF125" s="14">
        <v>1.9056489999999999</v>
      </c>
      <c r="AG125" s="14">
        <v>-1.523638</v>
      </c>
      <c r="AH125" s="14">
        <v>-15.714684999999999</v>
      </c>
      <c r="AI125" s="14">
        <v>-6.0052960000000004</v>
      </c>
      <c r="AJ125" s="14">
        <v>100</v>
      </c>
      <c r="AK125" s="14" t="s">
        <v>39</v>
      </c>
      <c r="AL125" s="14" t="s">
        <v>430</v>
      </c>
      <c r="AM125" s="14">
        <v>0.300811</v>
      </c>
      <c r="AN125" s="14">
        <v>0.300811</v>
      </c>
      <c r="AO125" s="14"/>
    </row>
    <row r="126" spans="1:41" x14ac:dyDescent="0.2">
      <c r="A126" s="14" t="s">
        <v>438</v>
      </c>
      <c r="B126" s="14" t="s">
        <v>439</v>
      </c>
      <c r="C126" s="14" t="s">
        <v>440</v>
      </c>
      <c r="D126" s="14" t="s">
        <v>37</v>
      </c>
      <c r="E126" s="16">
        <v>43866</v>
      </c>
      <c r="F126" s="14" t="s">
        <v>791</v>
      </c>
      <c r="G126" s="14">
        <v>90.25</v>
      </c>
      <c r="H126" s="14">
        <v>1.703014</v>
      </c>
      <c r="I126" s="14">
        <v>121.645458</v>
      </c>
      <c r="J126" s="14">
        <v>0.240818</v>
      </c>
      <c r="K126" s="14">
        <v>0.43724000000000002</v>
      </c>
      <c r="L126" s="14">
        <v>6.8271249999999997</v>
      </c>
      <c r="M126" s="14">
        <v>2.749943</v>
      </c>
      <c r="N126" s="14">
        <v>13274.388469</v>
      </c>
      <c r="O126" s="14">
        <v>12206.200247999999</v>
      </c>
      <c r="P126" s="14">
        <v>3036.1416429999999</v>
      </c>
      <c r="Q126" s="14">
        <v>2453.05134</v>
      </c>
      <c r="R126" s="14">
        <v>0.32546999999999998</v>
      </c>
      <c r="S126" s="14">
        <v>1.6559280000000001</v>
      </c>
      <c r="T126" s="14">
        <v>1.548908</v>
      </c>
      <c r="U126" s="14">
        <v>13.818866999999999</v>
      </c>
      <c r="V126" s="14">
        <v>3.2294109999999998</v>
      </c>
      <c r="W126" s="14">
        <v>7.4</v>
      </c>
      <c r="X126" s="16">
        <v>42046</v>
      </c>
      <c r="Y126" s="14">
        <v>2</v>
      </c>
      <c r="Z126" s="14" t="s">
        <v>439</v>
      </c>
      <c r="AA126" s="14" t="s">
        <v>429</v>
      </c>
      <c r="AB126" s="14">
        <v>2.1806570000000001</v>
      </c>
      <c r="AC126" s="14">
        <v>-1.0342309999999999</v>
      </c>
      <c r="AD126" s="14">
        <v>-2.4517929999999999</v>
      </c>
      <c r="AE126" s="14">
        <v>-3.0951209999999998</v>
      </c>
      <c r="AF126" s="14">
        <v>1.912347</v>
      </c>
      <c r="AG126" s="14">
        <v>-1.6619120000000001</v>
      </c>
      <c r="AH126" s="14">
        <v>-15.680739000000001</v>
      </c>
      <c r="AI126" s="14">
        <v>-5.9841819999999997</v>
      </c>
      <c r="AJ126" s="14">
        <v>100</v>
      </c>
      <c r="AK126" s="14" t="s">
        <v>39</v>
      </c>
      <c r="AL126" s="14" t="s">
        <v>430</v>
      </c>
      <c r="AM126" s="14">
        <v>0.32546999999999998</v>
      </c>
      <c r="AN126" s="14">
        <v>0.32546999999999998</v>
      </c>
      <c r="AO126" s="14"/>
    </row>
    <row r="127" spans="1:41" x14ac:dyDescent="0.2">
      <c r="A127" s="14" t="s">
        <v>441</v>
      </c>
      <c r="B127" s="14" t="s">
        <v>442</v>
      </c>
      <c r="C127" s="14" t="s">
        <v>443</v>
      </c>
      <c r="D127" s="14" t="s">
        <v>37</v>
      </c>
      <c r="E127" s="16">
        <v>44020</v>
      </c>
      <c r="F127" s="14" t="s">
        <v>791</v>
      </c>
      <c r="G127" s="14">
        <v>91.75</v>
      </c>
      <c r="H127" s="14">
        <v>2.8843839999999998</v>
      </c>
      <c r="I127" s="14">
        <v>118.699393</v>
      </c>
      <c r="J127" s="14">
        <v>0.23997499999999999</v>
      </c>
      <c r="K127" s="14">
        <v>0.18997700000000001</v>
      </c>
      <c r="L127" s="14">
        <v>5.6944629999999998</v>
      </c>
      <c r="M127" s="14">
        <v>1.928301</v>
      </c>
      <c r="N127" s="14">
        <v>14701.534377</v>
      </c>
      <c r="O127" s="14">
        <v>13912.706432000001</v>
      </c>
      <c r="P127" s="14">
        <v>3460.6139920000001</v>
      </c>
      <c r="Q127" s="14">
        <v>2796.0038719999998</v>
      </c>
      <c r="R127" s="14">
        <v>0.370973</v>
      </c>
      <c r="S127" s="14">
        <v>1.9634910000000001</v>
      </c>
      <c r="T127" s="14">
        <v>1.835758</v>
      </c>
      <c r="U127" s="14">
        <v>13.916043999999999</v>
      </c>
      <c r="V127" s="14">
        <v>4.4892019999999997</v>
      </c>
      <c r="W127" s="14">
        <v>9.4</v>
      </c>
      <c r="X127" s="16">
        <v>42200</v>
      </c>
      <c r="Y127" s="14">
        <v>2</v>
      </c>
      <c r="Z127" s="14" t="s">
        <v>442</v>
      </c>
      <c r="AA127" s="14" t="s">
        <v>429</v>
      </c>
      <c r="AB127" s="14">
        <v>2.1797979999999999</v>
      </c>
      <c r="AC127" s="14">
        <v>-1.277871</v>
      </c>
      <c r="AD127" s="14">
        <v>-3.4860730000000002</v>
      </c>
      <c r="AE127" s="14">
        <v>-3.8700230000000002</v>
      </c>
      <c r="AF127" s="14">
        <v>1.9114899999999999</v>
      </c>
      <c r="AG127" s="14">
        <v>-1.904007</v>
      </c>
      <c r="AH127" s="14">
        <v>-16.574755</v>
      </c>
      <c r="AI127" s="14">
        <v>-6.7359809999999998</v>
      </c>
      <c r="AJ127" s="14">
        <v>100</v>
      </c>
      <c r="AK127" s="14" t="s">
        <v>39</v>
      </c>
      <c r="AL127" s="14" t="s">
        <v>430</v>
      </c>
      <c r="AM127" s="14">
        <v>0.370973</v>
      </c>
      <c r="AN127" s="14">
        <v>0.370973</v>
      </c>
      <c r="AO127" s="14"/>
    </row>
    <row r="128" spans="1:41" x14ac:dyDescent="0.2">
      <c r="A128" s="14" t="s">
        <v>444</v>
      </c>
      <c r="B128" s="14" t="s">
        <v>445</v>
      </c>
      <c r="C128" s="14" t="s">
        <v>446</v>
      </c>
      <c r="D128" s="14" t="s">
        <v>37</v>
      </c>
      <c r="E128" s="16">
        <v>44244</v>
      </c>
      <c r="F128" s="14" t="s">
        <v>791</v>
      </c>
      <c r="G128" s="14">
        <v>93.194999999999993</v>
      </c>
      <c r="H128" s="14">
        <v>2.0520550000000002</v>
      </c>
      <c r="I128" s="14">
        <v>107.59927</v>
      </c>
      <c r="J128" s="14">
        <v>0.40144800000000003</v>
      </c>
      <c r="K128" s="14">
        <v>0.364846</v>
      </c>
      <c r="L128" s="14">
        <v>4.6777090000000001</v>
      </c>
      <c r="M128" s="14">
        <v>1.3658669999999999</v>
      </c>
      <c r="N128" s="14">
        <v>15490.921737999999</v>
      </c>
      <c r="O128" s="14">
        <v>14754.646715999999</v>
      </c>
      <c r="P128" s="14">
        <v>3670.0362449999998</v>
      </c>
      <c r="Q128" s="14">
        <v>2965.2066289999998</v>
      </c>
      <c r="R128" s="14">
        <v>0.39342300000000002</v>
      </c>
      <c r="S128" s="14">
        <v>2.4330769999999999</v>
      </c>
      <c r="T128" s="14">
        <v>2.2768510000000002</v>
      </c>
      <c r="U128" s="14">
        <v>13.722991</v>
      </c>
      <c r="V128" s="14">
        <v>6.7450669999999997</v>
      </c>
      <c r="W128" s="14">
        <v>10.7</v>
      </c>
      <c r="X128" s="16">
        <v>42424</v>
      </c>
      <c r="Y128" s="14">
        <v>2</v>
      </c>
      <c r="Z128" s="14" t="s">
        <v>445</v>
      </c>
      <c r="AA128" s="14" t="s">
        <v>429</v>
      </c>
      <c r="AB128" s="14">
        <v>2.3443960000000001</v>
      </c>
      <c r="AC128" s="14">
        <v>-1.105564</v>
      </c>
      <c r="AD128" s="14">
        <v>-4.4145120000000002</v>
      </c>
      <c r="AE128" s="14">
        <v>-4.4004630000000002</v>
      </c>
      <c r="AF128" s="14">
        <v>2.0756559999999999</v>
      </c>
      <c r="AG128" s="14">
        <v>-1.732793</v>
      </c>
      <c r="AH128" s="14">
        <v>-17.377285000000001</v>
      </c>
      <c r="AI128" s="14">
        <v>-7.2506060000000003</v>
      </c>
      <c r="AJ128" s="14">
        <v>100</v>
      </c>
      <c r="AK128" s="14" t="s">
        <v>39</v>
      </c>
      <c r="AL128" s="14" t="s">
        <v>430</v>
      </c>
      <c r="AM128" s="14">
        <v>0.39342300000000002</v>
      </c>
      <c r="AN128" s="14">
        <v>0.39342300000000002</v>
      </c>
      <c r="AO128" s="14"/>
    </row>
    <row r="129" spans="1:41" x14ac:dyDescent="0.2">
      <c r="A129" s="14" t="s">
        <v>447</v>
      </c>
      <c r="B129" s="14" t="s">
        <v>448</v>
      </c>
      <c r="C129" s="14" t="s">
        <v>449</v>
      </c>
      <c r="D129" s="14" t="s">
        <v>37</v>
      </c>
      <c r="E129" s="16">
        <v>44461</v>
      </c>
      <c r="F129" s="14" t="s">
        <v>792</v>
      </c>
      <c r="G129" s="14">
        <v>88.7</v>
      </c>
      <c r="H129" s="14">
        <v>0.88219199999999998</v>
      </c>
      <c r="I129" s="14">
        <v>107.320408</v>
      </c>
      <c r="J129" s="14">
        <v>0.70428000000000002</v>
      </c>
      <c r="K129" s="14">
        <v>0.61492400000000003</v>
      </c>
      <c r="L129" s="14">
        <v>4.1382690000000002</v>
      </c>
      <c r="M129" s="14">
        <v>0.56656799999999996</v>
      </c>
      <c r="N129" s="14">
        <v>15197.853279000001</v>
      </c>
      <c r="O129" s="14">
        <v>13614.570071</v>
      </c>
      <c r="P129" s="14">
        <v>3386.4562519999999</v>
      </c>
      <c r="Q129" s="14">
        <v>2736.0881089999998</v>
      </c>
      <c r="R129" s="14">
        <v>0.36302400000000001</v>
      </c>
      <c r="S129" s="14">
        <v>2.938453</v>
      </c>
      <c r="T129" s="14">
        <v>2.7529650000000001</v>
      </c>
      <c r="U129" s="14">
        <v>13.475505999999999</v>
      </c>
      <c r="V129" s="14">
        <v>9.5935400000000008</v>
      </c>
      <c r="W129" s="14">
        <v>9.1999999999999993</v>
      </c>
      <c r="X129" s="16">
        <v>42641</v>
      </c>
      <c r="Y129" s="14">
        <v>2</v>
      </c>
      <c r="Z129" s="14" t="s">
        <v>448</v>
      </c>
      <c r="AA129" s="14" t="s">
        <v>429</v>
      </c>
      <c r="AB129" s="14">
        <v>2.6530879999999999</v>
      </c>
      <c r="AC129" s="14">
        <v>-0.85914999999999997</v>
      </c>
      <c r="AD129" s="14">
        <v>-4.9070960000000001</v>
      </c>
      <c r="AE129" s="14">
        <v>-5.1542919999999999</v>
      </c>
      <c r="AF129" s="14">
        <v>2.3835380000000002</v>
      </c>
      <c r="AG129" s="14">
        <v>-1.4879420000000001</v>
      </c>
      <c r="AH129" s="14">
        <v>-17.803068</v>
      </c>
      <c r="AI129" s="14">
        <v>-7.9819620000000002</v>
      </c>
      <c r="AJ129" s="14">
        <v>100</v>
      </c>
      <c r="AK129" s="14" t="s">
        <v>39</v>
      </c>
      <c r="AL129" s="14" t="s">
        <v>430</v>
      </c>
      <c r="AM129" s="14">
        <v>0.36302400000000001</v>
      </c>
      <c r="AN129" s="14">
        <v>0.36302400000000001</v>
      </c>
      <c r="AO129" s="14"/>
    </row>
    <row r="130" spans="1:41" x14ac:dyDescent="0.2">
      <c r="A130" s="14" t="s">
        <v>450</v>
      </c>
      <c r="B130" s="14" t="s">
        <v>451</v>
      </c>
      <c r="C130" s="14" t="s">
        <v>452</v>
      </c>
      <c r="D130" s="14" t="s">
        <v>37</v>
      </c>
      <c r="E130" s="16">
        <v>44573</v>
      </c>
      <c r="F130" s="14" t="s">
        <v>792</v>
      </c>
      <c r="G130" s="14">
        <v>89.2</v>
      </c>
      <c r="H130" s="14">
        <v>2.7328769999999998</v>
      </c>
      <c r="I130" s="14">
        <v>158.37886700000001</v>
      </c>
      <c r="J130" s="14">
        <v>0.96565500000000004</v>
      </c>
      <c r="K130" s="14">
        <v>0.64579299999999995</v>
      </c>
      <c r="L130" s="14">
        <v>3.8045800000000001</v>
      </c>
      <c r="M130" s="14">
        <v>-0.15921299999999999</v>
      </c>
      <c r="N130" s="14">
        <v>10452.216177</v>
      </c>
      <c r="O130" s="14">
        <v>9609.0230109999993</v>
      </c>
      <c r="P130" s="14">
        <v>2390.1258640000001</v>
      </c>
      <c r="Q130" s="14">
        <v>1931.102742</v>
      </c>
      <c r="R130" s="14">
        <v>0.256218</v>
      </c>
      <c r="S130" s="14">
        <v>3.0844529999999999</v>
      </c>
      <c r="T130" s="14">
        <v>2.892048</v>
      </c>
      <c r="U130" s="14">
        <v>13.305747999999999</v>
      </c>
      <c r="V130" s="14">
        <v>10.80655</v>
      </c>
      <c r="W130" s="14">
        <v>9.5</v>
      </c>
      <c r="X130" s="16">
        <v>40933</v>
      </c>
      <c r="Y130" s="14">
        <v>2</v>
      </c>
      <c r="Z130" s="14" t="s">
        <v>453</v>
      </c>
      <c r="AA130" s="14" t="s">
        <v>429</v>
      </c>
      <c r="AB130" s="14">
        <v>2.919521</v>
      </c>
      <c r="AC130" s="14">
        <v>-0.82873300000000005</v>
      </c>
      <c r="AD130" s="14">
        <v>-5.2118010000000004</v>
      </c>
      <c r="AE130" s="14">
        <v>-5.8387859999999998</v>
      </c>
      <c r="AF130" s="14">
        <v>2.6492710000000002</v>
      </c>
      <c r="AG130" s="14">
        <v>-1.4577180000000001</v>
      </c>
      <c r="AH130" s="14">
        <v>-18.066451000000001</v>
      </c>
      <c r="AI130" s="14">
        <v>-8.6460480000000004</v>
      </c>
      <c r="AJ130" s="14">
        <v>100</v>
      </c>
      <c r="AK130" s="14" t="s">
        <v>39</v>
      </c>
      <c r="AL130" s="14" t="s">
        <v>430</v>
      </c>
      <c r="AM130" s="14">
        <v>0.256218</v>
      </c>
      <c r="AN130" s="14">
        <v>0.256218</v>
      </c>
      <c r="AO130" s="14"/>
    </row>
    <row r="131" spans="1:41" x14ac:dyDescent="0.2">
      <c r="A131" s="14" t="s">
        <v>454</v>
      </c>
      <c r="B131" s="14" t="s">
        <v>455</v>
      </c>
      <c r="C131" s="14" t="s">
        <v>456</v>
      </c>
      <c r="D131" s="14" t="s">
        <v>37</v>
      </c>
      <c r="E131" s="16">
        <v>44622</v>
      </c>
      <c r="F131" s="14" t="s">
        <v>792</v>
      </c>
      <c r="G131" s="14">
        <v>93.55</v>
      </c>
      <c r="H131" s="14">
        <v>1.6876709999999999</v>
      </c>
      <c r="I131" s="14">
        <v>101.271387</v>
      </c>
      <c r="J131" s="14">
        <v>0.88297599999999998</v>
      </c>
      <c r="K131" s="14">
        <v>0.83545400000000003</v>
      </c>
      <c r="L131" s="14"/>
      <c r="M131" s="14">
        <v>0.323181</v>
      </c>
      <c r="N131" s="14">
        <v>16624.167568000001</v>
      </c>
      <c r="O131" s="14">
        <v>15832.470053999999</v>
      </c>
      <c r="P131" s="14">
        <v>3938.131496</v>
      </c>
      <c r="Q131" s="14">
        <v>3181.814249</v>
      </c>
      <c r="R131" s="14">
        <v>0.42216199999999998</v>
      </c>
      <c r="S131" s="14">
        <v>3.1565460000000001</v>
      </c>
      <c r="T131" s="14">
        <v>2.9608669999999999</v>
      </c>
      <c r="U131" s="14">
        <v>13.217682999999999</v>
      </c>
      <c r="V131" s="14">
        <v>11.31296</v>
      </c>
      <c r="W131" s="14">
        <v>11</v>
      </c>
      <c r="X131" s="16">
        <v>42802</v>
      </c>
      <c r="Y131" s="14">
        <v>2</v>
      </c>
      <c r="Z131" s="14" t="s">
        <v>455</v>
      </c>
      <c r="AA131" s="14" t="s">
        <v>429</v>
      </c>
      <c r="AB131" s="14">
        <v>2.8352430000000002</v>
      </c>
      <c r="AC131" s="14">
        <v>-0.64185099999999995</v>
      </c>
      <c r="AD131" s="14"/>
      <c r="AE131" s="14">
        <v>-5.3838340000000002</v>
      </c>
      <c r="AF131" s="14">
        <v>2.5652140000000001</v>
      </c>
      <c r="AG131" s="14">
        <v>-1.2720210000000001</v>
      </c>
      <c r="AH131" s="14"/>
      <c r="AI131" s="14">
        <v>-8.2046600000000005</v>
      </c>
      <c r="AJ131" s="14">
        <v>100</v>
      </c>
      <c r="AK131" s="14" t="s">
        <v>39</v>
      </c>
      <c r="AL131" s="14" t="s">
        <v>430</v>
      </c>
      <c r="AM131" s="14">
        <v>0.42216199999999998</v>
      </c>
      <c r="AN131" s="14">
        <v>0.42216199999999998</v>
      </c>
      <c r="AO131" s="14"/>
    </row>
    <row r="132" spans="1:41" x14ac:dyDescent="0.2">
      <c r="A132" s="14" t="s">
        <v>457</v>
      </c>
      <c r="B132" s="14" t="s">
        <v>458</v>
      </c>
      <c r="C132" s="14" t="s">
        <v>459</v>
      </c>
      <c r="D132" s="14" t="s">
        <v>37</v>
      </c>
      <c r="E132" s="16">
        <v>44790</v>
      </c>
      <c r="F132" s="14" t="s">
        <v>792</v>
      </c>
      <c r="G132" s="14">
        <v>92.5</v>
      </c>
      <c r="H132" s="14">
        <v>2.0520550000000002</v>
      </c>
      <c r="I132" s="14">
        <v>98.986165999999997</v>
      </c>
      <c r="J132" s="14">
        <v>1.050861</v>
      </c>
      <c r="K132" s="14">
        <v>1.05199</v>
      </c>
      <c r="L132" s="14"/>
      <c r="M132" s="14">
        <v>0.172538</v>
      </c>
      <c r="N132" s="14">
        <v>15428.195395999999</v>
      </c>
      <c r="O132" s="14">
        <v>14587.675765</v>
      </c>
      <c r="P132" s="14">
        <v>3628.5042819999999</v>
      </c>
      <c r="Q132" s="14">
        <v>2931.6508699999999</v>
      </c>
      <c r="R132" s="14">
        <v>0.38897100000000001</v>
      </c>
      <c r="S132" s="14">
        <v>3.4502820000000001</v>
      </c>
      <c r="T132" s="14">
        <v>3.238855</v>
      </c>
      <c r="U132" s="14">
        <v>13.055624999999999</v>
      </c>
      <c r="V132" s="14">
        <v>13.597038</v>
      </c>
      <c r="W132" s="14">
        <v>10.7</v>
      </c>
      <c r="X132" s="16">
        <v>42970</v>
      </c>
      <c r="Y132" s="14">
        <v>2</v>
      </c>
      <c r="Z132" s="14" t="s">
        <v>458</v>
      </c>
      <c r="AA132" s="14" t="s">
        <v>429</v>
      </c>
      <c r="AB132" s="14">
        <v>3.0063759999999999</v>
      </c>
      <c r="AC132" s="14">
        <v>-0.42848700000000001</v>
      </c>
      <c r="AD132" s="14"/>
      <c r="AE132" s="14">
        <v>-5.5259070000000001</v>
      </c>
      <c r="AF132" s="14">
        <v>2.7358980000000002</v>
      </c>
      <c r="AG132" s="14">
        <v>-1.0600099999999999</v>
      </c>
      <c r="AH132" s="14"/>
      <c r="AI132" s="14">
        <v>-8.3424969999999998</v>
      </c>
      <c r="AJ132" s="14">
        <v>100</v>
      </c>
      <c r="AK132" s="14" t="s">
        <v>39</v>
      </c>
      <c r="AL132" s="14" t="s">
        <v>430</v>
      </c>
      <c r="AM132" s="14">
        <v>0.38897100000000001</v>
      </c>
      <c r="AN132" s="14">
        <v>0.38897100000000001</v>
      </c>
      <c r="AO132" s="14"/>
    </row>
    <row r="133" spans="1:41" x14ac:dyDescent="0.2">
      <c r="A133" s="14" t="s">
        <v>460</v>
      </c>
      <c r="B133" s="14" t="s">
        <v>461</v>
      </c>
      <c r="C133" s="14" t="s">
        <v>462</v>
      </c>
      <c r="D133" s="14" t="s">
        <v>37</v>
      </c>
      <c r="E133" s="16">
        <v>44818</v>
      </c>
      <c r="F133" s="14" t="s">
        <v>792</v>
      </c>
      <c r="G133" s="14">
        <v>85.3</v>
      </c>
      <c r="H133" s="14">
        <v>0.97808200000000001</v>
      </c>
      <c r="I133" s="14">
        <v>123.63204</v>
      </c>
      <c r="J133" s="14">
        <v>0.96684400000000004</v>
      </c>
      <c r="K133" s="14">
        <v>0.55542400000000003</v>
      </c>
      <c r="L133" s="14">
        <v>3.28491</v>
      </c>
      <c r="M133" s="14">
        <v>-0.46645900000000001</v>
      </c>
      <c r="N133" s="14">
        <v>10635.313614000001</v>
      </c>
      <c r="O133" s="14">
        <v>9175.9446210000006</v>
      </c>
      <c r="P133" s="14">
        <v>2282.4029599999999</v>
      </c>
      <c r="Q133" s="14">
        <v>1844.0679970000001</v>
      </c>
      <c r="R133" s="14">
        <v>0.244671</v>
      </c>
      <c r="S133" s="14">
        <v>3.6438980000000001</v>
      </c>
      <c r="T133" s="14">
        <v>3.4209619999999998</v>
      </c>
      <c r="U133" s="14">
        <v>13.033571999999999</v>
      </c>
      <c r="V133" s="14">
        <v>14.756494999999999</v>
      </c>
      <c r="W133" s="14">
        <v>8.5</v>
      </c>
      <c r="X133" s="16">
        <v>41178</v>
      </c>
      <c r="Y133" s="14">
        <v>2</v>
      </c>
      <c r="Z133" s="14" t="s">
        <v>463</v>
      </c>
      <c r="AA133" s="14" t="s">
        <v>429</v>
      </c>
      <c r="AB133" s="14">
        <v>2.9207329999999998</v>
      </c>
      <c r="AC133" s="14">
        <v>-0.91777799999999998</v>
      </c>
      <c r="AD133" s="14">
        <v>-5.6863340000000004</v>
      </c>
      <c r="AE133" s="14">
        <v>-6.1285540000000003</v>
      </c>
      <c r="AF133" s="14">
        <v>2.6504799999999999</v>
      </c>
      <c r="AG133" s="14">
        <v>-1.546198</v>
      </c>
      <c r="AH133" s="14">
        <v>-18.476628999999999</v>
      </c>
      <c r="AI133" s="14">
        <v>-8.9271770000000004</v>
      </c>
      <c r="AJ133" s="14">
        <v>100</v>
      </c>
      <c r="AK133" s="14" t="s">
        <v>39</v>
      </c>
      <c r="AL133" s="14" t="s">
        <v>430</v>
      </c>
      <c r="AM133" s="14">
        <v>0.244671</v>
      </c>
      <c r="AN133" s="14">
        <v>0.244671</v>
      </c>
      <c r="AO133" s="14"/>
    </row>
    <row r="134" spans="1:41" x14ac:dyDescent="0.2">
      <c r="A134" s="14" t="s">
        <v>836</v>
      </c>
      <c r="B134" s="14" t="s">
        <v>837</v>
      </c>
      <c r="C134" s="14" t="s">
        <v>838</v>
      </c>
      <c r="D134" s="14" t="s">
        <v>37</v>
      </c>
      <c r="E134" s="16">
        <v>44944</v>
      </c>
      <c r="F134" s="14" t="s">
        <v>792</v>
      </c>
      <c r="G134" s="14">
        <v>97.65</v>
      </c>
      <c r="H134" s="14">
        <v>3.2756159999999999</v>
      </c>
      <c r="I134" s="14">
        <v>101.929134</v>
      </c>
      <c r="J134" s="14">
        <v>0.83628800000000003</v>
      </c>
      <c r="K134" s="14">
        <v>0.83355000000000001</v>
      </c>
      <c r="L134" s="14"/>
      <c r="M134" s="14"/>
      <c r="N134" s="14">
        <v>10046.441531</v>
      </c>
      <c r="O134" s="14">
        <v>10139.433046</v>
      </c>
      <c r="P134" s="14">
        <v>2522.0588130000001</v>
      </c>
      <c r="Q134" s="14">
        <v>2037.697999</v>
      </c>
      <c r="R134" s="14">
        <v>0.27036100000000002</v>
      </c>
      <c r="S134" s="14">
        <v>3.5957330000000001</v>
      </c>
      <c r="T134" s="14">
        <v>3.377799</v>
      </c>
      <c r="U134" s="14">
        <v>12.903943999999999</v>
      </c>
      <c r="V134" s="14">
        <v>15.18371</v>
      </c>
      <c r="W134" s="14">
        <v>12.2</v>
      </c>
      <c r="X134" s="16">
        <v>43124</v>
      </c>
      <c r="Y134" s="14">
        <v>2</v>
      </c>
      <c r="Z134" s="14" t="s">
        <v>837</v>
      </c>
      <c r="AA134" s="14" t="s">
        <v>429</v>
      </c>
      <c r="AB134" s="14">
        <v>2.7876500000000002</v>
      </c>
      <c r="AC134" s="14">
        <v>-0.64372700000000005</v>
      </c>
      <c r="AD134" s="14"/>
      <c r="AE134" s="14"/>
      <c r="AF134" s="14">
        <v>2.5177459999999998</v>
      </c>
      <c r="AG134" s="14">
        <v>-1.2738849999999999</v>
      </c>
      <c r="AH134" s="14"/>
      <c r="AI134" s="14"/>
      <c r="AJ134" s="14">
        <v>100</v>
      </c>
      <c r="AK134" s="14" t="s">
        <v>39</v>
      </c>
      <c r="AL134" s="14" t="s">
        <v>430</v>
      </c>
      <c r="AM134" s="14">
        <v>0.27036100000000002</v>
      </c>
      <c r="AN134" s="14">
        <v>0.27036100000000002</v>
      </c>
      <c r="AO134" s="14"/>
    </row>
    <row r="135" spans="1:41" x14ac:dyDescent="0.2">
      <c r="A135" s="14" t="s">
        <v>464</v>
      </c>
      <c r="B135" s="14" t="s">
        <v>465</v>
      </c>
      <c r="C135" s="14" t="s">
        <v>466</v>
      </c>
      <c r="D135" s="14" t="s">
        <v>37</v>
      </c>
      <c r="E135" s="16">
        <v>44993</v>
      </c>
      <c r="F135" s="14" t="s">
        <v>792</v>
      </c>
      <c r="G135" s="14">
        <v>79.644999999999996</v>
      </c>
      <c r="H135" s="14">
        <v>0.95315099999999997</v>
      </c>
      <c r="I135" s="14">
        <v>112.270995</v>
      </c>
      <c r="J135" s="14">
        <v>1.0939829999999999</v>
      </c>
      <c r="K135" s="14">
        <v>0.67561899999999997</v>
      </c>
      <c r="L135" s="14">
        <v>3.0108009999999998</v>
      </c>
      <c r="M135" s="14">
        <v>-0.23610100000000001</v>
      </c>
      <c r="N135" s="14">
        <v>16771.398869000001</v>
      </c>
      <c r="O135" s="14">
        <v>13517.437333</v>
      </c>
      <c r="P135" s="14">
        <v>3362.2956829999998</v>
      </c>
      <c r="Q135" s="14">
        <v>2716.567571</v>
      </c>
      <c r="R135" s="14">
        <v>0.36043399999999998</v>
      </c>
      <c r="S135" s="14">
        <v>4.0489670000000002</v>
      </c>
      <c r="T135" s="14">
        <v>3.803868</v>
      </c>
      <c r="U135" s="14">
        <v>12.886813999999999</v>
      </c>
      <c r="V135" s="14">
        <v>18.061510999999999</v>
      </c>
      <c r="W135" s="14">
        <v>7.1</v>
      </c>
      <c r="X135" s="16">
        <v>41353</v>
      </c>
      <c r="Y135" s="14">
        <v>2</v>
      </c>
      <c r="Z135" s="14" t="s">
        <v>465</v>
      </c>
      <c r="AA135" s="14" t="s">
        <v>429</v>
      </c>
      <c r="AB135" s="14">
        <v>3.0503330000000002</v>
      </c>
      <c r="AC135" s="14">
        <v>-0.79934400000000005</v>
      </c>
      <c r="AD135" s="14">
        <v>-5.9366339999999997</v>
      </c>
      <c r="AE135" s="14">
        <v>-5.9112999999999998</v>
      </c>
      <c r="AF135" s="14">
        <v>2.7797390000000002</v>
      </c>
      <c r="AG135" s="14">
        <v>-1.428515</v>
      </c>
      <c r="AH135" s="14">
        <v>-18.692985</v>
      </c>
      <c r="AI135" s="14">
        <v>-8.7164009999999994</v>
      </c>
      <c r="AJ135" s="14">
        <v>100</v>
      </c>
      <c r="AK135" s="14" t="s">
        <v>39</v>
      </c>
      <c r="AL135" s="14" t="s">
        <v>430</v>
      </c>
      <c r="AM135" s="14">
        <v>0.36043399999999998</v>
      </c>
      <c r="AN135" s="14">
        <v>0.36043399999999998</v>
      </c>
      <c r="AO135" s="14"/>
    </row>
    <row r="136" spans="1:41" x14ac:dyDescent="0.2">
      <c r="A136" s="14" t="s">
        <v>467</v>
      </c>
      <c r="B136" s="14" t="s">
        <v>468</v>
      </c>
      <c r="C136" s="14" t="s">
        <v>469</v>
      </c>
      <c r="D136" s="14" t="s">
        <v>37</v>
      </c>
      <c r="E136" s="16">
        <v>45196</v>
      </c>
      <c r="F136" s="14" t="s">
        <v>793</v>
      </c>
      <c r="G136" s="14">
        <v>85</v>
      </c>
      <c r="H136" s="14">
        <v>0.675068</v>
      </c>
      <c r="I136" s="14">
        <v>128.15455399999999</v>
      </c>
      <c r="J136" s="14">
        <v>1.394636</v>
      </c>
      <c r="K136" s="14">
        <v>0.76281200000000005</v>
      </c>
      <c r="L136" s="14">
        <v>3.118897</v>
      </c>
      <c r="M136" s="14">
        <v>-0.19322900000000001</v>
      </c>
      <c r="N136" s="14">
        <v>12771.994579</v>
      </c>
      <c r="O136" s="14">
        <v>10942.415102999999</v>
      </c>
      <c r="P136" s="14">
        <v>2721.790688</v>
      </c>
      <c r="Q136" s="14">
        <v>2199.0714130000001</v>
      </c>
      <c r="R136" s="14">
        <v>0.29177199999999998</v>
      </c>
      <c r="S136" s="14">
        <v>4.2884180000000001</v>
      </c>
      <c r="T136" s="14">
        <v>4.0315440000000002</v>
      </c>
      <c r="U136" s="14">
        <v>12.743225000000001</v>
      </c>
      <c r="V136" s="14">
        <v>20.706589999999998</v>
      </c>
      <c r="W136" s="14">
        <v>8.8000000000000007</v>
      </c>
      <c r="X136" s="16">
        <v>41556</v>
      </c>
      <c r="Y136" s="14">
        <v>2</v>
      </c>
      <c r="Z136" s="14" t="s">
        <v>470</v>
      </c>
      <c r="AA136" s="14" t="s">
        <v>429</v>
      </c>
      <c r="AB136" s="14">
        <v>3.3568039999999999</v>
      </c>
      <c r="AC136" s="14">
        <v>-0.71342899999999998</v>
      </c>
      <c r="AD136" s="14">
        <v>-5.8379269999999996</v>
      </c>
      <c r="AE136" s="14">
        <v>-5.8708669999999996</v>
      </c>
      <c r="AF136" s="14">
        <v>3.0854050000000002</v>
      </c>
      <c r="AG136" s="14">
        <v>-1.343145</v>
      </c>
      <c r="AH136" s="14">
        <v>-18.607664</v>
      </c>
      <c r="AI136" s="14">
        <v>-8.6771729999999998</v>
      </c>
      <c r="AJ136" s="14">
        <v>100</v>
      </c>
      <c r="AK136" s="14" t="s">
        <v>39</v>
      </c>
      <c r="AL136" s="14" t="s">
        <v>430</v>
      </c>
      <c r="AM136" s="14">
        <v>0.29177199999999998</v>
      </c>
      <c r="AN136" s="14">
        <v>0.29177199999999998</v>
      </c>
      <c r="AO136" s="14"/>
    </row>
    <row r="137" spans="1:41" x14ac:dyDescent="0.2">
      <c r="A137" s="14" t="s">
        <v>471</v>
      </c>
      <c r="B137" s="14" t="s">
        <v>472</v>
      </c>
      <c r="C137" s="14" t="s">
        <v>473</v>
      </c>
      <c r="D137" s="14" t="s">
        <v>37</v>
      </c>
      <c r="E137" s="16">
        <v>45371</v>
      </c>
      <c r="F137" s="14" t="s">
        <v>793</v>
      </c>
      <c r="G137" s="14">
        <v>92.35</v>
      </c>
      <c r="H137" s="14">
        <v>0.99726000000000004</v>
      </c>
      <c r="I137" s="14">
        <v>122.791329</v>
      </c>
      <c r="J137" s="14">
        <v>1.5049319999999999</v>
      </c>
      <c r="K137" s="14">
        <v>1.2252209999999999</v>
      </c>
      <c r="L137" s="14">
        <v>4.4658749999999996</v>
      </c>
      <c r="M137" s="14">
        <v>0.54398599999999997</v>
      </c>
      <c r="N137" s="14">
        <v>7490.4496730000001</v>
      </c>
      <c r="O137" s="14">
        <v>6992.1295520000003</v>
      </c>
      <c r="P137" s="14">
        <v>1739.2059180000001</v>
      </c>
      <c r="Q137" s="14">
        <v>1405.191822</v>
      </c>
      <c r="R137" s="14">
        <v>0.186441</v>
      </c>
      <c r="S137" s="14">
        <v>4.4405590000000004</v>
      </c>
      <c r="T137" s="14">
        <v>4.1835300000000002</v>
      </c>
      <c r="U137" s="14">
        <v>12.287685</v>
      </c>
      <c r="V137" s="14">
        <v>22.828251999999999</v>
      </c>
      <c r="W137" s="14">
        <v>10.4</v>
      </c>
      <c r="X137" s="16">
        <v>41731</v>
      </c>
      <c r="Y137" s="14">
        <v>2</v>
      </c>
      <c r="Z137" s="14" t="s">
        <v>472</v>
      </c>
      <c r="AA137" s="14" t="s">
        <v>429</v>
      </c>
      <c r="AB137" s="14">
        <v>3.4692340000000002</v>
      </c>
      <c r="AC137" s="14">
        <v>-0.25779400000000002</v>
      </c>
      <c r="AD137" s="14">
        <v>-4.6079460000000001</v>
      </c>
      <c r="AE137" s="14">
        <v>-5.1755899999999997</v>
      </c>
      <c r="AF137" s="14">
        <v>3.1975410000000002</v>
      </c>
      <c r="AG137" s="14">
        <v>-0.89039999999999997</v>
      </c>
      <c r="AH137" s="14">
        <v>-17.544487</v>
      </c>
      <c r="AI137" s="14">
        <v>-8.0026240000000008</v>
      </c>
      <c r="AJ137" s="14">
        <v>100</v>
      </c>
      <c r="AK137" s="14" t="s">
        <v>39</v>
      </c>
      <c r="AL137" s="14" t="s">
        <v>430</v>
      </c>
      <c r="AM137" s="14">
        <v>0.186441</v>
      </c>
      <c r="AN137" s="14">
        <v>0.186441</v>
      </c>
      <c r="AO137" s="14"/>
    </row>
    <row r="138" spans="1:41" x14ac:dyDescent="0.2">
      <c r="A138" s="14" t="s">
        <v>474</v>
      </c>
      <c r="B138" s="14" t="s">
        <v>475</v>
      </c>
      <c r="C138" s="14" t="s">
        <v>476</v>
      </c>
      <c r="D138" s="14" t="s">
        <v>37</v>
      </c>
      <c r="E138" s="16">
        <v>45497</v>
      </c>
      <c r="F138" s="14" t="s">
        <v>793</v>
      </c>
      <c r="G138" s="14">
        <v>86.05</v>
      </c>
      <c r="H138" s="14">
        <v>2.2438359999999999</v>
      </c>
      <c r="I138" s="14">
        <v>115.739684</v>
      </c>
      <c r="J138" s="14">
        <v>2.0055480000000001</v>
      </c>
      <c r="K138" s="14">
        <v>0.71515499999999999</v>
      </c>
      <c r="L138" s="14">
        <v>3.5447299999999999</v>
      </c>
      <c r="M138" s="14">
        <v>-0.233041</v>
      </c>
      <c r="N138" s="14">
        <v>12513.220181999999</v>
      </c>
      <c r="O138" s="14">
        <v>11048.402058</v>
      </c>
      <c r="P138" s="14">
        <v>2748.1536350000001</v>
      </c>
      <c r="Q138" s="14">
        <v>2220.3713619999999</v>
      </c>
      <c r="R138" s="14">
        <v>0.29459800000000003</v>
      </c>
      <c r="S138" s="14">
        <v>4.6667170000000002</v>
      </c>
      <c r="T138" s="14">
        <v>4.3966000000000003</v>
      </c>
      <c r="U138" s="14">
        <v>12.28754</v>
      </c>
      <c r="V138" s="14">
        <v>25.384869999999999</v>
      </c>
      <c r="W138" s="14">
        <v>9</v>
      </c>
      <c r="X138" s="16">
        <v>41857</v>
      </c>
      <c r="Y138" s="14">
        <v>2</v>
      </c>
      <c r="Z138" s="14" t="s">
        <v>475</v>
      </c>
      <c r="AA138" s="14" t="s">
        <v>429</v>
      </c>
      <c r="AB138" s="14">
        <v>3.9795379999999998</v>
      </c>
      <c r="AC138" s="14">
        <v>-0.76038700000000004</v>
      </c>
      <c r="AD138" s="14">
        <v>-5.4490809999999996</v>
      </c>
      <c r="AE138" s="14">
        <v>-5.9084139999999996</v>
      </c>
      <c r="AF138" s="14">
        <v>3.7065049999999999</v>
      </c>
      <c r="AG138" s="14">
        <v>-1.389805</v>
      </c>
      <c r="AH138" s="14">
        <v>-18.271552</v>
      </c>
      <c r="AI138" s="14">
        <v>-8.7136010000000006</v>
      </c>
      <c r="AJ138" s="14">
        <v>100</v>
      </c>
      <c r="AK138" s="14" t="s">
        <v>39</v>
      </c>
      <c r="AL138" s="14" t="s">
        <v>430</v>
      </c>
      <c r="AM138" s="14">
        <v>0.29459800000000003</v>
      </c>
      <c r="AN138" s="14">
        <v>0.29459800000000003</v>
      </c>
      <c r="AO138" s="14"/>
    </row>
    <row r="139" spans="1:41" x14ac:dyDescent="0.2">
      <c r="A139" s="14" t="s">
        <v>477</v>
      </c>
      <c r="B139" s="14" t="s">
        <v>478</v>
      </c>
      <c r="C139" s="14" t="s">
        <v>479</v>
      </c>
      <c r="D139" s="14" t="s">
        <v>37</v>
      </c>
      <c r="E139" s="16">
        <v>45728</v>
      </c>
      <c r="F139" s="14" t="s">
        <v>793</v>
      </c>
      <c r="G139" s="14">
        <v>79.95</v>
      </c>
      <c r="H139" s="14">
        <v>0.92054800000000003</v>
      </c>
      <c r="I139" s="14">
        <v>112.552931</v>
      </c>
      <c r="J139" s="14">
        <v>1.7961739999999999</v>
      </c>
      <c r="K139" s="14">
        <v>-3.3986000000000002E-2</v>
      </c>
      <c r="L139" s="14">
        <v>2.5294539999999999</v>
      </c>
      <c r="M139" s="14">
        <v>-0.67457900000000004</v>
      </c>
      <c r="N139" s="14">
        <v>14579.846378</v>
      </c>
      <c r="O139" s="14">
        <v>11790.801654999999</v>
      </c>
      <c r="P139" s="14">
        <v>2932.8163709999999</v>
      </c>
      <c r="Q139" s="14">
        <v>2369.5696619999999</v>
      </c>
      <c r="R139" s="14">
        <v>0.31439400000000001</v>
      </c>
      <c r="S139" s="14">
        <v>5.1550729999999998</v>
      </c>
      <c r="T139" s="14">
        <v>4.8530430000000004</v>
      </c>
      <c r="U139" s="14">
        <v>12.447050000000001</v>
      </c>
      <c r="V139" s="14">
        <v>30.537421999999999</v>
      </c>
      <c r="W139" s="14">
        <v>8</v>
      </c>
      <c r="X139" s="16">
        <v>42088</v>
      </c>
      <c r="Y139" s="14">
        <v>2</v>
      </c>
      <c r="Z139" s="14" t="s">
        <v>478</v>
      </c>
      <c r="AA139" s="14" t="s">
        <v>429</v>
      </c>
      <c r="AB139" s="14">
        <v>3.7661120000000001</v>
      </c>
      <c r="AC139" s="14">
        <v>-1.498553</v>
      </c>
      <c r="AD139" s="14">
        <v>-6.3761710000000003</v>
      </c>
      <c r="AE139" s="14">
        <v>-6.3248350000000002</v>
      </c>
      <c r="AF139" s="14">
        <v>3.4936389999999999</v>
      </c>
      <c r="AG139" s="14">
        <v>-2.1232899999999999</v>
      </c>
      <c r="AH139" s="14">
        <v>-19.072914999999998</v>
      </c>
      <c r="AI139" s="14">
        <v>-9.1176069999999996</v>
      </c>
      <c r="AJ139" s="14">
        <v>100</v>
      </c>
      <c r="AK139" s="14" t="s">
        <v>39</v>
      </c>
      <c r="AL139" s="14" t="s">
        <v>430</v>
      </c>
      <c r="AM139" s="14">
        <v>0.31439400000000001</v>
      </c>
      <c r="AN139" s="14">
        <v>0.31439400000000001</v>
      </c>
      <c r="AO139" s="14"/>
    </row>
    <row r="140" spans="1:41" x14ac:dyDescent="0.2">
      <c r="A140" s="14" t="s">
        <v>480</v>
      </c>
      <c r="B140" s="14" t="s">
        <v>481</v>
      </c>
      <c r="C140" s="14" t="s">
        <v>482</v>
      </c>
      <c r="D140" s="14" t="s">
        <v>37</v>
      </c>
      <c r="E140" s="16">
        <v>46064</v>
      </c>
      <c r="F140" s="14" t="s">
        <v>794</v>
      </c>
      <c r="G140" s="14">
        <v>91.1</v>
      </c>
      <c r="H140" s="14">
        <v>2.032877</v>
      </c>
      <c r="I140" s="14">
        <v>105.637569</v>
      </c>
      <c r="J140" s="14">
        <v>1.7318549999999999</v>
      </c>
      <c r="K140" s="14">
        <v>0.374637</v>
      </c>
      <c r="L140" s="14">
        <v>2.068244</v>
      </c>
      <c r="M140" s="14">
        <v>-0.89738600000000002</v>
      </c>
      <c r="N140" s="14">
        <v>20559.351374999998</v>
      </c>
      <c r="O140" s="14">
        <v>19147.515369000001</v>
      </c>
      <c r="P140" s="14">
        <v>4762.7080990000004</v>
      </c>
      <c r="Q140" s="14">
        <v>3848.031105</v>
      </c>
      <c r="R140" s="14">
        <v>0.51055600000000001</v>
      </c>
      <c r="S140" s="14">
        <v>5.2533849999999997</v>
      </c>
      <c r="T140" s="14">
        <v>4.9457420000000001</v>
      </c>
      <c r="U140" s="14">
        <v>12.440758000000001</v>
      </c>
      <c r="V140" s="14">
        <v>33.570805</v>
      </c>
      <c r="W140" s="14">
        <v>10.6</v>
      </c>
      <c r="X140" s="16">
        <v>42424</v>
      </c>
      <c r="Y140" s="14">
        <v>2</v>
      </c>
      <c r="Z140" s="14" t="s">
        <v>481</v>
      </c>
      <c r="AA140" s="14" t="s">
        <v>429</v>
      </c>
      <c r="AB140" s="14">
        <v>3.7005479999999999</v>
      </c>
      <c r="AC140" s="14">
        <v>-1.095917</v>
      </c>
      <c r="AD140" s="14">
        <v>-6.7973210000000002</v>
      </c>
      <c r="AE140" s="14">
        <v>-6.534967</v>
      </c>
      <c r="AF140" s="14">
        <v>3.4282469999999998</v>
      </c>
      <c r="AG140" s="14">
        <v>-1.7232069999999999</v>
      </c>
      <c r="AH140" s="14">
        <v>-19.436951000000001</v>
      </c>
      <c r="AI140" s="14">
        <v>-9.3214740000000003</v>
      </c>
      <c r="AJ140" s="14">
        <v>100</v>
      </c>
      <c r="AK140" s="14" t="s">
        <v>39</v>
      </c>
      <c r="AL140" s="14" t="s">
        <v>430</v>
      </c>
      <c r="AM140" s="14">
        <v>0.51055600000000001</v>
      </c>
      <c r="AN140" s="14">
        <v>0.51055600000000001</v>
      </c>
      <c r="AO140" s="14"/>
    </row>
    <row r="141" spans="1:41" x14ac:dyDescent="0.2">
      <c r="A141" s="14" t="s">
        <v>483</v>
      </c>
      <c r="B141" s="14" t="s">
        <v>484</v>
      </c>
      <c r="C141" s="14" t="s">
        <v>485</v>
      </c>
      <c r="D141" s="14" t="s">
        <v>37</v>
      </c>
      <c r="E141" s="16">
        <v>46442</v>
      </c>
      <c r="F141" s="14" t="s">
        <v>794</v>
      </c>
      <c r="G141" s="14">
        <v>92.75</v>
      </c>
      <c r="H141" s="14">
        <v>1.6876709999999999</v>
      </c>
      <c r="I141" s="14">
        <v>98.008668</v>
      </c>
      <c r="J141" s="14">
        <v>1.8190040000000001</v>
      </c>
      <c r="K141" s="14">
        <v>0.38515100000000002</v>
      </c>
      <c r="L141" s="14"/>
      <c r="M141" s="14">
        <v>-1.0725739999999999</v>
      </c>
      <c r="N141" s="14">
        <v>15905.54038</v>
      </c>
      <c r="O141" s="14">
        <v>15020.821932000001</v>
      </c>
      <c r="P141" s="14">
        <v>3736.244044</v>
      </c>
      <c r="Q141" s="14">
        <v>3018.6992359999999</v>
      </c>
      <c r="R141" s="14">
        <v>0.40051999999999999</v>
      </c>
      <c r="S141" s="14">
        <v>5.6372030000000004</v>
      </c>
      <c r="T141" s="14">
        <v>5.3081009999999997</v>
      </c>
      <c r="U141" s="14">
        <v>12.399975</v>
      </c>
      <c r="V141" s="14">
        <v>39.513348999999998</v>
      </c>
      <c r="W141" s="14">
        <v>11</v>
      </c>
      <c r="X141" s="16">
        <v>42802</v>
      </c>
      <c r="Y141" s="14">
        <v>2</v>
      </c>
      <c r="Z141" s="14" t="s">
        <v>484</v>
      </c>
      <c r="AA141" s="14" t="s">
        <v>429</v>
      </c>
      <c r="AB141" s="14">
        <v>3.7893840000000001</v>
      </c>
      <c r="AC141" s="14">
        <v>-1.0855570000000001</v>
      </c>
      <c r="AD141" s="14"/>
      <c r="AE141" s="14">
        <v>-6.700189</v>
      </c>
      <c r="AF141" s="14">
        <v>3.5168499999999998</v>
      </c>
      <c r="AG141" s="14">
        <v>-1.7129129999999999</v>
      </c>
      <c r="AH141" s="14"/>
      <c r="AI141" s="14">
        <v>-9.4817710000000002</v>
      </c>
      <c r="AJ141" s="14">
        <v>100</v>
      </c>
      <c r="AK141" s="14" t="s">
        <v>39</v>
      </c>
      <c r="AL141" s="14" t="s">
        <v>430</v>
      </c>
      <c r="AM141" s="14">
        <v>0.40051999999999999</v>
      </c>
      <c r="AN141" s="14">
        <v>0.40051999999999999</v>
      </c>
      <c r="AO141" s="14"/>
    </row>
    <row r="142" spans="1:41" x14ac:dyDescent="0.2">
      <c r="A142" s="14" t="s">
        <v>486</v>
      </c>
      <c r="B142" s="14" t="s">
        <v>487</v>
      </c>
      <c r="C142" s="14" t="s">
        <v>488</v>
      </c>
      <c r="D142" s="14" t="s">
        <v>37</v>
      </c>
      <c r="E142" s="16">
        <v>46610</v>
      </c>
      <c r="F142" s="14" t="s">
        <v>794</v>
      </c>
      <c r="G142" s="14">
        <v>90.3</v>
      </c>
      <c r="H142" s="14">
        <v>2.0136989999999999</v>
      </c>
      <c r="I142" s="14">
        <v>100.994609</v>
      </c>
      <c r="J142" s="14">
        <v>1.9163600000000001</v>
      </c>
      <c r="K142" s="14">
        <v>0.47597899999999999</v>
      </c>
      <c r="L142" s="14"/>
      <c r="M142" s="14">
        <v>-1.427616</v>
      </c>
      <c r="N142" s="14">
        <v>18829.048162999999</v>
      </c>
      <c r="O142" s="14">
        <v>17381.790776000002</v>
      </c>
      <c r="P142" s="14">
        <v>4323.5059019999999</v>
      </c>
      <c r="Q142" s="14">
        <v>3493.1775889999999</v>
      </c>
      <c r="R142" s="14">
        <v>0.463474</v>
      </c>
      <c r="S142" s="14">
        <v>5.8395530000000004</v>
      </c>
      <c r="T142" s="14">
        <v>5.50108</v>
      </c>
      <c r="U142" s="14">
        <v>12.305686</v>
      </c>
      <c r="V142" s="14">
        <v>42.796244000000002</v>
      </c>
      <c r="W142" s="14">
        <v>10.5</v>
      </c>
      <c r="X142" s="16">
        <v>42970</v>
      </c>
      <c r="Y142" s="14">
        <v>2</v>
      </c>
      <c r="Z142" s="14" t="s">
        <v>487</v>
      </c>
      <c r="AA142" s="14" t="s">
        <v>429</v>
      </c>
      <c r="AB142" s="14">
        <v>3.8886240000000001</v>
      </c>
      <c r="AC142" s="14">
        <v>-0.99605900000000003</v>
      </c>
      <c r="AD142" s="14"/>
      <c r="AE142" s="14">
        <v>-7.0350339999999996</v>
      </c>
      <c r="AF142" s="14">
        <v>3.6158299999999999</v>
      </c>
      <c r="AG142" s="14">
        <v>-1.623982</v>
      </c>
      <c r="AH142" s="14"/>
      <c r="AI142" s="14">
        <v>-9.8066320000000005</v>
      </c>
      <c r="AJ142" s="14">
        <v>100</v>
      </c>
      <c r="AK142" s="14" t="s">
        <v>39</v>
      </c>
      <c r="AL142" s="14" t="s">
        <v>430</v>
      </c>
      <c r="AM142" s="14">
        <v>0.463474</v>
      </c>
      <c r="AN142" s="14">
        <v>0.463474</v>
      </c>
      <c r="AO142" s="14"/>
    </row>
    <row r="143" spans="1:41" x14ac:dyDescent="0.2">
      <c r="A143" s="14" t="s">
        <v>489</v>
      </c>
      <c r="B143" s="14" t="s">
        <v>490</v>
      </c>
      <c r="C143" s="14" t="s">
        <v>491</v>
      </c>
      <c r="D143" s="14" t="s">
        <v>37</v>
      </c>
      <c r="E143" s="16">
        <v>44472</v>
      </c>
      <c r="F143" s="14" t="s">
        <v>792</v>
      </c>
      <c r="G143" s="14">
        <v>98.527060000000006</v>
      </c>
      <c r="H143" s="14">
        <v>1.516667</v>
      </c>
      <c r="I143" s="14">
        <v>120.11830999999999</v>
      </c>
      <c r="J143" s="14">
        <v>0.13753699999999999</v>
      </c>
      <c r="K143" s="14">
        <v>-1.2062539999999999</v>
      </c>
      <c r="L143" s="14">
        <v>6.2678659999999997</v>
      </c>
      <c r="M143" s="14">
        <v>1.3034049999999999</v>
      </c>
      <c r="N143" s="14">
        <v>62500</v>
      </c>
      <c r="O143" s="14">
        <v>62527.329167000004</v>
      </c>
      <c r="P143" s="14">
        <v>3104.2486859999999</v>
      </c>
      <c r="Q143" s="14">
        <v>2508.0784410000001</v>
      </c>
      <c r="R143" s="14">
        <v>0.33277099999999998</v>
      </c>
      <c r="S143" s="14">
        <v>2.6516730000000002</v>
      </c>
      <c r="T143" s="14">
        <v>2.4245890000000001</v>
      </c>
      <c r="U143" s="14">
        <v>18.73169</v>
      </c>
      <c r="V143" s="14">
        <v>7.9434079999999998</v>
      </c>
      <c r="W143" s="14">
        <v>18.2</v>
      </c>
      <c r="X143" s="16">
        <v>42646</v>
      </c>
      <c r="Y143" s="14">
        <v>2</v>
      </c>
      <c r="Z143" s="14" t="s">
        <v>490</v>
      </c>
      <c r="AA143" s="14" t="s">
        <v>492</v>
      </c>
      <c r="AB143" s="14">
        <v>0.32645200000000002</v>
      </c>
      <c r="AC143" s="14">
        <v>-1.2577529999999999</v>
      </c>
      <c r="AD143" s="14">
        <v>-19.689084999999999</v>
      </c>
      <c r="AE143" s="14">
        <v>-5.3227450000000003</v>
      </c>
      <c r="AF143" s="14">
        <v>6.3010999999999998E-2</v>
      </c>
      <c r="AG143" s="14">
        <v>-1.8840170000000001</v>
      </c>
      <c r="AH143" s="14">
        <v>-30.580406</v>
      </c>
      <c r="AI143" s="14">
        <v>-8.1453930000000003</v>
      </c>
      <c r="AJ143" s="14">
        <v>100</v>
      </c>
      <c r="AK143" s="14" t="s">
        <v>39</v>
      </c>
      <c r="AL143" s="14" t="s">
        <v>493</v>
      </c>
      <c r="AM143" s="14">
        <v>0.33277099999999998</v>
      </c>
      <c r="AN143" s="14">
        <v>0.33277099999999998</v>
      </c>
      <c r="AO143" s="14"/>
    </row>
    <row r="144" spans="1:41" x14ac:dyDescent="0.2">
      <c r="A144" s="14" t="s">
        <v>494</v>
      </c>
      <c r="B144" s="14" t="s">
        <v>495</v>
      </c>
      <c r="C144" s="14" t="s">
        <v>496</v>
      </c>
      <c r="D144" s="14" t="s">
        <v>37</v>
      </c>
      <c r="E144" s="16">
        <v>45216</v>
      </c>
      <c r="F144" s="14" t="s">
        <v>793</v>
      </c>
      <c r="G144" s="14">
        <v>95.11627</v>
      </c>
      <c r="H144" s="14">
        <v>0.71111100000000005</v>
      </c>
      <c r="I144" s="14">
        <v>118.294129</v>
      </c>
      <c r="J144" s="14">
        <v>0.104681</v>
      </c>
      <c r="K144" s="14">
        <v>-1.6630769999999999</v>
      </c>
      <c r="L144" s="14">
        <v>3.7515010000000002</v>
      </c>
      <c r="M144" s="14">
        <v>-0.2379</v>
      </c>
      <c r="N144" s="14">
        <v>27279</v>
      </c>
      <c r="O144" s="14">
        <v>26140.751293000001</v>
      </c>
      <c r="P144" s="14">
        <v>1297.7908050000001</v>
      </c>
      <c r="Q144" s="14">
        <v>1048.5503799999999</v>
      </c>
      <c r="R144" s="14">
        <v>0.13912099999999999</v>
      </c>
      <c r="S144" s="14">
        <v>3.7699880000000001</v>
      </c>
      <c r="T144" s="14">
        <v>3.4683679999999999</v>
      </c>
      <c r="U144" s="14">
        <v>17.392607000000002</v>
      </c>
      <c r="V144" s="14">
        <v>16.544989999999999</v>
      </c>
      <c r="W144" s="14">
        <v>16</v>
      </c>
      <c r="X144" s="16">
        <v>42660</v>
      </c>
      <c r="Y144" s="14">
        <v>2</v>
      </c>
      <c r="Z144" s="14" t="s">
        <v>495</v>
      </c>
      <c r="AA144" s="14" t="s">
        <v>492</v>
      </c>
      <c r="AB144" s="14">
        <v>0.29353499999999999</v>
      </c>
      <c r="AC144" s="14">
        <v>-1.7143379999999999</v>
      </c>
      <c r="AD144" s="14">
        <v>-21.590805</v>
      </c>
      <c r="AE144" s="14">
        <v>-6.7632349999999999</v>
      </c>
      <c r="AF144" s="14">
        <v>3.0179999999999998E-2</v>
      </c>
      <c r="AG144" s="14">
        <v>-2.3377059999999998</v>
      </c>
      <c r="AH144" s="14">
        <v>-32.224224</v>
      </c>
      <c r="AI144" s="14">
        <v>-9.5429370000000002</v>
      </c>
      <c r="AJ144" s="14">
        <v>100</v>
      </c>
      <c r="AK144" s="14" t="s">
        <v>39</v>
      </c>
      <c r="AL144" s="14" t="s">
        <v>493</v>
      </c>
      <c r="AM144" s="14">
        <v>0.13912099999999999</v>
      </c>
      <c r="AN144" s="14">
        <v>0.13912099999999999</v>
      </c>
      <c r="AO144" s="14"/>
    </row>
    <row r="145" spans="1:41" x14ac:dyDescent="0.2">
      <c r="A145" s="14" t="s">
        <v>497</v>
      </c>
      <c r="B145" s="14" t="s">
        <v>498</v>
      </c>
      <c r="C145" s="14" t="s">
        <v>499</v>
      </c>
      <c r="D145" s="14" t="s">
        <v>37</v>
      </c>
      <c r="E145" s="16">
        <v>46312</v>
      </c>
      <c r="F145" s="14" t="s">
        <v>794</v>
      </c>
      <c r="G145" s="14">
        <v>95.766189999999995</v>
      </c>
      <c r="H145" s="14">
        <v>0.68888899999999997</v>
      </c>
      <c r="I145" s="14">
        <v>117.756705</v>
      </c>
      <c r="J145" s="14">
        <v>-0.18698400000000001</v>
      </c>
      <c r="K145" s="14">
        <v>-2.3214790000000001</v>
      </c>
      <c r="L145" s="14">
        <v>-0.14443700000000001</v>
      </c>
      <c r="M145" s="14">
        <v>-0.34912799999999999</v>
      </c>
      <c r="N145" s="14">
        <v>60192</v>
      </c>
      <c r="O145" s="14">
        <v>58058.241085000001</v>
      </c>
      <c r="P145" s="14">
        <v>2882.3751309999998</v>
      </c>
      <c r="Q145" s="14">
        <v>2328.8156509999999</v>
      </c>
      <c r="R145" s="14">
        <v>0.30898700000000001</v>
      </c>
      <c r="S145" s="14">
        <v>4.8845070000000002</v>
      </c>
      <c r="T145" s="14">
        <v>4.5140539999999998</v>
      </c>
      <c r="U145" s="14">
        <v>16.413301000000001</v>
      </c>
      <c r="V145" s="14">
        <v>29.964110999999999</v>
      </c>
      <c r="W145" s="14">
        <v>15.5</v>
      </c>
      <c r="X145" s="16">
        <v>42660</v>
      </c>
      <c r="Y145" s="14">
        <v>2</v>
      </c>
      <c r="Z145" s="14" t="s">
        <v>498</v>
      </c>
      <c r="AA145" s="14" t="s">
        <v>492</v>
      </c>
      <c r="AB145" s="14">
        <v>1.32E-3</v>
      </c>
      <c r="AC145" s="14">
        <v>-2.3723969999999999</v>
      </c>
      <c r="AD145" s="14">
        <v>-24.535122000000001</v>
      </c>
      <c r="AE145" s="14">
        <v>-6.8671879999999996</v>
      </c>
      <c r="AF145" s="14">
        <v>-0.261268</v>
      </c>
      <c r="AG145" s="14">
        <v>-2.9915910000000001</v>
      </c>
      <c r="AH145" s="14">
        <v>-34.769249000000002</v>
      </c>
      <c r="AI145" s="14">
        <v>-9.6437910000000002</v>
      </c>
      <c r="AJ145" s="14">
        <v>100</v>
      </c>
      <c r="AK145" s="14" t="s">
        <v>39</v>
      </c>
      <c r="AL145" s="14" t="s">
        <v>493</v>
      </c>
      <c r="AM145" s="14">
        <v>0.30898700000000001</v>
      </c>
      <c r="AN145" s="14">
        <v>0.30898700000000001</v>
      </c>
      <c r="AO145" s="14"/>
    </row>
    <row r="146" spans="1:41" x14ac:dyDescent="0.2">
      <c r="A146" s="14" t="s">
        <v>502</v>
      </c>
      <c r="B146" s="14" t="s">
        <v>503</v>
      </c>
      <c r="C146" s="14" t="s">
        <v>504</v>
      </c>
      <c r="D146" s="14" t="s">
        <v>37</v>
      </c>
      <c r="E146" s="16">
        <v>43647</v>
      </c>
      <c r="F146" s="14" t="s">
        <v>791</v>
      </c>
      <c r="G146" s="14">
        <v>92.88</v>
      </c>
      <c r="H146" s="14">
        <v>0</v>
      </c>
      <c r="I146" s="14">
        <v>149.27677299999999</v>
      </c>
      <c r="J146" s="14">
        <v>4.3084999999999998E-2</v>
      </c>
      <c r="K146" s="14">
        <v>0.38910600000000001</v>
      </c>
      <c r="L146" s="14">
        <v>13.213067000000001</v>
      </c>
      <c r="M146" s="14">
        <v>3.2803290000000001</v>
      </c>
      <c r="N146" s="14">
        <v>15399.802296</v>
      </c>
      <c r="O146" s="14">
        <v>14303.336450000001</v>
      </c>
      <c r="P146" s="14">
        <v>4229.1287810000003</v>
      </c>
      <c r="Q146" s="14">
        <v>3416.9255720000001</v>
      </c>
      <c r="R146" s="14">
        <v>0.45335700000000001</v>
      </c>
      <c r="S146" s="14">
        <v>1.1666669999999999</v>
      </c>
      <c r="T146" s="14">
        <v>1.129748</v>
      </c>
      <c r="U146" s="14">
        <v>6.5357209999999997</v>
      </c>
      <c r="V146" s="14">
        <v>2.227144</v>
      </c>
      <c r="W146" s="14">
        <v>0</v>
      </c>
      <c r="X146" s="16">
        <v>42188</v>
      </c>
      <c r="Y146" s="14">
        <v>2</v>
      </c>
      <c r="Z146" s="14" t="s">
        <v>503</v>
      </c>
      <c r="AA146" s="14" t="s">
        <v>500</v>
      </c>
      <c r="AB146" s="14">
        <v>0.54594799999999999</v>
      </c>
      <c r="AC146" s="14">
        <v>-1.3473189999999999</v>
      </c>
      <c r="AD146" s="14">
        <v>3.540699</v>
      </c>
      <c r="AE146" s="14">
        <v>1.2954019999999999</v>
      </c>
      <c r="AF146" s="14">
        <v>0.28193099999999999</v>
      </c>
      <c r="AG146" s="14">
        <v>-1.973015</v>
      </c>
      <c r="AH146" s="14">
        <v>-10.500915000000001</v>
      </c>
      <c r="AI146" s="14">
        <v>-1.7245539999999999</v>
      </c>
      <c r="AJ146" s="14">
        <v>100</v>
      </c>
      <c r="AK146" s="14" t="s">
        <v>39</v>
      </c>
      <c r="AL146" s="14" t="s">
        <v>501</v>
      </c>
      <c r="AM146" s="14">
        <v>0.45335700000000001</v>
      </c>
      <c r="AN146" s="14">
        <v>0.45335700000000001</v>
      </c>
      <c r="AO146" s="14"/>
    </row>
    <row r="147" spans="1:41" x14ac:dyDescent="0.2">
      <c r="A147" s="14" t="s">
        <v>505</v>
      </c>
      <c r="B147" s="14" t="s">
        <v>506</v>
      </c>
      <c r="C147" s="14" t="s">
        <v>507</v>
      </c>
      <c r="D147" s="14" t="s">
        <v>37</v>
      </c>
      <c r="E147" s="16">
        <v>43739</v>
      </c>
      <c r="F147" s="14" t="s">
        <v>791</v>
      </c>
      <c r="G147" s="14">
        <v>91.1</v>
      </c>
      <c r="H147" s="14">
        <v>0</v>
      </c>
      <c r="I147" s="14">
        <v>108.89313900000001</v>
      </c>
      <c r="J147" s="14">
        <v>5.4914999999999999E-2</v>
      </c>
      <c r="K147" s="14">
        <v>0.48532999999999998</v>
      </c>
      <c r="L147" s="14"/>
      <c r="M147" s="14">
        <v>3.8531689999999998</v>
      </c>
      <c r="N147" s="14">
        <v>24949.845008</v>
      </c>
      <c r="O147" s="14">
        <v>22729.308802</v>
      </c>
      <c r="P147" s="14">
        <v>6720.4721330000002</v>
      </c>
      <c r="Q147" s="14">
        <v>5429.8070079999998</v>
      </c>
      <c r="R147" s="14">
        <v>0.72042600000000001</v>
      </c>
      <c r="S147" s="14">
        <v>1.428571</v>
      </c>
      <c r="T147" s="14">
        <v>1.381982</v>
      </c>
      <c r="U147" s="14">
        <v>6.7424419999999996</v>
      </c>
      <c r="V147" s="14">
        <v>3.0449389999999998</v>
      </c>
      <c r="W147" s="14">
        <v>0</v>
      </c>
      <c r="X147" s="16">
        <v>42923</v>
      </c>
      <c r="Y147" s="14">
        <v>2</v>
      </c>
      <c r="Z147" s="14" t="s">
        <v>506</v>
      </c>
      <c r="AA147" s="14" t="s">
        <v>500</v>
      </c>
      <c r="AB147" s="14">
        <v>0.55783700000000003</v>
      </c>
      <c r="AC147" s="14">
        <v>-1.252759</v>
      </c>
      <c r="AD147" s="14"/>
      <c r="AE147" s="14">
        <v>1.8572329999999999</v>
      </c>
      <c r="AF147" s="14">
        <v>0.29378900000000002</v>
      </c>
      <c r="AG147" s="14">
        <v>-1.8790549999999999</v>
      </c>
      <c r="AH147" s="14"/>
      <c r="AI147" s="14">
        <v>-1.1794739999999999</v>
      </c>
      <c r="AJ147" s="14">
        <v>100</v>
      </c>
      <c r="AK147" s="14" t="s">
        <v>39</v>
      </c>
      <c r="AL147" s="14" t="s">
        <v>501</v>
      </c>
      <c r="AM147" s="14">
        <v>0.72042600000000001</v>
      </c>
      <c r="AN147" s="14">
        <v>0.72042600000000001</v>
      </c>
      <c r="AO147" s="14"/>
    </row>
    <row r="148" spans="1:41" x14ac:dyDescent="0.2">
      <c r="A148" s="14" t="s">
        <v>508</v>
      </c>
      <c r="B148" s="14" t="s">
        <v>509</v>
      </c>
      <c r="C148" s="14" t="s">
        <v>510</v>
      </c>
      <c r="D148" s="14" t="s">
        <v>37</v>
      </c>
      <c r="E148" s="16">
        <v>43831</v>
      </c>
      <c r="F148" s="14" t="s">
        <v>791</v>
      </c>
      <c r="G148" s="14">
        <v>89.290001000000004</v>
      </c>
      <c r="H148" s="14">
        <v>0</v>
      </c>
      <c r="I148" s="14">
        <v>159.27576300000001</v>
      </c>
      <c r="J148" s="14">
        <v>5.6029000000000002E-2</v>
      </c>
      <c r="K148" s="14">
        <v>0.56312700000000004</v>
      </c>
      <c r="L148" s="14">
        <v>14.445014</v>
      </c>
      <c r="M148" s="14">
        <v>4.2863819999999997</v>
      </c>
      <c r="N148" s="14">
        <v>30381.665616999999</v>
      </c>
      <c r="O148" s="14">
        <v>27127.789380999999</v>
      </c>
      <c r="P148" s="14">
        <v>8020.9897350000001</v>
      </c>
      <c r="Q148" s="14">
        <v>6480.5605029999997</v>
      </c>
      <c r="R148" s="14">
        <v>0.85983900000000002</v>
      </c>
      <c r="S148" s="14">
        <v>1.6904760000000001</v>
      </c>
      <c r="T148" s="14">
        <v>1.6338569999999999</v>
      </c>
      <c r="U148" s="14">
        <v>6.9307350000000003</v>
      </c>
      <c r="V148" s="14">
        <v>3.9777100000000001</v>
      </c>
      <c r="W148" s="14">
        <v>0</v>
      </c>
      <c r="X148" s="16">
        <v>42377</v>
      </c>
      <c r="Y148" s="14">
        <v>2</v>
      </c>
      <c r="Z148" s="14" t="s">
        <v>509</v>
      </c>
      <c r="AA148" s="14" t="s">
        <v>500</v>
      </c>
      <c r="AB148" s="14">
        <v>0.55895700000000004</v>
      </c>
      <c r="AC148" s="14">
        <v>-1.1763079999999999</v>
      </c>
      <c r="AD148" s="14">
        <v>4.667395</v>
      </c>
      <c r="AE148" s="14">
        <v>2.2821199999999999</v>
      </c>
      <c r="AF148" s="14">
        <v>0.294906</v>
      </c>
      <c r="AG148" s="14">
        <v>-1.803088</v>
      </c>
      <c r="AH148" s="14">
        <v>-9.5270159999999997</v>
      </c>
      <c r="AI148" s="14">
        <v>-0.76725399999999999</v>
      </c>
      <c r="AJ148" s="14">
        <v>100</v>
      </c>
      <c r="AK148" s="14" t="s">
        <v>39</v>
      </c>
      <c r="AL148" s="14" t="s">
        <v>501</v>
      </c>
      <c r="AM148" s="14">
        <v>0.85983900000000002</v>
      </c>
      <c r="AN148" s="14">
        <v>0.85983900000000002</v>
      </c>
      <c r="AO148" s="14"/>
    </row>
    <row r="149" spans="1:41" x14ac:dyDescent="0.2">
      <c r="A149" s="14" t="s">
        <v>815</v>
      </c>
      <c r="B149" s="14" t="s">
        <v>816</v>
      </c>
      <c r="C149" s="14" t="s">
        <v>817</v>
      </c>
      <c r="D149" s="14" t="s">
        <v>37</v>
      </c>
      <c r="E149" s="16">
        <v>43922</v>
      </c>
      <c r="F149" s="14" t="s">
        <v>791</v>
      </c>
      <c r="G149" s="14">
        <v>87.39</v>
      </c>
      <c r="H149" s="14">
        <v>0</v>
      </c>
      <c r="I149" s="14">
        <v>103.751633</v>
      </c>
      <c r="J149" s="14">
        <v>8.0165E-2</v>
      </c>
      <c r="K149" s="14">
        <v>0.58701700000000001</v>
      </c>
      <c r="L149" s="14"/>
      <c r="M149" s="14"/>
      <c r="N149" s="14">
        <v>19985.058247000001</v>
      </c>
      <c r="O149" s="14">
        <v>17464.942402000001</v>
      </c>
      <c r="P149" s="14">
        <v>5163.9343609999996</v>
      </c>
      <c r="Q149" s="14">
        <v>4172.2019559999999</v>
      </c>
      <c r="R149" s="14">
        <v>0.55356700000000003</v>
      </c>
      <c r="S149" s="14">
        <v>1.948413</v>
      </c>
      <c r="T149" s="14">
        <v>1.8810450000000001</v>
      </c>
      <c r="U149" s="14">
        <v>7.1628059999999998</v>
      </c>
      <c r="V149" s="14">
        <v>5.0024309999999996</v>
      </c>
      <c r="W149" s="14">
        <v>0</v>
      </c>
      <c r="X149" s="16">
        <v>43104</v>
      </c>
      <c r="Y149" s="14">
        <v>2</v>
      </c>
      <c r="Z149" s="14" t="s">
        <v>816</v>
      </c>
      <c r="AA149" s="14" t="s">
        <v>500</v>
      </c>
      <c r="AB149" s="14">
        <v>0.58321400000000001</v>
      </c>
      <c r="AC149" s="14">
        <v>-1.1528320000000001</v>
      </c>
      <c r="AD149" s="14"/>
      <c r="AE149" s="14"/>
      <c r="AF149" s="14">
        <v>0.31909900000000002</v>
      </c>
      <c r="AG149" s="14">
        <v>-1.7797609999999999</v>
      </c>
      <c r="AH149" s="14"/>
      <c r="AI149" s="14"/>
      <c r="AJ149" s="14">
        <v>100</v>
      </c>
      <c r="AK149" s="14" t="s">
        <v>39</v>
      </c>
      <c r="AL149" s="14" t="s">
        <v>501</v>
      </c>
      <c r="AM149" s="14">
        <v>0.55356700000000003</v>
      </c>
      <c r="AN149" s="14">
        <v>0.55356700000000003</v>
      </c>
      <c r="AO149" s="14"/>
    </row>
    <row r="150" spans="1:41" x14ac:dyDescent="0.2">
      <c r="A150" s="14" t="s">
        <v>511</v>
      </c>
      <c r="B150" s="14" t="s">
        <v>512</v>
      </c>
      <c r="C150" s="14" t="s">
        <v>513</v>
      </c>
      <c r="D150" s="14" t="s">
        <v>37</v>
      </c>
      <c r="E150" s="16">
        <v>44013</v>
      </c>
      <c r="F150" s="14" t="s">
        <v>791</v>
      </c>
      <c r="G150" s="14">
        <v>85.489998999999997</v>
      </c>
      <c r="H150" s="14">
        <v>0</v>
      </c>
      <c r="I150" s="14">
        <v>133.85000700000001</v>
      </c>
      <c r="J150" s="14">
        <v>9.3664999999999998E-2</v>
      </c>
      <c r="K150" s="14">
        <v>0.58830400000000005</v>
      </c>
      <c r="L150" s="14">
        <v>15.262235</v>
      </c>
      <c r="M150" s="14">
        <v>5.0632910000000004</v>
      </c>
      <c r="N150" s="14">
        <v>61082.511692</v>
      </c>
      <c r="O150" s="14">
        <v>52219.43894</v>
      </c>
      <c r="P150" s="14">
        <v>15439.945282000001</v>
      </c>
      <c r="Q150" s="14">
        <v>12474.707345999999</v>
      </c>
      <c r="R150" s="14">
        <v>1.6551419999999999</v>
      </c>
      <c r="S150" s="14">
        <v>2.2063489999999999</v>
      </c>
      <c r="T150" s="14">
        <v>2.1279970000000001</v>
      </c>
      <c r="U150" s="14">
        <v>7.3639609999999998</v>
      </c>
      <c r="V150" s="14">
        <v>6.137168</v>
      </c>
      <c r="W150" s="14">
        <v>0</v>
      </c>
      <c r="X150" s="16">
        <v>42559</v>
      </c>
      <c r="Y150" s="14">
        <v>2</v>
      </c>
      <c r="Z150" s="14" t="s">
        <v>512</v>
      </c>
      <c r="AA150" s="14" t="s">
        <v>500</v>
      </c>
      <c r="AB150" s="14">
        <v>0.59678200000000003</v>
      </c>
      <c r="AC150" s="14">
        <v>-1.151567</v>
      </c>
      <c r="AD150" s="14">
        <v>5.4147959999999999</v>
      </c>
      <c r="AE150" s="14">
        <v>3.0440969999999998</v>
      </c>
      <c r="AF150" s="14">
        <v>0.33263100000000001</v>
      </c>
      <c r="AG150" s="14">
        <v>-1.7785040000000001</v>
      </c>
      <c r="AH150" s="14">
        <v>-8.8809729999999991</v>
      </c>
      <c r="AI150" s="14">
        <v>-2.7994000000000002E-2</v>
      </c>
      <c r="AJ150" s="14">
        <v>100</v>
      </c>
      <c r="AK150" s="14" t="s">
        <v>39</v>
      </c>
      <c r="AL150" s="14" t="s">
        <v>501</v>
      </c>
      <c r="AM150" s="14">
        <v>1.6551419999999999</v>
      </c>
      <c r="AN150" s="14">
        <v>1.6551419999999999</v>
      </c>
      <c r="AO150" s="14"/>
    </row>
    <row r="151" spans="1:41" x14ac:dyDescent="0.2">
      <c r="A151" s="14" t="s">
        <v>514</v>
      </c>
      <c r="B151" s="14" t="s">
        <v>515</v>
      </c>
      <c r="C151" s="14" t="s">
        <v>516</v>
      </c>
      <c r="D151" s="14" t="s">
        <v>37</v>
      </c>
      <c r="E151" s="16">
        <v>44197</v>
      </c>
      <c r="F151" s="14" t="s">
        <v>791</v>
      </c>
      <c r="G151" s="14">
        <v>105.09721399999999</v>
      </c>
      <c r="H151" s="14">
        <v>3.2276820000000002</v>
      </c>
      <c r="I151" s="14">
        <v>293.06172600000002</v>
      </c>
      <c r="J151" s="14">
        <v>0.139069</v>
      </c>
      <c r="K151" s="14">
        <v>0.53988700000000001</v>
      </c>
      <c r="L151" s="14">
        <v>14.596215000000001</v>
      </c>
      <c r="M151" s="14">
        <v>4.9270719999999999</v>
      </c>
      <c r="N151" s="14">
        <v>32965.156059000001</v>
      </c>
      <c r="O151" s="14">
        <v>35709.470982999999</v>
      </c>
      <c r="P151" s="14">
        <v>10558.372308</v>
      </c>
      <c r="Q151" s="14">
        <v>8530.6393370000005</v>
      </c>
      <c r="R151" s="14">
        <v>1.1318429999999999</v>
      </c>
      <c r="S151" s="14">
        <v>2.4008050000000001</v>
      </c>
      <c r="T151" s="14">
        <v>2.3132540000000001</v>
      </c>
      <c r="U151" s="14">
        <v>7.5694860000000004</v>
      </c>
      <c r="V151" s="14">
        <v>7.5087070000000002</v>
      </c>
      <c r="W151" s="14">
        <v>10</v>
      </c>
      <c r="X151" s="16">
        <v>40214</v>
      </c>
      <c r="Y151" s="14">
        <v>2</v>
      </c>
      <c r="Z151" s="14" t="s">
        <v>517</v>
      </c>
      <c r="AA151" s="14" t="s">
        <v>500</v>
      </c>
      <c r="AB151" s="14">
        <v>0.64241400000000004</v>
      </c>
      <c r="AC151" s="14">
        <v>-1.199146</v>
      </c>
      <c r="AD151" s="14">
        <v>4.8056780000000003</v>
      </c>
      <c r="AE151" s="14">
        <v>2.9104969999999999</v>
      </c>
      <c r="AF151" s="14">
        <v>0.37814399999999998</v>
      </c>
      <c r="AG151" s="14">
        <v>-1.825782</v>
      </c>
      <c r="AH151" s="14">
        <v>-9.4074860000000005</v>
      </c>
      <c r="AI151" s="14">
        <v>-0.157611</v>
      </c>
      <c r="AJ151" s="14">
        <v>100</v>
      </c>
      <c r="AK151" s="14" t="s">
        <v>39</v>
      </c>
      <c r="AL151" s="14" t="s">
        <v>501</v>
      </c>
      <c r="AM151" s="14">
        <v>1.1318429999999999</v>
      </c>
      <c r="AN151" s="14">
        <v>1.1318429999999999</v>
      </c>
      <c r="AO151" s="14"/>
    </row>
    <row r="152" spans="1:41" x14ac:dyDescent="0.2">
      <c r="A152" s="14" t="s">
        <v>518</v>
      </c>
      <c r="B152" s="14" t="s">
        <v>519</v>
      </c>
      <c r="C152" s="14" t="s">
        <v>520</v>
      </c>
      <c r="D152" s="14" t="s">
        <v>37</v>
      </c>
      <c r="E152" s="16">
        <v>44378</v>
      </c>
      <c r="F152" s="14" t="s">
        <v>792</v>
      </c>
      <c r="G152" s="14">
        <v>77.78</v>
      </c>
      <c r="H152" s="14">
        <v>0</v>
      </c>
      <c r="I152" s="14">
        <v>111.01912799999999</v>
      </c>
      <c r="J152" s="14">
        <v>0.24487800000000001</v>
      </c>
      <c r="K152" s="14">
        <v>0.55591500000000005</v>
      </c>
      <c r="L152" s="14"/>
      <c r="M152" s="14">
        <v>6.198798</v>
      </c>
      <c r="N152" s="14">
        <v>29378.912292000001</v>
      </c>
      <c r="O152" s="14">
        <v>22850.918128000001</v>
      </c>
      <c r="P152" s="14">
        <v>6756.4288839999999</v>
      </c>
      <c r="Q152" s="14">
        <v>5458.8582720000004</v>
      </c>
      <c r="R152" s="14">
        <v>0.72428000000000003</v>
      </c>
      <c r="S152" s="14">
        <v>3.2420629999999999</v>
      </c>
      <c r="T152" s="14">
        <v>3.1164830000000001</v>
      </c>
      <c r="U152" s="14">
        <v>8.0590879999999991</v>
      </c>
      <c r="V152" s="14">
        <v>11.778123000000001</v>
      </c>
      <c r="W152" s="14">
        <v>0</v>
      </c>
      <c r="X152" s="16">
        <v>42923</v>
      </c>
      <c r="Y152" s="14">
        <v>2</v>
      </c>
      <c r="Z152" s="14" t="s">
        <v>519</v>
      </c>
      <c r="AA152" s="14" t="s">
        <v>500</v>
      </c>
      <c r="AB152" s="14">
        <v>0.74875499999999995</v>
      </c>
      <c r="AC152" s="14">
        <v>-1.183395</v>
      </c>
      <c r="AD152" s="14"/>
      <c r="AE152" s="14">
        <v>4.1577820000000001</v>
      </c>
      <c r="AF152" s="14">
        <v>0.484205</v>
      </c>
      <c r="AG152" s="14">
        <v>-1.81013</v>
      </c>
      <c r="AH152" s="14"/>
      <c r="AI152" s="14">
        <v>1.0524880000000001</v>
      </c>
      <c r="AJ152" s="14">
        <v>100</v>
      </c>
      <c r="AK152" s="14" t="s">
        <v>39</v>
      </c>
      <c r="AL152" s="14" t="s">
        <v>501</v>
      </c>
      <c r="AM152" s="14">
        <v>0.72428000000000003</v>
      </c>
      <c r="AN152" s="14">
        <v>0.72428000000000003</v>
      </c>
      <c r="AO152" s="14"/>
    </row>
    <row r="153" spans="1:41" x14ac:dyDescent="0.2">
      <c r="A153" s="14" t="s">
        <v>818</v>
      </c>
      <c r="B153" s="14" t="s">
        <v>819</v>
      </c>
      <c r="C153" s="14" t="s">
        <v>820</v>
      </c>
      <c r="D153" s="14" t="s">
        <v>37</v>
      </c>
      <c r="E153" s="16">
        <v>44562</v>
      </c>
      <c r="F153" s="14" t="s">
        <v>792</v>
      </c>
      <c r="G153" s="14">
        <v>73.89</v>
      </c>
      <c r="H153" s="14">
        <v>0</v>
      </c>
      <c r="I153" s="14">
        <v>104.290755</v>
      </c>
      <c r="J153" s="14">
        <v>0.29862899999999998</v>
      </c>
      <c r="K153" s="14">
        <v>0.44861299999999998</v>
      </c>
      <c r="L153" s="14"/>
      <c r="M153" s="14"/>
      <c r="N153" s="14">
        <v>21185.693136999998</v>
      </c>
      <c r="O153" s="14">
        <v>15654.108659</v>
      </c>
      <c r="P153" s="14">
        <v>4628.5173880000002</v>
      </c>
      <c r="Q153" s="14">
        <v>3739.6116900000002</v>
      </c>
      <c r="R153" s="14">
        <v>0.49617099999999997</v>
      </c>
      <c r="S153" s="14">
        <v>3.7619050000000001</v>
      </c>
      <c r="T153" s="14">
        <v>3.61069</v>
      </c>
      <c r="U153" s="14">
        <v>8.3759519999999998</v>
      </c>
      <c r="V153" s="14">
        <v>15.251855000000001</v>
      </c>
      <c r="W153" s="14">
        <v>0</v>
      </c>
      <c r="X153" s="16">
        <v>43104</v>
      </c>
      <c r="Y153" s="14">
        <v>2</v>
      </c>
      <c r="Z153" s="14" t="s">
        <v>819</v>
      </c>
      <c r="AA153" s="14" t="s">
        <v>500</v>
      </c>
      <c r="AB153" s="14">
        <v>0.80277600000000005</v>
      </c>
      <c r="AC153" s="14">
        <v>-1.2888409999999999</v>
      </c>
      <c r="AD153" s="14"/>
      <c r="AE153" s="14"/>
      <c r="AF153" s="14">
        <v>0.53808500000000004</v>
      </c>
      <c r="AG153" s="14">
        <v>-1.9149069999999999</v>
      </c>
      <c r="AH153" s="14"/>
      <c r="AI153" s="14"/>
      <c r="AJ153" s="14">
        <v>100</v>
      </c>
      <c r="AK153" s="14" t="s">
        <v>39</v>
      </c>
      <c r="AL153" s="14" t="s">
        <v>501</v>
      </c>
      <c r="AM153" s="14">
        <v>0.49617099999999997</v>
      </c>
      <c r="AN153" s="14">
        <v>0.49617099999999997</v>
      </c>
      <c r="AO153" s="14"/>
    </row>
    <row r="154" spans="1:41" x14ac:dyDescent="0.2">
      <c r="A154" s="14" t="s">
        <v>521</v>
      </c>
      <c r="B154" s="14" t="s">
        <v>522</v>
      </c>
      <c r="C154" s="14" t="s">
        <v>523</v>
      </c>
      <c r="D154" s="14" t="s">
        <v>37</v>
      </c>
      <c r="E154" s="16">
        <v>44927</v>
      </c>
      <c r="F154" s="14" t="s">
        <v>792</v>
      </c>
      <c r="G154" s="14">
        <v>104.317213</v>
      </c>
      <c r="H154" s="14">
        <v>3.2276820000000002</v>
      </c>
      <c r="I154" s="14">
        <v>202.68329</v>
      </c>
      <c r="J154" s="14">
        <v>0.33685700000000002</v>
      </c>
      <c r="K154" s="14">
        <v>0.34624700000000003</v>
      </c>
      <c r="L154" s="14">
        <v>14.294853</v>
      </c>
      <c r="M154" s="14">
        <v>5.8976360000000003</v>
      </c>
      <c r="N154" s="14">
        <v>41741.126647999998</v>
      </c>
      <c r="O154" s="14">
        <v>44890.450989999998</v>
      </c>
      <c r="P154" s="14">
        <v>13272.952009000001</v>
      </c>
      <c r="Q154" s="14">
        <v>10723.884631999999</v>
      </c>
      <c r="R154" s="14">
        <v>1.4228430000000001</v>
      </c>
      <c r="S154" s="14">
        <v>3.8591229999999999</v>
      </c>
      <c r="T154" s="14">
        <v>3.7006559999999999</v>
      </c>
      <c r="U154" s="14">
        <v>8.564254</v>
      </c>
      <c r="V154" s="14">
        <v>17.843965000000001</v>
      </c>
      <c r="W154" s="14">
        <v>10</v>
      </c>
      <c r="X154" s="16">
        <v>40977</v>
      </c>
      <c r="Y154" s="14">
        <v>2</v>
      </c>
      <c r="Z154" s="14" t="s">
        <v>522</v>
      </c>
      <c r="AA154" s="14" t="s">
        <v>500</v>
      </c>
      <c r="AB154" s="14">
        <v>0.84119699999999997</v>
      </c>
      <c r="AC154" s="14">
        <v>-1.3894359999999999</v>
      </c>
      <c r="AD154" s="14">
        <v>4.530062</v>
      </c>
      <c r="AE154" s="14">
        <v>3.8624070000000001</v>
      </c>
      <c r="AF154" s="14">
        <v>0.57640400000000003</v>
      </c>
      <c r="AG154" s="14">
        <v>-2.0148649999999999</v>
      </c>
      <c r="AH154" s="14">
        <v>-9.6457239999999995</v>
      </c>
      <c r="AI154" s="14">
        <v>0.76592000000000005</v>
      </c>
      <c r="AJ154" s="14">
        <v>100</v>
      </c>
      <c r="AK154" s="14" t="s">
        <v>39</v>
      </c>
      <c r="AL154" s="14" t="s">
        <v>501</v>
      </c>
      <c r="AM154" s="14">
        <v>1.4228430000000001</v>
      </c>
      <c r="AN154" s="14">
        <v>1.4228430000000001</v>
      </c>
      <c r="AO154" s="14"/>
    </row>
    <row r="155" spans="1:41" x14ac:dyDescent="0.2">
      <c r="A155" s="14" t="s">
        <v>524</v>
      </c>
      <c r="B155" s="14" t="s">
        <v>525</v>
      </c>
      <c r="C155" s="14" t="s">
        <v>526</v>
      </c>
      <c r="D155" s="14" t="s">
        <v>37</v>
      </c>
      <c r="E155" s="16">
        <v>45658</v>
      </c>
      <c r="F155" s="14" t="s">
        <v>793</v>
      </c>
      <c r="G155" s="14">
        <v>103.437213</v>
      </c>
      <c r="H155" s="14">
        <v>3.2276820000000002</v>
      </c>
      <c r="I155" s="14">
        <v>198.14439999999999</v>
      </c>
      <c r="J155" s="14">
        <v>0.44389800000000001</v>
      </c>
      <c r="K155" s="14">
        <v>0.235626</v>
      </c>
      <c r="L155" s="14">
        <v>13.866657999999999</v>
      </c>
      <c r="M155" s="14">
        <v>6.4903940000000002</v>
      </c>
      <c r="N155" s="14">
        <v>26439.760642000001</v>
      </c>
      <c r="O155" s="14">
        <v>28201.943031999999</v>
      </c>
      <c r="P155" s="14">
        <v>8338.5893469999992</v>
      </c>
      <c r="Q155" s="14">
        <v>6737.1651830000001</v>
      </c>
      <c r="R155" s="14">
        <v>0.89388599999999996</v>
      </c>
      <c r="S155" s="14">
        <v>5.0704659999999997</v>
      </c>
      <c r="T155" s="14">
        <v>4.8522889999999999</v>
      </c>
      <c r="U155" s="14">
        <v>8.9927779999999995</v>
      </c>
      <c r="V155" s="14">
        <v>30.568301999999999</v>
      </c>
      <c r="W155" s="14">
        <v>10</v>
      </c>
      <c r="X155" s="16">
        <v>41649</v>
      </c>
      <c r="Y155" s="14">
        <v>2</v>
      </c>
      <c r="Z155" s="14" t="s">
        <v>525</v>
      </c>
      <c r="AA155" s="14" t="s">
        <v>500</v>
      </c>
      <c r="AB155" s="14">
        <v>0.94877599999999995</v>
      </c>
      <c r="AC155" s="14">
        <v>-1.4981439999999999</v>
      </c>
      <c r="AD155" s="14">
        <v>4.1384499999999997</v>
      </c>
      <c r="AE155" s="14">
        <v>4.4437730000000002</v>
      </c>
      <c r="AF155" s="14">
        <v>0.683701</v>
      </c>
      <c r="AG155" s="14">
        <v>-2.1228829999999999</v>
      </c>
      <c r="AH155" s="14">
        <v>-9.9842279999999999</v>
      </c>
      <c r="AI155" s="14">
        <v>1.3299529999999999</v>
      </c>
      <c r="AJ155" s="14">
        <v>100</v>
      </c>
      <c r="AK155" s="14" t="s">
        <v>39</v>
      </c>
      <c r="AL155" s="14" t="s">
        <v>501</v>
      </c>
      <c r="AM155" s="14">
        <v>0.89388599999999996</v>
      </c>
      <c r="AN155" s="14">
        <v>0.89388599999999996</v>
      </c>
      <c r="AO155" s="14"/>
    </row>
    <row r="156" spans="1:41" x14ac:dyDescent="0.2">
      <c r="A156" s="14" t="s">
        <v>527</v>
      </c>
      <c r="B156" s="14" t="s">
        <v>528</v>
      </c>
      <c r="C156" s="14" t="s">
        <v>529</v>
      </c>
      <c r="D156" s="14" t="s">
        <v>37</v>
      </c>
      <c r="E156" s="16">
        <v>46388</v>
      </c>
      <c r="F156" s="14" t="s">
        <v>794</v>
      </c>
      <c r="G156" s="14">
        <v>102.607214</v>
      </c>
      <c r="H156" s="14">
        <v>3.2276820000000002</v>
      </c>
      <c r="I156" s="14">
        <v>175.730851</v>
      </c>
      <c r="J156" s="14">
        <v>0.55269599999999997</v>
      </c>
      <c r="K156" s="14">
        <v>9.4769999999999993E-3</v>
      </c>
      <c r="L156" s="14">
        <v>13.333023000000001</v>
      </c>
      <c r="M156" s="14">
        <v>6.5447870000000004</v>
      </c>
      <c r="N156" s="14">
        <v>25324.7179</v>
      </c>
      <c r="O156" s="14">
        <v>26802.388697999999</v>
      </c>
      <c r="P156" s="14">
        <v>7924.7771199999997</v>
      </c>
      <c r="Q156" s="14">
        <v>6402.8254989999996</v>
      </c>
      <c r="R156" s="14">
        <v>0.849526</v>
      </c>
      <c r="S156" s="14">
        <v>6.0656299999999996</v>
      </c>
      <c r="T156" s="14">
        <v>5.797771</v>
      </c>
      <c r="U156" s="14">
        <v>9.2400739999999999</v>
      </c>
      <c r="V156" s="14">
        <v>44.439399000000002</v>
      </c>
      <c r="W156" s="14">
        <v>10</v>
      </c>
      <c r="X156" s="16">
        <v>42384</v>
      </c>
      <c r="Y156" s="14">
        <v>2</v>
      </c>
      <c r="Z156" s="14" t="s">
        <v>528</v>
      </c>
      <c r="AA156" s="14" t="s">
        <v>500</v>
      </c>
      <c r="AB156" s="14">
        <v>1.0581210000000001</v>
      </c>
      <c r="AC156" s="14">
        <v>-1.7203820000000001</v>
      </c>
      <c r="AD156" s="14">
        <v>3.6504059999999998</v>
      </c>
      <c r="AE156" s="14">
        <v>4.4971209999999999</v>
      </c>
      <c r="AF156" s="14">
        <v>0.79275799999999996</v>
      </c>
      <c r="AG156" s="14">
        <v>-2.3437109999999999</v>
      </c>
      <c r="AH156" s="14">
        <v>-10.406086</v>
      </c>
      <c r="AI156" s="14">
        <v>1.3817109999999999</v>
      </c>
      <c r="AJ156" s="14">
        <v>100</v>
      </c>
      <c r="AK156" s="14" t="s">
        <v>39</v>
      </c>
      <c r="AL156" s="14" t="s">
        <v>501</v>
      </c>
      <c r="AM156" s="14">
        <v>0.849526</v>
      </c>
      <c r="AN156" s="14">
        <v>0.849526</v>
      </c>
      <c r="AO156" s="14"/>
    </row>
    <row r="157" spans="1:41" x14ac:dyDescent="0.2">
      <c r="A157" s="14" t="s">
        <v>821</v>
      </c>
      <c r="B157" s="14" t="s">
        <v>822</v>
      </c>
      <c r="C157" s="14" t="s">
        <v>823</v>
      </c>
      <c r="D157" s="14" t="s">
        <v>37</v>
      </c>
      <c r="E157" s="16">
        <v>47119</v>
      </c>
      <c r="F157" s="14" t="s">
        <v>795</v>
      </c>
      <c r="G157" s="14">
        <v>101.987213</v>
      </c>
      <c r="H157" s="14">
        <v>3.2276820000000002</v>
      </c>
      <c r="I157" s="14">
        <v>103.329393</v>
      </c>
      <c r="J157" s="14">
        <v>0.56562199999999996</v>
      </c>
      <c r="K157" s="14">
        <v>1.9068999999999999E-2</v>
      </c>
      <c r="L157" s="14"/>
      <c r="M157" s="14"/>
      <c r="N157" s="14">
        <v>3487.726506</v>
      </c>
      <c r="O157" s="14">
        <v>3669.6077949999999</v>
      </c>
      <c r="P157" s="14">
        <v>1085.008662</v>
      </c>
      <c r="Q157" s="14">
        <v>876.63299800000004</v>
      </c>
      <c r="R157" s="14">
        <v>0.116311</v>
      </c>
      <c r="S157" s="14">
        <v>6.873488</v>
      </c>
      <c r="T157" s="14">
        <v>6.5648929999999996</v>
      </c>
      <c r="U157" s="14">
        <v>9.4013899999999992</v>
      </c>
      <c r="V157" s="14">
        <v>58.552605</v>
      </c>
      <c r="W157" s="14">
        <v>10</v>
      </c>
      <c r="X157" s="16">
        <v>43104</v>
      </c>
      <c r="Y157" s="14">
        <v>2</v>
      </c>
      <c r="Z157" s="14" t="s">
        <v>822</v>
      </c>
      <c r="AA157" s="14" t="s">
        <v>500</v>
      </c>
      <c r="AB157" s="14">
        <v>1.0711109999999999</v>
      </c>
      <c r="AC157" s="14">
        <v>-1.710955</v>
      </c>
      <c r="AD157" s="14"/>
      <c r="AE157" s="14"/>
      <c r="AF157" s="14">
        <v>0.80571499999999996</v>
      </c>
      <c r="AG157" s="14">
        <v>-2.3343449999999999</v>
      </c>
      <c r="AH157" s="14"/>
      <c r="AI157" s="14"/>
      <c r="AJ157" s="14">
        <v>100</v>
      </c>
      <c r="AK157" s="14" t="s">
        <v>39</v>
      </c>
      <c r="AL157" s="14" t="s">
        <v>501</v>
      </c>
      <c r="AM157" s="14">
        <v>0.116311</v>
      </c>
      <c r="AN157" s="14">
        <v>0.116311</v>
      </c>
      <c r="AO157" s="14"/>
    </row>
    <row r="158" spans="1:41" x14ac:dyDescent="0.2">
      <c r="A158" s="14" t="s">
        <v>530</v>
      </c>
      <c r="B158" s="14" t="s">
        <v>531</v>
      </c>
      <c r="C158" s="14" t="s">
        <v>532</v>
      </c>
      <c r="D158" s="14" t="s">
        <v>37</v>
      </c>
      <c r="E158" s="16">
        <v>44566</v>
      </c>
      <c r="F158" s="14" t="s">
        <v>792</v>
      </c>
      <c r="G158" s="14">
        <v>119.5</v>
      </c>
      <c r="H158" s="14">
        <v>4.0972220000000004</v>
      </c>
      <c r="I158" s="14">
        <v>410.25994200000002</v>
      </c>
      <c r="J158" s="14">
        <v>0.288184</v>
      </c>
      <c r="K158" s="14">
        <v>1.994138</v>
      </c>
      <c r="L158" s="14">
        <v>19.785768999999998</v>
      </c>
      <c r="M158" s="14">
        <v>8.9819750000000003</v>
      </c>
      <c r="N158" s="14">
        <v>732.50051199999996</v>
      </c>
      <c r="O158" s="14">
        <v>905.35028599999998</v>
      </c>
      <c r="P158" s="14">
        <v>267.68879900000002</v>
      </c>
      <c r="Q158" s="14">
        <v>216.27922599999999</v>
      </c>
      <c r="R158" s="14">
        <v>2.8695999999999999E-2</v>
      </c>
      <c r="S158" s="14">
        <v>3.0140280000000002</v>
      </c>
      <c r="T158" s="14">
        <v>2.9199320000000002</v>
      </c>
      <c r="U158" s="14">
        <v>6.4450380000000003</v>
      </c>
      <c r="V158" s="14">
        <v>11.107062000000001</v>
      </c>
      <c r="W158" s="14">
        <v>12.5</v>
      </c>
      <c r="X158" s="16">
        <v>38973</v>
      </c>
      <c r="Y158" s="14">
        <v>2</v>
      </c>
      <c r="Z158" s="14" t="s">
        <v>531</v>
      </c>
      <c r="AA158" s="14" t="s">
        <v>533</v>
      </c>
      <c r="AB158" s="14">
        <v>0.79227899999999996</v>
      </c>
      <c r="AC158" s="14">
        <v>0.22995099999999999</v>
      </c>
      <c r="AD158" s="14">
        <v>9.5518619999999999</v>
      </c>
      <c r="AE158" s="14">
        <v>6.8874700000000004</v>
      </c>
      <c r="AF158" s="14">
        <v>0.52761499999999995</v>
      </c>
      <c r="AG158" s="14">
        <v>-0.405748</v>
      </c>
      <c r="AH158" s="14">
        <v>-5.3049530000000003</v>
      </c>
      <c r="AI158" s="14">
        <v>3.7007949999999998</v>
      </c>
      <c r="AJ158" s="14">
        <v>100</v>
      </c>
      <c r="AK158" s="14" t="s">
        <v>39</v>
      </c>
      <c r="AL158" s="14" t="s">
        <v>501</v>
      </c>
      <c r="AM158" s="14">
        <v>2.8695999999999999E-2</v>
      </c>
      <c r="AN158" s="14">
        <v>2.8695999999999999E-2</v>
      </c>
      <c r="AO158" s="14"/>
    </row>
    <row r="159" spans="1:41" x14ac:dyDescent="0.2">
      <c r="A159" s="14" t="s">
        <v>534</v>
      </c>
      <c r="B159" s="14" t="s">
        <v>535</v>
      </c>
      <c r="C159" s="14" t="s">
        <v>536</v>
      </c>
      <c r="D159" s="14" t="s">
        <v>37</v>
      </c>
      <c r="E159" s="16">
        <v>45296</v>
      </c>
      <c r="F159" s="14" t="s">
        <v>793</v>
      </c>
      <c r="G159" s="14">
        <v>104.75</v>
      </c>
      <c r="H159" s="14">
        <v>2.786111</v>
      </c>
      <c r="I159" s="14">
        <v>172.112697</v>
      </c>
      <c r="J159" s="14">
        <v>0.29990299999999998</v>
      </c>
      <c r="K159" s="14">
        <v>2.5798999999999999</v>
      </c>
      <c r="L159" s="14">
        <v>17.724965000000001</v>
      </c>
      <c r="M159" s="14">
        <v>5.8944219999999996</v>
      </c>
      <c r="N159" s="14">
        <v>1041.0418529999999</v>
      </c>
      <c r="O159" s="14">
        <v>1119.4959229999999</v>
      </c>
      <c r="P159" s="14">
        <v>331.00615699999997</v>
      </c>
      <c r="Q159" s="14">
        <v>267.43650100000002</v>
      </c>
      <c r="R159" s="14">
        <v>3.5483000000000001E-2</v>
      </c>
      <c r="S159" s="14">
        <v>4.5268100000000002</v>
      </c>
      <c r="T159" s="14">
        <v>4.3641579999999998</v>
      </c>
      <c r="U159" s="14">
        <v>7.4539710000000001</v>
      </c>
      <c r="V159" s="14">
        <v>24.147658</v>
      </c>
      <c r="W159" s="14">
        <v>8.5</v>
      </c>
      <c r="X159" s="16">
        <v>41026</v>
      </c>
      <c r="Y159" s="14">
        <v>2</v>
      </c>
      <c r="Z159" s="14" t="s">
        <v>535</v>
      </c>
      <c r="AA159" s="14" t="s">
        <v>533</v>
      </c>
      <c r="AB159" s="14">
        <v>0.80405599999999999</v>
      </c>
      <c r="AC159" s="14">
        <v>0.80558099999999999</v>
      </c>
      <c r="AD159" s="14">
        <v>7.6671230000000001</v>
      </c>
      <c r="AE159" s="14">
        <v>3.8592550000000001</v>
      </c>
      <c r="AF159" s="14">
        <v>0.53936099999999998</v>
      </c>
      <c r="AG159" s="14">
        <v>0.16623099999999999</v>
      </c>
      <c r="AH159" s="14">
        <v>-6.934094</v>
      </c>
      <c r="AI159" s="14">
        <v>0.76286100000000001</v>
      </c>
      <c r="AJ159" s="14">
        <v>100</v>
      </c>
      <c r="AK159" s="14" t="s">
        <v>39</v>
      </c>
      <c r="AL159" s="14" t="s">
        <v>501</v>
      </c>
      <c r="AM159" s="14">
        <v>3.5483000000000001E-2</v>
      </c>
      <c r="AN159" s="14">
        <v>3.5483000000000001E-2</v>
      </c>
      <c r="AO159" s="14"/>
    </row>
    <row r="160" spans="1:41" x14ac:dyDescent="0.2">
      <c r="A160" s="14" t="s">
        <v>537</v>
      </c>
      <c r="B160" s="14" t="s">
        <v>538</v>
      </c>
      <c r="C160" s="14" t="s">
        <v>539</v>
      </c>
      <c r="D160" s="14" t="s">
        <v>37</v>
      </c>
      <c r="E160" s="16">
        <v>46762</v>
      </c>
      <c r="F160" s="14" t="s">
        <v>794</v>
      </c>
      <c r="G160" s="14">
        <v>114.25</v>
      </c>
      <c r="H160" s="14">
        <v>3.2173609999999999</v>
      </c>
      <c r="I160" s="14">
        <v>350.35037499999999</v>
      </c>
      <c r="J160" s="14">
        <v>0.502085</v>
      </c>
      <c r="K160" s="14">
        <v>2.889564</v>
      </c>
      <c r="L160" s="14">
        <v>21.315809000000002</v>
      </c>
      <c r="M160" s="14">
        <v>8.1650569999999991</v>
      </c>
      <c r="N160" s="14">
        <v>1574.711303</v>
      </c>
      <c r="O160" s="14">
        <v>1849.771812</v>
      </c>
      <c r="P160" s="14">
        <v>546.92995800000006</v>
      </c>
      <c r="Q160" s="14">
        <v>441.89218599999998</v>
      </c>
      <c r="R160" s="14">
        <v>5.8630000000000002E-2</v>
      </c>
      <c r="S160" s="14">
        <v>6.4156389999999996</v>
      </c>
      <c r="T160" s="14">
        <v>6.166048</v>
      </c>
      <c r="U160" s="14">
        <v>8.0956539999999997</v>
      </c>
      <c r="V160" s="14">
        <v>51.929763999999999</v>
      </c>
      <c r="W160" s="14">
        <v>10.25</v>
      </c>
      <c r="X160" s="16">
        <v>39127</v>
      </c>
      <c r="Y160" s="14">
        <v>2</v>
      </c>
      <c r="Z160" s="14" t="s">
        <v>538</v>
      </c>
      <c r="AA160" s="14" t="s">
        <v>533</v>
      </c>
      <c r="AB160" s="14">
        <v>1.007255</v>
      </c>
      <c r="AC160" s="14">
        <v>1.109888</v>
      </c>
      <c r="AD160" s="14">
        <v>10.951183</v>
      </c>
      <c r="AE160" s="14">
        <v>6.0862509999999999</v>
      </c>
      <c r="AF160" s="14">
        <v>0.74202599999999996</v>
      </c>
      <c r="AG160" s="14">
        <v>0.46860800000000002</v>
      </c>
      <c r="AH160" s="14">
        <v>-4.0953999999999997</v>
      </c>
      <c r="AI160" s="14">
        <v>2.9234629999999999</v>
      </c>
      <c r="AJ160" s="14">
        <v>100</v>
      </c>
      <c r="AK160" s="14" t="s">
        <v>39</v>
      </c>
      <c r="AL160" s="14" t="s">
        <v>501</v>
      </c>
      <c r="AM160" s="14">
        <v>5.8630000000000002E-2</v>
      </c>
      <c r="AN160" s="14">
        <v>5.8630000000000002E-2</v>
      </c>
      <c r="AO160" s="14"/>
    </row>
    <row r="161" spans="1:41" x14ac:dyDescent="0.2">
      <c r="A161" s="14" t="s">
        <v>540</v>
      </c>
      <c r="B161" s="14" t="s">
        <v>541</v>
      </c>
      <c r="C161" s="14" t="s">
        <v>542</v>
      </c>
      <c r="D161" s="14" t="s">
        <v>37</v>
      </c>
      <c r="E161" s="16">
        <v>44255</v>
      </c>
      <c r="F161" s="14" t="s">
        <v>791</v>
      </c>
      <c r="G161" s="14">
        <v>102.91804999999999</v>
      </c>
      <c r="H161" s="14">
        <v>0.76438399999999995</v>
      </c>
      <c r="I161" s="14">
        <v>104.82635000000001</v>
      </c>
      <c r="J161" s="14">
        <v>7.3460000000000001E-3</v>
      </c>
      <c r="K161" s="14">
        <v>0.55945599999999995</v>
      </c>
      <c r="L161" s="14">
        <v>2.9761500000000001</v>
      </c>
      <c r="M161" s="14">
        <v>1.6986250000000001</v>
      </c>
      <c r="N161" s="14">
        <v>1000000</v>
      </c>
      <c r="O161" s="14">
        <v>1036824.335616</v>
      </c>
      <c r="P161" s="14">
        <v>1745.951108</v>
      </c>
      <c r="Q161" s="14">
        <v>1410.6415999999999</v>
      </c>
      <c r="R161" s="14">
        <v>0.187164</v>
      </c>
      <c r="S161" s="14">
        <v>2.6704810000000001</v>
      </c>
      <c r="T161" s="14">
        <v>2.62588</v>
      </c>
      <c r="U161" s="14">
        <v>3.3970210000000001</v>
      </c>
      <c r="V161" s="14">
        <v>8.4406020000000002</v>
      </c>
      <c r="W161" s="14">
        <v>4.5</v>
      </c>
      <c r="X161" s="16">
        <v>42614</v>
      </c>
      <c r="Y161" s="14">
        <v>2</v>
      </c>
      <c r="Z161" s="14" t="s">
        <v>541</v>
      </c>
      <c r="AA161" s="14" t="s">
        <v>543</v>
      </c>
      <c r="AB161" s="14">
        <v>0.35847299999999999</v>
      </c>
      <c r="AC161" s="14">
        <v>2.2054040000000001</v>
      </c>
      <c r="AD161" s="14">
        <v>12.564622</v>
      </c>
      <c r="AE161" s="14">
        <v>5.3180889999999996</v>
      </c>
      <c r="AF161" s="14">
        <v>9.4948000000000005E-2</v>
      </c>
      <c r="AG161" s="14">
        <v>1.5571759999999999</v>
      </c>
      <c r="AH161" s="14">
        <v>-2.7007669999999999</v>
      </c>
      <c r="AI161" s="14">
        <v>2.1782029999999999</v>
      </c>
      <c r="AJ161" s="14">
        <v>100</v>
      </c>
      <c r="AK161" s="14" t="s">
        <v>39</v>
      </c>
      <c r="AL161" s="14" t="s">
        <v>544</v>
      </c>
      <c r="AM161" s="14">
        <v>0.187164</v>
      </c>
      <c r="AN161" s="14">
        <v>0.187164</v>
      </c>
      <c r="AO161" s="14"/>
    </row>
    <row r="162" spans="1:41" x14ac:dyDescent="0.2">
      <c r="A162" s="14" t="s">
        <v>545</v>
      </c>
      <c r="B162" s="14" t="s">
        <v>546</v>
      </c>
      <c r="C162" s="14" t="s">
        <v>547</v>
      </c>
      <c r="D162" s="14" t="s">
        <v>37</v>
      </c>
      <c r="E162" s="16">
        <v>44256</v>
      </c>
      <c r="F162" s="14" t="s">
        <v>791</v>
      </c>
      <c r="G162" s="14">
        <v>102.88191500000001</v>
      </c>
      <c r="H162" s="14">
        <v>0.76438399999999995</v>
      </c>
      <c r="I162" s="14">
        <v>103.115572</v>
      </c>
      <c r="J162" s="14">
        <v>1.2186000000000001E-2</v>
      </c>
      <c r="K162" s="14">
        <v>0.52985300000000002</v>
      </c>
      <c r="L162" s="14">
        <v>3.1155719999999998</v>
      </c>
      <c r="M162" s="14">
        <v>1.705975</v>
      </c>
      <c r="N162" s="14">
        <v>2564600</v>
      </c>
      <c r="O162" s="14">
        <v>2658112.972912</v>
      </c>
      <c r="P162" s="14">
        <v>4476.1056719999997</v>
      </c>
      <c r="Q162" s="14">
        <v>3616.470609</v>
      </c>
      <c r="R162" s="14">
        <v>0.47983300000000001</v>
      </c>
      <c r="S162" s="14">
        <v>2.6765180000000002</v>
      </c>
      <c r="T162" s="14">
        <v>2.6315529999999998</v>
      </c>
      <c r="U162" s="14">
        <v>3.4173960000000001</v>
      </c>
      <c r="V162" s="14">
        <v>8.4759609999999999</v>
      </c>
      <c r="W162" s="14">
        <v>4.5</v>
      </c>
      <c r="X162" s="16">
        <v>42488</v>
      </c>
      <c r="Y162" s="14">
        <v>2</v>
      </c>
      <c r="Z162" s="14" t="s">
        <v>546</v>
      </c>
      <c r="AA162" s="14" t="s">
        <v>543</v>
      </c>
      <c r="AB162" s="14">
        <v>0.36332999999999999</v>
      </c>
      <c r="AC162" s="14">
        <v>2.1753170000000002</v>
      </c>
      <c r="AD162" s="14">
        <v>12.717026000000001</v>
      </c>
      <c r="AE162" s="14">
        <v>5.3257000000000003</v>
      </c>
      <c r="AF162" s="14">
        <v>9.9792000000000006E-2</v>
      </c>
      <c r="AG162" s="14">
        <v>1.5272790000000001</v>
      </c>
      <c r="AH162" s="14">
        <v>-2.5690309999999998</v>
      </c>
      <c r="AI162" s="14">
        <v>2.1855869999999999</v>
      </c>
      <c r="AJ162" s="14">
        <v>100</v>
      </c>
      <c r="AK162" s="14" t="s">
        <v>39</v>
      </c>
      <c r="AL162" s="14" t="s">
        <v>544</v>
      </c>
      <c r="AM162" s="14">
        <v>0.47983300000000001</v>
      </c>
      <c r="AN162" s="14">
        <v>0.47983300000000001</v>
      </c>
      <c r="AO162" s="14"/>
    </row>
    <row r="163" spans="1:41" x14ac:dyDescent="0.2">
      <c r="A163" s="14" t="s">
        <v>548</v>
      </c>
      <c r="B163" s="14" t="s">
        <v>549</v>
      </c>
      <c r="C163" s="14" t="s">
        <v>550</v>
      </c>
      <c r="D163" s="14" t="s">
        <v>37</v>
      </c>
      <c r="E163" s="16">
        <v>46082</v>
      </c>
      <c r="F163" s="14" t="s">
        <v>794</v>
      </c>
      <c r="G163" s="14">
        <v>101.141395</v>
      </c>
      <c r="H163" s="14">
        <v>0.76438399999999995</v>
      </c>
      <c r="I163" s="14">
        <v>102.412767</v>
      </c>
      <c r="J163" s="14">
        <v>1.2178E-2</v>
      </c>
      <c r="K163" s="14">
        <v>0.84543299999999999</v>
      </c>
      <c r="L163" s="14">
        <v>0.43820999999999999</v>
      </c>
      <c r="M163" s="14">
        <v>2.2834949999999998</v>
      </c>
      <c r="N163" s="14">
        <v>3629400</v>
      </c>
      <c r="O163" s="14">
        <v>3698568.327116</v>
      </c>
      <c r="P163" s="14">
        <v>6228.1712010000001</v>
      </c>
      <c r="Q163" s="14">
        <v>5032.0523560000001</v>
      </c>
      <c r="R163" s="14">
        <v>0.66765200000000002</v>
      </c>
      <c r="S163" s="14">
        <v>6.6491049999999996</v>
      </c>
      <c r="T163" s="14">
        <v>6.5084540000000004</v>
      </c>
      <c r="U163" s="14">
        <v>4.3221179999999997</v>
      </c>
      <c r="V163" s="14">
        <v>50.221367000000001</v>
      </c>
      <c r="W163" s="14">
        <v>4.5</v>
      </c>
      <c r="X163" s="16">
        <v>42064</v>
      </c>
      <c r="Y163" s="14">
        <v>2</v>
      </c>
      <c r="Z163" s="14" t="s">
        <v>549</v>
      </c>
      <c r="AA163" s="14" t="s">
        <v>543</v>
      </c>
      <c r="AB163" s="14">
        <v>0.36332199999999998</v>
      </c>
      <c r="AC163" s="14">
        <v>2.4960619999999998</v>
      </c>
      <c r="AD163" s="14">
        <v>9.7903660000000006</v>
      </c>
      <c r="AE163" s="14">
        <v>5.9237739999999999</v>
      </c>
      <c r="AF163" s="14">
        <v>9.9783999999999998E-2</v>
      </c>
      <c r="AG163" s="14">
        <v>1.84599</v>
      </c>
      <c r="AH163" s="14">
        <v>-5.0987939999999998</v>
      </c>
      <c r="AI163" s="14">
        <v>2.7658299999999998</v>
      </c>
      <c r="AJ163" s="14">
        <v>100</v>
      </c>
      <c r="AK163" s="14" t="s">
        <v>39</v>
      </c>
      <c r="AL163" s="14" t="s">
        <v>544</v>
      </c>
      <c r="AM163" s="14">
        <v>0.66765200000000002</v>
      </c>
      <c r="AN163" s="14">
        <v>0.66765200000000002</v>
      </c>
      <c r="AO163" s="14"/>
    </row>
    <row r="164" spans="1:41" x14ac:dyDescent="0.2">
      <c r="A164" s="14" t="s">
        <v>551</v>
      </c>
      <c r="B164" s="14" t="s">
        <v>552</v>
      </c>
      <c r="C164" s="14" t="s">
        <v>553</v>
      </c>
      <c r="D164" s="14" t="s">
        <v>37</v>
      </c>
      <c r="E164" s="16">
        <v>49369</v>
      </c>
      <c r="F164" s="14" t="s">
        <v>795</v>
      </c>
      <c r="G164" s="14">
        <v>101.65436</v>
      </c>
      <c r="H164" s="14">
        <v>0.84931500000000004</v>
      </c>
      <c r="I164" s="14">
        <v>98.592237999999995</v>
      </c>
      <c r="J164" s="14">
        <v>1.3516E-2</v>
      </c>
      <c r="K164" s="14">
        <v>1.563958</v>
      </c>
      <c r="L164" s="14"/>
      <c r="M164" s="14">
        <v>3.15821</v>
      </c>
      <c r="N164" s="14">
        <v>3415200</v>
      </c>
      <c r="O164" s="14">
        <v>3500705.5109390002</v>
      </c>
      <c r="P164" s="14">
        <v>5894.9818740000001</v>
      </c>
      <c r="Q164" s="14">
        <v>4762.8519619999997</v>
      </c>
      <c r="R164" s="14">
        <v>0.631934</v>
      </c>
      <c r="S164" s="14">
        <v>11.533842</v>
      </c>
      <c r="T164" s="14">
        <v>11.260740999999999</v>
      </c>
      <c r="U164" s="14">
        <v>4.8505019999999996</v>
      </c>
      <c r="V164" s="14">
        <v>165.47327200000001</v>
      </c>
      <c r="W164" s="14">
        <v>5</v>
      </c>
      <c r="X164" s="16">
        <v>42064</v>
      </c>
      <c r="Y164" s="14">
        <v>2</v>
      </c>
      <c r="Z164" s="14" t="s">
        <v>552</v>
      </c>
      <c r="AA164" s="14" t="s">
        <v>543</v>
      </c>
      <c r="AB164" s="14">
        <v>0.36466500000000002</v>
      </c>
      <c r="AC164" s="14">
        <v>3.2263480000000002</v>
      </c>
      <c r="AD164" s="14"/>
      <c r="AE164" s="14">
        <v>6.8296200000000002</v>
      </c>
      <c r="AF164" s="14">
        <v>0.10112400000000001</v>
      </c>
      <c r="AG164" s="14">
        <v>2.571644</v>
      </c>
      <c r="AH164" s="14"/>
      <c r="AI164" s="14">
        <v>3.6446700000000001</v>
      </c>
      <c r="AJ164" s="14">
        <v>100</v>
      </c>
      <c r="AK164" s="14" t="s">
        <v>39</v>
      </c>
      <c r="AL164" s="14" t="s">
        <v>544</v>
      </c>
      <c r="AM164" s="14">
        <v>0.631934</v>
      </c>
      <c r="AN164" s="14">
        <v>0.631934</v>
      </c>
      <c r="AO164" s="14"/>
    </row>
    <row r="165" spans="1:41" x14ac:dyDescent="0.2">
      <c r="A165" s="14" t="s">
        <v>554</v>
      </c>
      <c r="B165" s="14" t="s">
        <v>555</v>
      </c>
      <c r="C165" s="14" t="s">
        <v>556</v>
      </c>
      <c r="D165" s="14" t="s">
        <v>37</v>
      </c>
      <c r="E165" s="16">
        <v>52232</v>
      </c>
      <c r="F165" s="14" t="s">
        <v>795</v>
      </c>
      <c r="G165" s="14">
        <v>113.18207</v>
      </c>
      <c r="H165" s="14">
        <v>1.9890410000000001</v>
      </c>
      <c r="I165" s="14">
        <v>102.419867</v>
      </c>
      <c r="J165" s="14">
        <v>1.619E-2</v>
      </c>
      <c r="K165" s="14">
        <v>1.5475680000000001</v>
      </c>
      <c r="L165" s="14"/>
      <c r="M165" s="14">
        <v>4.054684</v>
      </c>
      <c r="N165" s="14">
        <v>2385770</v>
      </c>
      <c r="O165" s="14">
        <v>2747717.8171919999</v>
      </c>
      <c r="P165" s="14">
        <v>4626.994952</v>
      </c>
      <c r="Q165" s="14">
        <v>3738.381637</v>
      </c>
      <c r="R165" s="14">
        <v>0.496008</v>
      </c>
      <c r="S165" s="14">
        <v>13.633357999999999</v>
      </c>
      <c r="T165" s="14">
        <v>13.297261000000001</v>
      </c>
      <c r="U165" s="14">
        <v>5.0551349999999999</v>
      </c>
      <c r="V165" s="14">
        <v>256.83511399999998</v>
      </c>
      <c r="W165" s="14">
        <v>6</v>
      </c>
      <c r="X165" s="16">
        <v>41275</v>
      </c>
      <c r="Y165" s="14">
        <v>2</v>
      </c>
      <c r="Z165" s="14" t="s">
        <v>555</v>
      </c>
      <c r="AA165" s="14" t="s">
        <v>543</v>
      </c>
      <c r="AB165" s="14">
        <v>0.36734800000000001</v>
      </c>
      <c r="AC165" s="14">
        <v>3.209689</v>
      </c>
      <c r="AD165" s="14"/>
      <c r="AE165" s="14">
        <v>7.758</v>
      </c>
      <c r="AF165" s="14">
        <v>0.1038</v>
      </c>
      <c r="AG165" s="14">
        <v>2.555091</v>
      </c>
      <c r="AH165" s="14"/>
      <c r="AI165" s="14">
        <v>4.5453720000000004</v>
      </c>
      <c r="AJ165" s="14">
        <v>100</v>
      </c>
      <c r="AK165" s="14" t="s">
        <v>39</v>
      </c>
      <c r="AL165" s="14" t="s">
        <v>544</v>
      </c>
      <c r="AM165" s="14">
        <v>0.496008</v>
      </c>
      <c r="AN165" s="14">
        <v>0.496008</v>
      </c>
      <c r="AO165" s="14"/>
    </row>
    <row r="166" spans="1:41" s="20" customFormat="1" x14ac:dyDescent="0.2">
      <c r="A166" s="18" t="s">
        <v>557</v>
      </c>
      <c r="B166" s="18" t="s">
        <v>558</v>
      </c>
      <c r="C166" s="18" t="s">
        <v>559</v>
      </c>
      <c r="D166" s="18" t="s">
        <v>37</v>
      </c>
      <c r="E166" s="19">
        <v>44048</v>
      </c>
      <c r="F166" s="18" t="s">
        <v>791</v>
      </c>
      <c r="G166" s="18">
        <v>104.3415</v>
      </c>
      <c r="H166" s="18">
        <v>1.344444</v>
      </c>
      <c r="I166" s="18">
        <v>147.01252099999999</v>
      </c>
      <c r="J166" s="18">
        <v>3.6811000000000003E-2</v>
      </c>
      <c r="K166" s="18">
        <v>1.6850000000000001E-3</v>
      </c>
      <c r="L166" s="18">
        <v>3.6711960000000001</v>
      </c>
      <c r="M166" s="18">
        <v>0.92585099999999998</v>
      </c>
      <c r="N166" s="18">
        <v>434345</v>
      </c>
      <c r="O166" s="18">
        <v>459041.61539699999</v>
      </c>
      <c r="P166" s="18">
        <v>772.99904100000003</v>
      </c>
      <c r="Q166" s="18">
        <v>624.54475300000001</v>
      </c>
      <c r="R166" s="18">
        <v>8.2863999999999993E-2</v>
      </c>
      <c r="S166" s="18">
        <v>2.129972</v>
      </c>
      <c r="T166" s="18">
        <v>2.093445</v>
      </c>
      <c r="U166" s="18">
        <v>3.4895930000000002</v>
      </c>
      <c r="V166" s="18">
        <v>5.5817069999999998</v>
      </c>
      <c r="W166" s="18">
        <v>5.5</v>
      </c>
      <c r="X166" s="19">
        <v>40395</v>
      </c>
      <c r="Y166" s="18">
        <v>2</v>
      </c>
      <c r="Z166" s="18" t="s">
        <v>558</v>
      </c>
      <c r="AA166" s="18" t="s">
        <v>560</v>
      </c>
      <c r="AB166" s="18">
        <v>0.388042</v>
      </c>
      <c r="AC166" s="18">
        <v>1.638503</v>
      </c>
      <c r="AD166" s="18">
        <v>13.324386000000001</v>
      </c>
      <c r="AE166" s="18">
        <v>4.5178120000000002</v>
      </c>
      <c r="AF166" s="18">
        <v>0.12443899999999999</v>
      </c>
      <c r="AG166" s="18">
        <v>0.99387000000000003</v>
      </c>
      <c r="AH166" s="18">
        <v>-2.044038</v>
      </c>
      <c r="AI166" s="18">
        <v>1.4017839999999999</v>
      </c>
      <c r="AJ166" s="18">
        <v>100</v>
      </c>
      <c r="AK166" s="18" t="s">
        <v>39</v>
      </c>
      <c r="AL166" s="18" t="s">
        <v>544</v>
      </c>
      <c r="AM166" s="18">
        <v>8.2863999999999993E-2</v>
      </c>
      <c r="AN166" s="18">
        <v>8.2863999999999993E-2</v>
      </c>
      <c r="AO166" s="18"/>
    </row>
    <row r="167" spans="1:41" x14ac:dyDescent="0.2">
      <c r="A167" s="14" t="s">
        <v>561</v>
      </c>
      <c r="B167" s="14" t="s">
        <v>562</v>
      </c>
      <c r="C167" s="14" t="s">
        <v>563</v>
      </c>
      <c r="D167" s="14" t="s">
        <v>37</v>
      </c>
      <c r="E167" s="16">
        <v>43719</v>
      </c>
      <c r="F167" s="14" t="s">
        <v>791</v>
      </c>
      <c r="G167" s="14">
        <v>103.29600000000001</v>
      </c>
      <c r="H167" s="14">
        <v>4.4301370000000002</v>
      </c>
      <c r="I167" s="14">
        <v>127.28617300000001</v>
      </c>
      <c r="J167" s="14">
        <v>1.1795E-2</v>
      </c>
      <c r="K167" s="14">
        <v>0.46706300000000001</v>
      </c>
      <c r="L167" s="14">
        <v>7.459206</v>
      </c>
      <c r="M167" s="14">
        <v>1.806799</v>
      </c>
      <c r="N167" s="14">
        <v>13849626</v>
      </c>
      <c r="O167" s="14">
        <v>14919667.076850001</v>
      </c>
      <c r="P167" s="14">
        <v>5526.9080029999996</v>
      </c>
      <c r="Q167" s="14">
        <v>4465.4665930000001</v>
      </c>
      <c r="R167" s="14">
        <v>0.59247700000000003</v>
      </c>
      <c r="S167" s="14">
        <v>1.302934</v>
      </c>
      <c r="T167" s="14">
        <v>1.247603</v>
      </c>
      <c r="U167" s="14">
        <v>4.43499</v>
      </c>
      <c r="V167" s="14">
        <v>2.806003</v>
      </c>
      <c r="W167" s="14">
        <v>7</v>
      </c>
      <c r="X167" s="16">
        <v>41654</v>
      </c>
      <c r="Y167" s="14">
        <v>1</v>
      </c>
      <c r="Z167" s="14" t="s">
        <v>562</v>
      </c>
      <c r="AA167" s="14" t="s">
        <v>564</v>
      </c>
      <c r="AB167" s="14">
        <v>0.90393100000000004</v>
      </c>
      <c r="AC167" s="14">
        <v>3.9521060000000001</v>
      </c>
      <c r="AD167" s="14">
        <v>12.915642999999999</v>
      </c>
      <c r="AE167" s="14">
        <v>12.55673</v>
      </c>
      <c r="AF167" s="14">
        <v>0.63897300000000001</v>
      </c>
      <c r="AG167" s="14">
        <v>3.2928000000000002</v>
      </c>
      <c r="AH167" s="14">
        <v>-2.3973499999999999</v>
      </c>
      <c r="AI167" s="14">
        <v>9.2010360000000002</v>
      </c>
      <c r="AJ167" s="14">
        <v>100</v>
      </c>
      <c r="AK167" s="14" t="s">
        <v>39</v>
      </c>
      <c r="AL167" s="14" t="s">
        <v>565</v>
      </c>
      <c r="AM167" s="14">
        <v>0.59247700000000003</v>
      </c>
      <c r="AN167" s="14">
        <v>0.59247700000000003</v>
      </c>
      <c r="AO167" s="14"/>
    </row>
    <row r="168" spans="1:41" x14ac:dyDescent="0.2">
      <c r="A168" s="14" t="s">
        <v>566</v>
      </c>
      <c r="B168" s="14" t="s">
        <v>567</v>
      </c>
      <c r="C168" s="14" t="s">
        <v>568</v>
      </c>
      <c r="D168" s="14" t="s">
        <v>37</v>
      </c>
      <c r="E168" s="16">
        <v>44036</v>
      </c>
      <c r="F168" s="14" t="s">
        <v>791</v>
      </c>
      <c r="G168" s="14">
        <v>112.851</v>
      </c>
      <c r="H168" s="14">
        <v>8.4383560000000006</v>
      </c>
      <c r="I168" s="14">
        <v>296.39203300000003</v>
      </c>
      <c r="J168" s="14">
        <v>1.3346E-2</v>
      </c>
      <c r="K168" s="14">
        <v>0.76567399999999997</v>
      </c>
      <c r="L168" s="14">
        <v>7.8401209999999999</v>
      </c>
      <c r="M168" s="14">
        <v>2.1883970000000001</v>
      </c>
      <c r="N168" s="14">
        <v>19499818</v>
      </c>
      <c r="O168" s="14">
        <v>23651203.705426998</v>
      </c>
      <c r="P168" s="14">
        <v>8761.4573679999994</v>
      </c>
      <c r="Q168" s="14">
        <v>7078.8214980000002</v>
      </c>
      <c r="R168" s="14">
        <v>0.93921699999999997</v>
      </c>
      <c r="S168" s="14">
        <v>1.9679089999999999</v>
      </c>
      <c r="T168" s="14">
        <v>1.878342</v>
      </c>
      <c r="U168" s="14">
        <v>4.7684369999999996</v>
      </c>
      <c r="V168" s="14">
        <v>5.6615690000000001</v>
      </c>
      <c r="W168" s="14">
        <v>11</v>
      </c>
      <c r="X168" s="16">
        <v>38562</v>
      </c>
      <c r="Y168" s="14">
        <v>1</v>
      </c>
      <c r="Z168" s="14" t="s">
        <v>569</v>
      </c>
      <c r="AA168" s="14" t="s">
        <v>564</v>
      </c>
      <c r="AB168" s="14">
        <v>0.90549500000000005</v>
      </c>
      <c r="AC168" s="14">
        <v>4.2610760000000001</v>
      </c>
      <c r="AD168" s="14">
        <v>13.315899999999999</v>
      </c>
      <c r="AE168" s="14">
        <v>12.978622</v>
      </c>
      <c r="AF168" s="14">
        <v>0.64053400000000005</v>
      </c>
      <c r="AG168" s="14">
        <v>3.5998100000000002</v>
      </c>
      <c r="AH168" s="14">
        <v>-2.0513729999999999</v>
      </c>
      <c r="AI168" s="14">
        <v>9.6103489999999994</v>
      </c>
      <c r="AJ168" s="14">
        <v>100</v>
      </c>
      <c r="AK168" s="14" t="s">
        <v>39</v>
      </c>
      <c r="AL168" s="14" t="s">
        <v>565</v>
      </c>
      <c r="AM168" s="14">
        <v>0.93921699999999997</v>
      </c>
      <c r="AN168" s="14">
        <v>0.93921699999999997</v>
      </c>
      <c r="AO168" s="14"/>
    </row>
    <row r="169" spans="1:41" x14ac:dyDescent="0.2">
      <c r="A169" s="14" t="s">
        <v>570</v>
      </c>
      <c r="B169" s="14" t="s">
        <v>571</v>
      </c>
      <c r="C169" s="14" t="s">
        <v>572</v>
      </c>
      <c r="D169" s="14" t="s">
        <v>37</v>
      </c>
      <c r="E169" s="16">
        <v>44685</v>
      </c>
      <c r="F169" s="14" t="s">
        <v>792</v>
      </c>
      <c r="G169" s="14">
        <v>105.815</v>
      </c>
      <c r="H169" s="14">
        <v>6.9232880000000003</v>
      </c>
      <c r="I169" s="14">
        <v>148.14896999999999</v>
      </c>
      <c r="J169" s="14">
        <v>-1.8948E-2</v>
      </c>
      <c r="K169" s="14">
        <v>1.171926</v>
      </c>
      <c r="L169" s="14">
        <v>8.4621980000000008</v>
      </c>
      <c r="M169" s="14">
        <v>2.8007919999999999</v>
      </c>
      <c r="N169" s="14">
        <v>28595882</v>
      </c>
      <c r="O169" s="14">
        <v>32238507.711286001</v>
      </c>
      <c r="P169" s="14">
        <v>11942.576557</v>
      </c>
      <c r="Q169" s="14">
        <v>9649.0074789999999</v>
      </c>
      <c r="R169" s="14">
        <v>1.2802279999999999</v>
      </c>
      <c r="S169" s="14">
        <v>3.4216700000000002</v>
      </c>
      <c r="T169" s="14">
        <v>3.2480349999999998</v>
      </c>
      <c r="U169" s="14">
        <v>5.3458560000000004</v>
      </c>
      <c r="V169" s="14">
        <v>14.939729</v>
      </c>
      <c r="W169" s="14">
        <v>7</v>
      </c>
      <c r="X169" s="16">
        <v>41038</v>
      </c>
      <c r="Y169" s="14">
        <v>1</v>
      </c>
      <c r="Z169" s="14" t="s">
        <v>571</v>
      </c>
      <c r="AA169" s="14" t="s">
        <v>564</v>
      </c>
      <c r="AB169" s="14">
        <v>0.87291300000000005</v>
      </c>
      <c r="AC169" s="14">
        <v>4.6814210000000003</v>
      </c>
      <c r="AD169" s="14">
        <v>13.969564</v>
      </c>
      <c r="AE169" s="14">
        <v>13.65568</v>
      </c>
      <c r="AF169" s="14">
        <v>0.60803700000000005</v>
      </c>
      <c r="AG169" s="14">
        <v>4.0174880000000002</v>
      </c>
      <c r="AH169" s="14">
        <v>-1.4863550000000001</v>
      </c>
      <c r="AI169" s="14">
        <v>10.267222</v>
      </c>
      <c r="AJ169" s="14">
        <v>100</v>
      </c>
      <c r="AK169" s="14" t="s">
        <v>39</v>
      </c>
      <c r="AL169" s="14" t="s">
        <v>565</v>
      </c>
      <c r="AM169" s="14">
        <v>1.2802279999999999</v>
      </c>
      <c r="AN169" s="14">
        <v>1.2802279999999999</v>
      </c>
      <c r="AO169" s="14"/>
    </row>
    <row r="170" spans="1:41" x14ac:dyDescent="0.2">
      <c r="A170" s="14" t="s">
        <v>573</v>
      </c>
      <c r="B170" s="14" t="s">
        <v>574</v>
      </c>
      <c r="C170" s="14" t="s">
        <v>575</v>
      </c>
      <c r="D170" s="14" t="s">
        <v>37</v>
      </c>
      <c r="E170" s="16">
        <v>45497</v>
      </c>
      <c r="F170" s="14" t="s">
        <v>793</v>
      </c>
      <c r="G170" s="14">
        <v>121.145</v>
      </c>
      <c r="H170" s="14">
        <v>7.671233</v>
      </c>
      <c r="I170" s="14">
        <v>243.99558999999999</v>
      </c>
      <c r="J170" s="14">
        <v>1.5876999999999999E-2</v>
      </c>
      <c r="K170" s="14">
        <v>1.15839</v>
      </c>
      <c r="L170" s="14">
        <v>8.2569599999999994</v>
      </c>
      <c r="M170" s="14">
        <v>2.878555</v>
      </c>
      <c r="N170" s="14">
        <v>26889987</v>
      </c>
      <c r="O170" s="14">
        <v>34638668.274438001</v>
      </c>
      <c r="P170" s="14">
        <v>12831.702738</v>
      </c>
      <c r="Q170" s="14">
        <v>10367.377182</v>
      </c>
      <c r="R170" s="14">
        <v>1.3755409999999999</v>
      </c>
      <c r="S170" s="14">
        <v>4.7653949999999998</v>
      </c>
      <c r="T170" s="14">
        <v>4.5024540000000002</v>
      </c>
      <c r="U170" s="14">
        <v>5.8399450000000002</v>
      </c>
      <c r="V170" s="14">
        <v>28.438905999999999</v>
      </c>
      <c r="W170" s="14">
        <v>10</v>
      </c>
      <c r="X170" s="16">
        <v>39891</v>
      </c>
      <c r="Y170" s="14">
        <v>1</v>
      </c>
      <c r="Z170" s="14" t="s">
        <v>576</v>
      </c>
      <c r="AA170" s="14" t="s">
        <v>564</v>
      </c>
      <c r="AB170" s="14">
        <v>0.908049</v>
      </c>
      <c r="AC170" s="14">
        <v>4.6674150000000001</v>
      </c>
      <c r="AD170" s="14">
        <v>13.753904</v>
      </c>
      <c r="AE170" s="14">
        <v>13.741655</v>
      </c>
      <c r="AF170" s="14">
        <v>0.64308100000000001</v>
      </c>
      <c r="AG170" s="14">
        <v>4.003571</v>
      </c>
      <c r="AH170" s="14">
        <v>-1.672768</v>
      </c>
      <c r="AI170" s="14">
        <v>10.350633999999999</v>
      </c>
      <c r="AJ170" s="14">
        <v>100</v>
      </c>
      <c r="AK170" s="14" t="s">
        <v>39</v>
      </c>
      <c r="AL170" s="14" t="s">
        <v>565</v>
      </c>
      <c r="AM170" s="14">
        <v>1.3755409999999999</v>
      </c>
      <c r="AN170" s="14">
        <v>1.3755409999999999</v>
      </c>
      <c r="AO170" s="14"/>
    </row>
    <row r="171" spans="1:41" x14ac:dyDescent="0.2">
      <c r="A171" s="14" t="s">
        <v>839</v>
      </c>
      <c r="B171" s="14" t="s">
        <v>840</v>
      </c>
      <c r="C171" s="14" t="s">
        <v>841</v>
      </c>
      <c r="D171" s="14" t="s">
        <v>37</v>
      </c>
      <c r="E171" s="16">
        <v>45987</v>
      </c>
      <c r="F171" s="14" t="s">
        <v>794</v>
      </c>
      <c r="G171" s="14">
        <v>100.489</v>
      </c>
      <c r="H171" s="14">
        <v>2.6541100000000002</v>
      </c>
      <c r="I171" s="14"/>
      <c r="J171" s="14"/>
      <c r="K171" s="14"/>
      <c r="L171" s="14"/>
      <c r="M171" s="14"/>
      <c r="N171" s="14">
        <v>3973684</v>
      </c>
      <c r="O171" s="14">
        <v>4098581.242842</v>
      </c>
      <c r="P171" s="14">
        <v>1518.2967120000001</v>
      </c>
      <c r="Q171" s="14">
        <v>1226.7081780000001</v>
      </c>
      <c r="R171" s="14">
        <v>0.16275899999999999</v>
      </c>
      <c r="S171" s="14">
        <v>6.1146479999999999</v>
      </c>
      <c r="T171" s="14">
        <v>5.7601079999999998</v>
      </c>
      <c r="U171" s="14">
        <v>6.1550840000000004</v>
      </c>
      <c r="V171" s="14">
        <v>43.412422999999997</v>
      </c>
      <c r="W171" s="14">
        <v>6.25</v>
      </c>
      <c r="X171" s="16">
        <v>43065</v>
      </c>
      <c r="Y171" s="14">
        <v>1</v>
      </c>
      <c r="Z171" s="14" t="s">
        <v>840</v>
      </c>
      <c r="AA171" s="14" t="s">
        <v>564</v>
      </c>
      <c r="AB171" s="14"/>
      <c r="AC171" s="14"/>
      <c r="AD171" s="14"/>
      <c r="AE171" s="14"/>
      <c r="AF171" s="14"/>
      <c r="AG171" s="14"/>
      <c r="AH171" s="14"/>
      <c r="AI171" s="14"/>
      <c r="AJ171" s="14">
        <v>100</v>
      </c>
      <c r="AK171" s="14" t="s">
        <v>39</v>
      </c>
      <c r="AL171" s="14" t="s">
        <v>565</v>
      </c>
      <c r="AM171" s="14">
        <v>0.16275899999999999</v>
      </c>
      <c r="AN171" s="14">
        <v>0.16275899999999999</v>
      </c>
      <c r="AO171" s="14"/>
    </row>
    <row r="172" spans="1:41" x14ac:dyDescent="0.2">
      <c r="A172" s="14" t="s">
        <v>577</v>
      </c>
      <c r="B172" s="14" t="s">
        <v>578</v>
      </c>
      <c r="C172" s="14" t="s">
        <v>579</v>
      </c>
      <c r="D172" s="14" t="s">
        <v>37</v>
      </c>
      <c r="E172" s="16">
        <v>46260</v>
      </c>
      <c r="F172" s="14" t="s">
        <v>794</v>
      </c>
      <c r="G172" s="14">
        <v>108.23099999999999</v>
      </c>
      <c r="H172" s="14">
        <v>5.075342</v>
      </c>
      <c r="I172" s="14">
        <v>130.38368500000001</v>
      </c>
      <c r="J172" s="14">
        <v>1.6407999999999999E-2</v>
      </c>
      <c r="K172" s="14">
        <v>1.191284</v>
      </c>
      <c r="L172" s="14">
        <v>8.1035699999999995</v>
      </c>
      <c r="M172" s="14">
        <v>3.567358</v>
      </c>
      <c r="N172" s="14">
        <v>28778994</v>
      </c>
      <c r="O172" s="14">
        <v>32608425.499839</v>
      </c>
      <c r="P172" s="14">
        <v>12079.610552</v>
      </c>
      <c r="Q172" s="14">
        <v>9759.7241269999995</v>
      </c>
      <c r="R172" s="14">
        <v>1.294918</v>
      </c>
      <c r="S172" s="14">
        <v>6.2799959999999997</v>
      </c>
      <c r="T172" s="14">
        <v>5.9137969999999997</v>
      </c>
      <c r="U172" s="14">
        <v>6.1922949999999997</v>
      </c>
      <c r="V172" s="14">
        <v>47.510337999999997</v>
      </c>
      <c r="W172" s="14">
        <v>7.5</v>
      </c>
      <c r="X172" s="16">
        <v>40806</v>
      </c>
      <c r="Y172" s="14">
        <v>1</v>
      </c>
      <c r="Z172" s="14" t="s">
        <v>580</v>
      </c>
      <c r="AA172" s="14" t="s">
        <v>564</v>
      </c>
      <c r="AB172" s="14">
        <v>0.90858499999999998</v>
      </c>
      <c r="AC172" s="14">
        <v>4.7014500000000004</v>
      </c>
      <c r="AD172" s="14">
        <v>13.592726000000001</v>
      </c>
      <c r="AE172" s="14">
        <v>14.503189000000001</v>
      </c>
      <c r="AF172" s="14">
        <v>0.64361500000000005</v>
      </c>
      <c r="AG172" s="14">
        <v>4.0373900000000003</v>
      </c>
      <c r="AH172" s="14">
        <v>-1.8120890000000001</v>
      </c>
      <c r="AI172" s="14">
        <v>11.089464</v>
      </c>
      <c r="AJ172" s="14">
        <v>100</v>
      </c>
      <c r="AK172" s="14" t="s">
        <v>39</v>
      </c>
      <c r="AL172" s="14" t="s">
        <v>565</v>
      </c>
      <c r="AM172" s="14">
        <v>1.294918</v>
      </c>
      <c r="AN172" s="14">
        <v>1.294918</v>
      </c>
      <c r="AO172" s="14"/>
    </row>
    <row r="173" spans="1:41" x14ac:dyDescent="0.2">
      <c r="A173" s="14" t="s">
        <v>581</v>
      </c>
      <c r="B173" s="14" t="s">
        <v>582</v>
      </c>
      <c r="C173" s="14" t="s">
        <v>583</v>
      </c>
      <c r="D173" s="14" t="s">
        <v>37</v>
      </c>
      <c r="E173" s="16">
        <v>46871</v>
      </c>
      <c r="F173" s="14" t="s">
        <v>794</v>
      </c>
      <c r="G173" s="14">
        <v>97.1</v>
      </c>
      <c r="H173" s="14">
        <v>3.2877000000000003E-2</v>
      </c>
      <c r="I173" s="14">
        <v>133.50824600000001</v>
      </c>
      <c r="J173" s="14">
        <v>1.6944000000000001E-2</v>
      </c>
      <c r="K173" s="14">
        <v>0.91686400000000001</v>
      </c>
      <c r="L173" s="14">
        <v>8.3449950000000008</v>
      </c>
      <c r="M173" s="14">
        <v>3.153829</v>
      </c>
      <c r="N173" s="14">
        <v>14837906</v>
      </c>
      <c r="O173" s="14">
        <v>14412484.941671001</v>
      </c>
      <c r="P173" s="14">
        <v>5339.0251909999997</v>
      </c>
      <c r="Q173" s="14">
        <v>4313.6666320000004</v>
      </c>
      <c r="R173" s="14">
        <v>0.57233599999999996</v>
      </c>
      <c r="S173" s="14">
        <v>7.7625590000000004</v>
      </c>
      <c r="T173" s="14">
        <v>7.295903</v>
      </c>
      <c r="U173" s="14">
        <v>6.3961410000000001</v>
      </c>
      <c r="V173" s="14">
        <v>68.732855000000001</v>
      </c>
      <c r="W173" s="14">
        <v>6</v>
      </c>
      <c r="X173" s="16">
        <v>41027</v>
      </c>
      <c r="Y173" s="14">
        <v>1</v>
      </c>
      <c r="Z173" s="14" t="s">
        <v>582</v>
      </c>
      <c r="AA173" s="14" t="s">
        <v>564</v>
      </c>
      <c r="AB173" s="14">
        <v>0.90912499999999996</v>
      </c>
      <c r="AC173" s="14">
        <v>4.4175110000000002</v>
      </c>
      <c r="AD173" s="14">
        <v>13.846409</v>
      </c>
      <c r="AE173" s="14">
        <v>14.045996000000001</v>
      </c>
      <c r="AF173" s="14">
        <v>0.644154</v>
      </c>
      <c r="AG173" s="14">
        <v>3.755252</v>
      </c>
      <c r="AH173" s="14">
        <v>-1.592808</v>
      </c>
      <c r="AI173" s="14">
        <v>10.645901</v>
      </c>
      <c r="AJ173" s="14">
        <v>100</v>
      </c>
      <c r="AK173" s="14" t="s">
        <v>39</v>
      </c>
      <c r="AL173" s="14" t="s">
        <v>565</v>
      </c>
      <c r="AM173" s="14">
        <v>0.57233599999999996</v>
      </c>
      <c r="AN173" s="14">
        <v>0.57233599999999996</v>
      </c>
      <c r="AO173" s="14"/>
    </row>
    <row r="174" spans="1:41" x14ac:dyDescent="0.2">
      <c r="A174" s="14" t="s">
        <v>584</v>
      </c>
      <c r="B174" s="14" t="s">
        <v>585</v>
      </c>
      <c r="C174" s="14" t="s">
        <v>586</v>
      </c>
      <c r="D174" s="14" t="s">
        <v>37</v>
      </c>
      <c r="E174" s="16">
        <v>47744</v>
      </c>
      <c r="F174" s="14" t="s">
        <v>795</v>
      </c>
      <c r="G174" s="14">
        <v>110.105</v>
      </c>
      <c r="H174" s="14">
        <v>4.7561640000000001</v>
      </c>
      <c r="I174" s="14">
        <v>134.14307700000001</v>
      </c>
      <c r="J174" s="14">
        <v>0.171955</v>
      </c>
      <c r="K174" s="14">
        <v>1.545596</v>
      </c>
      <c r="L174" s="14">
        <v>7.5761700000000003</v>
      </c>
      <c r="M174" s="14">
        <v>3.1773889999999998</v>
      </c>
      <c r="N174" s="14">
        <v>17294552</v>
      </c>
      <c r="O174" s="14">
        <v>19864723.80212</v>
      </c>
      <c r="P174" s="14">
        <v>7358.7768669999996</v>
      </c>
      <c r="Q174" s="14">
        <v>5945.5254640000003</v>
      </c>
      <c r="R174" s="14">
        <v>0.78885099999999997</v>
      </c>
      <c r="S174" s="14">
        <v>8.2492839999999994</v>
      </c>
      <c r="T174" s="14">
        <v>7.7440749999999996</v>
      </c>
      <c r="U174" s="14">
        <v>6.5238170000000002</v>
      </c>
      <c r="V174" s="14">
        <v>84.386837999999997</v>
      </c>
      <c r="W174" s="14">
        <v>7.75</v>
      </c>
      <c r="X174" s="16">
        <v>42018</v>
      </c>
      <c r="Y174" s="14">
        <v>1</v>
      </c>
      <c r="Z174" s="14" t="s">
        <v>585</v>
      </c>
      <c r="AA174" s="14" t="s">
        <v>564</v>
      </c>
      <c r="AB174" s="14">
        <v>1.0655190000000001</v>
      </c>
      <c r="AC174" s="14">
        <v>5.0680519999999998</v>
      </c>
      <c r="AD174" s="14">
        <v>13.038546</v>
      </c>
      <c r="AE174" s="14">
        <v>14.072043000000001</v>
      </c>
      <c r="AF174" s="14">
        <v>0.80013699999999999</v>
      </c>
      <c r="AG174" s="14">
        <v>4.4016679999999999</v>
      </c>
      <c r="AH174" s="14">
        <v>-2.2911139999999999</v>
      </c>
      <c r="AI174" s="14">
        <v>10.671172</v>
      </c>
      <c r="AJ174" s="14">
        <v>100</v>
      </c>
      <c r="AK174" s="14" t="s">
        <v>39</v>
      </c>
      <c r="AL174" s="14" t="s">
        <v>565</v>
      </c>
      <c r="AM174" s="14">
        <v>0.78885099999999997</v>
      </c>
      <c r="AN174" s="14">
        <v>0.78885099999999997</v>
      </c>
      <c r="AO174" s="14"/>
    </row>
    <row r="175" spans="1:41" x14ac:dyDescent="0.2">
      <c r="A175" s="14" t="s">
        <v>587</v>
      </c>
      <c r="B175" s="14" t="s">
        <v>588</v>
      </c>
      <c r="C175" s="14" t="s">
        <v>589</v>
      </c>
      <c r="D175" s="14" t="s">
        <v>37</v>
      </c>
      <c r="E175" s="16">
        <v>48395</v>
      </c>
      <c r="F175" s="14" t="s">
        <v>795</v>
      </c>
      <c r="G175" s="14">
        <v>102.20099999999999</v>
      </c>
      <c r="H175" s="14">
        <v>5.8301369999999997</v>
      </c>
      <c r="I175" s="14">
        <v>109.545922</v>
      </c>
      <c r="J175" s="14">
        <v>0.100915</v>
      </c>
      <c r="K175" s="14">
        <v>1.316481</v>
      </c>
      <c r="L175" s="14">
        <v>7.4582810000000004</v>
      </c>
      <c r="M175" s="14">
        <v>3.0767519999999999</v>
      </c>
      <c r="N175" s="14">
        <v>11228980</v>
      </c>
      <c r="O175" s="14">
        <v>12130794.765964</v>
      </c>
      <c r="P175" s="14">
        <v>4493.785707</v>
      </c>
      <c r="Q175" s="14">
        <v>3630.755197</v>
      </c>
      <c r="R175" s="14">
        <v>0.48172799999999999</v>
      </c>
      <c r="S175" s="14">
        <v>8.9811650000000007</v>
      </c>
      <c r="T175" s="14">
        <v>8.4136900000000008</v>
      </c>
      <c r="U175" s="14">
        <v>6.7446659999999996</v>
      </c>
      <c r="V175" s="14">
        <v>102.245225</v>
      </c>
      <c r="W175" s="14">
        <v>7</v>
      </c>
      <c r="X175" s="16">
        <v>42746</v>
      </c>
      <c r="Y175" s="14">
        <v>1</v>
      </c>
      <c r="Z175" s="14" t="s">
        <v>588</v>
      </c>
      <c r="AA175" s="14" t="s">
        <v>564</v>
      </c>
      <c r="AB175" s="14">
        <v>0.99384600000000001</v>
      </c>
      <c r="AC175" s="14">
        <v>4.8309899999999999</v>
      </c>
      <c r="AD175" s="14">
        <v>12.914671</v>
      </c>
      <c r="AE175" s="14">
        <v>13.96078</v>
      </c>
      <c r="AF175" s="14">
        <v>0.72865199999999997</v>
      </c>
      <c r="AG175" s="14">
        <v>4.1661089999999996</v>
      </c>
      <c r="AH175" s="14">
        <v>-2.39819</v>
      </c>
      <c r="AI175" s="14">
        <v>10.563226</v>
      </c>
      <c r="AJ175" s="14">
        <v>100</v>
      </c>
      <c r="AK175" s="14" t="s">
        <v>39</v>
      </c>
      <c r="AL175" s="14" t="s">
        <v>565</v>
      </c>
      <c r="AM175" s="14">
        <v>0.48172799999999999</v>
      </c>
      <c r="AN175" s="14">
        <v>0.48172799999999999</v>
      </c>
      <c r="AO175" s="14"/>
    </row>
    <row r="176" spans="1:41" x14ac:dyDescent="0.2">
      <c r="A176" s="14" t="s">
        <v>590</v>
      </c>
      <c r="B176" s="14" t="s">
        <v>591</v>
      </c>
      <c r="C176" s="14" t="s">
        <v>592</v>
      </c>
      <c r="D176" s="14" t="s">
        <v>37</v>
      </c>
      <c r="E176" s="16">
        <v>44300</v>
      </c>
      <c r="F176" s="14" t="s">
        <v>791</v>
      </c>
      <c r="G176" s="14">
        <v>106.372715</v>
      </c>
      <c r="H176" s="14">
        <v>0.38219199999999998</v>
      </c>
      <c r="I176" s="14">
        <v>171.82843600000001</v>
      </c>
      <c r="J176" s="14">
        <v>1.4277E-2</v>
      </c>
      <c r="K176" s="14">
        <v>0.55338200000000004</v>
      </c>
      <c r="L176" s="14">
        <v>5.9092520000000004</v>
      </c>
      <c r="M176" s="14">
        <v>2.5168249999999999</v>
      </c>
      <c r="N176" s="14">
        <v>2467611.0320000001</v>
      </c>
      <c r="O176" s="14">
        <v>2634295.856925</v>
      </c>
      <c r="P176" s="14">
        <v>975.86030400000004</v>
      </c>
      <c r="Q176" s="14">
        <v>788.44655799999998</v>
      </c>
      <c r="R176" s="14">
        <v>0.104611</v>
      </c>
      <c r="S176" s="14">
        <v>2.746794</v>
      </c>
      <c r="T176" s="14">
        <v>2.607329</v>
      </c>
      <c r="U176" s="14">
        <v>5.3489509999999996</v>
      </c>
      <c r="V176" s="14">
        <v>9.5426059999999993</v>
      </c>
      <c r="W176" s="14">
        <v>7.75</v>
      </c>
      <c r="X176" s="16">
        <v>40282</v>
      </c>
      <c r="Y176" s="14">
        <v>1</v>
      </c>
      <c r="Z176" s="14" t="s">
        <v>591</v>
      </c>
      <c r="AA176" s="14" t="s">
        <v>593</v>
      </c>
      <c r="AB176" s="14">
        <v>0.90643499999999999</v>
      </c>
      <c r="AC176" s="14">
        <v>4.0414199999999996</v>
      </c>
      <c r="AD176" s="14">
        <v>11.286987</v>
      </c>
      <c r="AE176" s="14">
        <v>13.341729000000001</v>
      </c>
      <c r="AF176" s="14">
        <v>0.64147100000000001</v>
      </c>
      <c r="AG176" s="14">
        <v>3.3815469999999999</v>
      </c>
      <c r="AH176" s="14">
        <v>-3.8051360000000001</v>
      </c>
      <c r="AI176" s="14">
        <v>9.962631</v>
      </c>
      <c r="AJ176" s="14">
        <v>100</v>
      </c>
      <c r="AK176" s="14" t="s">
        <v>39</v>
      </c>
      <c r="AL176" s="14" t="s">
        <v>565</v>
      </c>
      <c r="AM176" s="14">
        <v>0.104611</v>
      </c>
      <c r="AN176" s="14">
        <v>0.104611</v>
      </c>
      <c r="AO176" s="14"/>
    </row>
    <row r="177" spans="1:41" x14ac:dyDescent="0.2">
      <c r="A177" s="14" t="s">
        <v>594</v>
      </c>
      <c r="B177" s="14" t="s">
        <v>595</v>
      </c>
      <c r="C177" s="14" t="s">
        <v>596</v>
      </c>
      <c r="D177" s="14" t="s">
        <v>37</v>
      </c>
      <c r="E177" s="16">
        <v>45006</v>
      </c>
      <c r="F177" s="14" t="s">
        <v>792</v>
      </c>
      <c r="G177" s="14">
        <v>95.458074999999994</v>
      </c>
      <c r="H177" s="14">
        <v>0.50342500000000001</v>
      </c>
      <c r="I177" s="14">
        <v>126.146148</v>
      </c>
      <c r="J177" s="14">
        <v>1.4348E-2</v>
      </c>
      <c r="K177" s="14">
        <v>0.89815699999999998</v>
      </c>
      <c r="L177" s="14">
        <v>6.5790410000000001</v>
      </c>
      <c r="M177" s="14">
        <v>2.4062060000000001</v>
      </c>
      <c r="N177" s="14">
        <v>1000000</v>
      </c>
      <c r="O177" s="14">
        <v>959614.996575</v>
      </c>
      <c r="P177" s="14">
        <v>355.484059</v>
      </c>
      <c r="Q177" s="14">
        <v>287.21342700000002</v>
      </c>
      <c r="R177" s="14">
        <v>3.8107000000000002E-2</v>
      </c>
      <c r="S177" s="14">
        <v>4.4721380000000002</v>
      </c>
      <c r="T177" s="14">
        <v>4.2408900000000003</v>
      </c>
      <c r="U177" s="14">
        <v>5.4528210000000001</v>
      </c>
      <c r="V177" s="14">
        <v>22.983836</v>
      </c>
      <c r="W177" s="14">
        <v>4.375</v>
      </c>
      <c r="X177" s="16">
        <v>41173</v>
      </c>
      <c r="Y177" s="14">
        <v>1</v>
      </c>
      <c r="Z177" s="14" t="s">
        <v>595</v>
      </c>
      <c r="AA177" s="14" t="s">
        <v>593</v>
      </c>
      <c r="AB177" s="14">
        <v>0.90650699999999995</v>
      </c>
      <c r="AC177" s="14">
        <v>4.3981539999999999</v>
      </c>
      <c r="AD177" s="14">
        <v>11.990785000000001</v>
      </c>
      <c r="AE177" s="14">
        <v>13.219429999999999</v>
      </c>
      <c r="AF177" s="14">
        <v>0.64154199999999995</v>
      </c>
      <c r="AG177" s="14">
        <v>3.7360180000000001</v>
      </c>
      <c r="AH177" s="14">
        <v>-3.1967829999999999</v>
      </c>
      <c r="AI177" s="14">
        <v>9.8439779999999999</v>
      </c>
      <c r="AJ177" s="14">
        <v>100</v>
      </c>
      <c r="AK177" s="14" t="s">
        <v>39</v>
      </c>
      <c r="AL177" s="14" t="s">
        <v>565</v>
      </c>
      <c r="AM177" s="14">
        <v>3.8107000000000002E-2</v>
      </c>
      <c r="AN177" s="14">
        <v>3.8107000000000002E-2</v>
      </c>
      <c r="AO177" s="14"/>
    </row>
    <row r="178" spans="1:41" x14ac:dyDescent="0.2">
      <c r="A178" s="14" t="s">
        <v>597</v>
      </c>
      <c r="B178" s="14" t="s">
        <v>598</v>
      </c>
      <c r="C178" s="14" t="s">
        <v>599</v>
      </c>
      <c r="D178" s="14" t="s">
        <v>37</v>
      </c>
      <c r="E178" s="16">
        <v>46566</v>
      </c>
      <c r="F178" s="14" t="s">
        <v>794</v>
      </c>
      <c r="G178" s="14">
        <v>126.88265</v>
      </c>
      <c r="H178" s="14">
        <v>8.3117809999999999</v>
      </c>
      <c r="I178" s="14">
        <v>281.57843400000002</v>
      </c>
      <c r="J178" s="14">
        <v>1.5450999999999999E-2</v>
      </c>
      <c r="K178" s="14">
        <v>1.429141</v>
      </c>
      <c r="L178" s="14">
        <v>4.2780250000000004</v>
      </c>
      <c r="M178" s="14">
        <v>3.740275</v>
      </c>
      <c r="N178" s="14">
        <v>1924515</v>
      </c>
      <c r="O178" s="14">
        <v>2601837.1003319998</v>
      </c>
      <c r="P178" s="14">
        <v>963.83613800000001</v>
      </c>
      <c r="Q178" s="14">
        <v>778.731629</v>
      </c>
      <c r="R178" s="14">
        <v>0.103322</v>
      </c>
      <c r="S178" s="14">
        <v>6.3508659999999999</v>
      </c>
      <c r="T178" s="14">
        <v>5.9943429999999998</v>
      </c>
      <c r="U178" s="14">
        <v>5.9476529999999999</v>
      </c>
      <c r="V178" s="14">
        <v>51.080832999999998</v>
      </c>
      <c r="W178" s="14">
        <v>9.85</v>
      </c>
      <c r="X178" s="16">
        <v>39261</v>
      </c>
      <c r="Y178" s="14">
        <v>1</v>
      </c>
      <c r="Z178" s="14" t="s">
        <v>598</v>
      </c>
      <c r="AA178" s="14" t="s">
        <v>593</v>
      </c>
      <c r="AB178" s="14">
        <v>0.90761999999999998</v>
      </c>
      <c r="AC178" s="14">
        <v>4.9475569999999998</v>
      </c>
      <c r="AD178" s="14">
        <v>9.5729319999999998</v>
      </c>
      <c r="AE178" s="14">
        <v>14.694364999999999</v>
      </c>
      <c r="AF178" s="14">
        <v>0.642652</v>
      </c>
      <c r="AG178" s="14">
        <v>4.2819370000000001</v>
      </c>
      <c r="AH178" s="14">
        <v>-5.28674</v>
      </c>
      <c r="AI178" s="14">
        <v>11.274940000000001</v>
      </c>
      <c r="AJ178" s="14">
        <v>100</v>
      </c>
      <c r="AK178" s="14" t="s">
        <v>39</v>
      </c>
      <c r="AL178" s="14" t="s">
        <v>565</v>
      </c>
      <c r="AM178" s="14">
        <v>0.103322</v>
      </c>
      <c r="AN178" s="14">
        <v>0.103322</v>
      </c>
      <c r="AO178" s="14"/>
    </row>
    <row r="179" spans="1:41" x14ac:dyDescent="0.2">
      <c r="A179" s="14" t="s">
        <v>842</v>
      </c>
      <c r="B179" s="14" t="s">
        <v>843</v>
      </c>
      <c r="C179" s="14" t="s">
        <v>844</v>
      </c>
      <c r="D179" s="14" t="s">
        <v>37</v>
      </c>
      <c r="E179" s="16">
        <v>44972</v>
      </c>
      <c r="F179" s="14" t="s">
        <v>792</v>
      </c>
      <c r="G179" s="14">
        <v>102.92109000000001</v>
      </c>
      <c r="H179" s="14">
        <v>1.9036109999999999</v>
      </c>
      <c r="I179" s="14"/>
      <c r="J179" s="14"/>
      <c r="K179" s="14"/>
      <c r="L179" s="14"/>
      <c r="M179" s="14"/>
      <c r="N179" s="14">
        <v>40000</v>
      </c>
      <c r="O179" s="14">
        <v>41929.880444000002</v>
      </c>
      <c r="P179" s="14">
        <v>846.29892900000004</v>
      </c>
      <c r="Q179" s="14">
        <v>683.76741500000003</v>
      </c>
      <c r="R179" s="14">
        <v>9.0721999999999997E-2</v>
      </c>
      <c r="S179" s="14">
        <v>3.9442900000000001</v>
      </c>
      <c r="T179" s="14">
        <v>3.789917</v>
      </c>
      <c r="U179" s="14">
        <v>8.1465060000000005</v>
      </c>
      <c r="V179" s="14">
        <v>18.068090999999999</v>
      </c>
      <c r="W179" s="14">
        <v>8.9</v>
      </c>
      <c r="X179" s="16">
        <v>43146</v>
      </c>
      <c r="Y179" s="14">
        <v>2</v>
      </c>
      <c r="Z179" s="14" t="s">
        <v>843</v>
      </c>
      <c r="AA179" s="14" t="s">
        <v>845</v>
      </c>
      <c r="AB179" s="14"/>
      <c r="AC179" s="14"/>
      <c r="AD179" s="14"/>
      <c r="AE179" s="14"/>
      <c r="AF179" s="14"/>
      <c r="AG179" s="14"/>
      <c r="AH179" s="14"/>
      <c r="AI179" s="14"/>
      <c r="AJ179" s="14">
        <v>100</v>
      </c>
      <c r="AK179" s="14" t="s">
        <v>233</v>
      </c>
      <c r="AL179" s="14" t="s">
        <v>846</v>
      </c>
      <c r="AM179" s="14">
        <v>9.0721999999999997E-2</v>
      </c>
      <c r="AN179" s="14">
        <v>9.0721999999999997E-2</v>
      </c>
      <c r="AO179" s="14"/>
    </row>
    <row r="180" spans="1:41" x14ac:dyDescent="0.2">
      <c r="A180" s="14" t="s">
        <v>602</v>
      </c>
      <c r="B180" s="14" t="s">
        <v>603</v>
      </c>
      <c r="C180" s="14" t="s">
        <v>604</v>
      </c>
      <c r="D180" s="14" t="s">
        <v>37</v>
      </c>
      <c r="E180" s="16">
        <v>43810</v>
      </c>
      <c r="F180" s="14" t="s">
        <v>791</v>
      </c>
      <c r="G180" s="14">
        <v>96.495225000000005</v>
      </c>
      <c r="H180" s="14">
        <v>1.9444440000000001</v>
      </c>
      <c r="I180" s="14">
        <v>111.980847</v>
      </c>
      <c r="J180" s="14">
        <v>1.2132E-2</v>
      </c>
      <c r="K180" s="14">
        <v>0.39302999999999999</v>
      </c>
      <c r="L180" s="14">
        <v>6.1495340000000001</v>
      </c>
      <c r="M180" s="14">
        <v>2.730642</v>
      </c>
      <c r="N180" s="14">
        <v>132701.519306</v>
      </c>
      <c r="O180" s="14">
        <v>130630.936952</v>
      </c>
      <c r="P180" s="14">
        <v>7262.0147569999999</v>
      </c>
      <c r="Q180" s="14">
        <v>5867.3464949999998</v>
      </c>
      <c r="R180" s="14">
        <v>0.778478</v>
      </c>
      <c r="S180" s="14">
        <v>1.5429619999999999</v>
      </c>
      <c r="T180" s="14">
        <v>1.489004</v>
      </c>
      <c r="U180" s="14">
        <v>7.2475329999999998</v>
      </c>
      <c r="V180" s="14">
        <v>3.00895</v>
      </c>
      <c r="W180" s="14">
        <v>5</v>
      </c>
      <c r="X180" s="16">
        <v>41950</v>
      </c>
      <c r="Y180" s="14">
        <v>2</v>
      </c>
      <c r="Z180" s="14" t="s">
        <v>603</v>
      </c>
      <c r="AA180" s="14" t="s">
        <v>600</v>
      </c>
      <c r="AB180" s="14">
        <v>-0.208039</v>
      </c>
      <c r="AC180" s="14">
        <v>1.873399</v>
      </c>
      <c r="AD180" s="14">
        <v>9.0380970000000005</v>
      </c>
      <c r="AE180" s="14">
        <v>11.738295000000001</v>
      </c>
      <c r="AF180" s="14">
        <v>-0.47007599999999999</v>
      </c>
      <c r="AG180" s="14">
        <v>1.227277</v>
      </c>
      <c r="AH180" s="14">
        <v>-5.7490439999999996</v>
      </c>
      <c r="AI180" s="14">
        <v>8.407</v>
      </c>
      <c r="AJ180" s="14">
        <v>100</v>
      </c>
      <c r="AK180" s="14" t="s">
        <v>39</v>
      </c>
      <c r="AL180" s="14" t="s">
        <v>601</v>
      </c>
      <c r="AM180" s="14">
        <v>0.778478</v>
      </c>
      <c r="AN180" s="14">
        <v>0.778478</v>
      </c>
      <c r="AO180" s="14"/>
    </row>
    <row r="181" spans="1:41" x14ac:dyDescent="0.2">
      <c r="A181" s="14" t="s">
        <v>605</v>
      </c>
      <c r="B181" s="14" t="s">
        <v>606</v>
      </c>
      <c r="C181" s="14" t="s">
        <v>607</v>
      </c>
      <c r="D181" s="14" t="s">
        <v>37</v>
      </c>
      <c r="E181" s="16">
        <v>43993</v>
      </c>
      <c r="F181" s="14" t="s">
        <v>791</v>
      </c>
      <c r="G181" s="14">
        <v>101.628985</v>
      </c>
      <c r="H181" s="14">
        <v>3.1111110000000002</v>
      </c>
      <c r="I181" s="14">
        <v>178.33016799999999</v>
      </c>
      <c r="J181" s="14">
        <v>2.7251999999999998E-2</v>
      </c>
      <c r="K181" s="14">
        <v>0.34302899999999997</v>
      </c>
      <c r="L181" s="14">
        <v>6.4358490000000002</v>
      </c>
      <c r="M181" s="14">
        <v>3.0191539999999999</v>
      </c>
      <c r="N181" s="14">
        <v>206102.45327699999</v>
      </c>
      <c r="O181" s="14">
        <v>215871.90765000001</v>
      </c>
      <c r="P181" s="14">
        <v>12000.717559999999</v>
      </c>
      <c r="Q181" s="14">
        <v>9695.982516</v>
      </c>
      <c r="R181" s="14">
        <v>1.2864610000000001</v>
      </c>
      <c r="S181" s="14">
        <v>1.9309510000000001</v>
      </c>
      <c r="T181" s="14">
        <v>1.8642030000000001</v>
      </c>
      <c r="U181" s="14">
        <v>7.1610500000000004</v>
      </c>
      <c r="V181" s="14">
        <v>4.6044429999999998</v>
      </c>
      <c r="W181" s="14">
        <v>8</v>
      </c>
      <c r="X181" s="16">
        <v>40232</v>
      </c>
      <c r="Y181" s="14">
        <v>2</v>
      </c>
      <c r="Z181" s="14" t="s">
        <v>606</v>
      </c>
      <c r="AA181" s="14" t="s">
        <v>600</v>
      </c>
      <c r="AB181" s="14">
        <v>-0.19295200000000001</v>
      </c>
      <c r="AC181" s="14">
        <v>1.8226610000000001</v>
      </c>
      <c r="AD181" s="14">
        <v>9.3322029999999998</v>
      </c>
      <c r="AE181" s="14">
        <v>12.052104</v>
      </c>
      <c r="AF181" s="14">
        <v>-0.45502900000000002</v>
      </c>
      <c r="AG181" s="14">
        <v>1.17686</v>
      </c>
      <c r="AH181" s="14">
        <v>-5.4948230000000002</v>
      </c>
      <c r="AI181" s="14">
        <v>8.7114539999999998</v>
      </c>
      <c r="AJ181" s="14">
        <v>100</v>
      </c>
      <c r="AK181" s="14" t="s">
        <v>39</v>
      </c>
      <c r="AL181" s="14" t="s">
        <v>601</v>
      </c>
      <c r="AM181" s="14">
        <v>1.2864610000000001</v>
      </c>
      <c r="AN181" s="14">
        <v>1.2864610000000001</v>
      </c>
      <c r="AO181" s="14"/>
    </row>
    <row r="182" spans="1:41" x14ac:dyDescent="0.2">
      <c r="A182" s="14" t="s">
        <v>608</v>
      </c>
      <c r="B182" s="14" t="s">
        <v>609</v>
      </c>
      <c r="C182" s="14" t="s">
        <v>610</v>
      </c>
      <c r="D182" s="14" t="s">
        <v>37</v>
      </c>
      <c r="E182" s="16">
        <v>44357</v>
      </c>
      <c r="F182" s="14" t="s">
        <v>792</v>
      </c>
      <c r="G182" s="14">
        <v>98.048445000000001</v>
      </c>
      <c r="H182" s="14">
        <v>2.5277780000000001</v>
      </c>
      <c r="I182" s="14">
        <v>165.86323899999999</v>
      </c>
      <c r="J182" s="14">
        <v>5.833E-2</v>
      </c>
      <c r="K182" s="14">
        <v>0.31450499999999998</v>
      </c>
      <c r="L182" s="14">
        <v>6.2379160000000002</v>
      </c>
      <c r="M182" s="14">
        <v>3.3352240000000002</v>
      </c>
      <c r="N182" s="14">
        <v>181814.431033</v>
      </c>
      <c r="O182" s="14">
        <v>182862.08719799999</v>
      </c>
      <c r="P182" s="14">
        <v>10165.640749</v>
      </c>
      <c r="Q182" s="14">
        <v>8213.331784</v>
      </c>
      <c r="R182" s="14">
        <v>1.0897429999999999</v>
      </c>
      <c r="S182" s="14">
        <v>2.7972350000000001</v>
      </c>
      <c r="T182" s="14">
        <v>2.7000600000000001</v>
      </c>
      <c r="U182" s="14">
        <v>7.1979870000000004</v>
      </c>
      <c r="V182" s="14">
        <v>9.1523199999999996</v>
      </c>
      <c r="W182" s="14">
        <v>6.5</v>
      </c>
      <c r="X182" s="16">
        <v>40577</v>
      </c>
      <c r="Y182" s="14">
        <v>2</v>
      </c>
      <c r="Z182" s="14" t="s">
        <v>609</v>
      </c>
      <c r="AA182" s="14" t="s">
        <v>600</v>
      </c>
      <c r="AB182" s="14">
        <v>-0.161942</v>
      </c>
      <c r="AC182" s="14">
        <v>1.7937160000000001</v>
      </c>
      <c r="AD182" s="14">
        <v>9.1288839999999993</v>
      </c>
      <c r="AE182" s="14">
        <v>12.395887999999999</v>
      </c>
      <c r="AF182" s="14">
        <v>-0.42409999999999998</v>
      </c>
      <c r="AG182" s="14">
        <v>1.148099</v>
      </c>
      <c r="AH182" s="14">
        <v>-5.6705690000000004</v>
      </c>
      <c r="AI182" s="14">
        <v>9.044988</v>
      </c>
      <c r="AJ182" s="14">
        <v>100</v>
      </c>
      <c r="AK182" s="14" t="s">
        <v>39</v>
      </c>
      <c r="AL182" s="14" t="s">
        <v>601</v>
      </c>
      <c r="AM182" s="14">
        <v>1.0897429999999999</v>
      </c>
      <c r="AN182" s="14">
        <v>1.0897429999999999</v>
      </c>
      <c r="AO182" s="14"/>
    </row>
    <row r="183" spans="1:41" x14ac:dyDescent="0.2">
      <c r="A183" s="14" t="s">
        <v>611</v>
      </c>
      <c r="B183" s="14" t="s">
        <v>612</v>
      </c>
      <c r="C183" s="14" t="s">
        <v>613</v>
      </c>
      <c r="D183" s="14" t="s">
        <v>37</v>
      </c>
      <c r="E183" s="16">
        <v>44721</v>
      </c>
      <c r="F183" s="14" t="s">
        <v>792</v>
      </c>
      <c r="G183" s="14">
        <v>97.431030000000007</v>
      </c>
      <c r="H183" s="14">
        <v>2.5277780000000001</v>
      </c>
      <c r="I183" s="14">
        <v>141.45052000000001</v>
      </c>
      <c r="J183" s="14">
        <v>3.0268E-2</v>
      </c>
      <c r="K183" s="14">
        <v>0.25667299999999998</v>
      </c>
      <c r="L183" s="14">
        <v>6.143243</v>
      </c>
      <c r="M183" s="14">
        <v>3.6039970000000001</v>
      </c>
      <c r="N183" s="14">
        <v>162168.129545</v>
      </c>
      <c r="O183" s="14">
        <v>162101.328889</v>
      </c>
      <c r="P183" s="14">
        <v>9011.5118970000003</v>
      </c>
      <c r="Q183" s="14">
        <v>7280.8531130000001</v>
      </c>
      <c r="R183" s="14">
        <v>0.96602200000000005</v>
      </c>
      <c r="S183" s="14">
        <v>3.5794830000000002</v>
      </c>
      <c r="T183" s="14">
        <v>3.4547400000000001</v>
      </c>
      <c r="U183" s="14">
        <v>7.2215449999999999</v>
      </c>
      <c r="V183" s="14">
        <v>14.782147</v>
      </c>
      <c r="W183" s="14">
        <v>6.5</v>
      </c>
      <c r="X183" s="16">
        <v>40954</v>
      </c>
      <c r="Y183" s="14">
        <v>2</v>
      </c>
      <c r="Z183" s="14" t="s">
        <v>614</v>
      </c>
      <c r="AA183" s="14" t="s">
        <v>600</v>
      </c>
      <c r="AB183" s="14">
        <v>-0.189942</v>
      </c>
      <c r="AC183" s="14">
        <v>1.735031</v>
      </c>
      <c r="AD183" s="14">
        <v>9.0316349999999996</v>
      </c>
      <c r="AE183" s="14">
        <v>12.688226999999999</v>
      </c>
      <c r="AF183" s="14">
        <v>-0.45202700000000001</v>
      </c>
      <c r="AG183" s="14">
        <v>1.0897859999999999</v>
      </c>
      <c r="AH183" s="14">
        <v>-5.7546299999999997</v>
      </c>
      <c r="AI183" s="14">
        <v>9.3286119999999997</v>
      </c>
      <c r="AJ183" s="14">
        <v>100</v>
      </c>
      <c r="AK183" s="14" t="s">
        <v>39</v>
      </c>
      <c r="AL183" s="14" t="s">
        <v>601</v>
      </c>
      <c r="AM183" s="14">
        <v>0.96602200000000005</v>
      </c>
      <c r="AN183" s="14">
        <v>0.96602200000000005</v>
      </c>
      <c r="AO183" s="14"/>
    </row>
    <row r="184" spans="1:41" x14ac:dyDescent="0.2">
      <c r="A184" s="14" t="s">
        <v>615</v>
      </c>
      <c r="B184" s="14" t="s">
        <v>616</v>
      </c>
      <c r="C184" s="14" t="s">
        <v>617</v>
      </c>
      <c r="D184" s="14" t="s">
        <v>37</v>
      </c>
      <c r="E184" s="16">
        <v>45267</v>
      </c>
      <c r="F184" s="14" t="s">
        <v>793</v>
      </c>
      <c r="G184" s="14">
        <v>103.631225</v>
      </c>
      <c r="H184" s="14">
        <v>3.1111110000000002</v>
      </c>
      <c r="I184" s="14">
        <v>152.354771</v>
      </c>
      <c r="J184" s="14">
        <v>1.9671999999999999E-2</v>
      </c>
      <c r="K184" s="14">
        <v>0.29020400000000002</v>
      </c>
      <c r="L184" s="14">
        <v>6.0787259999999996</v>
      </c>
      <c r="M184" s="14">
        <v>3.9964789999999999</v>
      </c>
      <c r="N184" s="14">
        <v>65827.593806999997</v>
      </c>
      <c r="O184" s="14">
        <v>70265.911435999995</v>
      </c>
      <c r="P184" s="14">
        <v>3906.2116350000001</v>
      </c>
      <c r="Q184" s="14">
        <v>3156.02459</v>
      </c>
      <c r="R184" s="14">
        <v>0.41874099999999997</v>
      </c>
      <c r="S184" s="14">
        <v>4.5165689999999996</v>
      </c>
      <c r="T184" s="14">
        <v>4.3594689999999998</v>
      </c>
      <c r="U184" s="14">
        <v>7.2072719999999997</v>
      </c>
      <c r="V184" s="14">
        <v>24.040203999999999</v>
      </c>
      <c r="W184" s="14">
        <v>8</v>
      </c>
      <c r="X184" s="16">
        <v>37924</v>
      </c>
      <c r="Y184" s="14">
        <v>2</v>
      </c>
      <c r="Z184" s="14" t="s">
        <v>616</v>
      </c>
      <c r="AA184" s="14" t="s">
        <v>600</v>
      </c>
      <c r="AB184" s="14">
        <v>-0.200515</v>
      </c>
      <c r="AC184" s="14">
        <v>1.7690570000000001</v>
      </c>
      <c r="AD184" s="14">
        <v>8.9653620000000007</v>
      </c>
      <c r="AE184" s="14">
        <v>13.115123000000001</v>
      </c>
      <c r="AF184" s="14">
        <v>-0.46257199999999998</v>
      </c>
      <c r="AG184" s="14">
        <v>1.123596</v>
      </c>
      <c r="AH184" s="14">
        <v>-5.8119149999999999</v>
      </c>
      <c r="AI184" s="14">
        <v>9.7427810000000008</v>
      </c>
      <c r="AJ184" s="14">
        <v>100</v>
      </c>
      <c r="AK184" s="14" t="s">
        <v>39</v>
      </c>
      <c r="AL184" s="14" t="s">
        <v>601</v>
      </c>
      <c r="AM184" s="14">
        <v>0.41874099999999997</v>
      </c>
      <c r="AN184" s="14">
        <v>0.41874099999999997</v>
      </c>
      <c r="AO184" s="14"/>
    </row>
    <row r="185" spans="1:41" x14ac:dyDescent="0.2">
      <c r="A185" s="14" t="s">
        <v>618</v>
      </c>
      <c r="B185" s="14" t="s">
        <v>619</v>
      </c>
      <c r="C185" s="14" t="s">
        <v>620</v>
      </c>
      <c r="D185" s="14" t="s">
        <v>37</v>
      </c>
      <c r="E185" s="16">
        <v>45631</v>
      </c>
      <c r="F185" s="14" t="s">
        <v>793</v>
      </c>
      <c r="G185" s="14">
        <v>114.67140000000001</v>
      </c>
      <c r="H185" s="14">
        <v>3.8888889999999998</v>
      </c>
      <c r="I185" s="14">
        <v>337.33470999999997</v>
      </c>
      <c r="J185" s="14">
        <v>2.4518000000000002E-2</v>
      </c>
      <c r="K185" s="14">
        <v>0.31039800000000001</v>
      </c>
      <c r="L185" s="14">
        <v>6.1697499999999996</v>
      </c>
      <c r="M185" s="14">
        <v>4.197654</v>
      </c>
      <c r="N185" s="14">
        <v>164392.66135400001</v>
      </c>
      <c r="O185" s="14">
        <v>194904.41421399999</v>
      </c>
      <c r="P185" s="14">
        <v>10835.095922</v>
      </c>
      <c r="Q185" s="14">
        <v>8754.218245</v>
      </c>
      <c r="R185" s="14">
        <v>1.161508</v>
      </c>
      <c r="S185" s="14">
        <v>4.9426610000000002</v>
      </c>
      <c r="T185" s="14">
        <v>4.7709770000000002</v>
      </c>
      <c r="U185" s="14">
        <v>7.1970390000000002</v>
      </c>
      <c r="V185" s="14">
        <v>29.755057000000001</v>
      </c>
      <c r="W185" s="14">
        <v>10</v>
      </c>
      <c r="X185" s="16">
        <v>38372</v>
      </c>
      <c r="Y185" s="14">
        <v>2</v>
      </c>
      <c r="Z185" s="14" t="s">
        <v>619</v>
      </c>
      <c r="AA185" s="14" t="s">
        <v>600</v>
      </c>
      <c r="AB185" s="14">
        <v>-0.19567999999999999</v>
      </c>
      <c r="AC185" s="14">
        <v>1.7895479999999999</v>
      </c>
      <c r="AD185" s="14">
        <v>9.0588630000000006</v>
      </c>
      <c r="AE185" s="14">
        <v>13.333937000000001</v>
      </c>
      <c r="AF185" s="14">
        <v>-0.45774999999999999</v>
      </c>
      <c r="AG185" s="14">
        <v>1.1439569999999999</v>
      </c>
      <c r="AH185" s="14">
        <v>-5.7310939999999997</v>
      </c>
      <c r="AI185" s="14">
        <v>9.9550710000000002</v>
      </c>
      <c r="AJ185" s="14">
        <v>100</v>
      </c>
      <c r="AK185" s="14" t="s">
        <v>39</v>
      </c>
      <c r="AL185" s="14" t="s">
        <v>601</v>
      </c>
      <c r="AM185" s="14">
        <v>1.161508</v>
      </c>
      <c r="AN185" s="14">
        <v>1.161508</v>
      </c>
      <c r="AO185" s="14"/>
    </row>
    <row r="186" spans="1:41" x14ac:dyDescent="0.2">
      <c r="A186" s="14" t="s">
        <v>621</v>
      </c>
      <c r="B186" s="14" t="s">
        <v>622</v>
      </c>
      <c r="C186" s="14" t="s">
        <v>623</v>
      </c>
      <c r="D186" s="14" t="s">
        <v>37</v>
      </c>
      <c r="E186" s="16">
        <v>46086</v>
      </c>
      <c r="F186" s="14" t="s">
        <v>794</v>
      </c>
      <c r="G186" s="14">
        <v>90.836044999999999</v>
      </c>
      <c r="H186" s="14">
        <v>0.78263899999999997</v>
      </c>
      <c r="I186" s="14">
        <v>108.890979</v>
      </c>
      <c r="J186" s="14">
        <v>0.106262</v>
      </c>
      <c r="K186" s="14">
        <v>0.232681</v>
      </c>
      <c r="L186" s="14">
        <v>5.5363610000000003</v>
      </c>
      <c r="M186" s="14">
        <v>4.2569970000000001</v>
      </c>
      <c r="N186" s="14">
        <v>92750.950318999996</v>
      </c>
      <c r="O186" s="14">
        <v>84977.199976999997</v>
      </c>
      <c r="P186" s="14">
        <v>4724.0393020000001</v>
      </c>
      <c r="Q186" s="14">
        <v>3816.788642</v>
      </c>
      <c r="R186" s="14">
        <v>0.50641099999999994</v>
      </c>
      <c r="S186" s="14">
        <v>6.3058690000000004</v>
      </c>
      <c r="T186" s="14">
        <v>6.084225</v>
      </c>
      <c r="U186" s="14">
        <v>7.2858599999999996</v>
      </c>
      <c r="V186" s="14">
        <v>45.501655999999997</v>
      </c>
      <c r="W186" s="14">
        <v>5.75</v>
      </c>
      <c r="X186" s="16">
        <v>42293</v>
      </c>
      <c r="Y186" s="14">
        <v>2</v>
      </c>
      <c r="Z186" s="14" t="s">
        <v>622</v>
      </c>
      <c r="AA186" s="14" t="s">
        <v>600</v>
      </c>
      <c r="AB186" s="14">
        <v>-0.11411499999999999</v>
      </c>
      <c r="AC186" s="14">
        <v>1.7106859999999999</v>
      </c>
      <c r="AD186" s="14">
        <v>8.408239</v>
      </c>
      <c r="AE186" s="14">
        <v>13.398483000000001</v>
      </c>
      <c r="AF186" s="14">
        <v>-0.37640000000000001</v>
      </c>
      <c r="AG186" s="14">
        <v>1.0655950000000001</v>
      </c>
      <c r="AH186" s="14">
        <v>-6.2934850000000004</v>
      </c>
      <c r="AI186" s="14">
        <v>10.017693</v>
      </c>
      <c r="AJ186" s="14">
        <v>100</v>
      </c>
      <c r="AK186" s="14" t="s">
        <v>39</v>
      </c>
      <c r="AL186" s="14" t="s">
        <v>601</v>
      </c>
      <c r="AM186" s="14">
        <v>0.50641099999999994</v>
      </c>
      <c r="AN186" s="14">
        <v>0.50641099999999994</v>
      </c>
      <c r="AO186" s="14"/>
    </row>
    <row r="187" spans="1:41" x14ac:dyDescent="0.2">
      <c r="A187" s="14" t="s">
        <v>624</v>
      </c>
      <c r="B187" s="14" t="s">
        <v>625</v>
      </c>
      <c r="C187" s="14" t="s">
        <v>626</v>
      </c>
      <c r="D187" s="14" t="s">
        <v>37</v>
      </c>
      <c r="E187" s="16">
        <v>46541</v>
      </c>
      <c r="F187" s="14" t="s">
        <v>794</v>
      </c>
      <c r="G187" s="14">
        <v>100.88665</v>
      </c>
      <c r="H187" s="14">
        <v>2.9166669999999999</v>
      </c>
      <c r="I187" s="14">
        <v>240.115725</v>
      </c>
      <c r="J187" s="14">
        <v>5.8734000000000001E-2</v>
      </c>
      <c r="K187" s="14">
        <v>-8.4060000000000003E-3</v>
      </c>
      <c r="L187" s="14">
        <v>5.6779460000000004</v>
      </c>
      <c r="M187" s="14">
        <v>4.0811400000000004</v>
      </c>
      <c r="N187" s="14">
        <v>115677.867826</v>
      </c>
      <c r="O187" s="14">
        <v>120077.463453</v>
      </c>
      <c r="P187" s="14">
        <v>6675.3276969999997</v>
      </c>
      <c r="Q187" s="14">
        <v>5393.3325500000001</v>
      </c>
      <c r="R187" s="14">
        <v>0.71558600000000006</v>
      </c>
      <c r="S187" s="14">
        <v>6.5861270000000003</v>
      </c>
      <c r="T187" s="14">
        <v>6.3522410000000002</v>
      </c>
      <c r="U187" s="14">
        <v>7.3639020000000004</v>
      </c>
      <c r="V187" s="14">
        <v>52.745462000000003</v>
      </c>
      <c r="W187" s="14">
        <v>7.5</v>
      </c>
      <c r="X187" s="16">
        <v>39100</v>
      </c>
      <c r="Y187" s="14">
        <v>2</v>
      </c>
      <c r="Z187" s="14" t="s">
        <v>625</v>
      </c>
      <c r="AA187" s="14" t="s">
        <v>600</v>
      </c>
      <c r="AB187" s="14">
        <v>-0.16153899999999999</v>
      </c>
      <c r="AC187" s="14">
        <v>1.4660439999999999</v>
      </c>
      <c r="AD187" s="14">
        <v>8.5536759999999994</v>
      </c>
      <c r="AE187" s="14">
        <v>13.207207</v>
      </c>
      <c r="AF187" s="14">
        <v>-0.42369800000000002</v>
      </c>
      <c r="AG187" s="14">
        <v>0.82250500000000004</v>
      </c>
      <c r="AH187" s="14">
        <v>-6.16777</v>
      </c>
      <c r="AI187" s="14">
        <v>9.8321199999999997</v>
      </c>
      <c r="AJ187" s="14">
        <v>100</v>
      </c>
      <c r="AK187" s="14" t="s">
        <v>39</v>
      </c>
      <c r="AL187" s="14" t="s">
        <v>601</v>
      </c>
      <c r="AM187" s="14">
        <v>0.71558600000000006</v>
      </c>
      <c r="AN187" s="14">
        <v>0.71558600000000006</v>
      </c>
      <c r="AO187" s="14"/>
    </row>
    <row r="188" spans="1:41" x14ac:dyDescent="0.2">
      <c r="A188" s="14" t="s">
        <v>627</v>
      </c>
      <c r="B188" s="14" t="s">
        <v>628</v>
      </c>
      <c r="C188" s="14" t="s">
        <v>629</v>
      </c>
      <c r="D188" s="14" t="s">
        <v>37</v>
      </c>
      <c r="E188" s="16">
        <v>47269</v>
      </c>
      <c r="F188" s="14" t="s">
        <v>795</v>
      </c>
      <c r="G188" s="14">
        <v>108.11301</v>
      </c>
      <c r="H188" s="14">
        <v>3.3055560000000002</v>
      </c>
      <c r="I188" s="14">
        <v>166.30327</v>
      </c>
      <c r="J188" s="14">
        <v>-5.1348999999999999E-2</v>
      </c>
      <c r="K188" s="14">
        <v>-7.3423000000000002E-2</v>
      </c>
      <c r="L188" s="14">
        <v>5.8204950000000002</v>
      </c>
      <c r="M188" s="14">
        <v>4.1572719999999999</v>
      </c>
      <c r="N188" s="14">
        <v>60305.932509999999</v>
      </c>
      <c r="O188" s="14">
        <v>67192.004946999994</v>
      </c>
      <c r="P188" s="14">
        <v>3735.327503</v>
      </c>
      <c r="Q188" s="14">
        <v>3017.9587160000001</v>
      </c>
      <c r="R188" s="14">
        <v>0.400422</v>
      </c>
      <c r="S188" s="14">
        <v>7.3310389999999996</v>
      </c>
      <c r="T188" s="14">
        <v>7.0687350000000002</v>
      </c>
      <c r="U188" s="14">
        <v>7.421538</v>
      </c>
      <c r="V188" s="14">
        <v>68.166044999999997</v>
      </c>
      <c r="W188" s="14">
        <v>8.5</v>
      </c>
      <c r="X188" s="16">
        <v>39828</v>
      </c>
      <c r="Y188" s="14">
        <v>2</v>
      </c>
      <c r="Z188" s="14" t="s">
        <v>628</v>
      </c>
      <c r="AA188" s="14" t="s">
        <v>600</v>
      </c>
      <c r="AB188" s="14">
        <v>-0.27138000000000001</v>
      </c>
      <c r="AC188" s="14">
        <v>1.4000680000000001</v>
      </c>
      <c r="AD188" s="14">
        <v>8.7001050000000006</v>
      </c>
      <c r="AE188" s="14">
        <v>13.290015</v>
      </c>
      <c r="AF188" s="14">
        <v>-0.53325100000000003</v>
      </c>
      <c r="AG188" s="14">
        <v>0.75694799999999995</v>
      </c>
      <c r="AH188" s="14">
        <v>-6.0411999999999999</v>
      </c>
      <c r="AI188" s="14">
        <v>9.9124580000000009</v>
      </c>
      <c r="AJ188" s="14">
        <v>100</v>
      </c>
      <c r="AK188" s="14" t="s">
        <v>39</v>
      </c>
      <c r="AL188" s="14" t="s">
        <v>601</v>
      </c>
      <c r="AM188" s="14">
        <v>0.400422</v>
      </c>
      <c r="AN188" s="14">
        <v>0.400422</v>
      </c>
      <c r="AO188" s="14"/>
    </row>
    <row r="189" spans="1:41" x14ac:dyDescent="0.2">
      <c r="A189" s="14" t="s">
        <v>630</v>
      </c>
      <c r="B189" s="14" t="s">
        <v>631</v>
      </c>
      <c r="C189" s="14" t="s">
        <v>632</v>
      </c>
      <c r="D189" s="14" t="s">
        <v>37</v>
      </c>
      <c r="E189" s="16">
        <v>47997</v>
      </c>
      <c r="F189" s="14" t="s">
        <v>795</v>
      </c>
      <c r="G189" s="14">
        <v>102.10844</v>
      </c>
      <c r="H189" s="14">
        <v>3.0138889999999998</v>
      </c>
      <c r="I189" s="14">
        <v>159.305094</v>
      </c>
      <c r="J189" s="14">
        <v>2.0441999999999998E-2</v>
      </c>
      <c r="K189" s="14">
        <v>2.3709999999999998E-2</v>
      </c>
      <c r="L189" s="14">
        <v>5.9397529999999996</v>
      </c>
      <c r="M189" s="14">
        <v>4.0638820000000004</v>
      </c>
      <c r="N189" s="14">
        <v>78905.722812000007</v>
      </c>
      <c r="O189" s="14">
        <v>82947.533446000001</v>
      </c>
      <c r="P189" s="14">
        <v>4611.2063959999996</v>
      </c>
      <c r="Q189" s="14">
        <v>3725.6252690000001</v>
      </c>
      <c r="R189" s="14">
        <v>0.494315</v>
      </c>
      <c r="S189" s="14">
        <v>8.2684499999999996</v>
      </c>
      <c r="T189" s="14">
        <v>7.9697899999999997</v>
      </c>
      <c r="U189" s="14">
        <v>7.4948119999999996</v>
      </c>
      <c r="V189" s="14">
        <v>88.326695000000001</v>
      </c>
      <c r="W189" s="14">
        <v>7.75</v>
      </c>
      <c r="X189" s="16">
        <v>40795</v>
      </c>
      <c r="Y189" s="14">
        <v>2</v>
      </c>
      <c r="Z189" s="14" t="s">
        <v>631</v>
      </c>
      <c r="AA189" s="14" t="s">
        <v>600</v>
      </c>
      <c r="AB189" s="14">
        <v>-0.19974600000000001</v>
      </c>
      <c r="AC189" s="14">
        <v>1.4986330000000001</v>
      </c>
      <c r="AD189" s="14">
        <v>8.8226080000000007</v>
      </c>
      <c r="AE189" s="14">
        <v>13.188435999999999</v>
      </c>
      <c r="AF189" s="14">
        <v>-0.46180599999999999</v>
      </c>
      <c r="AG189" s="14">
        <v>0.85488699999999995</v>
      </c>
      <c r="AH189" s="14">
        <v>-5.9353100000000003</v>
      </c>
      <c r="AI189" s="14">
        <v>9.8139079999999996</v>
      </c>
      <c r="AJ189" s="14">
        <v>100</v>
      </c>
      <c r="AK189" s="14" t="s">
        <v>39</v>
      </c>
      <c r="AL189" s="14" t="s">
        <v>601</v>
      </c>
      <c r="AM189" s="14">
        <v>0.494315</v>
      </c>
      <c r="AN189" s="14">
        <v>0.494315</v>
      </c>
      <c r="AO189" s="14"/>
    </row>
    <row r="190" spans="1:41" x14ac:dyDescent="0.2">
      <c r="A190" s="14" t="s">
        <v>633</v>
      </c>
      <c r="B190" s="14" t="s">
        <v>634</v>
      </c>
      <c r="C190" s="14" t="s">
        <v>635</v>
      </c>
      <c r="D190" s="14" t="s">
        <v>37</v>
      </c>
      <c r="E190" s="16">
        <v>49271</v>
      </c>
      <c r="F190" s="14" t="s">
        <v>795</v>
      </c>
      <c r="G190" s="14">
        <v>101.96941</v>
      </c>
      <c r="H190" s="14">
        <v>3.0138889999999998</v>
      </c>
      <c r="I190" s="14">
        <v>119.71038799999999</v>
      </c>
      <c r="J190" s="14">
        <v>2.0555E-2</v>
      </c>
      <c r="K190" s="14">
        <v>0.1203</v>
      </c>
      <c r="L190" s="14">
        <v>6.2010779999999999</v>
      </c>
      <c r="M190" s="14">
        <v>3.940509</v>
      </c>
      <c r="N190" s="14">
        <v>54138.750134000002</v>
      </c>
      <c r="O190" s="14">
        <v>56836.645866999999</v>
      </c>
      <c r="P190" s="14">
        <v>3159.6539889999999</v>
      </c>
      <c r="Q190" s="14">
        <v>2552.8431679999999</v>
      </c>
      <c r="R190" s="14">
        <v>0.33871099999999998</v>
      </c>
      <c r="S190" s="14">
        <v>9.407788</v>
      </c>
      <c r="T190" s="14">
        <v>9.0660039999999995</v>
      </c>
      <c r="U190" s="14">
        <v>7.5399089999999998</v>
      </c>
      <c r="V190" s="14">
        <v>120.109506</v>
      </c>
      <c r="W190" s="14">
        <v>7.75</v>
      </c>
      <c r="X190" s="16">
        <v>41740</v>
      </c>
      <c r="Y190" s="14">
        <v>2</v>
      </c>
      <c r="Z190" s="14" t="s">
        <v>634</v>
      </c>
      <c r="AA190" s="14" t="s">
        <v>600</v>
      </c>
      <c r="AB190" s="14">
        <v>-0.19963400000000001</v>
      </c>
      <c r="AC190" s="14">
        <v>1.5966480000000001</v>
      </c>
      <c r="AD190" s="14">
        <v>9.0910440000000001</v>
      </c>
      <c r="AE190" s="14">
        <v>13.054245</v>
      </c>
      <c r="AF190" s="14">
        <v>-0.46169300000000002</v>
      </c>
      <c r="AG190" s="14">
        <v>0.95228000000000002</v>
      </c>
      <c r="AH190" s="14">
        <v>-5.7032780000000001</v>
      </c>
      <c r="AI190" s="14">
        <v>9.6837180000000007</v>
      </c>
      <c r="AJ190" s="14">
        <v>100</v>
      </c>
      <c r="AK190" s="14" t="s">
        <v>39</v>
      </c>
      <c r="AL190" s="14" t="s">
        <v>601</v>
      </c>
      <c r="AM190" s="14">
        <v>0.33871099999999998</v>
      </c>
      <c r="AN190" s="14">
        <v>0.33871099999999998</v>
      </c>
      <c r="AO190" s="14"/>
    </row>
    <row r="191" spans="1:41" x14ac:dyDescent="0.2">
      <c r="A191" s="14" t="s">
        <v>636</v>
      </c>
      <c r="B191" s="14" t="s">
        <v>637</v>
      </c>
      <c r="C191" s="14" t="s">
        <v>638</v>
      </c>
      <c r="D191" s="14" t="s">
        <v>37</v>
      </c>
      <c r="E191" s="16">
        <v>49999</v>
      </c>
      <c r="F191" s="14" t="s">
        <v>795</v>
      </c>
      <c r="G191" s="14">
        <v>124.29046</v>
      </c>
      <c r="H191" s="14">
        <v>3.8888889999999998</v>
      </c>
      <c r="I191" s="14">
        <v>249.59125900000001</v>
      </c>
      <c r="J191" s="14">
        <v>2.061E-2</v>
      </c>
      <c r="K191" s="14">
        <v>0.39813999999999999</v>
      </c>
      <c r="L191" s="14">
        <v>6.7648450000000002</v>
      </c>
      <c r="M191" s="14">
        <v>3.9898090000000002</v>
      </c>
      <c r="N191" s="14">
        <v>52588.757637000002</v>
      </c>
      <c r="O191" s="14">
        <v>67407.927127000003</v>
      </c>
      <c r="P191" s="14">
        <v>3747.3310150000002</v>
      </c>
      <c r="Q191" s="14">
        <v>3027.6569559999998</v>
      </c>
      <c r="R191" s="14">
        <v>0.40170899999999998</v>
      </c>
      <c r="S191" s="14">
        <v>9.4328479999999999</v>
      </c>
      <c r="T191" s="14">
        <v>9.0893309999999996</v>
      </c>
      <c r="U191" s="14">
        <v>7.5586849999999997</v>
      </c>
      <c r="V191" s="14">
        <v>126.48816600000001</v>
      </c>
      <c r="W191" s="14">
        <v>10</v>
      </c>
      <c r="X191" s="16">
        <v>39016</v>
      </c>
      <c r="Y191" s="14">
        <v>2</v>
      </c>
      <c r="Z191" s="14" t="s">
        <v>637</v>
      </c>
      <c r="AA191" s="14" t="s">
        <v>600</v>
      </c>
      <c r="AB191" s="14">
        <v>-0.19957900000000001</v>
      </c>
      <c r="AC191" s="14">
        <v>1.878584</v>
      </c>
      <c r="AD191" s="14">
        <v>9.6701519999999999</v>
      </c>
      <c r="AE191" s="14">
        <v>13.107869000000001</v>
      </c>
      <c r="AF191" s="14">
        <v>-0.46163900000000002</v>
      </c>
      <c r="AG191" s="14">
        <v>1.232429</v>
      </c>
      <c r="AH191" s="14">
        <v>-5.2027049999999999</v>
      </c>
      <c r="AI191" s="14">
        <v>9.7357429999999994</v>
      </c>
      <c r="AJ191" s="14">
        <v>100</v>
      </c>
      <c r="AK191" s="14" t="s">
        <v>39</v>
      </c>
      <c r="AL191" s="14" t="s">
        <v>601</v>
      </c>
      <c r="AM191" s="14">
        <v>0.40170899999999998</v>
      </c>
      <c r="AN191" s="14">
        <v>0.40170899999999998</v>
      </c>
      <c r="AO191" s="14"/>
    </row>
    <row r="192" spans="1:41" x14ac:dyDescent="0.2">
      <c r="A192" s="14" t="s">
        <v>639</v>
      </c>
      <c r="B192" s="14" t="s">
        <v>640</v>
      </c>
      <c r="C192" s="14" t="s">
        <v>641</v>
      </c>
      <c r="D192" s="14" t="s">
        <v>37</v>
      </c>
      <c r="E192" s="16">
        <v>50727</v>
      </c>
      <c r="F192" s="14" t="s">
        <v>795</v>
      </c>
      <c r="G192" s="14">
        <v>109.54242000000001</v>
      </c>
      <c r="H192" s="14">
        <v>3.3055560000000002</v>
      </c>
      <c r="I192" s="14">
        <v>163.268968</v>
      </c>
      <c r="J192" s="14">
        <v>-5.8604999999999997E-2</v>
      </c>
      <c r="K192" s="14">
        <v>0.59277500000000005</v>
      </c>
      <c r="L192" s="14">
        <v>6.6478970000000004</v>
      </c>
      <c r="M192" s="14">
        <v>4.2049019999999997</v>
      </c>
      <c r="N192" s="14">
        <v>63153.967438</v>
      </c>
      <c r="O192" s="14">
        <v>71267.973736999993</v>
      </c>
      <c r="P192" s="14">
        <v>3961.918126</v>
      </c>
      <c r="Q192" s="14">
        <v>3201.0326620000001</v>
      </c>
      <c r="R192" s="14">
        <v>0.42471199999999998</v>
      </c>
      <c r="S192" s="14">
        <v>10.193571</v>
      </c>
      <c r="T192" s="14">
        <v>9.8213150000000002</v>
      </c>
      <c r="U192" s="14">
        <v>7.5805790000000002</v>
      </c>
      <c r="V192" s="14">
        <v>149.542315</v>
      </c>
      <c r="W192" s="14">
        <v>8.5</v>
      </c>
      <c r="X192" s="16">
        <v>39842</v>
      </c>
      <c r="Y192" s="14">
        <v>2</v>
      </c>
      <c r="Z192" s="14" t="s">
        <v>640</v>
      </c>
      <c r="AA192" s="14" t="s">
        <v>600</v>
      </c>
      <c r="AB192" s="14">
        <v>-0.27861999999999998</v>
      </c>
      <c r="AC192" s="14">
        <v>2.0760900000000002</v>
      </c>
      <c r="AD192" s="14">
        <v>9.5500220000000002</v>
      </c>
      <c r="AE192" s="14">
        <v>13.341820999999999</v>
      </c>
      <c r="AF192" s="14">
        <v>-0.54047199999999995</v>
      </c>
      <c r="AG192" s="14">
        <v>1.4286810000000001</v>
      </c>
      <c r="AH192" s="14">
        <v>-5.3065439999999997</v>
      </c>
      <c r="AI192" s="14">
        <v>9.9627199999999991</v>
      </c>
      <c r="AJ192" s="14">
        <v>100</v>
      </c>
      <c r="AK192" s="14" t="s">
        <v>39</v>
      </c>
      <c r="AL192" s="14" t="s">
        <v>601</v>
      </c>
      <c r="AM192" s="14">
        <v>0.42471199999999998</v>
      </c>
      <c r="AN192" s="14">
        <v>0.42471199999999998</v>
      </c>
      <c r="AO192" s="14"/>
    </row>
    <row r="193" spans="1:41" x14ac:dyDescent="0.2">
      <c r="A193" s="14" t="s">
        <v>642</v>
      </c>
      <c r="B193" s="14" t="s">
        <v>643</v>
      </c>
      <c r="C193" s="14" t="s">
        <v>644</v>
      </c>
      <c r="D193" s="14" t="s">
        <v>37</v>
      </c>
      <c r="E193" s="16">
        <v>52183</v>
      </c>
      <c r="F193" s="14" t="s">
        <v>795</v>
      </c>
      <c r="G193" s="14">
        <v>101.64078000000001</v>
      </c>
      <c r="H193" s="14">
        <v>3.0138889999999998</v>
      </c>
      <c r="I193" s="14">
        <v>130.39040800000001</v>
      </c>
      <c r="J193" s="14">
        <v>-0.108679</v>
      </c>
      <c r="K193" s="14">
        <v>0.397592</v>
      </c>
      <c r="L193" s="14">
        <v>6.4461259999999996</v>
      </c>
      <c r="M193" s="14">
        <v>4.1400600000000001</v>
      </c>
      <c r="N193" s="14">
        <v>116526.93536</v>
      </c>
      <c r="O193" s="14">
        <v>121950.878367</v>
      </c>
      <c r="P193" s="14">
        <v>6779.4742880000003</v>
      </c>
      <c r="Q193" s="14">
        <v>5477.4778120000001</v>
      </c>
      <c r="R193" s="14">
        <v>0.72675100000000004</v>
      </c>
      <c r="S193" s="14">
        <v>11.111981999999999</v>
      </c>
      <c r="T193" s="14">
        <v>10.705135</v>
      </c>
      <c r="U193" s="14">
        <v>7.6009659999999997</v>
      </c>
      <c r="V193" s="14">
        <v>184.88317000000001</v>
      </c>
      <c r="W193" s="14">
        <v>7.75</v>
      </c>
      <c r="X193" s="16">
        <v>41019</v>
      </c>
      <c r="Y193" s="14">
        <v>2</v>
      </c>
      <c r="Z193" s="14" t="s">
        <v>643</v>
      </c>
      <c r="AA193" s="14" t="s">
        <v>600</v>
      </c>
      <c r="AB193" s="14">
        <v>-0.32858399999999999</v>
      </c>
      <c r="AC193" s="14">
        <v>1.878028</v>
      </c>
      <c r="AD193" s="14">
        <v>9.3427600000000002</v>
      </c>
      <c r="AE193" s="14">
        <v>13.271293</v>
      </c>
      <c r="AF193" s="14">
        <v>-0.59030499999999997</v>
      </c>
      <c r="AG193" s="14">
        <v>1.231876</v>
      </c>
      <c r="AH193" s="14">
        <v>-5.4856980000000002</v>
      </c>
      <c r="AI193" s="14">
        <v>9.8942949999999996</v>
      </c>
      <c r="AJ193" s="14">
        <v>100</v>
      </c>
      <c r="AK193" s="14" t="s">
        <v>39</v>
      </c>
      <c r="AL193" s="14" t="s">
        <v>601</v>
      </c>
      <c r="AM193" s="14">
        <v>0.72675100000000004</v>
      </c>
      <c r="AN193" s="14">
        <v>0.72675100000000004</v>
      </c>
      <c r="AO193" s="14"/>
    </row>
    <row r="194" spans="1:41" x14ac:dyDescent="0.2">
      <c r="A194" s="14" t="s">
        <v>645</v>
      </c>
      <c r="B194" s="14" t="s">
        <v>646</v>
      </c>
      <c r="C194" s="14" t="s">
        <v>647</v>
      </c>
      <c r="D194" s="14" t="s">
        <v>37</v>
      </c>
      <c r="E194" s="16">
        <v>54003</v>
      </c>
      <c r="F194" s="14" t="s">
        <v>795</v>
      </c>
      <c r="G194" s="14">
        <v>104.34533500000001</v>
      </c>
      <c r="H194" s="14">
        <v>3.1111110000000002</v>
      </c>
      <c r="I194" s="14">
        <v>108.06172100000001</v>
      </c>
      <c r="J194" s="14">
        <v>-9.2551999999999995E-2</v>
      </c>
      <c r="K194" s="14">
        <v>0.32131500000000002</v>
      </c>
      <c r="L194" s="14">
        <v>8.0617210000000004</v>
      </c>
      <c r="M194" s="14">
        <v>4.0503140000000002</v>
      </c>
      <c r="N194" s="14">
        <v>45353.285442</v>
      </c>
      <c r="O194" s="14">
        <v>48735.028730999999</v>
      </c>
      <c r="P194" s="14">
        <v>2709.2701480000001</v>
      </c>
      <c r="Q194" s="14">
        <v>2188.9554400000002</v>
      </c>
      <c r="R194" s="14">
        <v>0.29043000000000002</v>
      </c>
      <c r="S194" s="14">
        <v>11.691363000000001</v>
      </c>
      <c r="T194" s="14">
        <v>11.261841</v>
      </c>
      <c r="U194" s="14">
        <v>7.6279120000000002</v>
      </c>
      <c r="V194" s="14">
        <v>215.31985800000001</v>
      </c>
      <c r="W194" s="14">
        <v>8</v>
      </c>
      <c r="X194" s="16">
        <v>42804</v>
      </c>
      <c r="Y194" s="14">
        <v>2</v>
      </c>
      <c r="Z194" s="14" t="s">
        <v>646</v>
      </c>
      <c r="AA194" s="14" t="s">
        <v>600</v>
      </c>
      <c r="AB194" s="14">
        <v>-0.31249199999999999</v>
      </c>
      <c r="AC194" s="14">
        <v>1.800627</v>
      </c>
      <c r="AD194" s="14">
        <v>11.002319</v>
      </c>
      <c r="AE194" s="14">
        <v>13.173679</v>
      </c>
      <c r="AF194" s="14">
        <v>-0.57425499999999996</v>
      </c>
      <c r="AG194" s="14">
        <v>1.1549659999999999</v>
      </c>
      <c r="AH194" s="14">
        <v>-4.0511990000000004</v>
      </c>
      <c r="AI194" s="14">
        <v>9.7995909999999995</v>
      </c>
      <c r="AJ194" s="14">
        <v>100</v>
      </c>
      <c r="AK194" s="14" t="s">
        <v>39</v>
      </c>
      <c r="AL194" s="14" t="s">
        <v>601</v>
      </c>
      <c r="AM194" s="14">
        <v>0.29043000000000002</v>
      </c>
      <c r="AN194" s="14">
        <v>0.29043000000000002</v>
      </c>
      <c r="AO194" s="14"/>
    </row>
    <row r="195" spans="1:41" x14ac:dyDescent="0.2">
      <c r="A195" s="14" t="s">
        <v>648</v>
      </c>
      <c r="B195" s="14" t="s">
        <v>649</v>
      </c>
      <c r="C195" s="14" t="s">
        <v>650</v>
      </c>
      <c r="D195" s="14" t="s">
        <v>37</v>
      </c>
      <c r="E195" s="16">
        <v>44055</v>
      </c>
      <c r="F195" s="14" t="s">
        <v>791</v>
      </c>
      <c r="G195" s="14">
        <v>111.3192</v>
      </c>
      <c r="H195" s="14">
        <v>1.7422219999999999</v>
      </c>
      <c r="I195" s="14">
        <v>224.13972799999999</v>
      </c>
      <c r="J195" s="14">
        <v>-2.6568999999999999E-2</v>
      </c>
      <c r="K195" s="14">
        <v>7.2604000000000002E-2</v>
      </c>
      <c r="L195" s="14">
        <v>7.9747399999999997</v>
      </c>
      <c r="M195" s="14">
        <v>1.868951</v>
      </c>
      <c r="N195" s="14">
        <v>4401</v>
      </c>
      <c r="O195" s="14">
        <v>4975.8331920000001</v>
      </c>
      <c r="P195" s="14">
        <v>1548.367311</v>
      </c>
      <c r="Q195" s="14">
        <v>1251.0037259999999</v>
      </c>
      <c r="R195" s="14">
        <v>0.16598299999999999</v>
      </c>
      <c r="S195" s="14">
        <v>2.1061540000000001</v>
      </c>
      <c r="T195" s="14">
        <v>2.0781550000000002</v>
      </c>
      <c r="U195" s="14">
        <v>2.6946400000000001</v>
      </c>
      <c r="V195" s="14">
        <v>5.5660629999999998</v>
      </c>
      <c r="W195" s="14">
        <v>7.84</v>
      </c>
      <c r="X195" s="16">
        <v>38551</v>
      </c>
      <c r="Y195" s="14">
        <v>2</v>
      </c>
      <c r="Z195" s="14" t="s">
        <v>649</v>
      </c>
      <c r="AA195" s="14" t="s">
        <v>651</v>
      </c>
      <c r="AB195" s="14">
        <v>0.149199</v>
      </c>
      <c r="AC195" s="14">
        <v>0.48832799999999998</v>
      </c>
      <c r="AD195" s="14">
        <v>9.2817530000000001</v>
      </c>
      <c r="AE195" s="14">
        <v>2.7216629999999999</v>
      </c>
      <c r="AF195" s="14">
        <v>-0.113776</v>
      </c>
      <c r="AG195" s="14">
        <v>-0.14901</v>
      </c>
      <c r="AH195" s="14">
        <v>-5.5384310000000001</v>
      </c>
      <c r="AI195" s="14">
        <v>-0.34081499999999998</v>
      </c>
      <c r="AJ195" s="14">
        <v>100</v>
      </c>
      <c r="AK195" s="14" t="s">
        <v>39</v>
      </c>
      <c r="AL195" s="14" t="s">
        <v>652</v>
      </c>
      <c r="AM195" s="14">
        <v>0.16598299999999999</v>
      </c>
      <c r="AN195" s="14">
        <v>0.16598299999999999</v>
      </c>
      <c r="AO195" s="14"/>
    </row>
    <row r="196" spans="1:41" x14ac:dyDescent="0.2">
      <c r="A196" s="14" t="s">
        <v>653</v>
      </c>
      <c r="B196" s="14" t="s">
        <v>654</v>
      </c>
      <c r="C196" s="14" t="s">
        <v>655</v>
      </c>
      <c r="D196" s="14" t="s">
        <v>37</v>
      </c>
      <c r="E196" s="16">
        <v>45516</v>
      </c>
      <c r="F196" s="14" t="s">
        <v>793</v>
      </c>
      <c r="G196" s="14">
        <v>107.7594</v>
      </c>
      <c r="H196" s="14">
        <v>1.266667</v>
      </c>
      <c r="I196" s="14">
        <v>128.72412800000001</v>
      </c>
      <c r="J196" s="14">
        <v>-7.2789000000000006E-2</v>
      </c>
      <c r="K196" s="14">
        <v>-0.91327100000000005</v>
      </c>
      <c r="L196" s="14">
        <v>10.794119999999999</v>
      </c>
      <c r="M196" s="14">
        <v>1.2792969999999999</v>
      </c>
      <c r="N196" s="14">
        <v>10071</v>
      </c>
      <c r="O196" s="14">
        <v>10980.015174</v>
      </c>
      <c r="P196" s="14">
        <v>3416.733624</v>
      </c>
      <c r="Q196" s="14">
        <v>2760.550718</v>
      </c>
      <c r="R196" s="14">
        <v>0.36626900000000001</v>
      </c>
      <c r="S196" s="14">
        <v>5.3428789999999999</v>
      </c>
      <c r="T196" s="14">
        <v>5.2310499999999998</v>
      </c>
      <c r="U196" s="14">
        <v>4.275563</v>
      </c>
      <c r="V196" s="14">
        <v>32.896590000000003</v>
      </c>
      <c r="W196" s="14">
        <v>5.7</v>
      </c>
      <c r="X196" s="16">
        <v>41950</v>
      </c>
      <c r="Y196" s="14">
        <v>2</v>
      </c>
      <c r="Z196" s="14" t="s">
        <v>654</v>
      </c>
      <c r="AA196" s="14" t="s">
        <v>651</v>
      </c>
      <c r="AB196" s="14">
        <v>0.102898</v>
      </c>
      <c r="AC196" s="14">
        <v>-0.50164299999999995</v>
      </c>
      <c r="AD196" s="14">
        <v>12.135261</v>
      </c>
      <c r="AE196" s="14">
        <v>2.1270730000000002</v>
      </c>
      <c r="AF196" s="14">
        <v>-0.15995599999999999</v>
      </c>
      <c r="AG196" s="14">
        <v>-1.1327020000000001</v>
      </c>
      <c r="AH196" s="14">
        <v>-3.0718999999999999</v>
      </c>
      <c r="AI196" s="14">
        <v>-0.91767799999999999</v>
      </c>
      <c r="AJ196" s="14">
        <v>100</v>
      </c>
      <c r="AK196" s="14" t="s">
        <v>39</v>
      </c>
      <c r="AL196" s="14" t="s">
        <v>652</v>
      </c>
      <c r="AM196" s="14">
        <v>0.36626900000000001</v>
      </c>
      <c r="AN196" s="14">
        <v>0.36626900000000001</v>
      </c>
      <c r="AO196" s="14"/>
    </row>
    <row r="197" spans="1:41" x14ac:dyDescent="0.2">
      <c r="A197" s="14" t="s">
        <v>656</v>
      </c>
      <c r="B197" s="14" t="s">
        <v>657</v>
      </c>
      <c r="C197" s="14" t="s">
        <v>658</v>
      </c>
      <c r="D197" s="14" t="s">
        <v>37</v>
      </c>
      <c r="E197" s="16">
        <v>46246</v>
      </c>
      <c r="F197" s="14" t="s">
        <v>794</v>
      </c>
      <c r="G197" s="14">
        <v>122.9218</v>
      </c>
      <c r="H197" s="14">
        <v>1.822222</v>
      </c>
      <c r="I197" s="14">
        <v>246.092051</v>
      </c>
      <c r="J197" s="14">
        <v>-0.18177099999999999</v>
      </c>
      <c r="K197" s="14">
        <v>-1.6048119999999999</v>
      </c>
      <c r="L197" s="14">
        <v>11.367286999999999</v>
      </c>
      <c r="M197" s="14">
        <v>1.677433</v>
      </c>
      <c r="N197" s="14">
        <v>11309.999</v>
      </c>
      <c r="O197" s="14">
        <v>14108.547666</v>
      </c>
      <c r="P197" s="14">
        <v>4390.26253</v>
      </c>
      <c r="Q197" s="14">
        <v>3547.1136219999999</v>
      </c>
      <c r="R197" s="14">
        <v>0.47062999999999999</v>
      </c>
      <c r="S197" s="14">
        <v>6.3099819999999998</v>
      </c>
      <c r="T197" s="14">
        <v>6.1618170000000001</v>
      </c>
      <c r="U197" s="14">
        <v>4.8091390000000001</v>
      </c>
      <c r="V197" s="14">
        <v>47.927129999999998</v>
      </c>
      <c r="W197" s="14">
        <v>8.1999999999999993</v>
      </c>
      <c r="X197" s="16">
        <v>38840</v>
      </c>
      <c r="Y197" s="14">
        <v>2</v>
      </c>
      <c r="Z197" s="14" t="s">
        <v>657</v>
      </c>
      <c r="AA197" s="14" t="s">
        <v>651</v>
      </c>
      <c r="AB197" s="14">
        <v>-6.2750000000000002E-3</v>
      </c>
      <c r="AC197" s="14">
        <v>-1.196056</v>
      </c>
      <c r="AD197" s="14">
        <v>12.715366</v>
      </c>
      <c r="AE197" s="14">
        <v>2.5285419999999998</v>
      </c>
      <c r="AF197" s="14">
        <v>-0.268843</v>
      </c>
      <c r="AG197" s="14">
        <v>-1.822711</v>
      </c>
      <c r="AH197" s="14">
        <v>-2.5704660000000001</v>
      </c>
      <c r="AI197" s="14">
        <v>-0.52817899999999995</v>
      </c>
      <c r="AJ197" s="14">
        <v>100</v>
      </c>
      <c r="AK197" s="14" t="s">
        <v>39</v>
      </c>
      <c r="AL197" s="14" t="s">
        <v>652</v>
      </c>
      <c r="AM197" s="14">
        <v>0.47062999999999999</v>
      </c>
      <c r="AN197" s="14">
        <v>0.47062999999999999</v>
      </c>
      <c r="AO197" s="14"/>
    </row>
    <row r="198" spans="1:41" x14ac:dyDescent="0.2">
      <c r="A198" s="14" t="s">
        <v>659</v>
      </c>
      <c r="B198" s="14" t="s">
        <v>660</v>
      </c>
      <c r="C198" s="14" t="s">
        <v>661</v>
      </c>
      <c r="D198" s="14" t="s">
        <v>37</v>
      </c>
      <c r="E198" s="16">
        <v>46977</v>
      </c>
      <c r="F198" s="14" t="s">
        <v>795</v>
      </c>
      <c r="G198" s="14">
        <v>109.7868</v>
      </c>
      <c r="H198" s="14">
        <v>1.411111</v>
      </c>
      <c r="I198" s="14">
        <v>115.498952</v>
      </c>
      <c r="J198" s="14">
        <v>-0.21573100000000001</v>
      </c>
      <c r="K198" s="14">
        <v>-2.1317840000000001</v>
      </c>
      <c r="L198" s="14">
        <v>11.690666</v>
      </c>
      <c r="M198" s="14">
        <v>1.8281849999999999</v>
      </c>
      <c r="N198" s="14">
        <v>13341</v>
      </c>
      <c r="O198" s="14">
        <v>14834.913321</v>
      </c>
      <c r="P198" s="14">
        <v>4616.2911750000003</v>
      </c>
      <c r="Q198" s="14">
        <v>3729.733518</v>
      </c>
      <c r="R198" s="14">
        <v>0.49486000000000002</v>
      </c>
      <c r="S198" s="14">
        <v>7.7400180000000001</v>
      </c>
      <c r="T198" s="14">
        <v>7.5471300000000001</v>
      </c>
      <c r="U198" s="14">
        <v>5.1115550000000001</v>
      </c>
      <c r="V198" s="14">
        <v>71.677966999999995</v>
      </c>
      <c r="W198" s="14">
        <v>6.35</v>
      </c>
      <c r="X198" s="16">
        <v>42650</v>
      </c>
      <c r="Y198" s="14">
        <v>2</v>
      </c>
      <c r="Z198" s="14" t="s">
        <v>660</v>
      </c>
      <c r="AA198" s="14" t="s">
        <v>651</v>
      </c>
      <c r="AB198" s="14">
        <v>-4.0294999999999997E-2</v>
      </c>
      <c r="AC198" s="14">
        <v>-1.7252179999999999</v>
      </c>
      <c r="AD198" s="14">
        <v>13.04266</v>
      </c>
      <c r="AE198" s="14">
        <v>2.6805560000000002</v>
      </c>
      <c r="AF198" s="14">
        <v>-0.30277300000000001</v>
      </c>
      <c r="AG198" s="14">
        <v>-2.3485170000000002</v>
      </c>
      <c r="AH198" s="14">
        <v>-2.2875580000000002</v>
      </c>
      <c r="AI198" s="14">
        <v>-0.38069700000000001</v>
      </c>
      <c r="AJ198" s="14">
        <v>100</v>
      </c>
      <c r="AK198" s="14" t="s">
        <v>39</v>
      </c>
      <c r="AL198" s="14" t="s">
        <v>652</v>
      </c>
      <c r="AM198" s="14">
        <v>0.49486000000000002</v>
      </c>
      <c r="AN198" s="14">
        <v>0.49486000000000002</v>
      </c>
      <c r="AO198" s="14"/>
    </row>
    <row r="199" spans="1:41" x14ac:dyDescent="0.2">
      <c r="A199" s="14" t="s">
        <v>662</v>
      </c>
      <c r="B199" s="14" t="s">
        <v>663</v>
      </c>
      <c r="C199" s="14" t="s">
        <v>664</v>
      </c>
      <c r="D199" s="14" t="s">
        <v>37</v>
      </c>
      <c r="E199" s="16">
        <v>48072</v>
      </c>
      <c r="F199" s="14" t="s">
        <v>795</v>
      </c>
      <c r="G199" s="14">
        <v>114.4986</v>
      </c>
      <c r="H199" s="14">
        <v>1.5444439999999999</v>
      </c>
      <c r="I199" s="14">
        <v>192.392605</v>
      </c>
      <c r="J199" s="14">
        <v>-0.34052199999999999</v>
      </c>
      <c r="K199" s="14">
        <v>-2.4476990000000001</v>
      </c>
      <c r="L199" s="14">
        <v>12.613742</v>
      </c>
      <c r="M199" s="14">
        <v>1.969597</v>
      </c>
      <c r="N199" s="14">
        <v>12724</v>
      </c>
      <c r="O199" s="14">
        <v>14765.316975</v>
      </c>
      <c r="P199" s="14">
        <v>4594.6343589999997</v>
      </c>
      <c r="Q199" s="14">
        <v>3712.2358880000002</v>
      </c>
      <c r="R199" s="14">
        <v>0.492539</v>
      </c>
      <c r="S199" s="14">
        <v>9.0758899999999993</v>
      </c>
      <c r="T199" s="14">
        <v>8.837135</v>
      </c>
      <c r="U199" s="14">
        <v>5.4034519999999997</v>
      </c>
      <c r="V199" s="14">
        <v>102.80157800000001</v>
      </c>
      <c r="W199" s="14">
        <v>6.95</v>
      </c>
      <c r="X199" s="16">
        <v>39562</v>
      </c>
      <c r="Y199" s="14">
        <v>2</v>
      </c>
      <c r="Z199" s="14" t="s">
        <v>663</v>
      </c>
      <c r="AA199" s="14" t="s">
        <v>651</v>
      </c>
      <c r="AB199" s="14">
        <v>-0.16530500000000001</v>
      </c>
      <c r="AC199" s="14">
        <v>-2.0424449999999998</v>
      </c>
      <c r="AD199" s="14">
        <v>13.97691</v>
      </c>
      <c r="AE199" s="14">
        <v>2.8231510000000002</v>
      </c>
      <c r="AF199" s="14">
        <v>-0.42745499999999997</v>
      </c>
      <c r="AG199" s="14">
        <v>-2.663732</v>
      </c>
      <c r="AH199" s="14">
        <v>-1.4800059999999999</v>
      </c>
      <c r="AI199" s="14">
        <v>-0.24235200000000001</v>
      </c>
      <c r="AJ199" s="14">
        <v>100</v>
      </c>
      <c r="AK199" s="14" t="s">
        <v>39</v>
      </c>
      <c r="AL199" s="14" t="s">
        <v>652</v>
      </c>
      <c r="AM199" s="14">
        <v>0.492539</v>
      </c>
      <c r="AN199" s="14">
        <v>0.492539</v>
      </c>
      <c r="AO199" s="14"/>
    </row>
    <row r="200" spans="1:41" x14ac:dyDescent="0.2">
      <c r="A200" s="14" t="s">
        <v>665</v>
      </c>
      <c r="B200" s="14" t="s">
        <v>666</v>
      </c>
      <c r="C200" s="14" t="s">
        <v>667</v>
      </c>
      <c r="D200" s="14" t="s">
        <v>37</v>
      </c>
      <c r="E200" s="16">
        <v>48438</v>
      </c>
      <c r="F200" s="14" t="s">
        <v>795</v>
      </c>
      <c r="G200" s="14">
        <v>106.5611</v>
      </c>
      <c r="H200" s="14">
        <v>1.3666670000000001</v>
      </c>
      <c r="I200" s="14">
        <v>107.93929799999999</v>
      </c>
      <c r="J200" s="14">
        <v>-3.5052E-2</v>
      </c>
      <c r="K200" s="14">
        <v>-2.7271830000000001</v>
      </c>
      <c r="L200" s="14"/>
      <c r="M200" s="14">
        <v>1.8848240000000001</v>
      </c>
      <c r="N200" s="14">
        <v>10300</v>
      </c>
      <c r="O200" s="14">
        <v>11116.559966999999</v>
      </c>
      <c r="P200" s="14">
        <v>3459.2232909999998</v>
      </c>
      <c r="Q200" s="14">
        <v>2794.8802540000001</v>
      </c>
      <c r="R200" s="14">
        <v>0.37082399999999999</v>
      </c>
      <c r="S200" s="14">
        <v>9.7402850000000001</v>
      </c>
      <c r="T200" s="14">
        <v>9.4805580000000003</v>
      </c>
      <c r="U200" s="14">
        <v>5.4791350000000003</v>
      </c>
      <c r="V200" s="14">
        <v>118.28794600000001</v>
      </c>
      <c r="W200" s="14">
        <v>6.15</v>
      </c>
      <c r="X200" s="16">
        <v>42937</v>
      </c>
      <c r="Y200" s="14">
        <v>2</v>
      </c>
      <c r="Z200" s="14" t="s">
        <v>666</v>
      </c>
      <c r="AA200" s="14" t="s">
        <v>651</v>
      </c>
      <c r="AB200" s="14">
        <v>0.14070099999999999</v>
      </c>
      <c r="AC200" s="14">
        <v>-2.3230900000000001</v>
      </c>
      <c r="AD200" s="14"/>
      <c r="AE200" s="14">
        <v>2.7376689999999999</v>
      </c>
      <c r="AF200" s="14">
        <v>-0.122252</v>
      </c>
      <c r="AG200" s="14">
        <v>-2.9425970000000001</v>
      </c>
      <c r="AH200" s="14"/>
      <c r="AI200" s="14">
        <v>-0.32528699999999999</v>
      </c>
      <c r="AJ200" s="14">
        <v>100</v>
      </c>
      <c r="AK200" s="14" t="s">
        <v>39</v>
      </c>
      <c r="AL200" s="14" t="s">
        <v>652</v>
      </c>
      <c r="AM200" s="14">
        <v>0.37082399999999999</v>
      </c>
      <c r="AN200" s="14">
        <v>0.37082399999999999</v>
      </c>
      <c r="AO200" s="14"/>
    </row>
    <row r="201" spans="1:41" x14ac:dyDescent="0.2">
      <c r="A201" s="14" t="s">
        <v>668</v>
      </c>
      <c r="B201" s="14" t="s">
        <v>669</v>
      </c>
      <c r="C201" s="14" t="s">
        <v>670</v>
      </c>
      <c r="D201" s="14" t="s">
        <v>37</v>
      </c>
      <c r="E201" s="16">
        <v>50264</v>
      </c>
      <c r="F201" s="14" t="s">
        <v>795</v>
      </c>
      <c r="G201" s="14">
        <v>112.8836</v>
      </c>
      <c r="H201" s="14">
        <v>1.5333330000000001</v>
      </c>
      <c r="I201" s="14">
        <v>225.870349</v>
      </c>
      <c r="J201" s="14">
        <v>-0.150807</v>
      </c>
      <c r="K201" s="14">
        <v>-2.3421129999999999</v>
      </c>
      <c r="L201" s="14">
        <v>12.497795</v>
      </c>
      <c r="M201" s="14">
        <v>1.8611169999999999</v>
      </c>
      <c r="N201" s="14">
        <v>8754</v>
      </c>
      <c r="O201" s="14">
        <v>10016.058343999999</v>
      </c>
      <c r="P201" s="14">
        <v>3116.7719520000001</v>
      </c>
      <c r="Q201" s="14">
        <v>2518.1966160000002</v>
      </c>
      <c r="R201" s="14">
        <v>0.33411400000000002</v>
      </c>
      <c r="S201" s="14">
        <v>11.292985</v>
      </c>
      <c r="T201" s="14">
        <v>10.975757</v>
      </c>
      <c r="U201" s="14">
        <v>5.7805140000000002</v>
      </c>
      <c r="V201" s="14">
        <v>170.49854999999999</v>
      </c>
      <c r="W201" s="14">
        <v>6.9</v>
      </c>
      <c r="X201" s="16">
        <v>39289</v>
      </c>
      <c r="Y201" s="14">
        <v>2</v>
      </c>
      <c r="Z201" s="14" t="s">
        <v>669</v>
      </c>
      <c r="AA201" s="14" t="s">
        <v>651</v>
      </c>
      <c r="AB201" s="14">
        <v>2.4743000000000001E-2</v>
      </c>
      <c r="AC201" s="14">
        <v>-1.9364209999999999</v>
      </c>
      <c r="AD201" s="14">
        <v>13.859558</v>
      </c>
      <c r="AE201" s="14">
        <v>2.7137630000000001</v>
      </c>
      <c r="AF201" s="14">
        <v>-0.23790600000000001</v>
      </c>
      <c r="AG201" s="14">
        <v>-2.5583800000000001</v>
      </c>
      <c r="AH201" s="14">
        <v>-1.5814429999999999</v>
      </c>
      <c r="AI201" s="14">
        <v>-0.34848000000000001</v>
      </c>
      <c r="AJ201" s="14">
        <v>100</v>
      </c>
      <c r="AK201" s="14" t="s">
        <v>39</v>
      </c>
      <c r="AL201" s="14" t="s">
        <v>652</v>
      </c>
      <c r="AM201" s="14">
        <v>0.33411400000000002</v>
      </c>
      <c r="AN201" s="14">
        <v>0.33411400000000002</v>
      </c>
      <c r="AO201" s="14"/>
    </row>
    <row r="202" spans="1:41" x14ac:dyDescent="0.2">
      <c r="A202" s="14" t="s">
        <v>671</v>
      </c>
      <c r="B202" s="14" t="s">
        <v>672</v>
      </c>
      <c r="C202" s="14" t="s">
        <v>673</v>
      </c>
      <c r="D202" s="14" t="s">
        <v>37</v>
      </c>
      <c r="E202" s="16">
        <v>44732</v>
      </c>
      <c r="F202" s="14" t="s">
        <v>792</v>
      </c>
      <c r="G202" s="14">
        <v>103.375</v>
      </c>
      <c r="H202" s="14">
        <v>3.6482640000000002</v>
      </c>
      <c r="I202" s="14">
        <v>107.860297</v>
      </c>
      <c r="J202" s="14">
        <v>0.54846899999999998</v>
      </c>
      <c r="K202" s="14">
        <v>2.3698060000000001</v>
      </c>
      <c r="L202" s="14"/>
      <c r="M202" s="14">
        <v>0.81686599999999998</v>
      </c>
      <c r="N202" s="14">
        <v>35271.245999999999</v>
      </c>
      <c r="O202" s="14">
        <v>37748.438683</v>
      </c>
      <c r="P202" s="14">
        <v>1335.9914590000001</v>
      </c>
      <c r="Q202" s="14">
        <v>1079.4146069999999</v>
      </c>
      <c r="R202" s="14">
        <v>0.14321700000000001</v>
      </c>
      <c r="S202" s="14">
        <v>3.3878149999999998</v>
      </c>
      <c r="T202" s="14">
        <v>3.2440259999999999</v>
      </c>
      <c r="U202" s="14">
        <v>8.8648349999999994</v>
      </c>
      <c r="V202" s="14">
        <v>13.55655</v>
      </c>
      <c r="W202" s="14">
        <v>9.875</v>
      </c>
      <c r="X202" s="16">
        <v>42906</v>
      </c>
      <c r="Y202" s="14">
        <v>2</v>
      </c>
      <c r="Z202" s="14" t="s">
        <v>672</v>
      </c>
      <c r="AA202" s="14" t="s">
        <v>674</v>
      </c>
      <c r="AB202" s="14">
        <v>0.58405499999999999</v>
      </c>
      <c r="AC202" s="14">
        <v>2.6777660000000001</v>
      </c>
      <c r="AD202" s="14"/>
      <c r="AE202" s="14">
        <v>2.6544409999999998</v>
      </c>
      <c r="AF202" s="14">
        <v>0.319938</v>
      </c>
      <c r="AG202" s="14">
        <v>2.0265420000000001</v>
      </c>
      <c r="AH202" s="14"/>
      <c r="AI202" s="14">
        <v>-0.40603299999999998</v>
      </c>
      <c r="AJ202" s="14">
        <v>100</v>
      </c>
      <c r="AK202" s="14" t="s">
        <v>39</v>
      </c>
      <c r="AL202" s="14" t="s">
        <v>675</v>
      </c>
      <c r="AM202" s="14">
        <v>0.14321700000000001</v>
      </c>
      <c r="AN202" s="14">
        <v>0.14321700000000001</v>
      </c>
      <c r="AO202" s="14"/>
    </row>
    <row r="203" spans="1:41" x14ac:dyDescent="0.2">
      <c r="A203" s="14" t="s">
        <v>676</v>
      </c>
      <c r="B203" s="14" t="s">
        <v>677</v>
      </c>
      <c r="C203" s="14" t="s">
        <v>678</v>
      </c>
      <c r="D203" s="14" t="s">
        <v>37</v>
      </c>
      <c r="E203" s="16">
        <v>46827</v>
      </c>
      <c r="F203" s="14" t="s">
        <v>794</v>
      </c>
      <c r="G203" s="14">
        <v>94.5</v>
      </c>
      <c r="H203" s="14">
        <v>1.1333329999999999</v>
      </c>
      <c r="I203" s="14">
        <v>96.099577999999994</v>
      </c>
      <c r="J203" s="14">
        <v>0.68160799999999999</v>
      </c>
      <c r="K203" s="14">
        <v>2.9667050000000001</v>
      </c>
      <c r="L203" s="14"/>
      <c r="M203" s="14">
        <v>-1.3016909999999999</v>
      </c>
      <c r="N203" s="14">
        <v>31603</v>
      </c>
      <c r="O203" s="14">
        <v>30223.002333</v>
      </c>
      <c r="P203" s="14">
        <v>1069.651472</v>
      </c>
      <c r="Q203" s="14">
        <v>864.22515299999998</v>
      </c>
      <c r="R203" s="14">
        <v>0.114665</v>
      </c>
      <c r="S203" s="14">
        <v>6.7041589999999998</v>
      </c>
      <c r="T203" s="14">
        <v>6.4046120000000002</v>
      </c>
      <c r="U203" s="14">
        <v>9.3540949999999992</v>
      </c>
      <c r="V203" s="14">
        <v>55.002603999999998</v>
      </c>
      <c r="W203" s="14">
        <v>8.5</v>
      </c>
      <c r="X203" s="16">
        <v>42993</v>
      </c>
      <c r="Y203" s="14">
        <v>2</v>
      </c>
      <c r="Z203" s="14" t="s">
        <v>677</v>
      </c>
      <c r="AA203" s="14" t="s">
        <v>674</v>
      </c>
      <c r="AB203" s="14">
        <v>0.71724200000000005</v>
      </c>
      <c r="AC203" s="14">
        <v>3.276462</v>
      </c>
      <c r="AD203" s="14"/>
      <c r="AE203" s="14">
        <v>0.49726900000000002</v>
      </c>
      <c r="AF203" s="14">
        <v>0.45277400000000001</v>
      </c>
      <c r="AG203" s="14">
        <v>2.6214400000000002</v>
      </c>
      <c r="AH203" s="14"/>
      <c r="AI203" s="14">
        <v>-2.4988920000000001</v>
      </c>
      <c r="AJ203" s="14">
        <v>100</v>
      </c>
      <c r="AK203" s="14" t="s">
        <v>39</v>
      </c>
      <c r="AL203" s="14" t="s">
        <v>675</v>
      </c>
      <c r="AM203" s="14">
        <v>0.114665</v>
      </c>
      <c r="AN203" s="14">
        <v>0.114665</v>
      </c>
      <c r="AO203" s="14"/>
    </row>
    <row r="204" spans="1:41" x14ac:dyDescent="0.2">
      <c r="A204" s="14" t="s">
        <v>681</v>
      </c>
      <c r="B204" s="14" t="s">
        <v>682</v>
      </c>
      <c r="C204" s="14" t="s">
        <v>683</v>
      </c>
      <c r="D204" s="14" t="s">
        <v>37</v>
      </c>
      <c r="E204" s="16">
        <v>43845</v>
      </c>
      <c r="F204" s="14" t="s">
        <v>791</v>
      </c>
      <c r="G204" s="14">
        <v>100.55427</v>
      </c>
      <c r="H204" s="14">
        <v>2.1650680000000002</v>
      </c>
      <c r="I204" s="14">
        <v>270.332245</v>
      </c>
      <c r="J204" s="14">
        <v>6.4186000000000007E-2</v>
      </c>
      <c r="K204" s="14">
        <v>0.110599</v>
      </c>
      <c r="L204" s="14">
        <v>9.1964159999999993</v>
      </c>
      <c r="M204" s="14">
        <v>2.7760980000000002</v>
      </c>
      <c r="N204" s="14">
        <v>26971.100514999998</v>
      </c>
      <c r="O204" s="14">
        <v>27704.536034000001</v>
      </c>
      <c r="P204" s="14">
        <v>2323.2315330000001</v>
      </c>
      <c r="Q204" s="14">
        <v>1877.0554520000001</v>
      </c>
      <c r="R204" s="14">
        <v>0.24904699999999999</v>
      </c>
      <c r="S204" s="14">
        <v>1.595426</v>
      </c>
      <c r="T204" s="14">
        <v>1.5422899999999999</v>
      </c>
      <c r="U204" s="14">
        <v>6.8906200000000002</v>
      </c>
      <c r="V204" s="14">
        <v>3.2259899999999999</v>
      </c>
      <c r="W204" s="14">
        <v>7.25</v>
      </c>
      <c r="X204" s="16">
        <v>38527</v>
      </c>
      <c r="Y204" s="14">
        <v>2</v>
      </c>
      <c r="Z204" s="14" t="s">
        <v>684</v>
      </c>
      <c r="AA204" s="14" t="s">
        <v>679</v>
      </c>
      <c r="AB204" s="14">
        <v>0.58359700000000003</v>
      </c>
      <c r="AC204" s="14">
        <v>-0.52952200000000005</v>
      </c>
      <c r="AD204" s="14">
        <v>21.621456999999999</v>
      </c>
      <c r="AE204" s="14">
        <v>6.6975340000000001</v>
      </c>
      <c r="AF204" s="14">
        <v>0.31948100000000001</v>
      </c>
      <c r="AG204" s="14">
        <v>-1.160404</v>
      </c>
      <c r="AH204" s="14">
        <v>5.1278300000000003</v>
      </c>
      <c r="AI204" s="14">
        <v>3.516521</v>
      </c>
      <c r="AJ204" s="14">
        <v>100</v>
      </c>
      <c r="AK204" s="14" t="s">
        <v>39</v>
      </c>
      <c r="AL204" s="14" t="s">
        <v>680</v>
      </c>
      <c r="AM204" s="14">
        <v>0.24904699999999999</v>
      </c>
      <c r="AN204" s="14">
        <v>0.24904699999999999</v>
      </c>
      <c r="AO204" s="14"/>
    </row>
    <row r="205" spans="1:41" x14ac:dyDescent="0.2">
      <c r="A205" s="14" t="s">
        <v>685</v>
      </c>
      <c r="B205" s="14" t="s">
        <v>686</v>
      </c>
      <c r="C205" s="14" t="s">
        <v>687</v>
      </c>
      <c r="D205" s="14" t="s">
        <v>37</v>
      </c>
      <c r="E205" s="16">
        <v>44286</v>
      </c>
      <c r="F205" s="14" t="s">
        <v>791</v>
      </c>
      <c r="G205" s="14">
        <v>98.988204999999994</v>
      </c>
      <c r="H205" s="14">
        <v>0.62876699999999996</v>
      </c>
      <c r="I205" s="14">
        <v>271.63033300000001</v>
      </c>
      <c r="J205" s="14">
        <v>8.3659999999999998E-2</v>
      </c>
      <c r="K205" s="14">
        <v>-2.717E-2</v>
      </c>
      <c r="L205" s="14">
        <v>9.9674960000000006</v>
      </c>
      <c r="M205" s="14">
        <v>3.317984</v>
      </c>
      <c r="N205" s="14">
        <v>36193.311819000002</v>
      </c>
      <c r="O205" s="14">
        <v>36054.681344999997</v>
      </c>
      <c r="P205" s="14">
        <v>3023.4533620000002</v>
      </c>
      <c r="Q205" s="14">
        <v>2442.7998400000001</v>
      </c>
      <c r="R205" s="14">
        <v>0.32411000000000001</v>
      </c>
      <c r="S205" s="14">
        <v>2.6723919999999999</v>
      </c>
      <c r="T205" s="14">
        <v>2.5803940000000001</v>
      </c>
      <c r="U205" s="14">
        <v>7.1305690000000004</v>
      </c>
      <c r="V205" s="14">
        <v>8.2606699999999993</v>
      </c>
      <c r="W205" s="14">
        <v>6.75</v>
      </c>
      <c r="X205" s="16">
        <v>38961</v>
      </c>
      <c r="Y205" s="14">
        <v>2</v>
      </c>
      <c r="Z205" s="14" t="s">
        <v>688</v>
      </c>
      <c r="AA205" s="14" t="s">
        <v>679</v>
      </c>
      <c r="AB205" s="14">
        <v>0.60317100000000001</v>
      </c>
      <c r="AC205" s="14">
        <v>-0.66640999999999995</v>
      </c>
      <c r="AD205" s="14">
        <v>22.480274999999999</v>
      </c>
      <c r="AE205" s="14">
        <v>7.2600959999999999</v>
      </c>
      <c r="AF205" s="14">
        <v>0.33900400000000003</v>
      </c>
      <c r="AG205" s="14">
        <v>-1.296424</v>
      </c>
      <c r="AH205" s="14">
        <v>5.8701809999999996</v>
      </c>
      <c r="AI205" s="14">
        <v>4.0623110000000002</v>
      </c>
      <c r="AJ205" s="14">
        <v>100</v>
      </c>
      <c r="AK205" s="14" t="s">
        <v>39</v>
      </c>
      <c r="AL205" s="14" t="s">
        <v>680</v>
      </c>
      <c r="AM205" s="14">
        <v>0.32411000000000001</v>
      </c>
      <c r="AN205" s="14">
        <v>0.32411000000000001</v>
      </c>
      <c r="AO205" s="14"/>
    </row>
    <row r="206" spans="1:41" x14ac:dyDescent="0.2">
      <c r="A206" s="14" t="s">
        <v>689</v>
      </c>
      <c r="B206" s="14" t="s">
        <v>690</v>
      </c>
      <c r="C206" s="14" t="s">
        <v>691</v>
      </c>
      <c r="D206" s="14" t="s">
        <v>37</v>
      </c>
      <c r="E206" s="16">
        <v>44985</v>
      </c>
      <c r="F206" s="14" t="s">
        <v>792</v>
      </c>
      <c r="G206" s="14">
        <v>100.99763</v>
      </c>
      <c r="H206" s="14">
        <v>1.3801369999999999</v>
      </c>
      <c r="I206" s="14">
        <v>142.12907000000001</v>
      </c>
      <c r="J206" s="14">
        <v>7.9797999999999994E-2</v>
      </c>
      <c r="K206" s="14">
        <v>-0.239622</v>
      </c>
      <c r="L206" s="14">
        <v>11.466464</v>
      </c>
      <c r="M206" s="14">
        <v>3.8841519999999998</v>
      </c>
      <c r="N206" s="14">
        <v>51626.592664999996</v>
      </c>
      <c r="O206" s="14">
        <v>52854.152741999998</v>
      </c>
      <c r="P206" s="14">
        <v>4432.2140659999995</v>
      </c>
      <c r="Q206" s="14">
        <v>3581.0083760000002</v>
      </c>
      <c r="R206" s="14">
        <v>0.47512700000000002</v>
      </c>
      <c r="S206" s="14">
        <v>4.0693140000000003</v>
      </c>
      <c r="T206" s="14">
        <v>3.922431</v>
      </c>
      <c r="U206" s="14">
        <v>7.4893939999999999</v>
      </c>
      <c r="V206" s="14">
        <v>19.031877000000001</v>
      </c>
      <c r="W206" s="14">
        <v>7.75</v>
      </c>
      <c r="X206" s="16">
        <v>41082</v>
      </c>
      <c r="Y206" s="14">
        <v>2</v>
      </c>
      <c r="Z206" s="14" t="s">
        <v>690</v>
      </c>
      <c r="AA206" s="14" t="s">
        <v>679</v>
      </c>
      <c r="AB206" s="14">
        <v>0.59928899999999996</v>
      </c>
      <c r="AC206" s="14">
        <v>-0.87750300000000003</v>
      </c>
      <c r="AD206" s="14">
        <v>24.149805000000001</v>
      </c>
      <c r="AE206" s="14">
        <v>7.8478659999999998</v>
      </c>
      <c r="AF206" s="14">
        <v>0.33513199999999999</v>
      </c>
      <c r="AG206" s="14">
        <v>-1.5061789999999999</v>
      </c>
      <c r="AH206" s="14">
        <v>7.3132979999999996</v>
      </c>
      <c r="AI206" s="14">
        <v>4.6325580000000004</v>
      </c>
      <c r="AJ206" s="14">
        <v>100</v>
      </c>
      <c r="AK206" s="14" t="s">
        <v>39</v>
      </c>
      <c r="AL206" s="14" t="s">
        <v>680</v>
      </c>
      <c r="AM206" s="14">
        <v>0.47512700000000002</v>
      </c>
      <c r="AN206" s="14">
        <v>0.47512700000000002</v>
      </c>
      <c r="AO206" s="14"/>
    </row>
    <row r="207" spans="1:41" x14ac:dyDescent="0.2">
      <c r="A207" s="14" t="s">
        <v>692</v>
      </c>
      <c r="B207" s="14" t="s">
        <v>693</v>
      </c>
      <c r="C207" s="14" t="s">
        <v>694</v>
      </c>
      <c r="D207" s="14" t="s">
        <v>37</v>
      </c>
      <c r="E207" s="16">
        <v>46377</v>
      </c>
      <c r="F207" s="14" t="s">
        <v>794</v>
      </c>
      <c r="G207" s="14">
        <v>115.29197000000001</v>
      </c>
      <c r="H207" s="14">
        <v>3.8547950000000002</v>
      </c>
      <c r="I207" s="14">
        <v>679.39530999999999</v>
      </c>
      <c r="J207" s="14">
        <v>0.34744999999999998</v>
      </c>
      <c r="K207" s="14">
        <v>0.13025700000000001</v>
      </c>
      <c r="L207" s="14">
        <v>13.996126</v>
      </c>
      <c r="M207" s="14">
        <v>5.9400690000000003</v>
      </c>
      <c r="N207" s="14">
        <v>141215.81252100001</v>
      </c>
      <c r="O207" s="14">
        <v>168254.07161000001</v>
      </c>
      <c r="P207" s="14">
        <v>14109.356110000001</v>
      </c>
      <c r="Q207" s="14">
        <v>11399.657518</v>
      </c>
      <c r="R207" s="14">
        <v>1.5125040000000001</v>
      </c>
      <c r="S207" s="14">
        <v>5.8946420000000002</v>
      </c>
      <c r="T207" s="14">
        <v>5.6678350000000002</v>
      </c>
      <c r="U207" s="14">
        <v>8.0032789999999991</v>
      </c>
      <c r="V207" s="14">
        <v>43.473531999999999</v>
      </c>
      <c r="W207" s="14">
        <v>10.5</v>
      </c>
      <c r="X207" s="16">
        <v>35937</v>
      </c>
      <c r="Y207" s="14">
        <v>2</v>
      </c>
      <c r="Z207" s="14" t="s">
        <v>695</v>
      </c>
      <c r="AA207" s="14" t="s">
        <v>679</v>
      </c>
      <c r="AB207" s="14">
        <v>0.86833099999999996</v>
      </c>
      <c r="AC207" s="14">
        <v>-0.50998900000000003</v>
      </c>
      <c r="AD207" s="14">
        <v>26.967307000000002</v>
      </c>
      <c r="AE207" s="14">
        <v>9.9822260000000007</v>
      </c>
      <c r="AF207" s="14">
        <v>0.60346699999999998</v>
      </c>
      <c r="AG207" s="14">
        <v>-1.140995</v>
      </c>
      <c r="AH207" s="14">
        <v>9.7487060000000003</v>
      </c>
      <c r="AI207" s="14">
        <v>6.7032860000000003</v>
      </c>
      <c r="AJ207" s="14">
        <v>100</v>
      </c>
      <c r="AK207" s="14" t="s">
        <v>39</v>
      </c>
      <c r="AL207" s="14" t="s">
        <v>680</v>
      </c>
      <c r="AM207" s="14">
        <v>1.5125040000000001</v>
      </c>
      <c r="AN207" s="14">
        <v>1.5125040000000001</v>
      </c>
      <c r="AO207" s="14"/>
    </row>
    <row r="208" spans="1:41" x14ac:dyDescent="0.2">
      <c r="A208" s="14" t="s">
        <v>696</v>
      </c>
      <c r="B208" s="14" t="s">
        <v>697</v>
      </c>
      <c r="C208" s="14" t="s">
        <v>698</v>
      </c>
      <c r="D208" s="14" t="s">
        <v>37</v>
      </c>
      <c r="E208" s="16">
        <v>47514</v>
      </c>
      <c r="F208" s="14" t="s">
        <v>795</v>
      </c>
      <c r="G208" s="14">
        <v>97.000204999999994</v>
      </c>
      <c r="H208" s="14">
        <v>2.0383559999999998</v>
      </c>
      <c r="I208" s="14">
        <v>137.55982900000001</v>
      </c>
      <c r="J208" s="14">
        <v>0.39882000000000001</v>
      </c>
      <c r="K208" s="14">
        <v>7.3756000000000002E-2</v>
      </c>
      <c r="L208" s="14">
        <v>16.293896</v>
      </c>
      <c r="M208" s="14">
        <v>8.5337219999999991</v>
      </c>
      <c r="N208" s="14">
        <v>75684.747545999999</v>
      </c>
      <c r="O208" s="14">
        <v>74957.084990999996</v>
      </c>
      <c r="P208" s="14">
        <v>6285.709433</v>
      </c>
      <c r="Q208" s="14">
        <v>5078.5403839999999</v>
      </c>
      <c r="R208" s="14">
        <v>0.67381999999999997</v>
      </c>
      <c r="S208" s="14">
        <v>7.60724</v>
      </c>
      <c r="T208" s="14">
        <v>7.3006539999999998</v>
      </c>
      <c r="U208" s="14">
        <v>8.3988460000000007</v>
      </c>
      <c r="V208" s="14">
        <v>73.090770000000006</v>
      </c>
      <c r="W208" s="14">
        <v>8</v>
      </c>
      <c r="X208" s="16">
        <v>41551</v>
      </c>
      <c r="Y208" s="14">
        <v>2</v>
      </c>
      <c r="Z208" s="14" t="s">
        <v>697</v>
      </c>
      <c r="AA208" s="14" t="s">
        <v>679</v>
      </c>
      <c r="AB208" s="14">
        <v>0.91996699999999998</v>
      </c>
      <c r="AC208" s="14">
        <v>-0.56612799999999996</v>
      </c>
      <c r="AD208" s="14">
        <v>29.526533000000001</v>
      </c>
      <c r="AE208" s="14">
        <v>12.674841000000001</v>
      </c>
      <c r="AF208" s="14">
        <v>0.65496799999999999</v>
      </c>
      <c r="AG208" s="14">
        <v>-1.196779</v>
      </c>
      <c r="AH208" s="14">
        <v>11.960864000000001</v>
      </c>
      <c r="AI208" s="14">
        <v>9.3156250000000007</v>
      </c>
      <c r="AJ208" s="14">
        <v>100</v>
      </c>
      <c r="AK208" s="14" t="s">
        <v>39</v>
      </c>
      <c r="AL208" s="14" t="s">
        <v>680</v>
      </c>
      <c r="AM208" s="14">
        <v>0.67381999999999997</v>
      </c>
      <c r="AN208" s="14">
        <v>0.67381999999999997</v>
      </c>
      <c r="AO208" s="14"/>
    </row>
    <row r="209" spans="1:41" x14ac:dyDescent="0.2">
      <c r="A209" s="14" t="s">
        <v>699</v>
      </c>
      <c r="B209" s="14" t="s">
        <v>700</v>
      </c>
      <c r="C209" s="14" t="s">
        <v>847</v>
      </c>
      <c r="D209" s="14" t="s">
        <v>37</v>
      </c>
      <c r="E209" s="16">
        <v>47907</v>
      </c>
      <c r="F209" s="14" t="s">
        <v>795</v>
      </c>
      <c r="G209" s="14">
        <v>88.521730000000005</v>
      </c>
      <c r="H209" s="14">
        <v>1.246575</v>
      </c>
      <c r="I209" s="14">
        <v>203.963278</v>
      </c>
      <c r="J209" s="14">
        <v>0.42691600000000002</v>
      </c>
      <c r="K209" s="14">
        <v>8.1836000000000006E-2</v>
      </c>
      <c r="L209" s="14">
        <v>16.409289000000001</v>
      </c>
      <c r="M209" s="14">
        <v>8.6515160000000009</v>
      </c>
      <c r="N209" s="14">
        <v>73812.645999</v>
      </c>
      <c r="O209" s="14">
        <v>66260.361441999994</v>
      </c>
      <c r="P209" s="14">
        <v>5556.4244399999998</v>
      </c>
      <c r="Q209" s="14">
        <v>4489.3144050000001</v>
      </c>
      <c r="R209" s="14">
        <v>0.59564099999999998</v>
      </c>
      <c r="S209" s="14">
        <v>8.2728739999999998</v>
      </c>
      <c r="T209" s="14">
        <v>7.9365269999999999</v>
      </c>
      <c r="U209" s="14">
        <v>8.4759340000000005</v>
      </c>
      <c r="V209" s="14">
        <v>86.217035999999993</v>
      </c>
      <c r="W209" s="14">
        <v>7</v>
      </c>
      <c r="X209" s="16">
        <v>40326</v>
      </c>
      <c r="Y209" s="14">
        <v>2</v>
      </c>
      <c r="Z209" s="14" t="s">
        <v>700</v>
      </c>
      <c r="AA209" s="14" t="s">
        <v>679</v>
      </c>
      <c r="AB209" s="14">
        <v>0.94820899999999997</v>
      </c>
      <c r="AC209" s="14">
        <v>-0.55810000000000004</v>
      </c>
      <c r="AD209" s="14">
        <v>29.655055999999998</v>
      </c>
      <c r="AE209" s="14">
        <v>12.797129999999999</v>
      </c>
      <c r="AF209" s="14">
        <v>0.68313599999999997</v>
      </c>
      <c r="AG209" s="14">
        <v>-1.188801</v>
      </c>
      <c r="AH209" s="14">
        <v>12.071956999999999</v>
      </c>
      <c r="AI209" s="14">
        <v>9.4342679999999994</v>
      </c>
      <c r="AJ209" s="14">
        <v>100</v>
      </c>
      <c r="AK209" s="14" t="s">
        <v>39</v>
      </c>
      <c r="AL209" s="14" t="s">
        <v>680</v>
      </c>
      <c r="AM209" s="14">
        <v>0.59564099999999998</v>
      </c>
      <c r="AN209" s="14">
        <v>0.59564099999999998</v>
      </c>
      <c r="AO209" s="14"/>
    </row>
    <row r="210" spans="1:41" x14ac:dyDescent="0.2">
      <c r="A210" s="14" t="s">
        <v>701</v>
      </c>
      <c r="B210" s="14" t="s">
        <v>702</v>
      </c>
      <c r="C210" s="14" t="s">
        <v>703</v>
      </c>
      <c r="D210" s="14" t="s">
        <v>37</v>
      </c>
      <c r="E210" s="16">
        <v>48304</v>
      </c>
      <c r="F210" s="14" t="s">
        <v>795</v>
      </c>
      <c r="G210" s="14">
        <v>97.371195</v>
      </c>
      <c r="H210" s="14">
        <v>0.76849299999999998</v>
      </c>
      <c r="I210" s="14">
        <v>129.154582</v>
      </c>
      <c r="J210" s="14">
        <v>0.47331299999999998</v>
      </c>
      <c r="K210" s="14">
        <v>0.16550699999999999</v>
      </c>
      <c r="L210" s="14">
        <v>16.888635000000001</v>
      </c>
      <c r="M210" s="14">
        <v>8.8521959999999993</v>
      </c>
      <c r="N210" s="14">
        <v>62297.700966999997</v>
      </c>
      <c r="O210" s="14">
        <v>61138.769454000001</v>
      </c>
      <c r="P210" s="14">
        <v>5126.9408350000003</v>
      </c>
      <c r="Q210" s="14">
        <v>4142.3130279999996</v>
      </c>
      <c r="R210" s="14">
        <v>0.54960100000000001</v>
      </c>
      <c r="S210" s="14">
        <v>8.3891390000000001</v>
      </c>
      <c r="T210" s="14">
        <v>8.0445209999999996</v>
      </c>
      <c r="U210" s="14">
        <v>8.5677699999999994</v>
      </c>
      <c r="V210" s="14">
        <v>91.147323</v>
      </c>
      <c r="W210" s="14">
        <v>8.25</v>
      </c>
      <c r="X210" s="16">
        <v>41474</v>
      </c>
      <c r="Y210" s="14">
        <v>2</v>
      </c>
      <c r="Z210" s="14" t="s">
        <v>702</v>
      </c>
      <c r="AA210" s="14" t="s">
        <v>679</v>
      </c>
      <c r="AB210" s="14">
        <v>0.99484700000000004</v>
      </c>
      <c r="AC210" s="14">
        <v>-0.474964</v>
      </c>
      <c r="AD210" s="14">
        <v>30.188945</v>
      </c>
      <c r="AE210" s="14">
        <v>13.005466</v>
      </c>
      <c r="AF210" s="14">
        <v>0.72965100000000005</v>
      </c>
      <c r="AG210" s="14">
        <v>-1.1061920000000001</v>
      </c>
      <c r="AH210" s="14">
        <v>12.533443</v>
      </c>
      <c r="AI210" s="14">
        <v>9.636393</v>
      </c>
      <c r="AJ210" s="14">
        <v>100</v>
      </c>
      <c r="AK210" s="14" t="s">
        <v>39</v>
      </c>
      <c r="AL210" s="14" t="s">
        <v>680</v>
      </c>
      <c r="AM210" s="14">
        <v>0.54960100000000001</v>
      </c>
      <c r="AN210" s="14">
        <v>0.54960100000000001</v>
      </c>
      <c r="AO210" s="14"/>
    </row>
    <row r="211" spans="1:41" x14ac:dyDescent="0.2">
      <c r="A211" s="14" t="s">
        <v>704</v>
      </c>
      <c r="B211" s="14" t="s">
        <v>705</v>
      </c>
      <c r="C211" s="14" t="s">
        <v>706</v>
      </c>
      <c r="D211" s="14" t="s">
        <v>37</v>
      </c>
      <c r="E211" s="16">
        <v>49368</v>
      </c>
      <c r="F211" s="14" t="s">
        <v>795</v>
      </c>
      <c r="G211" s="14">
        <v>101.19307499999999</v>
      </c>
      <c r="H211" s="14">
        <v>1.580479</v>
      </c>
      <c r="I211" s="14">
        <v>131.842443</v>
      </c>
      <c r="J211" s="14">
        <v>0.54856499999999997</v>
      </c>
      <c r="K211" s="14">
        <v>-5.8132000000000003E-2</v>
      </c>
      <c r="L211" s="14">
        <v>17.739733999999999</v>
      </c>
      <c r="M211" s="14">
        <v>9.7029870000000003</v>
      </c>
      <c r="N211" s="14">
        <v>49899.635735000003</v>
      </c>
      <c r="O211" s="14">
        <v>51283.629304000002</v>
      </c>
      <c r="P211" s="14">
        <v>4300.5139879999997</v>
      </c>
      <c r="Q211" s="14">
        <v>3474.601267</v>
      </c>
      <c r="R211" s="14">
        <v>0.461009</v>
      </c>
      <c r="S211" s="14">
        <v>8.9577770000000001</v>
      </c>
      <c r="T211" s="14">
        <v>8.5832230000000003</v>
      </c>
      <c r="U211" s="14">
        <v>8.7275860000000005</v>
      </c>
      <c r="V211" s="14">
        <v>110.196445</v>
      </c>
      <c r="W211" s="14">
        <v>8.875</v>
      </c>
      <c r="X211" s="16">
        <v>42202</v>
      </c>
      <c r="Y211" s="14">
        <v>2</v>
      </c>
      <c r="Z211" s="14" t="s">
        <v>705</v>
      </c>
      <c r="AA211" s="14" t="s">
        <v>679</v>
      </c>
      <c r="AB211" s="14">
        <v>1.0704910000000001</v>
      </c>
      <c r="AC211" s="14">
        <v>-0.69717399999999996</v>
      </c>
      <c r="AD211" s="14">
        <v>31.136887000000002</v>
      </c>
      <c r="AE211" s="14">
        <v>13.888719</v>
      </c>
      <c r="AF211" s="14">
        <v>0.80509600000000003</v>
      </c>
      <c r="AG211" s="14">
        <v>-1.3269930000000001</v>
      </c>
      <c r="AH211" s="14">
        <v>13.352831</v>
      </c>
      <c r="AI211" s="14">
        <v>10.493314</v>
      </c>
      <c r="AJ211" s="14">
        <v>100</v>
      </c>
      <c r="AK211" s="14" t="s">
        <v>39</v>
      </c>
      <c r="AL211" s="14" t="s">
        <v>680</v>
      </c>
      <c r="AM211" s="14">
        <v>0.461009</v>
      </c>
      <c r="AN211" s="14">
        <v>0.461009</v>
      </c>
      <c r="AO211" s="14"/>
    </row>
    <row r="212" spans="1:41" x14ac:dyDescent="0.2">
      <c r="A212" s="14" t="s">
        <v>707</v>
      </c>
      <c r="B212" s="14" t="s">
        <v>708</v>
      </c>
      <c r="C212" s="14" t="s">
        <v>709</v>
      </c>
      <c r="D212" s="14" t="s">
        <v>37</v>
      </c>
      <c r="E212" s="16">
        <v>49765</v>
      </c>
      <c r="F212" s="14" t="s">
        <v>795</v>
      </c>
      <c r="G212" s="14">
        <v>77.453530000000001</v>
      </c>
      <c r="H212" s="14">
        <v>0.58219200000000004</v>
      </c>
      <c r="I212" s="14">
        <v>269.13583399999999</v>
      </c>
      <c r="J212" s="14">
        <v>0.50201700000000005</v>
      </c>
      <c r="K212" s="14">
        <v>-0.11228100000000001</v>
      </c>
      <c r="L212" s="14">
        <v>17.991517000000002</v>
      </c>
      <c r="M212" s="14">
        <v>9.5531880000000005</v>
      </c>
      <c r="N212" s="14">
        <v>65371.785257000003</v>
      </c>
      <c r="O212" s="14">
        <v>51013.344466000002</v>
      </c>
      <c r="P212" s="14">
        <v>4277.8485929999997</v>
      </c>
      <c r="Q212" s="14">
        <v>3456.288755</v>
      </c>
      <c r="R212" s="14">
        <v>0.45857999999999999</v>
      </c>
      <c r="S212" s="14">
        <v>9.9659940000000002</v>
      </c>
      <c r="T212" s="14">
        <v>9.5478170000000002</v>
      </c>
      <c r="U212" s="14">
        <v>8.7596419999999995</v>
      </c>
      <c r="V212" s="14">
        <v>133.76917499999999</v>
      </c>
      <c r="W212" s="14">
        <v>6.25</v>
      </c>
      <c r="X212" s="16">
        <v>38919</v>
      </c>
      <c r="Y212" s="14">
        <v>2</v>
      </c>
      <c r="Z212" s="14" t="s">
        <v>710</v>
      </c>
      <c r="AA212" s="14" t="s">
        <v>679</v>
      </c>
      <c r="AB212" s="14">
        <v>1.0237000000000001</v>
      </c>
      <c r="AC212" s="14">
        <v>-0.75097599999999998</v>
      </c>
      <c r="AD212" s="14">
        <v>31.41732</v>
      </c>
      <c r="AE212" s="14">
        <v>13.733205</v>
      </c>
      <c r="AF212" s="14">
        <v>0.75842799999999999</v>
      </c>
      <c r="AG212" s="14">
        <v>-1.3804540000000001</v>
      </c>
      <c r="AH212" s="14">
        <v>13.595233</v>
      </c>
      <c r="AI212" s="14">
        <v>10.342435</v>
      </c>
      <c r="AJ212" s="14">
        <v>100</v>
      </c>
      <c r="AK212" s="14" t="s">
        <v>39</v>
      </c>
      <c r="AL212" s="14" t="s">
        <v>680</v>
      </c>
      <c r="AM212" s="14">
        <v>0.45857999999999999</v>
      </c>
      <c r="AN212" s="14">
        <v>0.45857999999999999</v>
      </c>
      <c r="AO212" s="14"/>
    </row>
    <row r="213" spans="1:41" x14ac:dyDescent="0.2">
      <c r="A213" s="14" t="s">
        <v>711</v>
      </c>
      <c r="B213" s="14" t="s">
        <v>712</v>
      </c>
      <c r="C213" s="14" t="s">
        <v>713</v>
      </c>
      <c r="D213" s="14" t="s">
        <v>37</v>
      </c>
      <c r="E213" s="16">
        <v>50071</v>
      </c>
      <c r="F213" s="14" t="s">
        <v>795</v>
      </c>
      <c r="G213" s="14">
        <v>96.989450000000005</v>
      </c>
      <c r="H213" s="14">
        <v>2.165753</v>
      </c>
      <c r="I213" s="14">
        <v>128.471339</v>
      </c>
      <c r="J213" s="14">
        <v>0.47687200000000002</v>
      </c>
      <c r="K213" s="14">
        <v>-2.6905999999999999E-2</v>
      </c>
      <c r="L213" s="14">
        <v>18.261838999999998</v>
      </c>
      <c r="M213" s="14">
        <v>10.368209</v>
      </c>
      <c r="N213" s="14">
        <v>76652.201233</v>
      </c>
      <c r="O213" s="14">
        <v>76004.646062</v>
      </c>
      <c r="P213" s="14">
        <v>6373.5552250000001</v>
      </c>
      <c r="Q213" s="14">
        <v>5149.5154119999997</v>
      </c>
      <c r="R213" s="14">
        <v>0.68323699999999998</v>
      </c>
      <c r="S213" s="14">
        <v>9.3588249999999995</v>
      </c>
      <c r="T213" s="14">
        <v>8.9634330000000002</v>
      </c>
      <c r="U213" s="14">
        <v>8.8223330000000004</v>
      </c>
      <c r="V213" s="14">
        <v>124.181136</v>
      </c>
      <c r="W213" s="14">
        <v>8.5</v>
      </c>
      <c r="X213" s="16">
        <v>41474</v>
      </c>
      <c r="Y213" s="14">
        <v>2</v>
      </c>
      <c r="Z213" s="14" t="s">
        <v>712</v>
      </c>
      <c r="AA213" s="14" t="s">
        <v>679</v>
      </c>
      <c r="AB213" s="14">
        <v>0.99842399999999998</v>
      </c>
      <c r="AC213" s="14">
        <v>-0.66614700000000004</v>
      </c>
      <c r="AD213" s="14">
        <v>31.718399999999999</v>
      </c>
      <c r="AE213" s="14">
        <v>14.579323</v>
      </c>
      <c r="AF213" s="14">
        <v>0.73321899999999995</v>
      </c>
      <c r="AG213" s="14">
        <v>-1.296163</v>
      </c>
      <c r="AH213" s="14">
        <v>13.855482</v>
      </c>
      <c r="AI213" s="14">
        <v>11.163328</v>
      </c>
      <c r="AJ213" s="14">
        <v>100</v>
      </c>
      <c r="AK213" s="14" t="s">
        <v>39</v>
      </c>
      <c r="AL213" s="14" t="s">
        <v>680</v>
      </c>
      <c r="AM213" s="14">
        <v>0.68323699999999998</v>
      </c>
      <c r="AN213" s="14">
        <v>0.68323699999999998</v>
      </c>
      <c r="AO213" s="14"/>
    </row>
    <row r="214" spans="1:41" x14ac:dyDescent="0.2">
      <c r="A214" s="14" t="s">
        <v>714</v>
      </c>
      <c r="B214" s="14" t="s">
        <v>715</v>
      </c>
      <c r="C214" s="14" t="s">
        <v>716</v>
      </c>
      <c r="D214" s="14" t="s">
        <v>37</v>
      </c>
      <c r="E214" s="16">
        <v>51166</v>
      </c>
      <c r="F214" s="14" t="s">
        <v>795</v>
      </c>
      <c r="G214" s="14">
        <v>100.990735</v>
      </c>
      <c r="H214" s="14">
        <v>2.2931509999999999</v>
      </c>
      <c r="I214" s="14">
        <v>123.122176</v>
      </c>
      <c r="J214" s="14">
        <v>0.34850500000000001</v>
      </c>
      <c r="K214" s="14">
        <v>-4.2408000000000001E-2</v>
      </c>
      <c r="L214" s="14">
        <v>18.663779999999999</v>
      </c>
      <c r="M214" s="14">
        <v>10.932845</v>
      </c>
      <c r="N214" s="14">
        <v>48295.075184000001</v>
      </c>
      <c r="O214" s="14">
        <v>49881.030244000001</v>
      </c>
      <c r="P214" s="14">
        <v>4182.8956179999996</v>
      </c>
      <c r="Q214" s="14">
        <v>3379.5714779999998</v>
      </c>
      <c r="R214" s="14">
        <v>0.44840099999999999</v>
      </c>
      <c r="S214" s="14">
        <v>9.7430970000000006</v>
      </c>
      <c r="T214" s="14">
        <v>9.3285040000000006</v>
      </c>
      <c r="U214" s="14">
        <v>8.8887479999999996</v>
      </c>
      <c r="V214" s="14">
        <v>140.57339999999999</v>
      </c>
      <c r="W214" s="14">
        <v>9</v>
      </c>
      <c r="X214" s="16">
        <v>42258</v>
      </c>
      <c r="Y214" s="14">
        <v>2</v>
      </c>
      <c r="Z214" s="14" t="s">
        <v>715</v>
      </c>
      <c r="AA214" s="14" t="s">
        <v>679</v>
      </c>
      <c r="AB214" s="14">
        <v>0.86939200000000005</v>
      </c>
      <c r="AC214" s="14">
        <v>-0.68154999999999999</v>
      </c>
      <c r="AD214" s="14">
        <v>32.166075999999997</v>
      </c>
      <c r="AE214" s="14">
        <v>15.165502</v>
      </c>
      <c r="AF214" s="14">
        <v>0.60452499999999998</v>
      </c>
      <c r="AG214" s="14">
        <v>-1.3114680000000001</v>
      </c>
      <c r="AH214" s="14">
        <v>14.242447</v>
      </c>
      <c r="AI214" s="14">
        <v>11.732030999999999</v>
      </c>
      <c r="AJ214" s="14">
        <v>100</v>
      </c>
      <c r="AK214" s="14" t="s">
        <v>39</v>
      </c>
      <c r="AL214" s="14" t="s">
        <v>680</v>
      </c>
      <c r="AM214" s="14">
        <v>0.44840099999999999</v>
      </c>
      <c r="AN214" s="14">
        <v>0.44840099999999999</v>
      </c>
      <c r="AO214" s="14"/>
    </row>
    <row r="215" spans="1:41" x14ac:dyDescent="0.2">
      <c r="A215" s="14" t="s">
        <v>717</v>
      </c>
      <c r="B215" s="14" t="s">
        <v>718</v>
      </c>
      <c r="C215" s="14" t="s">
        <v>719</v>
      </c>
      <c r="D215" s="14" t="s">
        <v>37</v>
      </c>
      <c r="E215" s="16">
        <v>51560</v>
      </c>
      <c r="F215" s="14" t="s">
        <v>795</v>
      </c>
      <c r="G215" s="14">
        <v>76.733045000000004</v>
      </c>
      <c r="H215" s="14">
        <v>1.1575340000000001</v>
      </c>
      <c r="I215" s="14">
        <v>197.13539299999999</v>
      </c>
      <c r="J215" s="14">
        <v>0.27467000000000003</v>
      </c>
      <c r="K215" s="14">
        <v>-0.34650500000000001</v>
      </c>
      <c r="L215" s="14">
        <v>18.468254999999999</v>
      </c>
      <c r="M215" s="14">
        <v>10.914629</v>
      </c>
      <c r="N215" s="14">
        <v>62000.485768999999</v>
      </c>
      <c r="O215" s="14">
        <v>48292.537500999999</v>
      </c>
      <c r="P215" s="14">
        <v>4049.6886789999999</v>
      </c>
      <c r="Q215" s="14">
        <v>3271.9469009999998</v>
      </c>
      <c r="R215" s="14">
        <v>0.43412099999999998</v>
      </c>
      <c r="S215" s="14">
        <v>10.599837000000001</v>
      </c>
      <c r="T215" s="14">
        <v>10.148774</v>
      </c>
      <c r="U215" s="14">
        <v>8.8890100000000007</v>
      </c>
      <c r="V215" s="14">
        <v>164.71570500000001</v>
      </c>
      <c r="W215" s="14">
        <v>6.5</v>
      </c>
      <c r="X215" s="16">
        <v>40333</v>
      </c>
      <c r="Y215" s="14">
        <v>2</v>
      </c>
      <c r="Z215" s="14" t="s">
        <v>718</v>
      </c>
      <c r="AA215" s="14" t="s">
        <v>679</v>
      </c>
      <c r="AB215" s="14">
        <v>0.79517400000000005</v>
      </c>
      <c r="AC215" s="14">
        <v>-0.98370199999999997</v>
      </c>
      <c r="AD215" s="14">
        <v>31.948302999999999</v>
      </c>
      <c r="AE215" s="14">
        <v>15.146591000000001</v>
      </c>
      <c r="AF215" s="14">
        <v>0.53050200000000003</v>
      </c>
      <c r="AG215" s="14">
        <v>-1.611704</v>
      </c>
      <c r="AH215" s="14">
        <v>14.054207</v>
      </c>
      <c r="AI215" s="14">
        <v>11.713684000000001</v>
      </c>
      <c r="AJ215" s="14">
        <v>100</v>
      </c>
      <c r="AK215" s="14" t="s">
        <v>39</v>
      </c>
      <c r="AL215" s="14" t="s">
        <v>680</v>
      </c>
      <c r="AM215" s="14">
        <v>0.43412099999999998</v>
      </c>
      <c r="AN215" s="14">
        <v>0.43412099999999998</v>
      </c>
      <c r="AO215" s="14"/>
    </row>
    <row r="216" spans="1:41" x14ac:dyDescent="0.2">
      <c r="A216" s="14" t="s">
        <v>720</v>
      </c>
      <c r="B216" s="14" t="s">
        <v>721</v>
      </c>
      <c r="C216" s="14" t="s">
        <v>722</v>
      </c>
      <c r="D216" s="14" t="s">
        <v>37</v>
      </c>
      <c r="E216" s="16">
        <v>52627</v>
      </c>
      <c r="F216" s="14" t="s">
        <v>795</v>
      </c>
      <c r="G216" s="14">
        <v>97.888745</v>
      </c>
      <c r="H216" s="14">
        <v>2.2294520000000002</v>
      </c>
      <c r="I216" s="14">
        <v>137.201626</v>
      </c>
      <c r="J216" s="14">
        <v>0.166265</v>
      </c>
      <c r="K216" s="14">
        <v>-0.36139500000000002</v>
      </c>
      <c r="L216" s="14">
        <v>18.677057000000001</v>
      </c>
      <c r="M216" s="14">
        <v>11.130506</v>
      </c>
      <c r="N216" s="14">
        <v>77164.193155000001</v>
      </c>
      <c r="O216" s="14">
        <v>77255.398958999998</v>
      </c>
      <c r="P216" s="14">
        <v>6478.4401639999996</v>
      </c>
      <c r="Q216" s="14">
        <v>5234.2572220000002</v>
      </c>
      <c r="R216" s="14">
        <v>0.69447999999999999</v>
      </c>
      <c r="S216" s="14">
        <v>10.258585</v>
      </c>
      <c r="T216" s="14">
        <v>9.8189949999999993</v>
      </c>
      <c r="U216" s="14">
        <v>8.9538670000000007</v>
      </c>
      <c r="V216" s="14">
        <v>163.079486</v>
      </c>
      <c r="W216" s="14">
        <v>8.75</v>
      </c>
      <c r="X216" s="16">
        <v>41838</v>
      </c>
      <c r="Y216" s="14">
        <v>2</v>
      </c>
      <c r="Z216" s="14" t="s">
        <v>721</v>
      </c>
      <c r="AA216" s="14" t="s">
        <v>679</v>
      </c>
      <c r="AB216" s="14">
        <v>0.68620599999999998</v>
      </c>
      <c r="AC216" s="14">
        <v>-0.99849699999999997</v>
      </c>
      <c r="AD216" s="14">
        <v>32.180864999999997</v>
      </c>
      <c r="AE216" s="14">
        <v>15.370706</v>
      </c>
      <c r="AF216" s="14">
        <v>0.42181999999999997</v>
      </c>
      <c r="AG216" s="14">
        <v>-1.6264050000000001</v>
      </c>
      <c r="AH216" s="14">
        <v>14.255229999999999</v>
      </c>
      <c r="AI216" s="14">
        <v>11.931117</v>
      </c>
      <c r="AJ216" s="14">
        <v>100</v>
      </c>
      <c r="AK216" s="14" t="s">
        <v>39</v>
      </c>
      <c r="AL216" s="14" t="s">
        <v>680</v>
      </c>
      <c r="AM216" s="14">
        <v>0.69447999999999999</v>
      </c>
      <c r="AN216" s="14">
        <v>0.69447999999999999</v>
      </c>
      <c r="AO216" s="14"/>
    </row>
    <row r="217" spans="1:41" x14ac:dyDescent="0.2">
      <c r="A217" s="14" t="s">
        <v>723</v>
      </c>
      <c r="B217" s="14" t="s">
        <v>724</v>
      </c>
      <c r="C217" s="14" t="s">
        <v>725</v>
      </c>
      <c r="D217" s="14" t="s">
        <v>37</v>
      </c>
      <c r="E217" s="14">
        <v>54116</v>
      </c>
      <c r="F217" s="14" t="s">
        <v>795</v>
      </c>
      <c r="G217" s="14">
        <v>98.097485000000006</v>
      </c>
      <c r="H217" s="14">
        <v>1.558219</v>
      </c>
      <c r="I217" s="14">
        <v>150.46845500000001</v>
      </c>
      <c r="J217" s="14">
        <v>0.168984</v>
      </c>
      <c r="K217" s="14">
        <v>-0.45659300000000003</v>
      </c>
      <c r="L217" s="14">
        <v>18.888484999999999</v>
      </c>
      <c r="M217" s="14">
        <v>10.829223000000001</v>
      </c>
      <c r="N217" s="14">
        <v>127768.289452</v>
      </c>
      <c r="O217" s="14">
        <v>127328.38857</v>
      </c>
      <c r="P217" s="14">
        <v>10677.433004</v>
      </c>
      <c r="Q217" s="14">
        <v>8626.8344539999998</v>
      </c>
      <c r="R217" s="14">
        <v>1.1446069999999999</v>
      </c>
      <c r="S217" s="14">
        <v>10.517889</v>
      </c>
      <c r="T217" s="14">
        <v>10.063575</v>
      </c>
      <c r="U217" s="14">
        <v>9.0288789999999999</v>
      </c>
      <c r="V217" s="14">
        <v>179.151464</v>
      </c>
      <c r="W217" s="14">
        <v>8.75</v>
      </c>
      <c r="X217" s="14">
        <v>41089</v>
      </c>
      <c r="Y217" s="14">
        <v>2</v>
      </c>
      <c r="Z217" s="14" t="s">
        <v>724</v>
      </c>
      <c r="AA217" s="14" t="s">
        <v>679</v>
      </c>
      <c r="AB217" s="14">
        <v>0.68893800000000005</v>
      </c>
      <c r="AC217" s="14">
        <v>-1.093086</v>
      </c>
      <c r="AD217" s="14">
        <v>32.416350000000001</v>
      </c>
      <c r="AE217" s="14">
        <v>15.057926999999999</v>
      </c>
      <c r="AF217" s="14">
        <v>0.42454500000000001</v>
      </c>
      <c r="AG217" s="14">
        <v>-1.720394</v>
      </c>
      <c r="AH217" s="14">
        <v>14.458780000000001</v>
      </c>
      <c r="AI217" s="14">
        <v>11.627663</v>
      </c>
      <c r="AJ217" s="14">
        <v>100</v>
      </c>
      <c r="AK217" s="14" t="s">
        <v>39</v>
      </c>
      <c r="AL217" s="14" t="s">
        <v>680</v>
      </c>
      <c r="AM217" s="14">
        <v>1.1446069999999999</v>
      </c>
      <c r="AN217" s="14">
        <v>1.1446069999999999</v>
      </c>
      <c r="AO217" s="14"/>
    </row>
    <row r="218" spans="1:41" x14ac:dyDescent="0.2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x14ac:dyDescent="0.2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x14ac:dyDescent="0.2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</row>
    <row r="223" spans="1:4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</row>
    <row r="224" spans="1:4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</row>
    <row r="225" spans="1:4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</row>
    <row r="226" spans="1:4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</row>
    <row r="227" spans="1:4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</row>
    <row r="228" spans="1:4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</row>
    <row r="229" spans="1:4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</row>
    <row r="230" spans="1:4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</row>
    <row r="231" spans="1:4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x14ac:dyDescent="0.2">
      <c r="A301" s="13"/>
      <c r="B301" s="13"/>
      <c r="C301" s="13"/>
      <c r="D301" s="13"/>
      <c r="E301" s="12"/>
      <c r="F301" s="14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2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1"/>
    </row>
    <row r="302" spans="1:41" x14ac:dyDescent="0.2">
      <c r="A302" s="13"/>
      <c r="B302" s="13"/>
      <c r="C302" s="13"/>
      <c r="D302" s="13"/>
      <c r="E302" s="12"/>
      <c r="F302" s="14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2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1"/>
    </row>
    <row r="303" spans="1:41" x14ac:dyDescent="0.2">
      <c r="A303" s="13"/>
      <c r="B303" s="13"/>
      <c r="C303" s="13"/>
      <c r="D303" s="13"/>
      <c r="E303" s="12"/>
      <c r="F303" s="14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2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1"/>
    </row>
    <row r="304" spans="1:41" x14ac:dyDescent="0.2">
      <c r="A304" s="13"/>
      <c r="B304" s="13"/>
      <c r="C304" s="13"/>
      <c r="D304" s="13"/>
      <c r="E304" s="12"/>
      <c r="F304" s="14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2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1"/>
    </row>
    <row r="305" spans="1:40" x14ac:dyDescent="0.2">
      <c r="A305" s="13"/>
      <c r="B305" s="13"/>
      <c r="C305" s="13"/>
      <c r="D305" s="13"/>
      <c r="E305" s="12"/>
      <c r="F305" s="14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2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</row>
    <row r="306" spans="1:40" x14ac:dyDescent="0.2">
      <c r="A306" s="13"/>
      <c r="B306" s="13"/>
      <c r="C306" s="13"/>
      <c r="D306" s="13"/>
      <c r="E306" s="12"/>
      <c r="F306" s="14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2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</row>
    <row r="307" spans="1:40" x14ac:dyDescent="0.2">
      <c r="A307" s="13"/>
      <c r="B307" s="13"/>
      <c r="C307" s="13"/>
      <c r="D307" s="13"/>
      <c r="E307" s="12"/>
      <c r="F307" s="14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2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</row>
    <row r="308" spans="1:40" x14ac:dyDescent="0.2">
      <c r="A308" s="13"/>
      <c r="B308" s="13"/>
      <c r="C308" s="13"/>
      <c r="D308" s="13"/>
      <c r="E308" s="12"/>
      <c r="F308" s="14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2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</row>
    <row r="309" spans="1:40" x14ac:dyDescent="0.2">
      <c r="A309" s="13"/>
      <c r="B309" s="13"/>
      <c r="C309" s="13"/>
      <c r="D309" s="13"/>
      <c r="E309" s="12"/>
      <c r="F309" s="14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2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</row>
    <row r="310" spans="1:40" x14ac:dyDescent="0.2">
      <c r="A310" s="13"/>
      <c r="B310" s="13"/>
      <c r="C310" s="13"/>
      <c r="D310" s="13"/>
      <c r="E310" s="12"/>
      <c r="F310" s="14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2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</row>
    <row r="311" spans="1:40" x14ac:dyDescent="0.2">
      <c r="A311" s="13"/>
      <c r="B311" s="13"/>
      <c r="C311" s="13"/>
      <c r="D311" s="13"/>
      <c r="E311" s="12"/>
      <c r="F311" s="14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2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</row>
    <row r="312" spans="1:40" x14ac:dyDescent="0.2">
      <c r="A312" s="13"/>
      <c r="B312" s="13"/>
      <c r="C312" s="13"/>
      <c r="D312" s="13"/>
      <c r="E312" s="12"/>
      <c r="F312" s="14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2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</row>
    <row r="313" spans="1:40" x14ac:dyDescent="0.2">
      <c r="A313" s="13"/>
      <c r="B313" s="13"/>
      <c r="C313" s="13"/>
      <c r="D313" s="13"/>
      <c r="E313" s="12"/>
      <c r="F313" s="14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2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</row>
    <row r="314" spans="1:40" x14ac:dyDescent="0.2">
      <c r="A314" s="13"/>
      <c r="B314" s="13"/>
      <c r="C314" s="13"/>
      <c r="D314" s="13"/>
      <c r="E314" s="12"/>
      <c r="F314" s="14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2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</row>
    <row r="315" spans="1:40" x14ac:dyDescent="0.2">
      <c r="A315" s="13"/>
      <c r="B315" s="13"/>
      <c r="C315" s="13"/>
      <c r="D315" s="13"/>
      <c r="E315" s="12"/>
      <c r="F315" s="14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2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</row>
    <row r="316" spans="1:40" x14ac:dyDescent="0.2">
      <c r="A316" s="13"/>
      <c r="B316" s="13"/>
      <c r="C316" s="13"/>
      <c r="D316" s="13"/>
      <c r="E316" s="12"/>
      <c r="F316" s="14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2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</row>
    <row r="317" spans="1:40" x14ac:dyDescent="0.2">
      <c r="A317" s="13"/>
      <c r="B317" s="13"/>
      <c r="C317" s="13"/>
      <c r="D317" s="13"/>
      <c r="E317" s="12"/>
      <c r="F317" s="14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2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</row>
    <row r="318" spans="1:40" x14ac:dyDescent="0.2">
      <c r="A318" s="13"/>
      <c r="B318" s="13"/>
      <c r="C318" s="13"/>
      <c r="D318" s="13"/>
      <c r="E318" s="12"/>
      <c r="F318" s="14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2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</row>
    <row r="319" spans="1:40" x14ac:dyDescent="0.2">
      <c r="A319" s="13"/>
      <c r="B319" s="13"/>
      <c r="C319" s="13"/>
      <c r="D319" s="13"/>
      <c r="E319" s="12"/>
      <c r="F319" s="14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2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</row>
    <row r="320" spans="1:40" x14ac:dyDescent="0.2">
      <c r="A320" s="13"/>
      <c r="B320" s="13"/>
      <c r="C320" s="13"/>
      <c r="D320" s="13"/>
      <c r="E320" s="12"/>
      <c r="F320" s="14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2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</row>
    <row r="321" spans="1:40" x14ac:dyDescent="0.2">
      <c r="A321" s="13"/>
      <c r="B321" s="13"/>
      <c r="C321" s="13"/>
      <c r="D321" s="13"/>
      <c r="E321" s="12"/>
      <c r="F321" s="14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2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</row>
    <row r="322" spans="1:40" x14ac:dyDescent="0.2">
      <c r="A322" s="13"/>
      <c r="B322" s="13"/>
      <c r="C322" s="13"/>
      <c r="D322" s="13"/>
      <c r="E322" s="12"/>
      <c r="F322" s="14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2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</row>
    <row r="323" spans="1:40" x14ac:dyDescent="0.2">
      <c r="A323" s="13"/>
      <c r="B323" s="13"/>
      <c r="C323" s="13"/>
      <c r="D323" s="13"/>
      <c r="E323" s="12"/>
      <c r="F323" s="14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2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</row>
    <row r="324" spans="1:40" x14ac:dyDescent="0.2">
      <c r="A324" s="13"/>
      <c r="B324" s="13"/>
      <c r="C324" s="13"/>
      <c r="D324" s="13"/>
      <c r="E324" s="12"/>
      <c r="F324" s="14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2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</row>
    <row r="325" spans="1:40" x14ac:dyDescent="0.2">
      <c r="A325" s="13"/>
      <c r="B325" s="13"/>
      <c r="C325" s="13"/>
      <c r="D325" s="13"/>
      <c r="E325" s="12"/>
      <c r="F325" s="14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2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</row>
    <row r="326" spans="1:40" x14ac:dyDescent="0.2">
      <c r="A326" s="13"/>
      <c r="B326" s="13"/>
      <c r="C326" s="13"/>
      <c r="D326" s="13"/>
      <c r="E326" s="12"/>
      <c r="F326" s="14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2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</row>
    <row r="327" spans="1:40" x14ac:dyDescent="0.2">
      <c r="A327" s="13"/>
      <c r="B327" s="13"/>
      <c r="C327" s="13"/>
      <c r="D327" s="13"/>
      <c r="E327" s="12"/>
      <c r="F327" s="14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2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</row>
    <row r="328" spans="1:40" x14ac:dyDescent="0.2">
      <c r="A328" s="13"/>
      <c r="B328" s="13"/>
      <c r="C328" s="13"/>
      <c r="D328" s="13"/>
      <c r="E328" s="12"/>
      <c r="F328" s="14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2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</row>
    <row r="329" spans="1:40" x14ac:dyDescent="0.2">
      <c r="A329" s="13"/>
      <c r="B329" s="13"/>
      <c r="C329" s="13"/>
      <c r="D329" s="13"/>
      <c r="E329" s="12"/>
      <c r="F329" s="14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2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</row>
    <row r="330" spans="1:40" x14ac:dyDescent="0.2">
      <c r="A330" s="13"/>
      <c r="B330" s="13"/>
      <c r="C330" s="13"/>
      <c r="D330" s="13"/>
      <c r="E330" s="12"/>
      <c r="F330" s="14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2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</row>
    <row r="331" spans="1:40" x14ac:dyDescent="0.2">
      <c r="A331" s="13"/>
      <c r="B331" s="13"/>
      <c r="C331" s="13"/>
      <c r="D331" s="13"/>
      <c r="E331" s="12"/>
      <c r="F331" s="14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2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</row>
    <row r="332" spans="1:40" x14ac:dyDescent="0.2">
      <c r="A332" s="13"/>
      <c r="B332" s="13"/>
      <c r="C332" s="13"/>
      <c r="D332" s="13"/>
      <c r="E332" s="12"/>
      <c r="F332" s="14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2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</row>
    <row r="333" spans="1:40" x14ac:dyDescent="0.2">
      <c r="A333" s="13"/>
      <c r="B333" s="13"/>
      <c r="C333" s="13"/>
      <c r="D333" s="13"/>
      <c r="E333" s="12"/>
      <c r="F333" s="14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2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</row>
    <row r="334" spans="1:40" x14ac:dyDescent="0.2">
      <c r="A334" s="13"/>
      <c r="B334" s="13"/>
      <c r="C334" s="13"/>
      <c r="D334" s="13"/>
      <c r="E334" s="12"/>
      <c r="F334" s="14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2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</row>
    <row r="335" spans="1:40" x14ac:dyDescent="0.2">
      <c r="A335" s="13"/>
      <c r="B335" s="13"/>
      <c r="C335" s="13"/>
      <c r="D335" s="13"/>
      <c r="E335" s="12"/>
      <c r="F335" s="14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2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</row>
    <row r="336" spans="1:40" x14ac:dyDescent="0.2">
      <c r="A336" s="13"/>
      <c r="B336" s="13"/>
      <c r="C336" s="13"/>
      <c r="D336" s="13"/>
      <c r="E336" s="12"/>
      <c r="F336" s="14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2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</row>
    <row r="337" spans="1:40" x14ac:dyDescent="0.2">
      <c r="A337" s="13"/>
      <c r="B337" s="13"/>
      <c r="C337" s="13"/>
      <c r="D337" s="13"/>
      <c r="E337" s="12"/>
      <c r="F337" s="14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2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</row>
    <row r="338" spans="1:40" x14ac:dyDescent="0.2">
      <c r="A338" s="13"/>
      <c r="B338" s="13"/>
      <c r="C338" s="13"/>
      <c r="D338" s="13"/>
      <c r="E338" s="12"/>
      <c r="F338" s="14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2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</row>
    <row r="339" spans="1:40" x14ac:dyDescent="0.2">
      <c r="A339" s="13"/>
      <c r="B339" s="13"/>
      <c r="C339" s="13"/>
      <c r="D339" s="13"/>
      <c r="E339" s="12"/>
      <c r="F339" s="14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2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</row>
    <row r="340" spans="1:40" x14ac:dyDescent="0.2">
      <c r="A340" s="13"/>
      <c r="B340" s="13"/>
      <c r="C340" s="13"/>
      <c r="D340" s="13"/>
      <c r="E340" s="12"/>
      <c r="F340" s="14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2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</row>
    <row r="341" spans="1:40" x14ac:dyDescent="0.2">
      <c r="A341" s="13"/>
      <c r="B341" s="13"/>
      <c r="C341" s="13"/>
      <c r="D341" s="13"/>
      <c r="E341" s="12"/>
      <c r="F341" s="14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2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</row>
    <row r="342" spans="1:40" x14ac:dyDescent="0.2">
      <c r="A342" s="13"/>
      <c r="B342" s="13"/>
      <c r="C342" s="13"/>
      <c r="D342" s="13"/>
      <c r="E342" s="12"/>
      <c r="F342" s="14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2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</row>
    <row r="343" spans="1:40" x14ac:dyDescent="0.2">
      <c r="A343" s="13"/>
      <c r="B343" s="13"/>
      <c r="C343" s="13"/>
      <c r="D343" s="13"/>
      <c r="E343" s="12"/>
      <c r="F343" s="14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2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</row>
    <row r="344" spans="1:40" x14ac:dyDescent="0.2">
      <c r="A344" s="13"/>
      <c r="B344" s="13"/>
      <c r="C344" s="13"/>
      <c r="D344" s="13"/>
      <c r="E344" s="12"/>
      <c r="F344" s="14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2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</row>
    <row r="345" spans="1:40" x14ac:dyDescent="0.2">
      <c r="A345" s="13"/>
      <c r="B345" s="13"/>
      <c r="C345" s="13"/>
      <c r="D345" s="13"/>
      <c r="E345" s="12"/>
      <c r="F345" s="14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2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</row>
    <row r="346" spans="1:40" x14ac:dyDescent="0.2">
      <c r="A346" s="13"/>
      <c r="B346" s="13"/>
      <c r="C346" s="13"/>
      <c r="D346" s="13"/>
      <c r="E346" s="12"/>
      <c r="F346" s="14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2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</row>
    <row r="347" spans="1:40" x14ac:dyDescent="0.2">
      <c r="A347" s="13"/>
      <c r="B347" s="13"/>
      <c r="C347" s="13"/>
      <c r="D347" s="13"/>
      <c r="E347" s="12"/>
      <c r="F347" s="14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2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</row>
    <row r="348" spans="1:40" x14ac:dyDescent="0.2">
      <c r="A348" s="13"/>
      <c r="B348" s="13"/>
      <c r="C348" s="13"/>
      <c r="D348" s="13"/>
      <c r="E348" s="12"/>
      <c r="F348" s="14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2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</row>
    <row r="349" spans="1:40" x14ac:dyDescent="0.2">
      <c r="A349" s="13"/>
      <c r="B349" s="13"/>
      <c r="C349" s="13"/>
      <c r="D349" s="13"/>
      <c r="E349" s="12"/>
      <c r="F349" s="14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2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</row>
    <row r="350" spans="1:40" x14ac:dyDescent="0.2">
      <c r="A350" s="13"/>
      <c r="B350" s="13"/>
      <c r="C350" s="13"/>
      <c r="D350" s="13"/>
      <c r="E350" s="12"/>
      <c r="F350" s="14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2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</row>
    <row r="351" spans="1:40" x14ac:dyDescent="0.2">
      <c r="A351" s="13"/>
      <c r="B351" s="13"/>
      <c r="C351" s="13"/>
      <c r="D351" s="13"/>
      <c r="E351" s="12"/>
      <c r="F351" s="14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2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</row>
    <row r="352" spans="1:40" x14ac:dyDescent="0.2">
      <c r="A352" s="13"/>
      <c r="B352" s="13"/>
      <c r="C352" s="13"/>
      <c r="D352" s="13"/>
      <c r="E352" s="12"/>
      <c r="F352" s="14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2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</row>
    <row r="353" spans="1:40" x14ac:dyDescent="0.2">
      <c r="A353" s="13"/>
      <c r="B353" s="13"/>
      <c r="C353" s="13"/>
      <c r="D353" s="13"/>
      <c r="E353" s="12"/>
      <c r="F353" s="14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2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</row>
    <row r="354" spans="1:40" x14ac:dyDescent="0.2">
      <c r="A354" s="13"/>
      <c r="B354" s="13"/>
      <c r="C354" s="13"/>
      <c r="D354" s="13"/>
      <c r="E354" s="12"/>
      <c r="F354" s="14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2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</row>
    <row r="355" spans="1:40" x14ac:dyDescent="0.2">
      <c r="A355" s="13"/>
      <c r="B355" s="13"/>
      <c r="C355" s="13"/>
      <c r="D355" s="13"/>
      <c r="E355" s="12"/>
      <c r="F355" s="14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2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</row>
    <row r="356" spans="1:40" x14ac:dyDescent="0.2">
      <c r="A356" s="13"/>
      <c r="B356" s="13"/>
      <c r="C356" s="13"/>
      <c r="D356" s="13"/>
      <c r="E356" s="12"/>
      <c r="F356" s="14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2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</row>
    <row r="357" spans="1:40" x14ac:dyDescent="0.2">
      <c r="A357" s="13"/>
      <c r="B357" s="13"/>
      <c r="C357" s="13"/>
      <c r="D357" s="13"/>
      <c r="E357" s="12"/>
      <c r="F357" s="14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2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</row>
    <row r="358" spans="1:40" x14ac:dyDescent="0.2">
      <c r="A358" s="13"/>
      <c r="B358" s="13"/>
      <c r="C358" s="13"/>
      <c r="D358" s="13"/>
      <c r="E358" s="12"/>
      <c r="F358" s="14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2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</row>
    <row r="359" spans="1:40" x14ac:dyDescent="0.2">
      <c r="A359" s="13"/>
      <c r="B359" s="13"/>
      <c r="C359" s="13"/>
      <c r="D359" s="13"/>
      <c r="E359" s="12"/>
      <c r="F359" s="14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2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</row>
    <row r="360" spans="1:40" x14ac:dyDescent="0.2">
      <c r="A360" s="13"/>
      <c r="B360" s="13"/>
      <c r="C360" s="13"/>
      <c r="D360" s="13"/>
      <c r="E360" s="12"/>
      <c r="F360" s="14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2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</row>
    <row r="361" spans="1:40" x14ac:dyDescent="0.2">
      <c r="A361" s="13"/>
      <c r="B361" s="13"/>
      <c r="C361" s="13"/>
      <c r="D361" s="13"/>
      <c r="E361" s="12"/>
      <c r="F361" s="14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2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</row>
    <row r="362" spans="1:40" x14ac:dyDescent="0.2">
      <c r="A362" s="13"/>
      <c r="B362" s="13"/>
      <c r="C362" s="13"/>
      <c r="D362" s="13"/>
      <c r="E362" s="12"/>
      <c r="F362" s="14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2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</row>
    <row r="363" spans="1:40" x14ac:dyDescent="0.2">
      <c r="A363" s="13"/>
      <c r="B363" s="13"/>
      <c r="C363" s="13"/>
      <c r="D363" s="13"/>
      <c r="E363" s="12"/>
      <c r="F363" s="14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2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</row>
    <row r="364" spans="1:40" x14ac:dyDescent="0.2">
      <c r="A364" s="13"/>
      <c r="B364" s="13"/>
      <c r="C364" s="13"/>
      <c r="D364" s="13"/>
      <c r="E364" s="12"/>
      <c r="F364" s="14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2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</row>
    <row r="365" spans="1:40" x14ac:dyDescent="0.2">
      <c r="A365" s="13"/>
      <c r="B365" s="13"/>
      <c r="C365" s="13"/>
      <c r="D365" s="13"/>
      <c r="E365" s="12"/>
      <c r="F365" s="14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2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</row>
    <row r="366" spans="1:40" x14ac:dyDescent="0.2">
      <c r="A366" s="13"/>
      <c r="B366" s="13"/>
      <c r="C366" s="13"/>
      <c r="D366" s="13"/>
      <c r="E366" s="12"/>
      <c r="F366" s="14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2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</row>
    <row r="367" spans="1:40" x14ac:dyDescent="0.2">
      <c r="A367" s="13"/>
      <c r="B367" s="13"/>
      <c r="C367" s="13"/>
      <c r="D367" s="13"/>
      <c r="E367" s="12"/>
      <c r="F367" s="14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2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</row>
    <row r="368" spans="1:40" x14ac:dyDescent="0.2">
      <c r="A368" s="13"/>
      <c r="B368" s="13"/>
      <c r="C368" s="13"/>
      <c r="D368" s="13"/>
      <c r="E368" s="12"/>
      <c r="F368" s="14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2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</row>
    <row r="369" spans="1:40" x14ac:dyDescent="0.2">
      <c r="A369" s="13"/>
      <c r="B369" s="13"/>
      <c r="C369" s="13"/>
      <c r="D369" s="13"/>
      <c r="E369" s="12"/>
      <c r="F369" s="14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2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</row>
    <row r="370" spans="1:40" x14ac:dyDescent="0.2">
      <c r="A370" s="13"/>
      <c r="B370" s="13"/>
      <c r="C370" s="13"/>
      <c r="D370" s="13"/>
      <c r="E370" s="12"/>
      <c r="F370" s="14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2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</row>
    <row r="371" spans="1:40" x14ac:dyDescent="0.2">
      <c r="A371" s="13"/>
      <c r="B371" s="13"/>
      <c r="C371" s="13"/>
      <c r="D371" s="13"/>
      <c r="E371" s="12"/>
      <c r="F371" s="14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2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</row>
    <row r="372" spans="1:40" x14ac:dyDescent="0.2">
      <c r="A372" s="13"/>
      <c r="B372" s="13"/>
      <c r="C372" s="13"/>
      <c r="D372" s="13"/>
      <c r="E372" s="12"/>
      <c r="F372" s="14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2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</row>
    <row r="373" spans="1:40" x14ac:dyDescent="0.2">
      <c r="A373" s="13"/>
      <c r="B373" s="13"/>
      <c r="C373" s="13"/>
      <c r="D373" s="13"/>
      <c r="E373" s="12"/>
      <c r="F373" s="14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2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</row>
    <row r="374" spans="1:40" x14ac:dyDescent="0.2">
      <c r="A374" s="13"/>
      <c r="B374" s="13"/>
      <c r="C374" s="13"/>
      <c r="D374" s="13"/>
      <c r="E374" s="12"/>
      <c r="F374" s="14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2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</row>
    <row r="375" spans="1:40" x14ac:dyDescent="0.2">
      <c r="A375" s="13"/>
      <c r="B375" s="13"/>
      <c r="C375" s="13"/>
      <c r="D375" s="13"/>
      <c r="E375" s="12"/>
      <c r="F375" s="14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2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</row>
    <row r="376" spans="1:40" x14ac:dyDescent="0.2">
      <c r="A376" s="13"/>
      <c r="B376" s="13"/>
      <c r="C376" s="13"/>
      <c r="D376" s="13"/>
      <c r="E376" s="12"/>
      <c r="F376" s="14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2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</row>
    <row r="377" spans="1:40" x14ac:dyDescent="0.2">
      <c r="A377" s="13"/>
      <c r="B377" s="13"/>
      <c r="C377" s="13"/>
      <c r="D377" s="13"/>
      <c r="E377" s="12"/>
      <c r="F377" s="14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2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</row>
    <row r="378" spans="1:40" x14ac:dyDescent="0.2">
      <c r="A378" s="13"/>
      <c r="B378" s="13"/>
      <c r="C378" s="13"/>
      <c r="D378" s="13"/>
      <c r="E378" s="12"/>
      <c r="F378" s="14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2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</row>
    <row r="379" spans="1:40" x14ac:dyDescent="0.2">
      <c r="A379" s="13"/>
      <c r="B379" s="13"/>
      <c r="C379" s="13"/>
      <c r="D379" s="13"/>
      <c r="E379" s="12"/>
      <c r="F379" s="14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2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</row>
    <row r="380" spans="1:40" x14ac:dyDescent="0.2">
      <c r="A380" s="13"/>
      <c r="B380" s="13"/>
      <c r="C380" s="13"/>
      <c r="D380" s="13"/>
      <c r="E380" s="12"/>
      <c r="F380" s="14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2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</row>
    <row r="381" spans="1:40" x14ac:dyDescent="0.2">
      <c r="A381" s="13"/>
      <c r="B381" s="13"/>
      <c r="C381" s="13"/>
      <c r="D381" s="13"/>
      <c r="E381" s="12"/>
      <c r="F381" s="14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2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</row>
    <row r="382" spans="1:40" x14ac:dyDescent="0.2">
      <c r="A382" s="13"/>
      <c r="B382" s="13"/>
      <c r="C382" s="13"/>
      <c r="D382" s="13"/>
      <c r="E382" s="12"/>
      <c r="F382" s="14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2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</row>
    <row r="383" spans="1:40" x14ac:dyDescent="0.2">
      <c r="A383" s="13"/>
      <c r="B383" s="13"/>
      <c r="C383" s="13"/>
      <c r="D383" s="13"/>
      <c r="E383" s="12"/>
      <c r="F383" s="14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2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</row>
    <row r="384" spans="1:40" x14ac:dyDescent="0.2">
      <c r="A384" s="13"/>
      <c r="B384" s="13"/>
      <c r="C384" s="13"/>
      <c r="D384" s="13"/>
      <c r="E384" s="12"/>
      <c r="F384" s="14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2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</row>
    <row r="385" spans="1:40" x14ac:dyDescent="0.2">
      <c r="A385" s="13"/>
      <c r="B385" s="13"/>
      <c r="C385" s="13"/>
      <c r="D385" s="13"/>
      <c r="E385" s="12"/>
      <c r="F385" s="14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2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</row>
    <row r="386" spans="1:40" x14ac:dyDescent="0.2">
      <c r="A386" s="13"/>
      <c r="B386" s="13"/>
      <c r="C386" s="13"/>
      <c r="D386" s="13"/>
      <c r="E386" s="12"/>
      <c r="F386" s="14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2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</row>
    <row r="387" spans="1:40" x14ac:dyDescent="0.2">
      <c r="A387" s="13"/>
      <c r="B387" s="13"/>
      <c r="C387" s="13"/>
      <c r="D387" s="13"/>
      <c r="E387" s="12"/>
      <c r="F387" s="14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2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</row>
    <row r="388" spans="1:40" x14ac:dyDescent="0.2">
      <c r="A388" s="13"/>
      <c r="B388" s="13"/>
      <c r="C388" s="13"/>
      <c r="D388" s="13"/>
      <c r="E388" s="12"/>
      <c r="F388" s="14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2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</row>
    <row r="389" spans="1:40" x14ac:dyDescent="0.2">
      <c r="A389" s="13"/>
      <c r="B389" s="13"/>
      <c r="C389" s="13"/>
      <c r="D389" s="13"/>
      <c r="E389" s="12"/>
      <c r="F389" s="14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2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</row>
    <row r="390" spans="1:40" x14ac:dyDescent="0.2">
      <c r="A390" s="13"/>
      <c r="B390" s="13"/>
      <c r="C390" s="13"/>
      <c r="D390" s="13"/>
      <c r="E390" s="12"/>
      <c r="F390" s="14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2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</row>
    <row r="391" spans="1:40" x14ac:dyDescent="0.2">
      <c r="A391" s="13"/>
      <c r="B391" s="13"/>
      <c r="C391" s="13"/>
      <c r="D391" s="13"/>
      <c r="E391" s="12"/>
      <c r="F391" s="14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2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</row>
    <row r="392" spans="1:40" x14ac:dyDescent="0.2">
      <c r="A392" s="13"/>
      <c r="B392" s="13"/>
      <c r="C392" s="13"/>
      <c r="D392" s="13"/>
      <c r="E392" s="12"/>
      <c r="F392" s="14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2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</row>
    <row r="393" spans="1:40" x14ac:dyDescent="0.2">
      <c r="A393" s="13"/>
      <c r="B393" s="13"/>
      <c r="C393" s="13"/>
      <c r="D393" s="13"/>
      <c r="E393" s="12"/>
      <c r="F393" s="14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2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</row>
    <row r="394" spans="1:40" x14ac:dyDescent="0.2">
      <c r="A394" s="13"/>
      <c r="B394" s="13"/>
      <c r="C394" s="13"/>
      <c r="D394" s="13"/>
      <c r="E394" s="12"/>
      <c r="F394" s="14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2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</row>
    <row r="395" spans="1:40" x14ac:dyDescent="0.2">
      <c r="A395" s="13"/>
      <c r="B395" s="13"/>
      <c r="C395" s="13"/>
      <c r="D395" s="13"/>
      <c r="E395" s="12"/>
      <c r="F395" s="14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2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</row>
    <row r="396" spans="1:40" x14ac:dyDescent="0.2">
      <c r="A396" s="13"/>
      <c r="B396" s="13"/>
      <c r="C396" s="13"/>
      <c r="D396" s="13"/>
      <c r="E396" s="12"/>
      <c r="F396" s="14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2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</row>
    <row r="397" spans="1:40" x14ac:dyDescent="0.2">
      <c r="A397" s="13"/>
      <c r="B397" s="13"/>
      <c r="C397" s="13"/>
      <c r="D397" s="13"/>
      <c r="E397" s="12"/>
      <c r="F397" s="14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2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</row>
    <row r="398" spans="1:40" x14ac:dyDescent="0.2">
      <c r="A398" s="13"/>
      <c r="B398" s="13"/>
      <c r="C398" s="13"/>
      <c r="D398" s="13"/>
      <c r="E398" s="12"/>
      <c r="F398" s="14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2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</row>
    <row r="399" spans="1:40" x14ac:dyDescent="0.2">
      <c r="A399" s="13"/>
      <c r="B399" s="13"/>
      <c r="C399" s="13"/>
      <c r="D399" s="13"/>
      <c r="E399" s="12"/>
      <c r="F399" s="14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2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</row>
    <row r="400" spans="1:40" x14ac:dyDescent="0.2">
      <c r="A400" s="13"/>
      <c r="B400" s="13"/>
      <c r="C400" s="13"/>
      <c r="D400" s="13"/>
      <c r="E400" s="12"/>
      <c r="F400" s="14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2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</row>
    <row r="401" spans="1:40" x14ac:dyDescent="0.2">
      <c r="A401" s="13"/>
      <c r="B401" s="13"/>
      <c r="C401" s="13"/>
      <c r="D401" s="13"/>
      <c r="E401" s="12"/>
      <c r="F401" s="14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2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</row>
    <row r="402" spans="1:40" x14ac:dyDescent="0.2">
      <c r="A402" s="13"/>
      <c r="B402" s="13"/>
      <c r="C402" s="13"/>
      <c r="D402" s="13"/>
      <c r="E402" s="12"/>
      <c r="F402" s="14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2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</row>
    <row r="403" spans="1:40" x14ac:dyDescent="0.2">
      <c r="A403" s="13"/>
      <c r="B403" s="13"/>
      <c r="C403" s="13"/>
      <c r="D403" s="13"/>
      <c r="E403" s="12"/>
      <c r="F403" s="14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2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</row>
    <row r="404" spans="1:40" x14ac:dyDescent="0.2">
      <c r="A404" s="13"/>
      <c r="B404" s="13"/>
      <c r="C404" s="13"/>
      <c r="D404" s="13"/>
      <c r="E404" s="12"/>
      <c r="F404" s="14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2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</row>
    <row r="405" spans="1:40" x14ac:dyDescent="0.2">
      <c r="A405" s="13"/>
      <c r="B405" s="13"/>
      <c r="C405" s="13"/>
      <c r="D405" s="13"/>
      <c r="E405" s="12"/>
      <c r="F405" s="14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2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</row>
    <row r="406" spans="1:40" x14ac:dyDescent="0.2">
      <c r="A406" s="13"/>
      <c r="B406" s="13"/>
      <c r="C406" s="13"/>
      <c r="D406" s="13"/>
      <c r="E406" s="12"/>
      <c r="F406" s="14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2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</row>
    <row r="407" spans="1:40" x14ac:dyDescent="0.2">
      <c r="A407" s="13"/>
      <c r="B407" s="13"/>
      <c r="C407" s="13"/>
      <c r="D407" s="13"/>
      <c r="E407" s="12"/>
      <c r="F407" s="14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2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</row>
    <row r="408" spans="1:40" x14ac:dyDescent="0.2">
      <c r="A408" s="13"/>
      <c r="B408" s="13"/>
      <c r="C408" s="13"/>
      <c r="D408" s="13"/>
      <c r="E408" s="12"/>
      <c r="F408" s="14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2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</row>
    <row r="409" spans="1:40" x14ac:dyDescent="0.2">
      <c r="A409" s="13"/>
      <c r="B409" s="13"/>
      <c r="C409" s="13"/>
      <c r="D409" s="13"/>
      <c r="E409" s="12"/>
      <c r="F409" s="14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2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</row>
    <row r="410" spans="1:40" x14ac:dyDescent="0.2">
      <c r="A410" s="13"/>
      <c r="B410" s="13"/>
      <c r="C410" s="13"/>
      <c r="D410" s="13"/>
      <c r="E410" s="12"/>
      <c r="F410" s="14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2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</row>
    <row r="411" spans="1:40" x14ac:dyDescent="0.2">
      <c r="A411" s="13"/>
      <c r="B411" s="13"/>
      <c r="C411" s="13"/>
      <c r="D411" s="13"/>
      <c r="E411" s="12"/>
      <c r="F411" s="14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2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</row>
    <row r="412" spans="1:40" x14ac:dyDescent="0.2">
      <c r="A412" s="13"/>
      <c r="B412" s="13"/>
      <c r="C412" s="13"/>
      <c r="D412" s="13"/>
      <c r="E412" s="12"/>
      <c r="F412" s="14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2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</row>
    <row r="413" spans="1:40" x14ac:dyDescent="0.2">
      <c r="A413" s="13"/>
      <c r="B413" s="13"/>
      <c r="C413" s="13"/>
      <c r="D413" s="13"/>
      <c r="E413" s="12"/>
      <c r="F413" s="14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2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</row>
    <row r="414" spans="1:40" x14ac:dyDescent="0.2">
      <c r="A414" s="13"/>
      <c r="B414" s="13"/>
      <c r="C414" s="13"/>
      <c r="D414" s="13"/>
      <c r="E414" s="12"/>
      <c r="F414" s="14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2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</row>
    <row r="415" spans="1:40" x14ac:dyDescent="0.2">
      <c r="A415" s="13"/>
      <c r="B415" s="13"/>
      <c r="C415" s="13"/>
      <c r="D415" s="13"/>
      <c r="E415" s="12"/>
      <c r="F415" s="14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2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</row>
    <row r="416" spans="1:40" x14ac:dyDescent="0.2">
      <c r="A416" s="13"/>
      <c r="B416" s="13"/>
      <c r="C416" s="13"/>
      <c r="D416" s="13"/>
      <c r="E416" s="12"/>
      <c r="F416" s="14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2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</row>
    <row r="417" spans="1:40" x14ac:dyDescent="0.2">
      <c r="A417" s="13"/>
      <c r="B417" s="13"/>
      <c r="C417" s="13"/>
      <c r="D417" s="13"/>
      <c r="E417" s="12"/>
      <c r="F417" s="14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2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</row>
    <row r="418" spans="1:40" x14ac:dyDescent="0.2">
      <c r="A418" s="13"/>
      <c r="B418" s="13"/>
      <c r="C418" s="13"/>
      <c r="D418" s="13"/>
      <c r="E418" s="12"/>
      <c r="F418" s="14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2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</row>
    <row r="419" spans="1:40" x14ac:dyDescent="0.2">
      <c r="A419" s="13"/>
      <c r="B419" s="13"/>
      <c r="C419" s="13"/>
      <c r="D419" s="13"/>
      <c r="E419" s="12"/>
      <c r="F419" s="14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2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</row>
    <row r="420" spans="1:40" x14ac:dyDescent="0.2">
      <c r="A420" s="13"/>
      <c r="B420" s="13"/>
      <c r="C420" s="13"/>
      <c r="D420" s="13"/>
      <c r="E420" s="12"/>
      <c r="F420" s="14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2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</row>
    <row r="421" spans="1:40" x14ac:dyDescent="0.2">
      <c r="A421" s="13"/>
      <c r="B421" s="13"/>
      <c r="C421" s="13"/>
      <c r="D421" s="13"/>
      <c r="E421" s="12"/>
      <c r="F421" s="14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2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</row>
    <row r="422" spans="1:40" x14ac:dyDescent="0.2">
      <c r="A422" s="13"/>
      <c r="B422" s="13"/>
      <c r="C422" s="13"/>
      <c r="D422" s="13"/>
      <c r="E422" s="12"/>
      <c r="F422" s="14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2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</row>
    <row r="423" spans="1:40" x14ac:dyDescent="0.2">
      <c r="A423" s="13"/>
      <c r="B423" s="13"/>
      <c r="C423" s="13"/>
      <c r="D423" s="13"/>
      <c r="E423" s="12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2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</row>
    <row r="424" spans="1:40" x14ac:dyDescent="0.2">
      <c r="A424" s="13"/>
      <c r="B424" s="13"/>
      <c r="C424" s="13"/>
      <c r="D424" s="13"/>
      <c r="E424" s="12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2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</row>
    <row r="425" spans="1:40" x14ac:dyDescent="0.2">
      <c r="A425" s="13"/>
      <c r="B425" s="13"/>
      <c r="C425" s="13"/>
      <c r="D425" s="13"/>
      <c r="E425" s="12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2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</row>
    <row r="426" spans="1:40" x14ac:dyDescent="0.2">
      <c r="A426" s="13"/>
      <c r="B426" s="13"/>
      <c r="C426" s="13"/>
      <c r="D426" s="13"/>
      <c r="E426" s="12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2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</row>
    <row r="427" spans="1:40" x14ac:dyDescent="0.2">
      <c r="A427" s="13"/>
      <c r="B427" s="13"/>
      <c r="C427" s="13"/>
      <c r="D427" s="13"/>
      <c r="E427" s="12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2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</row>
    <row r="428" spans="1:40" x14ac:dyDescent="0.2">
      <c r="A428" s="13"/>
      <c r="B428" s="13"/>
      <c r="C428" s="13"/>
      <c r="D428" s="13"/>
      <c r="E428" s="12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2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</row>
    <row r="429" spans="1:40" x14ac:dyDescent="0.2">
      <c r="A429" s="13"/>
      <c r="B429" s="13"/>
      <c r="C429" s="13"/>
      <c r="D429" s="13"/>
      <c r="E429" s="12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2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</row>
    <row r="430" spans="1:40" x14ac:dyDescent="0.2">
      <c r="A430" s="13"/>
      <c r="B430" s="13"/>
      <c r="C430" s="13"/>
      <c r="D430" s="13"/>
      <c r="E430" s="12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2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</row>
    <row r="431" spans="1:40" x14ac:dyDescent="0.2">
      <c r="A431" s="13"/>
      <c r="B431" s="13"/>
      <c r="C431" s="13"/>
      <c r="D431" s="13"/>
      <c r="E431" s="12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2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</row>
    <row r="432" spans="1:40" x14ac:dyDescent="0.2">
      <c r="A432" s="13"/>
      <c r="B432" s="13"/>
      <c r="C432" s="13"/>
      <c r="D432" s="13"/>
      <c r="E432" s="12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2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</row>
    <row r="433" spans="1:40" x14ac:dyDescent="0.2">
      <c r="A433" s="13"/>
      <c r="B433" s="13"/>
      <c r="C433" s="13"/>
      <c r="D433" s="13"/>
      <c r="E433" s="12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2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</row>
    <row r="434" spans="1:40" x14ac:dyDescent="0.2">
      <c r="A434" s="13"/>
      <c r="B434" s="13"/>
      <c r="C434" s="13"/>
      <c r="D434" s="13"/>
      <c r="E434" s="12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2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</row>
    <row r="435" spans="1:40" x14ac:dyDescent="0.2">
      <c r="A435" s="13"/>
      <c r="B435" s="13"/>
      <c r="C435" s="13"/>
      <c r="D435" s="13"/>
      <c r="E435" s="12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2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</row>
    <row r="436" spans="1:40" x14ac:dyDescent="0.2">
      <c r="A436" s="13"/>
      <c r="B436" s="13"/>
      <c r="C436" s="13"/>
      <c r="D436" s="13"/>
      <c r="E436" s="12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2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</row>
    <row r="437" spans="1:40" x14ac:dyDescent="0.2">
      <c r="A437" s="13"/>
      <c r="B437" s="13"/>
      <c r="C437" s="13"/>
      <c r="D437" s="13"/>
      <c r="E437" s="12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2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</row>
    <row r="438" spans="1:40" x14ac:dyDescent="0.2">
      <c r="A438" s="13"/>
      <c r="B438" s="13"/>
      <c r="C438" s="13"/>
      <c r="D438" s="13"/>
      <c r="E438" s="12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2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</row>
    <row r="439" spans="1:40" x14ac:dyDescent="0.2">
      <c r="A439" s="13"/>
      <c r="B439" s="13"/>
      <c r="C439" s="13"/>
      <c r="D439" s="13"/>
      <c r="E439" s="12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2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</row>
    <row r="440" spans="1:40" x14ac:dyDescent="0.2">
      <c r="A440" s="13"/>
      <c r="B440" s="13"/>
      <c r="C440" s="13"/>
      <c r="D440" s="13"/>
      <c r="E440" s="12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2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</row>
    <row r="441" spans="1:40" x14ac:dyDescent="0.2">
      <c r="A441" s="13"/>
      <c r="B441" s="13"/>
      <c r="C441" s="13"/>
      <c r="D441" s="13"/>
      <c r="E441" s="12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2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</row>
    <row r="442" spans="1:40" x14ac:dyDescent="0.2">
      <c r="A442" s="13"/>
      <c r="B442" s="13"/>
      <c r="C442" s="13"/>
      <c r="D442" s="13"/>
      <c r="E442" s="12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2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</row>
    <row r="443" spans="1:40" x14ac:dyDescent="0.2">
      <c r="A443" s="13"/>
      <c r="B443" s="13"/>
      <c r="C443" s="13"/>
      <c r="D443" s="13"/>
      <c r="E443" s="12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2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</row>
    <row r="444" spans="1:40" x14ac:dyDescent="0.2">
      <c r="A444" s="13"/>
      <c r="B444" s="13"/>
      <c r="C444" s="13"/>
      <c r="D444" s="13"/>
      <c r="E444" s="12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2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</row>
    <row r="445" spans="1:40" x14ac:dyDescent="0.2">
      <c r="A445" s="13"/>
      <c r="B445" s="13"/>
      <c r="C445" s="13"/>
      <c r="D445" s="13"/>
      <c r="E445" s="12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2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</row>
    <row r="446" spans="1:40" x14ac:dyDescent="0.2">
      <c r="A446" s="13"/>
      <c r="B446" s="13"/>
      <c r="C446" s="13"/>
      <c r="D446" s="13"/>
      <c r="E446" s="12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2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</row>
    <row r="447" spans="1:40" x14ac:dyDescent="0.2">
      <c r="A447" s="13"/>
      <c r="B447" s="13"/>
      <c r="C447" s="13"/>
      <c r="D447" s="13"/>
      <c r="E447" s="12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2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</row>
    <row r="448" spans="1:40" x14ac:dyDescent="0.2">
      <c r="A448" s="13"/>
      <c r="B448" s="13"/>
      <c r="C448" s="13"/>
      <c r="D448" s="13"/>
      <c r="E448" s="12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2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</row>
    <row r="449" spans="1:40" x14ac:dyDescent="0.2">
      <c r="A449" s="13"/>
      <c r="B449" s="13"/>
      <c r="C449" s="13"/>
      <c r="D449" s="13"/>
      <c r="E449" s="12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2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</row>
    <row r="450" spans="1:40" x14ac:dyDescent="0.2">
      <c r="A450" s="13"/>
      <c r="B450" s="13"/>
      <c r="C450" s="13"/>
      <c r="D450" s="13"/>
      <c r="E450" s="12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2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</row>
    <row r="451" spans="1:40" x14ac:dyDescent="0.2">
      <c r="A451" s="13"/>
      <c r="B451" s="13"/>
      <c r="C451" s="13"/>
      <c r="D451" s="13"/>
      <c r="E451" s="12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2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</row>
    <row r="452" spans="1:40" x14ac:dyDescent="0.2">
      <c r="A452" s="13"/>
      <c r="B452" s="13"/>
      <c r="C452" s="13"/>
      <c r="D452" s="13"/>
      <c r="E452" s="12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2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</row>
    <row r="453" spans="1:40" x14ac:dyDescent="0.2">
      <c r="A453" s="13"/>
      <c r="B453" s="13"/>
      <c r="C453" s="13"/>
      <c r="D453" s="13"/>
      <c r="E453" s="12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2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</row>
    <row r="454" spans="1:40" x14ac:dyDescent="0.2">
      <c r="A454" s="13"/>
      <c r="B454" s="13"/>
      <c r="C454" s="13"/>
      <c r="D454" s="13"/>
      <c r="E454" s="12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2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</row>
    <row r="455" spans="1:40" x14ac:dyDescent="0.2">
      <c r="A455" s="13"/>
      <c r="B455" s="13"/>
      <c r="C455" s="13"/>
      <c r="D455" s="13"/>
      <c r="E455" s="12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2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</row>
    <row r="456" spans="1:40" x14ac:dyDescent="0.2">
      <c r="A456" s="13"/>
      <c r="B456" s="13"/>
      <c r="C456" s="13"/>
      <c r="D456" s="13"/>
      <c r="E456" s="12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2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</row>
    <row r="457" spans="1:40" x14ac:dyDescent="0.2">
      <c r="A457" s="13"/>
      <c r="B457" s="13"/>
      <c r="C457" s="13"/>
      <c r="D457" s="13"/>
      <c r="E457" s="12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2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</row>
    <row r="458" spans="1:40" x14ac:dyDescent="0.2">
      <c r="A458" s="13"/>
      <c r="B458" s="13"/>
      <c r="C458" s="13"/>
      <c r="D458" s="13"/>
      <c r="E458" s="12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2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</row>
    <row r="459" spans="1:40" x14ac:dyDescent="0.2">
      <c r="A459" s="13"/>
      <c r="B459" s="13"/>
      <c r="C459" s="13"/>
      <c r="D459" s="13"/>
      <c r="E459" s="12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2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</row>
    <row r="460" spans="1:40" x14ac:dyDescent="0.2">
      <c r="A460" s="13"/>
      <c r="B460" s="13"/>
      <c r="C460" s="13"/>
      <c r="D460" s="13"/>
      <c r="E460" s="12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2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</row>
    <row r="461" spans="1:40" x14ac:dyDescent="0.2">
      <c r="A461" s="13"/>
      <c r="B461" s="13"/>
      <c r="C461" s="13"/>
      <c r="D461" s="13"/>
      <c r="E461" s="12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2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</row>
    <row r="462" spans="1:40" x14ac:dyDescent="0.2">
      <c r="A462" s="13"/>
      <c r="B462" s="13"/>
      <c r="C462" s="13"/>
      <c r="D462" s="13"/>
      <c r="E462" s="12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2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</row>
    <row r="463" spans="1:40" x14ac:dyDescent="0.2">
      <c r="A463" s="13"/>
      <c r="B463" s="13"/>
      <c r="C463" s="13"/>
      <c r="D463" s="13"/>
      <c r="E463" s="12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2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</row>
    <row r="464" spans="1:40" x14ac:dyDescent="0.2">
      <c r="A464" s="13"/>
      <c r="B464" s="13"/>
      <c r="C464" s="13"/>
      <c r="D464" s="13"/>
      <c r="E464" s="12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2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</row>
    <row r="465" spans="1:40" x14ac:dyDescent="0.2">
      <c r="A465" s="13"/>
      <c r="B465" s="13"/>
      <c r="C465" s="13"/>
      <c r="D465" s="13"/>
      <c r="E465" s="12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2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</row>
    <row r="466" spans="1:40" x14ac:dyDescent="0.2">
      <c r="A466" s="13"/>
      <c r="B466" s="13"/>
      <c r="C466" s="13"/>
      <c r="D466" s="13"/>
      <c r="E466" s="12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2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</row>
    <row r="467" spans="1:40" x14ac:dyDescent="0.2">
      <c r="A467" s="13"/>
      <c r="B467" s="13"/>
      <c r="C467" s="13"/>
      <c r="D467" s="13"/>
      <c r="E467" s="12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2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</row>
    <row r="468" spans="1:40" x14ac:dyDescent="0.2">
      <c r="A468" s="13"/>
      <c r="B468" s="13"/>
      <c r="C468" s="13"/>
      <c r="D468" s="13"/>
      <c r="E468" s="12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2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</row>
    <row r="469" spans="1:40" x14ac:dyDescent="0.2">
      <c r="A469" s="13"/>
      <c r="B469" s="13"/>
      <c r="C469" s="13"/>
      <c r="D469" s="13"/>
      <c r="E469" s="12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2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</row>
    <row r="470" spans="1:40" x14ac:dyDescent="0.2">
      <c r="A470" s="13"/>
      <c r="B470" s="13"/>
      <c r="C470" s="13"/>
      <c r="D470" s="13"/>
      <c r="E470" s="12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2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</row>
    <row r="471" spans="1:40" x14ac:dyDescent="0.2">
      <c r="A471" s="13"/>
      <c r="B471" s="13"/>
      <c r="C471" s="13"/>
      <c r="D471" s="13"/>
      <c r="E471" s="12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2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</row>
    <row r="472" spans="1:40" x14ac:dyDescent="0.2">
      <c r="A472" s="13"/>
      <c r="B472" s="13"/>
      <c r="C472" s="13"/>
      <c r="D472" s="13"/>
      <c r="E472" s="12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2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</row>
    <row r="473" spans="1:40" x14ac:dyDescent="0.2">
      <c r="A473" s="13"/>
      <c r="B473" s="13"/>
      <c r="C473" s="13"/>
      <c r="D473" s="13"/>
      <c r="E473" s="12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2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</row>
    <row r="474" spans="1:40" x14ac:dyDescent="0.2">
      <c r="A474" s="13"/>
      <c r="B474" s="13"/>
      <c r="C474" s="13"/>
      <c r="D474" s="13"/>
      <c r="E474" s="12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2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</row>
    <row r="475" spans="1:40" x14ac:dyDescent="0.2">
      <c r="A475" s="13"/>
      <c r="B475" s="13"/>
      <c r="C475" s="13"/>
      <c r="D475" s="13"/>
      <c r="E475" s="12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2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</row>
    <row r="476" spans="1:40" x14ac:dyDescent="0.2">
      <c r="A476" s="13"/>
      <c r="B476" s="13"/>
      <c r="C476" s="13"/>
      <c r="D476" s="13"/>
      <c r="E476" s="12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2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</row>
    <row r="477" spans="1:40" x14ac:dyDescent="0.2">
      <c r="A477" s="13"/>
      <c r="B477" s="13"/>
      <c r="C477" s="13"/>
      <c r="D477" s="13"/>
      <c r="E477" s="12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2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</row>
    <row r="478" spans="1:40" x14ac:dyDescent="0.2">
      <c r="A478" s="13"/>
      <c r="B478" s="13"/>
      <c r="C478" s="13"/>
      <c r="D478" s="13"/>
      <c r="E478" s="12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2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</row>
    <row r="479" spans="1:40" x14ac:dyDescent="0.2">
      <c r="A479" s="13"/>
      <c r="B479" s="13"/>
      <c r="C479" s="13"/>
      <c r="D479" s="13"/>
      <c r="E479" s="12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2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</row>
    <row r="480" spans="1:40" x14ac:dyDescent="0.2">
      <c r="A480" s="13"/>
      <c r="B480" s="13"/>
      <c r="C480" s="13"/>
      <c r="D480" s="13"/>
      <c r="E480" s="12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2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</row>
    <row r="481" spans="1:40" x14ac:dyDescent="0.2">
      <c r="A481" s="13"/>
      <c r="B481" s="13"/>
      <c r="C481" s="13"/>
      <c r="D481" s="13"/>
      <c r="E481" s="12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2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</row>
    <row r="482" spans="1:40" x14ac:dyDescent="0.2">
      <c r="A482" s="13"/>
      <c r="B482" s="13"/>
      <c r="C482" s="13"/>
      <c r="D482" s="13"/>
      <c r="E482" s="12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2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</row>
    <row r="483" spans="1:40" x14ac:dyDescent="0.2">
      <c r="A483" s="13"/>
      <c r="B483" s="13"/>
      <c r="C483" s="13"/>
      <c r="D483" s="13"/>
      <c r="E483" s="12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2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</row>
    <row r="484" spans="1:40" x14ac:dyDescent="0.2">
      <c r="A484" s="13"/>
      <c r="B484" s="13"/>
      <c r="C484" s="13"/>
      <c r="D484" s="13"/>
      <c r="E484" s="12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2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</row>
    <row r="485" spans="1:40" x14ac:dyDescent="0.2">
      <c r="A485" s="13"/>
      <c r="B485" s="13"/>
      <c r="C485" s="13"/>
      <c r="D485" s="13"/>
      <c r="E485" s="12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2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</row>
    <row r="486" spans="1:40" x14ac:dyDescent="0.2">
      <c r="A486" s="13"/>
      <c r="B486" s="13"/>
      <c r="C486" s="13"/>
      <c r="D486" s="13"/>
      <c r="E486" s="12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2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</row>
    <row r="487" spans="1:40" x14ac:dyDescent="0.2">
      <c r="A487" s="13"/>
      <c r="B487" s="13"/>
      <c r="C487" s="13"/>
      <c r="D487" s="13"/>
      <c r="E487" s="12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2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</row>
    <row r="488" spans="1:40" x14ac:dyDescent="0.2">
      <c r="A488" s="13"/>
      <c r="B488" s="13"/>
      <c r="C488" s="13"/>
      <c r="D488" s="13"/>
      <c r="E488" s="12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2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</row>
    <row r="489" spans="1:40" x14ac:dyDescent="0.2">
      <c r="A489" s="13"/>
      <c r="B489" s="13"/>
      <c r="C489" s="13"/>
      <c r="D489" s="13"/>
      <c r="E489" s="12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2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</row>
    <row r="490" spans="1:40" x14ac:dyDescent="0.2">
      <c r="A490" s="13"/>
      <c r="B490" s="13"/>
      <c r="C490" s="13"/>
      <c r="D490" s="13"/>
      <c r="E490" s="12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2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</row>
    <row r="491" spans="1:40" x14ac:dyDescent="0.2">
      <c r="A491" s="13"/>
      <c r="B491" s="13"/>
      <c r="C491" s="13"/>
      <c r="D491" s="13"/>
      <c r="E491" s="12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2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</row>
    <row r="492" spans="1:40" x14ac:dyDescent="0.2">
      <c r="A492" s="13"/>
      <c r="B492" s="13"/>
      <c r="C492" s="13"/>
      <c r="D492" s="13"/>
      <c r="E492" s="12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2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</row>
    <row r="493" spans="1:40" x14ac:dyDescent="0.2">
      <c r="A493" s="13"/>
      <c r="B493" s="13"/>
      <c r="C493" s="13"/>
      <c r="D493" s="13"/>
      <c r="E493" s="12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2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</row>
    <row r="494" spans="1:40" x14ac:dyDescent="0.2">
      <c r="A494" s="13"/>
      <c r="B494" s="13"/>
      <c r="C494" s="13"/>
      <c r="D494" s="13"/>
      <c r="E494" s="12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2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</row>
    <row r="495" spans="1:40" x14ac:dyDescent="0.2">
      <c r="A495" s="13"/>
      <c r="B495" s="13"/>
      <c r="C495" s="13"/>
      <c r="D495" s="13"/>
      <c r="E495" s="12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2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</row>
    <row r="496" spans="1:40" x14ac:dyDescent="0.2">
      <c r="A496" s="13"/>
      <c r="B496" s="13"/>
      <c r="C496" s="13"/>
      <c r="D496" s="13"/>
      <c r="E496" s="12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2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</row>
    <row r="497" spans="1:40" x14ac:dyDescent="0.2">
      <c r="A497" s="13"/>
      <c r="B497" s="13"/>
      <c r="C497" s="13"/>
      <c r="D497" s="13"/>
      <c r="E497" s="12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2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</row>
    <row r="498" spans="1:40" x14ac:dyDescent="0.2">
      <c r="A498" s="13"/>
      <c r="B498" s="13"/>
      <c r="C498" s="13"/>
      <c r="D498" s="13"/>
      <c r="E498" s="12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2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</row>
    <row r="499" spans="1:40" x14ac:dyDescent="0.2">
      <c r="A499" s="13"/>
      <c r="B499" s="13"/>
      <c r="C499" s="13"/>
      <c r="D499" s="13"/>
      <c r="E499" s="12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2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</row>
    <row r="500" spans="1:40" x14ac:dyDescent="0.2">
      <c r="A500" s="13"/>
      <c r="B500" s="13"/>
      <c r="C500" s="13"/>
      <c r="D500" s="13"/>
      <c r="E500" s="12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2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</row>
    <row r="501" spans="1:40" x14ac:dyDescent="0.2">
      <c r="A501" s="13"/>
      <c r="B501" s="13"/>
      <c r="C501" s="13"/>
      <c r="D501" s="13"/>
      <c r="E501" s="12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2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</row>
    <row r="502" spans="1:40" x14ac:dyDescent="0.2">
      <c r="A502" s="13"/>
      <c r="B502" s="13"/>
      <c r="C502" s="13"/>
      <c r="D502" s="13"/>
      <c r="E502" s="12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2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</row>
    <row r="503" spans="1:40" x14ac:dyDescent="0.2">
      <c r="A503" s="13"/>
      <c r="B503" s="13"/>
      <c r="C503" s="13"/>
      <c r="D503" s="13"/>
      <c r="E503" s="12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2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</row>
    <row r="504" spans="1:40" x14ac:dyDescent="0.2">
      <c r="A504" s="13"/>
      <c r="B504" s="13"/>
      <c r="C504" s="13"/>
      <c r="D504" s="13"/>
      <c r="E504" s="12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2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</row>
    <row r="505" spans="1:40" x14ac:dyDescent="0.2">
      <c r="A505" s="13"/>
      <c r="B505" s="13"/>
      <c r="C505" s="13"/>
      <c r="D505" s="13"/>
      <c r="E505" s="12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2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</row>
    <row r="506" spans="1:40" x14ac:dyDescent="0.2">
      <c r="A506" s="13"/>
      <c r="B506" s="13"/>
      <c r="C506" s="13"/>
      <c r="D506" s="13"/>
      <c r="E506" s="12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2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</row>
    <row r="507" spans="1:40" x14ac:dyDescent="0.2">
      <c r="A507" s="13"/>
      <c r="B507" s="13"/>
      <c r="C507" s="13"/>
      <c r="D507" s="13"/>
      <c r="E507" s="12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2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</row>
    <row r="508" spans="1:40" x14ac:dyDescent="0.2">
      <c r="A508" s="13"/>
      <c r="B508" s="13"/>
      <c r="C508" s="13"/>
      <c r="D508" s="13"/>
      <c r="E508" s="12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2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</row>
    <row r="509" spans="1:40" x14ac:dyDescent="0.2">
      <c r="A509" s="13"/>
      <c r="B509" s="13"/>
      <c r="C509" s="13"/>
      <c r="D509" s="13"/>
      <c r="E509" s="12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2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</row>
    <row r="510" spans="1:40" x14ac:dyDescent="0.2">
      <c r="A510" s="13"/>
      <c r="B510" s="13"/>
      <c r="C510" s="13"/>
      <c r="D510" s="13"/>
      <c r="E510" s="12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2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</row>
    <row r="511" spans="1:40" x14ac:dyDescent="0.2">
      <c r="A511" s="13"/>
      <c r="B511" s="13"/>
      <c r="C511" s="13"/>
      <c r="D511" s="13"/>
      <c r="E511" s="12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2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</row>
    <row r="512" spans="1:40" x14ac:dyDescent="0.2">
      <c r="A512" s="13"/>
      <c r="B512" s="13"/>
      <c r="C512" s="13"/>
      <c r="D512" s="13"/>
      <c r="E512" s="12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2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</row>
    <row r="513" spans="1:40" x14ac:dyDescent="0.2">
      <c r="A513" s="13"/>
      <c r="B513" s="13"/>
      <c r="C513" s="13"/>
      <c r="D513" s="13"/>
      <c r="E513" s="12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2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</row>
    <row r="514" spans="1:40" x14ac:dyDescent="0.2">
      <c r="A514" s="13"/>
      <c r="B514" s="13"/>
      <c r="C514" s="13"/>
      <c r="D514" s="13"/>
      <c r="E514" s="12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2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</row>
    <row r="515" spans="1:40" x14ac:dyDescent="0.2">
      <c r="A515" s="13"/>
      <c r="B515" s="13"/>
      <c r="C515" s="13"/>
      <c r="D515" s="13"/>
      <c r="E515" s="12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2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</row>
    <row r="516" spans="1:40" x14ac:dyDescent="0.2">
      <c r="A516" s="13"/>
      <c r="B516" s="13"/>
      <c r="C516" s="13"/>
      <c r="D516" s="13"/>
      <c r="E516" s="12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2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</row>
    <row r="517" spans="1:40" x14ac:dyDescent="0.2">
      <c r="A517" s="13"/>
      <c r="B517" s="13"/>
      <c r="C517" s="13"/>
      <c r="D517" s="13"/>
      <c r="E517" s="12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2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</row>
    <row r="518" spans="1:40" x14ac:dyDescent="0.2">
      <c r="A518" s="13"/>
      <c r="B518" s="13"/>
      <c r="C518" s="13"/>
      <c r="D518" s="13"/>
      <c r="E518" s="12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2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</row>
    <row r="519" spans="1:40" x14ac:dyDescent="0.2">
      <c r="A519" s="13"/>
      <c r="B519" s="13"/>
      <c r="C519" s="13"/>
      <c r="D519" s="13"/>
      <c r="E519" s="12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2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</row>
    <row r="520" spans="1:40" x14ac:dyDescent="0.2">
      <c r="A520" s="13"/>
      <c r="B520" s="13"/>
      <c r="C520" s="13"/>
      <c r="D520" s="13"/>
      <c r="E520" s="12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2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</row>
    <row r="521" spans="1:40" x14ac:dyDescent="0.2">
      <c r="A521" s="13"/>
      <c r="B521" s="13"/>
      <c r="C521" s="13"/>
      <c r="D521" s="13"/>
      <c r="E521" s="12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2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</row>
    <row r="522" spans="1:40" x14ac:dyDescent="0.2">
      <c r="A522" s="13"/>
      <c r="B522" s="13"/>
      <c r="C522" s="13"/>
      <c r="D522" s="13"/>
      <c r="E522" s="12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2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</row>
    <row r="523" spans="1:40" x14ac:dyDescent="0.2">
      <c r="A523" s="13"/>
      <c r="B523" s="13"/>
      <c r="C523" s="13"/>
      <c r="D523" s="13"/>
      <c r="E523" s="12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2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</row>
    <row r="524" spans="1:40" x14ac:dyDescent="0.2">
      <c r="A524" s="13"/>
      <c r="B524" s="13"/>
      <c r="C524" s="13"/>
      <c r="D524" s="13"/>
      <c r="E524" s="12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2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</row>
    <row r="525" spans="1:40" x14ac:dyDescent="0.2">
      <c r="A525" s="13"/>
      <c r="B525" s="13"/>
      <c r="C525" s="13"/>
      <c r="D525" s="13"/>
      <c r="E525" s="12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2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</row>
    <row r="526" spans="1:40" x14ac:dyDescent="0.2">
      <c r="A526" s="13"/>
      <c r="B526" s="13"/>
      <c r="C526" s="13"/>
      <c r="D526" s="13"/>
      <c r="E526" s="12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2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</row>
    <row r="527" spans="1:40" x14ac:dyDescent="0.2">
      <c r="A527" s="13"/>
      <c r="B527" s="13"/>
      <c r="C527" s="13"/>
      <c r="D527" s="13"/>
      <c r="E527" s="12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2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</row>
    <row r="528" spans="1:40" x14ac:dyDescent="0.2">
      <c r="A528" s="13"/>
      <c r="B528" s="13"/>
      <c r="C528" s="13"/>
      <c r="D528" s="13"/>
      <c r="E528" s="12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2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</row>
    <row r="529" spans="1:40" x14ac:dyDescent="0.2">
      <c r="A529" s="13"/>
      <c r="B529" s="13"/>
      <c r="C529" s="13"/>
      <c r="D529" s="13"/>
      <c r="E529" s="12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2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</row>
    <row r="530" spans="1:40" x14ac:dyDescent="0.2">
      <c r="A530" s="13"/>
      <c r="B530" s="13"/>
      <c r="C530" s="13"/>
      <c r="D530" s="13"/>
      <c r="E530" s="12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2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</row>
    <row r="531" spans="1:40" x14ac:dyDescent="0.2">
      <c r="A531" s="13"/>
      <c r="B531" s="13"/>
      <c r="C531" s="13"/>
      <c r="D531" s="13"/>
      <c r="E531" s="12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2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</row>
    <row r="532" spans="1:40" x14ac:dyDescent="0.2">
      <c r="A532" s="13"/>
      <c r="B532" s="13"/>
      <c r="C532" s="13"/>
      <c r="D532" s="13"/>
      <c r="E532" s="12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2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</row>
    <row r="533" spans="1:40" x14ac:dyDescent="0.2">
      <c r="A533" s="13"/>
      <c r="B533" s="13"/>
      <c r="C533" s="13"/>
      <c r="D533" s="13"/>
      <c r="E533" s="12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2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</row>
    <row r="534" spans="1:40" x14ac:dyDescent="0.2">
      <c r="A534" s="13"/>
      <c r="B534" s="13"/>
      <c r="C534" s="13"/>
      <c r="D534" s="13"/>
      <c r="E534" s="12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2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</row>
    <row r="535" spans="1:40" x14ac:dyDescent="0.2">
      <c r="A535" s="13"/>
      <c r="B535" s="13"/>
      <c r="C535" s="13"/>
      <c r="D535" s="13"/>
      <c r="E535" s="12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2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</row>
    <row r="536" spans="1:40" x14ac:dyDescent="0.2">
      <c r="A536" s="13"/>
      <c r="B536" s="13"/>
      <c r="C536" s="13"/>
      <c r="D536" s="13"/>
      <c r="E536" s="12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2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</row>
    <row r="537" spans="1:40" x14ac:dyDescent="0.2">
      <c r="A537" s="13"/>
      <c r="B537" s="13"/>
      <c r="C537" s="13"/>
      <c r="D537" s="13"/>
      <c r="E537" s="12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2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</row>
    <row r="538" spans="1:40" x14ac:dyDescent="0.2">
      <c r="A538" s="13"/>
      <c r="B538" s="13"/>
      <c r="C538" s="13"/>
      <c r="D538" s="13"/>
      <c r="E538" s="12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2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</row>
    <row r="539" spans="1:40" x14ac:dyDescent="0.2">
      <c r="A539" s="13"/>
      <c r="B539" s="13"/>
      <c r="C539" s="13"/>
      <c r="D539" s="13"/>
      <c r="E539" s="12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2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</row>
    <row r="540" spans="1:40" x14ac:dyDescent="0.2">
      <c r="A540" s="13"/>
      <c r="B540" s="13"/>
      <c r="C540" s="13"/>
      <c r="D540" s="13"/>
      <c r="E540" s="12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2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</row>
    <row r="541" spans="1:40" x14ac:dyDescent="0.2">
      <c r="A541" s="13"/>
      <c r="B541" s="13"/>
      <c r="C541" s="13"/>
      <c r="D541" s="13"/>
      <c r="E541" s="12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2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</row>
    <row r="542" spans="1:40" x14ac:dyDescent="0.2">
      <c r="A542" s="13"/>
      <c r="B542" s="13"/>
      <c r="C542" s="13"/>
      <c r="D542" s="13"/>
      <c r="E542" s="12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2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</row>
    <row r="543" spans="1:40" x14ac:dyDescent="0.2">
      <c r="A543" s="13"/>
      <c r="B543" s="13"/>
      <c r="C543" s="13"/>
      <c r="D543" s="13"/>
      <c r="E543" s="12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2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</row>
    <row r="544" spans="1:40" x14ac:dyDescent="0.2">
      <c r="A544" s="13"/>
      <c r="B544" s="13"/>
      <c r="C544" s="13"/>
      <c r="D544" s="13"/>
      <c r="E544" s="12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2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</row>
    <row r="545" spans="1:40" x14ac:dyDescent="0.2">
      <c r="A545" s="13"/>
      <c r="B545" s="13"/>
      <c r="C545" s="13"/>
      <c r="D545" s="13"/>
      <c r="E545" s="12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2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</row>
    <row r="546" spans="1:40" x14ac:dyDescent="0.2">
      <c r="A546" s="13"/>
      <c r="B546" s="13"/>
      <c r="C546" s="13"/>
      <c r="D546" s="13"/>
      <c r="E546" s="12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2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</row>
    <row r="547" spans="1:40" x14ac:dyDescent="0.2">
      <c r="A547" s="13"/>
      <c r="B547" s="13"/>
      <c r="C547" s="13"/>
      <c r="D547" s="13"/>
      <c r="E547" s="12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2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</row>
    <row r="548" spans="1:40" x14ac:dyDescent="0.2">
      <c r="A548" s="13"/>
      <c r="B548" s="13"/>
      <c r="C548" s="13"/>
      <c r="D548" s="13"/>
      <c r="E548" s="12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2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</row>
    <row r="549" spans="1:40" x14ac:dyDescent="0.2">
      <c r="A549" s="13"/>
      <c r="B549" s="13"/>
      <c r="C549" s="13"/>
      <c r="D549" s="13"/>
      <c r="E549" s="12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2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</row>
    <row r="550" spans="1:40" x14ac:dyDescent="0.2">
      <c r="A550" s="13"/>
      <c r="B550" s="13"/>
      <c r="C550" s="13"/>
      <c r="D550" s="13"/>
      <c r="E550" s="12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2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</row>
    <row r="551" spans="1:40" x14ac:dyDescent="0.2">
      <c r="A551" s="13"/>
      <c r="B551" s="13"/>
      <c r="C551" s="13"/>
      <c r="D551" s="13"/>
      <c r="E551" s="12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2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</row>
    <row r="552" spans="1:40" x14ac:dyDescent="0.2">
      <c r="A552" s="13"/>
      <c r="B552" s="13"/>
      <c r="C552" s="13"/>
      <c r="D552" s="13"/>
      <c r="E552" s="12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2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</row>
    <row r="553" spans="1:40" x14ac:dyDescent="0.2">
      <c r="A553" s="13"/>
      <c r="B553" s="13"/>
      <c r="C553" s="13"/>
      <c r="D553" s="13"/>
      <c r="E553" s="12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2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</row>
    <row r="554" spans="1:40" x14ac:dyDescent="0.2">
      <c r="A554" s="13"/>
      <c r="B554" s="13"/>
      <c r="C554" s="13"/>
      <c r="D554" s="13"/>
      <c r="E554" s="12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2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</row>
    <row r="555" spans="1:40" x14ac:dyDescent="0.2">
      <c r="A555" s="13"/>
      <c r="B555" s="13"/>
      <c r="C555" s="13"/>
      <c r="D555" s="13"/>
      <c r="E555" s="12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2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</row>
    <row r="556" spans="1:40" x14ac:dyDescent="0.2">
      <c r="A556" s="13"/>
      <c r="B556" s="13"/>
      <c r="C556" s="13"/>
      <c r="D556" s="13"/>
      <c r="E556" s="12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2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</row>
    <row r="557" spans="1:40" x14ac:dyDescent="0.2">
      <c r="A557" s="13"/>
      <c r="B557" s="13"/>
      <c r="C557" s="13"/>
      <c r="D557" s="13"/>
      <c r="E557" s="12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2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</row>
    <row r="558" spans="1:40" x14ac:dyDescent="0.2">
      <c r="A558" s="13"/>
      <c r="B558" s="13"/>
      <c r="C558" s="13"/>
      <c r="D558" s="13"/>
      <c r="E558" s="12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2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</row>
    <row r="559" spans="1:40" x14ac:dyDescent="0.2">
      <c r="A559" s="13"/>
      <c r="B559" s="13"/>
      <c r="C559" s="13"/>
      <c r="D559" s="13"/>
      <c r="E559" s="12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2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</row>
    <row r="560" spans="1:40" x14ac:dyDescent="0.2">
      <c r="A560" s="13"/>
      <c r="B560" s="13"/>
      <c r="C560" s="13"/>
      <c r="D560" s="13"/>
      <c r="E560" s="12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2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</row>
    <row r="561" spans="1:40" x14ac:dyDescent="0.2">
      <c r="A561" s="13"/>
      <c r="B561" s="13"/>
      <c r="C561" s="13"/>
      <c r="D561" s="13"/>
      <c r="E561" s="12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2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</row>
    <row r="562" spans="1:40" x14ac:dyDescent="0.2">
      <c r="A562" s="13"/>
      <c r="B562" s="13"/>
      <c r="C562" s="13"/>
      <c r="D562" s="13"/>
      <c r="E562" s="12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2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</row>
    <row r="563" spans="1:40" x14ac:dyDescent="0.2">
      <c r="A563" s="13"/>
      <c r="B563" s="13"/>
      <c r="C563" s="13"/>
      <c r="D563" s="13"/>
      <c r="E563" s="12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2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</row>
    <row r="564" spans="1:40" x14ac:dyDescent="0.2">
      <c r="A564" s="13"/>
      <c r="B564" s="13"/>
      <c r="C564" s="13"/>
      <c r="D564" s="13"/>
      <c r="E564" s="12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2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</row>
    <row r="565" spans="1:40" x14ac:dyDescent="0.2">
      <c r="A565" s="13"/>
      <c r="B565" s="13"/>
      <c r="C565" s="13"/>
      <c r="D565" s="13"/>
      <c r="E565" s="12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2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</row>
    <row r="566" spans="1:40" x14ac:dyDescent="0.2">
      <c r="A566" s="13"/>
      <c r="B566" s="13"/>
      <c r="C566" s="13"/>
      <c r="D566" s="13"/>
      <c r="E566" s="12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2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</row>
    <row r="567" spans="1:40" x14ac:dyDescent="0.2">
      <c r="A567" s="13"/>
      <c r="B567" s="13"/>
      <c r="C567" s="13"/>
      <c r="D567" s="13"/>
      <c r="E567" s="12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2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</row>
    <row r="568" spans="1:40" x14ac:dyDescent="0.2">
      <c r="A568" s="13"/>
      <c r="B568" s="13"/>
      <c r="C568" s="13"/>
      <c r="D568" s="13"/>
      <c r="E568" s="12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2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</row>
    <row r="569" spans="1:40" x14ac:dyDescent="0.2">
      <c r="A569" s="13"/>
      <c r="B569" s="13"/>
      <c r="C569" s="13"/>
      <c r="D569" s="13"/>
      <c r="E569" s="12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2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</row>
    <row r="570" spans="1:40" x14ac:dyDescent="0.2">
      <c r="A570" s="13"/>
      <c r="B570" s="13"/>
      <c r="C570" s="13"/>
      <c r="D570" s="13"/>
      <c r="E570" s="12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2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</row>
    <row r="571" spans="1:40" x14ac:dyDescent="0.2">
      <c r="A571" s="13"/>
      <c r="B571" s="13"/>
      <c r="C571" s="13"/>
      <c r="D571" s="13"/>
      <c r="E571" s="12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2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</row>
    <row r="572" spans="1:40" x14ac:dyDescent="0.2">
      <c r="A572" s="13"/>
      <c r="B572" s="13"/>
      <c r="C572" s="13"/>
      <c r="D572" s="13"/>
      <c r="E572" s="12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2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</row>
    <row r="573" spans="1:40" x14ac:dyDescent="0.2">
      <c r="A573" s="13"/>
      <c r="B573" s="13"/>
      <c r="C573" s="13"/>
      <c r="D573" s="13"/>
      <c r="E573" s="12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2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</row>
    <row r="574" spans="1:40" x14ac:dyDescent="0.2">
      <c r="A574" s="13"/>
      <c r="B574" s="13"/>
      <c r="C574" s="13"/>
      <c r="D574" s="13"/>
      <c r="E574" s="12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2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</row>
    <row r="575" spans="1:40" x14ac:dyDescent="0.2">
      <c r="A575" s="13"/>
      <c r="B575" s="13"/>
      <c r="C575" s="13"/>
      <c r="D575" s="13"/>
      <c r="E575" s="12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2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</row>
    <row r="576" spans="1:40" x14ac:dyDescent="0.2">
      <c r="A576" s="13"/>
      <c r="B576" s="13"/>
      <c r="C576" s="13"/>
      <c r="D576" s="13"/>
      <c r="E576" s="12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2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</row>
    <row r="577" spans="1:40" x14ac:dyDescent="0.2">
      <c r="A577" s="13"/>
      <c r="B577" s="13"/>
      <c r="C577" s="13"/>
      <c r="D577" s="13"/>
      <c r="E577" s="12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2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</row>
    <row r="578" spans="1:40" x14ac:dyDescent="0.2">
      <c r="A578" s="13"/>
      <c r="B578" s="13"/>
      <c r="C578" s="13"/>
      <c r="D578" s="13"/>
      <c r="E578" s="12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2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</row>
    <row r="579" spans="1:40" x14ac:dyDescent="0.2">
      <c r="A579" s="13"/>
      <c r="B579" s="13"/>
      <c r="C579" s="13"/>
      <c r="D579" s="13"/>
      <c r="E579" s="12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2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</row>
    <row r="580" spans="1:40" x14ac:dyDescent="0.2">
      <c r="A580" s="13"/>
      <c r="B580" s="13"/>
      <c r="C580" s="13"/>
      <c r="D580" s="13"/>
      <c r="E580" s="12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2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</row>
    <row r="581" spans="1:40" x14ac:dyDescent="0.2">
      <c r="A581" s="13"/>
      <c r="B581" s="13"/>
      <c r="C581" s="13"/>
      <c r="D581" s="13"/>
      <c r="E581" s="12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2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</row>
    <row r="582" spans="1:40" x14ac:dyDescent="0.2">
      <c r="A582" s="13"/>
      <c r="B582" s="13"/>
      <c r="C582" s="13"/>
      <c r="D582" s="13"/>
      <c r="E582" s="12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2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</row>
    <row r="583" spans="1:40" x14ac:dyDescent="0.2">
      <c r="A583" s="13"/>
      <c r="B583" s="13"/>
      <c r="C583" s="13"/>
      <c r="D583" s="13"/>
      <c r="E583" s="12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2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</row>
    <row r="584" spans="1:40" x14ac:dyDescent="0.2">
      <c r="A584" s="13"/>
      <c r="B584" s="13"/>
      <c r="C584" s="13"/>
      <c r="D584" s="13"/>
      <c r="E584" s="12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2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</row>
    <row r="585" spans="1:40" x14ac:dyDescent="0.2">
      <c r="A585" s="13"/>
      <c r="B585" s="13"/>
      <c r="C585" s="13"/>
      <c r="D585" s="13"/>
      <c r="E585" s="12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2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</row>
    <row r="586" spans="1:40" x14ac:dyDescent="0.2">
      <c r="A586" s="13"/>
      <c r="B586" s="13"/>
      <c r="C586" s="13"/>
      <c r="D586" s="13"/>
      <c r="E586" s="12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2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</row>
    <row r="587" spans="1:40" x14ac:dyDescent="0.2">
      <c r="A587" s="13"/>
      <c r="B587" s="13"/>
      <c r="C587" s="13"/>
      <c r="D587" s="13"/>
      <c r="E587" s="12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2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</row>
    <row r="588" spans="1:40" x14ac:dyDescent="0.2">
      <c r="A588" s="13"/>
      <c r="B588" s="13"/>
      <c r="C588" s="13"/>
      <c r="D588" s="13"/>
      <c r="E588" s="12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2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</row>
    <row r="589" spans="1:40" x14ac:dyDescent="0.2">
      <c r="A589" s="13"/>
      <c r="B589" s="13"/>
      <c r="C589" s="13"/>
      <c r="D589" s="13"/>
      <c r="E589" s="12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2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</row>
    <row r="590" spans="1:40" x14ac:dyDescent="0.2">
      <c r="A590" s="13"/>
      <c r="B590" s="13"/>
      <c r="C590" s="13"/>
      <c r="D590" s="13"/>
      <c r="E590" s="12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2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</row>
    <row r="591" spans="1:40" x14ac:dyDescent="0.2">
      <c r="A591" s="13"/>
      <c r="B591" s="13"/>
      <c r="C591" s="13"/>
      <c r="D591" s="13"/>
      <c r="E591" s="12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2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</row>
    <row r="592" spans="1:40" x14ac:dyDescent="0.2">
      <c r="A592" s="13"/>
      <c r="B592" s="13"/>
      <c r="C592" s="13"/>
      <c r="D592" s="13"/>
      <c r="E592" s="12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2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</row>
    <row r="593" spans="1:40" x14ac:dyDescent="0.2">
      <c r="A593" s="13"/>
      <c r="B593" s="13"/>
      <c r="C593" s="13"/>
      <c r="D593" s="13"/>
      <c r="E593" s="12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2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</row>
    <row r="594" spans="1:40" x14ac:dyDescent="0.2">
      <c r="A594" s="13"/>
      <c r="B594" s="13"/>
      <c r="C594" s="13"/>
      <c r="D594" s="13"/>
      <c r="E594" s="12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2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</row>
    <row r="595" spans="1:40" x14ac:dyDescent="0.2">
      <c r="A595" s="13"/>
      <c r="B595" s="13"/>
      <c r="C595" s="13"/>
      <c r="D595" s="13"/>
      <c r="E595" s="12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2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</row>
    <row r="596" spans="1:40" x14ac:dyDescent="0.2">
      <c r="A596" s="13"/>
      <c r="B596" s="13"/>
      <c r="C596" s="13"/>
      <c r="D596" s="13"/>
      <c r="E596" s="12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2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</row>
    <row r="597" spans="1:40" x14ac:dyDescent="0.2">
      <c r="A597" s="13"/>
      <c r="B597" s="13"/>
      <c r="C597" s="13"/>
      <c r="D597" s="13"/>
      <c r="E597" s="12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2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</row>
    <row r="598" spans="1:40" x14ac:dyDescent="0.2">
      <c r="A598" s="13"/>
      <c r="B598" s="13"/>
      <c r="C598" s="13"/>
      <c r="D598" s="13"/>
      <c r="E598" s="12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2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</row>
    <row r="599" spans="1:40" x14ac:dyDescent="0.2">
      <c r="A599" s="13"/>
      <c r="B599" s="13"/>
      <c r="C599" s="13"/>
      <c r="D599" s="13"/>
      <c r="E599" s="12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2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</row>
    <row r="600" spans="1:40" x14ac:dyDescent="0.2">
      <c r="A600" s="13"/>
      <c r="B600" s="13"/>
      <c r="C600" s="13"/>
      <c r="D600" s="13"/>
      <c r="E600" s="12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2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</row>
    <row r="601" spans="1:40" x14ac:dyDescent="0.2">
      <c r="A601" s="13"/>
      <c r="B601" s="13"/>
      <c r="C601" s="13"/>
      <c r="D601" s="13"/>
      <c r="E601" s="12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2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</row>
    <row r="602" spans="1:40" x14ac:dyDescent="0.2">
      <c r="A602" s="13"/>
      <c r="B602" s="13"/>
      <c r="C602" s="13"/>
      <c r="D602" s="13"/>
      <c r="E602" s="12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2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</row>
    <row r="603" spans="1:40" x14ac:dyDescent="0.2">
      <c r="A603" s="13"/>
      <c r="B603" s="13"/>
      <c r="C603" s="13"/>
      <c r="D603" s="13"/>
      <c r="E603" s="12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2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</row>
    <row r="604" spans="1:40" x14ac:dyDescent="0.2">
      <c r="A604" s="13"/>
      <c r="B604" s="13"/>
      <c r="C604" s="13"/>
      <c r="D604" s="13"/>
      <c r="E604" s="12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2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</row>
    <row r="605" spans="1:40" x14ac:dyDescent="0.2">
      <c r="A605" s="13"/>
      <c r="B605" s="13"/>
      <c r="C605" s="13"/>
      <c r="D605" s="13"/>
      <c r="E605" s="12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2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</row>
    <row r="606" spans="1:40" x14ac:dyDescent="0.2">
      <c r="A606" s="13"/>
      <c r="B606" s="13"/>
      <c r="C606" s="13"/>
      <c r="D606" s="13"/>
      <c r="E606" s="12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2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</row>
    <row r="607" spans="1:40" x14ac:dyDescent="0.2">
      <c r="A607" s="13"/>
      <c r="B607" s="13"/>
      <c r="C607" s="13"/>
      <c r="D607" s="13"/>
      <c r="E607" s="12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2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</row>
    <row r="608" spans="1:40" x14ac:dyDescent="0.2">
      <c r="A608" s="13"/>
      <c r="B608" s="13"/>
      <c r="C608" s="13"/>
      <c r="D608" s="13"/>
      <c r="E608" s="12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2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</row>
    <row r="609" spans="1:40" x14ac:dyDescent="0.2">
      <c r="A609" s="13"/>
      <c r="B609" s="13"/>
      <c r="C609" s="13"/>
      <c r="D609" s="13"/>
      <c r="E609" s="12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2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</row>
    <row r="610" spans="1:40" x14ac:dyDescent="0.2">
      <c r="A610" s="13"/>
      <c r="B610" s="13"/>
      <c r="C610" s="13"/>
      <c r="D610" s="13"/>
      <c r="E610" s="12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2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</row>
    <row r="611" spans="1:40" x14ac:dyDescent="0.2">
      <c r="A611" s="13"/>
      <c r="B611" s="13"/>
      <c r="C611" s="13"/>
      <c r="D611" s="13"/>
      <c r="E611" s="12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2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</row>
    <row r="612" spans="1:40" x14ac:dyDescent="0.2">
      <c r="A612" s="13"/>
      <c r="B612" s="13"/>
      <c r="C612" s="13"/>
      <c r="D612" s="13"/>
      <c r="E612" s="12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2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</row>
    <row r="613" spans="1:40" x14ac:dyDescent="0.2">
      <c r="A613" s="13"/>
      <c r="B613" s="13"/>
      <c r="C613" s="13"/>
      <c r="D613" s="13"/>
      <c r="E613" s="12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2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</row>
    <row r="614" spans="1:40" x14ac:dyDescent="0.2">
      <c r="A614" s="13"/>
      <c r="B614" s="13"/>
      <c r="C614" s="13"/>
      <c r="D614" s="13"/>
      <c r="E614" s="12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2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</row>
    <row r="615" spans="1:40" x14ac:dyDescent="0.2">
      <c r="A615" s="13"/>
      <c r="B615" s="13"/>
      <c r="C615" s="13"/>
      <c r="D615" s="13"/>
      <c r="E615" s="12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2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</row>
    <row r="616" spans="1:40" x14ac:dyDescent="0.2">
      <c r="A616" s="13"/>
      <c r="B616" s="13"/>
      <c r="C616" s="13"/>
      <c r="D616" s="13"/>
      <c r="E616" s="12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2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</row>
    <row r="617" spans="1:40" x14ac:dyDescent="0.2">
      <c r="A617" s="13"/>
      <c r="B617" s="13"/>
      <c r="C617" s="13"/>
      <c r="D617" s="13"/>
      <c r="E617" s="12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2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</row>
    <row r="618" spans="1:40" x14ac:dyDescent="0.2">
      <c r="A618" s="13"/>
      <c r="B618" s="13"/>
      <c r="C618" s="13"/>
      <c r="D618" s="13"/>
      <c r="E618" s="12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2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</row>
    <row r="619" spans="1:40" x14ac:dyDescent="0.2">
      <c r="A619" s="13"/>
      <c r="B619" s="13"/>
      <c r="C619" s="13"/>
      <c r="D619" s="13"/>
      <c r="E619" s="12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2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</row>
    <row r="620" spans="1:40" x14ac:dyDescent="0.2">
      <c r="A620" s="13"/>
      <c r="B620" s="13"/>
      <c r="C620" s="13"/>
      <c r="D620" s="13"/>
      <c r="E620" s="12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2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</row>
    <row r="621" spans="1:40" x14ac:dyDescent="0.2">
      <c r="A621" s="13"/>
      <c r="B621" s="13"/>
      <c r="C621" s="13"/>
      <c r="D621" s="13"/>
      <c r="E621" s="12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2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</row>
    <row r="622" spans="1:40" x14ac:dyDescent="0.2">
      <c r="A622" s="13"/>
      <c r="B622" s="13"/>
      <c r="C622" s="13"/>
      <c r="D622" s="13"/>
      <c r="E622" s="12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2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</row>
    <row r="623" spans="1:40" x14ac:dyDescent="0.2">
      <c r="A623" s="13"/>
      <c r="B623" s="13"/>
      <c r="C623" s="13"/>
      <c r="D623" s="13"/>
      <c r="E623" s="12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2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</row>
    <row r="624" spans="1:40" x14ac:dyDescent="0.2">
      <c r="A624" s="13"/>
      <c r="B624" s="13"/>
      <c r="C624" s="13"/>
      <c r="D624" s="13"/>
      <c r="E624" s="12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2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</row>
    <row r="625" spans="1:40" x14ac:dyDescent="0.2">
      <c r="A625" s="13"/>
      <c r="B625" s="13"/>
      <c r="C625" s="13"/>
      <c r="D625" s="13"/>
      <c r="E625" s="12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2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</row>
    <row r="626" spans="1:40" x14ac:dyDescent="0.2">
      <c r="A626" s="13"/>
      <c r="B626" s="13"/>
      <c r="C626" s="13"/>
      <c r="D626" s="13"/>
      <c r="E626" s="12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2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</row>
    <row r="627" spans="1:40" x14ac:dyDescent="0.2">
      <c r="A627" s="13"/>
      <c r="B627" s="13"/>
      <c r="C627" s="13"/>
      <c r="D627" s="13"/>
      <c r="E627" s="12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2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</row>
    <row r="628" spans="1:40" x14ac:dyDescent="0.2">
      <c r="A628" s="13"/>
      <c r="B628" s="13"/>
      <c r="C628" s="13"/>
      <c r="D628" s="13"/>
      <c r="E628" s="12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2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</row>
    <row r="629" spans="1:40" x14ac:dyDescent="0.2">
      <c r="A629" s="13"/>
      <c r="B629" s="13"/>
      <c r="C629" s="13"/>
      <c r="D629" s="13"/>
      <c r="E629" s="12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2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</row>
    <row r="630" spans="1:40" x14ac:dyDescent="0.2">
      <c r="A630" s="13"/>
      <c r="B630" s="13"/>
      <c r="C630" s="13"/>
      <c r="D630" s="13"/>
      <c r="E630" s="12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2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</row>
    <row r="631" spans="1:40" x14ac:dyDescent="0.2">
      <c r="A631" s="13"/>
      <c r="B631" s="13"/>
      <c r="C631" s="13"/>
      <c r="D631" s="13"/>
      <c r="E631" s="12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2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</row>
    <row r="632" spans="1:40" x14ac:dyDescent="0.2">
      <c r="A632" s="13"/>
      <c r="B632" s="13"/>
      <c r="C632" s="13"/>
      <c r="D632" s="13"/>
      <c r="E632" s="12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2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</row>
    <row r="633" spans="1:40" x14ac:dyDescent="0.2">
      <c r="A633" s="13"/>
      <c r="B633" s="13"/>
      <c r="C633" s="13"/>
      <c r="D633" s="13"/>
      <c r="E633" s="12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2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</row>
    <row r="634" spans="1:40" x14ac:dyDescent="0.2">
      <c r="A634" s="13"/>
      <c r="B634" s="13"/>
      <c r="C634" s="13"/>
      <c r="D634" s="13"/>
      <c r="E634" s="12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2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</row>
    <row r="635" spans="1:40" x14ac:dyDescent="0.2">
      <c r="A635" s="13"/>
      <c r="B635" s="13"/>
      <c r="C635" s="13"/>
      <c r="D635" s="13"/>
      <c r="E635" s="12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2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</row>
    <row r="636" spans="1:40" x14ac:dyDescent="0.2">
      <c r="A636" s="13"/>
      <c r="B636" s="13"/>
      <c r="C636" s="13"/>
      <c r="D636" s="13"/>
      <c r="E636" s="12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2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</row>
    <row r="637" spans="1:40" x14ac:dyDescent="0.2">
      <c r="A637" s="13"/>
      <c r="B637" s="13"/>
      <c r="C637" s="13"/>
      <c r="D637" s="13"/>
      <c r="E637" s="12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2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</row>
    <row r="638" spans="1:40" x14ac:dyDescent="0.2">
      <c r="A638" s="13"/>
      <c r="B638" s="13"/>
      <c r="C638" s="13"/>
      <c r="D638" s="13"/>
      <c r="E638" s="12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2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</row>
    <row r="639" spans="1:40" x14ac:dyDescent="0.2">
      <c r="A639" s="13"/>
      <c r="B639" s="13"/>
      <c r="C639" s="13"/>
      <c r="D639" s="13"/>
      <c r="E639" s="12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2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</row>
    <row r="640" spans="1:40" x14ac:dyDescent="0.2">
      <c r="A640" s="13"/>
      <c r="B640" s="13"/>
      <c r="C640" s="13"/>
      <c r="D640" s="13"/>
      <c r="E640" s="12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2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</row>
    <row r="641" spans="1:40" x14ac:dyDescent="0.2">
      <c r="A641" s="13"/>
      <c r="B641" s="13"/>
      <c r="C641" s="13"/>
      <c r="D641" s="13"/>
      <c r="E641" s="12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2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</row>
    <row r="642" spans="1:40" x14ac:dyDescent="0.2">
      <c r="A642" s="13"/>
      <c r="B642" s="13"/>
      <c r="C642" s="13"/>
      <c r="D642" s="13"/>
      <c r="E642" s="12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2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</row>
    <row r="643" spans="1:40" x14ac:dyDescent="0.2">
      <c r="A643" s="13"/>
      <c r="B643" s="13"/>
      <c r="C643" s="13"/>
      <c r="D643" s="13"/>
      <c r="E643" s="12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2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</row>
    <row r="644" spans="1:40" x14ac:dyDescent="0.2">
      <c r="A644" s="13"/>
      <c r="B644" s="13"/>
      <c r="C644" s="13"/>
      <c r="D644" s="13"/>
      <c r="E644" s="12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2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</row>
    <row r="645" spans="1:40" x14ac:dyDescent="0.2">
      <c r="A645" s="13"/>
      <c r="B645" s="13"/>
      <c r="C645" s="13"/>
      <c r="D645" s="13"/>
      <c r="E645" s="12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2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</row>
    <row r="646" spans="1:40" x14ac:dyDescent="0.2">
      <c r="A646" s="13"/>
      <c r="B646" s="13"/>
      <c r="C646" s="13"/>
      <c r="D646" s="13"/>
      <c r="E646" s="12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2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</row>
    <row r="647" spans="1:40" x14ac:dyDescent="0.2">
      <c r="A647" s="13"/>
      <c r="B647" s="13"/>
      <c r="C647" s="13"/>
      <c r="D647" s="13"/>
      <c r="E647" s="12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2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</row>
    <row r="648" spans="1:40" x14ac:dyDescent="0.2">
      <c r="A648" s="13"/>
      <c r="B648" s="13"/>
      <c r="C648" s="13"/>
      <c r="D648" s="13"/>
      <c r="E648" s="12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2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</row>
    <row r="649" spans="1:40" x14ac:dyDescent="0.2">
      <c r="A649" s="13"/>
      <c r="B649" s="13"/>
      <c r="C649" s="13"/>
      <c r="D649" s="13"/>
      <c r="E649" s="12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2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</row>
    <row r="650" spans="1:40" x14ac:dyDescent="0.2">
      <c r="A650" s="13"/>
      <c r="B650" s="13"/>
      <c r="C650" s="13"/>
      <c r="D650" s="13"/>
      <c r="E650" s="12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2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</row>
    <row r="651" spans="1:40" x14ac:dyDescent="0.2">
      <c r="A651" s="13"/>
      <c r="B651" s="13"/>
      <c r="C651" s="13"/>
      <c r="D651" s="13"/>
      <c r="E651" s="12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2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</row>
    <row r="652" spans="1:40" x14ac:dyDescent="0.2">
      <c r="A652" s="13"/>
      <c r="B652" s="13"/>
      <c r="C652" s="13"/>
      <c r="D652" s="13"/>
      <c r="E652" s="12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2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</row>
    <row r="653" spans="1:40" x14ac:dyDescent="0.2">
      <c r="A653" s="13"/>
      <c r="B653" s="13"/>
      <c r="C653" s="13"/>
      <c r="D653" s="13"/>
      <c r="E653" s="12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2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</row>
    <row r="654" spans="1:40" x14ac:dyDescent="0.2">
      <c r="A654" s="13"/>
      <c r="B654" s="13"/>
      <c r="C654" s="13"/>
      <c r="D654" s="13"/>
      <c r="E654" s="12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2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</row>
    <row r="655" spans="1:40" x14ac:dyDescent="0.2">
      <c r="A655" s="13"/>
      <c r="B655" s="13"/>
      <c r="C655" s="13"/>
      <c r="D655" s="13"/>
      <c r="E655" s="12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2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</row>
    <row r="656" spans="1:40" x14ac:dyDescent="0.2">
      <c r="A656" s="13"/>
      <c r="B656" s="13"/>
      <c r="C656" s="13"/>
      <c r="D656" s="13"/>
      <c r="E656" s="12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2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</row>
    <row r="657" spans="1:40" x14ac:dyDescent="0.2">
      <c r="A657" s="13"/>
      <c r="B657" s="13"/>
      <c r="C657" s="13"/>
      <c r="D657" s="13"/>
      <c r="E657" s="12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2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</row>
    <row r="658" spans="1:40" x14ac:dyDescent="0.2">
      <c r="A658" s="13"/>
      <c r="B658" s="13"/>
      <c r="C658" s="13"/>
      <c r="D658" s="13"/>
      <c r="E658" s="12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2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</row>
    <row r="659" spans="1:40" x14ac:dyDescent="0.2">
      <c r="A659" s="13"/>
      <c r="B659" s="13"/>
      <c r="C659" s="13"/>
      <c r="D659" s="13"/>
      <c r="E659" s="12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2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</row>
    <row r="660" spans="1:40" x14ac:dyDescent="0.2">
      <c r="A660" s="13"/>
      <c r="B660" s="13"/>
      <c r="C660" s="13"/>
      <c r="D660" s="13"/>
      <c r="E660" s="12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2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</row>
    <row r="661" spans="1:40" x14ac:dyDescent="0.2">
      <c r="A661" s="13"/>
      <c r="B661" s="13"/>
      <c r="C661" s="13"/>
      <c r="D661" s="13"/>
      <c r="E661" s="12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2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</row>
    <row r="662" spans="1:40" x14ac:dyDescent="0.2">
      <c r="A662" s="13"/>
      <c r="B662" s="13"/>
      <c r="C662" s="13"/>
      <c r="D662" s="13"/>
      <c r="E662" s="12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2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</row>
    <row r="663" spans="1:40" x14ac:dyDescent="0.2">
      <c r="A663" s="13"/>
      <c r="B663" s="13"/>
      <c r="C663" s="13"/>
      <c r="D663" s="13"/>
      <c r="E663" s="12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2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</row>
    <row r="664" spans="1:40" x14ac:dyDescent="0.2">
      <c r="A664" s="13"/>
      <c r="B664" s="13"/>
      <c r="C664" s="13"/>
      <c r="D664" s="13"/>
      <c r="E664" s="12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2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</row>
    <row r="665" spans="1:40" x14ac:dyDescent="0.2">
      <c r="A665" s="13"/>
      <c r="B665" s="13"/>
      <c r="C665" s="13"/>
      <c r="D665" s="13"/>
      <c r="E665" s="12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2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</row>
    <row r="666" spans="1:40" x14ac:dyDescent="0.2">
      <c r="A666" s="13"/>
      <c r="B666" s="13"/>
      <c r="C666" s="13"/>
      <c r="D666" s="13"/>
      <c r="E666" s="12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2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</row>
    <row r="667" spans="1:40" x14ac:dyDescent="0.2">
      <c r="A667" s="13"/>
      <c r="B667" s="13"/>
      <c r="C667" s="13"/>
      <c r="D667" s="13"/>
      <c r="E667" s="12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2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</row>
    <row r="668" spans="1:40" x14ac:dyDescent="0.2">
      <c r="A668" s="13"/>
      <c r="B668" s="13"/>
      <c r="C668" s="13"/>
      <c r="D668" s="13"/>
      <c r="E668" s="12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2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</row>
    <row r="669" spans="1:40" x14ac:dyDescent="0.2">
      <c r="A669" s="13"/>
      <c r="B669" s="13"/>
      <c r="C669" s="13"/>
      <c r="D669" s="13"/>
      <c r="E669" s="12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2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</row>
    <row r="670" spans="1:40" x14ac:dyDescent="0.2">
      <c r="A670" s="13"/>
      <c r="B670" s="13"/>
      <c r="C670" s="13"/>
      <c r="D670" s="13"/>
      <c r="E670" s="12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2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</row>
    <row r="671" spans="1:40" x14ac:dyDescent="0.2">
      <c r="A671" s="13"/>
      <c r="B671" s="13"/>
      <c r="C671" s="13"/>
      <c r="D671" s="13"/>
      <c r="E671" s="12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2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</row>
    <row r="672" spans="1:40" x14ac:dyDescent="0.2">
      <c r="A672" s="13"/>
      <c r="B672" s="13"/>
      <c r="C672" s="13"/>
      <c r="D672" s="13"/>
      <c r="E672" s="12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2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</row>
    <row r="673" spans="1:40" x14ac:dyDescent="0.2">
      <c r="A673" s="13"/>
      <c r="B673" s="13"/>
      <c r="C673" s="13"/>
      <c r="D673" s="13"/>
      <c r="E673" s="12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2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</row>
    <row r="674" spans="1:40" x14ac:dyDescent="0.2">
      <c r="A674" s="13"/>
      <c r="B674" s="13"/>
      <c r="C674" s="13"/>
      <c r="D674" s="13"/>
      <c r="E674" s="12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2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</row>
    <row r="675" spans="1:40" x14ac:dyDescent="0.2">
      <c r="A675" s="13"/>
      <c r="B675" s="13"/>
      <c r="C675" s="13"/>
      <c r="D675" s="13"/>
      <c r="E675" s="12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2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</row>
    <row r="676" spans="1:40" x14ac:dyDescent="0.2">
      <c r="A676" s="13"/>
      <c r="B676" s="13"/>
      <c r="C676" s="13"/>
      <c r="D676" s="13"/>
      <c r="E676" s="12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2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</row>
    <row r="677" spans="1:40" x14ac:dyDescent="0.2">
      <c r="A677" s="13"/>
      <c r="B677" s="13"/>
      <c r="C677" s="13"/>
      <c r="D677" s="13"/>
      <c r="E677" s="12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2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</row>
    <row r="678" spans="1:40" x14ac:dyDescent="0.2">
      <c r="A678" s="13"/>
      <c r="B678" s="13"/>
      <c r="C678" s="13"/>
      <c r="D678" s="13"/>
      <c r="E678" s="12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2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</row>
    <row r="679" spans="1:40" x14ac:dyDescent="0.2">
      <c r="A679" s="13"/>
      <c r="B679" s="13"/>
      <c r="C679" s="13"/>
      <c r="D679" s="13"/>
      <c r="E679" s="12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2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</row>
    <row r="680" spans="1:40" x14ac:dyDescent="0.2">
      <c r="A680" s="13"/>
      <c r="B680" s="13"/>
      <c r="C680" s="13"/>
      <c r="D680" s="13"/>
      <c r="E680" s="12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2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</row>
    <row r="681" spans="1:40" x14ac:dyDescent="0.2">
      <c r="A681" s="13"/>
      <c r="B681" s="13"/>
      <c r="C681" s="13"/>
      <c r="D681" s="13"/>
      <c r="E681" s="12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2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</row>
    <row r="682" spans="1:40" x14ac:dyDescent="0.2">
      <c r="A682" s="13"/>
      <c r="B682" s="13"/>
      <c r="C682" s="13"/>
      <c r="D682" s="13"/>
      <c r="E682" s="12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2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</row>
    <row r="683" spans="1:40" x14ac:dyDescent="0.2">
      <c r="A683" s="13"/>
      <c r="B683" s="13"/>
      <c r="C683" s="13"/>
      <c r="D683" s="13"/>
      <c r="E683" s="12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2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</row>
    <row r="684" spans="1:40" x14ac:dyDescent="0.2">
      <c r="A684" s="13"/>
      <c r="B684" s="13"/>
      <c r="C684" s="13"/>
      <c r="D684" s="13"/>
      <c r="E684" s="12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2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</row>
    <row r="685" spans="1:40" x14ac:dyDescent="0.2">
      <c r="A685" s="13"/>
      <c r="B685" s="13"/>
      <c r="C685" s="13"/>
      <c r="D685" s="13"/>
      <c r="E685" s="12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2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</row>
    <row r="686" spans="1:40" x14ac:dyDescent="0.2">
      <c r="A686" s="13"/>
      <c r="B686" s="13"/>
      <c r="C686" s="13"/>
      <c r="D686" s="13"/>
      <c r="E686" s="12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2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</row>
    <row r="687" spans="1:40" x14ac:dyDescent="0.2">
      <c r="A687" s="13"/>
      <c r="B687" s="13"/>
      <c r="C687" s="13"/>
      <c r="D687" s="13"/>
      <c r="E687" s="12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2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</row>
    <row r="688" spans="1:40" x14ac:dyDescent="0.2">
      <c r="A688" s="13"/>
      <c r="B688" s="13"/>
      <c r="C688" s="13"/>
      <c r="D688" s="13"/>
      <c r="E688" s="12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2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</row>
    <row r="689" spans="1:40" x14ac:dyDescent="0.2">
      <c r="A689" s="13"/>
      <c r="B689" s="13"/>
      <c r="C689" s="13"/>
      <c r="D689" s="13"/>
      <c r="E689" s="12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2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</row>
    <row r="690" spans="1:40" x14ac:dyDescent="0.2">
      <c r="A690" s="13"/>
      <c r="B690" s="13"/>
      <c r="C690" s="13"/>
      <c r="D690" s="13"/>
      <c r="E690" s="12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2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</row>
    <row r="691" spans="1:40" x14ac:dyDescent="0.2">
      <c r="A691" s="13"/>
      <c r="B691" s="13"/>
      <c r="C691" s="13"/>
      <c r="D691" s="13"/>
      <c r="E691" s="12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2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</row>
    <row r="692" spans="1:40" x14ac:dyDescent="0.2">
      <c r="A692" s="13"/>
      <c r="B692" s="13"/>
      <c r="C692" s="13"/>
      <c r="D692" s="13"/>
      <c r="E692" s="12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2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</row>
    <row r="693" spans="1:40" x14ac:dyDescent="0.2">
      <c r="A693" s="13"/>
      <c r="B693" s="13"/>
      <c r="C693" s="13"/>
      <c r="D693" s="13"/>
      <c r="E693" s="12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2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</row>
    <row r="694" spans="1:40" x14ac:dyDescent="0.2">
      <c r="A694" s="13"/>
      <c r="B694" s="13"/>
      <c r="C694" s="13"/>
      <c r="D694" s="13"/>
      <c r="E694" s="12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2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</row>
    <row r="695" spans="1:40" x14ac:dyDescent="0.2">
      <c r="A695" s="13"/>
      <c r="B695" s="13"/>
      <c r="C695" s="13"/>
      <c r="D695" s="13"/>
      <c r="E695" s="12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2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</row>
    <row r="696" spans="1:40" x14ac:dyDescent="0.2">
      <c r="A696" s="13"/>
      <c r="B696" s="13"/>
      <c r="C696" s="13"/>
      <c r="D696" s="13"/>
      <c r="E696" s="12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2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</row>
    <row r="697" spans="1:40" x14ac:dyDescent="0.2">
      <c r="A697" s="13"/>
      <c r="B697" s="13"/>
      <c r="C697" s="13"/>
      <c r="D697" s="13"/>
      <c r="E697" s="12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2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</row>
    <row r="698" spans="1:40" x14ac:dyDescent="0.2">
      <c r="A698" s="13"/>
      <c r="B698" s="13"/>
      <c r="C698" s="13"/>
      <c r="D698" s="13"/>
      <c r="E698" s="12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2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</row>
    <row r="699" spans="1:40" x14ac:dyDescent="0.2">
      <c r="A699" s="13"/>
      <c r="B699" s="13"/>
      <c r="C699" s="13"/>
      <c r="D699" s="13"/>
      <c r="E699" s="12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2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</row>
    <row r="700" spans="1:40" x14ac:dyDescent="0.2">
      <c r="A700" s="13"/>
      <c r="B700" s="13"/>
      <c r="C700" s="13"/>
      <c r="D700" s="13"/>
      <c r="E700" s="12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2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</row>
    <row r="701" spans="1:40" x14ac:dyDescent="0.2">
      <c r="A701" s="13"/>
      <c r="B701" s="13"/>
      <c r="C701" s="13"/>
      <c r="D701" s="13"/>
      <c r="E701" s="12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2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</row>
    <row r="702" spans="1:40" x14ac:dyDescent="0.2">
      <c r="A702" s="13"/>
      <c r="B702" s="13"/>
      <c r="C702" s="13"/>
      <c r="D702" s="13"/>
      <c r="E702" s="12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2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</row>
    <row r="703" spans="1:40" x14ac:dyDescent="0.2">
      <c r="A703" s="13"/>
      <c r="B703" s="13"/>
      <c r="C703" s="13"/>
      <c r="D703" s="13"/>
      <c r="E703" s="12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2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</row>
    <row r="704" spans="1:40" x14ac:dyDescent="0.2">
      <c r="A704" s="13"/>
      <c r="B704" s="13"/>
      <c r="C704" s="13"/>
      <c r="D704" s="13"/>
      <c r="E704" s="12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2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</row>
    <row r="705" spans="1:40" x14ac:dyDescent="0.2">
      <c r="A705" s="13"/>
      <c r="B705" s="13"/>
      <c r="C705" s="13"/>
      <c r="D705" s="13"/>
      <c r="E705" s="12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2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</row>
    <row r="706" spans="1:40" x14ac:dyDescent="0.2">
      <c r="A706" s="13"/>
      <c r="B706" s="13"/>
      <c r="C706" s="13"/>
      <c r="D706" s="13"/>
      <c r="E706" s="12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2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</row>
    <row r="707" spans="1:40" x14ac:dyDescent="0.2">
      <c r="A707" s="13"/>
      <c r="B707" s="13"/>
      <c r="C707" s="13"/>
      <c r="D707" s="13"/>
      <c r="E707" s="12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2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</row>
    <row r="708" spans="1:40" x14ac:dyDescent="0.2">
      <c r="A708" s="13"/>
      <c r="B708" s="13"/>
      <c r="C708" s="13"/>
      <c r="D708" s="13"/>
      <c r="E708" s="12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2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</row>
    <row r="709" spans="1:40" x14ac:dyDescent="0.2">
      <c r="A709" s="13"/>
      <c r="B709" s="13"/>
      <c r="C709" s="13"/>
      <c r="D709" s="13"/>
      <c r="E709" s="12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2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</row>
    <row r="710" spans="1:40" x14ac:dyDescent="0.2">
      <c r="A710" s="13"/>
      <c r="B710" s="13"/>
      <c r="C710" s="13"/>
      <c r="D710" s="13"/>
      <c r="E710" s="12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2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</row>
    <row r="711" spans="1:40" x14ac:dyDescent="0.2">
      <c r="A711" s="13"/>
      <c r="B711" s="13"/>
      <c r="C711" s="13"/>
      <c r="D711" s="13"/>
      <c r="E711" s="12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2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</row>
    <row r="712" spans="1:40" x14ac:dyDescent="0.2">
      <c r="A712" s="13"/>
      <c r="B712" s="13"/>
      <c r="C712" s="13"/>
      <c r="D712" s="13"/>
      <c r="E712" s="12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2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</row>
    <row r="713" spans="1:40" x14ac:dyDescent="0.2">
      <c r="A713" s="13"/>
      <c r="B713" s="13"/>
      <c r="C713" s="13"/>
      <c r="D713" s="13"/>
      <c r="E713" s="12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2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</row>
    <row r="714" spans="1:40" x14ac:dyDescent="0.2">
      <c r="A714" s="13"/>
      <c r="B714" s="13"/>
      <c r="C714" s="13"/>
      <c r="D714" s="13"/>
      <c r="E714" s="12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2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</row>
    <row r="715" spans="1:40" x14ac:dyDescent="0.2">
      <c r="A715" s="13"/>
      <c r="B715" s="13"/>
      <c r="C715" s="13"/>
      <c r="D715" s="13"/>
      <c r="E715" s="12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2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</row>
    <row r="716" spans="1:40" x14ac:dyDescent="0.2">
      <c r="A716" s="13"/>
      <c r="B716" s="13"/>
      <c r="C716" s="13"/>
      <c r="D716" s="13"/>
      <c r="E716" s="12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2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</row>
    <row r="717" spans="1:40" x14ac:dyDescent="0.2">
      <c r="A717" s="13"/>
      <c r="B717" s="13"/>
      <c r="C717" s="13"/>
      <c r="D717" s="13"/>
      <c r="E717" s="12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2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</row>
    <row r="718" spans="1:40" x14ac:dyDescent="0.2">
      <c r="A718" s="13"/>
      <c r="B718" s="13"/>
      <c r="C718" s="13"/>
      <c r="D718" s="13"/>
      <c r="E718" s="12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2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</row>
    <row r="719" spans="1:40" x14ac:dyDescent="0.2">
      <c r="A719" s="13"/>
      <c r="B719" s="13"/>
      <c r="C719" s="13"/>
      <c r="D719" s="13"/>
      <c r="E719" s="12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2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</row>
    <row r="720" spans="1:40" x14ac:dyDescent="0.2">
      <c r="A720" s="13"/>
      <c r="B720" s="13"/>
      <c r="C720" s="13"/>
      <c r="D720" s="13"/>
      <c r="E720" s="12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2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</row>
    <row r="721" spans="1:40" x14ac:dyDescent="0.2">
      <c r="A721" s="13"/>
      <c r="B721" s="13"/>
      <c r="C721" s="13"/>
      <c r="D721" s="13"/>
      <c r="E721" s="12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2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</row>
    <row r="722" spans="1:40" x14ac:dyDescent="0.2">
      <c r="A722" s="13"/>
      <c r="B722" s="13"/>
      <c r="C722" s="13"/>
      <c r="D722" s="13"/>
      <c r="E722" s="12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2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</row>
    <row r="723" spans="1:40" x14ac:dyDescent="0.2">
      <c r="A723" s="13"/>
      <c r="B723" s="13"/>
      <c r="C723" s="13"/>
      <c r="D723" s="13"/>
      <c r="E723" s="12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2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</row>
    <row r="724" spans="1:40" x14ac:dyDescent="0.2">
      <c r="A724" s="13"/>
      <c r="B724" s="13"/>
      <c r="C724" s="13"/>
      <c r="D724" s="13"/>
      <c r="E724" s="12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2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</row>
    <row r="725" spans="1:40" x14ac:dyDescent="0.2">
      <c r="A725" s="13"/>
      <c r="B725" s="13"/>
      <c r="C725" s="13"/>
      <c r="D725" s="13"/>
      <c r="E725" s="12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2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</row>
    <row r="726" spans="1:40" x14ac:dyDescent="0.2">
      <c r="A726" s="13"/>
      <c r="B726" s="13"/>
      <c r="C726" s="13"/>
      <c r="D726" s="13"/>
      <c r="E726" s="12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2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</row>
    <row r="727" spans="1:40" x14ac:dyDescent="0.2">
      <c r="A727" s="13"/>
      <c r="B727" s="13"/>
      <c r="C727" s="13"/>
      <c r="D727" s="13"/>
      <c r="E727" s="12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2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</row>
    <row r="728" spans="1:40" x14ac:dyDescent="0.2">
      <c r="A728" s="13"/>
      <c r="B728" s="13"/>
      <c r="C728" s="13"/>
      <c r="D728" s="13"/>
      <c r="E728" s="12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2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</row>
    <row r="729" spans="1:40" x14ac:dyDescent="0.2">
      <c r="A729" s="13"/>
      <c r="B729" s="13"/>
      <c r="C729" s="13"/>
      <c r="D729" s="13"/>
      <c r="E729" s="12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2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</row>
    <row r="730" spans="1:40" x14ac:dyDescent="0.2">
      <c r="A730" s="13"/>
      <c r="B730" s="13"/>
      <c r="C730" s="13"/>
      <c r="D730" s="13"/>
      <c r="E730" s="12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2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</row>
    <row r="731" spans="1:40" x14ac:dyDescent="0.2">
      <c r="A731" s="13"/>
      <c r="B731" s="13"/>
      <c r="C731" s="13"/>
      <c r="D731" s="13"/>
      <c r="E731" s="12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2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</row>
    <row r="732" spans="1:40" x14ac:dyDescent="0.2">
      <c r="A732" s="13"/>
      <c r="B732" s="13"/>
      <c r="C732" s="13"/>
      <c r="D732" s="13"/>
      <c r="E732" s="12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2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</row>
    <row r="733" spans="1:40" x14ac:dyDescent="0.2">
      <c r="A733" s="13"/>
      <c r="B733" s="13"/>
      <c r="C733" s="13"/>
      <c r="D733" s="13"/>
      <c r="E733" s="12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2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</row>
    <row r="734" spans="1:40" x14ac:dyDescent="0.2">
      <c r="A734" s="13"/>
      <c r="B734" s="13"/>
      <c r="C734" s="13"/>
      <c r="D734" s="13"/>
      <c r="E734" s="12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2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</row>
    <row r="735" spans="1:40" x14ac:dyDescent="0.2">
      <c r="A735" s="13"/>
      <c r="B735" s="13"/>
      <c r="C735" s="13"/>
      <c r="D735" s="13"/>
      <c r="E735" s="12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2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</row>
    <row r="736" spans="1:40" x14ac:dyDescent="0.2">
      <c r="A736" s="13"/>
      <c r="B736" s="13"/>
      <c r="C736" s="13"/>
      <c r="D736" s="13"/>
      <c r="E736" s="12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2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</row>
    <row r="737" spans="1:40" x14ac:dyDescent="0.2">
      <c r="A737" s="13"/>
      <c r="B737" s="13"/>
      <c r="C737" s="13"/>
      <c r="D737" s="13"/>
      <c r="E737" s="12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2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</row>
    <row r="738" spans="1:40" x14ac:dyDescent="0.2">
      <c r="A738" s="13"/>
      <c r="B738" s="13"/>
      <c r="C738" s="13"/>
      <c r="D738" s="13"/>
      <c r="E738" s="12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2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</row>
    <row r="739" spans="1:40" x14ac:dyDescent="0.2">
      <c r="A739" s="13"/>
      <c r="B739" s="13"/>
      <c r="C739" s="13"/>
      <c r="D739" s="13"/>
      <c r="E739" s="12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2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</row>
    <row r="740" spans="1:40" x14ac:dyDescent="0.2">
      <c r="A740" s="13"/>
      <c r="B740" s="13"/>
      <c r="C740" s="13"/>
      <c r="D740" s="13"/>
      <c r="E740" s="12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2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</row>
    <row r="741" spans="1:40" x14ac:dyDescent="0.2">
      <c r="A741" s="13"/>
      <c r="B741" s="13"/>
      <c r="C741" s="13"/>
      <c r="D741" s="13"/>
      <c r="E741" s="12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2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</row>
    <row r="742" spans="1:40" x14ac:dyDescent="0.2">
      <c r="A742" s="13"/>
      <c r="B742" s="13"/>
      <c r="C742" s="13"/>
      <c r="D742" s="13"/>
      <c r="E742" s="12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2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</row>
    <row r="743" spans="1:40" x14ac:dyDescent="0.2">
      <c r="A743" s="13"/>
      <c r="B743" s="13"/>
      <c r="C743" s="13"/>
      <c r="D743" s="13"/>
      <c r="E743" s="12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2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</row>
    <row r="744" spans="1:40" x14ac:dyDescent="0.2">
      <c r="A744" s="13"/>
      <c r="B744" s="13"/>
      <c r="C744" s="13"/>
      <c r="D744" s="13"/>
      <c r="E744" s="12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2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</row>
    <row r="745" spans="1:40" x14ac:dyDescent="0.2">
      <c r="A745" s="13"/>
      <c r="B745" s="13"/>
      <c r="C745" s="13"/>
      <c r="D745" s="13"/>
      <c r="E745" s="12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2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</row>
    <row r="746" spans="1:40" x14ac:dyDescent="0.2">
      <c r="A746" s="13"/>
      <c r="B746" s="13"/>
      <c r="C746" s="13"/>
      <c r="D746" s="13"/>
      <c r="E746" s="12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2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</row>
    <row r="747" spans="1:40" x14ac:dyDescent="0.2">
      <c r="A747" s="13"/>
      <c r="B747" s="13"/>
      <c r="C747" s="13"/>
      <c r="D747" s="13"/>
      <c r="E747" s="12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2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</row>
    <row r="748" spans="1:40" x14ac:dyDescent="0.2">
      <c r="A748" s="13"/>
      <c r="B748" s="13"/>
      <c r="C748" s="13"/>
      <c r="D748" s="13"/>
      <c r="E748" s="12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2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</row>
    <row r="749" spans="1:40" x14ac:dyDescent="0.2">
      <c r="A749" s="13"/>
      <c r="B749" s="13"/>
      <c r="C749" s="13"/>
      <c r="D749" s="13"/>
      <c r="E749" s="12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2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</row>
    <row r="750" spans="1:40" x14ac:dyDescent="0.2">
      <c r="A750" s="13"/>
      <c r="B750" s="13"/>
      <c r="C750" s="13"/>
      <c r="D750" s="13"/>
      <c r="E750" s="12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2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</row>
    <row r="751" spans="1:40" x14ac:dyDescent="0.2">
      <c r="A751" s="13"/>
      <c r="B751" s="13"/>
      <c r="C751" s="13"/>
      <c r="D751" s="13"/>
      <c r="E751" s="12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2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</row>
    <row r="752" spans="1:40" x14ac:dyDescent="0.2">
      <c r="A752" s="13"/>
      <c r="B752" s="13"/>
      <c r="C752" s="13"/>
      <c r="D752" s="13"/>
      <c r="E752" s="12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2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</row>
    <row r="753" spans="1:40" x14ac:dyDescent="0.2">
      <c r="A753" s="13"/>
      <c r="B753" s="13"/>
      <c r="C753" s="13"/>
      <c r="D753" s="13"/>
      <c r="E753" s="12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2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</row>
    <row r="754" spans="1:40" x14ac:dyDescent="0.2">
      <c r="A754" s="13"/>
      <c r="B754" s="13"/>
      <c r="C754" s="13"/>
      <c r="D754" s="13"/>
      <c r="E754" s="12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2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</row>
    <row r="755" spans="1:40" x14ac:dyDescent="0.2">
      <c r="A755" s="13"/>
      <c r="B755" s="13"/>
      <c r="C755" s="13"/>
      <c r="D755" s="13"/>
      <c r="E755" s="12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2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</row>
    <row r="756" spans="1:40" x14ac:dyDescent="0.2">
      <c r="A756" s="13"/>
      <c r="B756" s="13"/>
      <c r="C756" s="13"/>
      <c r="D756" s="13"/>
      <c r="E756" s="12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2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</row>
    <row r="757" spans="1:40" x14ac:dyDescent="0.2">
      <c r="A757" s="13"/>
      <c r="B757" s="13"/>
      <c r="C757" s="13"/>
      <c r="D757" s="13"/>
      <c r="E757" s="12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2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</row>
    <row r="758" spans="1:40" x14ac:dyDescent="0.2">
      <c r="A758" s="13"/>
      <c r="B758" s="13"/>
      <c r="C758" s="13"/>
      <c r="D758" s="13"/>
      <c r="E758" s="12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2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</row>
    <row r="759" spans="1:40" x14ac:dyDescent="0.2">
      <c r="A759" s="13"/>
      <c r="B759" s="13"/>
      <c r="C759" s="13"/>
      <c r="D759" s="13"/>
      <c r="E759" s="12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2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</row>
    <row r="760" spans="1:40" x14ac:dyDescent="0.2">
      <c r="A760" s="13"/>
      <c r="B760" s="13"/>
      <c r="C760" s="13"/>
      <c r="D760" s="13"/>
      <c r="E760" s="12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2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</row>
    <row r="761" spans="1:40" x14ac:dyDescent="0.2">
      <c r="A761" s="13"/>
      <c r="B761" s="13"/>
      <c r="C761" s="13"/>
      <c r="D761" s="13"/>
      <c r="E761" s="12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2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</row>
    <row r="762" spans="1:40" x14ac:dyDescent="0.2">
      <c r="A762" s="13"/>
      <c r="B762" s="13"/>
      <c r="C762" s="13"/>
      <c r="D762" s="13"/>
      <c r="E762" s="12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2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</row>
    <row r="763" spans="1:40" x14ac:dyDescent="0.2">
      <c r="A763" s="13"/>
      <c r="B763" s="13"/>
      <c r="C763" s="13"/>
      <c r="D763" s="13"/>
      <c r="E763" s="12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2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</row>
    <row r="764" spans="1:40" x14ac:dyDescent="0.2">
      <c r="A764" s="13"/>
      <c r="B764" s="13"/>
      <c r="C764" s="13"/>
      <c r="D764" s="13"/>
      <c r="E764" s="12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2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</row>
    <row r="765" spans="1:40" x14ac:dyDescent="0.2">
      <c r="A765" s="13"/>
      <c r="B765" s="13"/>
      <c r="C765" s="13"/>
      <c r="D765" s="13"/>
      <c r="E765" s="12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2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</row>
    <row r="766" spans="1:40" x14ac:dyDescent="0.2">
      <c r="A766" s="13"/>
      <c r="B766" s="13"/>
      <c r="C766" s="13"/>
      <c r="D766" s="13"/>
      <c r="E766" s="12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2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</row>
    <row r="767" spans="1:40" x14ac:dyDescent="0.2">
      <c r="A767" s="13"/>
      <c r="B767" s="13"/>
      <c r="C767" s="13"/>
      <c r="D767" s="13"/>
      <c r="E767" s="12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2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</row>
    <row r="768" spans="1:40" x14ac:dyDescent="0.2">
      <c r="A768" s="13"/>
      <c r="B768" s="13"/>
      <c r="C768" s="13"/>
      <c r="D768" s="13"/>
      <c r="E768" s="12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2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</row>
    <row r="769" spans="1:40" x14ac:dyDescent="0.2">
      <c r="A769" s="13"/>
      <c r="B769" s="13"/>
      <c r="C769" s="13"/>
      <c r="D769" s="13"/>
      <c r="E769" s="12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2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</row>
    <row r="770" spans="1:40" x14ac:dyDescent="0.2">
      <c r="A770" s="13"/>
      <c r="B770" s="13"/>
      <c r="C770" s="13"/>
      <c r="D770" s="13"/>
      <c r="E770" s="12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2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</row>
    <row r="771" spans="1:40" x14ac:dyDescent="0.2">
      <c r="A771" s="13"/>
      <c r="B771" s="13"/>
      <c r="C771" s="13"/>
      <c r="D771" s="13"/>
      <c r="E771" s="12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2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</row>
    <row r="772" spans="1:40" x14ac:dyDescent="0.2">
      <c r="A772" s="13"/>
      <c r="B772" s="13"/>
      <c r="C772" s="13"/>
      <c r="D772" s="13"/>
      <c r="E772" s="12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2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</row>
    <row r="773" spans="1:40" x14ac:dyDescent="0.2">
      <c r="A773" s="13"/>
      <c r="B773" s="13"/>
      <c r="C773" s="13"/>
      <c r="D773" s="13"/>
      <c r="E773" s="12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2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</row>
    <row r="774" spans="1:40" x14ac:dyDescent="0.2">
      <c r="A774" s="13"/>
      <c r="B774" s="13"/>
      <c r="C774" s="13"/>
      <c r="D774" s="13"/>
      <c r="E774" s="12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2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</row>
    <row r="775" spans="1:40" x14ac:dyDescent="0.2">
      <c r="A775" s="13"/>
      <c r="B775" s="13"/>
      <c r="C775" s="13"/>
      <c r="D775" s="13"/>
      <c r="E775" s="12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2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</row>
    <row r="776" spans="1:40" x14ac:dyDescent="0.2">
      <c r="A776" s="13"/>
      <c r="B776" s="13"/>
      <c r="C776" s="13"/>
      <c r="D776" s="13"/>
      <c r="E776" s="12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2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</row>
    <row r="777" spans="1:40" x14ac:dyDescent="0.2">
      <c r="A777" s="13"/>
      <c r="B777" s="13"/>
      <c r="C777" s="13"/>
      <c r="D777" s="13"/>
      <c r="E777" s="12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2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</row>
    <row r="778" spans="1:40" x14ac:dyDescent="0.2">
      <c r="A778" s="13"/>
      <c r="B778" s="13"/>
      <c r="C778" s="13"/>
      <c r="D778" s="13"/>
      <c r="E778" s="12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2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</row>
    <row r="779" spans="1:40" x14ac:dyDescent="0.2">
      <c r="A779" s="13"/>
      <c r="B779" s="13"/>
      <c r="C779" s="13"/>
      <c r="D779" s="13"/>
      <c r="E779" s="12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2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</row>
    <row r="780" spans="1:40" x14ac:dyDescent="0.2">
      <c r="A780" s="13"/>
      <c r="B780" s="13"/>
      <c r="C780" s="13"/>
      <c r="D780" s="13"/>
      <c r="E780" s="12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2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</row>
    <row r="781" spans="1:40" x14ac:dyDescent="0.2">
      <c r="A781" s="13"/>
      <c r="B781" s="13"/>
      <c r="C781" s="13"/>
      <c r="D781" s="13"/>
      <c r="E781" s="12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2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</row>
    <row r="782" spans="1:40" x14ac:dyDescent="0.2">
      <c r="A782" s="13"/>
      <c r="B782" s="13"/>
      <c r="C782" s="13"/>
      <c r="D782" s="13"/>
      <c r="E782" s="12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2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</row>
    <row r="783" spans="1:40" x14ac:dyDescent="0.2">
      <c r="A783" s="13"/>
      <c r="B783" s="13"/>
      <c r="C783" s="13"/>
      <c r="D783" s="13"/>
      <c r="E783" s="12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2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</row>
    <row r="784" spans="1:40" x14ac:dyDescent="0.2">
      <c r="A784" s="13"/>
      <c r="B784" s="13"/>
      <c r="C784" s="13"/>
      <c r="D784" s="13"/>
      <c r="E784" s="12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2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</row>
    <row r="785" spans="1:40" x14ac:dyDescent="0.2">
      <c r="A785" s="13"/>
      <c r="B785" s="13"/>
      <c r="C785" s="13"/>
      <c r="D785" s="13"/>
      <c r="E785" s="12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2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</row>
    <row r="786" spans="1:40" x14ac:dyDescent="0.2">
      <c r="A786" s="13"/>
      <c r="B786" s="13"/>
      <c r="C786" s="13"/>
      <c r="D786" s="13"/>
      <c r="E786" s="12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2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</row>
    <row r="787" spans="1:40" x14ac:dyDescent="0.2">
      <c r="A787" s="13"/>
      <c r="B787" s="13"/>
      <c r="C787" s="13"/>
      <c r="D787" s="13"/>
      <c r="E787" s="12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2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</row>
    <row r="788" spans="1:40" x14ac:dyDescent="0.2">
      <c r="A788" s="13"/>
      <c r="B788" s="13"/>
      <c r="C788" s="13"/>
      <c r="D788" s="13"/>
      <c r="E788" s="12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2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</row>
    <row r="789" spans="1:40" x14ac:dyDescent="0.2">
      <c r="A789" s="13"/>
      <c r="B789" s="13"/>
      <c r="C789" s="13"/>
      <c r="D789" s="13"/>
      <c r="E789" s="12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2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</row>
    <row r="790" spans="1:40" x14ac:dyDescent="0.2">
      <c r="A790" s="13"/>
      <c r="B790" s="13"/>
      <c r="C790" s="13"/>
      <c r="D790" s="13"/>
      <c r="E790" s="12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2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</row>
    <row r="791" spans="1:40" x14ac:dyDescent="0.2">
      <c r="A791" s="13"/>
      <c r="B791" s="13"/>
      <c r="C791" s="13"/>
      <c r="D791" s="13"/>
      <c r="E791" s="12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2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</row>
    <row r="792" spans="1:40" x14ac:dyDescent="0.2">
      <c r="A792" s="13"/>
      <c r="B792" s="13"/>
      <c r="C792" s="13"/>
      <c r="D792" s="13"/>
      <c r="E792" s="12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2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</row>
    <row r="793" spans="1:40" x14ac:dyDescent="0.2">
      <c r="A793" s="13"/>
      <c r="B793" s="13"/>
      <c r="C793" s="13"/>
      <c r="D793" s="13"/>
      <c r="E793" s="12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2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</row>
    <row r="794" spans="1:40" x14ac:dyDescent="0.2">
      <c r="A794" s="13"/>
      <c r="B794" s="13"/>
      <c r="C794" s="13"/>
      <c r="D794" s="13"/>
      <c r="E794" s="12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2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</row>
    <row r="795" spans="1:40" x14ac:dyDescent="0.2">
      <c r="A795" s="13"/>
      <c r="B795" s="13"/>
      <c r="C795" s="13"/>
      <c r="D795" s="13"/>
      <c r="E795" s="12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2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</row>
    <row r="796" spans="1:40" x14ac:dyDescent="0.2">
      <c r="A796" s="13"/>
      <c r="B796" s="13"/>
      <c r="C796" s="13"/>
      <c r="D796" s="13"/>
      <c r="E796" s="12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2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</row>
    <row r="797" spans="1:40" x14ac:dyDescent="0.2">
      <c r="A797" s="13"/>
      <c r="B797" s="13"/>
      <c r="C797" s="13"/>
      <c r="D797" s="13"/>
      <c r="E797" s="12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2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</row>
    <row r="798" spans="1:40" x14ac:dyDescent="0.2">
      <c r="A798" s="13"/>
      <c r="B798" s="13"/>
      <c r="C798" s="13"/>
      <c r="D798" s="13"/>
      <c r="E798" s="12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2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</row>
    <row r="799" spans="1:40" x14ac:dyDescent="0.2">
      <c r="A799" s="13"/>
      <c r="B799" s="13"/>
      <c r="C799" s="13"/>
      <c r="D799" s="13"/>
      <c r="E799" s="12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2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</row>
    <row r="800" spans="1:40" x14ac:dyDescent="0.2">
      <c r="A800" s="13"/>
      <c r="B800" s="13"/>
      <c r="C800" s="13"/>
      <c r="D800" s="13"/>
      <c r="E800" s="12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2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</row>
    <row r="801" spans="1:40" x14ac:dyDescent="0.2">
      <c r="A801" s="13"/>
      <c r="B801" s="13"/>
      <c r="C801" s="13"/>
      <c r="D801" s="13"/>
      <c r="E801" s="12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2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</row>
    <row r="802" spans="1:40" x14ac:dyDescent="0.2">
      <c r="A802" s="13"/>
      <c r="B802" s="13"/>
      <c r="C802" s="13"/>
      <c r="D802" s="13"/>
      <c r="E802" s="12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2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</row>
    <row r="803" spans="1:40" x14ac:dyDescent="0.2">
      <c r="A803" s="13"/>
      <c r="B803" s="13"/>
      <c r="C803" s="13"/>
      <c r="D803" s="13"/>
      <c r="E803" s="12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2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</row>
    <row r="804" spans="1:40" x14ac:dyDescent="0.2">
      <c r="A804" s="13"/>
      <c r="B804" s="13"/>
      <c r="C804" s="13"/>
      <c r="D804" s="13"/>
      <c r="E804" s="12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2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</row>
    <row r="805" spans="1:40" x14ac:dyDescent="0.2">
      <c r="A805" s="13"/>
      <c r="B805" s="13"/>
      <c r="C805" s="13"/>
      <c r="D805" s="13"/>
      <c r="E805" s="12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2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</row>
    <row r="806" spans="1:40" x14ac:dyDescent="0.2">
      <c r="A806" s="13"/>
      <c r="B806" s="13"/>
      <c r="C806" s="13"/>
      <c r="D806" s="13"/>
      <c r="E806" s="12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2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</row>
    <row r="807" spans="1:40" x14ac:dyDescent="0.2">
      <c r="A807" s="13"/>
      <c r="B807" s="13"/>
      <c r="C807" s="13"/>
      <c r="D807" s="13"/>
      <c r="E807" s="12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2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</row>
    <row r="808" spans="1:40" x14ac:dyDescent="0.2">
      <c r="A808" s="13"/>
      <c r="B808" s="13"/>
      <c r="C808" s="13"/>
      <c r="D808" s="13"/>
      <c r="E808" s="12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2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</row>
    <row r="809" spans="1:40" x14ac:dyDescent="0.2">
      <c r="A809" s="13"/>
      <c r="B809" s="13"/>
      <c r="C809" s="13"/>
      <c r="D809" s="13"/>
      <c r="E809" s="12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2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</row>
    <row r="810" spans="1:40" x14ac:dyDescent="0.2">
      <c r="A810" s="13"/>
      <c r="B810" s="13"/>
      <c r="C810" s="13"/>
      <c r="D810" s="13"/>
      <c r="E810" s="12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2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</row>
    <row r="811" spans="1:40" x14ac:dyDescent="0.2">
      <c r="A811" s="13"/>
      <c r="B811" s="13"/>
      <c r="C811" s="13"/>
      <c r="D811" s="13"/>
      <c r="E811" s="12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2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</row>
    <row r="812" spans="1:40" x14ac:dyDescent="0.2">
      <c r="A812" s="13"/>
      <c r="B812" s="13"/>
      <c r="C812" s="13"/>
      <c r="D812" s="13"/>
      <c r="E812" s="12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2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</row>
    <row r="813" spans="1:40" x14ac:dyDescent="0.2">
      <c r="A813" s="13"/>
      <c r="B813" s="13"/>
      <c r="C813" s="13"/>
      <c r="D813" s="13"/>
      <c r="E813" s="12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2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</row>
    <row r="814" spans="1:40" x14ac:dyDescent="0.2">
      <c r="A814" s="13"/>
      <c r="B814" s="13"/>
      <c r="C814" s="13"/>
      <c r="D814" s="13"/>
      <c r="E814" s="12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2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</row>
    <row r="815" spans="1:40" x14ac:dyDescent="0.2">
      <c r="A815" s="13"/>
      <c r="B815" s="13"/>
      <c r="C815" s="13"/>
      <c r="D815" s="13"/>
      <c r="E815" s="12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2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</row>
    <row r="816" spans="1:40" x14ac:dyDescent="0.2">
      <c r="A816" s="13"/>
      <c r="B816" s="13"/>
      <c r="C816" s="13"/>
      <c r="D816" s="13"/>
      <c r="E816" s="12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2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</row>
    <row r="817" spans="1:40" x14ac:dyDescent="0.2">
      <c r="A817" s="13"/>
      <c r="B817" s="13"/>
      <c r="C817" s="13"/>
      <c r="D817" s="13"/>
      <c r="E817" s="12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2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</row>
    <row r="818" spans="1:40" x14ac:dyDescent="0.2">
      <c r="A818" s="13"/>
      <c r="B818" s="13"/>
      <c r="C818" s="13"/>
      <c r="D818" s="13"/>
      <c r="E818" s="12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2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</row>
    <row r="819" spans="1:40" x14ac:dyDescent="0.2">
      <c r="A819" s="13"/>
      <c r="B819" s="13"/>
      <c r="C819" s="13"/>
      <c r="D819" s="13"/>
      <c r="E819" s="12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2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</row>
    <row r="820" spans="1:40" x14ac:dyDescent="0.2">
      <c r="A820" s="13"/>
      <c r="B820" s="13"/>
      <c r="C820" s="13"/>
      <c r="D820" s="13"/>
      <c r="E820" s="12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2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</row>
    <row r="821" spans="1:40" x14ac:dyDescent="0.2">
      <c r="A821" s="13"/>
      <c r="B821" s="13"/>
      <c r="C821" s="13"/>
      <c r="D821" s="13"/>
      <c r="E821" s="12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2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</row>
    <row r="822" spans="1:40" x14ac:dyDescent="0.2">
      <c r="A822" s="13"/>
      <c r="B822" s="13"/>
      <c r="C822" s="13"/>
      <c r="D822" s="13"/>
      <c r="E822" s="12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2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</row>
    <row r="823" spans="1:40" x14ac:dyDescent="0.2">
      <c r="A823" s="13"/>
      <c r="B823" s="13"/>
      <c r="C823" s="13"/>
      <c r="D823" s="13"/>
      <c r="E823" s="12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2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</row>
    <row r="824" spans="1:40" x14ac:dyDescent="0.2">
      <c r="A824" s="13"/>
      <c r="B824" s="13"/>
      <c r="C824" s="13"/>
      <c r="D824" s="13"/>
      <c r="E824" s="12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2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</row>
    <row r="825" spans="1:40" x14ac:dyDescent="0.2">
      <c r="A825" s="13"/>
      <c r="B825" s="13"/>
      <c r="C825" s="13"/>
      <c r="D825" s="13"/>
      <c r="E825" s="12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2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</row>
    <row r="826" spans="1:40" x14ac:dyDescent="0.2">
      <c r="A826" s="13"/>
      <c r="B826" s="13"/>
      <c r="C826" s="13"/>
      <c r="D826" s="13"/>
      <c r="E826" s="12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2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</row>
    <row r="827" spans="1:40" x14ac:dyDescent="0.2">
      <c r="A827" s="13"/>
      <c r="B827" s="13"/>
      <c r="C827" s="13"/>
      <c r="D827" s="13"/>
      <c r="E827" s="12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2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</row>
    <row r="828" spans="1:40" x14ac:dyDescent="0.2">
      <c r="A828" s="13"/>
      <c r="B828" s="13"/>
      <c r="C828" s="13"/>
      <c r="D828" s="13"/>
      <c r="E828" s="12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2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</row>
    <row r="829" spans="1:40" x14ac:dyDescent="0.2">
      <c r="A829" s="13"/>
      <c r="B829" s="13"/>
      <c r="C829" s="13"/>
      <c r="D829" s="13"/>
      <c r="E829" s="12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2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</row>
    <row r="830" spans="1:40" x14ac:dyDescent="0.2">
      <c r="A830" s="13"/>
      <c r="B830" s="13"/>
      <c r="C830" s="13"/>
      <c r="D830" s="13"/>
      <c r="E830" s="12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2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</row>
    <row r="831" spans="1:40" x14ac:dyDescent="0.2">
      <c r="A831" s="13"/>
      <c r="B831" s="13"/>
      <c r="C831" s="13"/>
      <c r="D831" s="13"/>
      <c r="E831" s="12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2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</row>
    <row r="832" spans="1:40" x14ac:dyDescent="0.2">
      <c r="A832" s="13"/>
      <c r="B832" s="13"/>
      <c r="C832" s="13"/>
      <c r="D832" s="13"/>
      <c r="E832" s="12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2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</row>
    <row r="833" spans="1:40" x14ac:dyDescent="0.2">
      <c r="A833" s="13"/>
      <c r="B833" s="13"/>
      <c r="C833" s="13"/>
      <c r="D833" s="13"/>
      <c r="E833" s="12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2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</row>
    <row r="834" spans="1:40" x14ac:dyDescent="0.2">
      <c r="A834" s="13"/>
      <c r="B834" s="13"/>
      <c r="C834" s="13"/>
      <c r="D834" s="13"/>
      <c r="E834" s="12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2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</row>
    <row r="835" spans="1:40" x14ac:dyDescent="0.2">
      <c r="A835" s="13"/>
      <c r="B835" s="13"/>
      <c r="C835" s="13"/>
      <c r="D835" s="13"/>
      <c r="E835" s="12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2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</row>
    <row r="836" spans="1:40" x14ac:dyDescent="0.2">
      <c r="A836" s="13"/>
      <c r="B836" s="13"/>
      <c r="C836" s="13"/>
      <c r="D836" s="13"/>
      <c r="E836" s="12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2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</row>
    <row r="837" spans="1:40" x14ac:dyDescent="0.2">
      <c r="A837" s="13"/>
      <c r="B837" s="13"/>
      <c r="C837" s="13"/>
      <c r="D837" s="13"/>
      <c r="E837" s="12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2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</row>
    <row r="838" spans="1:40" x14ac:dyDescent="0.2">
      <c r="A838" s="13"/>
      <c r="B838" s="13"/>
      <c r="C838" s="13"/>
      <c r="D838" s="13"/>
      <c r="E838" s="12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2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</row>
    <row r="839" spans="1:40" x14ac:dyDescent="0.2">
      <c r="A839" s="13"/>
      <c r="B839" s="13"/>
      <c r="C839" s="13"/>
      <c r="D839" s="13"/>
      <c r="E839" s="12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2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</row>
    <row r="840" spans="1:40" x14ac:dyDescent="0.2">
      <c r="A840" s="13"/>
      <c r="B840" s="13"/>
      <c r="C840" s="13"/>
      <c r="D840" s="13"/>
      <c r="E840" s="12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2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</row>
    <row r="841" spans="1:40" x14ac:dyDescent="0.2">
      <c r="A841" s="13"/>
      <c r="B841" s="13"/>
      <c r="C841" s="13"/>
      <c r="D841" s="13"/>
      <c r="E841" s="12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2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</row>
    <row r="842" spans="1:40" x14ac:dyDescent="0.2">
      <c r="A842" s="13"/>
      <c r="B842" s="13"/>
      <c r="C842" s="13"/>
      <c r="D842" s="13"/>
      <c r="E842" s="12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2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</row>
    <row r="843" spans="1:40" x14ac:dyDescent="0.2">
      <c r="A843" s="13"/>
      <c r="B843" s="13"/>
      <c r="C843" s="13"/>
      <c r="D843" s="13"/>
      <c r="E843" s="12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2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</row>
    <row r="844" spans="1:40" x14ac:dyDescent="0.2">
      <c r="A844" s="13"/>
      <c r="B844" s="13"/>
      <c r="C844" s="13"/>
      <c r="D844" s="13"/>
      <c r="E844" s="12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2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</row>
    <row r="845" spans="1:40" x14ac:dyDescent="0.2">
      <c r="A845" s="13"/>
      <c r="B845" s="13"/>
      <c r="C845" s="13"/>
      <c r="D845" s="13"/>
      <c r="E845" s="12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2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</row>
    <row r="846" spans="1:40" x14ac:dyDescent="0.2">
      <c r="A846" s="13"/>
      <c r="B846" s="13"/>
      <c r="C846" s="13"/>
      <c r="D846" s="13"/>
      <c r="E846" s="12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2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</row>
    <row r="847" spans="1:40" x14ac:dyDescent="0.2">
      <c r="A847" s="13"/>
      <c r="B847" s="13"/>
      <c r="C847" s="13"/>
      <c r="D847" s="13"/>
      <c r="E847" s="12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2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</row>
    <row r="848" spans="1:40" x14ac:dyDescent="0.2">
      <c r="A848" s="13"/>
      <c r="B848" s="13"/>
      <c r="C848" s="13"/>
      <c r="D848" s="13"/>
      <c r="E848" s="12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2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</row>
    <row r="849" spans="1:40" x14ac:dyDescent="0.2">
      <c r="A849" s="13"/>
      <c r="B849" s="13"/>
      <c r="C849" s="13"/>
      <c r="D849" s="13"/>
      <c r="E849" s="12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2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</row>
    <row r="850" spans="1:40" x14ac:dyDescent="0.2">
      <c r="A850" s="13"/>
      <c r="B850" s="13"/>
      <c r="C850" s="13"/>
      <c r="D850" s="13"/>
      <c r="E850" s="12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2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</row>
    <row r="851" spans="1:40" x14ac:dyDescent="0.2">
      <c r="A851" s="13"/>
      <c r="B851" s="13"/>
      <c r="C851" s="13"/>
      <c r="D851" s="13"/>
      <c r="E851" s="12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2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</row>
    <row r="852" spans="1:40" x14ac:dyDescent="0.2">
      <c r="A852" s="13"/>
      <c r="B852" s="13"/>
      <c r="C852" s="13"/>
      <c r="D852" s="13"/>
      <c r="E852" s="12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2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</row>
    <row r="853" spans="1:40" x14ac:dyDescent="0.2">
      <c r="A853" s="13"/>
      <c r="B853" s="13"/>
      <c r="C853" s="13"/>
      <c r="D853" s="13"/>
      <c r="E853" s="12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2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</row>
    <row r="854" spans="1:40" x14ac:dyDescent="0.2">
      <c r="A854" s="13"/>
      <c r="B854" s="13"/>
      <c r="C854" s="13"/>
      <c r="D854" s="13"/>
      <c r="E854" s="12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2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</row>
    <row r="855" spans="1:40" x14ac:dyDescent="0.2">
      <c r="A855" s="13"/>
      <c r="B855" s="13"/>
      <c r="C855" s="13"/>
      <c r="D855" s="13"/>
      <c r="E855" s="12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2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</row>
    <row r="856" spans="1:40" x14ac:dyDescent="0.2">
      <c r="A856" s="13"/>
      <c r="B856" s="13"/>
      <c r="C856" s="13"/>
      <c r="D856" s="13"/>
      <c r="E856" s="12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2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</row>
    <row r="857" spans="1:40" x14ac:dyDescent="0.2">
      <c r="A857" s="13"/>
      <c r="B857" s="13"/>
      <c r="C857" s="13"/>
      <c r="D857" s="13"/>
      <c r="E857" s="12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2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</row>
    <row r="858" spans="1:40" x14ac:dyDescent="0.2">
      <c r="A858" s="13"/>
      <c r="B858" s="13"/>
      <c r="C858" s="13"/>
      <c r="D858" s="13"/>
      <c r="E858" s="12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2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</row>
    <row r="859" spans="1:40" x14ac:dyDescent="0.2">
      <c r="A859" s="13"/>
      <c r="B859" s="13"/>
      <c r="C859" s="13"/>
      <c r="D859" s="13"/>
      <c r="E859" s="12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2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</row>
    <row r="860" spans="1:40" x14ac:dyDescent="0.2">
      <c r="A860" s="13"/>
      <c r="B860" s="13"/>
      <c r="C860" s="13"/>
      <c r="D860" s="13"/>
      <c r="E860" s="12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2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</row>
    <row r="861" spans="1:40" x14ac:dyDescent="0.2">
      <c r="A861" s="13"/>
      <c r="B861" s="13"/>
      <c r="C861" s="13"/>
      <c r="D861" s="13"/>
      <c r="E861" s="12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2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</row>
    <row r="862" spans="1:40" x14ac:dyDescent="0.2">
      <c r="A862" s="13"/>
      <c r="B862" s="13"/>
      <c r="C862" s="13"/>
      <c r="D862" s="13"/>
      <c r="E862" s="12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2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</row>
    <row r="863" spans="1:40" x14ac:dyDescent="0.2">
      <c r="A863" s="13"/>
      <c r="B863" s="13"/>
      <c r="C863" s="13"/>
      <c r="D863" s="13"/>
      <c r="E863" s="12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2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</row>
    <row r="864" spans="1:40" x14ac:dyDescent="0.2">
      <c r="A864" s="13"/>
      <c r="B864" s="13"/>
      <c r="C864" s="13"/>
      <c r="D864" s="13"/>
      <c r="E864" s="12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2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</row>
    <row r="865" spans="1:40" x14ac:dyDescent="0.2">
      <c r="A865" s="13"/>
      <c r="B865" s="13"/>
      <c r="C865" s="13"/>
      <c r="D865" s="13"/>
      <c r="E865" s="12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2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</row>
    <row r="866" spans="1:40" x14ac:dyDescent="0.2">
      <c r="A866" s="13"/>
      <c r="B866" s="13"/>
      <c r="C866" s="13"/>
      <c r="D866" s="13"/>
      <c r="E866" s="12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2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</row>
    <row r="867" spans="1:40" x14ac:dyDescent="0.2">
      <c r="A867" s="13"/>
      <c r="B867" s="13"/>
      <c r="C867" s="13"/>
      <c r="D867" s="13"/>
      <c r="E867" s="12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2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</row>
    <row r="868" spans="1:40" x14ac:dyDescent="0.2">
      <c r="A868" s="13"/>
      <c r="B868" s="13"/>
      <c r="C868" s="13"/>
      <c r="D868" s="13"/>
      <c r="E868" s="12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2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</row>
    <row r="869" spans="1:40" x14ac:dyDescent="0.2">
      <c r="A869" s="13"/>
      <c r="B869" s="13"/>
      <c r="C869" s="13"/>
      <c r="D869" s="13"/>
      <c r="E869" s="12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2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</row>
    <row r="870" spans="1:40" x14ac:dyDescent="0.2">
      <c r="A870" s="13"/>
      <c r="B870" s="13"/>
      <c r="C870" s="13"/>
      <c r="D870" s="13"/>
      <c r="E870" s="12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2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</row>
    <row r="871" spans="1:40" x14ac:dyDescent="0.2">
      <c r="A871" s="13"/>
      <c r="B871" s="13"/>
      <c r="C871" s="13"/>
      <c r="D871" s="13"/>
      <c r="E871" s="12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2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</row>
    <row r="872" spans="1:40" x14ac:dyDescent="0.2">
      <c r="A872" s="13"/>
      <c r="B872" s="13"/>
      <c r="C872" s="13"/>
      <c r="D872" s="13"/>
      <c r="E872" s="12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2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</row>
    <row r="873" spans="1:40" x14ac:dyDescent="0.2">
      <c r="A873" s="13"/>
      <c r="B873" s="13"/>
      <c r="C873" s="13"/>
      <c r="D873" s="13"/>
      <c r="E873" s="12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2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</row>
    <row r="874" spans="1:40" x14ac:dyDescent="0.2">
      <c r="A874" s="13"/>
      <c r="B874" s="13"/>
      <c r="C874" s="13"/>
      <c r="D874" s="13"/>
      <c r="E874" s="12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2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</row>
    <row r="875" spans="1:40" x14ac:dyDescent="0.2">
      <c r="A875" s="13"/>
      <c r="B875" s="13"/>
      <c r="C875" s="13"/>
      <c r="D875" s="13"/>
      <c r="E875" s="12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2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</row>
    <row r="876" spans="1:40" x14ac:dyDescent="0.2">
      <c r="A876" s="13"/>
      <c r="B876" s="13"/>
      <c r="C876" s="13"/>
      <c r="D876" s="13"/>
      <c r="E876" s="12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2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</row>
    <row r="877" spans="1:40" x14ac:dyDescent="0.2">
      <c r="A877" s="13"/>
      <c r="B877" s="13"/>
      <c r="C877" s="13"/>
      <c r="D877" s="13"/>
      <c r="E877" s="12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2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</row>
    <row r="878" spans="1:40" x14ac:dyDescent="0.2">
      <c r="A878" s="13"/>
      <c r="B878" s="13"/>
      <c r="C878" s="13"/>
      <c r="D878" s="13"/>
      <c r="E878" s="12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2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</row>
    <row r="879" spans="1:40" x14ac:dyDescent="0.2">
      <c r="A879" s="13"/>
      <c r="B879" s="13"/>
      <c r="C879" s="13"/>
      <c r="D879" s="13"/>
      <c r="E879" s="12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2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</row>
    <row r="880" spans="1:40" x14ac:dyDescent="0.2">
      <c r="A880" s="13"/>
      <c r="B880" s="13"/>
      <c r="C880" s="13"/>
      <c r="D880" s="13"/>
      <c r="E880" s="12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2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</row>
    <row r="881" spans="1:40" x14ac:dyDescent="0.2">
      <c r="A881" s="13"/>
      <c r="B881" s="13"/>
      <c r="C881" s="13"/>
      <c r="D881" s="13"/>
      <c r="E881" s="12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2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</row>
    <row r="882" spans="1:40" x14ac:dyDescent="0.2">
      <c r="A882" s="13"/>
      <c r="B882" s="13"/>
      <c r="C882" s="13"/>
      <c r="D882" s="13"/>
      <c r="E882" s="12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2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</row>
    <row r="883" spans="1:40" x14ac:dyDescent="0.2">
      <c r="A883" s="13"/>
      <c r="B883" s="13"/>
      <c r="C883" s="13"/>
      <c r="D883" s="13"/>
      <c r="E883" s="12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2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</row>
    <row r="884" spans="1:40" x14ac:dyDescent="0.2">
      <c r="A884" s="13"/>
      <c r="B884" s="13"/>
      <c r="C884" s="13"/>
      <c r="D884" s="13"/>
      <c r="E884" s="12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2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</row>
    <row r="885" spans="1:40" x14ac:dyDescent="0.2">
      <c r="A885" s="13"/>
      <c r="B885" s="13"/>
      <c r="C885" s="13"/>
      <c r="D885" s="13"/>
      <c r="E885" s="12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2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</row>
    <row r="886" spans="1:40" x14ac:dyDescent="0.2">
      <c r="A886" s="13"/>
      <c r="B886" s="13"/>
      <c r="C886" s="13"/>
      <c r="D886" s="13"/>
      <c r="E886" s="12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2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</row>
    <row r="887" spans="1:40" x14ac:dyDescent="0.2">
      <c r="A887" s="13"/>
      <c r="B887" s="13"/>
      <c r="C887" s="13"/>
      <c r="D887" s="13"/>
      <c r="E887" s="12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2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</row>
    <row r="888" spans="1:40" x14ac:dyDescent="0.2">
      <c r="A888" s="13"/>
      <c r="B888" s="13"/>
      <c r="C888" s="13"/>
      <c r="D888" s="13"/>
      <c r="E888" s="12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2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</row>
    <row r="889" spans="1:40" x14ac:dyDescent="0.2">
      <c r="A889" s="13"/>
      <c r="B889" s="13"/>
      <c r="C889" s="13"/>
      <c r="D889" s="13"/>
      <c r="E889" s="12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2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</row>
    <row r="890" spans="1:40" x14ac:dyDescent="0.2">
      <c r="A890" s="13"/>
      <c r="B890" s="13"/>
      <c r="C890" s="13"/>
      <c r="D890" s="13"/>
      <c r="E890" s="12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2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</row>
    <row r="891" spans="1:40" x14ac:dyDescent="0.2">
      <c r="A891" s="13"/>
      <c r="B891" s="13"/>
      <c r="C891" s="13"/>
      <c r="D891" s="13"/>
      <c r="E891" s="12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2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</row>
    <row r="892" spans="1:40" x14ac:dyDescent="0.2">
      <c r="A892" s="13"/>
      <c r="B892" s="13"/>
      <c r="C892" s="13"/>
      <c r="D892" s="13"/>
      <c r="E892" s="12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2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</row>
    <row r="893" spans="1:40" x14ac:dyDescent="0.2">
      <c r="A893" s="13"/>
      <c r="B893" s="13"/>
      <c r="C893" s="13"/>
      <c r="D893" s="13"/>
      <c r="E893" s="12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2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</row>
    <row r="894" spans="1:40" x14ac:dyDescent="0.2">
      <c r="A894" s="13"/>
      <c r="B894" s="13"/>
      <c r="C894" s="13"/>
      <c r="D894" s="13"/>
      <c r="E894" s="12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2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</row>
    <row r="895" spans="1:40" x14ac:dyDescent="0.2">
      <c r="A895" s="13"/>
      <c r="B895" s="13"/>
      <c r="C895" s="13"/>
      <c r="D895" s="13"/>
      <c r="E895" s="12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2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</row>
    <row r="896" spans="1:40" x14ac:dyDescent="0.2">
      <c r="A896" s="13"/>
      <c r="B896" s="13"/>
      <c r="C896" s="13"/>
      <c r="D896" s="13"/>
      <c r="E896" s="12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2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</row>
    <row r="897" spans="1:40" x14ac:dyDescent="0.2">
      <c r="A897" s="13"/>
      <c r="B897" s="13"/>
      <c r="C897" s="13"/>
      <c r="D897" s="13"/>
      <c r="E897" s="12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2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</row>
    <row r="898" spans="1:40" x14ac:dyDescent="0.2">
      <c r="A898" s="13"/>
      <c r="B898" s="13"/>
      <c r="C898" s="13"/>
      <c r="D898" s="13"/>
      <c r="E898" s="12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2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</row>
    <row r="899" spans="1:40" x14ac:dyDescent="0.2">
      <c r="A899" s="13"/>
      <c r="B899" s="13"/>
      <c r="C899" s="13"/>
      <c r="D899" s="13"/>
      <c r="E899" s="12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2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</row>
    <row r="900" spans="1:40" x14ac:dyDescent="0.2">
      <c r="A900" s="13"/>
      <c r="B900" s="13"/>
      <c r="C900" s="13"/>
      <c r="D900" s="13"/>
      <c r="E900" s="12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2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</row>
    <row r="901" spans="1:40" x14ac:dyDescent="0.2">
      <c r="A901" s="13"/>
      <c r="B901" s="13"/>
      <c r="C901" s="13"/>
      <c r="D901" s="13"/>
      <c r="E901" s="12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2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</row>
    <row r="902" spans="1:40" x14ac:dyDescent="0.2">
      <c r="A902" s="13"/>
      <c r="B902" s="13"/>
      <c r="C902" s="13"/>
      <c r="D902" s="13"/>
      <c r="E902" s="12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2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</row>
    <row r="903" spans="1:40" x14ac:dyDescent="0.2">
      <c r="A903" s="13"/>
      <c r="B903" s="13"/>
      <c r="C903" s="13"/>
      <c r="D903" s="13"/>
      <c r="E903" s="12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2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</row>
    <row r="904" spans="1:40" x14ac:dyDescent="0.2">
      <c r="A904" s="13"/>
      <c r="B904" s="13"/>
      <c r="C904" s="13"/>
      <c r="D904" s="13"/>
      <c r="E904" s="12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2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</row>
    <row r="905" spans="1:40" x14ac:dyDescent="0.2">
      <c r="A905" s="13"/>
      <c r="B905" s="13"/>
      <c r="C905" s="13"/>
      <c r="D905" s="13"/>
      <c r="E905" s="12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2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</row>
    <row r="906" spans="1:40" x14ac:dyDescent="0.2">
      <c r="A906" s="13"/>
      <c r="B906" s="13"/>
      <c r="C906" s="13"/>
      <c r="D906" s="13"/>
      <c r="E906" s="12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2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</row>
    <row r="907" spans="1:40" x14ac:dyDescent="0.2">
      <c r="A907" s="13"/>
      <c r="B907" s="13"/>
      <c r="C907" s="13"/>
      <c r="D907" s="13"/>
      <c r="E907" s="12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2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</row>
    <row r="908" spans="1:40" x14ac:dyDescent="0.2">
      <c r="A908" s="13"/>
      <c r="B908" s="13"/>
      <c r="C908" s="13"/>
      <c r="D908" s="13"/>
      <c r="E908" s="12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2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</row>
    <row r="909" spans="1:40" x14ac:dyDescent="0.2">
      <c r="A909" s="13"/>
      <c r="B909" s="13"/>
      <c r="C909" s="13"/>
      <c r="D909" s="13"/>
      <c r="E909" s="12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2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</row>
    <row r="910" spans="1:40" x14ac:dyDescent="0.2">
      <c r="A910" s="13"/>
      <c r="B910" s="13"/>
      <c r="C910" s="13"/>
      <c r="D910" s="13"/>
      <c r="E910" s="12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2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</row>
    <row r="911" spans="1:40" x14ac:dyDescent="0.2">
      <c r="A911" s="13"/>
      <c r="B911" s="13"/>
      <c r="C911" s="13"/>
      <c r="D911" s="13"/>
      <c r="E911" s="12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2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</row>
    <row r="912" spans="1:40" x14ac:dyDescent="0.2">
      <c r="A912" s="13"/>
      <c r="B912" s="13"/>
      <c r="C912" s="13"/>
      <c r="D912" s="13"/>
      <c r="E912" s="12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2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</row>
    <row r="913" spans="1:40" x14ac:dyDescent="0.2">
      <c r="A913" s="13"/>
      <c r="B913" s="13"/>
      <c r="C913" s="13"/>
      <c r="D913" s="13"/>
      <c r="E913" s="12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2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</row>
    <row r="914" spans="1:40" x14ac:dyDescent="0.2">
      <c r="A914" s="13"/>
      <c r="B914" s="13"/>
      <c r="C914" s="13"/>
      <c r="D914" s="13"/>
      <c r="E914" s="12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2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</row>
    <row r="915" spans="1:40" x14ac:dyDescent="0.2">
      <c r="A915" s="13"/>
      <c r="B915" s="13"/>
      <c r="C915" s="13"/>
      <c r="D915" s="13"/>
      <c r="E915" s="12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2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</row>
    <row r="916" spans="1:40" x14ac:dyDescent="0.2">
      <c r="A916" s="13"/>
      <c r="B916" s="13"/>
      <c r="C916" s="13"/>
      <c r="D916" s="13"/>
      <c r="E916" s="12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2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</row>
    <row r="917" spans="1:40" x14ac:dyDescent="0.2">
      <c r="A917" s="13"/>
      <c r="B917" s="13"/>
      <c r="C917" s="13"/>
      <c r="D917" s="13"/>
      <c r="E917" s="12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2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</row>
    <row r="918" spans="1:40" x14ac:dyDescent="0.2">
      <c r="A918" s="13"/>
      <c r="B918" s="13"/>
      <c r="C918" s="13"/>
      <c r="D918" s="13"/>
      <c r="E918" s="12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2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</row>
    <row r="919" spans="1:40" x14ac:dyDescent="0.2">
      <c r="A919" s="13"/>
      <c r="B919" s="13"/>
      <c r="C919" s="13"/>
      <c r="D919" s="13"/>
      <c r="E919" s="12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2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</row>
    <row r="920" spans="1:40" x14ac:dyDescent="0.2">
      <c r="A920" s="13"/>
      <c r="B920" s="13"/>
      <c r="C920" s="13"/>
      <c r="D920" s="13"/>
      <c r="E920" s="12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2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</row>
    <row r="921" spans="1:40" x14ac:dyDescent="0.2">
      <c r="A921" s="13"/>
      <c r="B921" s="13"/>
      <c r="C921" s="13"/>
      <c r="D921" s="13"/>
      <c r="E921" s="12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2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</row>
    <row r="922" spans="1:40" x14ac:dyDescent="0.2">
      <c r="A922" s="13"/>
      <c r="B922" s="13"/>
      <c r="C922" s="13"/>
      <c r="D922" s="13"/>
      <c r="E922" s="12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2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</row>
    <row r="923" spans="1:40" x14ac:dyDescent="0.2">
      <c r="A923" s="13"/>
      <c r="B923" s="13"/>
      <c r="C923" s="13"/>
      <c r="D923" s="13"/>
      <c r="E923" s="12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2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</row>
    <row r="924" spans="1:40" x14ac:dyDescent="0.2">
      <c r="A924" s="13"/>
      <c r="B924" s="13"/>
      <c r="C924" s="13"/>
      <c r="D924" s="13"/>
      <c r="E924" s="12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2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</row>
    <row r="925" spans="1:40" x14ac:dyDescent="0.2">
      <c r="A925" s="13"/>
      <c r="B925" s="13"/>
      <c r="C925" s="13"/>
      <c r="D925" s="13"/>
      <c r="E925" s="12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2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</row>
    <row r="926" spans="1:40" x14ac:dyDescent="0.2">
      <c r="A926" s="13"/>
      <c r="B926" s="13"/>
      <c r="C926" s="13"/>
      <c r="D926" s="13"/>
      <c r="E926" s="12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2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</row>
    <row r="927" spans="1:40" x14ac:dyDescent="0.2">
      <c r="A927" s="13"/>
      <c r="B927" s="13"/>
      <c r="C927" s="13"/>
      <c r="D927" s="13"/>
      <c r="E927" s="12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2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</row>
    <row r="928" spans="1:40" x14ac:dyDescent="0.2">
      <c r="A928" s="13"/>
      <c r="B928" s="13"/>
      <c r="C928" s="13"/>
      <c r="D928" s="13"/>
      <c r="E928" s="12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2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</row>
    <row r="929" spans="1:40" x14ac:dyDescent="0.2">
      <c r="A929" s="13"/>
      <c r="B929" s="13"/>
      <c r="C929" s="13"/>
      <c r="D929" s="13"/>
      <c r="E929" s="12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2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</row>
    <row r="930" spans="1:40" x14ac:dyDescent="0.2">
      <c r="A930" s="13"/>
      <c r="B930" s="13"/>
      <c r="C930" s="13"/>
      <c r="D930" s="13"/>
      <c r="E930" s="12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2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</row>
    <row r="931" spans="1:40" x14ac:dyDescent="0.2">
      <c r="A931" s="13"/>
      <c r="B931" s="13"/>
      <c r="C931" s="13"/>
      <c r="D931" s="13"/>
      <c r="E931" s="12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2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</row>
    <row r="932" spans="1:40" x14ac:dyDescent="0.2">
      <c r="A932" s="13"/>
      <c r="B932" s="13"/>
      <c r="C932" s="13"/>
      <c r="D932" s="13"/>
      <c r="E932" s="12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2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</row>
    <row r="933" spans="1:40" x14ac:dyDescent="0.2">
      <c r="A933" s="13"/>
      <c r="B933" s="13"/>
      <c r="C933" s="13"/>
      <c r="D933" s="13"/>
      <c r="E933" s="12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2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</row>
    <row r="934" spans="1:40" x14ac:dyDescent="0.2">
      <c r="A934" s="13"/>
      <c r="B934" s="13"/>
      <c r="C934" s="13"/>
      <c r="D934" s="13"/>
      <c r="E934" s="12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2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</row>
    <row r="935" spans="1:40" x14ac:dyDescent="0.2">
      <c r="A935" s="13"/>
      <c r="B935" s="13"/>
      <c r="C935" s="13"/>
      <c r="D935" s="13"/>
      <c r="E935" s="12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2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</row>
    <row r="936" spans="1:40" x14ac:dyDescent="0.2">
      <c r="A936" s="13"/>
      <c r="B936" s="13"/>
      <c r="C936" s="13"/>
      <c r="D936" s="13"/>
      <c r="E936" s="12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2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</row>
    <row r="937" spans="1:40" x14ac:dyDescent="0.2">
      <c r="A937" s="13"/>
      <c r="B937" s="13"/>
      <c r="C937" s="13"/>
      <c r="D937" s="13"/>
      <c r="E937" s="12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2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</row>
    <row r="938" spans="1:40" x14ac:dyDescent="0.2">
      <c r="A938" s="13"/>
      <c r="B938" s="13"/>
      <c r="C938" s="13"/>
      <c r="D938" s="13"/>
      <c r="E938" s="12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2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</row>
    <row r="939" spans="1:40" x14ac:dyDescent="0.2">
      <c r="A939" s="13"/>
      <c r="B939" s="13"/>
      <c r="C939" s="13"/>
      <c r="D939" s="13"/>
      <c r="E939" s="12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2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</row>
    <row r="940" spans="1:40" x14ac:dyDescent="0.2">
      <c r="A940" s="13"/>
      <c r="B940" s="13"/>
      <c r="C940" s="13"/>
      <c r="D940" s="13"/>
      <c r="E940" s="12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2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</row>
    <row r="941" spans="1:40" x14ac:dyDescent="0.2">
      <c r="A941" s="13"/>
      <c r="B941" s="13"/>
      <c r="C941" s="13"/>
      <c r="D941" s="13"/>
      <c r="E941" s="12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2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</row>
    <row r="942" spans="1:40" x14ac:dyDescent="0.2">
      <c r="A942" s="13"/>
      <c r="B942" s="13"/>
      <c r="C942" s="13"/>
      <c r="D942" s="13"/>
      <c r="E942" s="12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2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</row>
    <row r="943" spans="1:40" x14ac:dyDescent="0.2">
      <c r="A943" s="13"/>
      <c r="B943" s="13"/>
      <c r="C943" s="13"/>
      <c r="D943" s="13"/>
      <c r="E943" s="12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2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</row>
    <row r="944" spans="1:40" x14ac:dyDescent="0.2">
      <c r="A944" s="13"/>
      <c r="B944" s="13"/>
      <c r="C944" s="13"/>
      <c r="D944" s="13"/>
      <c r="E944" s="12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2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</row>
    <row r="945" spans="1:40" x14ac:dyDescent="0.2">
      <c r="A945" s="13"/>
      <c r="B945" s="13"/>
      <c r="C945" s="13"/>
      <c r="D945" s="13"/>
      <c r="E945" s="12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2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</row>
    <row r="946" spans="1:40" x14ac:dyDescent="0.2">
      <c r="A946" s="13"/>
      <c r="B946" s="13"/>
      <c r="C946" s="13"/>
      <c r="D946" s="13"/>
      <c r="E946" s="12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2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</row>
    <row r="947" spans="1:40" x14ac:dyDescent="0.2">
      <c r="A947" s="13"/>
      <c r="B947" s="13"/>
      <c r="C947" s="13"/>
      <c r="D947" s="13"/>
      <c r="E947" s="12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2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</row>
    <row r="948" spans="1:40" x14ac:dyDescent="0.2">
      <c r="A948" s="13"/>
      <c r="B948" s="13"/>
      <c r="C948" s="13"/>
      <c r="D948" s="13"/>
      <c r="E948" s="12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2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</row>
    <row r="949" spans="1:40" x14ac:dyDescent="0.2">
      <c r="A949" s="13"/>
      <c r="B949" s="13"/>
      <c r="C949" s="13"/>
      <c r="D949" s="13"/>
      <c r="E949" s="12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2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</row>
    <row r="950" spans="1:40" x14ac:dyDescent="0.2">
      <c r="A950" s="13"/>
      <c r="B950" s="13"/>
      <c r="C950" s="13"/>
      <c r="D950" s="13"/>
      <c r="E950" s="12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2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</row>
    <row r="951" spans="1:40" x14ac:dyDescent="0.2">
      <c r="A951" s="13"/>
      <c r="B951" s="13"/>
      <c r="C951" s="13"/>
      <c r="D951" s="13"/>
      <c r="E951" s="12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2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</row>
    <row r="952" spans="1:40" x14ac:dyDescent="0.2">
      <c r="A952" s="13"/>
      <c r="B952" s="13"/>
      <c r="C952" s="13"/>
      <c r="D952" s="13"/>
      <c r="E952" s="12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2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</row>
    <row r="953" spans="1:40" x14ac:dyDescent="0.2">
      <c r="A953" s="13"/>
      <c r="B953" s="13"/>
      <c r="C953" s="13"/>
      <c r="D953" s="13"/>
      <c r="E953" s="12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2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</row>
    <row r="954" spans="1:40" x14ac:dyDescent="0.2">
      <c r="A954" s="13"/>
      <c r="B954" s="13"/>
      <c r="C954" s="13"/>
      <c r="D954" s="13"/>
      <c r="E954" s="12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2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</row>
    <row r="955" spans="1:40" x14ac:dyDescent="0.2">
      <c r="A955" s="13"/>
      <c r="B955" s="13"/>
      <c r="C955" s="13"/>
      <c r="D955" s="13"/>
      <c r="E955" s="12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2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</row>
    <row r="956" spans="1:40" x14ac:dyDescent="0.2">
      <c r="A956" s="13"/>
      <c r="B956" s="13"/>
      <c r="C956" s="13"/>
      <c r="D956" s="13"/>
      <c r="E956" s="12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2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</row>
    <row r="957" spans="1:40" x14ac:dyDescent="0.2">
      <c r="A957" s="13"/>
      <c r="B957" s="13"/>
      <c r="C957" s="13"/>
      <c r="D957" s="13"/>
      <c r="E957" s="12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2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</row>
    <row r="958" spans="1:40" x14ac:dyDescent="0.2">
      <c r="A958" s="13"/>
      <c r="B958" s="13"/>
      <c r="C958" s="13"/>
      <c r="D958" s="13"/>
      <c r="E958" s="12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2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</row>
    <row r="959" spans="1:40" x14ac:dyDescent="0.2">
      <c r="A959" s="13"/>
      <c r="B959" s="13"/>
      <c r="C959" s="13"/>
      <c r="D959" s="13"/>
      <c r="E959" s="12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2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</row>
    <row r="960" spans="1:40" x14ac:dyDescent="0.2">
      <c r="A960" s="13"/>
      <c r="B960" s="13"/>
      <c r="C960" s="13"/>
      <c r="D960" s="13"/>
      <c r="E960" s="12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2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</row>
    <row r="961" spans="1:40" x14ac:dyDescent="0.2">
      <c r="A961" s="13"/>
      <c r="B961" s="13"/>
      <c r="C961" s="13"/>
      <c r="D961" s="13"/>
      <c r="E961" s="12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2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</row>
    <row r="962" spans="1:40" x14ac:dyDescent="0.2">
      <c r="A962" s="13"/>
      <c r="B962" s="13"/>
      <c r="C962" s="13"/>
      <c r="D962" s="13"/>
      <c r="E962" s="12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2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</row>
    <row r="963" spans="1:40" x14ac:dyDescent="0.2">
      <c r="A963" s="13"/>
      <c r="B963" s="13"/>
      <c r="C963" s="13"/>
      <c r="D963" s="13"/>
      <c r="E963" s="12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2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</row>
    <row r="964" spans="1:40" x14ac:dyDescent="0.2">
      <c r="A964" s="13"/>
      <c r="B964" s="13"/>
      <c r="C964" s="13"/>
      <c r="D964" s="13"/>
      <c r="E964" s="12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2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</row>
    <row r="965" spans="1:40" x14ac:dyDescent="0.2">
      <c r="A965" s="13"/>
      <c r="B965" s="13"/>
      <c r="C965" s="13"/>
      <c r="D965" s="13"/>
      <c r="E965" s="12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2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</row>
    <row r="966" spans="1:40" x14ac:dyDescent="0.2">
      <c r="A966" s="13"/>
      <c r="B966" s="13"/>
      <c r="C966" s="13"/>
      <c r="D966" s="13"/>
      <c r="E966" s="12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2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</row>
    <row r="967" spans="1:40" x14ac:dyDescent="0.2">
      <c r="A967" s="13"/>
      <c r="B967" s="13"/>
      <c r="C967" s="13"/>
      <c r="D967" s="13"/>
      <c r="E967" s="12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2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</row>
    <row r="968" spans="1:40" x14ac:dyDescent="0.2">
      <c r="A968" s="13"/>
      <c r="B968" s="13"/>
      <c r="C968" s="13"/>
      <c r="D968" s="13"/>
      <c r="E968" s="12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2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</row>
    <row r="969" spans="1:40" x14ac:dyDescent="0.2">
      <c r="A969" s="13"/>
      <c r="B969" s="13"/>
      <c r="C969" s="13"/>
      <c r="D969" s="13"/>
      <c r="E969" s="12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2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</row>
    <row r="970" spans="1:40" x14ac:dyDescent="0.2">
      <c r="A970" s="13"/>
      <c r="B970" s="13"/>
      <c r="C970" s="13"/>
      <c r="D970" s="13"/>
      <c r="E970" s="12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2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</row>
    <row r="971" spans="1:40" x14ac:dyDescent="0.2">
      <c r="A971" s="13"/>
      <c r="B971" s="13"/>
      <c r="C971" s="13"/>
      <c r="D971" s="13"/>
      <c r="E971" s="12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2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</row>
    <row r="972" spans="1:40" x14ac:dyDescent="0.2">
      <c r="A972" s="13"/>
      <c r="B972" s="13"/>
      <c r="C972" s="13"/>
      <c r="D972" s="13"/>
      <c r="E972" s="12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2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</row>
    <row r="973" spans="1:40" x14ac:dyDescent="0.2">
      <c r="A973" s="13"/>
      <c r="B973" s="13"/>
      <c r="C973" s="13"/>
      <c r="D973" s="13"/>
      <c r="E973" s="12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2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</row>
    <row r="974" spans="1:40" x14ac:dyDescent="0.2">
      <c r="A974" s="13"/>
      <c r="B974" s="13"/>
      <c r="C974" s="13"/>
      <c r="D974" s="13"/>
      <c r="E974" s="12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2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</row>
    <row r="975" spans="1:40" x14ac:dyDescent="0.2">
      <c r="A975" s="13"/>
      <c r="B975" s="13"/>
      <c r="C975" s="13"/>
      <c r="D975" s="13"/>
      <c r="E975" s="12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2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</row>
    <row r="976" spans="1:40" x14ac:dyDescent="0.2">
      <c r="A976" s="13"/>
      <c r="B976" s="13"/>
      <c r="C976" s="13"/>
      <c r="D976" s="13"/>
      <c r="E976" s="12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2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</row>
    <row r="977" spans="1:40" x14ac:dyDescent="0.2">
      <c r="A977" s="13"/>
      <c r="B977" s="13"/>
      <c r="C977" s="13"/>
      <c r="D977" s="13"/>
      <c r="E977" s="12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2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</row>
    <row r="978" spans="1:40" x14ac:dyDescent="0.2">
      <c r="A978" s="13"/>
      <c r="B978" s="13"/>
      <c r="C978" s="13"/>
      <c r="D978" s="13"/>
      <c r="E978" s="12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2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</row>
    <row r="979" spans="1:40" x14ac:dyDescent="0.2">
      <c r="A979" s="13"/>
      <c r="B979" s="13"/>
      <c r="C979" s="13"/>
      <c r="D979" s="13"/>
      <c r="E979" s="12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2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</row>
    <row r="980" spans="1:40" x14ac:dyDescent="0.2">
      <c r="A980" s="13"/>
      <c r="B980" s="13"/>
      <c r="C980" s="13"/>
      <c r="D980" s="13"/>
      <c r="E980" s="12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2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</row>
    <row r="981" spans="1:40" x14ac:dyDescent="0.2">
      <c r="A981" s="13"/>
      <c r="B981" s="13"/>
      <c r="C981" s="13"/>
      <c r="D981" s="13"/>
      <c r="E981" s="12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2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</row>
    <row r="982" spans="1:40" x14ac:dyDescent="0.2">
      <c r="A982" s="13"/>
      <c r="B982" s="13"/>
      <c r="C982" s="13"/>
      <c r="D982" s="13"/>
      <c r="E982" s="12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2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</row>
    <row r="983" spans="1:40" x14ac:dyDescent="0.2">
      <c r="A983" s="13"/>
      <c r="B983" s="13"/>
      <c r="C983" s="13"/>
      <c r="D983" s="13"/>
      <c r="E983" s="12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2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</row>
    <row r="984" spans="1:40" x14ac:dyDescent="0.2">
      <c r="A984" s="13"/>
      <c r="B984" s="13"/>
      <c r="C984" s="13"/>
      <c r="D984" s="13"/>
      <c r="E984" s="12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2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</row>
    <row r="985" spans="1:40" x14ac:dyDescent="0.2">
      <c r="A985" s="13"/>
      <c r="B985" s="13"/>
      <c r="C985" s="13"/>
      <c r="D985" s="13"/>
      <c r="E985" s="12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2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</row>
    <row r="986" spans="1:40" x14ac:dyDescent="0.2">
      <c r="A986" s="13"/>
      <c r="B986" s="13"/>
      <c r="C986" s="13"/>
      <c r="D986" s="13"/>
      <c r="E986" s="12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2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</row>
    <row r="987" spans="1:40" x14ac:dyDescent="0.2">
      <c r="A987" s="13"/>
      <c r="B987" s="13"/>
      <c r="C987" s="13"/>
      <c r="D987" s="13"/>
      <c r="E987" s="12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2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</row>
    <row r="988" spans="1:40" x14ac:dyDescent="0.2">
      <c r="A988" s="13"/>
      <c r="B988" s="13"/>
      <c r="C988" s="13"/>
      <c r="D988" s="13"/>
      <c r="E988" s="12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2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</row>
    <row r="989" spans="1:40" x14ac:dyDescent="0.2">
      <c r="A989" s="13"/>
      <c r="B989" s="13"/>
      <c r="C989" s="13"/>
      <c r="D989" s="13"/>
      <c r="E989" s="12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2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</row>
    <row r="990" spans="1:40" x14ac:dyDescent="0.2">
      <c r="A990" s="13"/>
      <c r="B990" s="13"/>
      <c r="C990" s="13"/>
      <c r="D990" s="13"/>
      <c r="E990" s="12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2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</row>
    <row r="991" spans="1:40" x14ac:dyDescent="0.2">
      <c r="A991" s="13"/>
      <c r="B991" s="13"/>
      <c r="C991" s="13"/>
      <c r="D991" s="13"/>
      <c r="E991" s="12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2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</row>
    <row r="992" spans="1:40" x14ac:dyDescent="0.2">
      <c r="A992" s="13"/>
      <c r="B992" s="13"/>
      <c r="C992" s="13"/>
      <c r="D992" s="13"/>
      <c r="E992" s="12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2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</row>
    <row r="993" spans="1:40" x14ac:dyDescent="0.2">
      <c r="A993" s="13"/>
      <c r="B993" s="13"/>
      <c r="C993" s="13"/>
      <c r="D993" s="13"/>
      <c r="E993" s="12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2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</row>
    <row r="994" spans="1:40" x14ac:dyDescent="0.2">
      <c r="A994" s="13"/>
      <c r="B994" s="13"/>
      <c r="C994" s="13"/>
      <c r="D994" s="13"/>
      <c r="E994" s="12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2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</row>
    <row r="995" spans="1:40" x14ac:dyDescent="0.2">
      <c r="A995" s="13"/>
      <c r="B995" s="13"/>
      <c r="C995" s="13"/>
      <c r="D995" s="13"/>
      <c r="E995" s="12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2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</row>
    <row r="996" spans="1:40" x14ac:dyDescent="0.2">
      <c r="A996" s="13"/>
      <c r="B996" s="13"/>
      <c r="C996" s="13"/>
      <c r="D996" s="13"/>
      <c r="E996" s="12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2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</row>
    <row r="997" spans="1:40" x14ac:dyDescent="0.2">
      <c r="A997" s="13"/>
      <c r="B997" s="13"/>
      <c r="C997" s="13"/>
      <c r="D997" s="13"/>
      <c r="E997" s="12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2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</row>
    <row r="998" spans="1:40" x14ac:dyDescent="0.2">
      <c r="A998" s="13"/>
      <c r="B998" s="13"/>
      <c r="C998" s="13"/>
      <c r="D998" s="13"/>
      <c r="E998" s="12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2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</row>
    <row r="999" spans="1:40" x14ac:dyDescent="0.2">
      <c r="A999" s="13"/>
      <c r="B999" s="13"/>
      <c r="C999" s="13"/>
      <c r="D999" s="13"/>
      <c r="E999" s="12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2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</row>
    <row r="1000" spans="1:40" x14ac:dyDescent="0.2">
      <c r="A1000" s="13"/>
      <c r="B1000" s="13"/>
      <c r="C1000" s="13"/>
      <c r="D1000" s="13"/>
      <c r="E1000" s="12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2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</row>
    <row r="1001" spans="1:40" x14ac:dyDescent="0.2">
      <c r="A1001" s="13"/>
      <c r="B1001" s="13"/>
      <c r="C1001" s="13"/>
      <c r="D1001" s="13"/>
      <c r="E1001" s="12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2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</row>
    <row r="1002" spans="1:40" x14ac:dyDescent="0.2">
      <c r="A1002" s="13"/>
      <c r="B1002" s="13"/>
      <c r="C1002" s="13"/>
      <c r="D1002" s="13"/>
      <c r="E1002" s="12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2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</row>
    <row r="1003" spans="1:40" x14ac:dyDescent="0.2">
      <c r="A1003" s="13"/>
      <c r="B1003" s="13"/>
      <c r="C1003" s="13"/>
      <c r="D1003" s="13"/>
      <c r="E1003" s="12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2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</row>
    <row r="1004" spans="1:40" x14ac:dyDescent="0.2">
      <c r="A1004" s="13"/>
      <c r="B1004" s="13"/>
      <c r="C1004" s="13"/>
      <c r="D1004" s="13"/>
      <c r="E1004" s="12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2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</row>
    <row r="1005" spans="1:40" x14ac:dyDescent="0.2">
      <c r="A1005" s="13"/>
      <c r="B1005" s="13"/>
      <c r="C1005" s="13"/>
      <c r="D1005" s="13"/>
      <c r="E1005" s="12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2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</row>
    <row r="1006" spans="1:40" x14ac:dyDescent="0.2">
      <c r="A1006" s="13"/>
      <c r="B1006" s="13"/>
      <c r="C1006" s="13"/>
      <c r="D1006" s="13"/>
      <c r="E1006" s="12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2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</row>
    <row r="1007" spans="1:40" x14ac:dyDescent="0.2">
      <c r="A1007" s="13"/>
      <c r="B1007" s="13"/>
      <c r="C1007" s="13"/>
      <c r="D1007" s="13"/>
      <c r="E1007" s="12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2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</row>
    <row r="1008" spans="1:40" x14ac:dyDescent="0.2">
      <c r="A1008" s="13"/>
      <c r="B1008" s="13"/>
      <c r="C1008" s="13"/>
      <c r="D1008" s="13"/>
      <c r="E1008" s="12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2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</row>
    <row r="1009" spans="1:40" x14ac:dyDescent="0.2">
      <c r="A1009" s="13"/>
      <c r="B1009" s="13"/>
      <c r="C1009" s="13"/>
      <c r="D1009" s="13"/>
      <c r="E1009" s="12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2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</row>
    <row r="1010" spans="1:40" x14ac:dyDescent="0.2">
      <c r="A1010" s="13"/>
      <c r="B1010" s="13"/>
      <c r="C1010" s="13"/>
      <c r="D1010" s="13"/>
      <c r="E1010" s="12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2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</row>
    <row r="1011" spans="1:40" x14ac:dyDescent="0.2">
      <c r="A1011" s="13"/>
      <c r="B1011" s="13"/>
      <c r="C1011" s="13"/>
      <c r="D1011" s="13"/>
      <c r="E1011" s="12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2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</row>
    <row r="1012" spans="1:40" x14ac:dyDescent="0.2">
      <c r="A1012" s="13"/>
      <c r="B1012" s="13"/>
      <c r="C1012" s="13"/>
      <c r="D1012" s="13"/>
      <c r="E1012" s="12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2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</row>
    <row r="1013" spans="1:40" x14ac:dyDescent="0.2">
      <c r="A1013" s="13"/>
      <c r="B1013" s="13"/>
      <c r="C1013" s="13"/>
      <c r="D1013" s="13"/>
      <c r="E1013" s="12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2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</row>
    <row r="1014" spans="1:40" x14ac:dyDescent="0.2">
      <c r="A1014" s="13"/>
      <c r="B1014" s="13"/>
      <c r="C1014" s="13"/>
      <c r="D1014" s="13"/>
      <c r="E1014" s="12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2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</row>
    <row r="1015" spans="1:40" x14ac:dyDescent="0.2">
      <c r="A1015" s="13"/>
      <c r="B1015" s="13"/>
      <c r="C1015" s="13"/>
      <c r="D1015" s="13"/>
      <c r="E1015" s="12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2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</row>
    <row r="1016" spans="1:40" x14ac:dyDescent="0.2">
      <c r="A1016" s="13"/>
      <c r="B1016" s="13"/>
      <c r="C1016" s="13"/>
      <c r="D1016" s="13"/>
      <c r="E1016" s="12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2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</row>
    <row r="1017" spans="1:40" x14ac:dyDescent="0.2">
      <c r="A1017" s="13"/>
      <c r="B1017" s="13"/>
      <c r="C1017" s="13"/>
      <c r="D1017" s="13"/>
      <c r="E1017" s="12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2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</row>
    <row r="1018" spans="1:40" x14ac:dyDescent="0.2">
      <c r="A1018" s="13"/>
      <c r="B1018" s="13"/>
      <c r="C1018" s="13"/>
      <c r="D1018" s="13"/>
      <c r="E1018" s="12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2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</row>
    <row r="1019" spans="1:40" x14ac:dyDescent="0.2">
      <c r="A1019" s="13"/>
      <c r="B1019" s="13"/>
      <c r="C1019" s="13"/>
      <c r="D1019" s="13"/>
      <c r="E1019" s="12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2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</row>
    <row r="1020" spans="1:40" x14ac:dyDescent="0.2">
      <c r="A1020" s="13"/>
      <c r="B1020" s="13"/>
      <c r="C1020" s="13"/>
      <c r="D1020" s="13"/>
      <c r="E1020" s="12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2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</row>
    <row r="1021" spans="1:40" x14ac:dyDescent="0.2">
      <c r="A1021" s="13"/>
      <c r="B1021" s="13"/>
      <c r="C1021" s="13"/>
      <c r="D1021" s="13"/>
      <c r="E1021" s="12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2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</row>
    <row r="1022" spans="1:40" x14ac:dyDescent="0.2">
      <c r="A1022" s="13"/>
      <c r="B1022" s="13"/>
      <c r="C1022" s="13"/>
      <c r="D1022" s="13"/>
      <c r="E1022" s="12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2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</row>
    <row r="1023" spans="1:40" x14ac:dyDescent="0.2">
      <c r="A1023" s="13"/>
      <c r="B1023" s="13"/>
      <c r="C1023" s="13"/>
      <c r="D1023" s="13"/>
      <c r="E1023" s="12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2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</row>
    <row r="1024" spans="1:40" x14ac:dyDescent="0.2">
      <c r="A1024" s="13"/>
      <c r="B1024" s="13"/>
      <c r="C1024" s="13"/>
      <c r="D1024" s="13"/>
      <c r="E1024" s="12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2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</row>
    <row r="1025" spans="1:40" x14ac:dyDescent="0.2">
      <c r="A1025" s="13"/>
      <c r="B1025" s="13"/>
      <c r="C1025" s="13"/>
      <c r="D1025" s="13"/>
      <c r="E1025" s="12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2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</row>
    <row r="1026" spans="1:40" x14ac:dyDescent="0.2">
      <c r="A1026" s="13"/>
      <c r="B1026" s="13"/>
      <c r="C1026" s="13"/>
      <c r="D1026" s="13"/>
      <c r="E1026" s="12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2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</row>
    <row r="1027" spans="1:40" x14ac:dyDescent="0.2">
      <c r="A1027" s="13"/>
      <c r="B1027" s="13"/>
      <c r="C1027" s="13"/>
      <c r="D1027" s="13"/>
      <c r="E1027" s="12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2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</row>
    <row r="1028" spans="1:40" x14ac:dyDescent="0.2">
      <c r="A1028" s="13"/>
      <c r="B1028" s="13"/>
      <c r="C1028" s="13"/>
      <c r="D1028" s="13"/>
      <c r="E1028" s="12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2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</row>
    <row r="1029" spans="1:40" x14ac:dyDescent="0.2">
      <c r="A1029" s="13"/>
      <c r="B1029" s="13"/>
      <c r="C1029" s="13"/>
      <c r="D1029" s="13"/>
      <c r="E1029" s="12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2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</row>
    <row r="1030" spans="1:40" x14ac:dyDescent="0.2">
      <c r="A1030" s="13"/>
      <c r="B1030" s="13"/>
      <c r="C1030" s="13"/>
      <c r="D1030" s="13"/>
      <c r="E1030" s="12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2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</row>
    <row r="1031" spans="1:40" x14ac:dyDescent="0.2">
      <c r="A1031" s="13"/>
      <c r="B1031" s="13"/>
      <c r="C1031" s="13"/>
      <c r="D1031" s="13"/>
      <c r="E1031" s="12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2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</row>
    <row r="1032" spans="1:40" x14ac:dyDescent="0.2">
      <c r="A1032" s="13"/>
      <c r="B1032" s="13"/>
      <c r="C1032" s="13"/>
      <c r="D1032" s="13"/>
      <c r="E1032" s="12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2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</row>
    <row r="1033" spans="1:40" x14ac:dyDescent="0.2">
      <c r="A1033" s="13"/>
      <c r="B1033" s="13"/>
      <c r="C1033" s="13"/>
      <c r="D1033" s="13"/>
      <c r="E1033" s="12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2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</row>
    <row r="1034" spans="1:40" x14ac:dyDescent="0.2">
      <c r="A1034" s="13"/>
      <c r="B1034" s="13"/>
      <c r="C1034" s="13"/>
      <c r="D1034" s="13"/>
      <c r="E1034" s="12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2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</row>
    <row r="1035" spans="1:40" x14ac:dyDescent="0.2">
      <c r="A1035" s="13"/>
      <c r="B1035" s="13"/>
      <c r="C1035" s="13"/>
      <c r="D1035" s="13"/>
      <c r="E1035" s="12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2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</row>
    <row r="1036" spans="1:40" x14ac:dyDescent="0.2">
      <c r="A1036" s="13"/>
      <c r="B1036" s="13"/>
      <c r="C1036" s="13"/>
      <c r="D1036" s="13"/>
      <c r="E1036" s="12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2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</row>
    <row r="1037" spans="1:40" x14ac:dyDescent="0.2">
      <c r="A1037" s="13"/>
      <c r="B1037" s="13"/>
      <c r="C1037" s="13"/>
      <c r="D1037" s="13"/>
      <c r="E1037" s="12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2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</row>
    <row r="1038" spans="1:40" x14ac:dyDescent="0.2">
      <c r="A1038" s="13"/>
      <c r="B1038" s="13"/>
      <c r="C1038" s="13"/>
      <c r="D1038" s="13"/>
      <c r="E1038" s="12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2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</row>
    <row r="1039" spans="1:40" x14ac:dyDescent="0.2">
      <c r="A1039" s="13"/>
      <c r="B1039" s="13"/>
      <c r="C1039" s="13"/>
      <c r="D1039" s="13"/>
      <c r="E1039" s="12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2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</row>
    <row r="1040" spans="1:40" x14ac:dyDescent="0.2">
      <c r="A1040" s="13"/>
      <c r="B1040" s="13"/>
      <c r="C1040" s="13"/>
      <c r="D1040" s="13"/>
      <c r="E1040" s="12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2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</row>
    <row r="1041" spans="1:40" x14ac:dyDescent="0.2">
      <c r="A1041" s="13"/>
      <c r="B1041" s="13"/>
      <c r="C1041" s="13"/>
      <c r="D1041" s="13"/>
      <c r="E1041" s="12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2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</row>
    <row r="1042" spans="1:40" x14ac:dyDescent="0.2">
      <c r="A1042" s="13"/>
      <c r="B1042" s="13"/>
      <c r="C1042" s="13"/>
      <c r="D1042" s="13"/>
      <c r="E1042" s="12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2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</row>
    <row r="1043" spans="1:40" x14ac:dyDescent="0.2">
      <c r="A1043" s="13"/>
      <c r="B1043" s="13"/>
      <c r="C1043" s="13"/>
      <c r="D1043" s="13"/>
      <c r="E1043" s="12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2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</row>
    <row r="1044" spans="1:40" x14ac:dyDescent="0.2">
      <c r="A1044" s="13"/>
      <c r="B1044" s="13"/>
      <c r="C1044" s="13"/>
      <c r="D1044" s="13"/>
      <c r="E1044" s="12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2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</row>
    <row r="1045" spans="1:40" x14ac:dyDescent="0.2">
      <c r="A1045" s="13"/>
      <c r="B1045" s="13"/>
      <c r="C1045" s="13"/>
      <c r="D1045" s="13"/>
      <c r="E1045" s="12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2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</row>
    <row r="1046" spans="1:40" x14ac:dyDescent="0.2">
      <c r="A1046" s="13"/>
      <c r="B1046" s="13"/>
      <c r="C1046" s="13"/>
      <c r="D1046" s="13"/>
      <c r="E1046" s="12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2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</row>
    <row r="1047" spans="1:40" x14ac:dyDescent="0.2">
      <c r="A1047" s="13"/>
      <c r="B1047" s="13"/>
      <c r="C1047" s="13"/>
      <c r="D1047" s="13"/>
      <c r="E1047" s="12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2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</row>
    <row r="1048" spans="1:40" x14ac:dyDescent="0.2">
      <c r="A1048" s="13"/>
      <c r="B1048" s="13"/>
      <c r="C1048" s="13"/>
      <c r="D1048" s="13"/>
      <c r="E1048" s="12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2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</row>
    <row r="1049" spans="1:40" x14ac:dyDescent="0.2">
      <c r="A1049" s="13"/>
      <c r="B1049" s="13"/>
      <c r="C1049" s="13"/>
      <c r="D1049" s="13"/>
      <c r="E1049" s="12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2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</row>
    <row r="1050" spans="1:40" x14ac:dyDescent="0.2">
      <c r="A1050" s="13"/>
      <c r="B1050" s="13"/>
      <c r="C1050" s="13"/>
      <c r="D1050" s="13"/>
      <c r="E1050" s="12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2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</row>
    <row r="1051" spans="1:40" x14ac:dyDescent="0.2">
      <c r="A1051" s="13"/>
      <c r="B1051" s="13"/>
      <c r="C1051" s="13"/>
      <c r="D1051" s="13"/>
      <c r="E1051" s="12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2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</row>
    <row r="1052" spans="1:40" x14ac:dyDescent="0.2">
      <c r="A1052" s="13"/>
      <c r="B1052" s="13"/>
      <c r="C1052" s="13"/>
      <c r="D1052" s="13"/>
      <c r="E1052" s="12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2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</row>
    <row r="1053" spans="1:40" x14ac:dyDescent="0.2">
      <c r="A1053" s="13"/>
      <c r="B1053" s="13"/>
      <c r="C1053" s="13"/>
      <c r="D1053" s="13"/>
      <c r="E1053" s="12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2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</row>
    <row r="1054" spans="1:40" x14ac:dyDescent="0.2">
      <c r="A1054" s="13"/>
      <c r="B1054" s="13"/>
      <c r="C1054" s="13"/>
      <c r="D1054" s="13"/>
      <c r="E1054" s="12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2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</row>
    <row r="1055" spans="1:40" x14ac:dyDescent="0.2">
      <c r="A1055" s="13"/>
      <c r="B1055" s="13"/>
      <c r="C1055" s="13"/>
      <c r="D1055" s="13"/>
      <c r="E1055" s="12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2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</row>
    <row r="1056" spans="1:40" x14ac:dyDescent="0.2">
      <c r="A1056" s="13"/>
      <c r="B1056" s="13"/>
      <c r="C1056" s="13"/>
      <c r="D1056" s="13"/>
      <c r="E1056" s="12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2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</row>
    <row r="1057" spans="1:40" x14ac:dyDescent="0.2">
      <c r="A1057" s="13"/>
      <c r="B1057" s="13"/>
      <c r="C1057" s="13"/>
      <c r="D1057" s="13"/>
      <c r="E1057" s="12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2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</row>
    <row r="1058" spans="1:40" x14ac:dyDescent="0.2">
      <c r="A1058" s="13"/>
      <c r="B1058" s="13"/>
      <c r="C1058" s="13"/>
      <c r="D1058" s="13"/>
      <c r="E1058" s="12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2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</row>
    <row r="1059" spans="1:40" x14ac:dyDescent="0.2">
      <c r="A1059" s="13"/>
      <c r="B1059" s="13"/>
      <c r="C1059" s="13"/>
      <c r="D1059" s="13"/>
      <c r="E1059" s="12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2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</row>
    <row r="1060" spans="1:40" x14ac:dyDescent="0.2">
      <c r="A1060" s="13"/>
      <c r="B1060" s="13"/>
      <c r="C1060" s="13"/>
      <c r="D1060" s="13"/>
      <c r="E1060" s="12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2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</row>
    <row r="1061" spans="1:40" x14ac:dyDescent="0.2">
      <c r="A1061" s="13"/>
      <c r="B1061" s="13"/>
      <c r="C1061" s="13"/>
      <c r="D1061" s="13"/>
      <c r="E1061" s="12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2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</row>
    <row r="1062" spans="1:40" x14ac:dyDescent="0.2">
      <c r="A1062" s="13"/>
      <c r="B1062" s="13"/>
      <c r="C1062" s="13"/>
      <c r="D1062" s="13"/>
      <c r="E1062" s="12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2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</row>
    <row r="1063" spans="1:40" x14ac:dyDescent="0.2">
      <c r="A1063" s="13"/>
      <c r="B1063" s="13"/>
      <c r="C1063" s="13"/>
      <c r="D1063" s="13"/>
      <c r="E1063" s="12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2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</row>
    <row r="1064" spans="1:40" x14ac:dyDescent="0.2">
      <c r="A1064" s="13"/>
      <c r="B1064" s="13"/>
      <c r="C1064" s="13"/>
      <c r="D1064" s="13"/>
      <c r="E1064" s="12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2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</row>
    <row r="1065" spans="1:40" x14ac:dyDescent="0.2">
      <c r="A1065" s="13"/>
      <c r="B1065" s="13"/>
      <c r="C1065" s="13"/>
      <c r="D1065" s="13"/>
      <c r="E1065" s="12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2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</row>
    <row r="1066" spans="1:40" x14ac:dyDescent="0.2">
      <c r="A1066" s="13"/>
      <c r="B1066" s="13"/>
      <c r="C1066" s="13"/>
      <c r="D1066" s="13"/>
      <c r="E1066" s="12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2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</row>
    <row r="1067" spans="1:40" x14ac:dyDescent="0.2">
      <c r="A1067" s="13"/>
      <c r="B1067" s="13"/>
      <c r="C1067" s="13"/>
      <c r="D1067" s="13"/>
      <c r="E1067" s="12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2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</row>
    <row r="1068" spans="1:40" x14ac:dyDescent="0.2">
      <c r="A1068" s="13"/>
      <c r="B1068" s="13"/>
      <c r="C1068" s="13"/>
      <c r="D1068" s="13"/>
      <c r="E1068" s="12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2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</row>
    <row r="1069" spans="1:40" x14ac:dyDescent="0.2">
      <c r="A1069" s="13"/>
      <c r="B1069" s="13"/>
      <c r="C1069" s="13"/>
      <c r="D1069" s="13"/>
      <c r="E1069" s="12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2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</row>
    <row r="1070" spans="1:40" x14ac:dyDescent="0.2">
      <c r="A1070" s="13"/>
      <c r="B1070" s="13"/>
      <c r="C1070" s="13"/>
      <c r="D1070" s="13"/>
      <c r="E1070" s="12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2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</row>
    <row r="1071" spans="1:40" x14ac:dyDescent="0.2">
      <c r="A1071" s="13"/>
      <c r="B1071" s="13"/>
      <c r="C1071" s="13"/>
      <c r="D1071" s="13"/>
      <c r="E1071" s="12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2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</row>
    <row r="1072" spans="1:40" x14ac:dyDescent="0.2">
      <c r="A1072" s="13"/>
      <c r="B1072" s="13"/>
      <c r="C1072" s="13"/>
      <c r="D1072" s="13"/>
      <c r="E1072" s="12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2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</row>
    <row r="1073" spans="1:41" x14ac:dyDescent="0.2">
      <c r="A1073" s="13"/>
      <c r="B1073" s="13"/>
      <c r="C1073" s="13"/>
      <c r="D1073" s="13"/>
      <c r="E1073" s="12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2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1"/>
    </row>
    <row r="1074" spans="1:41" x14ac:dyDescent="0.2">
      <c r="A1074" s="13"/>
      <c r="B1074" s="13"/>
      <c r="C1074" s="13"/>
      <c r="D1074" s="13"/>
      <c r="E1074" s="12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2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1"/>
    </row>
    <row r="1075" spans="1:41" x14ac:dyDescent="0.2">
      <c r="A1075" s="13"/>
      <c r="B1075" s="13"/>
      <c r="C1075" s="13"/>
      <c r="D1075" s="13"/>
      <c r="E1075" s="12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2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1"/>
    </row>
    <row r="1076" spans="1:41" x14ac:dyDescent="0.2">
      <c r="A1076" s="13"/>
      <c r="B1076" s="13"/>
      <c r="C1076" s="13"/>
      <c r="D1076" s="13"/>
      <c r="E1076" s="12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2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1"/>
    </row>
    <row r="1077" spans="1:41" x14ac:dyDescent="0.2">
      <c r="A1077" s="13"/>
      <c r="B1077" s="13"/>
      <c r="C1077" s="13"/>
      <c r="D1077" s="13"/>
      <c r="E1077" s="12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2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1"/>
    </row>
    <row r="1078" spans="1:41" x14ac:dyDescent="0.2">
      <c r="A1078" s="13"/>
      <c r="B1078" s="13"/>
      <c r="C1078" s="13"/>
      <c r="D1078" s="13"/>
      <c r="E1078" s="12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2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1"/>
    </row>
    <row r="1079" spans="1:41" x14ac:dyDescent="0.2">
      <c r="A1079" s="13"/>
      <c r="B1079" s="13"/>
      <c r="C1079" s="13"/>
      <c r="D1079" s="13"/>
      <c r="E1079" s="12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2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1"/>
    </row>
    <row r="1080" spans="1:41" x14ac:dyDescent="0.2">
      <c r="A1080" s="13"/>
      <c r="B1080" s="13"/>
      <c r="C1080" s="13"/>
      <c r="D1080" s="13"/>
      <c r="E1080" s="12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2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</row>
    <row r="1081" spans="1:41" x14ac:dyDescent="0.2">
      <c r="A1081" s="13"/>
      <c r="B1081" s="13"/>
      <c r="C1081" s="13"/>
      <c r="D1081" s="13"/>
      <c r="E1081" s="12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2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</row>
    <row r="1082" spans="1:41" x14ac:dyDescent="0.2">
      <c r="A1082" s="13"/>
      <c r="B1082" s="13"/>
      <c r="C1082" s="13"/>
      <c r="D1082" s="13"/>
      <c r="E1082" s="12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2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</row>
    <row r="1083" spans="1:41" x14ac:dyDescent="0.2">
      <c r="A1083" s="13"/>
      <c r="B1083" s="13"/>
      <c r="C1083" s="13"/>
      <c r="D1083" s="13"/>
      <c r="E1083" s="12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2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</row>
    <row r="1084" spans="1:41" x14ac:dyDescent="0.2">
      <c r="A1084" s="13"/>
      <c r="B1084" s="13"/>
      <c r="C1084" s="13"/>
      <c r="D1084" s="13"/>
      <c r="E1084" s="12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2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</row>
    <row r="1085" spans="1:41" x14ac:dyDescent="0.2">
      <c r="A1085" s="13"/>
      <c r="B1085" s="13"/>
      <c r="C1085" s="13"/>
      <c r="D1085" s="13"/>
      <c r="E1085" s="12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2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</row>
    <row r="1086" spans="1:41" x14ac:dyDescent="0.2">
      <c r="A1086" s="13"/>
      <c r="B1086" s="13"/>
      <c r="C1086" s="13"/>
      <c r="D1086" s="13"/>
      <c r="E1086" s="12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2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</row>
    <row r="1087" spans="1:41" x14ac:dyDescent="0.2">
      <c r="A1087" s="13"/>
      <c r="B1087" s="13"/>
      <c r="C1087" s="13"/>
      <c r="D1087" s="13"/>
      <c r="E1087" s="12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2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</row>
    <row r="1088" spans="1:41" x14ac:dyDescent="0.2">
      <c r="A1088" s="13"/>
      <c r="B1088" s="13"/>
      <c r="C1088" s="13"/>
      <c r="D1088" s="13"/>
      <c r="E1088" s="12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2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</row>
    <row r="1089" spans="1:41" x14ac:dyDescent="0.2">
      <c r="A1089" s="13"/>
      <c r="B1089" s="13"/>
      <c r="C1089" s="13"/>
      <c r="D1089" s="13"/>
      <c r="E1089" s="12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2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</row>
    <row r="1090" spans="1:41" x14ac:dyDescent="0.2">
      <c r="A1090" s="13"/>
      <c r="B1090" s="13"/>
      <c r="C1090" s="13"/>
      <c r="D1090" s="13"/>
      <c r="E1090" s="12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2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</row>
    <row r="1091" spans="1:41" x14ac:dyDescent="0.2">
      <c r="A1091" s="13"/>
      <c r="B1091" s="13"/>
      <c r="C1091" s="13"/>
      <c r="D1091" s="13"/>
      <c r="E1091" s="12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2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</row>
    <row r="1092" spans="1:41" x14ac:dyDescent="0.2">
      <c r="A1092" s="13"/>
      <c r="B1092" s="13"/>
      <c r="C1092" s="13"/>
      <c r="D1092" s="13"/>
      <c r="E1092" s="12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2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</row>
    <row r="1093" spans="1:41" x14ac:dyDescent="0.2">
      <c r="A1093" s="13"/>
      <c r="B1093" s="13"/>
      <c r="C1093" s="13"/>
      <c r="D1093" s="13"/>
      <c r="E1093" s="12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2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</row>
    <row r="1094" spans="1:41" x14ac:dyDescent="0.2">
      <c r="A1094" s="13"/>
      <c r="B1094" s="13"/>
      <c r="C1094" s="13"/>
      <c r="D1094" s="13"/>
      <c r="E1094" s="12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2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</row>
    <row r="1095" spans="1:41" x14ac:dyDescent="0.2">
      <c r="A1095" s="13"/>
      <c r="B1095" s="13"/>
      <c r="C1095" s="13"/>
      <c r="D1095" s="13"/>
      <c r="E1095" s="12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2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</row>
    <row r="1096" spans="1:41" x14ac:dyDescent="0.2">
      <c r="A1096" s="13"/>
      <c r="B1096" s="13"/>
      <c r="C1096" s="13"/>
      <c r="D1096" s="13"/>
      <c r="E1096" s="12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2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</row>
    <row r="1097" spans="1:41" x14ac:dyDescent="0.2">
      <c r="A1097" s="13"/>
      <c r="B1097" s="13"/>
      <c r="C1097" s="13"/>
      <c r="D1097" s="13"/>
      <c r="E1097" s="12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2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</row>
    <row r="1098" spans="1:41" x14ac:dyDescent="0.2">
      <c r="A1098" s="13"/>
      <c r="B1098" s="13"/>
      <c r="C1098" s="13"/>
      <c r="D1098" s="13"/>
      <c r="E1098" s="12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2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</row>
    <row r="1099" spans="1:41" x14ac:dyDescent="0.2">
      <c r="A1099" s="13"/>
      <c r="B1099" s="13"/>
      <c r="C1099" s="13"/>
      <c r="D1099" s="13"/>
      <c r="E1099" s="12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2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</row>
    <row r="1100" spans="1:41" x14ac:dyDescent="0.2">
      <c r="A1100" s="13"/>
      <c r="B1100" s="13"/>
      <c r="C1100" s="13"/>
      <c r="D1100" s="13"/>
      <c r="E1100" s="12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2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</row>
    <row r="1101" spans="1:41" x14ac:dyDescent="0.2">
      <c r="A1101" s="13"/>
      <c r="B1101" s="13"/>
      <c r="C1101" s="13"/>
      <c r="D1101" s="13"/>
      <c r="E1101" s="12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2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</row>
    <row r="1102" spans="1:41" x14ac:dyDescent="0.2">
      <c r="A1102" s="13"/>
      <c r="B1102" s="13"/>
      <c r="C1102" s="13"/>
      <c r="D1102" s="13"/>
      <c r="E1102" s="12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2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</row>
    <row r="1103" spans="1:41" x14ac:dyDescent="0.2">
      <c r="A1103" s="13"/>
      <c r="B1103" s="13"/>
      <c r="C1103" s="13"/>
      <c r="D1103" s="13"/>
      <c r="E1103" s="12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2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</row>
    <row r="1104" spans="1:41" x14ac:dyDescent="0.2">
      <c r="A1104" s="13"/>
      <c r="B1104" s="13"/>
      <c r="C1104" s="13"/>
      <c r="D1104" s="13"/>
      <c r="E1104" s="12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2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</row>
    <row r="1105" spans="1:41" x14ac:dyDescent="0.2">
      <c r="A1105" s="13"/>
      <c r="B1105" s="13"/>
      <c r="C1105" s="13"/>
      <c r="D1105" s="13"/>
      <c r="E1105" s="12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2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</row>
    <row r="1106" spans="1:41" x14ac:dyDescent="0.2">
      <c r="A1106" s="13"/>
      <c r="B1106" s="13"/>
      <c r="C1106" s="13"/>
      <c r="D1106" s="13"/>
      <c r="E1106" s="12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2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</row>
    <row r="1107" spans="1:41" x14ac:dyDescent="0.2">
      <c r="A1107" s="13"/>
      <c r="B1107" s="13"/>
      <c r="C1107" s="13"/>
      <c r="D1107" s="13"/>
      <c r="E1107" s="12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2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</row>
    <row r="1108" spans="1:41" x14ac:dyDescent="0.2">
      <c r="A1108" s="13"/>
      <c r="B1108" s="13"/>
      <c r="C1108" s="13"/>
      <c r="D1108" s="13"/>
      <c r="E1108" s="12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2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</row>
    <row r="1109" spans="1:41" x14ac:dyDescent="0.2">
      <c r="A1109" s="13"/>
      <c r="B1109" s="13"/>
      <c r="C1109" s="13"/>
      <c r="D1109" s="13"/>
      <c r="E1109" s="12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2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</row>
    <row r="1110" spans="1:41" x14ac:dyDescent="0.2">
      <c r="A1110" s="13"/>
      <c r="B1110" s="13"/>
      <c r="C1110" s="13"/>
      <c r="D1110" s="13"/>
      <c r="E1110" s="12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2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</row>
    <row r="1111" spans="1:41" x14ac:dyDescent="0.2">
      <c r="A1111" s="13"/>
      <c r="B1111" s="13"/>
      <c r="C1111" s="13"/>
      <c r="D1111" s="13"/>
      <c r="E1111" s="12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2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</row>
    <row r="1112" spans="1:41" x14ac:dyDescent="0.2">
      <c r="A1112" s="13"/>
      <c r="B1112" s="13"/>
      <c r="C1112" s="13"/>
      <c r="D1112" s="13"/>
      <c r="E1112" s="12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2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</row>
    <row r="1113" spans="1:41" x14ac:dyDescent="0.2">
      <c r="A1113" s="13"/>
      <c r="B1113" s="13"/>
      <c r="C1113" s="13"/>
      <c r="D1113" s="13"/>
      <c r="E1113" s="12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2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</row>
    <row r="1114" spans="1:41" x14ac:dyDescent="0.2">
      <c r="A1114" s="13"/>
      <c r="B1114" s="13"/>
      <c r="C1114" s="13"/>
      <c r="D1114" s="13"/>
      <c r="E1114" s="12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2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</row>
    <row r="1115" spans="1:41" x14ac:dyDescent="0.2">
      <c r="A1115" s="13"/>
      <c r="B1115" s="13"/>
      <c r="C1115" s="13"/>
      <c r="D1115" s="13"/>
      <c r="E1115" s="12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2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</row>
    <row r="1116" spans="1:41" x14ac:dyDescent="0.2">
      <c r="A1116" s="13"/>
      <c r="B1116" s="13"/>
      <c r="C1116" s="13"/>
      <c r="D1116" s="13"/>
      <c r="E1116" s="12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2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</row>
    <row r="1117" spans="1:41" x14ac:dyDescent="0.2">
      <c r="A1117" s="13"/>
      <c r="B1117" s="13"/>
      <c r="C1117" s="13"/>
      <c r="D1117" s="13"/>
      <c r="E1117" s="12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2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</row>
    <row r="1118" spans="1:41" x14ac:dyDescent="0.2">
      <c r="A1118" s="13"/>
      <c r="B1118" s="13"/>
      <c r="C1118" s="13"/>
      <c r="D1118" s="13"/>
      <c r="E1118" s="12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2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</row>
    <row r="1119" spans="1:41" x14ac:dyDescent="0.2">
      <c r="A1119" s="13"/>
      <c r="B1119" s="13"/>
      <c r="C1119" s="13"/>
      <c r="D1119" s="13"/>
      <c r="E1119" s="12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2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</row>
    <row r="1120" spans="1:41" x14ac:dyDescent="0.2">
      <c r="A1120" s="13"/>
      <c r="B1120" s="13"/>
      <c r="C1120" s="13"/>
      <c r="D1120" s="13"/>
      <c r="E1120" s="12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2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</row>
    <row r="1121" spans="1:41" x14ac:dyDescent="0.2">
      <c r="A1121" s="13"/>
      <c r="B1121" s="13"/>
      <c r="C1121" s="13"/>
      <c r="D1121" s="13"/>
      <c r="E1121" s="12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2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</row>
    <row r="1122" spans="1:41" x14ac:dyDescent="0.2">
      <c r="A1122" s="13"/>
      <c r="B1122" s="13"/>
      <c r="C1122" s="13"/>
      <c r="D1122" s="13"/>
      <c r="E1122" s="12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2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</row>
    <row r="1123" spans="1:41" x14ac:dyDescent="0.2">
      <c r="A1123" s="13"/>
      <c r="B1123" s="13"/>
      <c r="C1123" s="13"/>
      <c r="D1123" s="13"/>
      <c r="E1123" s="12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2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</row>
    <row r="1124" spans="1:41" x14ac:dyDescent="0.2">
      <c r="A1124" s="13"/>
      <c r="B1124" s="13"/>
      <c r="C1124" s="13"/>
      <c r="D1124" s="13"/>
      <c r="E1124" s="12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2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</row>
    <row r="1125" spans="1:41" x14ac:dyDescent="0.2">
      <c r="A1125" s="13"/>
      <c r="B1125" s="13"/>
      <c r="C1125" s="13"/>
      <c r="D1125" s="13"/>
      <c r="E1125" s="12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2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</row>
    <row r="1126" spans="1:41" x14ac:dyDescent="0.2">
      <c r="A1126" s="13"/>
      <c r="B1126" s="13"/>
      <c r="C1126" s="13"/>
      <c r="D1126" s="13"/>
      <c r="E1126" s="12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2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</row>
    <row r="1127" spans="1:41" x14ac:dyDescent="0.2">
      <c r="A1127" s="13"/>
      <c r="B1127" s="13"/>
      <c r="C1127" s="13"/>
      <c r="D1127" s="13"/>
      <c r="E1127" s="12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2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</row>
    <row r="1128" spans="1:41" x14ac:dyDescent="0.2">
      <c r="A1128" s="13"/>
      <c r="B1128" s="13"/>
      <c r="C1128" s="13"/>
      <c r="D1128" s="13"/>
      <c r="E1128" s="12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2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</row>
    <row r="1129" spans="1:41" x14ac:dyDescent="0.2">
      <c r="A1129" s="13"/>
      <c r="B1129" s="13"/>
      <c r="C1129" s="13"/>
      <c r="D1129" s="13"/>
      <c r="E1129" s="12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2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</row>
    <row r="1130" spans="1:41" x14ac:dyDescent="0.2">
      <c r="A1130" s="13"/>
      <c r="B1130" s="13"/>
      <c r="C1130" s="13"/>
      <c r="D1130" s="13"/>
      <c r="E1130" s="12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2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</row>
    <row r="1131" spans="1:41" x14ac:dyDescent="0.2">
      <c r="A1131" s="13"/>
      <c r="B1131" s="13"/>
      <c r="C1131" s="13"/>
      <c r="D1131" s="13"/>
      <c r="E1131" s="12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2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</row>
    <row r="1132" spans="1:41" x14ac:dyDescent="0.2">
      <c r="A1132" s="13"/>
      <c r="B1132" s="13"/>
      <c r="C1132" s="13"/>
      <c r="D1132" s="13"/>
      <c r="E1132" s="12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2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</row>
    <row r="1133" spans="1:41" x14ac:dyDescent="0.2">
      <c r="A1133" s="13"/>
      <c r="B1133" s="13"/>
      <c r="C1133" s="13"/>
      <c r="D1133" s="13"/>
      <c r="E1133" s="12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2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</row>
    <row r="1134" spans="1:41" x14ac:dyDescent="0.2">
      <c r="A1134" s="13"/>
      <c r="B1134" s="13"/>
      <c r="C1134" s="13"/>
      <c r="D1134" s="13"/>
      <c r="E1134" s="12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2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</row>
    <row r="1135" spans="1:41" x14ac:dyDescent="0.2">
      <c r="A1135" s="13"/>
      <c r="B1135" s="13"/>
      <c r="C1135" s="13"/>
      <c r="D1135" s="13"/>
      <c r="E1135" s="12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2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</row>
    <row r="1136" spans="1:41" x14ac:dyDescent="0.2">
      <c r="A1136" s="13"/>
      <c r="B1136" s="13"/>
      <c r="C1136" s="13"/>
      <c r="D1136" s="13"/>
      <c r="E1136" s="12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2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</row>
    <row r="1137" spans="1:41" x14ac:dyDescent="0.2">
      <c r="A1137" s="13"/>
      <c r="B1137" s="13"/>
      <c r="C1137" s="13"/>
      <c r="D1137" s="13"/>
      <c r="E1137" s="12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2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</row>
    <row r="1138" spans="1:41" x14ac:dyDescent="0.2">
      <c r="A1138" s="13"/>
      <c r="B1138" s="13"/>
      <c r="C1138" s="13"/>
      <c r="D1138" s="13"/>
      <c r="E1138" s="12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2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</row>
    <row r="1139" spans="1:41" x14ac:dyDescent="0.2">
      <c r="A1139" s="13"/>
      <c r="B1139" s="13"/>
      <c r="C1139" s="13"/>
      <c r="D1139" s="13"/>
      <c r="E1139" s="12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2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</row>
    <row r="1140" spans="1:41" x14ac:dyDescent="0.2">
      <c r="A1140" s="13"/>
      <c r="B1140" s="13"/>
      <c r="C1140" s="13"/>
      <c r="D1140" s="13"/>
      <c r="E1140" s="12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2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</row>
    <row r="1141" spans="1:41" x14ac:dyDescent="0.2">
      <c r="A1141" s="13"/>
      <c r="B1141" s="13"/>
      <c r="C1141" s="13"/>
      <c r="D1141" s="13"/>
      <c r="E1141" s="12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2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</row>
    <row r="1142" spans="1:41" x14ac:dyDescent="0.2">
      <c r="A1142" s="13"/>
      <c r="B1142" s="13"/>
      <c r="C1142" s="13"/>
      <c r="D1142" s="13"/>
      <c r="E1142" s="12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2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</row>
    <row r="1143" spans="1:41" x14ac:dyDescent="0.2">
      <c r="A1143" s="13"/>
      <c r="B1143" s="13"/>
      <c r="C1143" s="13"/>
      <c r="D1143" s="13"/>
      <c r="E1143" s="12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2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</row>
    <row r="1144" spans="1:41" x14ac:dyDescent="0.2">
      <c r="A1144" s="13"/>
      <c r="B1144" s="13"/>
      <c r="C1144" s="13"/>
      <c r="D1144" s="13"/>
      <c r="E1144" s="12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2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</row>
    <row r="1145" spans="1:41" x14ac:dyDescent="0.2">
      <c r="A1145" s="13"/>
      <c r="B1145" s="13"/>
      <c r="C1145" s="13"/>
      <c r="D1145" s="13"/>
      <c r="E1145" s="12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2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</row>
    <row r="1146" spans="1:41" x14ac:dyDescent="0.2">
      <c r="A1146" s="13"/>
      <c r="B1146" s="13"/>
      <c r="C1146" s="13"/>
      <c r="D1146" s="13"/>
      <c r="E1146" s="12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2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</row>
    <row r="1147" spans="1:41" x14ac:dyDescent="0.2">
      <c r="A1147" s="13"/>
      <c r="B1147" s="13"/>
      <c r="C1147" s="13"/>
      <c r="D1147" s="13"/>
      <c r="E1147" s="12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2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</row>
    <row r="1148" spans="1:41" x14ac:dyDescent="0.2">
      <c r="A1148" s="13"/>
      <c r="B1148" s="13"/>
      <c r="C1148" s="13"/>
      <c r="D1148" s="13"/>
      <c r="E1148" s="12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2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</row>
    <row r="1149" spans="1:41" x14ac:dyDescent="0.2">
      <c r="A1149" s="13"/>
      <c r="B1149" s="13"/>
      <c r="C1149" s="13"/>
      <c r="D1149" s="13"/>
      <c r="E1149" s="12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2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</row>
    <row r="1150" spans="1:41" x14ac:dyDescent="0.2">
      <c r="A1150" s="13"/>
      <c r="B1150" s="13"/>
      <c r="C1150" s="13"/>
      <c r="D1150" s="13"/>
      <c r="E1150" s="12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2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</row>
    <row r="1151" spans="1:41" x14ac:dyDescent="0.2">
      <c r="A1151" s="13"/>
      <c r="B1151" s="13"/>
      <c r="C1151" s="13"/>
      <c r="D1151" s="13"/>
      <c r="E1151" s="12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2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</row>
    <row r="1152" spans="1:41" x14ac:dyDescent="0.2">
      <c r="A1152" s="13"/>
      <c r="B1152" s="13"/>
      <c r="C1152" s="13"/>
      <c r="D1152" s="13"/>
      <c r="E1152" s="12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2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</row>
    <row r="1153" spans="1:41" x14ac:dyDescent="0.2">
      <c r="A1153" s="13"/>
      <c r="B1153" s="13"/>
      <c r="C1153" s="13"/>
      <c r="D1153" s="13"/>
      <c r="E1153" s="12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2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</row>
    <row r="1154" spans="1:41" x14ac:dyDescent="0.2">
      <c r="A1154" s="13"/>
      <c r="B1154" s="13"/>
      <c r="C1154" s="13"/>
      <c r="D1154" s="13"/>
      <c r="E1154" s="12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2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</row>
    <row r="1155" spans="1:41" x14ac:dyDescent="0.2">
      <c r="A1155" s="13"/>
      <c r="B1155" s="13"/>
      <c r="C1155" s="13"/>
      <c r="D1155" s="13"/>
      <c r="E1155" s="12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2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</row>
    <row r="1156" spans="1:41" x14ac:dyDescent="0.2">
      <c r="A1156" s="13"/>
      <c r="B1156" s="13"/>
      <c r="C1156" s="13"/>
      <c r="D1156" s="13"/>
      <c r="E1156" s="12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2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</row>
    <row r="1157" spans="1:41" x14ac:dyDescent="0.2">
      <c r="A1157" s="13"/>
      <c r="B1157" s="13"/>
      <c r="C1157" s="13"/>
      <c r="D1157" s="13"/>
      <c r="E1157" s="12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2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</row>
    <row r="1158" spans="1:41" x14ac:dyDescent="0.2">
      <c r="A1158" s="13"/>
      <c r="B1158" s="13"/>
      <c r="C1158" s="13"/>
      <c r="D1158" s="13"/>
      <c r="E1158" s="12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2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</row>
    <row r="1159" spans="1:41" x14ac:dyDescent="0.2">
      <c r="A1159" s="13"/>
      <c r="B1159" s="13"/>
      <c r="C1159" s="13"/>
      <c r="D1159" s="13"/>
      <c r="E1159" s="12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2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</row>
    <row r="1160" spans="1:41" x14ac:dyDescent="0.2">
      <c r="A1160" s="13"/>
      <c r="B1160" s="13"/>
      <c r="C1160" s="13"/>
      <c r="D1160" s="13"/>
      <c r="E1160" s="12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2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</row>
    <row r="1161" spans="1:41" x14ac:dyDescent="0.2">
      <c r="A1161" s="13"/>
      <c r="B1161" s="13"/>
      <c r="C1161" s="13"/>
      <c r="D1161" s="13"/>
      <c r="E1161" s="12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2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</row>
    <row r="1162" spans="1:41" x14ac:dyDescent="0.2">
      <c r="A1162" s="13"/>
      <c r="B1162" s="13"/>
      <c r="C1162" s="13"/>
      <c r="D1162" s="13"/>
      <c r="E1162" s="12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2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</row>
    <row r="1163" spans="1:41" x14ac:dyDescent="0.2">
      <c r="A1163" s="13"/>
      <c r="B1163" s="13"/>
      <c r="C1163" s="13"/>
      <c r="D1163" s="13"/>
      <c r="E1163" s="12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2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</row>
    <row r="1164" spans="1:41" x14ac:dyDescent="0.2">
      <c r="A1164" s="13"/>
      <c r="B1164" s="13"/>
      <c r="C1164" s="13"/>
      <c r="D1164" s="13"/>
      <c r="E1164" s="12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2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</row>
    <row r="1165" spans="1:41" x14ac:dyDescent="0.2">
      <c r="A1165" s="13"/>
      <c r="B1165" s="13"/>
      <c r="C1165" s="13"/>
      <c r="D1165" s="13"/>
      <c r="E1165" s="12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2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</row>
    <row r="1166" spans="1:41" x14ac:dyDescent="0.2">
      <c r="A1166" s="13"/>
      <c r="B1166" s="13"/>
      <c r="C1166" s="13"/>
      <c r="D1166" s="13"/>
      <c r="E1166" s="12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2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</row>
    <row r="1167" spans="1:41" x14ac:dyDescent="0.2">
      <c r="A1167" s="13"/>
      <c r="B1167" s="13"/>
      <c r="C1167" s="13"/>
      <c r="D1167" s="13"/>
      <c r="E1167" s="12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2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</row>
    <row r="1168" spans="1:41" x14ac:dyDescent="0.2">
      <c r="A1168" s="13"/>
      <c r="B1168" s="13"/>
      <c r="C1168" s="13"/>
      <c r="D1168" s="13"/>
      <c r="E1168" s="12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2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</row>
    <row r="1169" spans="1:41" x14ac:dyDescent="0.2">
      <c r="A1169" s="13"/>
      <c r="B1169" s="13"/>
      <c r="C1169" s="13"/>
      <c r="D1169" s="13"/>
      <c r="E1169" s="12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2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</row>
    <row r="1170" spans="1:41" x14ac:dyDescent="0.2">
      <c r="A1170" s="13"/>
      <c r="B1170" s="13"/>
      <c r="C1170" s="13"/>
      <c r="D1170" s="13"/>
      <c r="E1170" s="12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2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</row>
    <row r="1171" spans="1:41" x14ac:dyDescent="0.2">
      <c r="A1171" s="13"/>
      <c r="B1171" s="13"/>
      <c r="C1171" s="13"/>
      <c r="D1171" s="13"/>
      <c r="E1171" s="12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2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</row>
    <row r="1172" spans="1:41" x14ac:dyDescent="0.2">
      <c r="A1172" s="13"/>
      <c r="B1172" s="13"/>
      <c r="C1172" s="13"/>
      <c r="D1172" s="13"/>
      <c r="E1172" s="12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2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</row>
    <row r="1173" spans="1:41" x14ac:dyDescent="0.2">
      <c r="A1173" s="13"/>
      <c r="B1173" s="13"/>
      <c r="C1173" s="13"/>
      <c r="D1173" s="13"/>
      <c r="E1173" s="12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2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</row>
    <row r="1174" spans="1:41" x14ac:dyDescent="0.2">
      <c r="A1174" s="13"/>
      <c r="B1174" s="13"/>
      <c r="C1174" s="13"/>
      <c r="D1174" s="13"/>
      <c r="E1174" s="12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2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</row>
    <row r="1175" spans="1:41" x14ac:dyDescent="0.2">
      <c r="A1175" s="13"/>
      <c r="B1175" s="13"/>
      <c r="C1175" s="13"/>
      <c r="D1175" s="13"/>
      <c r="E1175" s="12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2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</row>
    <row r="1176" spans="1:41" x14ac:dyDescent="0.2">
      <c r="A1176" s="13"/>
      <c r="B1176" s="13"/>
      <c r="C1176" s="13"/>
      <c r="D1176" s="13"/>
      <c r="E1176" s="12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2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</row>
    <row r="1177" spans="1:41" x14ac:dyDescent="0.2">
      <c r="A1177" s="13"/>
      <c r="B1177" s="13"/>
      <c r="C1177" s="13"/>
      <c r="D1177" s="13"/>
      <c r="E1177" s="12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2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</row>
    <row r="1178" spans="1:41" x14ac:dyDescent="0.2">
      <c r="A1178" s="13"/>
      <c r="B1178" s="13"/>
      <c r="C1178" s="13"/>
      <c r="D1178" s="13"/>
      <c r="E1178" s="12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2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</row>
    <row r="1179" spans="1:41" x14ac:dyDescent="0.2">
      <c r="A1179" s="13"/>
      <c r="B1179" s="13"/>
      <c r="C1179" s="13"/>
      <c r="D1179" s="13"/>
      <c r="E1179" s="12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2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</row>
    <row r="1180" spans="1:41" x14ac:dyDescent="0.2">
      <c r="A1180" s="13"/>
      <c r="B1180" s="13"/>
      <c r="C1180" s="13"/>
      <c r="D1180" s="13"/>
      <c r="E1180" s="12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2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</row>
    <row r="1181" spans="1:41" x14ac:dyDescent="0.2">
      <c r="A1181" s="13"/>
      <c r="B1181" s="13"/>
      <c r="C1181" s="13"/>
      <c r="D1181" s="13"/>
      <c r="E1181" s="12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2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</row>
    <row r="1182" spans="1:41" x14ac:dyDescent="0.2">
      <c r="A1182" s="13"/>
      <c r="B1182" s="13"/>
      <c r="C1182" s="13"/>
      <c r="D1182" s="13"/>
      <c r="E1182" s="12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2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</row>
    <row r="1183" spans="1:41" x14ac:dyDescent="0.2">
      <c r="A1183" s="13"/>
      <c r="B1183" s="13"/>
      <c r="C1183" s="13"/>
      <c r="D1183" s="13"/>
      <c r="E1183" s="12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2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</row>
    <row r="1184" spans="1:41" x14ac:dyDescent="0.2">
      <c r="A1184" s="13"/>
      <c r="B1184" s="13"/>
      <c r="C1184" s="13"/>
      <c r="D1184" s="13"/>
      <c r="E1184" s="12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2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</row>
    <row r="1185" spans="1:41" x14ac:dyDescent="0.2">
      <c r="A1185" s="13"/>
      <c r="B1185" s="13"/>
      <c r="C1185" s="13"/>
      <c r="D1185" s="13"/>
      <c r="E1185" s="12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2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</row>
    <row r="1186" spans="1:41" x14ac:dyDescent="0.2">
      <c r="A1186" s="13"/>
      <c r="B1186" s="13"/>
      <c r="C1186" s="13"/>
      <c r="D1186" s="13"/>
      <c r="E1186" s="12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2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</row>
    <row r="1187" spans="1:41" x14ac:dyDescent="0.2">
      <c r="A1187" s="13"/>
      <c r="B1187" s="13"/>
      <c r="C1187" s="13"/>
      <c r="D1187" s="13"/>
      <c r="E1187" s="12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2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</row>
    <row r="1188" spans="1:41" x14ac:dyDescent="0.2">
      <c r="A1188" s="13"/>
      <c r="B1188" s="13"/>
      <c r="C1188" s="13"/>
      <c r="D1188" s="13"/>
      <c r="E1188" s="12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2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</row>
    <row r="1189" spans="1:41" x14ac:dyDescent="0.2">
      <c r="A1189" s="13"/>
      <c r="B1189" s="13"/>
      <c r="C1189" s="13"/>
      <c r="D1189" s="13"/>
      <c r="E1189" s="12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2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</row>
    <row r="1190" spans="1:41" x14ac:dyDescent="0.2">
      <c r="A1190" s="13"/>
      <c r="B1190" s="13"/>
      <c r="C1190" s="13"/>
      <c r="D1190" s="13"/>
      <c r="E1190" s="12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2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</row>
    <row r="1191" spans="1:41" x14ac:dyDescent="0.2">
      <c r="A1191" s="13"/>
      <c r="B1191" s="13"/>
      <c r="C1191" s="13"/>
      <c r="D1191" s="13"/>
      <c r="E1191" s="12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2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</row>
    <row r="1192" spans="1:41" x14ac:dyDescent="0.2">
      <c r="A1192" s="13"/>
      <c r="B1192" s="13"/>
      <c r="C1192" s="13"/>
      <c r="D1192" s="13"/>
      <c r="E1192" s="12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2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</row>
    <row r="1193" spans="1:41" x14ac:dyDescent="0.2">
      <c r="A1193" s="13"/>
      <c r="B1193" s="13"/>
      <c r="C1193" s="13"/>
      <c r="D1193" s="13"/>
      <c r="E1193" s="12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2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</row>
    <row r="1194" spans="1:41" x14ac:dyDescent="0.2">
      <c r="A1194" s="13"/>
      <c r="B1194" s="13"/>
      <c r="C1194" s="13"/>
      <c r="D1194" s="13"/>
      <c r="E1194" s="12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2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</row>
    <row r="1195" spans="1:41" x14ac:dyDescent="0.2">
      <c r="A1195" s="13"/>
      <c r="B1195" s="13"/>
      <c r="C1195" s="13"/>
      <c r="D1195" s="13"/>
      <c r="E1195" s="12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2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</row>
    <row r="1196" spans="1:41" x14ac:dyDescent="0.2">
      <c r="A1196" s="13"/>
      <c r="B1196" s="13"/>
      <c r="C1196" s="13"/>
      <c r="D1196" s="13"/>
      <c r="E1196" s="12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2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</row>
    <row r="1197" spans="1:41" x14ac:dyDescent="0.2">
      <c r="A1197" s="13"/>
      <c r="B1197" s="13"/>
      <c r="C1197" s="13"/>
      <c r="D1197" s="13"/>
      <c r="E1197" s="12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2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</row>
    <row r="1198" spans="1:41" x14ac:dyDescent="0.2">
      <c r="A1198" s="13"/>
      <c r="B1198" s="13"/>
      <c r="C1198" s="13"/>
      <c r="D1198" s="13"/>
      <c r="E1198" s="12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2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</row>
    <row r="1199" spans="1:41" x14ac:dyDescent="0.2">
      <c r="A1199" s="13"/>
      <c r="B1199" s="13"/>
      <c r="C1199" s="13"/>
      <c r="D1199" s="13"/>
      <c r="E1199" s="12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2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</row>
    <row r="1200" spans="1:41" x14ac:dyDescent="0.2">
      <c r="A1200" s="13"/>
      <c r="B1200" s="13"/>
      <c r="C1200" s="13"/>
      <c r="D1200" s="13"/>
      <c r="E1200" s="12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2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</row>
    <row r="1201" spans="1:41" x14ac:dyDescent="0.2">
      <c r="A1201" s="13"/>
      <c r="B1201" s="13"/>
      <c r="C1201" s="13"/>
      <c r="D1201" s="13"/>
      <c r="E1201" s="12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2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</row>
    <row r="1202" spans="1:41" x14ac:dyDescent="0.2">
      <c r="A1202" s="13"/>
      <c r="B1202" s="13"/>
      <c r="C1202" s="13"/>
      <c r="D1202" s="13"/>
      <c r="E1202" s="12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2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</row>
    <row r="1203" spans="1:41" x14ac:dyDescent="0.2">
      <c r="A1203" s="13"/>
      <c r="B1203" s="13"/>
      <c r="C1203" s="13"/>
      <c r="D1203" s="13"/>
      <c r="E1203" s="12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2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</row>
    <row r="1204" spans="1:41" x14ac:dyDescent="0.2">
      <c r="A1204" s="13"/>
      <c r="B1204" s="13"/>
      <c r="C1204" s="13"/>
      <c r="D1204" s="13"/>
      <c r="E1204" s="12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2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</row>
    <row r="1205" spans="1:41" x14ac:dyDescent="0.2">
      <c r="A1205" s="13"/>
      <c r="B1205" s="13"/>
      <c r="C1205" s="13"/>
      <c r="D1205" s="13"/>
      <c r="E1205" s="12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2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</row>
    <row r="1206" spans="1:41" x14ac:dyDescent="0.2">
      <c r="A1206" s="13"/>
      <c r="B1206" s="13"/>
      <c r="C1206" s="13"/>
      <c r="D1206" s="13"/>
      <c r="E1206" s="12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2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</row>
    <row r="1207" spans="1:41" x14ac:dyDescent="0.2">
      <c r="A1207" s="13"/>
      <c r="B1207" s="13"/>
      <c r="C1207" s="13"/>
      <c r="D1207" s="13"/>
      <c r="E1207" s="12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2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</row>
    <row r="1208" spans="1:41" x14ac:dyDescent="0.2">
      <c r="A1208" s="13"/>
      <c r="B1208" s="13"/>
      <c r="C1208" s="13"/>
      <c r="D1208" s="13"/>
      <c r="E1208" s="12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2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</row>
    <row r="1209" spans="1:41" x14ac:dyDescent="0.2">
      <c r="A1209" s="13"/>
      <c r="B1209" s="13"/>
      <c r="C1209" s="13"/>
      <c r="D1209" s="13"/>
      <c r="E1209" s="12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2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</row>
    <row r="1210" spans="1:41" x14ac:dyDescent="0.2">
      <c r="A1210" s="13"/>
      <c r="B1210" s="13"/>
      <c r="C1210" s="13"/>
      <c r="D1210" s="13"/>
      <c r="E1210" s="12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2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</row>
    <row r="1211" spans="1:41" x14ac:dyDescent="0.2">
      <c r="A1211" s="13"/>
      <c r="B1211" s="13"/>
      <c r="C1211" s="13"/>
      <c r="D1211" s="13"/>
      <c r="E1211" s="12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2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</row>
    <row r="1212" spans="1:41" x14ac:dyDescent="0.2">
      <c r="A1212" s="13"/>
      <c r="B1212" s="13"/>
      <c r="C1212" s="13"/>
      <c r="D1212" s="13"/>
      <c r="E1212" s="12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2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</row>
    <row r="1213" spans="1:41" x14ac:dyDescent="0.2">
      <c r="A1213" s="13"/>
      <c r="B1213" s="13"/>
      <c r="C1213" s="13"/>
      <c r="D1213" s="13"/>
      <c r="E1213" s="12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2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</row>
    <row r="1214" spans="1:41" x14ac:dyDescent="0.2">
      <c r="A1214" s="13"/>
      <c r="B1214" s="13"/>
      <c r="C1214" s="13"/>
      <c r="D1214" s="13"/>
      <c r="E1214" s="12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2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</row>
    <row r="1215" spans="1:41" x14ac:dyDescent="0.2">
      <c r="A1215" s="13"/>
      <c r="B1215" s="13"/>
      <c r="C1215" s="13"/>
      <c r="D1215" s="13"/>
      <c r="E1215" s="12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2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</row>
    <row r="1216" spans="1:41" x14ac:dyDescent="0.2">
      <c r="A1216" s="13"/>
      <c r="B1216" s="13"/>
      <c r="C1216" s="13"/>
      <c r="D1216" s="13"/>
      <c r="E1216" s="12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2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</row>
    <row r="1217" spans="1:41" x14ac:dyDescent="0.2">
      <c r="A1217" s="13"/>
      <c r="B1217" s="13"/>
      <c r="C1217" s="13"/>
      <c r="D1217" s="13"/>
      <c r="E1217" s="12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2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</row>
    <row r="1218" spans="1:41" x14ac:dyDescent="0.2">
      <c r="A1218" s="13"/>
      <c r="B1218" s="13"/>
      <c r="C1218" s="13"/>
      <c r="D1218" s="13"/>
      <c r="E1218" s="12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2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</row>
    <row r="1219" spans="1:41" x14ac:dyDescent="0.2">
      <c r="A1219" s="13"/>
      <c r="B1219" s="13"/>
      <c r="C1219" s="13"/>
      <c r="D1219" s="13"/>
      <c r="E1219" s="12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2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</row>
    <row r="1220" spans="1:41" x14ac:dyDescent="0.2">
      <c r="A1220" s="13"/>
      <c r="B1220" s="13"/>
      <c r="C1220" s="13"/>
      <c r="D1220" s="13"/>
      <c r="E1220" s="12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2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</row>
    <row r="1221" spans="1:41" x14ac:dyDescent="0.2">
      <c r="A1221" s="13"/>
      <c r="B1221" s="13"/>
      <c r="C1221" s="13"/>
      <c r="D1221" s="13"/>
      <c r="E1221" s="12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2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</row>
    <row r="1222" spans="1:41" x14ac:dyDescent="0.2">
      <c r="A1222" s="13"/>
      <c r="B1222" s="13"/>
      <c r="C1222" s="13"/>
      <c r="D1222" s="13"/>
      <c r="E1222" s="12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2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</row>
    <row r="1223" spans="1:41" x14ac:dyDescent="0.2">
      <c r="A1223" s="13"/>
      <c r="B1223" s="13"/>
      <c r="C1223" s="13"/>
      <c r="D1223" s="13"/>
      <c r="E1223" s="12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2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</row>
    <row r="1224" spans="1:41" x14ac:dyDescent="0.2">
      <c r="A1224" s="13"/>
      <c r="B1224" s="13"/>
      <c r="C1224" s="13"/>
      <c r="D1224" s="13"/>
      <c r="E1224" s="12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2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</row>
    <row r="1225" spans="1:41" x14ac:dyDescent="0.2">
      <c r="A1225" s="13"/>
      <c r="B1225" s="13"/>
      <c r="C1225" s="13"/>
      <c r="D1225" s="13"/>
      <c r="E1225" s="12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2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</row>
    <row r="1226" spans="1:41" x14ac:dyDescent="0.2">
      <c r="A1226" s="13"/>
      <c r="B1226" s="13"/>
      <c r="C1226" s="13"/>
      <c r="D1226" s="13"/>
      <c r="E1226" s="12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2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</row>
    <row r="1227" spans="1:41" x14ac:dyDescent="0.2">
      <c r="A1227" s="13"/>
      <c r="B1227" s="13"/>
      <c r="C1227" s="13"/>
      <c r="D1227" s="13"/>
      <c r="E1227" s="12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2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</row>
    <row r="1228" spans="1:41" x14ac:dyDescent="0.2">
      <c r="A1228" s="13"/>
      <c r="B1228" s="13"/>
      <c r="C1228" s="13"/>
      <c r="D1228" s="13"/>
      <c r="E1228" s="12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2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</row>
    <row r="1229" spans="1:41" x14ac:dyDescent="0.2">
      <c r="A1229" s="13"/>
      <c r="B1229" s="13"/>
      <c r="C1229" s="13"/>
      <c r="D1229" s="13"/>
      <c r="E1229" s="12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2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</row>
    <row r="1230" spans="1:41" x14ac:dyDescent="0.2">
      <c r="A1230" s="13"/>
      <c r="B1230" s="13"/>
      <c r="C1230" s="13"/>
      <c r="D1230" s="13"/>
      <c r="E1230" s="12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2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</row>
    <row r="1231" spans="1:41" x14ac:dyDescent="0.2">
      <c r="A1231" s="13"/>
      <c r="B1231" s="13"/>
      <c r="C1231" s="13"/>
      <c r="D1231" s="13"/>
      <c r="E1231" s="12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2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</row>
    <row r="1232" spans="1:41" x14ac:dyDescent="0.2">
      <c r="A1232" s="13"/>
      <c r="B1232" s="13"/>
      <c r="C1232" s="13"/>
      <c r="D1232" s="13"/>
      <c r="E1232" s="12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2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</row>
    <row r="1233" spans="1:41" x14ac:dyDescent="0.2">
      <c r="A1233" s="13"/>
      <c r="B1233" s="13"/>
      <c r="C1233" s="13"/>
      <c r="D1233" s="13"/>
      <c r="E1233" s="12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2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</row>
    <row r="1234" spans="1:41" x14ac:dyDescent="0.2">
      <c r="A1234" s="13"/>
      <c r="B1234" s="13"/>
      <c r="C1234" s="13"/>
      <c r="D1234" s="13"/>
      <c r="E1234" s="12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2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</row>
    <row r="1235" spans="1:41" x14ac:dyDescent="0.2">
      <c r="A1235" s="13"/>
      <c r="B1235" s="13"/>
      <c r="C1235" s="13"/>
      <c r="D1235" s="13"/>
      <c r="E1235" s="12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2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</row>
    <row r="1236" spans="1:41" x14ac:dyDescent="0.2">
      <c r="A1236" s="13"/>
      <c r="B1236" s="13"/>
      <c r="C1236" s="13"/>
      <c r="D1236" s="13"/>
      <c r="E1236" s="12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2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</row>
    <row r="1237" spans="1:41" x14ac:dyDescent="0.2">
      <c r="A1237" s="13"/>
      <c r="B1237" s="13"/>
      <c r="C1237" s="13"/>
      <c r="D1237" s="13"/>
      <c r="E1237" s="12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2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</row>
    <row r="1238" spans="1:41" x14ac:dyDescent="0.2">
      <c r="A1238" s="13"/>
      <c r="B1238" s="13"/>
      <c r="C1238" s="13"/>
      <c r="D1238" s="13"/>
      <c r="E1238" s="12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2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</row>
    <row r="1239" spans="1:41" x14ac:dyDescent="0.2">
      <c r="A1239" s="13"/>
      <c r="B1239" s="13"/>
      <c r="C1239" s="13"/>
      <c r="D1239" s="13"/>
      <c r="E1239" s="12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2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</row>
    <row r="1240" spans="1:41" x14ac:dyDescent="0.2">
      <c r="A1240" s="13"/>
      <c r="B1240" s="13"/>
      <c r="C1240" s="13"/>
      <c r="D1240" s="13"/>
      <c r="E1240" s="12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2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</row>
    <row r="1241" spans="1:41" x14ac:dyDescent="0.2">
      <c r="A1241" s="13"/>
      <c r="B1241" s="13"/>
      <c r="C1241" s="13"/>
      <c r="D1241" s="13"/>
      <c r="E1241" s="12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2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</row>
    <row r="1242" spans="1:41" x14ac:dyDescent="0.2">
      <c r="A1242" s="13"/>
      <c r="B1242" s="13"/>
      <c r="C1242" s="13"/>
      <c r="D1242" s="13"/>
      <c r="E1242" s="12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2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</row>
    <row r="1243" spans="1:41" x14ac:dyDescent="0.2">
      <c r="A1243" s="13"/>
      <c r="B1243" s="13"/>
      <c r="C1243" s="13"/>
      <c r="D1243" s="13"/>
      <c r="E1243" s="12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2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</row>
    <row r="1244" spans="1:41" x14ac:dyDescent="0.2">
      <c r="A1244" s="13"/>
      <c r="B1244" s="13"/>
      <c r="C1244" s="13"/>
      <c r="D1244" s="13"/>
      <c r="E1244" s="12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2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</row>
    <row r="1245" spans="1:41" x14ac:dyDescent="0.2">
      <c r="A1245" s="13"/>
      <c r="B1245" s="13"/>
      <c r="C1245" s="13"/>
      <c r="D1245" s="13"/>
      <c r="E1245" s="12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2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</row>
    <row r="1246" spans="1:41" x14ac:dyDescent="0.2">
      <c r="A1246" s="13"/>
      <c r="B1246" s="13"/>
      <c r="C1246" s="13"/>
      <c r="D1246" s="13"/>
      <c r="E1246" s="12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2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</row>
    <row r="1247" spans="1:41" x14ac:dyDescent="0.2">
      <c r="A1247" s="13"/>
      <c r="B1247" s="13"/>
      <c r="C1247" s="13"/>
      <c r="D1247" s="13"/>
      <c r="E1247" s="12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2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</row>
    <row r="1248" spans="1:41" x14ac:dyDescent="0.2">
      <c r="A1248" s="13"/>
      <c r="B1248" s="13"/>
      <c r="C1248" s="13"/>
      <c r="D1248" s="13"/>
      <c r="E1248" s="12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2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</row>
    <row r="1249" spans="1:41" x14ac:dyDescent="0.2">
      <c r="A1249" s="13"/>
      <c r="B1249" s="13"/>
      <c r="C1249" s="13"/>
      <c r="D1249" s="13"/>
      <c r="E1249" s="12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2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</row>
    <row r="1250" spans="1:41" x14ac:dyDescent="0.2">
      <c r="A1250" s="13"/>
      <c r="B1250" s="13"/>
      <c r="C1250" s="13"/>
      <c r="D1250" s="13"/>
      <c r="E1250" s="12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2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</row>
    <row r="1251" spans="1:41" x14ac:dyDescent="0.2">
      <c r="A1251" s="13"/>
      <c r="B1251" s="13"/>
      <c r="C1251" s="13"/>
      <c r="D1251" s="13"/>
      <c r="E1251" s="12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2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</row>
    <row r="1252" spans="1:41" x14ac:dyDescent="0.2">
      <c r="A1252" s="13"/>
      <c r="B1252" s="13"/>
      <c r="C1252" s="13"/>
      <c r="D1252" s="13"/>
      <c r="E1252" s="12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2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</row>
    <row r="1253" spans="1:41" x14ac:dyDescent="0.2">
      <c r="A1253" s="13"/>
      <c r="B1253" s="13"/>
      <c r="C1253" s="13"/>
      <c r="D1253" s="13"/>
      <c r="E1253" s="12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2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</row>
    <row r="1254" spans="1:41" x14ac:dyDescent="0.2">
      <c r="A1254" s="13"/>
      <c r="B1254" s="13"/>
      <c r="C1254" s="13"/>
      <c r="D1254" s="13"/>
      <c r="E1254" s="12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2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</row>
    <row r="1255" spans="1:41" x14ac:dyDescent="0.2">
      <c r="A1255" s="13"/>
      <c r="B1255" s="13"/>
      <c r="C1255" s="13"/>
      <c r="D1255" s="13"/>
      <c r="E1255" s="12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2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</row>
    <row r="1256" spans="1:41" x14ac:dyDescent="0.2">
      <c r="A1256" s="13"/>
      <c r="B1256" s="13"/>
      <c r="C1256" s="13"/>
      <c r="D1256" s="13"/>
      <c r="E1256" s="12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2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</row>
    <row r="1257" spans="1:41" x14ac:dyDescent="0.2">
      <c r="A1257" s="13"/>
      <c r="B1257" s="13"/>
      <c r="C1257" s="13"/>
      <c r="D1257" s="13"/>
      <c r="E1257" s="12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2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</row>
    <row r="1258" spans="1:41" x14ac:dyDescent="0.2">
      <c r="A1258" s="13"/>
      <c r="B1258" s="13"/>
      <c r="C1258" s="13"/>
      <c r="D1258" s="13"/>
      <c r="E1258" s="12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2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</row>
    <row r="1259" spans="1:41" x14ac:dyDescent="0.2">
      <c r="A1259" s="13"/>
      <c r="B1259" s="13"/>
      <c r="C1259" s="13"/>
      <c r="D1259" s="13"/>
      <c r="E1259" s="12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2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</row>
    <row r="1260" spans="1:41" x14ac:dyDescent="0.2">
      <c r="A1260" s="13"/>
      <c r="B1260" s="13"/>
      <c r="C1260" s="13"/>
      <c r="D1260" s="13"/>
      <c r="E1260" s="12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2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</row>
    <row r="1261" spans="1:41" x14ac:dyDescent="0.2">
      <c r="A1261" s="13"/>
      <c r="B1261" s="13"/>
      <c r="C1261" s="13"/>
      <c r="D1261" s="13"/>
      <c r="E1261" s="12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2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</row>
    <row r="1262" spans="1:41" x14ac:dyDescent="0.2">
      <c r="A1262" s="13"/>
      <c r="B1262" s="13"/>
      <c r="C1262" s="13"/>
      <c r="D1262" s="13"/>
      <c r="E1262" s="12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2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</row>
    <row r="1263" spans="1:41" x14ac:dyDescent="0.2">
      <c r="A1263" s="13"/>
      <c r="B1263" s="13"/>
      <c r="C1263" s="13"/>
      <c r="D1263" s="13"/>
      <c r="E1263" s="12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2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</row>
    <row r="1264" spans="1:41" x14ac:dyDescent="0.2">
      <c r="A1264" s="13"/>
      <c r="B1264" s="13"/>
      <c r="C1264" s="13"/>
      <c r="D1264" s="13"/>
      <c r="E1264" s="12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2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</row>
    <row r="1265" spans="1:41" x14ac:dyDescent="0.2">
      <c r="A1265" s="13"/>
      <c r="B1265" s="13"/>
      <c r="C1265" s="13"/>
      <c r="D1265" s="13"/>
      <c r="E1265" s="12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2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</row>
    <row r="1266" spans="1:41" x14ac:dyDescent="0.2">
      <c r="A1266" s="13"/>
      <c r="B1266" s="13"/>
      <c r="C1266" s="13"/>
      <c r="D1266" s="13"/>
      <c r="E1266" s="12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2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</row>
    <row r="1267" spans="1:41" x14ac:dyDescent="0.2">
      <c r="A1267" s="13"/>
      <c r="B1267" s="13"/>
      <c r="C1267" s="13"/>
      <c r="D1267" s="13"/>
      <c r="E1267" s="12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2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</row>
    <row r="1268" spans="1:41" x14ac:dyDescent="0.2">
      <c r="A1268" s="13"/>
      <c r="B1268" s="13"/>
      <c r="C1268" s="13"/>
      <c r="D1268" s="13"/>
      <c r="E1268" s="12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2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</row>
    <row r="1269" spans="1:41" x14ac:dyDescent="0.2">
      <c r="A1269" s="13"/>
      <c r="B1269" s="13"/>
      <c r="C1269" s="13"/>
      <c r="D1269" s="13"/>
      <c r="E1269" s="12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2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</row>
    <row r="1270" spans="1:41" x14ac:dyDescent="0.2">
      <c r="A1270" s="13"/>
      <c r="B1270" s="13"/>
      <c r="C1270" s="13"/>
      <c r="D1270" s="13"/>
      <c r="E1270" s="12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2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</row>
    <row r="1271" spans="1:41" x14ac:dyDescent="0.2">
      <c r="A1271" s="13"/>
      <c r="B1271" s="13"/>
      <c r="C1271" s="13"/>
      <c r="D1271" s="13"/>
      <c r="E1271" s="12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2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</row>
    <row r="1272" spans="1:41" x14ac:dyDescent="0.2">
      <c r="A1272" s="13"/>
      <c r="B1272" s="13"/>
      <c r="C1272" s="13"/>
      <c r="D1272" s="13"/>
      <c r="E1272" s="12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2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</row>
    <row r="1273" spans="1:41" x14ac:dyDescent="0.2">
      <c r="A1273" s="13"/>
      <c r="B1273" s="13"/>
      <c r="C1273" s="13"/>
      <c r="D1273" s="13"/>
      <c r="E1273" s="12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2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</row>
    <row r="1274" spans="1:41" x14ac:dyDescent="0.2">
      <c r="A1274" s="13"/>
      <c r="B1274" s="13"/>
      <c r="C1274" s="13"/>
      <c r="D1274" s="13"/>
      <c r="E1274" s="12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2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</row>
    <row r="1275" spans="1:41" x14ac:dyDescent="0.2">
      <c r="A1275" s="13"/>
      <c r="B1275" s="13"/>
      <c r="C1275" s="13"/>
      <c r="D1275" s="13"/>
      <c r="E1275" s="12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2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</row>
    <row r="1276" spans="1:41" x14ac:dyDescent="0.2">
      <c r="A1276" s="13"/>
      <c r="B1276" s="13"/>
      <c r="C1276" s="13"/>
      <c r="D1276" s="13"/>
      <c r="E1276" s="12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2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</row>
    <row r="1277" spans="1:41" x14ac:dyDescent="0.2">
      <c r="A1277" s="13"/>
      <c r="B1277" s="13"/>
      <c r="C1277" s="13"/>
      <c r="D1277" s="13"/>
      <c r="E1277" s="12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2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</row>
    <row r="1278" spans="1:41" x14ac:dyDescent="0.2">
      <c r="A1278" s="13"/>
      <c r="B1278" s="13"/>
      <c r="C1278" s="13"/>
      <c r="D1278" s="13"/>
      <c r="E1278" s="12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2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</row>
    <row r="1279" spans="1:41" x14ac:dyDescent="0.2">
      <c r="A1279" s="13"/>
      <c r="B1279" s="13"/>
      <c r="C1279" s="13"/>
      <c r="D1279" s="13"/>
      <c r="E1279" s="12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2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</row>
    <row r="1280" spans="1:41" x14ac:dyDescent="0.2">
      <c r="A1280" s="13"/>
      <c r="B1280" s="13"/>
      <c r="C1280" s="13"/>
      <c r="D1280" s="13"/>
      <c r="E1280" s="12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2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</row>
    <row r="1281" spans="1:41" x14ac:dyDescent="0.2">
      <c r="A1281" s="13"/>
      <c r="B1281" s="13"/>
      <c r="C1281" s="13"/>
      <c r="D1281" s="13"/>
      <c r="E1281" s="12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2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</row>
    <row r="1282" spans="1:41" x14ac:dyDescent="0.2">
      <c r="A1282" s="13"/>
      <c r="B1282" s="13"/>
      <c r="C1282" s="13"/>
      <c r="D1282" s="13"/>
      <c r="E1282" s="12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2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</row>
    <row r="1283" spans="1:41" x14ac:dyDescent="0.2">
      <c r="A1283" s="13"/>
      <c r="B1283" s="13"/>
      <c r="C1283" s="13"/>
      <c r="D1283" s="13"/>
      <c r="E1283" s="12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2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</row>
    <row r="1284" spans="1:41" x14ac:dyDescent="0.2">
      <c r="A1284" s="13"/>
      <c r="B1284" s="13"/>
      <c r="C1284" s="13"/>
      <c r="D1284" s="13"/>
      <c r="E1284" s="12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2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</row>
    <row r="1285" spans="1:41" x14ac:dyDescent="0.2">
      <c r="A1285" s="13"/>
      <c r="B1285" s="13"/>
      <c r="C1285" s="13"/>
      <c r="D1285" s="13"/>
      <c r="E1285" s="12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2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</row>
    <row r="1286" spans="1:41" x14ac:dyDescent="0.2">
      <c r="A1286" s="13"/>
      <c r="B1286" s="13"/>
      <c r="C1286" s="13"/>
      <c r="D1286" s="13"/>
      <c r="E1286" s="12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2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</row>
    <row r="1287" spans="1:41" x14ac:dyDescent="0.2">
      <c r="A1287" s="13"/>
      <c r="B1287" s="13"/>
      <c r="C1287" s="13"/>
      <c r="D1287" s="13"/>
      <c r="E1287" s="12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2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</row>
    <row r="1288" spans="1:41" x14ac:dyDescent="0.2">
      <c r="A1288" s="13"/>
      <c r="B1288" s="13"/>
      <c r="C1288" s="13"/>
      <c r="D1288" s="13"/>
      <c r="E1288" s="12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2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</row>
    <row r="1289" spans="1:41" x14ac:dyDescent="0.2">
      <c r="A1289" s="13"/>
      <c r="B1289" s="13"/>
      <c r="C1289" s="13"/>
      <c r="D1289" s="13"/>
      <c r="E1289" s="12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2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</row>
    <row r="1290" spans="1:41" x14ac:dyDescent="0.2">
      <c r="A1290" s="13"/>
      <c r="B1290" s="13"/>
      <c r="C1290" s="13"/>
      <c r="D1290" s="13"/>
      <c r="E1290" s="12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2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</row>
    <row r="1291" spans="1:41" x14ac:dyDescent="0.2">
      <c r="A1291" s="13"/>
      <c r="B1291" s="13"/>
      <c r="C1291" s="13"/>
      <c r="D1291" s="13"/>
      <c r="E1291" s="12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2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</row>
    <row r="1292" spans="1:41" x14ac:dyDescent="0.2">
      <c r="A1292" s="13"/>
      <c r="B1292" s="13"/>
      <c r="C1292" s="13"/>
      <c r="D1292" s="13"/>
      <c r="E1292" s="12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2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</row>
    <row r="1293" spans="1:41" x14ac:dyDescent="0.2">
      <c r="A1293" s="13"/>
      <c r="B1293" s="13"/>
      <c r="C1293" s="13"/>
      <c r="D1293" s="13"/>
      <c r="E1293" s="12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2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</row>
    <row r="1294" spans="1:41" x14ac:dyDescent="0.2">
      <c r="A1294" s="13"/>
      <c r="B1294" s="13"/>
      <c r="C1294" s="13"/>
      <c r="D1294" s="13"/>
      <c r="E1294" s="12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2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</row>
    <row r="1295" spans="1:41" x14ac:dyDescent="0.2">
      <c r="A1295" s="13"/>
      <c r="B1295" s="13"/>
      <c r="C1295" s="13"/>
      <c r="D1295" s="13"/>
      <c r="E1295" s="12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2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</row>
    <row r="1296" spans="1:41" x14ac:dyDescent="0.2">
      <c r="A1296" s="13"/>
      <c r="B1296" s="13"/>
      <c r="C1296" s="13"/>
      <c r="D1296" s="13"/>
      <c r="E1296" s="12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2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</row>
    <row r="1297" spans="1:41" x14ac:dyDescent="0.2">
      <c r="A1297" s="13"/>
      <c r="B1297" s="13"/>
      <c r="C1297" s="13"/>
      <c r="D1297" s="13"/>
      <c r="E1297" s="12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2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</row>
    <row r="1298" spans="1:41" x14ac:dyDescent="0.2">
      <c r="A1298" s="13"/>
      <c r="B1298" s="13"/>
      <c r="C1298" s="13"/>
      <c r="D1298" s="13"/>
      <c r="E1298" s="12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2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</row>
    <row r="1299" spans="1:41" x14ac:dyDescent="0.2">
      <c r="A1299" s="13"/>
      <c r="B1299" s="13"/>
      <c r="C1299" s="13"/>
      <c r="D1299" s="13"/>
      <c r="E1299" s="12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2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</row>
    <row r="1300" spans="1:41" x14ac:dyDescent="0.2">
      <c r="A1300" s="13"/>
      <c r="B1300" s="13"/>
      <c r="C1300" s="13"/>
      <c r="D1300" s="13"/>
      <c r="E1300" s="12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2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</row>
    <row r="1301" spans="1:41" x14ac:dyDescent="0.2">
      <c r="A1301" s="13"/>
      <c r="B1301" s="13"/>
      <c r="C1301" s="13"/>
      <c r="D1301" s="13"/>
      <c r="E1301" s="12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2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</row>
    <row r="1302" spans="1:41" x14ac:dyDescent="0.2">
      <c r="A1302" s="13"/>
      <c r="B1302" s="13"/>
      <c r="C1302" s="13"/>
      <c r="D1302" s="13"/>
      <c r="E1302" s="12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2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</row>
    <row r="1303" spans="1:41" x14ac:dyDescent="0.2">
      <c r="A1303" s="13"/>
      <c r="B1303" s="13"/>
      <c r="C1303" s="13"/>
      <c r="D1303" s="13"/>
      <c r="E1303" s="12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2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</row>
    <row r="1304" spans="1:41" x14ac:dyDescent="0.2">
      <c r="A1304" s="13"/>
      <c r="B1304" s="13"/>
      <c r="C1304" s="13"/>
      <c r="D1304" s="13"/>
      <c r="E1304" s="12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2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</row>
    <row r="1305" spans="1:41" x14ac:dyDescent="0.2">
      <c r="A1305" s="13"/>
      <c r="B1305" s="13"/>
      <c r="C1305" s="13"/>
      <c r="D1305" s="13"/>
      <c r="E1305" s="12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2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</row>
    <row r="1306" spans="1:41" x14ac:dyDescent="0.2">
      <c r="A1306" s="13"/>
      <c r="B1306" s="13"/>
      <c r="C1306" s="13"/>
      <c r="D1306" s="13"/>
      <c r="E1306" s="12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2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</row>
    <row r="1307" spans="1:41" x14ac:dyDescent="0.2">
      <c r="A1307" s="13"/>
      <c r="B1307" s="13"/>
      <c r="C1307" s="13"/>
      <c r="D1307" s="13"/>
      <c r="E1307" s="12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2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</row>
    <row r="1308" spans="1:41" x14ac:dyDescent="0.2">
      <c r="A1308" s="13"/>
      <c r="B1308" s="13"/>
      <c r="C1308" s="13"/>
      <c r="D1308" s="13"/>
      <c r="E1308" s="12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2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</row>
    <row r="1309" spans="1:41" x14ac:dyDescent="0.2">
      <c r="A1309" s="13"/>
      <c r="B1309" s="13"/>
      <c r="C1309" s="13"/>
      <c r="D1309" s="13"/>
      <c r="E1309" s="12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2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</row>
    <row r="1310" spans="1:41" x14ac:dyDescent="0.2">
      <c r="A1310" s="13"/>
      <c r="B1310" s="13"/>
      <c r="C1310" s="13"/>
      <c r="D1310" s="13"/>
      <c r="E1310" s="12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2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</row>
    <row r="1311" spans="1:41" x14ac:dyDescent="0.2">
      <c r="A1311" s="13"/>
      <c r="B1311" s="13"/>
      <c r="C1311" s="13"/>
      <c r="D1311" s="13"/>
      <c r="E1311" s="12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2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</row>
    <row r="1312" spans="1:41" x14ac:dyDescent="0.2">
      <c r="A1312" s="13"/>
      <c r="B1312" s="13"/>
      <c r="C1312" s="13"/>
      <c r="D1312" s="13"/>
      <c r="E1312" s="12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2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</row>
    <row r="1313" spans="1:41" x14ac:dyDescent="0.2">
      <c r="A1313" s="13"/>
      <c r="B1313" s="13"/>
      <c r="C1313" s="13"/>
      <c r="D1313" s="13"/>
      <c r="E1313" s="12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2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</row>
    <row r="1314" spans="1:41" x14ac:dyDescent="0.2">
      <c r="A1314" s="13"/>
      <c r="B1314" s="13"/>
      <c r="C1314" s="13"/>
      <c r="D1314" s="13"/>
      <c r="E1314" s="12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2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</row>
    <row r="1315" spans="1:41" x14ac:dyDescent="0.2">
      <c r="A1315" s="13"/>
      <c r="B1315" s="13"/>
      <c r="C1315" s="13"/>
      <c r="D1315" s="13"/>
      <c r="E1315" s="12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2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</row>
    <row r="1316" spans="1:41" x14ac:dyDescent="0.2">
      <c r="A1316" s="13"/>
      <c r="B1316" s="13"/>
      <c r="C1316" s="13"/>
      <c r="D1316" s="13"/>
      <c r="E1316" s="12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2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</row>
    <row r="1317" spans="1:41" x14ac:dyDescent="0.2">
      <c r="A1317" s="13"/>
      <c r="B1317" s="13"/>
      <c r="C1317" s="13"/>
      <c r="D1317" s="13"/>
      <c r="E1317" s="12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2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</row>
    <row r="1318" spans="1:41" x14ac:dyDescent="0.2">
      <c r="A1318" s="13"/>
      <c r="B1318" s="13"/>
      <c r="C1318" s="13"/>
      <c r="D1318" s="13"/>
      <c r="E1318" s="12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2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</row>
    <row r="1319" spans="1:41" x14ac:dyDescent="0.2">
      <c r="A1319" s="13"/>
      <c r="B1319" s="13"/>
      <c r="C1319" s="13"/>
      <c r="D1319" s="13"/>
      <c r="E1319" s="12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2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</row>
    <row r="1320" spans="1:41" x14ac:dyDescent="0.2">
      <c r="A1320" s="13"/>
      <c r="B1320" s="13"/>
      <c r="C1320" s="13"/>
      <c r="D1320" s="13"/>
      <c r="E1320" s="12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2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</row>
    <row r="1321" spans="1:41" x14ac:dyDescent="0.2">
      <c r="A1321" s="13"/>
      <c r="B1321" s="13"/>
      <c r="C1321" s="13"/>
      <c r="D1321" s="13"/>
      <c r="E1321" s="12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2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</row>
    <row r="1322" spans="1:41" x14ac:dyDescent="0.2">
      <c r="A1322" s="13"/>
      <c r="B1322" s="13"/>
      <c r="C1322" s="13"/>
      <c r="D1322" s="13"/>
      <c r="E1322" s="12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2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</row>
    <row r="1323" spans="1:41" x14ac:dyDescent="0.2">
      <c r="A1323" s="13"/>
      <c r="B1323" s="13"/>
      <c r="C1323" s="13"/>
      <c r="D1323" s="13"/>
      <c r="E1323" s="12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2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</row>
    <row r="1324" spans="1:41" x14ac:dyDescent="0.2">
      <c r="A1324" s="13"/>
      <c r="B1324" s="13"/>
      <c r="C1324" s="13"/>
      <c r="D1324" s="13"/>
      <c r="E1324" s="12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2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</row>
    <row r="1325" spans="1:41" x14ac:dyDescent="0.2">
      <c r="A1325" s="13"/>
      <c r="B1325" s="13"/>
      <c r="C1325" s="13"/>
      <c r="D1325" s="13"/>
      <c r="E1325" s="12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2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</row>
    <row r="1326" spans="1:41" x14ac:dyDescent="0.2">
      <c r="A1326" s="13"/>
      <c r="B1326" s="13"/>
      <c r="C1326" s="13"/>
      <c r="D1326" s="13"/>
      <c r="E1326" s="12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2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</row>
    <row r="1327" spans="1:41" x14ac:dyDescent="0.2">
      <c r="A1327" s="13"/>
      <c r="B1327" s="13"/>
      <c r="C1327" s="13"/>
      <c r="D1327" s="13"/>
      <c r="E1327" s="12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2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</row>
    <row r="1328" spans="1:41" x14ac:dyDescent="0.2">
      <c r="A1328" s="13"/>
      <c r="B1328" s="13"/>
      <c r="C1328" s="13"/>
      <c r="D1328" s="13"/>
      <c r="E1328" s="12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2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</row>
    <row r="1329" spans="1:41" x14ac:dyDescent="0.2">
      <c r="A1329" s="13"/>
      <c r="B1329" s="13"/>
      <c r="C1329" s="13"/>
      <c r="D1329" s="13"/>
      <c r="E1329" s="12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2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</row>
    <row r="1330" spans="1:41" x14ac:dyDescent="0.2">
      <c r="A1330" s="13"/>
      <c r="B1330" s="13"/>
      <c r="C1330" s="13"/>
      <c r="D1330" s="13"/>
      <c r="E1330" s="12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2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</row>
    <row r="1331" spans="1:41" x14ac:dyDescent="0.2">
      <c r="A1331" s="13"/>
      <c r="B1331" s="13"/>
      <c r="C1331" s="13"/>
      <c r="D1331" s="13"/>
      <c r="E1331" s="12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2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</row>
    <row r="1332" spans="1:41" x14ac:dyDescent="0.2">
      <c r="A1332" s="13"/>
      <c r="B1332" s="13"/>
      <c r="C1332" s="13"/>
      <c r="D1332" s="13"/>
      <c r="E1332" s="12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2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</row>
    <row r="1333" spans="1:41" x14ac:dyDescent="0.2">
      <c r="A1333" s="13"/>
      <c r="B1333" s="13"/>
      <c r="C1333" s="13"/>
      <c r="D1333" s="13"/>
      <c r="E1333" s="12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2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</row>
    <row r="1334" spans="1:41" x14ac:dyDescent="0.2">
      <c r="A1334" s="13"/>
      <c r="B1334" s="13"/>
      <c r="C1334" s="13"/>
      <c r="D1334" s="13"/>
      <c r="E1334" s="12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2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</row>
    <row r="1335" spans="1:41" x14ac:dyDescent="0.2">
      <c r="A1335" s="13"/>
      <c r="B1335" s="13"/>
      <c r="C1335" s="13"/>
      <c r="D1335" s="13"/>
      <c r="E1335" s="12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2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</row>
    <row r="1336" spans="1:41" x14ac:dyDescent="0.2">
      <c r="A1336" s="13"/>
      <c r="B1336" s="13"/>
      <c r="C1336" s="13"/>
      <c r="D1336" s="13"/>
      <c r="E1336" s="12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2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</row>
    <row r="1337" spans="1:41" x14ac:dyDescent="0.2">
      <c r="A1337" s="13"/>
      <c r="B1337" s="13"/>
      <c r="C1337" s="13"/>
      <c r="D1337" s="13"/>
      <c r="E1337" s="12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2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</row>
    <row r="1338" spans="1:41" x14ac:dyDescent="0.2">
      <c r="A1338" s="13"/>
      <c r="B1338" s="13"/>
      <c r="C1338" s="13"/>
      <c r="D1338" s="13"/>
      <c r="E1338" s="12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2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</row>
    <row r="1339" spans="1:41" x14ac:dyDescent="0.2">
      <c r="A1339" s="13"/>
      <c r="B1339" s="13"/>
      <c r="C1339" s="13"/>
      <c r="D1339" s="13"/>
      <c r="E1339" s="12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2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</row>
    <row r="1340" spans="1:41" x14ac:dyDescent="0.2">
      <c r="A1340" s="13"/>
      <c r="B1340" s="13"/>
      <c r="C1340" s="13"/>
      <c r="D1340" s="13"/>
      <c r="E1340" s="12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2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</row>
    <row r="1341" spans="1:41" x14ac:dyDescent="0.2">
      <c r="A1341" s="13"/>
      <c r="B1341" s="13"/>
      <c r="C1341" s="13"/>
      <c r="D1341" s="13"/>
      <c r="E1341" s="12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2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</row>
    <row r="1342" spans="1:41" x14ac:dyDescent="0.2">
      <c r="A1342" s="13"/>
      <c r="B1342" s="13"/>
      <c r="C1342" s="13"/>
      <c r="D1342" s="13"/>
      <c r="E1342" s="12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2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</row>
    <row r="1343" spans="1:41" x14ac:dyDescent="0.2">
      <c r="A1343" s="13"/>
      <c r="B1343" s="13"/>
      <c r="C1343" s="13"/>
      <c r="D1343" s="13"/>
      <c r="E1343" s="12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2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</row>
    <row r="1344" spans="1:41" x14ac:dyDescent="0.2">
      <c r="A1344" s="13"/>
      <c r="B1344" s="13"/>
      <c r="C1344" s="13"/>
      <c r="D1344" s="13"/>
      <c r="E1344" s="12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2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</row>
    <row r="1345" spans="1:41" x14ac:dyDescent="0.2">
      <c r="A1345" s="13"/>
      <c r="B1345" s="13"/>
      <c r="C1345" s="13"/>
      <c r="D1345" s="13"/>
      <c r="E1345" s="12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2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</row>
    <row r="1346" spans="1:41" x14ac:dyDescent="0.2">
      <c r="A1346" s="13"/>
      <c r="B1346" s="13"/>
      <c r="C1346" s="13"/>
      <c r="D1346" s="13"/>
      <c r="E1346" s="12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2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</row>
    <row r="1347" spans="1:41" x14ac:dyDescent="0.2">
      <c r="A1347" s="13"/>
      <c r="B1347" s="13"/>
      <c r="C1347" s="13"/>
      <c r="D1347" s="13"/>
      <c r="E1347" s="12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2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</row>
    <row r="1348" spans="1:41" x14ac:dyDescent="0.2">
      <c r="A1348" s="13"/>
      <c r="B1348" s="13"/>
      <c r="C1348" s="13"/>
      <c r="D1348" s="13"/>
      <c r="E1348" s="12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2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</row>
    <row r="1349" spans="1:41" x14ac:dyDescent="0.2">
      <c r="A1349" s="13"/>
      <c r="B1349" s="13"/>
      <c r="C1349" s="13"/>
      <c r="D1349" s="13"/>
      <c r="E1349" s="12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2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</row>
    <row r="1350" spans="1:41" x14ac:dyDescent="0.2">
      <c r="A1350" s="13"/>
      <c r="B1350" s="13"/>
      <c r="C1350" s="13"/>
      <c r="D1350" s="13"/>
      <c r="E1350" s="12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2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</row>
    <row r="1351" spans="1:41" x14ac:dyDescent="0.2">
      <c r="A1351" s="13"/>
      <c r="B1351" s="13"/>
      <c r="C1351" s="13"/>
      <c r="D1351" s="13"/>
      <c r="E1351" s="12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2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</row>
    <row r="1352" spans="1:41" x14ac:dyDescent="0.2">
      <c r="A1352" s="13"/>
      <c r="B1352" s="13"/>
      <c r="C1352" s="13"/>
      <c r="D1352" s="13"/>
      <c r="E1352" s="12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2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</row>
    <row r="1353" spans="1:41" x14ac:dyDescent="0.2">
      <c r="A1353" s="13"/>
      <c r="B1353" s="13"/>
      <c r="C1353" s="13"/>
      <c r="D1353" s="13"/>
      <c r="E1353" s="12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2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</row>
    <row r="1354" spans="1:41" x14ac:dyDescent="0.2">
      <c r="A1354" s="13"/>
      <c r="B1354" s="13"/>
      <c r="C1354" s="13"/>
      <c r="D1354" s="13"/>
      <c r="E1354" s="12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2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</row>
    <row r="1355" spans="1:41" x14ac:dyDescent="0.2">
      <c r="A1355" s="13"/>
      <c r="B1355" s="13"/>
      <c r="C1355" s="13"/>
      <c r="D1355" s="13"/>
      <c r="E1355" s="12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2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</row>
    <row r="1356" spans="1:41" x14ac:dyDescent="0.2">
      <c r="A1356" s="13"/>
      <c r="B1356" s="13"/>
      <c r="C1356" s="13"/>
      <c r="D1356" s="13"/>
      <c r="E1356" s="12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2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</row>
    <row r="1357" spans="1:41" x14ac:dyDescent="0.2">
      <c r="A1357" s="13"/>
      <c r="B1357" s="13"/>
      <c r="C1357" s="13"/>
      <c r="D1357" s="13"/>
      <c r="E1357" s="12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2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</row>
    <row r="1358" spans="1:41" x14ac:dyDescent="0.2">
      <c r="A1358" s="13"/>
      <c r="B1358" s="13"/>
      <c r="C1358" s="13"/>
      <c r="D1358" s="13"/>
      <c r="E1358" s="12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2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</row>
    <row r="1359" spans="1:41" x14ac:dyDescent="0.2">
      <c r="A1359" s="13"/>
      <c r="B1359" s="13"/>
      <c r="C1359" s="13"/>
      <c r="D1359" s="13"/>
      <c r="E1359" s="12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2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</row>
    <row r="1360" spans="1:41" x14ac:dyDescent="0.2">
      <c r="A1360" s="13"/>
      <c r="B1360" s="13"/>
      <c r="C1360" s="13"/>
      <c r="D1360" s="13"/>
      <c r="E1360" s="12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2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</row>
    <row r="1361" spans="1:41" x14ac:dyDescent="0.2">
      <c r="A1361" s="13"/>
      <c r="B1361" s="13"/>
      <c r="C1361" s="13"/>
      <c r="D1361" s="13"/>
      <c r="E1361" s="12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2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</row>
    <row r="1362" spans="1:41" x14ac:dyDescent="0.2">
      <c r="A1362" s="13"/>
      <c r="B1362" s="13"/>
      <c r="C1362" s="13"/>
      <c r="D1362" s="13"/>
      <c r="E1362" s="12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2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</row>
    <row r="1363" spans="1:41" x14ac:dyDescent="0.2">
      <c r="A1363" s="13"/>
      <c r="B1363" s="13"/>
      <c r="C1363" s="13"/>
      <c r="D1363" s="13"/>
      <c r="E1363" s="12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2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</row>
    <row r="1364" spans="1:41" x14ac:dyDescent="0.2">
      <c r="A1364" s="13"/>
      <c r="B1364" s="13"/>
      <c r="C1364" s="13"/>
      <c r="D1364" s="13"/>
      <c r="E1364" s="12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2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</row>
    <row r="1365" spans="1:41" x14ac:dyDescent="0.2">
      <c r="A1365" s="13"/>
      <c r="B1365" s="13"/>
      <c r="C1365" s="13"/>
      <c r="D1365" s="13"/>
      <c r="E1365" s="12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2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</row>
    <row r="1366" spans="1:41" x14ac:dyDescent="0.2">
      <c r="A1366" s="13"/>
      <c r="B1366" s="13"/>
      <c r="C1366" s="13"/>
      <c r="D1366" s="13"/>
      <c r="E1366" s="12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2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</row>
    <row r="1367" spans="1:41" x14ac:dyDescent="0.2">
      <c r="A1367" s="13"/>
      <c r="B1367" s="13"/>
      <c r="C1367" s="13"/>
      <c r="D1367" s="13"/>
      <c r="E1367" s="12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2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</row>
    <row r="1368" spans="1:41" x14ac:dyDescent="0.2">
      <c r="A1368" s="13"/>
      <c r="B1368" s="13"/>
      <c r="C1368" s="13"/>
      <c r="D1368" s="13"/>
      <c r="E1368" s="12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2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</row>
    <row r="1369" spans="1:41" x14ac:dyDescent="0.2">
      <c r="A1369" s="13"/>
      <c r="B1369" s="13"/>
      <c r="C1369" s="13"/>
      <c r="D1369" s="13"/>
      <c r="E1369" s="12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2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</row>
    <row r="1370" spans="1:41" x14ac:dyDescent="0.2">
      <c r="A1370" s="13"/>
      <c r="B1370" s="13"/>
      <c r="C1370" s="13"/>
      <c r="D1370" s="13"/>
      <c r="E1370" s="12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2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</row>
    <row r="1371" spans="1:41" x14ac:dyDescent="0.2">
      <c r="A1371" s="13"/>
      <c r="B1371" s="13"/>
      <c r="C1371" s="13"/>
      <c r="D1371" s="13"/>
      <c r="E1371" s="12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2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</row>
    <row r="1372" spans="1:41" x14ac:dyDescent="0.2">
      <c r="A1372" s="13"/>
      <c r="B1372" s="13"/>
      <c r="C1372" s="13"/>
      <c r="D1372" s="13"/>
      <c r="E1372" s="12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2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</row>
    <row r="1373" spans="1:41" x14ac:dyDescent="0.2">
      <c r="A1373" s="13"/>
      <c r="B1373" s="13"/>
      <c r="C1373" s="13"/>
      <c r="D1373" s="13"/>
      <c r="E1373" s="12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2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</row>
    <row r="1374" spans="1:41" x14ac:dyDescent="0.2">
      <c r="A1374" s="13"/>
      <c r="B1374" s="13"/>
      <c r="C1374" s="13"/>
      <c r="D1374" s="13"/>
      <c r="E1374" s="12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2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</row>
    <row r="1375" spans="1:41" x14ac:dyDescent="0.2">
      <c r="A1375" s="13"/>
      <c r="B1375" s="13"/>
      <c r="C1375" s="13"/>
      <c r="D1375" s="13"/>
      <c r="E1375" s="12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2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</row>
    <row r="1376" spans="1:41" x14ac:dyDescent="0.2">
      <c r="A1376" s="13"/>
      <c r="B1376" s="13"/>
      <c r="C1376" s="13"/>
      <c r="D1376" s="13"/>
      <c r="E1376" s="12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2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</row>
    <row r="1377" spans="1:41" x14ac:dyDescent="0.2">
      <c r="A1377" s="13"/>
      <c r="B1377" s="13"/>
      <c r="C1377" s="13"/>
      <c r="D1377" s="13"/>
      <c r="E1377" s="12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2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</row>
    <row r="1378" spans="1:41" x14ac:dyDescent="0.2">
      <c r="A1378" s="13"/>
      <c r="B1378" s="13"/>
      <c r="C1378" s="13"/>
      <c r="D1378" s="13"/>
      <c r="E1378" s="12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2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</row>
    <row r="1379" spans="1:41" x14ac:dyDescent="0.2">
      <c r="A1379" s="13"/>
      <c r="B1379" s="13"/>
      <c r="C1379" s="13"/>
      <c r="D1379" s="13"/>
      <c r="E1379" s="12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2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</row>
    <row r="1380" spans="1:41" x14ac:dyDescent="0.2">
      <c r="A1380" s="13"/>
      <c r="B1380" s="13"/>
      <c r="C1380" s="13"/>
      <c r="D1380" s="13"/>
      <c r="E1380" s="12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2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</row>
    <row r="1381" spans="1:41" x14ac:dyDescent="0.2">
      <c r="A1381" s="13"/>
      <c r="B1381" s="13"/>
      <c r="C1381" s="13"/>
      <c r="D1381" s="13"/>
      <c r="E1381" s="12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2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</row>
    <row r="1382" spans="1:41" x14ac:dyDescent="0.2">
      <c r="A1382" s="13"/>
      <c r="B1382" s="13"/>
      <c r="C1382" s="13"/>
      <c r="D1382" s="13"/>
      <c r="E1382" s="12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2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</row>
    <row r="1383" spans="1:41" x14ac:dyDescent="0.2">
      <c r="A1383" s="13"/>
      <c r="B1383" s="13"/>
      <c r="C1383" s="13"/>
      <c r="D1383" s="13"/>
      <c r="E1383" s="12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2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</row>
    <row r="1384" spans="1:41" x14ac:dyDescent="0.2">
      <c r="A1384" s="13"/>
      <c r="B1384" s="13"/>
      <c r="C1384" s="13"/>
      <c r="D1384" s="13"/>
      <c r="E1384" s="12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2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</row>
    <row r="1385" spans="1:41" x14ac:dyDescent="0.2">
      <c r="A1385" s="13"/>
      <c r="B1385" s="13"/>
      <c r="C1385" s="13"/>
      <c r="D1385" s="13"/>
      <c r="E1385" s="12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2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</row>
    <row r="1386" spans="1:41" x14ac:dyDescent="0.2">
      <c r="A1386" s="13"/>
      <c r="B1386" s="13"/>
      <c r="C1386" s="13"/>
      <c r="D1386" s="13"/>
      <c r="E1386" s="12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2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</row>
    <row r="1387" spans="1:41" x14ac:dyDescent="0.2">
      <c r="A1387" s="13"/>
      <c r="B1387" s="13"/>
      <c r="C1387" s="13"/>
      <c r="D1387" s="13"/>
      <c r="E1387" s="12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2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</row>
    <row r="1388" spans="1:41" x14ac:dyDescent="0.2">
      <c r="A1388" s="13"/>
      <c r="B1388" s="13"/>
      <c r="C1388" s="13"/>
      <c r="D1388" s="13"/>
      <c r="E1388" s="12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2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</row>
    <row r="1389" spans="1:41" x14ac:dyDescent="0.2">
      <c r="A1389" s="13"/>
      <c r="B1389" s="13"/>
      <c r="C1389" s="13"/>
      <c r="D1389" s="13"/>
      <c r="E1389" s="12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2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</row>
    <row r="1390" spans="1:41" x14ac:dyDescent="0.2">
      <c r="A1390" s="13"/>
      <c r="B1390" s="13"/>
      <c r="C1390" s="13"/>
      <c r="D1390" s="13"/>
      <c r="E1390" s="12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2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</row>
    <row r="1391" spans="1:41" x14ac:dyDescent="0.2">
      <c r="A1391" s="13"/>
      <c r="B1391" s="13"/>
      <c r="C1391" s="13"/>
      <c r="D1391" s="13"/>
      <c r="E1391" s="12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2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</row>
    <row r="1392" spans="1:41" x14ac:dyDescent="0.2">
      <c r="A1392" s="13"/>
      <c r="B1392" s="13"/>
      <c r="C1392" s="13"/>
      <c r="D1392" s="13"/>
      <c r="E1392" s="12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2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</row>
    <row r="1393" spans="1:41" x14ac:dyDescent="0.2">
      <c r="A1393" s="13"/>
      <c r="B1393" s="13"/>
      <c r="C1393" s="13"/>
      <c r="D1393" s="13"/>
      <c r="E1393" s="12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2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</row>
    <row r="1394" spans="1:41" x14ac:dyDescent="0.2">
      <c r="A1394" s="13"/>
      <c r="B1394" s="13"/>
      <c r="C1394" s="13"/>
      <c r="D1394" s="13"/>
      <c r="E1394" s="12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2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</row>
    <row r="1395" spans="1:41" x14ac:dyDescent="0.2">
      <c r="A1395" s="13"/>
      <c r="B1395" s="13"/>
      <c r="C1395" s="13"/>
      <c r="D1395" s="13"/>
      <c r="E1395" s="12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2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</row>
    <row r="1396" spans="1:41" x14ac:dyDescent="0.2">
      <c r="A1396" s="13"/>
      <c r="B1396" s="13"/>
      <c r="C1396" s="13"/>
      <c r="D1396" s="13"/>
      <c r="E1396" s="12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2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</row>
    <row r="1397" spans="1:41" x14ac:dyDescent="0.2">
      <c r="A1397" s="13"/>
      <c r="B1397" s="13"/>
      <c r="C1397" s="13"/>
      <c r="D1397" s="13"/>
      <c r="E1397" s="12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2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</row>
    <row r="1398" spans="1:41" x14ac:dyDescent="0.2">
      <c r="A1398" s="13"/>
      <c r="B1398" s="13"/>
      <c r="C1398" s="13"/>
      <c r="D1398" s="13"/>
      <c r="E1398" s="12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2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</row>
    <row r="1399" spans="1:41" x14ac:dyDescent="0.2">
      <c r="A1399" s="13"/>
      <c r="B1399" s="13"/>
      <c r="C1399" s="13"/>
      <c r="D1399" s="13"/>
      <c r="E1399" s="12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2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</row>
    <row r="1400" spans="1:41" x14ac:dyDescent="0.2">
      <c r="A1400" s="13"/>
      <c r="B1400" s="13"/>
      <c r="C1400" s="13"/>
      <c r="D1400" s="13"/>
      <c r="E1400" s="12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2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</row>
    <row r="1401" spans="1:41" x14ac:dyDescent="0.2">
      <c r="A1401" s="13"/>
      <c r="B1401" s="13"/>
      <c r="C1401" s="13"/>
      <c r="D1401" s="13"/>
      <c r="E1401" s="12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2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</row>
    <row r="1402" spans="1:41" x14ac:dyDescent="0.2">
      <c r="A1402" s="13"/>
      <c r="B1402" s="13"/>
      <c r="C1402" s="13"/>
      <c r="D1402" s="13"/>
      <c r="E1402" s="12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2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</row>
    <row r="1403" spans="1:41" x14ac:dyDescent="0.2">
      <c r="A1403" s="13"/>
      <c r="B1403" s="13"/>
      <c r="C1403" s="13"/>
      <c r="D1403" s="13"/>
      <c r="E1403" s="12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2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</row>
    <row r="1404" spans="1:41" x14ac:dyDescent="0.2">
      <c r="A1404" s="13"/>
      <c r="B1404" s="13"/>
      <c r="C1404" s="13"/>
      <c r="D1404" s="13"/>
      <c r="E1404" s="12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2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</row>
    <row r="1405" spans="1:41" x14ac:dyDescent="0.2">
      <c r="A1405" s="13"/>
      <c r="B1405" s="13"/>
      <c r="C1405" s="13"/>
      <c r="D1405" s="13"/>
      <c r="E1405" s="12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2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</row>
    <row r="1406" spans="1:41" x14ac:dyDescent="0.2">
      <c r="A1406" s="13"/>
      <c r="B1406" s="13"/>
      <c r="C1406" s="13"/>
      <c r="D1406" s="13"/>
      <c r="E1406" s="12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2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</row>
    <row r="1407" spans="1:41" x14ac:dyDescent="0.2">
      <c r="A1407" s="13"/>
      <c r="B1407" s="13"/>
      <c r="C1407" s="13"/>
      <c r="D1407" s="13"/>
      <c r="E1407" s="12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2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</row>
    <row r="1408" spans="1:41" x14ac:dyDescent="0.2">
      <c r="A1408" s="13"/>
      <c r="B1408" s="13"/>
      <c r="C1408" s="13"/>
      <c r="D1408" s="13"/>
      <c r="E1408" s="12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2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</row>
    <row r="1409" spans="1:41" x14ac:dyDescent="0.2">
      <c r="A1409" s="13"/>
      <c r="B1409" s="13"/>
      <c r="C1409" s="13"/>
      <c r="D1409" s="13"/>
      <c r="E1409" s="12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2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</row>
    <row r="1410" spans="1:41" x14ac:dyDescent="0.2">
      <c r="A1410" s="13"/>
      <c r="B1410" s="13"/>
      <c r="C1410" s="13"/>
      <c r="D1410" s="13"/>
      <c r="E1410" s="12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2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</row>
    <row r="1411" spans="1:41" x14ac:dyDescent="0.2">
      <c r="A1411" s="13"/>
      <c r="B1411" s="13"/>
      <c r="C1411" s="13"/>
      <c r="D1411" s="13"/>
      <c r="E1411" s="12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2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</row>
    <row r="1412" spans="1:41" x14ac:dyDescent="0.2">
      <c r="A1412" s="13"/>
      <c r="B1412" s="13"/>
      <c r="C1412" s="13"/>
      <c r="D1412" s="13"/>
      <c r="E1412" s="12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2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</row>
    <row r="1413" spans="1:41" x14ac:dyDescent="0.2">
      <c r="A1413" s="13"/>
      <c r="B1413" s="13"/>
      <c r="C1413" s="13"/>
      <c r="D1413" s="13"/>
      <c r="E1413" s="12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2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</row>
    <row r="1414" spans="1:41" x14ac:dyDescent="0.2">
      <c r="A1414" s="13"/>
      <c r="B1414" s="13"/>
      <c r="C1414" s="13"/>
      <c r="D1414" s="13"/>
      <c r="E1414" s="12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2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</row>
    <row r="1415" spans="1:41" x14ac:dyDescent="0.2">
      <c r="A1415" s="13"/>
      <c r="B1415" s="13"/>
      <c r="C1415" s="13"/>
      <c r="D1415" s="13"/>
      <c r="E1415" s="12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2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</row>
    <row r="1416" spans="1:41" x14ac:dyDescent="0.2">
      <c r="A1416" s="13"/>
      <c r="B1416" s="13"/>
      <c r="C1416" s="13"/>
      <c r="D1416" s="13"/>
      <c r="E1416" s="12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2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</row>
    <row r="1417" spans="1:41" x14ac:dyDescent="0.2">
      <c r="A1417" s="13"/>
      <c r="B1417" s="13"/>
      <c r="C1417" s="13"/>
      <c r="D1417" s="13"/>
      <c r="E1417" s="12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2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</row>
    <row r="1418" spans="1:41" x14ac:dyDescent="0.2">
      <c r="A1418" s="13"/>
      <c r="B1418" s="13"/>
      <c r="C1418" s="13"/>
      <c r="D1418" s="13"/>
      <c r="E1418" s="12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2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</row>
    <row r="1419" spans="1:41" x14ac:dyDescent="0.2">
      <c r="A1419" s="13"/>
      <c r="B1419" s="13"/>
      <c r="C1419" s="13"/>
      <c r="D1419" s="13"/>
      <c r="E1419" s="12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2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</row>
    <row r="1420" spans="1:41" x14ac:dyDescent="0.2">
      <c r="A1420" s="13"/>
      <c r="B1420" s="13"/>
      <c r="C1420" s="13"/>
      <c r="D1420" s="13"/>
      <c r="E1420" s="12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2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</row>
    <row r="1421" spans="1:41" x14ac:dyDescent="0.2">
      <c r="A1421" s="13"/>
      <c r="B1421" s="13"/>
      <c r="C1421" s="13"/>
      <c r="D1421" s="13"/>
      <c r="E1421" s="12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2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</row>
    <row r="1422" spans="1:41" x14ac:dyDescent="0.2">
      <c r="A1422" s="13"/>
      <c r="B1422" s="13"/>
      <c r="C1422" s="13"/>
      <c r="D1422" s="13"/>
      <c r="E1422" s="12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2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</row>
    <row r="1423" spans="1:41" x14ac:dyDescent="0.2">
      <c r="A1423" s="13"/>
      <c r="B1423" s="13"/>
      <c r="C1423" s="13"/>
      <c r="D1423" s="13"/>
      <c r="E1423" s="12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2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</row>
    <row r="1424" spans="1:41" x14ac:dyDescent="0.2">
      <c r="A1424" s="13"/>
      <c r="B1424" s="13"/>
      <c r="C1424" s="13"/>
      <c r="D1424" s="13"/>
      <c r="E1424" s="12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2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</row>
    <row r="1425" spans="1:41" x14ac:dyDescent="0.2">
      <c r="A1425" s="13"/>
      <c r="B1425" s="13"/>
      <c r="C1425" s="13"/>
      <c r="D1425" s="13"/>
      <c r="E1425" s="12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2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</row>
    <row r="1426" spans="1:41" x14ac:dyDescent="0.2">
      <c r="A1426" s="13"/>
      <c r="B1426" s="13"/>
      <c r="C1426" s="13"/>
      <c r="D1426" s="13"/>
      <c r="E1426" s="12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2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</row>
    <row r="1427" spans="1:41" x14ac:dyDescent="0.2">
      <c r="A1427" s="13"/>
      <c r="B1427" s="13"/>
      <c r="C1427" s="13"/>
      <c r="D1427" s="13"/>
      <c r="E1427" s="12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2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</row>
    <row r="1428" spans="1:41" x14ac:dyDescent="0.2">
      <c r="A1428" s="13"/>
      <c r="B1428" s="13"/>
      <c r="C1428" s="13"/>
      <c r="D1428" s="13"/>
      <c r="E1428" s="12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2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</row>
    <row r="1429" spans="1:41" x14ac:dyDescent="0.2">
      <c r="A1429" s="13"/>
      <c r="B1429" s="13"/>
      <c r="C1429" s="13"/>
      <c r="D1429" s="13"/>
      <c r="E1429" s="12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2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</row>
    <row r="1430" spans="1:41" x14ac:dyDescent="0.2">
      <c r="A1430" s="13"/>
      <c r="B1430" s="13"/>
      <c r="C1430" s="13"/>
      <c r="D1430" s="13"/>
      <c r="E1430" s="12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2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</row>
    <row r="1431" spans="1:41" x14ac:dyDescent="0.2">
      <c r="A1431" s="13"/>
      <c r="B1431" s="13"/>
      <c r="C1431" s="13"/>
      <c r="D1431" s="13"/>
      <c r="E1431" s="12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2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</row>
    <row r="1432" spans="1:41" x14ac:dyDescent="0.2">
      <c r="A1432" s="13"/>
      <c r="B1432" s="13"/>
      <c r="C1432" s="13"/>
      <c r="D1432" s="13"/>
      <c r="E1432" s="12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2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</row>
    <row r="1433" spans="1:41" x14ac:dyDescent="0.2">
      <c r="A1433" s="13"/>
      <c r="B1433" s="13"/>
      <c r="C1433" s="13"/>
      <c r="D1433" s="13"/>
      <c r="E1433" s="12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2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</row>
    <row r="1434" spans="1:41" x14ac:dyDescent="0.2">
      <c r="A1434" s="13"/>
      <c r="B1434" s="13"/>
      <c r="C1434" s="13"/>
      <c r="D1434" s="13"/>
      <c r="E1434" s="12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2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</row>
    <row r="1435" spans="1:41" x14ac:dyDescent="0.2">
      <c r="A1435" s="13"/>
      <c r="B1435" s="13"/>
      <c r="C1435" s="13"/>
      <c r="D1435" s="13"/>
      <c r="E1435" s="12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2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</row>
    <row r="1436" spans="1:41" x14ac:dyDescent="0.2">
      <c r="A1436" s="13"/>
      <c r="B1436" s="13"/>
      <c r="C1436" s="13"/>
      <c r="D1436" s="13"/>
      <c r="E1436" s="12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2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</row>
    <row r="1437" spans="1:41" x14ac:dyDescent="0.2">
      <c r="A1437" s="13"/>
      <c r="B1437" s="13"/>
      <c r="C1437" s="13"/>
      <c r="D1437" s="13"/>
      <c r="E1437" s="12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2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</row>
    <row r="1438" spans="1:41" x14ac:dyDescent="0.2">
      <c r="A1438" s="13"/>
      <c r="B1438" s="13"/>
      <c r="C1438" s="13"/>
      <c r="D1438" s="13"/>
      <c r="E1438" s="12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2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</row>
    <row r="1439" spans="1:41" x14ac:dyDescent="0.2">
      <c r="A1439" s="13"/>
      <c r="B1439" s="13"/>
      <c r="C1439" s="13"/>
      <c r="D1439" s="13"/>
      <c r="E1439" s="12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2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</row>
    <row r="1440" spans="1:41" x14ac:dyDescent="0.2">
      <c r="A1440" s="13"/>
      <c r="B1440" s="13"/>
      <c r="C1440" s="13"/>
      <c r="D1440" s="13"/>
      <c r="E1440" s="12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2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</row>
    <row r="1441" spans="1:41" x14ac:dyDescent="0.2">
      <c r="A1441" s="13"/>
      <c r="B1441" s="13"/>
      <c r="C1441" s="13"/>
      <c r="D1441" s="13"/>
      <c r="E1441" s="12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2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</row>
    <row r="1442" spans="1:41" x14ac:dyDescent="0.2">
      <c r="A1442" s="13"/>
      <c r="B1442" s="13"/>
      <c r="C1442" s="13"/>
      <c r="D1442" s="13"/>
      <c r="E1442" s="12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2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</row>
    <row r="1443" spans="1:41" x14ac:dyDescent="0.2">
      <c r="A1443" s="13"/>
      <c r="B1443" s="13"/>
      <c r="C1443" s="13"/>
      <c r="D1443" s="13"/>
      <c r="E1443" s="12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2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</row>
    <row r="1444" spans="1:41" x14ac:dyDescent="0.2">
      <c r="A1444" s="13"/>
      <c r="B1444" s="13"/>
      <c r="C1444" s="13"/>
      <c r="D1444" s="13"/>
      <c r="E1444" s="12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2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</row>
    <row r="1445" spans="1:41" x14ac:dyDescent="0.2">
      <c r="A1445" s="13"/>
      <c r="B1445" s="13"/>
      <c r="C1445" s="13"/>
      <c r="D1445" s="13"/>
      <c r="E1445" s="12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2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</row>
    <row r="1446" spans="1:41" x14ac:dyDescent="0.2">
      <c r="A1446" s="13"/>
      <c r="B1446" s="13"/>
      <c r="C1446" s="13"/>
      <c r="D1446" s="13"/>
      <c r="E1446" s="12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2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</row>
    <row r="1447" spans="1:41" x14ac:dyDescent="0.2">
      <c r="A1447" s="13"/>
      <c r="B1447" s="13"/>
      <c r="C1447" s="13"/>
      <c r="D1447" s="13"/>
      <c r="E1447" s="12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2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</row>
    <row r="1448" spans="1:41" x14ac:dyDescent="0.2">
      <c r="A1448" s="13"/>
      <c r="B1448" s="13"/>
      <c r="C1448" s="13"/>
      <c r="D1448" s="13"/>
      <c r="E1448" s="12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2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</row>
    <row r="1449" spans="1:41" x14ac:dyDescent="0.2">
      <c r="A1449" s="13"/>
      <c r="B1449" s="13"/>
      <c r="C1449" s="13"/>
      <c r="D1449" s="13"/>
      <c r="E1449" s="12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2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</row>
    <row r="1450" spans="1:41" x14ac:dyDescent="0.2">
      <c r="A1450" s="13"/>
      <c r="B1450" s="13"/>
      <c r="C1450" s="13"/>
      <c r="D1450" s="13"/>
      <c r="E1450" s="12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2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</row>
    <row r="1451" spans="1:41" x14ac:dyDescent="0.2">
      <c r="A1451" s="13"/>
      <c r="B1451" s="13"/>
      <c r="C1451" s="13"/>
      <c r="D1451" s="13"/>
      <c r="E1451" s="12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2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</row>
    <row r="1452" spans="1:41" x14ac:dyDescent="0.2">
      <c r="A1452" s="13"/>
      <c r="B1452" s="13"/>
      <c r="C1452" s="13"/>
      <c r="D1452" s="13"/>
      <c r="E1452" s="12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2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</row>
    <row r="1453" spans="1:41" x14ac:dyDescent="0.2">
      <c r="A1453" s="13"/>
      <c r="B1453" s="13"/>
      <c r="C1453" s="13"/>
      <c r="D1453" s="13"/>
      <c r="E1453" s="12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2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</row>
    <row r="1454" spans="1:41" x14ac:dyDescent="0.2">
      <c r="A1454" s="13"/>
      <c r="B1454" s="13"/>
      <c r="C1454" s="13"/>
      <c r="D1454" s="13"/>
      <c r="E1454" s="12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2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</row>
    <row r="1455" spans="1:41" x14ac:dyDescent="0.2">
      <c r="A1455" s="13"/>
      <c r="B1455" s="13"/>
      <c r="C1455" s="13"/>
      <c r="D1455" s="13"/>
      <c r="E1455" s="12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2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</row>
    <row r="1456" spans="1:41" x14ac:dyDescent="0.2">
      <c r="A1456" s="13"/>
      <c r="B1456" s="13"/>
      <c r="C1456" s="13"/>
      <c r="D1456" s="13"/>
      <c r="E1456" s="12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2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</row>
    <row r="1457" spans="1:41" x14ac:dyDescent="0.2">
      <c r="A1457" s="13"/>
      <c r="B1457" s="13"/>
      <c r="C1457" s="13"/>
      <c r="D1457" s="13"/>
      <c r="E1457" s="12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2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</row>
    <row r="1458" spans="1:41" x14ac:dyDescent="0.2">
      <c r="A1458" s="13"/>
      <c r="B1458" s="13"/>
      <c r="C1458" s="13"/>
      <c r="D1458" s="13"/>
      <c r="E1458" s="12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2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</row>
    <row r="1459" spans="1:41" x14ac:dyDescent="0.2">
      <c r="A1459" s="13"/>
      <c r="B1459" s="13"/>
      <c r="C1459" s="13"/>
      <c r="D1459" s="13"/>
      <c r="E1459" s="12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2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</row>
    <row r="1460" spans="1:41" x14ac:dyDescent="0.2">
      <c r="A1460" s="13"/>
      <c r="B1460" s="13"/>
      <c r="C1460" s="13"/>
      <c r="D1460" s="13"/>
      <c r="E1460" s="12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2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</row>
    <row r="1461" spans="1:41" x14ac:dyDescent="0.2">
      <c r="A1461" s="13"/>
      <c r="B1461" s="13"/>
      <c r="C1461" s="13"/>
      <c r="D1461" s="13"/>
      <c r="E1461" s="12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2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</row>
    <row r="1462" spans="1:41" x14ac:dyDescent="0.2">
      <c r="A1462" s="13"/>
      <c r="B1462" s="13"/>
      <c r="C1462" s="13"/>
      <c r="D1462" s="13"/>
      <c r="E1462" s="12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2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</row>
    <row r="1463" spans="1:41" x14ac:dyDescent="0.2">
      <c r="A1463" s="13"/>
      <c r="B1463" s="13"/>
      <c r="C1463" s="13"/>
      <c r="D1463" s="13"/>
      <c r="E1463" s="12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2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</row>
    <row r="1464" spans="1:41" x14ac:dyDescent="0.2">
      <c r="A1464" s="13"/>
      <c r="B1464" s="13"/>
      <c r="C1464" s="13"/>
      <c r="D1464" s="13"/>
      <c r="E1464" s="12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2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</row>
    <row r="1465" spans="1:41" x14ac:dyDescent="0.2">
      <c r="A1465" s="13"/>
      <c r="B1465" s="13"/>
      <c r="C1465" s="13"/>
      <c r="D1465" s="13"/>
      <c r="E1465" s="12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2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</row>
    <row r="1466" spans="1:41" x14ac:dyDescent="0.2">
      <c r="A1466" s="13"/>
      <c r="B1466" s="13"/>
      <c r="C1466" s="13"/>
      <c r="D1466" s="13"/>
      <c r="E1466" s="12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2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</row>
    <row r="1467" spans="1:41" x14ac:dyDescent="0.2">
      <c r="A1467" s="13"/>
      <c r="B1467" s="13"/>
      <c r="C1467" s="13"/>
      <c r="D1467" s="13"/>
      <c r="E1467" s="12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2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</row>
    <row r="1468" spans="1:41" x14ac:dyDescent="0.2">
      <c r="A1468" s="13"/>
      <c r="B1468" s="13"/>
      <c r="C1468" s="13"/>
      <c r="D1468" s="13"/>
      <c r="E1468" s="12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2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</row>
    <row r="1469" spans="1:41" x14ac:dyDescent="0.2">
      <c r="A1469" s="13"/>
      <c r="B1469" s="13"/>
      <c r="C1469" s="13"/>
      <c r="D1469" s="13"/>
      <c r="E1469" s="12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2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</row>
    <row r="1470" spans="1:41" x14ac:dyDescent="0.2">
      <c r="A1470" s="13"/>
      <c r="B1470" s="13"/>
      <c r="C1470" s="13"/>
      <c r="D1470" s="13"/>
      <c r="E1470" s="12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2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</row>
    <row r="1471" spans="1:41" x14ac:dyDescent="0.2">
      <c r="A1471" s="13"/>
      <c r="B1471" s="13"/>
      <c r="C1471" s="13"/>
      <c r="D1471" s="13"/>
      <c r="E1471" s="12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2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</row>
    <row r="1472" spans="1:41" x14ac:dyDescent="0.2">
      <c r="A1472" s="13"/>
      <c r="B1472" s="13"/>
      <c r="C1472" s="13"/>
      <c r="D1472" s="13"/>
      <c r="E1472" s="12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2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</row>
    <row r="1473" spans="1:41" x14ac:dyDescent="0.2">
      <c r="A1473" s="13"/>
      <c r="B1473" s="13"/>
      <c r="C1473" s="13"/>
      <c r="D1473" s="13"/>
      <c r="E1473" s="12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2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</row>
    <row r="1474" spans="1:41" x14ac:dyDescent="0.2">
      <c r="A1474" s="13"/>
      <c r="B1474" s="13"/>
      <c r="C1474" s="13"/>
      <c r="D1474" s="13"/>
      <c r="E1474" s="12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2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</row>
    <row r="1475" spans="1:41" x14ac:dyDescent="0.2">
      <c r="A1475" s="13"/>
      <c r="B1475" s="13"/>
      <c r="C1475" s="13"/>
      <c r="D1475" s="13"/>
      <c r="E1475" s="12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2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</row>
    <row r="1476" spans="1:41" x14ac:dyDescent="0.2">
      <c r="A1476" s="13"/>
      <c r="B1476" s="13"/>
      <c r="C1476" s="13"/>
      <c r="D1476" s="13"/>
      <c r="E1476" s="12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2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</row>
    <row r="1477" spans="1:41" x14ac:dyDescent="0.2">
      <c r="A1477" s="13"/>
      <c r="B1477" s="13"/>
      <c r="C1477" s="13"/>
      <c r="D1477" s="13"/>
      <c r="E1477" s="12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2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</row>
    <row r="1478" spans="1:41" x14ac:dyDescent="0.2">
      <c r="A1478" s="13"/>
      <c r="B1478" s="13"/>
      <c r="C1478" s="13"/>
      <c r="D1478" s="13"/>
      <c r="E1478" s="12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2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</row>
    <row r="1479" spans="1:41" x14ac:dyDescent="0.2">
      <c r="A1479" s="13"/>
      <c r="B1479" s="13"/>
      <c r="C1479" s="13"/>
      <c r="D1479" s="13"/>
      <c r="E1479" s="12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2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</row>
    <row r="1480" spans="1:41" x14ac:dyDescent="0.2">
      <c r="A1480" s="13"/>
      <c r="B1480" s="13"/>
      <c r="C1480" s="13"/>
      <c r="D1480" s="13"/>
      <c r="E1480" s="12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2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</row>
    <row r="1481" spans="1:41" x14ac:dyDescent="0.2">
      <c r="A1481" s="13"/>
      <c r="B1481" s="13"/>
      <c r="C1481" s="13"/>
      <c r="D1481" s="13"/>
      <c r="E1481" s="12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2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</row>
    <row r="1482" spans="1:41" x14ac:dyDescent="0.2">
      <c r="A1482" s="13"/>
      <c r="B1482" s="13"/>
      <c r="C1482" s="13"/>
      <c r="D1482" s="13"/>
      <c r="E1482" s="12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2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</row>
    <row r="1483" spans="1:41" x14ac:dyDescent="0.2">
      <c r="A1483" s="13"/>
      <c r="B1483" s="13"/>
      <c r="C1483" s="13"/>
      <c r="D1483" s="13"/>
      <c r="E1483" s="12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2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</row>
    <row r="1484" spans="1:41" x14ac:dyDescent="0.2">
      <c r="A1484" s="13"/>
      <c r="B1484" s="13"/>
      <c r="C1484" s="13"/>
      <c r="D1484" s="13"/>
      <c r="E1484" s="12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2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</row>
    <row r="1485" spans="1:41" x14ac:dyDescent="0.2">
      <c r="A1485" s="13"/>
      <c r="B1485" s="13"/>
      <c r="C1485" s="13"/>
      <c r="D1485" s="13"/>
      <c r="E1485" s="12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2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</row>
    <row r="1486" spans="1:41" x14ac:dyDescent="0.2">
      <c r="A1486" s="13"/>
      <c r="B1486" s="13"/>
      <c r="C1486" s="13"/>
      <c r="D1486" s="13"/>
      <c r="E1486" s="12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2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</row>
    <row r="1487" spans="1:41" x14ac:dyDescent="0.2">
      <c r="A1487" s="13"/>
      <c r="B1487" s="13"/>
      <c r="C1487" s="13"/>
      <c r="D1487" s="13"/>
      <c r="E1487" s="12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2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</row>
    <row r="1488" spans="1:41" x14ac:dyDescent="0.2">
      <c r="A1488" s="13"/>
      <c r="B1488" s="13"/>
      <c r="C1488" s="13"/>
      <c r="D1488" s="13"/>
      <c r="E1488" s="12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2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</row>
    <row r="1489" spans="1:41" x14ac:dyDescent="0.2">
      <c r="A1489" s="13"/>
      <c r="B1489" s="13"/>
      <c r="C1489" s="13"/>
      <c r="D1489" s="13"/>
      <c r="E1489" s="12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2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</row>
    <row r="1490" spans="1:41" x14ac:dyDescent="0.2">
      <c r="A1490" s="13"/>
      <c r="B1490" s="13"/>
      <c r="C1490" s="13"/>
      <c r="D1490" s="13"/>
      <c r="E1490" s="12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2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</row>
    <row r="1491" spans="1:41" x14ac:dyDescent="0.2">
      <c r="A1491" s="13"/>
      <c r="B1491" s="13"/>
      <c r="C1491" s="13"/>
      <c r="D1491" s="13"/>
      <c r="E1491" s="12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2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</row>
    <row r="1492" spans="1:41" x14ac:dyDescent="0.2">
      <c r="A1492" s="13"/>
      <c r="B1492" s="13"/>
      <c r="C1492" s="13"/>
      <c r="D1492" s="13"/>
      <c r="E1492" s="12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2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</row>
    <row r="1493" spans="1:41" x14ac:dyDescent="0.2">
      <c r="A1493" s="13"/>
      <c r="B1493" s="13"/>
      <c r="C1493" s="13"/>
      <c r="D1493" s="13"/>
      <c r="E1493" s="12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2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</row>
    <row r="1494" spans="1:41" x14ac:dyDescent="0.2">
      <c r="A1494" s="13"/>
      <c r="B1494" s="13"/>
      <c r="C1494" s="13"/>
      <c r="D1494" s="13"/>
      <c r="E1494" s="12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2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</row>
    <row r="1495" spans="1:41" x14ac:dyDescent="0.2">
      <c r="A1495" s="13"/>
      <c r="B1495" s="13"/>
      <c r="C1495" s="13"/>
      <c r="D1495" s="13"/>
      <c r="E1495" s="12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2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</row>
    <row r="1496" spans="1:41" x14ac:dyDescent="0.2">
      <c r="A1496" s="13"/>
      <c r="B1496" s="13"/>
      <c r="C1496" s="13"/>
      <c r="D1496" s="13"/>
      <c r="E1496" s="12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2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</row>
    <row r="1497" spans="1:41" x14ac:dyDescent="0.2">
      <c r="A1497" s="13"/>
      <c r="B1497" s="13"/>
      <c r="C1497" s="13"/>
      <c r="D1497" s="13"/>
      <c r="E1497" s="12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2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</row>
    <row r="1498" spans="1:41" x14ac:dyDescent="0.2">
      <c r="A1498" s="13"/>
      <c r="B1498" s="13"/>
      <c r="C1498" s="13"/>
      <c r="D1498" s="13"/>
      <c r="E1498" s="12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2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</row>
    <row r="1499" spans="1:41" x14ac:dyDescent="0.2">
      <c r="A1499" s="13"/>
      <c r="B1499" s="13"/>
      <c r="C1499" s="13"/>
      <c r="D1499" s="13"/>
      <c r="E1499" s="12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2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</row>
    <row r="1500" spans="1:41" x14ac:dyDescent="0.2">
      <c r="A1500" s="13"/>
      <c r="B1500" s="13"/>
      <c r="C1500" s="13"/>
      <c r="D1500" s="13"/>
      <c r="E1500" s="12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2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</row>
    <row r="1501" spans="1:41" x14ac:dyDescent="0.2">
      <c r="A1501" s="13"/>
      <c r="B1501" s="13"/>
      <c r="C1501" s="13"/>
      <c r="D1501" s="13"/>
      <c r="E1501" s="12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2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</row>
    <row r="1502" spans="1:41" x14ac:dyDescent="0.2">
      <c r="A1502" s="13"/>
      <c r="B1502" s="13"/>
      <c r="C1502" s="13"/>
      <c r="D1502" s="13"/>
      <c r="E1502" s="12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2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</row>
    <row r="1503" spans="1:41" x14ac:dyDescent="0.2">
      <c r="A1503" s="13"/>
      <c r="B1503" s="13"/>
      <c r="C1503" s="13"/>
      <c r="D1503" s="13"/>
      <c r="E1503" s="12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2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</row>
    <row r="1504" spans="1:41" x14ac:dyDescent="0.2">
      <c r="A1504" s="13"/>
      <c r="B1504" s="13"/>
      <c r="C1504" s="13"/>
      <c r="D1504" s="13"/>
      <c r="E1504" s="12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2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</row>
    <row r="1505" spans="1:41" x14ac:dyDescent="0.2">
      <c r="A1505" s="13"/>
      <c r="B1505" s="13"/>
      <c r="C1505" s="13"/>
      <c r="D1505" s="13"/>
      <c r="E1505" s="12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2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</row>
    <row r="1506" spans="1:41" x14ac:dyDescent="0.2">
      <c r="A1506" s="13"/>
      <c r="B1506" s="13"/>
      <c r="C1506" s="13"/>
      <c r="D1506" s="13"/>
      <c r="E1506" s="12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2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</row>
    <row r="1507" spans="1:41" x14ac:dyDescent="0.2">
      <c r="A1507" s="13"/>
      <c r="B1507" s="13"/>
      <c r="C1507" s="13"/>
      <c r="D1507" s="13"/>
      <c r="E1507" s="12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2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</row>
    <row r="1508" spans="1:41" x14ac:dyDescent="0.2">
      <c r="A1508" s="13"/>
      <c r="B1508" s="13"/>
      <c r="C1508" s="13"/>
      <c r="D1508" s="13"/>
      <c r="E1508" s="12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2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</row>
    <row r="1509" spans="1:41" x14ac:dyDescent="0.2">
      <c r="A1509" s="13"/>
      <c r="B1509" s="13"/>
      <c r="C1509" s="13"/>
      <c r="D1509" s="13"/>
      <c r="E1509" s="12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2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</row>
    <row r="1510" spans="1:41" x14ac:dyDescent="0.2">
      <c r="A1510" s="13"/>
      <c r="B1510" s="13"/>
      <c r="C1510" s="13"/>
      <c r="D1510" s="13"/>
      <c r="E1510" s="12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2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</row>
    <row r="1511" spans="1:41" x14ac:dyDescent="0.2">
      <c r="A1511" s="13"/>
      <c r="B1511" s="13"/>
      <c r="C1511" s="13"/>
      <c r="D1511" s="13"/>
      <c r="E1511" s="12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2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</row>
    <row r="1512" spans="1:41" x14ac:dyDescent="0.2">
      <c r="A1512" s="13"/>
      <c r="B1512" s="13"/>
      <c r="C1512" s="13"/>
      <c r="D1512" s="13"/>
      <c r="E1512" s="12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2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</row>
    <row r="1513" spans="1:41" x14ac:dyDescent="0.2">
      <c r="A1513" s="13"/>
      <c r="B1513" s="13"/>
      <c r="C1513" s="13"/>
      <c r="D1513" s="13"/>
      <c r="E1513" s="12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2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</row>
    <row r="1514" spans="1:41" x14ac:dyDescent="0.2">
      <c r="A1514" s="13"/>
      <c r="B1514" s="13"/>
      <c r="C1514" s="13"/>
      <c r="D1514" s="13"/>
      <c r="E1514" s="12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2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</row>
    <row r="1515" spans="1:41" x14ac:dyDescent="0.2">
      <c r="A1515" s="13"/>
      <c r="B1515" s="13"/>
      <c r="C1515" s="13"/>
      <c r="D1515" s="13"/>
      <c r="E1515" s="12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2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</row>
    <row r="1516" spans="1:41" x14ac:dyDescent="0.2">
      <c r="A1516" s="13"/>
      <c r="B1516" s="13"/>
      <c r="C1516" s="13"/>
      <c r="D1516" s="13"/>
      <c r="E1516" s="12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2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</row>
    <row r="1517" spans="1:41" x14ac:dyDescent="0.2">
      <c r="A1517" s="13"/>
      <c r="B1517" s="13"/>
      <c r="C1517" s="13"/>
      <c r="D1517" s="13"/>
      <c r="E1517" s="12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2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</row>
    <row r="1518" spans="1:41" x14ac:dyDescent="0.2">
      <c r="A1518" s="13"/>
      <c r="B1518" s="13"/>
      <c r="C1518" s="13"/>
      <c r="D1518" s="13"/>
      <c r="E1518" s="12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2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</row>
    <row r="1519" spans="1:41" x14ac:dyDescent="0.2">
      <c r="A1519" s="13"/>
      <c r="B1519" s="13"/>
      <c r="C1519" s="13"/>
      <c r="D1519" s="13"/>
      <c r="E1519" s="12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2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</row>
    <row r="1520" spans="1:41" x14ac:dyDescent="0.2">
      <c r="A1520" s="13"/>
      <c r="B1520" s="13"/>
      <c r="C1520" s="13"/>
      <c r="D1520" s="13"/>
      <c r="E1520" s="12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2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</row>
    <row r="1521" spans="1:41" x14ac:dyDescent="0.2">
      <c r="A1521" s="13"/>
      <c r="B1521" s="13"/>
      <c r="C1521" s="13"/>
      <c r="D1521" s="13"/>
      <c r="E1521" s="12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2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</row>
    <row r="1522" spans="1:41" x14ac:dyDescent="0.2">
      <c r="A1522" s="13"/>
      <c r="B1522" s="13"/>
      <c r="C1522" s="13"/>
      <c r="D1522" s="13"/>
      <c r="E1522" s="12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2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</row>
    <row r="1523" spans="1:41" x14ac:dyDescent="0.2">
      <c r="A1523" s="13"/>
      <c r="B1523" s="13"/>
      <c r="C1523" s="13"/>
      <c r="D1523" s="13"/>
      <c r="E1523" s="12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2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</row>
    <row r="1524" spans="1:41" x14ac:dyDescent="0.2">
      <c r="A1524" s="13"/>
      <c r="B1524" s="13"/>
      <c r="C1524" s="13"/>
      <c r="D1524" s="13"/>
      <c r="E1524" s="12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2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</row>
    <row r="1525" spans="1:41" x14ac:dyDescent="0.2">
      <c r="A1525" s="13"/>
      <c r="B1525" s="13"/>
      <c r="C1525" s="13"/>
      <c r="D1525" s="13"/>
      <c r="E1525" s="12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2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</row>
    <row r="1526" spans="1:41" x14ac:dyDescent="0.2">
      <c r="A1526" s="13"/>
      <c r="B1526" s="13"/>
      <c r="C1526" s="13"/>
      <c r="D1526" s="13"/>
      <c r="E1526" s="12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2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</row>
    <row r="1527" spans="1:41" x14ac:dyDescent="0.2">
      <c r="A1527" s="13"/>
      <c r="B1527" s="13"/>
      <c r="C1527" s="13"/>
      <c r="D1527" s="13"/>
      <c r="E1527" s="12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2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</row>
    <row r="1528" spans="1:41" x14ac:dyDescent="0.2">
      <c r="A1528" s="13"/>
      <c r="B1528" s="13"/>
      <c r="C1528" s="13"/>
      <c r="D1528" s="13"/>
      <c r="E1528" s="12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2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</row>
    <row r="1529" spans="1:41" x14ac:dyDescent="0.2">
      <c r="A1529" s="13"/>
      <c r="B1529" s="13"/>
      <c r="C1529" s="13"/>
      <c r="D1529" s="13"/>
      <c r="E1529" s="12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2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</row>
    <row r="1530" spans="1:41" x14ac:dyDescent="0.2">
      <c r="A1530" s="13"/>
      <c r="B1530" s="13"/>
      <c r="C1530" s="13"/>
      <c r="D1530" s="13"/>
      <c r="E1530" s="12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2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</row>
    <row r="1531" spans="1:41" x14ac:dyDescent="0.2">
      <c r="A1531" s="13"/>
      <c r="B1531" s="13"/>
      <c r="C1531" s="13"/>
      <c r="D1531" s="13"/>
      <c r="E1531" s="12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2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</row>
    <row r="1532" spans="1:41" x14ac:dyDescent="0.2">
      <c r="A1532" s="13"/>
      <c r="B1532" s="13"/>
      <c r="C1532" s="13"/>
      <c r="D1532" s="13"/>
      <c r="E1532" s="12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2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</row>
    <row r="1533" spans="1:41" x14ac:dyDescent="0.2">
      <c r="A1533" s="13"/>
      <c r="B1533" s="13"/>
      <c r="C1533" s="13"/>
      <c r="D1533" s="13"/>
      <c r="E1533" s="12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2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</row>
    <row r="1534" spans="1:41" x14ac:dyDescent="0.2">
      <c r="A1534" s="13"/>
      <c r="B1534" s="13"/>
      <c r="C1534" s="13"/>
      <c r="D1534" s="13"/>
      <c r="E1534" s="12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2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</row>
    <row r="1535" spans="1:41" x14ac:dyDescent="0.2">
      <c r="A1535" s="13"/>
      <c r="B1535" s="13"/>
      <c r="C1535" s="13"/>
      <c r="D1535" s="13"/>
      <c r="E1535" s="12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2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</row>
    <row r="1536" spans="1:41" x14ac:dyDescent="0.2">
      <c r="A1536" s="13"/>
      <c r="B1536" s="13"/>
      <c r="C1536" s="13"/>
      <c r="D1536" s="13"/>
      <c r="E1536" s="12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2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</row>
    <row r="1537" spans="1:41" x14ac:dyDescent="0.2">
      <c r="A1537" s="13"/>
      <c r="B1537" s="13"/>
      <c r="C1537" s="13"/>
      <c r="D1537" s="13"/>
      <c r="E1537" s="12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2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</row>
    <row r="1538" spans="1:41" x14ac:dyDescent="0.2">
      <c r="A1538" s="13"/>
      <c r="B1538" s="13"/>
      <c r="C1538" s="13"/>
      <c r="D1538" s="13"/>
      <c r="E1538" s="12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2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</row>
    <row r="1539" spans="1:41" x14ac:dyDescent="0.2">
      <c r="A1539" s="13"/>
      <c r="B1539" s="13"/>
      <c r="C1539" s="13"/>
      <c r="D1539" s="13"/>
      <c r="E1539" s="12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2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</row>
    <row r="1540" spans="1:41" x14ac:dyDescent="0.2">
      <c r="A1540" s="13"/>
      <c r="B1540" s="13"/>
      <c r="C1540" s="13"/>
      <c r="D1540" s="13"/>
      <c r="E1540" s="12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2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</row>
    <row r="1541" spans="1:41" x14ac:dyDescent="0.2">
      <c r="A1541" s="13"/>
      <c r="B1541" s="13"/>
      <c r="C1541" s="13"/>
      <c r="D1541" s="13"/>
      <c r="E1541" s="12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2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</row>
    <row r="1542" spans="1:41" x14ac:dyDescent="0.2">
      <c r="A1542" s="13"/>
      <c r="B1542" s="13"/>
      <c r="C1542" s="13"/>
      <c r="D1542" s="13"/>
      <c r="E1542" s="12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2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</row>
    <row r="1543" spans="1:41" x14ac:dyDescent="0.2">
      <c r="A1543" s="13"/>
      <c r="B1543" s="13"/>
      <c r="C1543" s="13"/>
      <c r="D1543" s="13"/>
      <c r="E1543" s="12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2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</row>
    <row r="1544" spans="1:41" x14ac:dyDescent="0.2">
      <c r="A1544" s="13"/>
      <c r="B1544" s="13"/>
      <c r="C1544" s="13"/>
      <c r="D1544" s="13"/>
      <c r="E1544" s="12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2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</row>
    <row r="1545" spans="1:41" x14ac:dyDescent="0.2">
      <c r="A1545" s="13"/>
      <c r="B1545" s="13"/>
      <c r="C1545" s="13"/>
      <c r="D1545" s="13"/>
      <c r="E1545" s="12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2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</row>
    <row r="1546" spans="1:41" x14ac:dyDescent="0.2">
      <c r="A1546" s="13"/>
      <c r="B1546" s="13"/>
      <c r="C1546" s="13"/>
      <c r="D1546" s="13"/>
      <c r="E1546" s="12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2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</row>
    <row r="1547" spans="1:41" x14ac:dyDescent="0.2">
      <c r="A1547" s="13"/>
      <c r="B1547" s="13"/>
      <c r="C1547" s="13"/>
      <c r="D1547" s="13"/>
      <c r="E1547" s="12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2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</row>
    <row r="1548" spans="1:41" x14ac:dyDescent="0.2">
      <c r="A1548" s="13"/>
      <c r="B1548" s="13"/>
      <c r="C1548" s="13"/>
      <c r="D1548" s="13"/>
      <c r="E1548" s="12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2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</row>
    <row r="1549" spans="1:41" x14ac:dyDescent="0.2">
      <c r="A1549" s="13"/>
      <c r="B1549" s="13"/>
      <c r="C1549" s="13"/>
      <c r="D1549" s="13"/>
      <c r="E1549" s="12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2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</row>
    <row r="1550" spans="1:41" x14ac:dyDescent="0.2">
      <c r="A1550" s="13"/>
      <c r="B1550" s="13"/>
      <c r="C1550" s="13"/>
      <c r="D1550" s="13"/>
      <c r="E1550" s="12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2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</row>
    <row r="1551" spans="1:41" x14ac:dyDescent="0.2">
      <c r="A1551" s="13"/>
      <c r="B1551" s="13"/>
      <c r="C1551" s="13"/>
      <c r="D1551" s="13"/>
      <c r="E1551" s="12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2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</row>
    <row r="1552" spans="1:41" x14ac:dyDescent="0.2">
      <c r="A1552" s="13"/>
      <c r="B1552" s="13"/>
      <c r="C1552" s="13"/>
      <c r="D1552" s="13"/>
      <c r="E1552" s="12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2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</row>
    <row r="1553" spans="1:41" x14ac:dyDescent="0.2">
      <c r="A1553" s="13"/>
      <c r="B1553" s="13"/>
      <c r="C1553" s="13"/>
      <c r="D1553" s="13"/>
      <c r="E1553" s="12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2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</row>
    <row r="1554" spans="1:41" x14ac:dyDescent="0.2">
      <c r="A1554" s="13"/>
      <c r="B1554" s="13"/>
      <c r="C1554" s="13"/>
      <c r="D1554" s="13"/>
      <c r="E1554" s="12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2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</row>
    <row r="1555" spans="1:41" x14ac:dyDescent="0.2">
      <c r="A1555" s="13"/>
      <c r="B1555" s="13"/>
      <c r="C1555" s="13"/>
      <c r="D1555" s="13"/>
      <c r="E1555" s="12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2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</row>
    <row r="1556" spans="1:41" x14ac:dyDescent="0.2">
      <c r="A1556" s="13"/>
      <c r="B1556" s="13"/>
      <c r="C1556" s="13"/>
      <c r="D1556" s="13"/>
      <c r="E1556" s="12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2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</row>
    <row r="1557" spans="1:41" x14ac:dyDescent="0.2">
      <c r="A1557" s="13"/>
      <c r="B1557" s="13"/>
      <c r="C1557" s="13"/>
      <c r="D1557" s="13"/>
      <c r="E1557" s="12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2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</row>
    <row r="1558" spans="1:41" x14ac:dyDescent="0.2">
      <c r="A1558" s="13"/>
      <c r="B1558" s="13"/>
      <c r="C1558" s="13"/>
      <c r="D1558" s="13"/>
      <c r="E1558" s="12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2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</row>
    <row r="1559" spans="1:41" x14ac:dyDescent="0.2">
      <c r="A1559" s="13"/>
      <c r="B1559" s="13"/>
      <c r="C1559" s="13"/>
      <c r="D1559" s="13"/>
      <c r="E1559" s="12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2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</row>
    <row r="1560" spans="1:41" x14ac:dyDescent="0.2">
      <c r="A1560" s="13"/>
      <c r="B1560" s="13"/>
      <c r="C1560" s="13"/>
      <c r="D1560" s="13"/>
      <c r="E1560" s="12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2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</row>
    <row r="1561" spans="1:41" x14ac:dyDescent="0.2">
      <c r="A1561" s="13"/>
      <c r="B1561" s="13"/>
      <c r="C1561" s="13"/>
      <c r="D1561" s="13"/>
      <c r="E1561" s="12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2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</row>
    <row r="1562" spans="1:41" x14ac:dyDescent="0.2">
      <c r="A1562" s="13"/>
      <c r="B1562" s="13"/>
      <c r="C1562" s="13"/>
      <c r="D1562" s="13"/>
      <c r="E1562" s="12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2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</row>
    <row r="1563" spans="1:41" x14ac:dyDescent="0.2">
      <c r="A1563" s="13"/>
      <c r="B1563" s="13"/>
      <c r="C1563" s="13"/>
      <c r="D1563" s="13"/>
      <c r="E1563" s="12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2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</row>
    <row r="1564" spans="1:41" x14ac:dyDescent="0.2">
      <c r="A1564" s="13"/>
      <c r="B1564" s="13"/>
      <c r="C1564" s="13"/>
      <c r="D1564" s="13"/>
      <c r="E1564" s="12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2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</row>
    <row r="1565" spans="1:41" x14ac:dyDescent="0.2">
      <c r="A1565" s="13"/>
      <c r="B1565" s="13"/>
      <c r="C1565" s="13"/>
      <c r="D1565" s="13"/>
      <c r="E1565" s="12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2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</row>
    <row r="1566" spans="1:41" x14ac:dyDescent="0.2">
      <c r="A1566" s="13"/>
      <c r="B1566" s="13"/>
      <c r="C1566" s="13"/>
      <c r="D1566" s="13"/>
      <c r="E1566" s="12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2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</row>
    <row r="1567" spans="1:41" x14ac:dyDescent="0.2">
      <c r="A1567" s="13"/>
      <c r="B1567" s="13"/>
      <c r="C1567" s="13"/>
      <c r="D1567" s="13"/>
      <c r="E1567" s="12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2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</row>
    <row r="1568" spans="1:41" x14ac:dyDescent="0.2">
      <c r="A1568" s="13"/>
      <c r="B1568" s="13"/>
      <c r="C1568" s="13"/>
      <c r="D1568" s="13"/>
      <c r="E1568" s="12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2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</row>
    <row r="1569" spans="1:41" x14ac:dyDescent="0.2">
      <c r="A1569" s="13"/>
      <c r="B1569" s="13"/>
      <c r="C1569" s="13"/>
      <c r="D1569" s="13"/>
      <c r="E1569" s="12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2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</row>
    <row r="1570" spans="1:41" x14ac:dyDescent="0.2">
      <c r="A1570" s="13"/>
      <c r="B1570" s="13"/>
      <c r="C1570" s="13"/>
      <c r="D1570" s="13"/>
      <c r="E1570" s="12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2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</row>
    <row r="1571" spans="1:41" x14ac:dyDescent="0.2">
      <c r="A1571" s="13"/>
      <c r="B1571" s="13"/>
      <c r="C1571" s="13"/>
      <c r="D1571" s="13"/>
      <c r="E1571" s="12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2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</row>
    <row r="1572" spans="1:41" x14ac:dyDescent="0.2">
      <c r="A1572" s="13"/>
      <c r="B1572" s="13"/>
      <c r="C1572" s="13"/>
      <c r="D1572" s="13"/>
      <c r="E1572" s="12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2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</row>
    <row r="1573" spans="1:41" x14ac:dyDescent="0.2">
      <c r="A1573" s="13"/>
      <c r="B1573" s="13"/>
      <c r="C1573" s="13"/>
      <c r="D1573" s="13"/>
      <c r="E1573" s="12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2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</row>
    <row r="1574" spans="1:41" x14ac:dyDescent="0.2">
      <c r="A1574" s="13"/>
      <c r="B1574" s="13"/>
      <c r="C1574" s="13"/>
      <c r="D1574" s="13"/>
      <c r="E1574" s="12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2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</row>
    <row r="1575" spans="1:41" x14ac:dyDescent="0.2">
      <c r="A1575" s="13"/>
      <c r="B1575" s="13"/>
      <c r="C1575" s="13"/>
      <c r="D1575" s="13"/>
      <c r="E1575" s="12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2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</row>
    <row r="1576" spans="1:41" x14ac:dyDescent="0.2">
      <c r="A1576" s="13"/>
      <c r="B1576" s="13"/>
      <c r="C1576" s="13"/>
      <c r="D1576" s="13"/>
      <c r="E1576" s="12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2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</row>
    <row r="1577" spans="1:41" x14ac:dyDescent="0.2">
      <c r="A1577" s="13"/>
      <c r="B1577" s="13"/>
      <c r="C1577" s="13"/>
      <c r="D1577" s="13"/>
      <c r="E1577" s="12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2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</row>
    <row r="1578" spans="1:41" x14ac:dyDescent="0.2">
      <c r="A1578" s="13"/>
      <c r="B1578" s="13"/>
      <c r="C1578" s="13"/>
      <c r="D1578" s="13"/>
      <c r="E1578" s="12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2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</row>
    <row r="1579" spans="1:41" x14ac:dyDescent="0.2">
      <c r="A1579" s="13"/>
      <c r="B1579" s="13"/>
      <c r="C1579" s="13"/>
      <c r="D1579" s="13"/>
      <c r="E1579" s="12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2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</row>
    <row r="1580" spans="1:41" x14ac:dyDescent="0.2">
      <c r="A1580" s="13"/>
      <c r="B1580" s="13"/>
      <c r="C1580" s="13"/>
      <c r="D1580" s="13"/>
      <c r="E1580" s="12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2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</row>
    <row r="1581" spans="1:41" x14ac:dyDescent="0.2">
      <c r="A1581" s="13"/>
      <c r="B1581" s="13"/>
      <c r="C1581" s="13"/>
      <c r="D1581" s="13"/>
      <c r="E1581" s="12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2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</row>
    <row r="1582" spans="1:41" x14ac:dyDescent="0.2">
      <c r="A1582" s="13"/>
      <c r="B1582" s="13"/>
      <c r="C1582" s="13"/>
      <c r="D1582" s="13"/>
      <c r="E1582" s="12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2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</row>
    <row r="1583" spans="1:41" x14ac:dyDescent="0.2">
      <c r="A1583" s="13"/>
      <c r="B1583" s="13"/>
      <c r="C1583" s="13"/>
      <c r="D1583" s="13"/>
      <c r="E1583" s="12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2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</row>
    <row r="1584" spans="1:41" x14ac:dyDescent="0.2">
      <c r="A1584" s="13"/>
      <c r="B1584" s="13"/>
      <c r="C1584" s="13"/>
      <c r="D1584" s="13"/>
      <c r="E1584" s="12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2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</row>
    <row r="1585" spans="1:41" x14ac:dyDescent="0.2">
      <c r="A1585" s="13"/>
      <c r="B1585" s="13"/>
      <c r="C1585" s="13"/>
      <c r="D1585" s="13"/>
      <c r="E1585" s="12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2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</row>
    <row r="1586" spans="1:41" x14ac:dyDescent="0.2">
      <c r="A1586" s="13"/>
      <c r="B1586" s="13"/>
      <c r="C1586" s="13"/>
      <c r="D1586" s="13"/>
      <c r="E1586" s="12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2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</row>
    <row r="1587" spans="1:41" x14ac:dyDescent="0.2">
      <c r="A1587" s="13"/>
      <c r="B1587" s="13"/>
      <c r="C1587" s="13"/>
      <c r="D1587" s="13"/>
      <c r="E1587" s="12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2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</row>
    <row r="1588" spans="1:41" x14ac:dyDescent="0.2">
      <c r="A1588" s="13"/>
      <c r="B1588" s="13"/>
      <c r="C1588" s="13"/>
      <c r="D1588" s="13"/>
      <c r="E1588" s="12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2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</row>
    <row r="1589" spans="1:41" x14ac:dyDescent="0.2">
      <c r="A1589" s="13"/>
      <c r="B1589" s="13"/>
      <c r="C1589" s="13"/>
      <c r="D1589" s="13"/>
      <c r="E1589" s="12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2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</row>
    <row r="1590" spans="1:41" x14ac:dyDescent="0.2">
      <c r="A1590" s="13"/>
      <c r="B1590" s="13"/>
      <c r="C1590" s="13"/>
      <c r="D1590" s="13"/>
      <c r="E1590" s="12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2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</row>
    <row r="1591" spans="1:41" x14ac:dyDescent="0.2">
      <c r="A1591" s="13"/>
      <c r="B1591" s="13"/>
      <c r="C1591" s="13"/>
      <c r="D1591" s="13"/>
      <c r="E1591" s="12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2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</row>
    <row r="1592" spans="1:41" x14ac:dyDescent="0.2">
      <c r="A1592" s="13"/>
      <c r="B1592" s="13"/>
      <c r="C1592" s="13"/>
      <c r="D1592" s="13"/>
      <c r="E1592" s="12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2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</row>
    <row r="1593" spans="1:41" x14ac:dyDescent="0.2">
      <c r="A1593" s="13"/>
      <c r="B1593" s="13"/>
      <c r="C1593" s="13"/>
      <c r="D1593" s="13"/>
      <c r="E1593" s="12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2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</row>
    <row r="1594" spans="1:41" x14ac:dyDescent="0.2">
      <c r="A1594" s="13"/>
      <c r="B1594" s="13"/>
      <c r="C1594" s="13"/>
      <c r="D1594" s="13"/>
      <c r="E1594" s="12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2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</row>
    <row r="1595" spans="1:41" x14ac:dyDescent="0.2">
      <c r="A1595" s="13"/>
      <c r="B1595" s="13"/>
      <c r="C1595" s="13"/>
      <c r="D1595" s="13"/>
      <c r="E1595" s="12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2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</row>
    <row r="1596" spans="1:41" x14ac:dyDescent="0.2">
      <c r="A1596" s="13"/>
      <c r="B1596" s="13"/>
      <c r="C1596" s="13"/>
      <c r="D1596" s="13"/>
      <c r="E1596" s="12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2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</row>
    <row r="1597" spans="1:41" x14ac:dyDescent="0.2">
      <c r="A1597" s="13"/>
      <c r="B1597" s="13"/>
      <c r="C1597" s="13"/>
      <c r="D1597" s="13"/>
      <c r="E1597" s="12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2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</row>
    <row r="1598" spans="1:41" x14ac:dyDescent="0.2">
      <c r="A1598" s="13"/>
      <c r="B1598" s="13"/>
      <c r="C1598" s="13"/>
      <c r="D1598" s="13"/>
      <c r="E1598" s="12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2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</row>
    <row r="1599" spans="1:41" x14ac:dyDescent="0.2">
      <c r="A1599" s="13"/>
      <c r="B1599" s="13"/>
      <c r="C1599" s="13"/>
      <c r="D1599" s="13"/>
      <c r="E1599" s="12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2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</row>
    <row r="1600" spans="1:41" x14ac:dyDescent="0.2">
      <c r="A1600" s="13"/>
      <c r="B1600" s="13"/>
      <c r="C1600" s="13"/>
      <c r="D1600" s="13"/>
      <c r="E1600" s="12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2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</row>
    <row r="1601" spans="1:41" x14ac:dyDescent="0.2">
      <c r="A1601" s="13"/>
      <c r="B1601" s="13"/>
      <c r="C1601" s="13"/>
      <c r="D1601" s="13"/>
      <c r="E1601" s="12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2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</row>
    <row r="1602" spans="1:41" x14ac:dyDescent="0.2">
      <c r="A1602" s="13"/>
      <c r="B1602" s="13"/>
      <c r="C1602" s="13"/>
      <c r="D1602" s="13"/>
      <c r="E1602" s="12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2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</row>
    <row r="1603" spans="1:41" x14ac:dyDescent="0.2">
      <c r="A1603" s="13"/>
      <c r="B1603" s="13"/>
      <c r="C1603" s="13"/>
      <c r="D1603" s="13"/>
      <c r="E1603" s="12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2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</row>
    <row r="1604" spans="1:41" x14ac:dyDescent="0.2">
      <c r="A1604" s="13"/>
      <c r="B1604" s="13"/>
      <c r="C1604" s="13"/>
      <c r="D1604" s="13"/>
      <c r="E1604" s="12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2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</row>
    <row r="1605" spans="1:41" x14ac:dyDescent="0.2">
      <c r="A1605" s="13"/>
      <c r="B1605" s="13"/>
      <c r="C1605" s="13"/>
      <c r="D1605" s="13"/>
      <c r="E1605" s="12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2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</row>
    <row r="1606" spans="1:41" x14ac:dyDescent="0.2">
      <c r="A1606" s="13"/>
      <c r="B1606" s="13"/>
      <c r="C1606" s="13"/>
      <c r="D1606" s="13"/>
      <c r="E1606" s="12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2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</row>
    <row r="1607" spans="1:41" x14ac:dyDescent="0.2">
      <c r="A1607" s="13"/>
      <c r="B1607" s="13"/>
      <c r="C1607" s="13"/>
      <c r="D1607" s="13"/>
      <c r="E1607" s="12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2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</row>
    <row r="1608" spans="1:41" x14ac:dyDescent="0.2">
      <c r="A1608" s="13"/>
      <c r="B1608" s="13"/>
      <c r="C1608" s="13"/>
      <c r="D1608" s="13"/>
      <c r="E1608" s="12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2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</row>
    <row r="1609" spans="1:41" x14ac:dyDescent="0.2">
      <c r="A1609" s="13"/>
      <c r="B1609" s="13"/>
      <c r="C1609" s="13"/>
      <c r="D1609" s="13"/>
      <c r="E1609" s="12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2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</row>
    <row r="1610" spans="1:41" x14ac:dyDescent="0.2">
      <c r="A1610" s="13"/>
      <c r="B1610" s="13"/>
      <c r="C1610" s="13"/>
      <c r="D1610" s="13"/>
      <c r="E1610" s="12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2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</row>
    <row r="1611" spans="1:41" x14ac:dyDescent="0.2">
      <c r="A1611" s="13"/>
      <c r="B1611" s="13"/>
      <c r="C1611" s="13"/>
      <c r="D1611" s="13"/>
      <c r="E1611" s="12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2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</row>
    <row r="1612" spans="1:41" x14ac:dyDescent="0.2">
      <c r="A1612" s="13"/>
      <c r="B1612" s="13"/>
      <c r="C1612" s="13"/>
      <c r="D1612" s="13"/>
      <c r="E1612" s="12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2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</row>
    <row r="1613" spans="1:41" x14ac:dyDescent="0.2">
      <c r="A1613" s="13"/>
      <c r="B1613" s="13"/>
      <c r="C1613" s="13"/>
      <c r="D1613" s="13"/>
      <c r="E1613" s="12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2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</row>
    <row r="1614" spans="1:41" x14ac:dyDescent="0.2">
      <c r="A1614" s="13"/>
      <c r="B1614" s="13"/>
      <c r="C1614" s="13"/>
      <c r="D1614" s="13"/>
      <c r="E1614" s="12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2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</row>
    <row r="1615" spans="1:41" x14ac:dyDescent="0.2">
      <c r="A1615" s="13"/>
      <c r="B1615" s="13"/>
      <c r="C1615" s="13"/>
      <c r="D1615" s="13"/>
      <c r="E1615" s="12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2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</row>
    <row r="1616" spans="1:41" x14ac:dyDescent="0.2">
      <c r="A1616" s="13"/>
      <c r="B1616" s="13"/>
      <c r="C1616" s="13"/>
      <c r="D1616" s="13"/>
      <c r="E1616" s="12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2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</row>
    <row r="1617" spans="1:41" x14ac:dyDescent="0.2">
      <c r="A1617" s="13"/>
      <c r="B1617" s="13"/>
      <c r="C1617" s="13"/>
      <c r="D1617" s="13"/>
      <c r="E1617" s="12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2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</row>
    <row r="1618" spans="1:41" x14ac:dyDescent="0.2">
      <c r="A1618" s="13"/>
      <c r="B1618" s="13"/>
      <c r="C1618" s="13"/>
      <c r="D1618" s="13"/>
      <c r="E1618" s="12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2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</row>
    <row r="1619" spans="1:41" x14ac:dyDescent="0.2">
      <c r="A1619" s="13"/>
      <c r="B1619" s="13"/>
      <c r="C1619" s="13"/>
      <c r="D1619" s="13"/>
      <c r="E1619" s="12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2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</row>
    <row r="1620" spans="1:41" x14ac:dyDescent="0.2">
      <c r="A1620" s="13"/>
      <c r="B1620" s="13"/>
      <c r="C1620" s="13"/>
      <c r="D1620" s="13"/>
      <c r="E1620" s="12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2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</row>
    <row r="1621" spans="1:41" x14ac:dyDescent="0.2">
      <c r="A1621" s="13"/>
      <c r="B1621" s="13"/>
      <c r="C1621" s="13"/>
      <c r="D1621" s="13"/>
      <c r="E1621" s="12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2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</row>
    <row r="1622" spans="1:41" x14ac:dyDescent="0.2">
      <c r="A1622" s="13"/>
      <c r="B1622" s="13"/>
      <c r="C1622" s="13"/>
      <c r="D1622" s="13"/>
      <c r="E1622" s="12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2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</row>
    <row r="1623" spans="1:41" x14ac:dyDescent="0.2">
      <c r="A1623" s="13"/>
      <c r="B1623" s="13"/>
      <c r="C1623" s="13"/>
      <c r="D1623" s="13"/>
      <c r="E1623" s="12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2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</row>
    <row r="1624" spans="1:41" x14ac:dyDescent="0.2">
      <c r="A1624" s="13"/>
      <c r="B1624" s="13"/>
      <c r="C1624" s="13"/>
      <c r="D1624" s="13"/>
      <c r="E1624" s="12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2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</row>
    <row r="1625" spans="1:41" x14ac:dyDescent="0.2">
      <c r="A1625" s="13"/>
      <c r="B1625" s="13"/>
      <c r="C1625" s="13"/>
      <c r="D1625" s="13"/>
      <c r="E1625" s="12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2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</row>
    <row r="1626" spans="1:41" x14ac:dyDescent="0.2">
      <c r="A1626" s="13"/>
      <c r="B1626" s="13"/>
      <c r="C1626" s="13"/>
      <c r="D1626" s="13"/>
      <c r="E1626" s="12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2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</row>
    <row r="1627" spans="1:41" x14ac:dyDescent="0.2">
      <c r="A1627" s="13"/>
      <c r="B1627" s="13"/>
      <c r="C1627" s="13"/>
      <c r="D1627" s="13"/>
      <c r="E1627" s="12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2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</row>
    <row r="1628" spans="1:41" x14ac:dyDescent="0.2">
      <c r="A1628" s="13"/>
      <c r="B1628" s="13"/>
      <c r="C1628" s="13"/>
      <c r="D1628" s="13"/>
      <c r="E1628" s="12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2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</row>
    <row r="1629" spans="1:41" x14ac:dyDescent="0.2">
      <c r="A1629" s="13"/>
      <c r="B1629" s="13"/>
      <c r="C1629" s="13"/>
      <c r="D1629" s="13"/>
      <c r="E1629" s="12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2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</row>
    <row r="1630" spans="1:41" x14ac:dyDescent="0.2">
      <c r="A1630" s="13"/>
      <c r="B1630" s="13"/>
      <c r="C1630" s="13"/>
      <c r="D1630" s="13"/>
      <c r="E1630" s="12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2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</row>
    <row r="1631" spans="1:41" x14ac:dyDescent="0.2">
      <c r="A1631" s="13"/>
      <c r="B1631" s="13"/>
      <c r="C1631" s="13"/>
      <c r="D1631" s="13"/>
      <c r="E1631" s="12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2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</row>
    <row r="1632" spans="1:41" x14ac:dyDescent="0.2">
      <c r="A1632" s="13"/>
      <c r="B1632" s="13"/>
      <c r="C1632" s="13"/>
      <c r="D1632" s="13"/>
      <c r="E1632" s="12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2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</row>
    <row r="1633" spans="1:41" x14ac:dyDescent="0.2">
      <c r="A1633" s="13"/>
      <c r="B1633" s="13"/>
      <c r="C1633" s="13"/>
      <c r="D1633" s="13"/>
      <c r="E1633" s="12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2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</row>
    <row r="1634" spans="1:41" x14ac:dyDescent="0.2">
      <c r="A1634" s="13"/>
      <c r="B1634" s="13"/>
      <c r="C1634" s="13"/>
      <c r="D1634" s="13"/>
      <c r="E1634" s="12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2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</row>
    <row r="1635" spans="1:41" x14ac:dyDescent="0.2">
      <c r="A1635" s="13"/>
      <c r="B1635" s="13"/>
      <c r="C1635" s="13"/>
      <c r="D1635" s="13"/>
      <c r="E1635" s="12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2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</row>
    <row r="1636" spans="1:41" x14ac:dyDescent="0.2">
      <c r="A1636" s="13"/>
      <c r="B1636" s="13"/>
      <c r="C1636" s="13"/>
      <c r="D1636" s="13"/>
      <c r="E1636" s="12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2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</row>
    <row r="1637" spans="1:41" x14ac:dyDescent="0.2">
      <c r="A1637" s="13"/>
      <c r="B1637" s="13"/>
      <c r="C1637" s="13"/>
      <c r="D1637" s="13"/>
      <c r="E1637" s="12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2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</row>
    <row r="1638" spans="1:41" x14ac:dyDescent="0.2">
      <c r="A1638" s="13"/>
      <c r="B1638" s="13"/>
      <c r="C1638" s="13"/>
      <c r="D1638" s="13"/>
      <c r="E1638" s="12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2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</row>
    <row r="1639" spans="1:41" x14ac:dyDescent="0.2">
      <c r="A1639" s="13"/>
      <c r="B1639" s="13"/>
      <c r="C1639" s="13"/>
      <c r="D1639" s="13"/>
      <c r="E1639" s="12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2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</row>
    <row r="1640" spans="1:41" x14ac:dyDescent="0.2">
      <c r="A1640" s="13"/>
      <c r="B1640" s="13"/>
      <c r="C1640" s="13"/>
      <c r="D1640" s="13"/>
      <c r="E1640" s="12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2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</row>
    <row r="1641" spans="1:41" x14ac:dyDescent="0.2">
      <c r="A1641" s="13"/>
      <c r="B1641" s="13"/>
      <c r="C1641" s="13"/>
      <c r="D1641" s="13"/>
      <c r="E1641" s="12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2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</row>
    <row r="1642" spans="1:41" x14ac:dyDescent="0.2">
      <c r="A1642" s="13"/>
      <c r="B1642" s="13"/>
      <c r="C1642" s="13"/>
      <c r="D1642" s="13"/>
      <c r="E1642" s="12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2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</row>
    <row r="1643" spans="1:41" x14ac:dyDescent="0.2">
      <c r="A1643" s="13"/>
      <c r="B1643" s="13"/>
      <c r="C1643" s="13"/>
      <c r="D1643" s="13"/>
      <c r="E1643" s="12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2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</row>
    <row r="1644" spans="1:41" x14ac:dyDescent="0.2">
      <c r="A1644" s="13"/>
      <c r="B1644" s="13"/>
      <c r="C1644" s="13"/>
      <c r="D1644" s="13"/>
      <c r="E1644" s="12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2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</row>
    <row r="1645" spans="1:41" x14ac:dyDescent="0.2">
      <c r="A1645" s="13"/>
      <c r="B1645" s="13"/>
      <c r="C1645" s="13"/>
      <c r="D1645" s="13"/>
      <c r="E1645" s="12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2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</row>
    <row r="1646" spans="1:41" x14ac:dyDescent="0.2">
      <c r="A1646" s="13"/>
      <c r="B1646" s="13"/>
      <c r="C1646" s="13"/>
      <c r="D1646" s="13"/>
      <c r="E1646" s="12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2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</row>
    <row r="1647" spans="1:41" x14ac:dyDescent="0.2">
      <c r="A1647" s="13"/>
      <c r="B1647" s="13"/>
      <c r="C1647" s="13"/>
      <c r="D1647" s="13"/>
      <c r="E1647" s="12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2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</row>
    <row r="1648" spans="1:41" x14ac:dyDescent="0.2">
      <c r="A1648" s="13"/>
      <c r="B1648" s="13"/>
      <c r="C1648" s="13"/>
      <c r="D1648" s="13"/>
      <c r="E1648" s="12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2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</row>
    <row r="1649" spans="1:41" x14ac:dyDescent="0.2">
      <c r="A1649" s="13"/>
      <c r="B1649" s="13"/>
      <c r="C1649" s="13"/>
      <c r="D1649" s="13"/>
      <c r="E1649" s="12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2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</row>
    <row r="1650" spans="1:41" x14ac:dyDescent="0.2">
      <c r="A1650" s="13"/>
      <c r="B1650" s="13"/>
      <c r="C1650" s="13"/>
      <c r="D1650" s="13"/>
      <c r="E1650" s="12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2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</row>
    <row r="1651" spans="1:41" x14ac:dyDescent="0.2">
      <c r="A1651" s="13"/>
      <c r="B1651" s="13"/>
      <c r="C1651" s="13"/>
      <c r="D1651" s="13"/>
      <c r="E1651" s="12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2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</row>
    <row r="1652" spans="1:41" x14ac:dyDescent="0.2">
      <c r="A1652" s="13"/>
      <c r="B1652" s="13"/>
      <c r="C1652" s="13"/>
      <c r="D1652" s="13"/>
      <c r="E1652" s="12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2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</row>
    <row r="1653" spans="1:41" x14ac:dyDescent="0.2">
      <c r="A1653" s="13"/>
      <c r="B1653" s="13"/>
      <c r="C1653" s="13"/>
      <c r="D1653" s="13"/>
      <c r="E1653" s="12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2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</row>
    <row r="1654" spans="1:41" x14ac:dyDescent="0.2">
      <c r="A1654" s="13"/>
      <c r="B1654" s="13"/>
      <c r="C1654" s="13"/>
      <c r="D1654" s="13"/>
      <c r="E1654" s="12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2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</row>
    <row r="1655" spans="1:41" x14ac:dyDescent="0.2">
      <c r="A1655" s="13"/>
      <c r="B1655" s="13"/>
      <c r="C1655" s="13"/>
      <c r="D1655" s="13"/>
      <c r="E1655" s="12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2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</row>
    <row r="1656" spans="1:41" x14ac:dyDescent="0.2">
      <c r="A1656" s="13"/>
      <c r="B1656" s="13"/>
      <c r="C1656" s="13"/>
      <c r="D1656" s="13"/>
      <c r="E1656" s="12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2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</row>
    <row r="1657" spans="1:41" x14ac:dyDescent="0.2">
      <c r="A1657" s="13"/>
      <c r="B1657" s="13"/>
      <c r="C1657" s="13"/>
      <c r="D1657" s="13"/>
      <c r="E1657" s="12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2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</row>
    <row r="1658" spans="1:41" x14ac:dyDescent="0.2">
      <c r="A1658" s="13"/>
      <c r="B1658" s="13"/>
      <c r="C1658" s="13"/>
      <c r="D1658" s="13"/>
      <c r="E1658" s="12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2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</row>
    <row r="1659" spans="1:41" x14ac:dyDescent="0.2">
      <c r="A1659" s="13"/>
      <c r="B1659" s="13"/>
      <c r="C1659" s="13"/>
      <c r="D1659" s="13"/>
      <c r="E1659" s="12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2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</row>
    <row r="1660" spans="1:41" x14ac:dyDescent="0.2">
      <c r="A1660" s="13"/>
      <c r="B1660" s="13"/>
      <c r="C1660" s="13"/>
      <c r="D1660" s="13"/>
      <c r="E1660" s="12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2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</row>
    <row r="1661" spans="1:41" x14ac:dyDescent="0.2">
      <c r="A1661" s="13"/>
      <c r="B1661" s="13"/>
      <c r="C1661" s="13"/>
      <c r="D1661" s="13"/>
      <c r="E1661" s="12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2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</row>
    <row r="1662" spans="1:41" x14ac:dyDescent="0.2">
      <c r="A1662" s="13"/>
      <c r="B1662" s="13"/>
      <c r="C1662" s="13"/>
      <c r="D1662" s="13"/>
      <c r="E1662" s="12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2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</row>
    <row r="1663" spans="1:41" x14ac:dyDescent="0.2">
      <c r="A1663" s="13"/>
      <c r="B1663" s="13"/>
      <c r="C1663" s="13"/>
      <c r="D1663" s="13"/>
      <c r="E1663" s="12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2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</row>
    <row r="1664" spans="1:41" x14ac:dyDescent="0.2">
      <c r="A1664" s="13"/>
      <c r="B1664" s="13"/>
      <c r="C1664" s="13"/>
      <c r="D1664" s="13"/>
      <c r="E1664" s="12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2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</row>
    <row r="1665" spans="1:41" x14ac:dyDescent="0.2">
      <c r="A1665" s="13"/>
      <c r="B1665" s="13"/>
      <c r="C1665" s="13"/>
      <c r="D1665" s="13"/>
      <c r="E1665" s="12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2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</row>
    <row r="1666" spans="1:41" x14ac:dyDescent="0.2">
      <c r="A1666" s="13"/>
      <c r="B1666" s="13"/>
      <c r="C1666" s="13"/>
      <c r="D1666" s="13"/>
      <c r="E1666" s="12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2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</row>
    <row r="1667" spans="1:41" x14ac:dyDescent="0.2">
      <c r="A1667" s="13"/>
      <c r="B1667" s="13"/>
      <c r="C1667" s="13"/>
      <c r="D1667" s="13"/>
      <c r="E1667" s="12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2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</row>
    <row r="1668" spans="1:41" x14ac:dyDescent="0.2">
      <c r="A1668" s="13"/>
      <c r="B1668" s="13"/>
      <c r="C1668" s="13"/>
      <c r="D1668" s="13"/>
      <c r="E1668" s="12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2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</row>
    <row r="1669" spans="1:41" x14ac:dyDescent="0.2">
      <c r="A1669" s="13"/>
      <c r="B1669" s="13"/>
      <c r="C1669" s="13"/>
      <c r="D1669" s="13"/>
      <c r="E1669" s="12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2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</row>
    <row r="1670" spans="1:41" x14ac:dyDescent="0.2">
      <c r="A1670" s="13"/>
      <c r="B1670" s="13"/>
      <c r="C1670" s="13"/>
      <c r="D1670" s="13"/>
      <c r="E1670" s="12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2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</row>
    <row r="1671" spans="1:41" x14ac:dyDescent="0.2">
      <c r="A1671" s="13"/>
      <c r="B1671" s="13"/>
      <c r="C1671" s="13"/>
      <c r="D1671" s="13"/>
      <c r="E1671" s="12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2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</row>
    <row r="1672" spans="1:41" x14ac:dyDescent="0.2">
      <c r="A1672" s="13"/>
      <c r="B1672" s="13"/>
      <c r="C1672" s="13"/>
      <c r="D1672" s="13"/>
      <c r="E1672" s="12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2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</row>
    <row r="1673" spans="1:41" x14ac:dyDescent="0.2">
      <c r="A1673" s="13"/>
      <c r="B1673" s="13"/>
      <c r="C1673" s="13"/>
      <c r="D1673" s="13"/>
      <c r="E1673" s="12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2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</row>
    <row r="1674" spans="1:41" x14ac:dyDescent="0.2">
      <c r="A1674" s="13"/>
      <c r="B1674" s="13"/>
      <c r="C1674" s="13"/>
      <c r="D1674" s="13"/>
      <c r="E1674" s="12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2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</row>
    <row r="1675" spans="1:41" x14ac:dyDescent="0.2">
      <c r="A1675" s="13"/>
      <c r="B1675" s="13"/>
      <c r="C1675" s="13"/>
      <c r="D1675" s="13"/>
      <c r="E1675" s="12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2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</row>
    <row r="1676" spans="1:41" x14ac:dyDescent="0.2">
      <c r="A1676" s="13"/>
      <c r="B1676" s="13"/>
      <c r="C1676" s="13"/>
      <c r="D1676" s="13"/>
      <c r="E1676" s="12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2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</row>
    <row r="1677" spans="1:41" x14ac:dyDescent="0.2">
      <c r="A1677" s="13"/>
      <c r="B1677" s="13"/>
      <c r="C1677" s="13"/>
      <c r="D1677" s="13"/>
      <c r="E1677" s="12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2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</row>
    <row r="1678" spans="1:41" x14ac:dyDescent="0.2">
      <c r="A1678" s="13"/>
      <c r="B1678" s="13"/>
      <c r="C1678" s="13"/>
      <c r="D1678" s="13"/>
      <c r="E1678" s="12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2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</row>
    <row r="1679" spans="1:41" x14ac:dyDescent="0.2">
      <c r="A1679" s="13"/>
      <c r="B1679" s="13"/>
      <c r="C1679" s="13"/>
      <c r="D1679" s="13"/>
      <c r="E1679" s="12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2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</row>
    <row r="1680" spans="1:41" x14ac:dyDescent="0.2">
      <c r="A1680" s="13"/>
      <c r="B1680" s="13"/>
      <c r="C1680" s="13"/>
      <c r="D1680" s="13"/>
      <c r="E1680" s="12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2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</row>
    <row r="1681" spans="1:41" x14ac:dyDescent="0.2">
      <c r="A1681" s="13"/>
      <c r="B1681" s="13"/>
      <c r="C1681" s="13"/>
      <c r="D1681" s="13"/>
      <c r="E1681" s="12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2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</row>
    <row r="1682" spans="1:41" x14ac:dyDescent="0.2">
      <c r="A1682" s="13"/>
      <c r="B1682" s="13"/>
      <c r="C1682" s="13"/>
      <c r="D1682" s="13"/>
      <c r="E1682" s="12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2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</row>
    <row r="1683" spans="1:41" x14ac:dyDescent="0.2">
      <c r="A1683" s="13"/>
      <c r="B1683" s="13"/>
      <c r="C1683" s="13"/>
      <c r="D1683" s="13"/>
      <c r="E1683" s="12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2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</row>
    <row r="1684" spans="1:41" x14ac:dyDescent="0.2">
      <c r="A1684" s="13"/>
      <c r="B1684" s="13"/>
      <c r="C1684" s="13"/>
      <c r="D1684" s="13"/>
      <c r="E1684" s="12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2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</row>
    <row r="1685" spans="1:41" x14ac:dyDescent="0.2">
      <c r="A1685" s="13"/>
      <c r="B1685" s="13"/>
      <c r="C1685" s="13"/>
      <c r="D1685" s="13"/>
      <c r="E1685" s="12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2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</row>
    <row r="1686" spans="1:41" x14ac:dyDescent="0.2">
      <c r="A1686" s="13"/>
      <c r="B1686" s="13"/>
      <c r="C1686" s="13"/>
      <c r="D1686" s="13"/>
      <c r="E1686" s="12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2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</row>
    <row r="1687" spans="1:41" x14ac:dyDescent="0.2">
      <c r="A1687" s="13"/>
      <c r="B1687" s="13"/>
      <c r="C1687" s="13"/>
      <c r="D1687" s="13"/>
      <c r="E1687" s="12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2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</row>
    <row r="1688" spans="1:41" x14ac:dyDescent="0.2">
      <c r="A1688" s="13"/>
      <c r="B1688" s="13"/>
      <c r="C1688" s="13"/>
      <c r="D1688" s="13"/>
      <c r="E1688" s="12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2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</row>
    <row r="1689" spans="1:41" x14ac:dyDescent="0.2">
      <c r="A1689" s="13"/>
      <c r="B1689" s="13"/>
      <c r="C1689" s="13"/>
      <c r="D1689" s="13"/>
      <c r="E1689" s="12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2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</row>
    <row r="1690" spans="1:41" x14ac:dyDescent="0.2">
      <c r="A1690" s="13"/>
      <c r="B1690" s="13"/>
      <c r="C1690" s="13"/>
      <c r="D1690" s="13"/>
      <c r="E1690" s="12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2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</row>
    <row r="1691" spans="1:41" x14ac:dyDescent="0.2">
      <c r="A1691" s="13"/>
      <c r="B1691" s="13"/>
      <c r="C1691" s="13"/>
      <c r="D1691" s="13"/>
      <c r="E1691" s="12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2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</row>
    <row r="1692" spans="1:41" x14ac:dyDescent="0.2">
      <c r="A1692" s="13"/>
      <c r="B1692" s="13"/>
      <c r="C1692" s="13"/>
      <c r="D1692" s="13"/>
      <c r="E1692" s="12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2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</row>
    <row r="1693" spans="1:41" x14ac:dyDescent="0.2">
      <c r="A1693" s="13"/>
      <c r="B1693" s="13"/>
      <c r="C1693" s="13"/>
      <c r="D1693" s="13"/>
      <c r="E1693" s="12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2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</row>
    <row r="1694" spans="1:41" x14ac:dyDescent="0.2">
      <c r="A1694" s="13"/>
      <c r="B1694" s="13"/>
      <c r="C1694" s="13"/>
      <c r="D1694" s="13"/>
      <c r="E1694" s="12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2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</row>
    <row r="1695" spans="1:41" x14ac:dyDescent="0.2">
      <c r="A1695" s="13"/>
      <c r="B1695" s="13"/>
      <c r="C1695" s="13"/>
      <c r="D1695" s="13"/>
      <c r="E1695" s="12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2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</row>
    <row r="1696" spans="1:41" x14ac:dyDescent="0.2">
      <c r="A1696" s="13"/>
      <c r="B1696" s="13"/>
      <c r="C1696" s="13"/>
      <c r="D1696" s="13"/>
      <c r="E1696" s="12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2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</row>
    <row r="1697" spans="1:41" x14ac:dyDescent="0.2">
      <c r="A1697" s="13"/>
      <c r="B1697" s="13"/>
      <c r="C1697" s="13"/>
      <c r="D1697" s="13"/>
      <c r="E1697" s="12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2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</row>
    <row r="1698" spans="1:41" x14ac:dyDescent="0.2">
      <c r="A1698" s="13"/>
      <c r="B1698" s="13"/>
      <c r="C1698" s="13"/>
      <c r="D1698" s="13"/>
      <c r="E1698" s="12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2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</row>
    <row r="1699" spans="1:41" x14ac:dyDescent="0.2">
      <c r="A1699" s="13"/>
      <c r="B1699" s="13"/>
      <c r="C1699" s="13"/>
      <c r="D1699" s="13"/>
      <c r="E1699" s="12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2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</row>
    <row r="1700" spans="1:41" x14ac:dyDescent="0.2">
      <c r="A1700" s="13"/>
      <c r="B1700" s="13"/>
      <c r="C1700" s="13"/>
      <c r="D1700" s="13"/>
      <c r="E1700" s="12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2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</row>
    <row r="1701" spans="1:41" x14ac:dyDescent="0.2">
      <c r="A1701" s="13"/>
      <c r="B1701" s="13"/>
      <c r="C1701" s="13"/>
      <c r="D1701" s="13"/>
      <c r="E1701" s="12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2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</row>
    <row r="1702" spans="1:41" x14ac:dyDescent="0.2">
      <c r="A1702" s="13"/>
      <c r="B1702" s="13"/>
      <c r="C1702" s="13"/>
      <c r="D1702" s="13"/>
      <c r="E1702" s="12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2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</row>
    <row r="1703" spans="1:41" x14ac:dyDescent="0.2">
      <c r="A1703" s="13"/>
      <c r="B1703" s="13"/>
      <c r="C1703" s="13"/>
      <c r="D1703" s="13"/>
      <c r="E1703" s="12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2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</row>
    <row r="1704" spans="1:41" x14ac:dyDescent="0.2">
      <c r="A1704" s="13"/>
      <c r="B1704" s="13"/>
      <c r="C1704" s="13"/>
      <c r="D1704" s="13"/>
      <c r="E1704" s="12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2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</row>
    <row r="1705" spans="1:41" x14ac:dyDescent="0.2">
      <c r="A1705" s="13"/>
      <c r="B1705" s="13"/>
      <c r="C1705" s="13"/>
      <c r="D1705" s="13"/>
      <c r="E1705" s="12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2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</row>
    <row r="1706" spans="1:41" x14ac:dyDescent="0.2">
      <c r="A1706" s="13"/>
      <c r="B1706" s="13"/>
      <c r="C1706" s="13"/>
      <c r="D1706" s="13"/>
      <c r="E1706" s="12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2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</row>
    <row r="1707" spans="1:41" x14ac:dyDescent="0.2">
      <c r="A1707" s="13"/>
      <c r="B1707" s="13"/>
      <c r="C1707" s="13"/>
      <c r="D1707" s="13"/>
      <c r="E1707" s="12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2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</row>
    <row r="1708" spans="1:41" x14ac:dyDescent="0.2">
      <c r="A1708" s="13"/>
      <c r="B1708" s="13"/>
      <c r="C1708" s="13"/>
      <c r="D1708" s="13"/>
      <c r="E1708" s="12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2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</row>
    <row r="1709" spans="1:41" x14ac:dyDescent="0.2">
      <c r="A1709" s="13"/>
      <c r="B1709" s="13"/>
      <c r="C1709" s="13"/>
      <c r="D1709" s="13"/>
      <c r="E1709" s="12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2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</row>
    <row r="1710" spans="1:41" x14ac:dyDescent="0.2">
      <c r="A1710" s="13"/>
      <c r="B1710" s="13"/>
      <c r="C1710" s="13"/>
      <c r="D1710" s="13"/>
      <c r="E1710" s="12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2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</row>
    <row r="1711" spans="1:41" x14ac:dyDescent="0.2">
      <c r="A1711" s="13"/>
      <c r="B1711" s="13"/>
      <c r="C1711" s="13"/>
      <c r="D1711" s="13"/>
      <c r="E1711" s="12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2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</row>
    <row r="1712" spans="1:41" x14ac:dyDescent="0.2">
      <c r="A1712" s="13"/>
      <c r="B1712" s="13"/>
      <c r="C1712" s="13"/>
      <c r="D1712" s="13"/>
      <c r="E1712" s="12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2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</row>
    <row r="1713" spans="1:41" x14ac:dyDescent="0.2">
      <c r="A1713" s="13"/>
      <c r="B1713" s="13"/>
      <c r="C1713" s="13"/>
      <c r="D1713" s="13"/>
      <c r="E1713" s="12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2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</row>
    <row r="1714" spans="1:41" x14ac:dyDescent="0.2">
      <c r="A1714" s="13"/>
      <c r="B1714" s="13"/>
      <c r="C1714" s="13"/>
      <c r="D1714" s="13"/>
      <c r="E1714" s="12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2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</row>
    <row r="1715" spans="1:41" x14ac:dyDescent="0.2">
      <c r="A1715" s="13"/>
      <c r="B1715" s="13"/>
      <c r="C1715" s="13"/>
      <c r="D1715" s="13"/>
      <c r="E1715" s="12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2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</row>
    <row r="1716" spans="1:41" x14ac:dyDescent="0.2">
      <c r="A1716" s="13"/>
      <c r="B1716" s="13"/>
      <c r="C1716" s="13"/>
      <c r="D1716" s="13"/>
      <c r="E1716" s="12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2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</row>
    <row r="1717" spans="1:41" x14ac:dyDescent="0.2">
      <c r="A1717" s="13"/>
      <c r="B1717" s="13"/>
      <c r="C1717" s="13"/>
      <c r="D1717" s="13"/>
      <c r="E1717" s="12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2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</row>
    <row r="1718" spans="1:41" x14ac:dyDescent="0.2">
      <c r="A1718" s="13"/>
      <c r="B1718" s="13"/>
      <c r="C1718" s="13"/>
      <c r="D1718" s="13"/>
      <c r="E1718" s="12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2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</row>
    <row r="1719" spans="1:41" x14ac:dyDescent="0.2">
      <c r="A1719" s="13"/>
      <c r="B1719" s="13"/>
      <c r="C1719" s="13"/>
      <c r="D1719" s="13"/>
      <c r="E1719" s="12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2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</row>
    <row r="1720" spans="1:41" x14ac:dyDescent="0.2">
      <c r="A1720" s="13"/>
      <c r="B1720" s="13"/>
      <c r="C1720" s="13"/>
      <c r="D1720" s="13"/>
      <c r="E1720" s="12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2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</row>
    <row r="1721" spans="1:41" x14ac:dyDescent="0.2">
      <c r="A1721" s="13"/>
      <c r="B1721" s="13"/>
      <c r="C1721" s="13"/>
      <c r="D1721" s="13"/>
      <c r="E1721" s="12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2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</row>
    <row r="1722" spans="1:41" x14ac:dyDescent="0.2">
      <c r="A1722" s="13"/>
      <c r="B1722" s="13"/>
      <c r="C1722" s="13"/>
      <c r="D1722" s="13"/>
      <c r="E1722" s="12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2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</row>
    <row r="1723" spans="1:41" x14ac:dyDescent="0.2">
      <c r="A1723" s="13"/>
      <c r="B1723" s="13"/>
      <c r="C1723" s="13"/>
      <c r="D1723" s="13"/>
      <c r="E1723" s="12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2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</row>
    <row r="1724" spans="1:41" x14ac:dyDescent="0.2">
      <c r="A1724" s="13"/>
      <c r="B1724" s="13"/>
      <c r="C1724" s="13"/>
      <c r="D1724" s="13"/>
      <c r="E1724" s="12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2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</row>
    <row r="1725" spans="1:41" x14ac:dyDescent="0.2">
      <c r="A1725" s="13"/>
      <c r="B1725" s="13"/>
      <c r="C1725" s="13"/>
      <c r="D1725" s="13"/>
      <c r="E1725" s="12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2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</row>
    <row r="1726" spans="1:41" x14ac:dyDescent="0.2">
      <c r="A1726" s="13"/>
      <c r="B1726" s="13"/>
      <c r="C1726" s="13"/>
      <c r="D1726" s="13"/>
      <c r="E1726" s="12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2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</row>
    <row r="1727" spans="1:41" x14ac:dyDescent="0.2">
      <c r="A1727" s="13"/>
      <c r="B1727" s="13"/>
      <c r="C1727" s="13"/>
      <c r="D1727" s="13"/>
      <c r="E1727" s="12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2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</row>
    <row r="1728" spans="1:41" x14ac:dyDescent="0.2">
      <c r="A1728" s="13"/>
      <c r="B1728" s="13"/>
      <c r="C1728" s="13"/>
      <c r="D1728" s="13"/>
      <c r="E1728" s="12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2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</row>
    <row r="1729" spans="1:41" x14ac:dyDescent="0.2">
      <c r="A1729" s="13"/>
      <c r="B1729" s="13"/>
      <c r="C1729" s="13"/>
      <c r="D1729" s="13"/>
      <c r="E1729" s="12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2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</row>
    <row r="1730" spans="1:41" x14ac:dyDescent="0.2">
      <c r="A1730" s="13"/>
      <c r="B1730" s="13"/>
      <c r="C1730" s="13"/>
      <c r="D1730" s="13"/>
      <c r="E1730" s="12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2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</row>
    <row r="1731" spans="1:41" x14ac:dyDescent="0.2">
      <c r="A1731" s="13"/>
      <c r="B1731" s="13"/>
      <c r="C1731" s="13"/>
      <c r="D1731" s="13"/>
      <c r="E1731" s="12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2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</row>
    <row r="1732" spans="1:41" x14ac:dyDescent="0.2">
      <c r="A1732" s="13"/>
      <c r="B1732" s="13"/>
      <c r="C1732" s="13"/>
      <c r="D1732" s="13"/>
      <c r="E1732" s="12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2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</row>
    <row r="1733" spans="1:41" x14ac:dyDescent="0.2">
      <c r="A1733" s="13"/>
      <c r="B1733" s="13"/>
      <c r="C1733" s="13"/>
      <c r="D1733" s="13"/>
      <c r="E1733" s="12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2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</row>
    <row r="1734" spans="1:41" x14ac:dyDescent="0.2">
      <c r="A1734" s="13"/>
      <c r="B1734" s="13"/>
      <c r="C1734" s="13"/>
      <c r="D1734" s="13"/>
      <c r="E1734" s="12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2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</row>
    <row r="1735" spans="1:41" x14ac:dyDescent="0.2">
      <c r="A1735" s="13"/>
      <c r="B1735" s="13"/>
      <c r="C1735" s="13"/>
      <c r="D1735" s="13"/>
      <c r="E1735" s="12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2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</row>
    <row r="1736" spans="1:41" x14ac:dyDescent="0.2">
      <c r="A1736" s="13"/>
      <c r="B1736" s="13"/>
      <c r="C1736" s="13"/>
      <c r="D1736" s="13"/>
      <c r="E1736" s="12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2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</row>
    <row r="1737" spans="1:41" x14ac:dyDescent="0.2">
      <c r="A1737" s="13"/>
      <c r="B1737" s="13"/>
      <c r="C1737" s="13"/>
      <c r="D1737" s="13"/>
      <c r="E1737" s="12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2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</row>
    <row r="1738" spans="1:41" x14ac:dyDescent="0.2">
      <c r="A1738" s="13"/>
      <c r="B1738" s="13"/>
      <c r="C1738" s="13"/>
      <c r="D1738" s="13"/>
      <c r="E1738" s="12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2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</row>
    <row r="1739" spans="1:41" x14ac:dyDescent="0.2">
      <c r="A1739" s="13"/>
      <c r="B1739" s="13"/>
      <c r="C1739" s="13"/>
      <c r="D1739" s="13"/>
      <c r="E1739" s="12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2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</row>
    <row r="1740" spans="1:41" x14ac:dyDescent="0.2">
      <c r="A1740" s="13"/>
      <c r="B1740" s="13"/>
      <c r="C1740" s="13"/>
      <c r="D1740" s="13"/>
      <c r="E1740" s="12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2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</row>
    <row r="1741" spans="1:41" x14ac:dyDescent="0.2">
      <c r="A1741" s="13"/>
      <c r="B1741" s="13"/>
      <c r="C1741" s="13"/>
      <c r="D1741" s="13"/>
      <c r="E1741" s="12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2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</row>
    <row r="1742" spans="1:41" x14ac:dyDescent="0.2">
      <c r="A1742" s="13"/>
      <c r="B1742" s="13"/>
      <c r="C1742" s="13"/>
      <c r="D1742" s="13"/>
      <c r="E1742" s="12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2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</row>
    <row r="1743" spans="1:41" x14ac:dyDescent="0.2">
      <c r="A1743" s="13"/>
      <c r="B1743" s="13"/>
      <c r="C1743" s="13"/>
      <c r="D1743" s="13"/>
      <c r="E1743" s="12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2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</row>
    <row r="1744" spans="1:41" x14ac:dyDescent="0.2">
      <c r="A1744" s="13"/>
      <c r="B1744" s="13"/>
      <c r="C1744" s="13"/>
      <c r="D1744" s="13"/>
      <c r="E1744" s="12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2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</row>
    <row r="1745" spans="1:41" x14ac:dyDescent="0.2">
      <c r="A1745" s="13"/>
      <c r="B1745" s="13"/>
      <c r="C1745" s="13"/>
      <c r="D1745" s="13"/>
      <c r="E1745" s="12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2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</row>
    <row r="1746" spans="1:41" x14ac:dyDescent="0.2">
      <c r="A1746" s="13"/>
      <c r="B1746" s="13"/>
      <c r="C1746" s="13"/>
      <c r="D1746" s="13"/>
      <c r="E1746" s="12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2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</row>
    <row r="1747" spans="1:41" x14ac:dyDescent="0.2">
      <c r="A1747" s="13"/>
      <c r="B1747" s="13"/>
      <c r="C1747" s="13"/>
      <c r="D1747" s="13"/>
      <c r="E1747" s="12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2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</row>
    <row r="1748" spans="1:41" x14ac:dyDescent="0.2">
      <c r="A1748" s="13"/>
      <c r="B1748" s="13"/>
      <c r="C1748" s="13"/>
      <c r="D1748" s="13"/>
      <c r="E1748" s="12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2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</row>
    <row r="1749" spans="1:41" x14ac:dyDescent="0.2">
      <c r="A1749" s="13"/>
      <c r="B1749" s="13"/>
      <c r="C1749" s="13"/>
      <c r="D1749" s="13"/>
      <c r="E1749" s="12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2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</row>
    <row r="1750" spans="1:41" x14ac:dyDescent="0.2">
      <c r="A1750" s="13"/>
      <c r="B1750" s="13"/>
      <c r="C1750" s="13"/>
      <c r="D1750" s="13"/>
      <c r="E1750" s="12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2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</row>
    <row r="1751" spans="1:41" x14ac:dyDescent="0.2">
      <c r="A1751" s="13"/>
      <c r="B1751" s="13"/>
      <c r="C1751" s="13"/>
      <c r="D1751" s="13"/>
      <c r="E1751" s="12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2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</row>
    <row r="1752" spans="1:41" x14ac:dyDescent="0.2">
      <c r="A1752" s="13"/>
      <c r="B1752" s="13"/>
      <c r="C1752" s="13"/>
      <c r="D1752" s="13"/>
      <c r="E1752" s="12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2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</row>
    <row r="1753" spans="1:41" x14ac:dyDescent="0.2">
      <c r="A1753" s="13"/>
      <c r="B1753" s="13"/>
      <c r="C1753" s="13"/>
      <c r="D1753" s="13"/>
      <c r="E1753" s="12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2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</row>
    <row r="1754" spans="1:41" x14ac:dyDescent="0.2">
      <c r="A1754" s="13"/>
      <c r="B1754" s="13"/>
      <c r="C1754" s="13"/>
      <c r="D1754" s="13"/>
      <c r="E1754" s="12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2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</row>
    <row r="1755" spans="1:41" x14ac:dyDescent="0.2">
      <c r="A1755" s="13"/>
      <c r="B1755" s="13"/>
      <c r="C1755" s="13"/>
      <c r="D1755" s="13"/>
      <c r="E1755" s="12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2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</row>
    <row r="1756" spans="1:41" x14ac:dyDescent="0.2">
      <c r="A1756" s="13"/>
      <c r="B1756" s="13"/>
      <c r="C1756" s="13"/>
      <c r="D1756" s="13"/>
      <c r="E1756" s="12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2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</row>
    <row r="1757" spans="1:41" x14ac:dyDescent="0.2">
      <c r="A1757" s="13"/>
      <c r="B1757" s="13"/>
      <c r="C1757" s="13"/>
      <c r="D1757" s="13"/>
      <c r="E1757" s="12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2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</row>
    <row r="1758" spans="1:41" x14ac:dyDescent="0.2">
      <c r="A1758" s="13"/>
      <c r="B1758" s="13"/>
      <c r="C1758" s="13"/>
      <c r="D1758" s="13"/>
      <c r="E1758" s="12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2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</row>
    <row r="1759" spans="1:41" x14ac:dyDescent="0.2">
      <c r="A1759" s="13"/>
      <c r="B1759" s="13"/>
      <c r="C1759" s="13"/>
      <c r="D1759" s="13"/>
      <c r="E1759" s="12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2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</row>
    <row r="1760" spans="1:41" x14ac:dyDescent="0.2">
      <c r="A1760" s="13"/>
      <c r="B1760" s="13"/>
      <c r="C1760" s="13"/>
      <c r="D1760" s="13"/>
      <c r="E1760" s="12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2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</row>
    <row r="1761" spans="1:41" x14ac:dyDescent="0.2">
      <c r="A1761" s="13"/>
      <c r="B1761" s="13"/>
      <c r="C1761" s="13"/>
      <c r="D1761" s="13"/>
      <c r="E1761" s="12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2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</row>
    <row r="1762" spans="1:41" x14ac:dyDescent="0.2">
      <c r="A1762" s="13"/>
      <c r="B1762" s="13"/>
      <c r="C1762" s="13"/>
      <c r="D1762" s="13"/>
      <c r="E1762" s="12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2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</row>
    <row r="1763" spans="1:41" x14ac:dyDescent="0.2">
      <c r="A1763" s="13"/>
      <c r="B1763" s="13"/>
      <c r="C1763" s="13"/>
      <c r="D1763" s="13"/>
      <c r="E1763" s="12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2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</row>
    <row r="1764" spans="1:41" x14ac:dyDescent="0.2">
      <c r="A1764" s="13"/>
      <c r="B1764" s="13"/>
      <c r="C1764" s="13"/>
      <c r="D1764" s="13"/>
      <c r="E1764" s="12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2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</row>
    <row r="1765" spans="1:41" x14ac:dyDescent="0.2">
      <c r="A1765" s="13"/>
      <c r="B1765" s="13"/>
      <c r="C1765" s="13"/>
      <c r="D1765" s="13"/>
      <c r="E1765" s="12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2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</row>
    <row r="1766" spans="1:41" x14ac:dyDescent="0.2">
      <c r="A1766" s="13"/>
      <c r="B1766" s="13"/>
      <c r="C1766" s="13"/>
      <c r="D1766" s="13"/>
      <c r="E1766" s="12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2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</row>
    <row r="1767" spans="1:41" x14ac:dyDescent="0.2">
      <c r="A1767" s="13"/>
      <c r="B1767" s="13"/>
      <c r="C1767" s="13"/>
      <c r="D1767" s="13"/>
      <c r="E1767" s="12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2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</row>
    <row r="1768" spans="1:41" x14ac:dyDescent="0.2">
      <c r="A1768" s="13"/>
      <c r="B1768" s="13"/>
      <c r="C1768" s="13"/>
      <c r="D1768" s="13"/>
      <c r="E1768" s="12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2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</row>
    <row r="1769" spans="1:41" x14ac:dyDescent="0.2">
      <c r="A1769" s="13"/>
      <c r="B1769" s="13"/>
      <c r="C1769" s="13"/>
      <c r="D1769" s="13"/>
      <c r="E1769" s="12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2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</row>
    <row r="1770" spans="1:41" x14ac:dyDescent="0.2">
      <c r="A1770" s="13"/>
      <c r="B1770" s="13"/>
      <c r="C1770" s="13"/>
      <c r="D1770" s="13"/>
      <c r="E1770" s="12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2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</row>
    <row r="1771" spans="1:41" x14ac:dyDescent="0.2">
      <c r="A1771" s="13"/>
      <c r="B1771" s="13"/>
      <c r="C1771" s="13"/>
      <c r="D1771" s="13"/>
      <c r="E1771" s="12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2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</row>
    <row r="1772" spans="1:41" x14ac:dyDescent="0.2">
      <c r="A1772" s="13"/>
      <c r="B1772" s="13"/>
      <c r="C1772" s="13"/>
      <c r="D1772" s="13"/>
      <c r="E1772" s="12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2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</row>
    <row r="1773" spans="1:41" x14ac:dyDescent="0.2">
      <c r="A1773" s="13"/>
      <c r="B1773" s="13"/>
      <c r="C1773" s="13"/>
      <c r="D1773" s="13"/>
      <c r="E1773" s="12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2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</row>
    <row r="1774" spans="1:41" x14ac:dyDescent="0.2">
      <c r="A1774" s="13"/>
      <c r="B1774" s="13"/>
      <c r="C1774" s="13"/>
      <c r="D1774" s="13"/>
      <c r="E1774" s="12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2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</row>
    <row r="1775" spans="1:41" x14ac:dyDescent="0.2">
      <c r="A1775" s="13"/>
      <c r="B1775" s="13"/>
      <c r="C1775" s="13"/>
      <c r="D1775" s="13"/>
      <c r="E1775" s="12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2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</row>
    <row r="1776" spans="1:41" x14ac:dyDescent="0.2">
      <c r="A1776" s="13"/>
      <c r="B1776" s="13"/>
      <c r="C1776" s="13"/>
      <c r="D1776" s="13"/>
      <c r="E1776" s="12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2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</row>
    <row r="1777" spans="1:41" x14ac:dyDescent="0.2">
      <c r="A1777" s="13"/>
      <c r="B1777" s="13"/>
      <c r="C1777" s="13"/>
      <c r="D1777" s="13"/>
      <c r="E1777" s="12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2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</row>
    <row r="1778" spans="1:41" x14ac:dyDescent="0.2">
      <c r="A1778" s="13"/>
      <c r="B1778" s="13"/>
      <c r="C1778" s="13"/>
      <c r="D1778" s="13"/>
      <c r="E1778" s="12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2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</row>
    <row r="1779" spans="1:41" x14ac:dyDescent="0.2">
      <c r="A1779" s="13"/>
      <c r="B1779" s="13"/>
      <c r="C1779" s="13"/>
      <c r="D1779" s="13"/>
      <c r="E1779" s="12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2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</row>
    <row r="1780" spans="1:41" x14ac:dyDescent="0.2">
      <c r="A1780" s="13"/>
      <c r="B1780" s="13"/>
      <c r="C1780" s="13"/>
      <c r="D1780" s="13"/>
      <c r="E1780" s="12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2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</row>
    <row r="1781" spans="1:41" x14ac:dyDescent="0.2">
      <c r="A1781" s="13"/>
      <c r="B1781" s="13"/>
      <c r="C1781" s="13"/>
      <c r="D1781" s="13"/>
      <c r="E1781" s="12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2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</row>
    <row r="1782" spans="1:41" x14ac:dyDescent="0.2">
      <c r="A1782" s="13"/>
      <c r="B1782" s="13"/>
      <c r="C1782" s="13"/>
      <c r="D1782" s="13"/>
      <c r="E1782" s="12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2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</row>
    <row r="1783" spans="1:41" x14ac:dyDescent="0.2">
      <c r="A1783" s="13"/>
      <c r="B1783" s="13"/>
      <c r="C1783" s="13"/>
      <c r="D1783" s="13"/>
      <c r="E1783" s="12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2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</row>
    <row r="1784" spans="1:41" x14ac:dyDescent="0.2">
      <c r="A1784" s="13"/>
      <c r="B1784" s="13"/>
      <c r="C1784" s="13"/>
      <c r="D1784" s="13"/>
      <c r="E1784" s="12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2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</row>
    <row r="1785" spans="1:41" x14ac:dyDescent="0.2">
      <c r="A1785" s="13"/>
      <c r="B1785" s="13"/>
      <c r="C1785" s="13"/>
      <c r="D1785" s="13"/>
      <c r="E1785" s="12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2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</row>
    <row r="1786" spans="1:41" x14ac:dyDescent="0.2">
      <c r="A1786" s="13"/>
      <c r="B1786" s="13"/>
      <c r="C1786" s="13"/>
      <c r="D1786" s="13"/>
      <c r="E1786" s="12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2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</row>
    <row r="1787" spans="1:41" x14ac:dyDescent="0.2">
      <c r="A1787" s="13"/>
      <c r="B1787" s="13"/>
      <c r="C1787" s="13"/>
      <c r="D1787" s="13"/>
      <c r="E1787" s="12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2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</row>
    <row r="1788" spans="1:41" x14ac:dyDescent="0.2">
      <c r="A1788" s="13"/>
      <c r="B1788" s="13"/>
      <c r="C1788" s="13"/>
      <c r="D1788" s="13"/>
      <c r="E1788" s="12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2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</row>
    <row r="1789" spans="1:41" x14ac:dyDescent="0.2">
      <c r="A1789" s="13"/>
      <c r="B1789" s="13"/>
      <c r="C1789" s="13"/>
      <c r="D1789" s="13"/>
      <c r="E1789" s="12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2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</row>
    <row r="1790" spans="1:41" x14ac:dyDescent="0.2">
      <c r="A1790" s="13"/>
      <c r="B1790" s="13"/>
      <c r="C1790" s="13"/>
      <c r="D1790" s="13"/>
      <c r="E1790" s="12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2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</row>
    <row r="1791" spans="1:41" x14ac:dyDescent="0.2">
      <c r="A1791" s="13"/>
      <c r="B1791" s="13"/>
      <c r="C1791" s="13"/>
      <c r="D1791" s="13"/>
      <c r="E1791" s="12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2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</row>
    <row r="1792" spans="1:41" x14ac:dyDescent="0.2">
      <c r="A1792" s="13"/>
      <c r="B1792" s="13"/>
      <c r="C1792" s="13"/>
      <c r="D1792" s="13"/>
      <c r="E1792" s="12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2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</row>
    <row r="1793" spans="1:41" x14ac:dyDescent="0.2">
      <c r="A1793" s="13"/>
      <c r="B1793" s="13"/>
      <c r="C1793" s="13"/>
      <c r="D1793" s="13"/>
      <c r="E1793" s="12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2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</row>
    <row r="1794" spans="1:41" x14ac:dyDescent="0.2">
      <c r="A1794" s="13"/>
      <c r="B1794" s="13"/>
      <c r="C1794" s="13"/>
      <c r="D1794" s="13"/>
      <c r="E1794" s="12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2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</row>
    <row r="1795" spans="1:41" x14ac:dyDescent="0.2">
      <c r="A1795" s="13"/>
      <c r="B1795" s="13"/>
      <c r="C1795" s="13"/>
      <c r="D1795" s="13"/>
      <c r="E1795" s="12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2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</row>
    <row r="1796" spans="1:41" x14ac:dyDescent="0.2">
      <c r="A1796" s="13"/>
      <c r="B1796" s="13"/>
      <c r="C1796" s="13"/>
      <c r="D1796" s="13"/>
      <c r="E1796" s="12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2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</row>
    <row r="1797" spans="1:41" x14ac:dyDescent="0.2">
      <c r="A1797" s="13"/>
      <c r="B1797" s="13"/>
      <c r="C1797" s="13"/>
      <c r="D1797" s="13"/>
      <c r="E1797" s="12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2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</row>
    <row r="1798" spans="1:41" x14ac:dyDescent="0.2">
      <c r="A1798" s="13"/>
      <c r="B1798" s="13"/>
      <c r="C1798" s="13"/>
      <c r="D1798" s="13"/>
      <c r="E1798" s="12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2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</row>
    <row r="1799" spans="1:41" x14ac:dyDescent="0.2">
      <c r="A1799" s="13"/>
      <c r="B1799" s="13"/>
      <c r="C1799" s="13"/>
      <c r="D1799" s="13"/>
      <c r="E1799" s="12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2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</row>
    <row r="1800" spans="1:41" x14ac:dyDescent="0.2">
      <c r="A1800" s="13"/>
      <c r="B1800" s="13"/>
      <c r="C1800" s="13"/>
      <c r="D1800" s="13"/>
      <c r="E1800" s="12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2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</row>
    <row r="1801" spans="1:41" x14ac:dyDescent="0.2">
      <c r="A1801" s="13"/>
      <c r="B1801" s="13"/>
      <c r="C1801" s="13"/>
      <c r="D1801" s="13"/>
      <c r="E1801" s="12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2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</row>
    <row r="1802" spans="1:41" x14ac:dyDescent="0.2">
      <c r="A1802" s="13"/>
      <c r="B1802" s="13"/>
      <c r="C1802" s="13"/>
      <c r="D1802" s="13"/>
      <c r="E1802" s="12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2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</row>
    <row r="1803" spans="1:41" x14ac:dyDescent="0.2">
      <c r="A1803" s="13"/>
      <c r="B1803" s="13"/>
      <c r="C1803" s="13"/>
      <c r="D1803" s="13"/>
      <c r="E1803" s="12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2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</row>
    <row r="1804" spans="1:41" x14ac:dyDescent="0.2">
      <c r="A1804" s="13"/>
      <c r="B1804" s="13"/>
      <c r="C1804" s="13"/>
      <c r="D1804" s="13"/>
      <c r="E1804" s="12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2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</row>
    <row r="1805" spans="1:41" x14ac:dyDescent="0.2">
      <c r="A1805" s="13"/>
      <c r="B1805" s="13"/>
      <c r="C1805" s="13"/>
      <c r="D1805" s="13"/>
      <c r="E1805" s="12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2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</row>
    <row r="1806" spans="1:41" x14ac:dyDescent="0.2">
      <c r="A1806" s="13"/>
      <c r="B1806" s="13"/>
      <c r="C1806" s="13"/>
      <c r="D1806" s="13"/>
      <c r="E1806" s="12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2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</row>
    <row r="1807" spans="1:41" x14ac:dyDescent="0.2">
      <c r="A1807" s="13"/>
      <c r="B1807" s="13"/>
      <c r="C1807" s="13"/>
      <c r="D1807" s="13"/>
      <c r="E1807" s="12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2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</row>
    <row r="1808" spans="1:41" x14ac:dyDescent="0.2">
      <c r="A1808" s="13"/>
      <c r="B1808" s="13"/>
      <c r="C1808" s="13"/>
      <c r="D1808" s="13"/>
      <c r="E1808" s="12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2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</row>
    <row r="1809" spans="1:41" x14ac:dyDescent="0.2">
      <c r="A1809" s="13"/>
      <c r="B1809" s="13"/>
      <c r="C1809" s="13"/>
      <c r="D1809" s="13"/>
      <c r="E1809" s="12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2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</row>
    <row r="1810" spans="1:41" x14ac:dyDescent="0.2">
      <c r="A1810" s="13"/>
      <c r="B1810" s="13"/>
      <c r="C1810" s="13"/>
      <c r="D1810" s="13"/>
      <c r="E1810" s="12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2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</row>
    <row r="1811" spans="1:41" x14ac:dyDescent="0.2">
      <c r="A1811" s="13"/>
      <c r="B1811" s="13"/>
      <c r="C1811" s="13"/>
      <c r="D1811" s="13"/>
      <c r="E1811" s="12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2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</row>
    <row r="1812" spans="1:41" x14ac:dyDescent="0.2">
      <c r="A1812" s="13"/>
      <c r="B1812" s="13"/>
      <c r="C1812" s="13"/>
      <c r="D1812" s="13"/>
      <c r="E1812" s="12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2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</row>
    <row r="1813" spans="1:41" x14ac:dyDescent="0.2">
      <c r="A1813" s="13"/>
      <c r="B1813" s="13"/>
      <c r="C1813" s="13"/>
      <c r="D1813" s="13"/>
      <c r="E1813" s="12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2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</row>
    <row r="1814" spans="1:41" x14ac:dyDescent="0.2">
      <c r="A1814" s="13"/>
      <c r="B1814" s="13"/>
      <c r="C1814" s="13"/>
      <c r="D1814" s="13"/>
      <c r="E1814" s="12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2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</row>
    <row r="1815" spans="1:41" x14ac:dyDescent="0.2">
      <c r="A1815" s="13"/>
      <c r="B1815" s="13"/>
      <c r="C1815" s="13"/>
      <c r="D1815" s="13"/>
      <c r="E1815" s="12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2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</row>
    <row r="1816" spans="1:41" x14ac:dyDescent="0.2">
      <c r="A1816" s="13"/>
      <c r="B1816" s="13"/>
      <c r="C1816" s="13"/>
      <c r="D1816" s="13"/>
      <c r="E1816" s="12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2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</row>
    <row r="1817" spans="1:41" x14ac:dyDescent="0.2">
      <c r="A1817" s="13"/>
      <c r="B1817" s="13"/>
      <c r="C1817" s="13"/>
      <c r="D1817" s="13"/>
      <c r="E1817" s="12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2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</row>
    <row r="1818" spans="1:41" x14ac:dyDescent="0.2">
      <c r="A1818" s="13"/>
      <c r="B1818" s="13"/>
      <c r="C1818" s="13"/>
      <c r="D1818" s="13"/>
      <c r="E1818" s="12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2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</row>
    <row r="1819" spans="1:41" x14ac:dyDescent="0.2">
      <c r="A1819" s="13"/>
      <c r="B1819" s="13"/>
      <c r="C1819" s="13"/>
      <c r="D1819" s="13"/>
      <c r="E1819" s="12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2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</row>
    <row r="1820" spans="1:41" x14ac:dyDescent="0.2">
      <c r="A1820" s="13"/>
      <c r="B1820" s="13"/>
      <c r="C1820" s="13"/>
      <c r="D1820" s="13"/>
      <c r="E1820" s="12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2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</row>
    <row r="1821" spans="1:41" x14ac:dyDescent="0.2">
      <c r="A1821" s="13"/>
      <c r="B1821" s="13"/>
      <c r="C1821" s="13"/>
      <c r="D1821" s="13"/>
      <c r="E1821" s="12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2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</row>
    <row r="1822" spans="1:41" x14ac:dyDescent="0.2">
      <c r="A1822" s="13"/>
      <c r="B1822" s="13"/>
      <c r="C1822" s="13"/>
      <c r="D1822" s="13"/>
      <c r="E1822" s="12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2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</row>
    <row r="1823" spans="1:41" x14ac:dyDescent="0.2">
      <c r="A1823" s="13"/>
      <c r="B1823" s="13"/>
      <c r="C1823" s="13"/>
      <c r="D1823" s="13"/>
      <c r="E1823" s="12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2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</row>
    <row r="1824" spans="1:41" x14ac:dyDescent="0.2">
      <c r="A1824" s="13"/>
      <c r="B1824" s="13"/>
      <c r="C1824" s="13"/>
      <c r="D1824" s="13"/>
      <c r="E1824" s="12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2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</row>
    <row r="1825" spans="1:41" x14ac:dyDescent="0.2">
      <c r="A1825" s="13"/>
      <c r="B1825" s="13"/>
      <c r="C1825" s="13"/>
      <c r="D1825" s="13"/>
      <c r="E1825" s="12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2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</row>
    <row r="1826" spans="1:41" x14ac:dyDescent="0.2">
      <c r="A1826" s="13"/>
      <c r="B1826" s="13"/>
      <c r="C1826" s="13"/>
      <c r="D1826" s="13"/>
      <c r="E1826" s="12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2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</row>
    <row r="1827" spans="1:41" x14ac:dyDescent="0.2">
      <c r="A1827" s="13"/>
      <c r="B1827" s="13"/>
      <c r="C1827" s="13"/>
      <c r="D1827" s="13"/>
      <c r="E1827" s="12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2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</row>
    <row r="1828" spans="1:41" x14ac:dyDescent="0.2">
      <c r="A1828" s="13"/>
      <c r="B1828" s="13"/>
      <c r="C1828" s="13"/>
      <c r="D1828" s="13"/>
      <c r="E1828" s="12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2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</row>
    <row r="1829" spans="1:41" x14ac:dyDescent="0.2">
      <c r="A1829" s="13"/>
      <c r="B1829" s="13"/>
      <c r="C1829" s="13"/>
      <c r="D1829" s="13"/>
      <c r="E1829" s="12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2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</row>
    <row r="1830" spans="1:41" x14ac:dyDescent="0.2">
      <c r="A1830" s="13"/>
      <c r="B1830" s="13"/>
      <c r="C1830" s="13"/>
      <c r="D1830" s="13"/>
      <c r="E1830" s="12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2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</row>
    <row r="1831" spans="1:41" x14ac:dyDescent="0.2">
      <c r="A1831" s="13"/>
      <c r="B1831" s="13"/>
      <c r="C1831" s="13"/>
      <c r="D1831" s="13"/>
      <c r="E1831" s="12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2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</row>
    <row r="1832" spans="1:41" x14ac:dyDescent="0.2">
      <c r="A1832" s="13"/>
      <c r="B1832" s="13"/>
      <c r="C1832" s="13"/>
      <c r="D1832" s="13"/>
      <c r="E1832" s="12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2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</row>
    <row r="1833" spans="1:41" x14ac:dyDescent="0.2">
      <c r="A1833" s="13"/>
      <c r="B1833" s="13"/>
      <c r="C1833" s="13"/>
      <c r="D1833" s="13"/>
      <c r="E1833" s="12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2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</row>
    <row r="1834" spans="1:41" x14ac:dyDescent="0.2">
      <c r="A1834" s="13"/>
      <c r="B1834" s="13"/>
      <c r="C1834" s="13"/>
      <c r="D1834" s="13"/>
      <c r="E1834" s="12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2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</row>
    <row r="1835" spans="1:41" x14ac:dyDescent="0.2">
      <c r="A1835" s="13"/>
      <c r="B1835" s="13"/>
      <c r="C1835" s="13"/>
      <c r="D1835" s="13"/>
      <c r="E1835" s="12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2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</row>
    <row r="1836" spans="1:41" x14ac:dyDescent="0.2">
      <c r="A1836" s="13"/>
      <c r="B1836" s="13"/>
      <c r="C1836" s="13"/>
      <c r="D1836" s="13"/>
      <c r="E1836" s="12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2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</row>
    <row r="1837" spans="1:41" x14ac:dyDescent="0.2">
      <c r="A1837" s="13"/>
      <c r="B1837" s="13"/>
      <c r="C1837" s="13"/>
      <c r="D1837" s="13"/>
      <c r="E1837" s="12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2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</row>
    <row r="1838" spans="1:41" x14ac:dyDescent="0.2">
      <c r="A1838" s="13"/>
      <c r="B1838" s="13"/>
      <c r="C1838" s="13"/>
      <c r="D1838" s="13"/>
      <c r="E1838" s="12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2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</row>
    <row r="1839" spans="1:41" x14ac:dyDescent="0.2">
      <c r="A1839" s="13"/>
      <c r="B1839" s="13"/>
      <c r="C1839" s="13"/>
      <c r="D1839" s="13"/>
      <c r="E1839" s="12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2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</row>
    <row r="1840" spans="1:41" x14ac:dyDescent="0.2">
      <c r="A1840" s="13"/>
      <c r="B1840" s="13"/>
      <c r="C1840" s="13"/>
      <c r="D1840" s="13"/>
      <c r="E1840" s="12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2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</row>
    <row r="1841" spans="1:41" x14ac:dyDescent="0.2">
      <c r="A1841" s="13"/>
      <c r="B1841" s="13"/>
      <c r="C1841" s="13"/>
      <c r="D1841" s="13"/>
      <c r="E1841" s="12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2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</row>
    <row r="1842" spans="1:41" x14ac:dyDescent="0.2">
      <c r="A1842" s="13"/>
      <c r="B1842" s="13"/>
      <c r="C1842" s="13"/>
      <c r="D1842" s="13"/>
      <c r="E1842" s="12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2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</row>
    <row r="1843" spans="1:41" x14ac:dyDescent="0.2">
      <c r="A1843" s="13"/>
      <c r="B1843" s="13"/>
      <c r="C1843" s="13"/>
      <c r="D1843" s="13"/>
      <c r="E1843" s="12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2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</row>
    <row r="1844" spans="1:41" x14ac:dyDescent="0.2">
      <c r="A1844" s="13"/>
      <c r="B1844" s="13"/>
      <c r="C1844" s="13"/>
      <c r="D1844" s="13"/>
      <c r="E1844" s="12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2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</row>
    <row r="1845" spans="1:41" x14ac:dyDescent="0.2">
      <c r="A1845" s="13"/>
      <c r="B1845" s="13"/>
      <c r="C1845" s="13"/>
      <c r="D1845" s="13"/>
      <c r="E1845" s="12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2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</row>
    <row r="1846" spans="1:41" x14ac:dyDescent="0.2">
      <c r="A1846" s="13"/>
      <c r="B1846" s="13"/>
      <c r="C1846" s="13"/>
      <c r="D1846" s="13"/>
      <c r="E1846" s="12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2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</row>
    <row r="1847" spans="1:41" x14ac:dyDescent="0.2">
      <c r="A1847" s="13"/>
      <c r="B1847" s="13"/>
      <c r="C1847" s="13"/>
      <c r="D1847" s="13"/>
      <c r="E1847" s="12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2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</row>
    <row r="1848" spans="1:41" x14ac:dyDescent="0.2">
      <c r="A1848" s="13"/>
      <c r="B1848" s="13"/>
      <c r="C1848" s="13"/>
      <c r="D1848" s="13"/>
      <c r="E1848" s="12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2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</row>
    <row r="1849" spans="1:41" x14ac:dyDescent="0.2">
      <c r="A1849" s="13"/>
      <c r="B1849" s="13"/>
      <c r="C1849" s="13"/>
      <c r="D1849" s="13"/>
      <c r="E1849" s="12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2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</row>
    <row r="1850" spans="1:41" x14ac:dyDescent="0.2">
      <c r="A1850" s="13"/>
      <c r="B1850" s="13"/>
      <c r="C1850" s="13"/>
      <c r="D1850" s="13"/>
      <c r="E1850" s="12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2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</row>
    <row r="1851" spans="1:41" x14ac:dyDescent="0.2">
      <c r="A1851" s="13"/>
      <c r="B1851" s="13"/>
      <c r="C1851" s="13"/>
      <c r="D1851" s="13"/>
      <c r="E1851" s="12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2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</row>
    <row r="1852" spans="1:41" x14ac:dyDescent="0.2">
      <c r="A1852" s="13"/>
      <c r="B1852" s="13"/>
      <c r="C1852" s="13"/>
      <c r="D1852" s="13"/>
      <c r="E1852" s="12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2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</row>
    <row r="1853" spans="1:41" x14ac:dyDescent="0.2">
      <c r="A1853" s="13"/>
      <c r="B1853" s="13"/>
      <c r="C1853" s="13"/>
      <c r="D1853" s="13"/>
      <c r="E1853" s="12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2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</row>
    <row r="1854" spans="1:41" x14ac:dyDescent="0.2">
      <c r="A1854" s="13"/>
      <c r="B1854" s="13"/>
      <c r="C1854" s="13"/>
      <c r="D1854" s="13"/>
      <c r="E1854" s="12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2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</row>
    <row r="1855" spans="1:41" x14ac:dyDescent="0.2">
      <c r="A1855" s="13"/>
      <c r="B1855" s="13"/>
      <c r="C1855" s="13"/>
      <c r="D1855" s="13"/>
      <c r="E1855" s="12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2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</row>
    <row r="1856" spans="1:41" x14ac:dyDescent="0.2">
      <c r="A1856" s="13"/>
      <c r="B1856" s="13"/>
      <c r="C1856" s="13"/>
      <c r="D1856" s="13"/>
      <c r="E1856" s="12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2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</row>
    <row r="1857" spans="1:41" x14ac:dyDescent="0.2">
      <c r="A1857" s="13"/>
      <c r="B1857" s="13"/>
      <c r="C1857" s="13"/>
      <c r="D1857" s="13"/>
      <c r="E1857" s="12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2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</row>
    <row r="1858" spans="1:41" x14ac:dyDescent="0.2">
      <c r="A1858" s="13"/>
      <c r="B1858" s="13"/>
      <c r="C1858" s="13"/>
      <c r="D1858" s="13"/>
      <c r="E1858" s="12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2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</row>
    <row r="1859" spans="1:41" x14ac:dyDescent="0.2">
      <c r="A1859" s="13"/>
      <c r="B1859" s="13"/>
      <c r="C1859" s="13"/>
      <c r="D1859" s="13"/>
      <c r="E1859" s="12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2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</row>
    <row r="1860" spans="1:41" x14ac:dyDescent="0.2">
      <c r="A1860" s="13"/>
      <c r="B1860" s="13"/>
      <c r="C1860" s="13"/>
      <c r="D1860" s="13"/>
      <c r="E1860" s="12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2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</row>
    <row r="1861" spans="1:41" x14ac:dyDescent="0.2">
      <c r="A1861" s="13"/>
      <c r="B1861" s="13"/>
      <c r="C1861" s="13"/>
      <c r="D1861" s="13"/>
      <c r="E1861" s="12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2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</row>
    <row r="1862" spans="1:41" x14ac:dyDescent="0.2">
      <c r="A1862" s="13"/>
      <c r="B1862" s="13"/>
      <c r="C1862" s="13"/>
      <c r="D1862" s="13"/>
      <c r="E1862" s="12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2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</row>
    <row r="1863" spans="1:41" x14ac:dyDescent="0.2">
      <c r="A1863" s="13"/>
      <c r="B1863" s="13"/>
      <c r="C1863" s="13"/>
      <c r="D1863" s="13"/>
      <c r="E1863" s="12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2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</row>
    <row r="1864" spans="1:41" x14ac:dyDescent="0.2">
      <c r="A1864" s="13"/>
      <c r="B1864" s="13"/>
      <c r="C1864" s="13"/>
      <c r="D1864" s="13"/>
      <c r="E1864" s="12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2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</row>
    <row r="1865" spans="1:41" x14ac:dyDescent="0.2">
      <c r="A1865" s="13"/>
      <c r="B1865" s="13"/>
      <c r="C1865" s="13"/>
      <c r="D1865" s="13"/>
      <c r="E1865" s="12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2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</row>
    <row r="1866" spans="1:41" x14ac:dyDescent="0.2">
      <c r="A1866" s="13"/>
      <c r="B1866" s="13"/>
      <c r="C1866" s="13"/>
      <c r="D1866" s="13"/>
      <c r="E1866" s="12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2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</row>
    <row r="1867" spans="1:41" x14ac:dyDescent="0.2">
      <c r="A1867" s="13"/>
      <c r="B1867" s="13"/>
      <c r="C1867" s="13"/>
      <c r="D1867" s="13"/>
      <c r="E1867" s="12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2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</row>
    <row r="1868" spans="1:41" x14ac:dyDescent="0.2">
      <c r="A1868" s="13"/>
      <c r="B1868" s="13"/>
      <c r="C1868" s="13"/>
      <c r="D1868" s="13"/>
      <c r="E1868" s="12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2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</row>
    <row r="1869" spans="1:41" x14ac:dyDescent="0.2">
      <c r="A1869" s="13"/>
      <c r="B1869" s="13"/>
      <c r="C1869" s="13"/>
      <c r="D1869" s="13"/>
      <c r="E1869" s="12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2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</row>
    <row r="1870" spans="1:41" x14ac:dyDescent="0.2">
      <c r="A1870" s="13"/>
      <c r="B1870" s="13"/>
      <c r="C1870" s="13"/>
      <c r="D1870" s="13"/>
      <c r="E1870" s="12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2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</row>
    <row r="1871" spans="1:41" x14ac:dyDescent="0.2">
      <c r="A1871" s="13"/>
      <c r="B1871" s="13"/>
      <c r="C1871" s="13"/>
      <c r="D1871" s="13"/>
      <c r="E1871" s="12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2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</row>
    <row r="1872" spans="1:41" x14ac:dyDescent="0.2">
      <c r="A1872" s="13"/>
      <c r="B1872" s="13"/>
      <c r="C1872" s="13"/>
      <c r="D1872" s="13"/>
      <c r="E1872" s="12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2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</row>
    <row r="1873" spans="1:41" x14ac:dyDescent="0.2">
      <c r="A1873" s="13"/>
      <c r="B1873" s="13"/>
      <c r="C1873" s="13"/>
      <c r="D1873" s="13"/>
      <c r="E1873" s="12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2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</row>
    <row r="1874" spans="1:41" x14ac:dyDescent="0.2">
      <c r="A1874" s="13"/>
      <c r="B1874" s="13"/>
      <c r="C1874" s="13"/>
      <c r="D1874" s="13"/>
      <c r="E1874" s="12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2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</row>
    <row r="1875" spans="1:41" x14ac:dyDescent="0.2">
      <c r="A1875" s="13"/>
      <c r="B1875" s="13"/>
      <c r="C1875" s="13"/>
      <c r="D1875" s="13"/>
      <c r="E1875" s="12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2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</row>
    <row r="1876" spans="1:41" x14ac:dyDescent="0.2">
      <c r="A1876" s="13"/>
      <c r="B1876" s="13"/>
      <c r="C1876" s="13"/>
      <c r="D1876" s="13"/>
      <c r="E1876" s="12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2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</row>
    <row r="1877" spans="1:41" x14ac:dyDescent="0.2">
      <c r="A1877" s="13"/>
      <c r="B1877" s="13"/>
      <c r="C1877" s="13"/>
      <c r="D1877" s="13"/>
      <c r="E1877" s="12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2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</row>
    <row r="1878" spans="1:41" x14ac:dyDescent="0.2">
      <c r="A1878" s="13"/>
      <c r="B1878" s="13"/>
      <c r="C1878" s="13"/>
      <c r="D1878" s="13"/>
      <c r="E1878" s="12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2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</row>
    <row r="1879" spans="1:41" x14ac:dyDescent="0.2">
      <c r="A1879" s="13"/>
      <c r="B1879" s="13"/>
      <c r="C1879" s="13"/>
      <c r="D1879" s="13"/>
      <c r="E1879" s="12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2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</row>
    <row r="1880" spans="1:41" x14ac:dyDescent="0.2">
      <c r="A1880" s="13"/>
      <c r="B1880" s="13"/>
      <c r="C1880" s="13"/>
      <c r="D1880" s="13"/>
      <c r="E1880" s="12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2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</row>
    <row r="1881" spans="1:41" x14ac:dyDescent="0.2">
      <c r="A1881" s="13"/>
      <c r="B1881" s="13"/>
      <c r="C1881" s="13"/>
      <c r="D1881" s="13"/>
      <c r="E1881" s="12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2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</row>
    <row r="1882" spans="1:41" x14ac:dyDescent="0.2">
      <c r="A1882" s="13"/>
      <c r="B1882" s="13"/>
      <c r="C1882" s="13"/>
      <c r="D1882" s="13"/>
      <c r="E1882" s="12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2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</row>
    <row r="1883" spans="1:41" x14ac:dyDescent="0.2">
      <c r="A1883" s="13"/>
      <c r="B1883" s="13"/>
      <c r="C1883" s="13"/>
      <c r="D1883" s="13"/>
      <c r="E1883" s="12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2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</row>
    <row r="1884" spans="1:41" x14ac:dyDescent="0.2">
      <c r="A1884" s="13"/>
      <c r="B1884" s="13"/>
      <c r="C1884" s="13"/>
      <c r="D1884" s="13"/>
      <c r="E1884" s="12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2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</row>
    <row r="1885" spans="1:41" x14ac:dyDescent="0.2">
      <c r="A1885" s="13"/>
      <c r="B1885" s="13"/>
      <c r="C1885" s="13"/>
      <c r="D1885" s="13"/>
      <c r="E1885" s="12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2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</row>
    <row r="1886" spans="1:41" x14ac:dyDescent="0.2">
      <c r="A1886" s="13"/>
      <c r="B1886" s="13"/>
      <c r="C1886" s="13"/>
      <c r="D1886" s="13"/>
      <c r="E1886" s="12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2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</row>
    <row r="1887" spans="1:41" x14ac:dyDescent="0.2">
      <c r="A1887" s="13"/>
      <c r="B1887" s="13"/>
      <c r="C1887" s="13"/>
      <c r="D1887" s="13"/>
      <c r="E1887" s="12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2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</row>
    <row r="1888" spans="1:41" x14ac:dyDescent="0.2">
      <c r="A1888" s="13"/>
      <c r="B1888" s="13"/>
      <c r="C1888" s="13"/>
      <c r="D1888" s="13"/>
      <c r="E1888" s="12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2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</row>
    <row r="1889" spans="1:41" x14ac:dyDescent="0.2">
      <c r="A1889" s="13"/>
      <c r="B1889" s="13"/>
      <c r="C1889" s="13"/>
      <c r="D1889" s="13"/>
      <c r="E1889" s="12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2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</row>
    <row r="1890" spans="1:41" x14ac:dyDescent="0.2">
      <c r="A1890" s="13"/>
      <c r="B1890" s="13"/>
      <c r="C1890" s="13"/>
      <c r="D1890" s="13"/>
      <c r="E1890" s="12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2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</row>
    <row r="1891" spans="1:41" x14ac:dyDescent="0.2">
      <c r="A1891" s="13"/>
      <c r="B1891" s="13"/>
      <c r="C1891" s="13"/>
      <c r="D1891" s="13"/>
      <c r="E1891" s="12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2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</row>
    <row r="1892" spans="1:41" x14ac:dyDescent="0.2">
      <c r="A1892" s="13"/>
      <c r="B1892" s="13"/>
      <c r="C1892" s="13"/>
      <c r="D1892" s="13"/>
      <c r="E1892" s="12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2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</row>
    <row r="1893" spans="1:41" x14ac:dyDescent="0.2">
      <c r="A1893" s="13"/>
      <c r="B1893" s="13"/>
      <c r="C1893" s="13"/>
      <c r="D1893" s="13"/>
      <c r="E1893" s="12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2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</row>
    <row r="1894" spans="1:41" x14ac:dyDescent="0.2">
      <c r="A1894" s="13"/>
      <c r="B1894" s="13"/>
      <c r="C1894" s="13"/>
      <c r="D1894" s="13"/>
      <c r="E1894" s="12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2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</row>
    <row r="1895" spans="1:41" x14ac:dyDescent="0.2">
      <c r="A1895" s="13"/>
      <c r="B1895" s="13"/>
      <c r="C1895" s="13"/>
      <c r="D1895" s="13"/>
      <c r="E1895" s="12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2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</row>
    <row r="1896" spans="1:41" x14ac:dyDescent="0.2">
      <c r="A1896" s="13"/>
      <c r="B1896" s="13"/>
      <c r="C1896" s="13"/>
      <c r="D1896" s="13"/>
      <c r="E1896" s="12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2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</row>
    <row r="1897" spans="1:41" x14ac:dyDescent="0.2">
      <c r="A1897" s="13"/>
      <c r="B1897" s="13"/>
      <c r="C1897" s="13"/>
      <c r="D1897" s="13"/>
      <c r="E1897" s="12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2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</row>
    <row r="1898" spans="1:41" x14ac:dyDescent="0.2">
      <c r="A1898" s="13"/>
      <c r="B1898" s="13"/>
      <c r="C1898" s="13"/>
      <c r="D1898" s="13"/>
      <c r="E1898" s="12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2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</row>
    <row r="1899" spans="1:41" x14ac:dyDescent="0.2">
      <c r="A1899" s="13"/>
      <c r="B1899" s="13"/>
      <c r="C1899" s="13"/>
      <c r="D1899" s="13"/>
      <c r="E1899" s="12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2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</row>
    <row r="1900" spans="1:41" x14ac:dyDescent="0.2">
      <c r="A1900" s="13"/>
      <c r="B1900" s="13"/>
      <c r="C1900" s="13"/>
      <c r="D1900" s="13"/>
      <c r="E1900" s="12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2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</row>
    <row r="1901" spans="1:41" x14ac:dyDescent="0.2">
      <c r="A1901" s="13"/>
      <c r="B1901" s="13"/>
      <c r="C1901" s="13"/>
      <c r="D1901" s="13"/>
      <c r="E1901" s="12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2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</row>
    <row r="1902" spans="1:41" x14ac:dyDescent="0.2">
      <c r="A1902" s="13"/>
      <c r="B1902" s="13"/>
      <c r="C1902" s="13"/>
      <c r="D1902" s="13"/>
      <c r="E1902" s="12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2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</row>
    <row r="1903" spans="1:41" x14ac:dyDescent="0.2">
      <c r="A1903" s="13"/>
      <c r="B1903" s="13"/>
      <c r="C1903" s="13"/>
      <c r="D1903" s="13"/>
      <c r="E1903" s="12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2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</row>
    <row r="1904" spans="1:41" x14ac:dyDescent="0.2">
      <c r="A1904" s="13"/>
      <c r="B1904" s="13"/>
      <c r="C1904" s="13"/>
      <c r="D1904" s="13"/>
      <c r="E1904" s="12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2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</row>
    <row r="1905" spans="1:41" x14ac:dyDescent="0.2">
      <c r="A1905" s="13"/>
      <c r="B1905" s="13"/>
      <c r="C1905" s="13"/>
      <c r="D1905" s="13"/>
      <c r="E1905" s="12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2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</row>
    <row r="1906" spans="1:41" x14ac:dyDescent="0.2">
      <c r="A1906" s="13"/>
      <c r="B1906" s="13"/>
      <c r="C1906" s="13"/>
      <c r="D1906" s="13"/>
      <c r="E1906" s="12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2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</row>
    <row r="1907" spans="1:41" x14ac:dyDescent="0.2">
      <c r="A1907" s="13"/>
      <c r="B1907" s="13"/>
      <c r="C1907" s="13"/>
      <c r="D1907" s="13"/>
      <c r="E1907" s="12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2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</row>
    <row r="1908" spans="1:41" x14ac:dyDescent="0.2">
      <c r="A1908" s="13"/>
      <c r="B1908" s="13"/>
      <c r="C1908" s="13"/>
      <c r="D1908" s="13"/>
      <c r="E1908" s="12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2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</row>
    <row r="1909" spans="1:41" x14ac:dyDescent="0.2">
      <c r="A1909" s="13"/>
      <c r="B1909" s="13"/>
      <c r="C1909" s="13"/>
      <c r="D1909" s="13"/>
      <c r="E1909" s="12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2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</row>
    <row r="1910" spans="1:41" x14ac:dyDescent="0.2">
      <c r="A1910" s="13"/>
      <c r="B1910" s="13"/>
      <c r="C1910" s="13"/>
      <c r="D1910" s="13"/>
      <c r="E1910" s="12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2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</row>
    <row r="1911" spans="1:41" x14ac:dyDescent="0.2">
      <c r="A1911" s="13"/>
      <c r="B1911" s="13"/>
      <c r="C1911" s="13"/>
      <c r="D1911" s="13"/>
      <c r="E1911" s="12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2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</row>
    <row r="1912" spans="1:41" x14ac:dyDescent="0.2">
      <c r="A1912" s="13"/>
      <c r="B1912" s="13"/>
      <c r="C1912" s="13"/>
      <c r="D1912" s="13"/>
      <c r="E1912" s="12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2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</row>
    <row r="1913" spans="1:41" x14ac:dyDescent="0.2">
      <c r="A1913" s="13"/>
      <c r="B1913" s="13"/>
      <c r="C1913" s="13"/>
      <c r="D1913" s="13"/>
      <c r="E1913" s="12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2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</row>
    <row r="1914" spans="1:41" x14ac:dyDescent="0.2">
      <c r="A1914" s="13"/>
      <c r="B1914" s="13"/>
      <c r="C1914" s="13"/>
      <c r="D1914" s="13"/>
      <c r="E1914" s="12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2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</row>
    <row r="1915" spans="1:41" x14ac:dyDescent="0.2">
      <c r="A1915" s="13"/>
      <c r="B1915" s="13"/>
      <c r="C1915" s="13"/>
      <c r="D1915" s="13"/>
      <c r="E1915" s="12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2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</row>
    <row r="1916" spans="1:41" x14ac:dyDescent="0.2">
      <c r="A1916" s="13"/>
      <c r="B1916" s="13"/>
      <c r="C1916" s="13"/>
      <c r="D1916" s="13"/>
      <c r="E1916" s="12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2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</row>
    <row r="1917" spans="1:41" x14ac:dyDescent="0.2">
      <c r="A1917" s="13"/>
      <c r="B1917" s="13"/>
      <c r="C1917" s="13"/>
      <c r="D1917" s="13"/>
      <c r="E1917" s="12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2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</row>
    <row r="1918" spans="1:41" x14ac:dyDescent="0.2">
      <c r="A1918" s="13"/>
      <c r="B1918" s="13"/>
      <c r="C1918" s="13"/>
      <c r="D1918" s="13"/>
      <c r="E1918" s="12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2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</row>
    <row r="1919" spans="1:41" x14ac:dyDescent="0.2">
      <c r="A1919" s="13"/>
      <c r="B1919" s="13"/>
      <c r="C1919" s="13"/>
      <c r="D1919" s="13"/>
      <c r="E1919" s="12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2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</row>
    <row r="1920" spans="1:41" x14ac:dyDescent="0.2">
      <c r="A1920" s="13"/>
      <c r="B1920" s="13"/>
      <c r="C1920" s="13"/>
      <c r="D1920" s="13"/>
      <c r="E1920" s="12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2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</row>
    <row r="1921" spans="1:41" x14ac:dyDescent="0.2">
      <c r="A1921" s="13"/>
      <c r="B1921" s="13"/>
      <c r="C1921" s="13"/>
      <c r="D1921" s="13"/>
      <c r="E1921" s="12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2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</row>
    <row r="1922" spans="1:41" x14ac:dyDescent="0.2">
      <c r="A1922" s="13"/>
      <c r="B1922" s="13"/>
      <c r="C1922" s="13"/>
      <c r="D1922" s="13"/>
      <c r="E1922" s="12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2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</row>
    <row r="1923" spans="1:41" x14ac:dyDescent="0.2">
      <c r="A1923" s="13"/>
      <c r="B1923" s="13"/>
      <c r="C1923" s="13"/>
      <c r="D1923" s="13"/>
      <c r="E1923" s="12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2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</row>
    <row r="1924" spans="1:41" x14ac:dyDescent="0.2">
      <c r="A1924" s="13"/>
      <c r="B1924" s="13"/>
      <c r="C1924" s="13"/>
      <c r="D1924" s="13"/>
      <c r="E1924" s="12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2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</row>
    <row r="1925" spans="1:41" x14ac:dyDescent="0.2">
      <c r="A1925" s="13"/>
      <c r="B1925" s="13"/>
      <c r="C1925" s="13"/>
      <c r="D1925" s="13"/>
      <c r="E1925" s="12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2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</row>
    <row r="1926" spans="1:41" x14ac:dyDescent="0.2">
      <c r="A1926" s="13"/>
      <c r="B1926" s="13"/>
      <c r="C1926" s="13"/>
      <c r="D1926" s="13"/>
      <c r="E1926" s="12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2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</row>
    <row r="1927" spans="1:41" x14ac:dyDescent="0.2">
      <c r="A1927" s="13"/>
      <c r="B1927" s="13"/>
      <c r="C1927" s="13"/>
      <c r="D1927" s="13"/>
      <c r="E1927" s="12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2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</row>
    <row r="1928" spans="1:41" x14ac:dyDescent="0.2">
      <c r="A1928" s="13"/>
      <c r="B1928" s="13"/>
      <c r="C1928" s="13"/>
      <c r="D1928" s="13"/>
      <c r="E1928" s="12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2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</row>
    <row r="1929" spans="1:41" x14ac:dyDescent="0.2">
      <c r="A1929" s="13"/>
      <c r="B1929" s="13"/>
      <c r="C1929" s="13"/>
      <c r="D1929" s="13"/>
      <c r="E1929" s="12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2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</row>
    <row r="1930" spans="1:41" x14ac:dyDescent="0.2">
      <c r="A1930" s="13"/>
      <c r="B1930" s="13"/>
      <c r="C1930" s="13"/>
      <c r="D1930" s="13"/>
      <c r="E1930" s="12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2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</row>
    <row r="1931" spans="1:41" x14ac:dyDescent="0.2">
      <c r="A1931" s="13"/>
      <c r="B1931" s="13"/>
      <c r="C1931" s="13"/>
      <c r="D1931" s="13"/>
      <c r="E1931" s="12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2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</row>
    <row r="1932" spans="1:41" x14ac:dyDescent="0.2">
      <c r="A1932" s="13"/>
      <c r="B1932" s="13"/>
      <c r="C1932" s="13"/>
      <c r="D1932" s="13"/>
      <c r="E1932" s="12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2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</row>
    <row r="1933" spans="1:41" x14ac:dyDescent="0.2">
      <c r="A1933" s="13"/>
      <c r="B1933" s="13"/>
      <c r="C1933" s="13"/>
      <c r="D1933" s="13"/>
      <c r="E1933" s="12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2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</row>
    <row r="1934" spans="1:41" x14ac:dyDescent="0.2">
      <c r="A1934" s="13"/>
      <c r="B1934" s="13"/>
      <c r="C1934" s="13"/>
      <c r="D1934" s="13"/>
      <c r="E1934" s="12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2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</row>
    <row r="1935" spans="1:41" x14ac:dyDescent="0.2">
      <c r="A1935" s="13"/>
      <c r="B1935" s="13"/>
      <c r="C1935" s="13"/>
      <c r="D1935" s="13"/>
      <c r="E1935" s="12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2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</row>
    <row r="1936" spans="1:41" x14ac:dyDescent="0.2">
      <c r="A1936" s="13"/>
      <c r="B1936" s="13"/>
      <c r="C1936" s="13"/>
      <c r="D1936" s="13"/>
      <c r="E1936" s="12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2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</row>
    <row r="1937" spans="1:41" x14ac:dyDescent="0.2">
      <c r="A1937" s="13"/>
      <c r="B1937" s="13"/>
      <c r="C1937" s="13"/>
      <c r="D1937" s="13"/>
      <c r="E1937" s="12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2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</row>
    <row r="1938" spans="1:41" x14ac:dyDescent="0.2">
      <c r="A1938" s="13"/>
      <c r="B1938" s="13"/>
      <c r="C1938" s="13"/>
      <c r="D1938" s="13"/>
      <c r="E1938" s="12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2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</row>
    <row r="1939" spans="1:41" x14ac:dyDescent="0.2">
      <c r="A1939" s="13"/>
      <c r="B1939" s="13"/>
      <c r="C1939" s="13"/>
      <c r="D1939" s="13"/>
      <c r="E1939" s="12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2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</row>
    <row r="1940" spans="1:41" x14ac:dyDescent="0.2">
      <c r="A1940" s="13"/>
      <c r="B1940" s="13"/>
      <c r="C1940" s="13"/>
      <c r="D1940" s="13"/>
      <c r="E1940" s="12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2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</row>
    <row r="1941" spans="1:41" x14ac:dyDescent="0.2">
      <c r="A1941" s="13"/>
      <c r="B1941" s="13"/>
      <c r="C1941" s="13"/>
      <c r="D1941" s="13"/>
      <c r="E1941" s="12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2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</row>
    <row r="1942" spans="1:41" x14ac:dyDescent="0.2">
      <c r="A1942" s="13"/>
      <c r="B1942" s="13"/>
      <c r="C1942" s="13"/>
      <c r="D1942" s="13"/>
      <c r="E1942" s="12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2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</row>
    <row r="1943" spans="1:41" x14ac:dyDescent="0.2">
      <c r="A1943" s="13"/>
      <c r="B1943" s="13"/>
      <c r="C1943" s="13"/>
      <c r="D1943" s="13"/>
      <c r="E1943" s="12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2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</row>
    <row r="1944" spans="1:41" x14ac:dyDescent="0.2">
      <c r="A1944" s="13"/>
      <c r="B1944" s="13"/>
      <c r="C1944" s="13"/>
      <c r="D1944" s="13"/>
      <c r="E1944" s="12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2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</row>
    <row r="1945" spans="1:41" x14ac:dyDescent="0.2">
      <c r="A1945" s="13"/>
      <c r="B1945" s="13"/>
      <c r="C1945" s="13"/>
      <c r="D1945" s="13"/>
      <c r="E1945" s="12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2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</row>
    <row r="1946" spans="1:41" x14ac:dyDescent="0.2">
      <c r="A1946" s="13"/>
      <c r="B1946" s="13"/>
      <c r="C1946" s="13"/>
      <c r="D1946" s="13"/>
      <c r="E1946" s="12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2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</row>
    <row r="1947" spans="1:41" x14ac:dyDescent="0.2">
      <c r="A1947" s="13"/>
      <c r="B1947" s="13"/>
      <c r="C1947" s="13"/>
      <c r="D1947" s="13"/>
      <c r="E1947" s="12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2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</row>
    <row r="1948" spans="1:41" x14ac:dyDescent="0.2">
      <c r="A1948" s="13"/>
      <c r="B1948" s="13"/>
      <c r="C1948" s="13"/>
      <c r="D1948" s="13"/>
      <c r="E1948" s="12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2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</row>
    <row r="1949" spans="1:41" x14ac:dyDescent="0.2">
      <c r="A1949" s="13"/>
      <c r="B1949" s="13"/>
      <c r="C1949" s="13"/>
      <c r="D1949" s="13"/>
      <c r="E1949" s="12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2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</row>
    <row r="1950" spans="1:41" x14ac:dyDescent="0.2">
      <c r="A1950" s="13"/>
      <c r="B1950" s="13"/>
      <c r="C1950" s="13"/>
      <c r="D1950" s="13"/>
      <c r="E1950" s="12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2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</row>
    <row r="1951" spans="1:41" x14ac:dyDescent="0.2">
      <c r="A1951" s="13"/>
      <c r="B1951" s="13"/>
      <c r="C1951" s="13"/>
      <c r="D1951" s="13"/>
      <c r="E1951" s="12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2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</row>
    <row r="1952" spans="1:41" x14ac:dyDescent="0.2">
      <c r="A1952" s="13"/>
      <c r="B1952" s="13"/>
      <c r="C1952" s="13"/>
      <c r="D1952" s="13"/>
      <c r="E1952" s="12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2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</row>
    <row r="1953" spans="1:41" x14ac:dyDescent="0.2">
      <c r="A1953" s="13"/>
      <c r="B1953" s="13"/>
      <c r="C1953" s="13"/>
      <c r="D1953" s="13"/>
      <c r="E1953" s="12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2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</row>
    <row r="1954" spans="1:41" x14ac:dyDescent="0.2">
      <c r="A1954" s="13"/>
      <c r="B1954" s="13"/>
      <c r="C1954" s="13"/>
      <c r="D1954" s="13"/>
      <c r="E1954" s="12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2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</row>
    <row r="1955" spans="1:41" x14ac:dyDescent="0.2">
      <c r="A1955" s="13"/>
      <c r="B1955" s="13"/>
      <c r="C1955" s="13"/>
      <c r="D1955" s="13"/>
      <c r="E1955" s="12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2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</row>
    <row r="1956" spans="1:41" x14ac:dyDescent="0.2">
      <c r="A1956" s="13"/>
      <c r="B1956" s="13"/>
      <c r="C1956" s="13"/>
      <c r="D1956" s="13"/>
      <c r="E1956" s="12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2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</row>
    <row r="1957" spans="1:41" x14ac:dyDescent="0.2">
      <c r="A1957" s="13"/>
      <c r="B1957" s="13"/>
      <c r="C1957" s="13"/>
      <c r="D1957" s="13"/>
      <c r="E1957" s="12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2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</row>
    <row r="1958" spans="1:41" x14ac:dyDescent="0.2">
      <c r="A1958" s="13"/>
      <c r="B1958" s="13"/>
      <c r="C1958" s="13"/>
      <c r="D1958" s="13"/>
      <c r="E1958" s="12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2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</row>
    <row r="1959" spans="1:41" x14ac:dyDescent="0.2">
      <c r="A1959" s="13"/>
      <c r="B1959" s="13"/>
      <c r="C1959" s="13"/>
      <c r="D1959" s="13"/>
      <c r="E1959" s="12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2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</row>
    <row r="1960" spans="1:41" x14ac:dyDescent="0.2">
      <c r="A1960" s="13"/>
      <c r="B1960" s="13"/>
      <c r="C1960" s="13"/>
      <c r="D1960" s="13"/>
      <c r="E1960" s="12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2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</row>
    <row r="1961" spans="1:41" x14ac:dyDescent="0.2">
      <c r="A1961" s="13"/>
      <c r="B1961" s="13"/>
      <c r="C1961" s="13"/>
      <c r="D1961" s="13"/>
      <c r="E1961" s="12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2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</row>
    <row r="1962" spans="1:41" x14ac:dyDescent="0.2">
      <c r="A1962" s="13"/>
      <c r="B1962" s="13"/>
      <c r="C1962" s="13"/>
      <c r="D1962" s="13"/>
      <c r="E1962" s="12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2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</row>
    <row r="1963" spans="1:41" x14ac:dyDescent="0.2">
      <c r="A1963" s="13"/>
      <c r="B1963" s="13"/>
      <c r="C1963" s="13"/>
      <c r="D1963" s="13"/>
      <c r="E1963" s="12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2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</row>
    <row r="1964" spans="1:41" x14ac:dyDescent="0.2">
      <c r="A1964" s="13"/>
      <c r="B1964" s="13"/>
      <c r="C1964" s="13"/>
      <c r="D1964" s="13"/>
      <c r="E1964" s="12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2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</row>
    <row r="1965" spans="1:41" x14ac:dyDescent="0.2">
      <c r="A1965" s="13"/>
      <c r="B1965" s="13"/>
      <c r="C1965" s="13"/>
      <c r="D1965" s="13"/>
      <c r="E1965" s="12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2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</row>
    <row r="1966" spans="1:41" x14ac:dyDescent="0.2">
      <c r="A1966" s="13"/>
      <c r="B1966" s="13"/>
      <c r="C1966" s="13"/>
      <c r="D1966" s="13"/>
      <c r="E1966" s="12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2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</row>
    <row r="1967" spans="1:41" x14ac:dyDescent="0.2">
      <c r="A1967" s="13"/>
      <c r="B1967" s="13"/>
      <c r="C1967" s="13"/>
      <c r="D1967" s="13"/>
      <c r="E1967" s="12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2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</row>
    <row r="1968" spans="1:41" x14ac:dyDescent="0.2">
      <c r="A1968" s="13"/>
      <c r="B1968" s="13"/>
      <c r="C1968" s="13"/>
      <c r="D1968" s="13"/>
      <c r="E1968" s="12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2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</row>
    <row r="1969" spans="1:41" x14ac:dyDescent="0.2">
      <c r="A1969" s="13"/>
      <c r="B1969" s="13"/>
      <c r="C1969" s="13"/>
      <c r="D1969" s="13"/>
      <c r="E1969" s="12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2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</row>
    <row r="1970" spans="1:41" x14ac:dyDescent="0.2">
      <c r="A1970" s="13"/>
      <c r="B1970" s="13"/>
      <c r="C1970" s="13"/>
      <c r="D1970" s="13"/>
      <c r="E1970" s="12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2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</row>
    <row r="1971" spans="1:41" x14ac:dyDescent="0.2">
      <c r="A1971" s="13"/>
      <c r="B1971" s="13"/>
      <c r="C1971" s="13"/>
      <c r="D1971" s="13"/>
      <c r="E1971" s="12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2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</row>
    <row r="1972" spans="1:41" x14ac:dyDescent="0.2">
      <c r="A1972" s="13"/>
      <c r="B1972" s="13"/>
      <c r="C1972" s="13"/>
      <c r="D1972" s="13"/>
      <c r="E1972" s="12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2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</row>
    <row r="1973" spans="1:41" x14ac:dyDescent="0.2">
      <c r="A1973" s="13"/>
      <c r="B1973" s="13"/>
      <c r="C1973" s="13"/>
      <c r="D1973" s="13"/>
      <c r="E1973" s="12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2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</row>
    <row r="1974" spans="1:41" x14ac:dyDescent="0.2">
      <c r="A1974" s="13"/>
      <c r="B1974" s="13"/>
      <c r="C1974" s="13"/>
      <c r="D1974" s="13"/>
      <c r="E1974" s="12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2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</row>
    <row r="1975" spans="1:41" x14ac:dyDescent="0.2">
      <c r="A1975" s="13"/>
      <c r="B1975" s="13"/>
      <c r="C1975" s="13"/>
      <c r="D1975" s="13"/>
      <c r="E1975" s="12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2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</row>
    <row r="1976" spans="1:41" x14ac:dyDescent="0.2">
      <c r="A1976" s="13"/>
      <c r="B1976" s="13"/>
      <c r="C1976" s="13"/>
      <c r="D1976" s="13"/>
      <c r="E1976" s="12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2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</row>
    <row r="1977" spans="1:41" x14ac:dyDescent="0.2">
      <c r="A1977" s="13"/>
      <c r="B1977" s="13"/>
      <c r="C1977" s="13"/>
      <c r="D1977" s="13"/>
      <c r="E1977" s="12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2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</row>
    <row r="1978" spans="1:41" x14ac:dyDescent="0.2">
      <c r="A1978" s="13"/>
      <c r="B1978" s="13"/>
      <c r="C1978" s="13"/>
      <c r="D1978" s="13"/>
      <c r="E1978" s="12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2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</row>
    <row r="1979" spans="1:41" x14ac:dyDescent="0.2">
      <c r="A1979" s="13"/>
      <c r="B1979" s="13"/>
      <c r="C1979" s="13"/>
      <c r="D1979" s="13"/>
      <c r="E1979" s="12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2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</row>
    <row r="1980" spans="1:41" x14ac:dyDescent="0.2">
      <c r="A1980" s="13"/>
      <c r="B1980" s="13"/>
      <c r="C1980" s="13"/>
      <c r="D1980" s="13"/>
      <c r="E1980" s="12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2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</row>
    <row r="1981" spans="1:41" x14ac:dyDescent="0.2">
      <c r="A1981" s="13"/>
      <c r="B1981" s="13"/>
      <c r="C1981" s="13"/>
      <c r="D1981" s="13"/>
      <c r="E1981" s="12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2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</row>
    <row r="1982" spans="1:41" x14ac:dyDescent="0.2">
      <c r="A1982" s="13"/>
      <c r="B1982" s="13"/>
      <c r="C1982" s="13"/>
      <c r="D1982" s="13"/>
      <c r="E1982" s="12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2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</row>
    <row r="1983" spans="1:41" x14ac:dyDescent="0.2">
      <c r="A1983" s="13"/>
      <c r="B1983" s="13"/>
      <c r="C1983" s="13"/>
      <c r="D1983" s="13"/>
      <c r="E1983" s="12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2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</row>
    <row r="1984" spans="1:41" x14ac:dyDescent="0.2">
      <c r="A1984" s="13"/>
      <c r="B1984" s="13"/>
      <c r="C1984" s="13"/>
      <c r="D1984" s="13"/>
      <c r="E1984" s="12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2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</row>
    <row r="1985" spans="1:41" x14ac:dyDescent="0.2">
      <c r="A1985" s="13"/>
      <c r="B1985" s="13"/>
      <c r="C1985" s="13"/>
      <c r="D1985" s="13"/>
      <c r="E1985" s="12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2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</row>
    <row r="1986" spans="1:41" x14ac:dyDescent="0.2">
      <c r="A1986" s="13"/>
      <c r="B1986" s="13"/>
      <c r="C1986" s="13"/>
      <c r="D1986" s="13"/>
      <c r="E1986" s="12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2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</row>
    <row r="1987" spans="1:41" x14ac:dyDescent="0.2">
      <c r="A1987" s="13"/>
      <c r="B1987" s="13"/>
      <c r="C1987" s="13"/>
      <c r="D1987" s="13"/>
      <c r="E1987" s="12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2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</row>
    <row r="1988" spans="1:41" x14ac:dyDescent="0.2">
      <c r="A1988" s="13"/>
      <c r="B1988" s="13"/>
      <c r="C1988" s="13"/>
      <c r="D1988" s="13"/>
      <c r="E1988" s="12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2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</row>
    <row r="1989" spans="1:41" x14ac:dyDescent="0.2">
      <c r="A1989" s="13"/>
      <c r="B1989" s="13"/>
      <c r="C1989" s="13"/>
      <c r="D1989" s="13"/>
      <c r="E1989" s="12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2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</row>
    <row r="1990" spans="1:41" x14ac:dyDescent="0.2">
      <c r="A1990" s="13"/>
      <c r="B1990" s="13"/>
      <c r="C1990" s="13"/>
      <c r="D1990" s="13"/>
      <c r="E1990" s="12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2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</row>
    <row r="1991" spans="1:41" x14ac:dyDescent="0.2">
      <c r="A1991" s="13"/>
      <c r="B1991" s="13"/>
      <c r="C1991" s="13"/>
      <c r="D1991" s="13"/>
      <c r="E1991" s="12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2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</row>
    <row r="1992" spans="1:41" x14ac:dyDescent="0.2">
      <c r="A1992" s="13"/>
      <c r="B1992" s="13"/>
      <c r="C1992" s="13"/>
      <c r="D1992" s="13"/>
      <c r="E1992" s="12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2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</row>
    <row r="1993" spans="1:41" x14ac:dyDescent="0.2">
      <c r="A1993" s="13"/>
      <c r="B1993" s="13"/>
      <c r="C1993" s="13"/>
      <c r="D1993" s="13"/>
      <c r="E1993" s="12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2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</row>
    <row r="1994" spans="1:41" x14ac:dyDescent="0.2">
      <c r="A1994" s="13"/>
      <c r="B1994" s="13"/>
      <c r="C1994" s="13"/>
      <c r="D1994" s="13"/>
      <c r="E1994" s="12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2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</row>
    <row r="1995" spans="1:41" x14ac:dyDescent="0.2">
      <c r="A1995" s="13"/>
      <c r="B1995" s="13"/>
      <c r="C1995" s="13"/>
      <c r="D1995" s="13"/>
      <c r="E1995" s="12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2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</row>
    <row r="1996" spans="1:41" x14ac:dyDescent="0.2">
      <c r="A1996" s="13"/>
      <c r="B1996" s="13"/>
      <c r="C1996" s="13"/>
      <c r="D1996" s="13"/>
      <c r="E1996" s="12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2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</row>
    <row r="1997" spans="1:41" x14ac:dyDescent="0.2">
      <c r="A1997" s="13"/>
      <c r="B1997" s="13"/>
      <c r="C1997" s="13"/>
      <c r="D1997" s="13"/>
      <c r="E1997" s="12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2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</row>
    <row r="1998" spans="1:41" x14ac:dyDescent="0.2">
      <c r="A1998" s="13"/>
      <c r="B1998" s="13"/>
      <c r="C1998" s="13"/>
      <c r="D1998" s="13"/>
      <c r="E1998" s="12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2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</row>
    <row r="1999" spans="1:41" x14ac:dyDescent="0.2">
      <c r="A1999" s="13"/>
      <c r="B1999" s="13"/>
      <c r="C1999" s="13"/>
      <c r="D1999" s="13"/>
      <c r="E1999" s="12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2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</row>
    <row r="2000" spans="1:41" x14ac:dyDescent="0.2">
      <c r="A2000" s="13"/>
      <c r="B2000" s="13"/>
      <c r="C2000" s="13"/>
      <c r="D2000" s="13"/>
      <c r="E2000" s="12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2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</row>
    <row r="2001" spans="1:41" x14ac:dyDescent="0.2">
      <c r="A2001" s="13"/>
      <c r="B2001" s="13"/>
      <c r="C2001" s="13"/>
      <c r="D2001" s="13"/>
      <c r="E2001" s="12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2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</row>
    <row r="2002" spans="1:41" x14ac:dyDescent="0.2">
      <c r="A2002" s="13"/>
      <c r="B2002" s="13"/>
      <c r="C2002" s="13"/>
      <c r="D2002" s="13"/>
      <c r="E2002" s="12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2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</row>
    <row r="2003" spans="1:41" x14ac:dyDescent="0.2">
      <c r="A2003" s="13"/>
      <c r="B2003" s="13"/>
      <c r="C2003" s="13"/>
      <c r="D2003" s="13"/>
      <c r="E2003" s="12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2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</row>
    <row r="2004" spans="1:41" x14ac:dyDescent="0.2">
      <c r="A2004" s="13"/>
      <c r="B2004" s="13"/>
      <c r="C2004" s="13"/>
      <c r="D2004" s="13"/>
      <c r="E2004" s="12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2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</row>
    <row r="2005" spans="1:41" x14ac:dyDescent="0.2">
      <c r="A2005" s="13"/>
      <c r="B2005" s="13"/>
      <c r="C2005" s="13"/>
      <c r="D2005" s="13"/>
      <c r="E2005" s="12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2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</row>
    <row r="2006" spans="1:41" x14ac:dyDescent="0.2">
      <c r="A2006" s="13"/>
      <c r="B2006" s="13"/>
      <c r="C2006" s="13"/>
      <c r="D2006" s="13"/>
      <c r="E2006" s="12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2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</row>
    <row r="2007" spans="1:41" x14ac:dyDescent="0.2">
      <c r="A2007" s="13"/>
      <c r="B2007" s="13"/>
      <c r="C2007" s="13"/>
      <c r="D2007" s="13"/>
      <c r="E2007" s="12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2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</row>
    <row r="2008" spans="1:41" x14ac:dyDescent="0.2">
      <c r="A2008" s="13"/>
      <c r="B2008" s="13"/>
      <c r="C2008" s="13"/>
      <c r="D2008" s="13"/>
      <c r="E2008" s="12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2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</row>
    <row r="2009" spans="1:41" x14ac:dyDescent="0.2">
      <c r="A2009" s="13"/>
      <c r="B2009" s="13"/>
      <c r="C2009" s="13"/>
      <c r="D2009" s="13"/>
      <c r="E2009" s="12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2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</row>
    <row r="2010" spans="1:41" x14ac:dyDescent="0.2">
      <c r="A2010" s="13"/>
      <c r="B2010" s="13"/>
      <c r="C2010" s="13"/>
      <c r="D2010" s="13"/>
      <c r="E2010" s="12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2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</row>
    <row r="2011" spans="1:41" x14ac:dyDescent="0.2">
      <c r="A2011" s="13"/>
      <c r="B2011" s="13"/>
      <c r="C2011" s="13"/>
      <c r="D2011" s="13"/>
      <c r="E2011" s="12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2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</row>
    <row r="2012" spans="1:41" x14ac:dyDescent="0.2">
      <c r="A2012" s="13"/>
      <c r="B2012" s="13"/>
      <c r="C2012" s="13"/>
      <c r="D2012" s="13"/>
      <c r="E2012" s="12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2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</row>
    <row r="2013" spans="1:41" x14ac:dyDescent="0.2">
      <c r="A2013" s="13"/>
      <c r="B2013" s="13"/>
      <c r="C2013" s="13"/>
      <c r="D2013" s="13"/>
      <c r="E2013" s="12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2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</row>
    <row r="2014" spans="1:41" x14ac:dyDescent="0.2">
      <c r="A2014" s="13"/>
      <c r="B2014" s="13"/>
      <c r="C2014" s="13"/>
      <c r="D2014" s="13"/>
      <c r="E2014" s="12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2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</row>
    <row r="2015" spans="1:41" x14ac:dyDescent="0.2">
      <c r="A2015" s="13"/>
      <c r="B2015" s="13"/>
      <c r="C2015" s="13"/>
      <c r="D2015" s="13"/>
      <c r="E2015" s="12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2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</row>
    <row r="2016" spans="1:41" x14ac:dyDescent="0.2">
      <c r="A2016" s="13"/>
      <c r="B2016" s="13"/>
      <c r="C2016" s="13"/>
      <c r="D2016" s="13"/>
      <c r="E2016" s="12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2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</row>
    <row r="2017" spans="1:41" x14ac:dyDescent="0.2">
      <c r="A2017" s="13"/>
      <c r="B2017" s="13"/>
      <c r="C2017" s="13"/>
      <c r="D2017" s="13"/>
      <c r="E2017" s="12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2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</row>
    <row r="2018" spans="1:41" x14ac:dyDescent="0.2">
      <c r="A2018" s="13"/>
      <c r="B2018" s="13"/>
      <c r="C2018" s="13"/>
      <c r="D2018" s="13"/>
      <c r="E2018" s="12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2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</row>
    <row r="2019" spans="1:41" x14ac:dyDescent="0.2">
      <c r="A2019" s="13"/>
      <c r="B2019" s="13"/>
      <c r="C2019" s="13"/>
      <c r="D2019" s="13"/>
      <c r="E2019" s="12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2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</row>
    <row r="2020" spans="1:41" x14ac:dyDescent="0.2">
      <c r="A2020" s="13"/>
      <c r="B2020" s="13"/>
      <c r="C2020" s="13"/>
      <c r="D2020" s="13"/>
      <c r="E2020" s="12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2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</row>
    <row r="2021" spans="1:41" x14ac:dyDescent="0.2">
      <c r="A2021" s="13"/>
      <c r="B2021" s="13"/>
      <c r="C2021" s="13"/>
      <c r="D2021" s="13"/>
      <c r="E2021" s="12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2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</row>
    <row r="2022" spans="1:41" x14ac:dyDescent="0.2">
      <c r="A2022" s="13"/>
      <c r="B2022" s="13"/>
      <c r="C2022" s="13"/>
      <c r="D2022" s="13"/>
      <c r="E2022" s="12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2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</row>
    <row r="2023" spans="1:41" x14ac:dyDescent="0.2">
      <c r="A2023" s="13"/>
      <c r="B2023" s="13"/>
      <c r="C2023" s="13"/>
      <c r="D2023" s="13"/>
      <c r="E2023" s="12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2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</row>
    <row r="2024" spans="1:41" x14ac:dyDescent="0.2">
      <c r="A2024" s="13"/>
      <c r="B2024" s="13"/>
      <c r="C2024" s="13"/>
      <c r="D2024" s="13"/>
      <c r="E2024" s="12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2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</row>
    <row r="2025" spans="1:41" x14ac:dyDescent="0.2">
      <c r="A2025" s="13"/>
      <c r="B2025" s="13"/>
      <c r="C2025" s="13"/>
      <c r="D2025" s="13"/>
      <c r="E2025" s="12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2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</row>
    <row r="2026" spans="1:41" x14ac:dyDescent="0.2">
      <c r="A2026" s="13"/>
      <c r="B2026" s="13"/>
      <c r="C2026" s="13"/>
      <c r="D2026" s="13"/>
      <c r="E2026" s="12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2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</row>
    <row r="2027" spans="1:41" x14ac:dyDescent="0.2">
      <c r="A2027" s="13"/>
      <c r="B2027" s="13"/>
      <c r="C2027" s="13"/>
      <c r="D2027" s="13"/>
      <c r="E2027" s="12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2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</row>
    <row r="2028" spans="1:41" x14ac:dyDescent="0.2">
      <c r="A2028" s="13"/>
      <c r="B2028" s="13"/>
      <c r="C2028" s="13"/>
      <c r="D2028" s="13"/>
      <c r="E2028" s="12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2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</row>
    <row r="2029" spans="1:41" x14ac:dyDescent="0.2">
      <c r="A2029" s="13"/>
      <c r="B2029" s="13"/>
      <c r="C2029" s="13"/>
      <c r="D2029" s="13"/>
      <c r="E2029" s="12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2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</row>
    <row r="2030" spans="1:41" x14ac:dyDescent="0.2">
      <c r="A2030" s="13"/>
      <c r="B2030" s="13"/>
      <c r="C2030" s="13"/>
      <c r="D2030" s="13"/>
      <c r="E2030" s="12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2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</row>
    <row r="2031" spans="1:41" x14ac:dyDescent="0.2">
      <c r="A2031" s="13"/>
      <c r="B2031" s="13"/>
      <c r="C2031" s="13"/>
      <c r="D2031" s="13"/>
      <c r="E2031" s="12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2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</row>
    <row r="2032" spans="1:41" x14ac:dyDescent="0.2">
      <c r="A2032" s="13"/>
      <c r="B2032" s="13"/>
      <c r="C2032" s="13"/>
      <c r="D2032" s="13"/>
      <c r="E2032" s="12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2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</row>
    <row r="2033" spans="1:41" x14ac:dyDescent="0.2">
      <c r="A2033" s="13"/>
      <c r="B2033" s="13"/>
      <c r="C2033" s="13"/>
      <c r="D2033" s="13"/>
      <c r="E2033" s="12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2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</row>
    <row r="2034" spans="1:41" x14ac:dyDescent="0.2">
      <c r="A2034" s="13"/>
      <c r="B2034" s="13"/>
      <c r="C2034" s="13"/>
      <c r="D2034" s="13"/>
      <c r="E2034" s="12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2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</row>
    <row r="2035" spans="1:41" x14ac:dyDescent="0.2">
      <c r="A2035" s="13"/>
      <c r="B2035" s="13"/>
      <c r="C2035" s="13"/>
      <c r="D2035" s="13"/>
      <c r="E2035" s="12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2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</row>
    <row r="2036" spans="1:41" x14ac:dyDescent="0.2">
      <c r="A2036" s="13"/>
      <c r="B2036" s="13"/>
      <c r="C2036" s="13"/>
      <c r="D2036" s="13"/>
      <c r="E2036" s="12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2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</row>
    <row r="2037" spans="1:41" x14ac:dyDescent="0.2">
      <c r="A2037" s="13"/>
      <c r="B2037" s="13"/>
      <c r="C2037" s="13"/>
      <c r="D2037" s="13"/>
      <c r="E2037" s="12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2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</row>
    <row r="2038" spans="1:41" x14ac:dyDescent="0.2">
      <c r="A2038" s="13"/>
      <c r="B2038" s="13"/>
      <c r="C2038" s="13"/>
      <c r="D2038" s="13"/>
      <c r="E2038" s="12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2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</row>
    <row r="2039" spans="1:41" x14ac:dyDescent="0.2">
      <c r="A2039" s="13"/>
      <c r="B2039" s="13"/>
      <c r="C2039" s="13"/>
      <c r="D2039" s="13"/>
      <c r="E2039" s="12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2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</row>
    <row r="2040" spans="1:41" x14ac:dyDescent="0.2">
      <c r="A2040" s="13"/>
      <c r="B2040" s="13"/>
      <c r="C2040" s="13"/>
      <c r="D2040" s="13"/>
      <c r="E2040" s="12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2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</row>
    <row r="2041" spans="1:41" x14ac:dyDescent="0.2">
      <c r="A2041" s="13"/>
      <c r="B2041" s="13"/>
      <c r="C2041" s="13"/>
      <c r="D2041" s="13"/>
      <c r="E2041" s="12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2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</row>
    <row r="2042" spans="1:41" x14ac:dyDescent="0.2">
      <c r="A2042" s="13"/>
      <c r="B2042" s="13"/>
      <c r="C2042" s="13"/>
      <c r="D2042" s="13"/>
      <c r="E2042" s="12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2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</row>
    <row r="2043" spans="1:41" x14ac:dyDescent="0.2">
      <c r="A2043" s="13"/>
      <c r="B2043" s="13"/>
      <c r="C2043" s="13"/>
      <c r="D2043" s="13"/>
      <c r="E2043" s="12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2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</row>
    <row r="2044" spans="1:41" x14ac:dyDescent="0.2">
      <c r="A2044" s="13"/>
      <c r="B2044" s="13"/>
      <c r="C2044" s="13"/>
      <c r="D2044" s="13"/>
      <c r="E2044" s="12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2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</row>
    <row r="2045" spans="1:41" x14ac:dyDescent="0.2">
      <c r="A2045" s="13"/>
      <c r="B2045" s="13"/>
      <c r="C2045" s="13"/>
      <c r="D2045" s="13"/>
      <c r="E2045" s="12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2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</row>
    <row r="2046" spans="1:41" x14ac:dyDescent="0.2">
      <c r="A2046" s="13"/>
      <c r="B2046" s="13"/>
      <c r="C2046" s="13"/>
      <c r="D2046" s="13"/>
      <c r="E2046" s="12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2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</row>
    <row r="2047" spans="1:41" x14ac:dyDescent="0.2">
      <c r="A2047" s="13"/>
      <c r="B2047" s="13"/>
      <c r="C2047" s="13"/>
      <c r="D2047" s="13"/>
      <c r="E2047" s="12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2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</row>
    <row r="2048" spans="1:41" x14ac:dyDescent="0.2">
      <c r="A2048" s="13"/>
      <c r="B2048" s="13"/>
      <c r="C2048" s="13"/>
      <c r="D2048" s="13"/>
      <c r="E2048" s="12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2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</row>
    <row r="2049" spans="1:41" x14ac:dyDescent="0.2">
      <c r="A2049" s="13"/>
      <c r="B2049" s="13"/>
      <c r="C2049" s="13"/>
      <c r="D2049" s="13"/>
      <c r="E2049" s="12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2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</row>
    <row r="2050" spans="1:41" x14ac:dyDescent="0.2">
      <c r="A2050" s="13"/>
      <c r="B2050" s="13"/>
      <c r="C2050" s="13"/>
      <c r="D2050" s="13"/>
      <c r="E2050" s="12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2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</row>
    <row r="2051" spans="1:41" x14ac:dyDescent="0.2">
      <c r="A2051" s="13"/>
      <c r="B2051" s="13"/>
      <c r="C2051" s="13"/>
      <c r="D2051" s="13"/>
      <c r="E2051" s="12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2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</row>
    <row r="2052" spans="1:41" x14ac:dyDescent="0.2">
      <c r="A2052" s="13"/>
      <c r="B2052" s="13"/>
      <c r="C2052" s="13"/>
      <c r="D2052" s="13"/>
      <c r="E2052" s="12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2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</row>
    <row r="2053" spans="1:41" x14ac:dyDescent="0.2">
      <c r="A2053" s="13"/>
      <c r="B2053" s="13"/>
      <c r="C2053" s="13"/>
      <c r="D2053" s="13"/>
      <c r="E2053" s="12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2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</row>
    <row r="2054" spans="1:41" x14ac:dyDescent="0.2">
      <c r="A2054" s="13"/>
      <c r="B2054" s="13"/>
      <c r="C2054" s="13"/>
      <c r="D2054" s="13"/>
      <c r="E2054" s="12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2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</row>
    <row r="2055" spans="1:41" x14ac:dyDescent="0.2">
      <c r="A2055" s="13"/>
      <c r="B2055" s="13"/>
      <c r="C2055" s="13"/>
      <c r="D2055" s="13"/>
      <c r="E2055" s="12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2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</row>
    <row r="2056" spans="1:41" x14ac:dyDescent="0.2">
      <c r="A2056" s="13"/>
      <c r="B2056" s="13"/>
      <c r="C2056" s="13"/>
      <c r="D2056" s="13"/>
      <c r="E2056" s="12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2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</row>
    <row r="2057" spans="1:41" x14ac:dyDescent="0.2">
      <c r="A2057" s="13"/>
      <c r="B2057" s="13"/>
      <c r="C2057" s="13"/>
      <c r="D2057" s="13"/>
      <c r="E2057" s="12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2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</row>
    <row r="2058" spans="1:41" x14ac:dyDescent="0.2">
      <c r="A2058" s="13"/>
      <c r="B2058" s="13"/>
      <c r="C2058" s="13"/>
      <c r="D2058" s="13"/>
      <c r="E2058" s="12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2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</row>
    <row r="2059" spans="1:41" x14ac:dyDescent="0.2">
      <c r="A2059" s="13"/>
      <c r="B2059" s="13"/>
      <c r="C2059" s="13"/>
      <c r="D2059" s="13"/>
      <c r="E2059" s="12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2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</row>
    <row r="2060" spans="1:41" x14ac:dyDescent="0.2">
      <c r="A2060" s="13"/>
      <c r="B2060" s="13"/>
      <c r="C2060" s="13"/>
      <c r="D2060" s="13"/>
      <c r="E2060" s="12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2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</row>
    <row r="2061" spans="1:41" x14ac:dyDescent="0.2">
      <c r="A2061" s="13"/>
      <c r="B2061" s="13"/>
      <c r="C2061" s="13"/>
      <c r="D2061" s="13"/>
      <c r="E2061" s="12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2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</row>
    <row r="2062" spans="1:41" x14ac:dyDescent="0.2">
      <c r="A2062" s="13"/>
      <c r="B2062" s="13"/>
      <c r="C2062" s="13"/>
      <c r="D2062" s="13"/>
      <c r="E2062" s="12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2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</row>
    <row r="2063" spans="1:41" x14ac:dyDescent="0.2">
      <c r="A2063" s="13"/>
      <c r="B2063" s="13"/>
      <c r="C2063" s="13"/>
      <c r="D2063" s="13"/>
      <c r="E2063" s="12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2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</row>
    <row r="2064" spans="1:41" x14ac:dyDescent="0.2">
      <c r="A2064" s="13"/>
      <c r="B2064" s="13"/>
      <c r="C2064" s="13"/>
      <c r="D2064" s="13"/>
      <c r="E2064" s="12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2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</row>
    <row r="2065" spans="1:41" x14ac:dyDescent="0.2">
      <c r="A2065" s="13"/>
      <c r="B2065" s="13"/>
      <c r="C2065" s="13"/>
      <c r="D2065" s="13"/>
      <c r="E2065" s="12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2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</row>
    <row r="2066" spans="1:41" x14ac:dyDescent="0.2">
      <c r="A2066" s="13"/>
      <c r="B2066" s="13"/>
      <c r="C2066" s="13"/>
      <c r="D2066" s="13"/>
      <c r="E2066" s="12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2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</row>
    <row r="2067" spans="1:41" x14ac:dyDescent="0.2">
      <c r="A2067" s="13"/>
      <c r="B2067" s="13"/>
      <c r="C2067" s="13"/>
      <c r="D2067" s="13"/>
      <c r="E2067" s="12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2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</row>
    <row r="2068" spans="1:41" x14ac:dyDescent="0.2">
      <c r="A2068" s="13"/>
      <c r="B2068" s="13"/>
      <c r="C2068" s="13"/>
      <c r="D2068" s="13"/>
      <c r="E2068" s="12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2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</row>
    <row r="2069" spans="1:41" x14ac:dyDescent="0.2">
      <c r="A2069" s="13"/>
      <c r="B2069" s="13"/>
      <c r="C2069" s="13"/>
      <c r="D2069" s="13"/>
      <c r="E2069" s="12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2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</row>
    <row r="2070" spans="1:41" x14ac:dyDescent="0.2">
      <c r="A2070" s="13"/>
      <c r="B2070" s="13"/>
      <c r="C2070" s="13"/>
      <c r="D2070" s="13"/>
      <c r="E2070" s="12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2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</row>
    <row r="2071" spans="1:41" x14ac:dyDescent="0.2">
      <c r="A2071" s="13"/>
      <c r="B2071" s="13"/>
      <c r="C2071" s="13"/>
      <c r="D2071" s="13"/>
      <c r="E2071" s="12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2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</row>
    <row r="2072" spans="1:41" x14ac:dyDescent="0.2">
      <c r="A2072" s="13"/>
      <c r="B2072" s="13"/>
      <c r="C2072" s="13"/>
      <c r="D2072" s="13"/>
      <c r="E2072" s="12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2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</row>
    <row r="2073" spans="1:41" x14ac:dyDescent="0.2">
      <c r="A2073" s="13"/>
      <c r="B2073" s="13"/>
      <c r="C2073" s="13"/>
      <c r="D2073" s="13"/>
      <c r="E2073" s="12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2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</row>
    <row r="2074" spans="1:41" x14ac:dyDescent="0.2">
      <c r="A2074" s="13"/>
      <c r="B2074" s="13"/>
      <c r="C2074" s="13"/>
      <c r="D2074" s="13"/>
      <c r="E2074" s="12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2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</row>
    <row r="2075" spans="1:41" x14ac:dyDescent="0.2">
      <c r="A2075" s="13"/>
      <c r="B2075" s="13"/>
      <c r="C2075" s="13"/>
      <c r="D2075" s="13"/>
      <c r="E2075" s="12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2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</row>
    <row r="2076" spans="1:41" x14ac:dyDescent="0.2">
      <c r="A2076" s="13"/>
      <c r="B2076" s="13"/>
      <c r="C2076" s="13"/>
      <c r="D2076" s="13"/>
      <c r="E2076" s="12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2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</row>
    <row r="2077" spans="1:41" x14ac:dyDescent="0.2">
      <c r="A2077" s="13"/>
      <c r="B2077" s="13"/>
      <c r="C2077" s="13"/>
      <c r="D2077" s="13"/>
      <c r="E2077" s="12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2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</row>
    <row r="2078" spans="1:41" x14ac:dyDescent="0.2">
      <c r="A2078" s="13"/>
      <c r="B2078" s="13"/>
      <c r="C2078" s="13"/>
      <c r="D2078" s="13"/>
      <c r="E2078" s="12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2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</row>
    <row r="2079" spans="1:41" x14ac:dyDescent="0.2">
      <c r="A2079" s="13"/>
      <c r="B2079" s="13"/>
      <c r="C2079" s="13"/>
      <c r="D2079" s="13"/>
      <c r="E2079" s="12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2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</row>
    <row r="2080" spans="1:41" x14ac:dyDescent="0.2">
      <c r="A2080" s="13"/>
      <c r="B2080" s="13"/>
      <c r="C2080" s="13"/>
      <c r="D2080" s="13"/>
      <c r="E2080" s="12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2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</row>
    <row r="2081" spans="1:41" x14ac:dyDescent="0.2">
      <c r="A2081" s="13"/>
      <c r="B2081" s="13"/>
      <c r="C2081" s="13"/>
      <c r="D2081" s="13"/>
      <c r="E2081" s="12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2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</row>
    <row r="2082" spans="1:41" x14ac:dyDescent="0.2">
      <c r="A2082" s="13"/>
      <c r="B2082" s="13"/>
      <c r="C2082" s="13"/>
      <c r="D2082" s="13"/>
      <c r="E2082" s="12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2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</row>
    <row r="2083" spans="1:41" x14ac:dyDescent="0.2">
      <c r="A2083" s="13"/>
      <c r="B2083" s="13"/>
      <c r="C2083" s="13"/>
      <c r="D2083" s="13"/>
      <c r="E2083" s="12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2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</row>
    <row r="2084" spans="1:41" x14ac:dyDescent="0.2">
      <c r="A2084" s="13"/>
      <c r="B2084" s="13"/>
      <c r="C2084" s="13"/>
      <c r="D2084" s="13"/>
      <c r="E2084" s="12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2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</row>
    <row r="2085" spans="1:41" x14ac:dyDescent="0.2">
      <c r="A2085" s="13"/>
      <c r="B2085" s="13"/>
      <c r="C2085" s="13"/>
      <c r="D2085" s="13"/>
      <c r="E2085" s="12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2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</row>
    <row r="2086" spans="1:41" x14ac:dyDescent="0.2">
      <c r="A2086" s="13"/>
      <c r="B2086" s="13"/>
      <c r="C2086" s="13"/>
      <c r="D2086" s="13"/>
      <c r="E2086" s="12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2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</row>
    <row r="2087" spans="1:41" x14ac:dyDescent="0.2">
      <c r="A2087" s="13"/>
      <c r="B2087" s="13"/>
      <c r="C2087" s="13"/>
      <c r="D2087" s="13"/>
      <c r="E2087" s="12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2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</row>
    <row r="2088" spans="1:41" x14ac:dyDescent="0.2">
      <c r="A2088" s="13"/>
      <c r="B2088" s="13"/>
      <c r="C2088" s="13"/>
      <c r="D2088" s="13"/>
      <c r="E2088" s="12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2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</row>
    <row r="2089" spans="1:41" x14ac:dyDescent="0.2">
      <c r="A2089" s="13"/>
      <c r="B2089" s="13"/>
      <c r="C2089" s="13"/>
      <c r="D2089" s="13"/>
      <c r="E2089" s="12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2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</row>
    <row r="2090" spans="1:41" x14ac:dyDescent="0.2">
      <c r="A2090" s="13"/>
      <c r="B2090" s="13"/>
      <c r="C2090" s="13"/>
      <c r="D2090" s="13"/>
      <c r="E2090" s="12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2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</row>
    <row r="2091" spans="1:41" x14ac:dyDescent="0.2">
      <c r="A2091" s="13"/>
      <c r="B2091" s="13"/>
      <c r="C2091" s="13"/>
      <c r="D2091" s="13"/>
      <c r="E2091" s="12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2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</row>
    <row r="2092" spans="1:41" x14ac:dyDescent="0.2">
      <c r="A2092" s="13"/>
      <c r="B2092" s="13"/>
      <c r="C2092" s="13"/>
      <c r="D2092" s="13"/>
      <c r="E2092" s="12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2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</row>
    <row r="2093" spans="1:41" x14ac:dyDescent="0.2">
      <c r="A2093" s="13"/>
      <c r="B2093" s="13"/>
      <c r="C2093" s="13"/>
      <c r="D2093" s="13"/>
      <c r="E2093" s="12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2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</row>
    <row r="2094" spans="1:41" x14ac:dyDescent="0.2">
      <c r="A2094" s="13"/>
      <c r="B2094" s="13"/>
      <c r="C2094" s="13"/>
      <c r="D2094" s="13"/>
      <c r="E2094" s="12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2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</row>
    <row r="2095" spans="1:41" x14ac:dyDescent="0.2">
      <c r="A2095" s="13"/>
      <c r="B2095" s="13"/>
      <c r="C2095" s="13"/>
      <c r="D2095" s="13"/>
      <c r="E2095" s="12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2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</row>
    <row r="2096" spans="1:41" x14ac:dyDescent="0.2">
      <c r="A2096" s="13"/>
      <c r="B2096" s="13"/>
      <c r="C2096" s="13"/>
      <c r="D2096" s="13"/>
      <c r="E2096" s="12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2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</row>
    <row r="2097" spans="1:41" x14ac:dyDescent="0.2">
      <c r="A2097" s="13"/>
      <c r="B2097" s="13"/>
      <c r="C2097" s="13"/>
      <c r="D2097" s="13"/>
      <c r="E2097" s="12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2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</row>
    <row r="2098" spans="1:41" x14ac:dyDescent="0.2">
      <c r="A2098" s="13"/>
      <c r="B2098" s="13"/>
      <c r="C2098" s="13"/>
      <c r="D2098" s="13"/>
      <c r="E2098" s="12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2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</row>
    <row r="2099" spans="1:41" x14ac:dyDescent="0.2">
      <c r="A2099" s="13"/>
      <c r="B2099" s="13"/>
      <c r="C2099" s="13"/>
      <c r="D2099" s="13"/>
      <c r="E2099" s="12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2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</row>
    <row r="2100" spans="1:41" x14ac:dyDescent="0.2">
      <c r="A2100" s="13"/>
      <c r="B2100" s="13"/>
      <c r="C2100" s="13"/>
      <c r="D2100" s="13"/>
      <c r="E2100" s="12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2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</row>
    <row r="2101" spans="1:41" x14ac:dyDescent="0.2">
      <c r="A2101" s="13"/>
      <c r="B2101" s="13"/>
      <c r="C2101" s="13"/>
      <c r="D2101" s="13"/>
      <c r="E2101" s="12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2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</row>
    <row r="2102" spans="1:41" x14ac:dyDescent="0.2">
      <c r="A2102" s="13"/>
      <c r="B2102" s="13"/>
      <c r="C2102" s="13"/>
      <c r="D2102" s="13"/>
      <c r="E2102" s="12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2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</row>
    <row r="2103" spans="1:41" x14ac:dyDescent="0.2">
      <c r="A2103" s="13"/>
      <c r="B2103" s="13"/>
      <c r="C2103" s="13"/>
      <c r="D2103" s="13"/>
      <c r="E2103" s="12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2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</row>
    <row r="2104" spans="1:41" x14ac:dyDescent="0.2">
      <c r="A2104" s="13"/>
      <c r="B2104" s="13"/>
      <c r="C2104" s="13"/>
      <c r="D2104" s="13"/>
      <c r="E2104" s="12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2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</row>
    <row r="2105" spans="1:41" x14ac:dyDescent="0.2">
      <c r="A2105" s="13"/>
      <c r="B2105" s="13"/>
      <c r="C2105" s="13"/>
      <c r="D2105" s="13"/>
      <c r="E2105" s="12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2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</row>
    <row r="2106" spans="1:41" x14ac:dyDescent="0.2">
      <c r="A2106" s="13"/>
      <c r="B2106" s="13"/>
      <c r="C2106" s="13"/>
      <c r="D2106" s="13"/>
      <c r="E2106" s="12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2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</row>
    <row r="2107" spans="1:41" x14ac:dyDescent="0.2">
      <c r="A2107" s="13"/>
      <c r="B2107" s="13"/>
      <c r="C2107" s="13"/>
      <c r="D2107" s="13"/>
      <c r="E2107" s="12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2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</row>
    <row r="2108" spans="1:41" x14ac:dyDescent="0.2">
      <c r="A2108" s="13"/>
      <c r="B2108" s="13"/>
      <c r="C2108" s="13"/>
      <c r="D2108" s="13"/>
      <c r="E2108" s="12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2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</row>
    <row r="2109" spans="1:41" x14ac:dyDescent="0.2">
      <c r="A2109" s="13"/>
      <c r="B2109" s="13"/>
      <c r="C2109" s="13"/>
      <c r="D2109" s="13"/>
      <c r="E2109" s="12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2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</row>
    <row r="2110" spans="1:41" x14ac:dyDescent="0.2">
      <c r="A2110" s="13"/>
      <c r="B2110" s="13"/>
      <c r="C2110" s="13"/>
      <c r="D2110" s="13"/>
      <c r="E2110" s="12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2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</row>
    <row r="2111" spans="1:41" x14ac:dyDescent="0.2">
      <c r="A2111" s="13"/>
      <c r="B2111" s="13"/>
      <c r="C2111" s="13"/>
      <c r="D2111" s="13"/>
      <c r="E2111" s="12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2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</row>
    <row r="2112" spans="1:41" x14ac:dyDescent="0.2">
      <c r="A2112" s="13"/>
      <c r="B2112" s="13"/>
      <c r="C2112" s="13"/>
      <c r="D2112" s="13"/>
      <c r="E2112" s="12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2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</row>
    <row r="2113" spans="1:41" x14ac:dyDescent="0.2">
      <c r="A2113" s="13"/>
      <c r="B2113" s="13"/>
      <c r="C2113" s="13"/>
      <c r="D2113" s="13"/>
      <c r="E2113" s="12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2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</row>
    <row r="2114" spans="1:41" x14ac:dyDescent="0.2">
      <c r="A2114" s="13"/>
      <c r="B2114" s="13"/>
      <c r="C2114" s="13"/>
      <c r="D2114" s="13"/>
      <c r="E2114" s="12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2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</row>
    <row r="2115" spans="1:41" x14ac:dyDescent="0.2">
      <c r="A2115" s="13"/>
      <c r="B2115" s="13"/>
      <c r="C2115" s="13"/>
      <c r="D2115" s="13"/>
      <c r="E2115" s="12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2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</row>
    <row r="2116" spans="1:41" x14ac:dyDescent="0.2">
      <c r="A2116" s="13"/>
      <c r="B2116" s="13"/>
      <c r="C2116" s="13"/>
      <c r="D2116" s="13"/>
      <c r="E2116" s="12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2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</row>
    <row r="2117" spans="1:41" x14ac:dyDescent="0.2">
      <c r="A2117" s="13"/>
      <c r="B2117" s="13"/>
      <c r="C2117" s="13"/>
      <c r="D2117" s="13"/>
      <c r="E2117" s="12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2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</row>
    <row r="2118" spans="1:41" x14ac:dyDescent="0.2">
      <c r="A2118" s="13"/>
      <c r="B2118" s="13"/>
      <c r="C2118" s="13"/>
      <c r="D2118" s="13"/>
      <c r="E2118" s="12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2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</row>
    <row r="2119" spans="1:41" x14ac:dyDescent="0.2">
      <c r="A2119" s="13"/>
      <c r="B2119" s="13"/>
      <c r="C2119" s="13"/>
      <c r="D2119" s="13"/>
      <c r="E2119" s="12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2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</row>
    <row r="2120" spans="1:41" x14ac:dyDescent="0.2">
      <c r="A2120" s="13"/>
      <c r="B2120" s="13"/>
      <c r="C2120" s="13"/>
      <c r="D2120" s="13"/>
      <c r="E2120" s="12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2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</row>
    <row r="2121" spans="1:41" x14ac:dyDescent="0.2">
      <c r="A2121" s="13"/>
      <c r="B2121" s="13"/>
      <c r="C2121" s="13"/>
      <c r="D2121" s="13"/>
      <c r="E2121" s="12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2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</row>
    <row r="2122" spans="1:41" x14ac:dyDescent="0.2">
      <c r="A2122" s="13"/>
      <c r="B2122" s="13"/>
      <c r="C2122" s="13"/>
      <c r="D2122" s="13"/>
      <c r="E2122" s="12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2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</row>
    <row r="2123" spans="1:41" x14ac:dyDescent="0.2">
      <c r="A2123" s="13"/>
      <c r="B2123" s="13"/>
      <c r="C2123" s="13"/>
      <c r="D2123" s="13"/>
      <c r="E2123" s="12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2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</row>
    <row r="2124" spans="1:41" x14ac:dyDescent="0.2">
      <c r="A2124" s="13"/>
      <c r="B2124" s="13"/>
      <c r="C2124" s="13"/>
      <c r="D2124" s="13"/>
      <c r="E2124" s="12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2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</row>
    <row r="2125" spans="1:41" x14ac:dyDescent="0.2">
      <c r="A2125" s="13"/>
      <c r="B2125" s="13"/>
      <c r="C2125" s="13"/>
      <c r="D2125" s="13"/>
      <c r="E2125" s="12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2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</row>
    <row r="2126" spans="1:41" x14ac:dyDescent="0.2">
      <c r="A2126" s="13"/>
      <c r="B2126" s="13"/>
      <c r="C2126" s="13"/>
      <c r="D2126" s="13"/>
      <c r="E2126" s="12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2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</row>
    <row r="2127" spans="1:41" x14ac:dyDescent="0.2">
      <c r="A2127" s="13"/>
      <c r="B2127" s="13"/>
      <c r="C2127" s="13"/>
      <c r="D2127" s="13"/>
      <c r="E2127" s="12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2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</row>
    <row r="2128" spans="1:41" x14ac:dyDescent="0.2">
      <c r="A2128" s="13"/>
      <c r="B2128" s="13"/>
      <c r="C2128" s="13"/>
      <c r="D2128" s="13"/>
      <c r="E2128" s="12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2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</row>
    <row r="2129" spans="1:41" x14ac:dyDescent="0.2">
      <c r="A2129" s="13"/>
      <c r="B2129" s="13"/>
      <c r="C2129" s="13"/>
      <c r="D2129" s="13"/>
      <c r="E2129" s="12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2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</row>
    <row r="2130" spans="1:41" x14ac:dyDescent="0.2">
      <c r="A2130" s="13"/>
      <c r="B2130" s="13"/>
      <c r="C2130" s="13"/>
      <c r="D2130" s="13"/>
      <c r="E2130" s="12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2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</row>
    <row r="2131" spans="1:41" x14ac:dyDescent="0.2">
      <c r="A2131" s="13"/>
      <c r="B2131" s="13"/>
      <c r="C2131" s="13"/>
      <c r="D2131" s="13"/>
      <c r="E2131" s="12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2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</row>
    <row r="2132" spans="1:41" x14ac:dyDescent="0.2">
      <c r="A2132" s="13"/>
      <c r="B2132" s="13"/>
      <c r="C2132" s="13"/>
      <c r="D2132" s="13"/>
      <c r="E2132" s="12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2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</row>
    <row r="2133" spans="1:41" x14ac:dyDescent="0.2">
      <c r="A2133" s="13"/>
      <c r="B2133" s="13"/>
      <c r="C2133" s="13"/>
      <c r="D2133" s="13"/>
      <c r="E2133" s="12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2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</row>
    <row r="2134" spans="1:41" x14ac:dyDescent="0.2">
      <c r="A2134" s="13"/>
      <c r="B2134" s="13"/>
      <c r="C2134" s="13"/>
      <c r="D2134" s="13"/>
      <c r="E2134" s="12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2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</row>
    <row r="2135" spans="1:41" x14ac:dyDescent="0.2">
      <c r="A2135" s="13"/>
      <c r="B2135" s="13"/>
      <c r="C2135" s="13"/>
      <c r="D2135" s="13"/>
      <c r="E2135" s="12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2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</row>
    <row r="2136" spans="1:41" x14ac:dyDescent="0.2">
      <c r="A2136" s="13"/>
      <c r="B2136" s="13"/>
      <c r="C2136" s="13"/>
      <c r="D2136" s="13"/>
      <c r="E2136" s="12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2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</row>
    <row r="2137" spans="1:41" x14ac:dyDescent="0.2">
      <c r="A2137" s="13"/>
      <c r="B2137" s="13"/>
      <c r="C2137" s="13"/>
      <c r="D2137" s="13"/>
      <c r="E2137" s="12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2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</row>
    <row r="2138" spans="1:41" x14ac:dyDescent="0.2">
      <c r="A2138" s="13"/>
      <c r="B2138" s="13"/>
      <c r="C2138" s="13"/>
      <c r="D2138" s="13"/>
      <c r="E2138" s="12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2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</row>
    <row r="2139" spans="1:41" x14ac:dyDescent="0.2">
      <c r="A2139" s="13"/>
      <c r="B2139" s="13"/>
      <c r="C2139" s="13"/>
      <c r="D2139" s="13"/>
      <c r="E2139" s="12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2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</row>
    <row r="2140" spans="1:41" x14ac:dyDescent="0.2">
      <c r="A2140" s="13"/>
      <c r="B2140" s="13"/>
      <c r="C2140" s="13"/>
      <c r="D2140" s="13"/>
      <c r="E2140" s="12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2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</row>
    <row r="2141" spans="1:41" x14ac:dyDescent="0.2">
      <c r="A2141" s="13"/>
      <c r="B2141" s="13"/>
      <c r="C2141" s="13"/>
      <c r="D2141" s="13"/>
      <c r="E2141" s="12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2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</row>
    <row r="2142" spans="1:41" x14ac:dyDescent="0.2">
      <c r="A2142" s="13"/>
      <c r="B2142" s="13"/>
      <c r="C2142" s="13"/>
      <c r="D2142" s="13"/>
      <c r="E2142" s="12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2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</row>
    <row r="2143" spans="1:41" x14ac:dyDescent="0.2">
      <c r="A2143" s="13"/>
      <c r="B2143" s="13"/>
      <c r="C2143" s="13"/>
      <c r="D2143" s="13"/>
      <c r="E2143" s="12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2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</row>
    <row r="2144" spans="1:41" x14ac:dyDescent="0.2">
      <c r="A2144" s="13"/>
      <c r="B2144" s="13"/>
      <c r="C2144" s="13"/>
      <c r="D2144" s="13"/>
      <c r="E2144" s="12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2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</row>
    <row r="2145" spans="1:41" x14ac:dyDescent="0.2">
      <c r="A2145" s="13"/>
      <c r="B2145" s="13"/>
      <c r="C2145" s="13"/>
      <c r="D2145" s="13"/>
      <c r="E2145" s="12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2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</row>
    <row r="2146" spans="1:41" x14ac:dyDescent="0.2">
      <c r="A2146" s="13"/>
      <c r="B2146" s="13"/>
      <c r="C2146" s="13"/>
      <c r="D2146" s="13"/>
      <c r="E2146" s="12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2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</row>
    <row r="2147" spans="1:41" x14ac:dyDescent="0.2">
      <c r="A2147" s="13"/>
      <c r="B2147" s="13"/>
      <c r="C2147" s="13"/>
      <c r="D2147" s="13"/>
      <c r="E2147" s="12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2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</row>
    <row r="2148" spans="1:41" x14ac:dyDescent="0.2">
      <c r="A2148" s="13"/>
      <c r="B2148" s="13"/>
      <c r="C2148" s="13"/>
      <c r="D2148" s="13"/>
      <c r="E2148" s="12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2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</row>
    <row r="2149" spans="1:41" x14ac:dyDescent="0.2">
      <c r="A2149" s="13"/>
      <c r="B2149" s="13"/>
      <c r="C2149" s="13"/>
      <c r="D2149" s="13"/>
      <c r="E2149" s="12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2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</row>
    <row r="2150" spans="1:41" x14ac:dyDescent="0.2">
      <c r="A2150" s="13"/>
      <c r="B2150" s="13"/>
      <c r="C2150" s="13"/>
      <c r="D2150" s="13"/>
      <c r="E2150" s="12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2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</row>
    <row r="2151" spans="1:41" x14ac:dyDescent="0.2">
      <c r="A2151" s="13"/>
      <c r="B2151" s="13"/>
      <c r="C2151" s="13"/>
      <c r="D2151" s="13"/>
      <c r="E2151" s="12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2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</row>
    <row r="2152" spans="1:41" x14ac:dyDescent="0.2">
      <c r="A2152" s="13"/>
      <c r="B2152" s="13"/>
      <c r="C2152" s="13"/>
      <c r="D2152" s="13"/>
      <c r="E2152" s="12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2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</row>
    <row r="2153" spans="1:41" x14ac:dyDescent="0.2">
      <c r="A2153" s="13"/>
      <c r="B2153" s="13"/>
      <c r="C2153" s="13"/>
      <c r="D2153" s="13"/>
      <c r="E2153" s="12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2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</row>
    <row r="2154" spans="1:41" x14ac:dyDescent="0.2">
      <c r="A2154" s="13"/>
      <c r="B2154" s="13"/>
      <c r="C2154" s="13"/>
      <c r="D2154" s="13"/>
      <c r="E2154" s="12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2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</row>
    <row r="2155" spans="1:41" x14ac:dyDescent="0.2">
      <c r="A2155" s="13"/>
      <c r="B2155" s="13"/>
      <c r="C2155" s="13"/>
      <c r="D2155" s="13"/>
      <c r="E2155" s="12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2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</row>
    <row r="2156" spans="1:41" x14ac:dyDescent="0.2">
      <c r="A2156" s="13"/>
      <c r="B2156" s="13"/>
      <c r="C2156" s="13"/>
      <c r="D2156" s="13"/>
      <c r="E2156" s="12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2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</row>
    <row r="2157" spans="1:41" x14ac:dyDescent="0.2">
      <c r="A2157" s="13"/>
      <c r="B2157" s="13"/>
      <c r="C2157" s="13"/>
      <c r="D2157" s="13"/>
      <c r="E2157" s="12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2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</row>
    <row r="2158" spans="1:41" x14ac:dyDescent="0.2">
      <c r="A2158" s="13"/>
      <c r="B2158" s="13"/>
      <c r="C2158" s="13"/>
      <c r="D2158" s="13"/>
      <c r="E2158" s="12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2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</row>
    <row r="2159" spans="1:41" x14ac:dyDescent="0.2">
      <c r="A2159" s="13"/>
      <c r="B2159" s="13"/>
      <c r="C2159" s="13"/>
      <c r="D2159" s="13"/>
      <c r="E2159" s="12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2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</row>
    <row r="2160" spans="1:41" x14ac:dyDescent="0.2">
      <c r="A2160" s="13"/>
      <c r="B2160" s="13"/>
      <c r="C2160" s="13"/>
      <c r="D2160" s="13"/>
      <c r="E2160" s="12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2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</row>
    <row r="2161" spans="1:41" x14ac:dyDescent="0.2">
      <c r="A2161" s="13"/>
      <c r="B2161" s="13"/>
      <c r="C2161" s="13"/>
      <c r="D2161" s="13"/>
      <c r="E2161" s="12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2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</row>
    <row r="2162" spans="1:41" x14ac:dyDescent="0.2">
      <c r="A2162" s="13"/>
      <c r="B2162" s="13"/>
      <c r="C2162" s="13"/>
      <c r="D2162" s="13"/>
      <c r="E2162" s="12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2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</row>
    <row r="2163" spans="1:41" x14ac:dyDescent="0.2">
      <c r="A2163" s="13"/>
      <c r="B2163" s="13"/>
      <c r="C2163" s="13"/>
      <c r="D2163" s="13"/>
      <c r="E2163" s="12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2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</row>
    <row r="2164" spans="1:41" x14ac:dyDescent="0.2">
      <c r="A2164" s="13"/>
      <c r="B2164" s="13"/>
      <c r="C2164" s="13"/>
      <c r="D2164" s="13"/>
      <c r="E2164" s="12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2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</row>
    <row r="2165" spans="1:41" x14ac:dyDescent="0.2">
      <c r="A2165" s="13"/>
      <c r="B2165" s="13"/>
      <c r="C2165" s="13"/>
      <c r="D2165" s="13"/>
      <c r="E2165" s="12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2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</row>
    <row r="2166" spans="1:41" x14ac:dyDescent="0.2">
      <c r="A2166" s="13"/>
      <c r="B2166" s="13"/>
      <c r="C2166" s="13"/>
      <c r="D2166" s="13"/>
      <c r="E2166" s="12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2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</row>
    <row r="2167" spans="1:41" x14ac:dyDescent="0.2">
      <c r="A2167" s="13"/>
      <c r="B2167" s="13"/>
      <c r="C2167" s="13"/>
      <c r="D2167" s="13"/>
      <c r="E2167" s="12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2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</row>
    <row r="2168" spans="1:41" x14ac:dyDescent="0.2">
      <c r="A2168" s="13"/>
      <c r="B2168" s="13"/>
      <c r="C2168" s="13"/>
      <c r="D2168" s="13"/>
      <c r="E2168" s="12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2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</row>
    <row r="2169" spans="1:41" x14ac:dyDescent="0.2">
      <c r="A2169" s="13"/>
      <c r="B2169" s="13"/>
      <c r="C2169" s="13"/>
      <c r="D2169" s="13"/>
      <c r="E2169" s="12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2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</row>
    <row r="2170" spans="1:41" x14ac:dyDescent="0.2">
      <c r="A2170" s="13"/>
      <c r="B2170" s="13"/>
      <c r="C2170" s="13"/>
      <c r="D2170" s="13"/>
      <c r="E2170" s="12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2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</row>
    <row r="2171" spans="1:41" x14ac:dyDescent="0.2">
      <c r="A2171" s="13"/>
      <c r="B2171" s="13"/>
      <c r="C2171" s="13"/>
      <c r="D2171" s="13"/>
      <c r="E2171" s="12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2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</row>
    <row r="2172" spans="1:41" x14ac:dyDescent="0.2">
      <c r="A2172" s="13"/>
      <c r="B2172" s="13"/>
      <c r="C2172" s="13"/>
      <c r="D2172" s="13"/>
      <c r="E2172" s="12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2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</row>
    <row r="2173" spans="1:41" x14ac:dyDescent="0.2">
      <c r="A2173" s="13"/>
      <c r="B2173" s="13"/>
      <c r="C2173" s="13"/>
      <c r="D2173" s="13"/>
      <c r="E2173" s="12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2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</row>
    <row r="2174" spans="1:41" x14ac:dyDescent="0.2">
      <c r="A2174" s="13"/>
      <c r="B2174" s="13"/>
      <c r="C2174" s="13"/>
      <c r="D2174" s="13"/>
      <c r="E2174" s="12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2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</row>
    <row r="2175" spans="1:41" x14ac:dyDescent="0.2">
      <c r="A2175" s="13"/>
      <c r="B2175" s="13"/>
      <c r="C2175" s="13"/>
      <c r="D2175" s="13"/>
      <c r="E2175" s="12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2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</row>
    <row r="2176" spans="1:41" x14ac:dyDescent="0.2">
      <c r="A2176" s="13"/>
      <c r="B2176" s="13"/>
      <c r="C2176" s="13"/>
      <c r="D2176" s="13"/>
      <c r="E2176" s="12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2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</row>
    <row r="2177" spans="1:41" x14ac:dyDescent="0.2">
      <c r="A2177" s="13"/>
      <c r="B2177" s="13"/>
      <c r="C2177" s="13"/>
      <c r="D2177" s="13"/>
      <c r="E2177" s="12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2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</row>
    <row r="2178" spans="1:41" x14ac:dyDescent="0.2">
      <c r="A2178" s="13"/>
      <c r="B2178" s="13"/>
      <c r="C2178" s="13"/>
      <c r="D2178" s="13"/>
      <c r="E2178" s="12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2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</row>
    <row r="2179" spans="1:41" x14ac:dyDescent="0.2">
      <c r="A2179" s="13"/>
      <c r="B2179" s="13"/>
      <c r="C2179" s="13"/>
      <c r="D2179" s="13"/>
      <c r="E2179" s="12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2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</row>
    <row r="2180" spans="1:41" x14ac:dyDescent="0.2">
      <c r="A2180" s="13"/>
      <c r="B2180" s="13"/>
      <c r="C2180" s="13"/>
      <c r="D2180" s="13"/>
      <c r="E2180" s="12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2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</row>
    <row r="2181" spans="1:41" x14ac:dyDescent="0.2">
      <c r="A2181" s="13"/>
      <c r="B2181" s="13"/>
      <c r="C2181" s="13"/>
      <c r="D2181" s="13"/>
      <c r="E2181" s="12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2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</row>
    <row r="2182" spans="1:41" x14ac:dyDescent="0.2">
      <c r="A2182" s="13"/>
      <c r="B2182" s="13"/>
      <c r="C2182" s="13"/>
      <c r="D2182" s="13"/>
      <c r="E2182" s="12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2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</row>
    <row r="2183" spans="1:41" x14ac:dyDescent="0.2">
      <c r="A2183" s="13"/>
      <c r="B2183" s="13"/>
      <c r="C2183" s="13"/>
      <c r="D2183" s="13"/>
      <c r="E2183" s="12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2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</row>
    <row r="2184" spans="1:41" x14ac:dyDescent="0.2">
      <c r="A2184" s="13"/>
      <c r="B2184" s="13"/>
      <c r="C2184" s="13"/>
      <c r="D2184" s="13"/>
      <c r="E2184" s="12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2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</row>
    <row r="2185" spans="1:41" x14ac:dyDescent="0.2">
      <c r="A2185" s="13"/>
      <c r="B2185" s="13"/>
      <c r="C2185" s="13"/>
      <c r="D2185" s="13"/>
      <c r="E2185" s="12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2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</row>
    <row r="2186" spans="1:41" x14ac:dyDescent="0.2">
      <c r="A2186" s="13"/>
      <c r="B2186" s="13"/>
      <c r="C2186" s="13"/>
      <c r="D2186" s="13"/>
      <c r="E2186" s="12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2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</row>
    <row r="2187" spans="1:41" x14ac:dyDescent="0.2">
      <c r="A2187" s="13"/>
      <c r="B2187" s="13"/>
      <c r="C2187" s="13"/>
      <c r="D2187" s="13"/>
      <c r="E2187" s="12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2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</row>
    <row r="2188" spans="1:41" x14ac:dyDescent="0.2">
      <c r="A2188" s="13"/>
      <c r="B2188" s="13"/>
      <c r="C2188" s="13"/>
      <c r="D2188" s="13"/>
      <c r="E2188" s="12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2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</row>
    <row r="2189" spans="1:41" x14ac:dyDescent="0.2">
      <c r="A2189" s="13"/>
      <c r="B2189" s="13"/>
      <c r="C2189" s="13"/>
      <c r="D2189" s="13"/>
      <c r="E2189" s="12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2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</row>
    <row r="2190" spans="1:41" x14ac:dyDescent="0.2">
      <c r="A2190" s="13"/>
      <c r="B2190" s="13"/>
      <c r="C2190" s="13"/>
      <c r="D2190" s="13"/>
      <c r="E2190" s="12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2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</row>
    <row r="2191" spans="1:41" x14ac:dyDescent="0.2">
      <c r="A2191" s="13"/>
      <c r="B2191" s="13"/>
      <c r="C2191" s="13"/>
      <c r="D2191" s="13"/>
      <c r="E2191" s="12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2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</row>
    <row r="2192" spans="1:41" x14ac:dyDescent="0.2">
      <c r="A2192" s="13"/>
      <c r="B2192" s="13"/>
      <c r="C2192" s="13"/>
      <c r="D2192" s="13"/>
      <c r="E2192" s="12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2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</row>
    <row r="2193" spans="1:41" x14ac:dyDescent="0.2">
      <c r="A2193" s="13"/>
      <c r="B2193" s="13"/>
      <c r="C2193" s="13"/>
      <c r="D2193" s="13"/>
      <c r="E2193" s="12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2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</row>
    <row r="2194" spans="1:41" x14ac:dyDescent="0.2">
      <c r="A2194" s="13"/>
      <c r="B2194" s="13"/>
      <c r="C2194" s="13"/>
      <c r="D2194" s="13"/>
      <c r="E2194" s="12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2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</row>
    <row r="2195" spans="1:41" x14ac:dyDescent="0.2">
      <c r="A2195" s="13"/>
      <c r="B2195" s="13"/>
      <c r="C2195" s="13"/>
      <c r="D2195" s="13"/>
      <c r="E2195" s="12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2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</row>
    <row r="2196" spans="1:41" x14ac:dyDescent="0.2">
      <c r="A2196" s="13"/>
      <c r="B2196" s="13"/>
      <c r="C2196" s="13"/>
      <c r="D2196" s="13"/>
      <c r="E2196" s="12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2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</row>
    <row r="2197" spans="1:41" x14ac:dyDescent="0.2">
      <c r="A2197" s="13"/>
      <c r="B2197" s="13"/>
      <c r="C2197" s="13"/>
      <c r="D2197" s="13"/>
      <c r="E2197" s="12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2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</row>
    <row r="2198" spans="1:41" x14ac:dyDescent="0.2">
      <c r="A2198" s="13"/>
      <c r="B2198" s="13"/>
      <c r="C2198" s="13"/>
      <c r="D2198" s="13"/>
      <c r="E2198" s="12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2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</row>
    <row r="2199" spans="1:41" x14ac:dyDescent="0.2">
      <c r="A2199" s="13"/>
      <c r="B2199" s="13"/>
      <c r="C2199" s="13"/>
      <c r="D2199" s="13"/>
      <c r="E2199" s="12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2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</row>
    <row r="2200" spans="1:41" x14ac:dyDescent="0.2">
      <c r="A2200" s="13"/>
      <c r="B2200" s="13"/>
      <c r="C2200" s="13"/>
      <c r="D2200" s="13"/>
      <c r="E2200" s="12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2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</row>
    <row r="2201" spans="1:41" x14ac:dyDescent="0.2">
      <c r="A2201" s="13"/>
      <c r="B2201" s="13"/>
      <c r="C2201" s="13"/>
      <c r="D2201" s="13"/>
      <c r="E2201" s="12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2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</row>
    <row r="2202" spans="1:41" x14ac:dyDescent="0.2">
      <c r="A2202" s="13"/>
      <c r="B2202" s="13"/>
      <c r="C2202" s="13"/>
      <c r="D2202" s="13"/>
      <c r="E2202" s="12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2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</row>
    <row r="2203" spans="1:41" x14ac:dyDescent="0.2">
      <c r="A2203" s="13"/>
      <c r="B2203" s="13"/>
      <c r="C2203" s="13"/>
      <c r="D2203" s="13"/>
      <c r="E2203" s="12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2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</row>
    <row r="2204" spans="1:41" x14ac:dyDescent="0.2">
      <c r="A2204" s="13"/>
      <c r="B2204" s="13"/>
      <c r="C2204" s="13"/>
      <c r="D2204" s="13"/>
      <c r="E2204" s="12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2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</row>
    <row r="2205" spans="1:41" x14ac:dyDescent="0.2">
      <c r="A2205" s="13"/>
      <c r="B2205" s="13"/>
      <c r="C2205" s="13"/>
      <c r="D2205" s="13"/>
      <c r="E2205" s="12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2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</row>
    <row r="2206" spans="1:41" x14ac:dyDescent="0.2">
      <c r="A2206" s="13"/>
      <c r="B2206" s="13"/>
      <c r="C2206" s="13"/>
      <c r="D2206" s="13"/>
      <c r="E2206" s="12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2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</row>
    <row r="2207" spans="1:41" x14ac:dyDescent="0.2">
      <c r="A2207" s="13"/>
      <c r="B2207" s="13"/>
      <c r="C2207" s="13"/>
      <c r="D2207" s="13"/>
      <c r="E2207" s="12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2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</row>
    <row r="2208" spans="1:41" x14ac:dyDescent="0.2">
      <c r="A2208" s="13"/>
      <c r="B2208" s="13"/>
      <c r="C2208" s="13"/>
      <c r="D2208" s="13"/>
      <c r="E2208" s="12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2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</row>
    <row r="2209" spans="1:41" x14ac:dyDescent="0.2">
      <c r="A2209" s="13"/>
      <c r="B2209" s="13"/>
      <c r="C2209" s="13"/>
      <c r="D2209" s="13"/>
      <c r="E2209" s="12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2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</row>
    <row r="2210" spans="1:41" x14ac:dyDescent="0.2">
      <c r="A2210" s="13"/>
      <c r="B2210" s="13"/>
      <c r="C2210" s="13"/>
      <c r="D2210" s="13"/>
      <c r="E2210" s="12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2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</row>
    <row r="2211" spans="1:41" x14ac:dyDescent="0.2">
      <c r="A2211" s="13"/>
      <c r="B2211" s="13"/>
      <c r="C2211" s="13"/>
      <c r="D2211" s="13"/>
      <c r="E2211" s="12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2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</row>
    <row r="2212" spans="1:41" x14ac:dyDescent="0.2">
      <c r="A2212" s="13"/>
      <c r="B2212" s="13"/>
      <c r="C2212" s="13"/>
      <c r="D2212" s="13"/>
      <c r="E2212" s="12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2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</row>
    <row r="2213" spans="1:41" x14ac:dyDescent="0.2">
      <c r="A2213" s="13"/>
      <c r="B2213" s="13"/>
      <c r="C2213" s="13"/>
      <c r="D2213" s="13"/>
      <c r="E2213" s="12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2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</row>
    <row r="2214" spans="1:41" x14ac:dyDescent="0.2">
      <c r="A2214" s="13"/>
      <c r="B2214" s="13"/>
      <c r="C2214" s="13"/>
      <c r="D2214" s="13"/>
      <c r="E2214" s="12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2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</row>
    <row r="2215" spans="1:41" x14ac:dyDescent="0.2">
      <c r="A2215" s="13"/>
      <c r="B2215" s="13"/>
      <c r="C2215" s="13"/>
      <c r="D2215" s="13"/>
      <c r="E2215" s="12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2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</row>
    <row r="2216" spans="1:41" x14ac:dyDescent="0.2">
      <c r="A2216" s="13"/>
      <c r="B2216" s="13"/>
      <c r="C2216" s="13"/>
      <c r="D2216" s="13"/>
      <c r="E2216" s="12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2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</row>
    <row r="2217" spans="1:41" x14ac:dyDescent="0.2">
      <c r="A2217" s="13"/>
      <c r="B2217" s="13"/>
      <c r="C2217" s="13"/>
      <c r="D2217" s="13"/>
      <c r="E2217" s="12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2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</row>
    <row r="2218" spans="1:41" x14ac:dyDescent="0.2">
      <c r="A2218" s="13"/>
      <c r="B2218" s="13"/>
      <c r="C2218" s="13"/>
      <c r="D2218" s="13"/>
      <c r="E2218" s="12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2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</row>
    <row r="2219" spans="1:41" x14ac:dyDescent="0.2">
      <c r="A2219" s="13"/>
      <c r="B2219" s="13"/>
      <c r="C2219" s="13"/>
      <c r="D2219" s="13"/>
      <c r="E2219" s="12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2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</row>
    <row r="2220" spans="1:41" x14ac:dyDescent="0.2">
      <c r="A2220" s="13"/>
      <c r="B2220" s="13"/>
      <c r="C2220" s="13"/>
      <c r="D2220" s="13"/>
      <c r="E2220" s="12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2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</row>
    <row r="2221" spans="1:41" x14ac:dyDescent="0.2">
      <c r="A2221" s="13"/>
      <c r="B2221" s="13"/>
      <c r="C2221" s="13"/>
      <c r="D2221" s="13"/>
      <c r="E2221" s="12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2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</row>
    <row r="2222" spans="1:41" x14ac:dyDescent="0.2">
      <c r="A2222" s="13"/>
      <c r="B2222" s="13"/>
      <c r="C2222" s="13"/>
      <c r="D2222" s="13"/>
      <c r="E2222" s="12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2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</row>
    <row r="2223" spans="1:41" x14ac:dyDescent="0.2">
      <c r="A2223" s="13"/>
      <c r="B2223" s="13"/>
      <c r="C2223" s="13"/>
      <c r="D2223" s="13"/>
      <c r="E2223" s="12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2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</row>
    <row r="2224" spans="1:41" x14ac:dyDescent="0.2">
      <c r="A2224" s="13"/>
      <c r="B2224" s="13"/>
      <c r="C2224" s="13"/>
      <c r="D2224" s="13"/>
      <c r="E2224" s="12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2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</row>
    <row r="2225" spans="1:41" x14ac:dyDescent="0.2">
      <c r="A2225" s="13"/>
      <c r="B2225" s="13"/>
      <c r="C2225" s="13"/>
      <c r="D2225" s="13"/>
      <c r="E2225" s="12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2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</row>
    <row r="2226" spans="1:41" x14ac:dyDescent="0.2">
      <c r="A2226" s="13"/>
      <c r="B2226" s="13"/>
      <c r="C2226" s="13"/>
      <c r="D2226" s="13"/>
      <c r="E2226" s="12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2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</row>
    <row r="2227" spans="1:41" x14ac:dyDescent="0.2">
      <c r="A2227" s="13"/>
      <c r="B2227" s="13"/>
      <c r="C2227" s="13"/>
      <c r="D2227" s="13"/>
      <c r="E2227" s="12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2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</row>
    <row r="2228" spans="1:41" x14ac:dyDescent="0.2">
      <c r="A2228" s="13"/>
      <c r="B2228" s="13"/>
      <c r="C2228" s="13"/>
      <c r="D2228" s="13"/>
      <c r="E2228" s="12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2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</row>
    <row r="2229" spans="1:41" x14ac:dyDescent="0.2">
      <c r="A2229" s="13"/>
      <c r="B2229" s="13"/>
      <c r="C2229" s="13"/>
      <c r="D2229" s="13"/>
      <c r="E2229" s="12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2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</row>
    <row r="2230" spans="1:41" x14ac:dyDescent="0.2">
      <c r="A2230" s="13"/>
      <c r="B2230" s="13"/>
      <c r="C2230" s="13"/>
      <c r="D2230" s="13"/>
      <c r="E2230" s="12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2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</row>
    <row r="2231" spans="1:41" x14ac:dyDescent="0.2">
      <c r="A2231" s="13"/>
      <c r="B2231" s="13"/>
      <c r="C2231" s="13"/>
      <c r="D2231" s="13"/>
      <c r="E2231" s="12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2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</row>
    <row r="2232" spans="1:41" x14ac:dyDescent="0.2">
      <c r="A2232" s="13"/>
      <c r="B2232" s="13"/>
      <c r="C2232" s="13"/>
      <c r="D2232" s="13"/>
      <c r="E2232" s="12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2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</row>
    <row r="2233" spans="1:41" x14ac:dyDescent="0.2">
      <c r="A2233" s="13"/>
      <c r="B2233" s="13"/>
      <c r="C2233" s="13"/>
      <c r="D2233" s="13"/>
      <c r="E2233" s="12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2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</row>
    <row r="2234" spans="1:41" x14ac:dyDescent="0.2">
      <c r="A2234" s="13"/>
      <c r="B2234" s="13"/>
      <c r="C2234" s="13"/>
      <c r="D2234" s="13"/>
      <c r="E2234" s="12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2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</row>
    <row r="2235" spans="1:41" x14ac:dyDescent="0.2">
      <c r="A2235" s="13"/>
      <c r="B2235" s="13"/>
      <c r="C2235" s="13"/>
      <c r="D2235" s="13"/>
      <c r="E2235" s="12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2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</row>
    <row r="2236" spans="1:41" x14ac:dyDescent="0.2">
      <c r="A2236" s="13"/>
      <c r="B2236" s="13"/>
      <c r="C2236" s="13"/>
      <c r="D2236" s="13"/>
      <c r="E2236" s="12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2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</row>
    <row r="2237" spans="1:41" x14ac:dyDescent="0.2">
      <c r="A2237" s="13"/>
      <c r="B2237" s="13"/>
      <c r="C2237" s="13"/>
      <c r="D2237" s="13"/>
      <c r="E2237" s="12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2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</row>
    <row r="2238" spans="1:41" x14ac:dyDescent="0.2">
      <c r="A2238" s="13"/>
      <c r="B2238" s="13"/>
      <c r="C2238" s="13"/>
      <c r="D2238" s="13"/>
      <c r="E2238" s="12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2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</row>
    <row r="2239" spans="1:41" x14ac:dyDescent="0.2">
      <c r="A2239" s="13"/>
      <c r="B2239" s="13"/>
      <c r="C2239" s="13"/>
      <c r="D2239" s="13"/>
      <c r="E2239" s="12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2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</row>
    <row r="2240" spans="1:41" x14ac:dyDescent="0.2">
      <c r="A2240" s="13"/>
      <c r="B2240" s="13"/>
      <c r="C2240" s="13"/>
      <c r="D2240" s="13"/>
      <c r="E2240" s="12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2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</row>
    <row r="2241" spans="1:41" x14ac:dyDescent="0.2">
      <c r="A2241" s="13"/>
      <c r="B2241" s="13"/>
      <c r="C2241" s="13"/>
      <c r="D2241" s="13"/>
      <c r="E2241" s="12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2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</row>
    <row r="2242" spans="1:41" x14ac:dyDescent="0.2">
      <c r="A2242" s="13"/>
      <c r="B2242" s="13"/>
      <c r="C2242" s="13"/>
      <c r="D2242" s="13"/>
      <c r="E2242" s="12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2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</row>
    <row r="2243" spans="1:41" x14ac:dyDescent="0.2">
      <c r="A2243" s="13"/>
      <c r="B2243" s="13"/>
      <c r="C2243" s="13"/>
      <c r="D2243" s="13"/>
      <c r="E2243" s="12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2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</row>
    <row r="2244" spans="1:41" x14ac:dyDescent="0.2">
      <c r="A2244" s="13"/>
      <c r="B2244" s="13"/>
      <c r="C2244" s="13"/>
      <c r="D2244" s="13"/>
      <c r="E2244" s="12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2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</row>
    <row r="2245" spans="1:41" x14ac:dyDescent="0.2">
      <c r="A2245" s="13"/>
      <c r="B2245" s="13"/>
      <c r="C2245" s="13"/>
      <c r="D2245" s="13"/>
      <c r="E2245" s="12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2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</row>
    <row r="2246" spans="1:41" x14ac:dyDescent="0.2">
      <c r="A2246" s="13"/>
      <c r="B2246" s="13"/>
      <c r="C2246" s="13"/>
      <c r="D2246" s="13"/>
      <c r="E2246" s="12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2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</row>
    <row r="2247" spans="1:41" x14ac:dyDescent="0.2">
      <c r="A2247" s="13"/>
      <c r="B2247" s="13"/>
      <c r="C2247" s="13"/>
      <c r="D2247" s="13"/>
      <c r="E2247" s="12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2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</row>
    <row r="2248" spans="1:41" x14ac:dyDescent="0.2">
      <c r="A2248" s="13"/>
      <c r="B2248" s="13"/>
      <c r="C2248" s="13"/>
      <c r="D2248" s="13"/>
      <c r="E2248" s="12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2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</row>
    <row r="2249" spans="1:41" x14ac:dyDescent="0.2">
      <c r="A2249" s="13"/>
      <c r="B2249" s="13"/>
      <c r="C2249" s="13"/>
      <c r="D2249" s="13"/>
      <c r="E2249" s="12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2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</row>
    <row r="2250" spans="1:41" x14ac:dyDescent="0.2">
      <c r="A2250" s="13"/>
      <c r="B2250" s="13"/>
      <c r="C2250" s="13"/>
      <c r="D2250" s="13"/>
      <c r="E2250" s="12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2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</row>
    <row r="2251" spans="1:41" x14ac:dyDescent="0.2">
      <c r="A2251" s="13"/>
      <c r="B2251" s="13"/>
      <c r="C2251" s="13"/>
      <c r="D2251" s="13"/>
      <c r="E2251" s="12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2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</row>
    <row r="2252" spans="1:41" x14ac:dyDescent="0.2">
      <c r="A2252" s="13"/>
      <c r="B2252" s="13"/>
      <c r="C2252" s="13"/>
      <c r="D2252" s="13"/>
      <c r="E2252" s="12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2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</row>
    <row r="2253" spans="1:41" x14ac:dyDescent="0.2">
      <c r="A2253" s="13"/>
      <c r="B2253" s="13"/>
      <c r="C2253" s="13"/>
      <c r="D2253" s="13"/>
      <c r="E2253" s="12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2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</row>
    <row r="2254" spans="1:41" x14ac:dyDescent="0.2">
      <c r="A2254" s="13"/>
      <c r="B2254" s="13"/>
      <c r="C2254" s="13"/>
      <c r="D2254" s="13"/>
      <c r="E2254" s="12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2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</row>
    <row r="2255" spans="1:41" x14ac:dyDescent="0.2">
      <c r="A2255" s="13"/>
      <c r="B2255" s="13"/>
      <c r="C2255" s="13"/>
      <c r="D2255" s="13"/>
      <c r="E2255" s="12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2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</row>
    <row r="2256" spans="1:41" x14ac:dyDescent="0.2">
      <c r="A2256" s="13"/>
      <c r="B2256" s="13"/>
      <c r="C2256" s="13"/>
      <c r="D2256" s="13"/>
      <c r="E2256" s="12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2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</row>
    <row r="2257" spans="1:41" x14ac:dyDescent="0.2">
      <c r="A2257" s="13"/>
      <c r="B2257" s="13"/>
      <c r="C2257" s="13"/>
      <c r="D2257" s="13"/>
      <c r="E2257" s="12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2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</row>
    <row r="2258" spans="1:41" x14ac:dyDescent="0.2">
      <c r="A2258" s="13"/>
      <c r="B2258" s="13"/>
      <c r="C2258" s="13"/>
      <c r="D2258" s="13"/>
      <c r="E2258" s="12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2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</row>
    <row r="2259" spans="1:41" x14ac:dyDescent="0.2">
      <c r="A2259" s="13"/>
      <c r="B2259" s="13"/>
      <c r="C2259" s="13"/>
      <c r="D2259" s="13"/>
      <c r="E2259" s="12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2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</row>
    <row r="2260" spans="1:41" x14ac:dyDescent="0.2">
      <c r="A2260" s="13"/>
      <c r="B2260" s="13"/>
      <c r="C2260" s="13"/>
      <c r="D2260" s="13"/>
      <c r="E2260" s="12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2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</row>
    <row r="2261" spans="1:41" x14ac:dyDescent="0.2">
      <c r="A2261" s="13"/>
      <c r="B2261" s="13"/>
      <c r="C2261" s="13"/>
      <c r="D2261" s="13"/>
      <c r="E2261" s="12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2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</row>
    <row r="2262" spans="1:41" x14ac:dyDescent="0.2">
      <c r="A2262" s="13"/>
      <c r="B2262" s="13"/>
      <c r="C2262" s="13"/>
      <c r="D2262" s="13"/>
      <c r="E2262" s="12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2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</row>
    <row r="2263" spans="1:41" x14ac:dyDescent="0.2">
      <c r="A2263" s="13"/>
      <c r="B2263" s="13"/>
      <c r="C2263" s="13"/>
      <c r="D2263" s="13"/>
      <c r="E2263" s="12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2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</row>
    <row r="2264" spans="1:41" x14ac:dyDescent="0.2">
      <c r="A2264" s="13"/>
      <c r="B2264" s="13"/>
      <c r="C2264" s="13"/>
      <c r="D2264" s="13"/>
      <c r="E2264" s="12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2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</row>
    <row r="2265" spans="1:41" x14ac:dyDescent="0.2">
      <c r="A2265" s="13"/>
      <c r="B2265" s="13"/>
      <c r="C2265" s="13"/>
      <c r="D2265" s="13"/>
      <c r="E2265" s="12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2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</row>
    <row r="2266" spans="1:41" x14ac:dyDescent="0.2">
      <c r="A2266" s="13"/>
      <c r="B2266" s="13"/>
      <c r="C2266" s="13"/>
      <c r="D2266" s="13"/>
      <c r="E2266" s="12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2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</row>
    <row r="2267" spans="1:41" x14ac:dyDescent="0.2">
      <c r="A2267" s="13"/>
      <c r="B2267" s="13"/>
      <c r="C2267" s="13"/>
      <c r="D2267" s="13"/>
      <c r="E2267" s="12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2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</row>
    <row r="2268" spans="1:41" x14ac:dyDescent="0.2">
      <c r="A2268" s="13"/>
      <c r="B2268" s="13"/>
      <c r="C2268" s="13"/>
      <c r="D2268" s="13"/>
      <c r="E2268" s="12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2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</row>
    <row r="2269" spans="1:41" x14ac:dyDescent="0.2">
      <c r="A2269" s="13"/>
      <c r="B2269" s="13"/>
      <c r="C2269" s="13"/>
      <c r="D2269" s="13"/>
      <c r="E2269" s="12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2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</row>
    <row r="2270" spans="1:41" x14ac:dyDescent="0.2">
      <c r="A2270" s="13"/>
      <c r="B2270" s="13"/>
      <c r="C2270" s="13"/>
      <c r="D2270" s="13"/>
      <c r="E2270" s="12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2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</row>
    <row r="2271" spans="1:41" x14ac:dyDescent="0.2">
      <c r="A2271" s="13"/>
      <c r="B2271" s="13"/>
      <c r="C2271" s="13"/>
      <c r="D2271" s="13"/>
      <c r="E2271" s="12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2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</row>
    <row r="2272" spans="1:41" x14ac:dyDescent="0.2">
      <c r="A2272" s="13"/>
      <c r="B2272" s="13"/>
      <c r="C2272" s="13"/>
      <c r="D2272" s="13"/>
      <c r="E2272" s="12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2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</row>
    <row r="2273" spans="1:41" x14ac:dyDescent="0.2">
      <c r="A2273" s="13"/>
      <c r="B2273" s="13"/>
      <c r="C2273" s="13"/>
      <c r="D2273" s="13"/>
      <c r="E2273" s="12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2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</row>
    <row r="2274" spans="1:41" x14ac:dyDescent="0.2">
      <c r="A2274" s="13"/>
      <c r="B2274" s="13"/>
      <c r="C2274" s="13"/>
      <c r="D2274" s="13"/>
      <c r="E2274" s="12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2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</row>
    <row r="2275" spans="1:41" x14ac:dyDescent="0.2">
      <c r="A2275" s="13"/>
      <c r="B2275" s="13"/>
      <c r="C2275" s="13"/>
      <c r="D2275" s="13"/>
      <c r="E2275" s="12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2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</row>
    <row r="2276" spans="1:41" x14ac:dyDescent="0.2">
      <c r="A2276" s="13"/>
      <c r="B2276" s="13"/>
      <c r="C2276" s="13"/>
      <c r="D2276" s="13"/>
      <c r="E2276" s="12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2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</row>
    <row r="2277" spans="1:41" x14ac:dyDescent="0.2">
      <c r="A2277" s="13"/>
      <c r="B2277" s="13"/>
      <c r="C2277" s="13"/>
      <c r="D2277" s="13"/>
      <c r="E2277" s="12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2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</row>
    <row r="2278" spans="1:41" x14ac:dyDescent="0.2">
      <c r="A2278" s="13"/>
      <c r="B2278" s="13"/>
      <c r="C2278" s="13"/>
      <c r="D2278" s="13"/>
      <c r="E2278" s="12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2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</row>
    <row r="2279" spans="1:41" x14ac:dyDescent="0.2">
      <c r="A2279" s="13"/>
      <c r="B2279" s="13"/>
      <c r="C2279" s="13"/>
      <c r="D2279" s="13"/>
      <c r="E2279" s="12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2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</row>
    <row r="2280" spans="1:41" x14ac:dyDescent="0.2">
      <c r="A2280" s="13"/>
      <c r="B2280" s="13"/>
      <c r="C2280" s="13"/>
      <c r="D2280" s="13"/>
      <c r="E2280" s="12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2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</row>
    <row r="2281" spans="1:41" x14ac:dyDescent="0.2">
      <c r="A2281" s="13"/>
      <c r="B2281" s="13"/>
      <c r="C2281" s="13"/>
      <c r="D2281" s="13"/>
      <c r="E2281" s="12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2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</row>
    <row r="2282" spans="1:41" x14ac:dyDescent="0.2">
      <c r="A2282" s="13"/>
      <c r="B2282" s="13"/>
      <c r="C2282" s="13"/>
      <c r="D2282" s="13"/>
      <c r="E2282" s="12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2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</row>
    <row r="2283" spans="1:41" x14ac:dyDescent="0.2">
      <c r="A2283" s="13"/>
      <c r="B2283" s="13"/>
      <c r="C2283" s="13"/>
      <c r="D2283" s="13"/>
      <c r="E2283" s="12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2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</row>
    <row r="2284" spans="1:41" x14ac:dyDescent="0.2">
      <c r="A2284" s="13"/>
      <c r="B2284" s="13"/>
      <c r="C2284" s="13"/>
      <c r="D2284" s="13"/>
      <c r="E2284" s="12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2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</row>
    <row r="2285" spans="1:41" x14ac:dyDescent="0.2">
      <c r="A2285" s="13"/>
      <c r="B2285" s="13"/>
      <c r="C2285" s="13"/>
      <c r="D2285" s="13"/>
      <c r="E2285" s="12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2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</row>
    <row r="2286" spans="1:41" x14ac:dyDescent="0.2">
      <c r="A2286" s="13"/>
      <c r="B2286" s="13"/>
      <c r="C2286" s="13"/>
      <c r="D2286" s="13"/>
      <c r="E2286" s="12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2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</row>
    <row r="2287" spans="1:41" x14ac:dyDescent="0.2">
      <c r="A2287" s="13"/>
      <c r="B2287" s="13"/>
      <c r="C2287" s="13"/>
      <c r="D2287" s="13"/>
      <c r="E2287" s="12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2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</row>
    <row r="2288" spans="1:41" x14ac:dyDescent="0.2">
      <c r="A2288" s="13"/>
      <c r="B2288" s="13"/>
      <c r="C2288" s="13"/>
      <c r="D2288" s="13"/>
      <c r="E2288" s="12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2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</row>
    <row r="2289" spans="1:41" x14ac:dyDescent="0.2">
      <c r="A2289" s="13"/>
      <c r="B2289" s="13"/>
      <c r="C2289" s="13"/>
      <c r="D2289" s="13"/>
      <c r="E2289" s="12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2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</row>
    <row r="2290" spans="1:41" x14ac:dyDescent="0.2">
      <c r="A2290" s="13"/>
      <c r="B2290" s="13"/>
      <c r="C2290" s="13"/>
      <c r="D2290" s="13"/>
      <c r="E2290" s="12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2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</row>
    <row r="2291" spans="1:41" x14ac:dyDescent="0.2">
      <c r="A2291" s="13"/>
      <c r="B2291" s="13"/>
      <c r="C2291" s="13"/>
      <c r="D2291" s="13"/>
      <c r="E2291" s="12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2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</row>
    <row r="2292" spans="1:41" x14ac:dyDescent="0.2">
      <c r="A2292" s="13"/>
      <c r="B2292" s="13"/>
      <c r="C2292" s="13"/>
      <c r="D2292" s="13"/>
      <c r="E2292" s="12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2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</row>
    <row r="2293" spans="1:41" x14ac:dyDescent="0.2">
      <c r="A2293" s="13"/>
      <c r="B2293" s="13"/>
      <c r="C2293" s="13"/>
      <c r="D2293" s="13"/>
      <c r="E2293" s="12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2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</row>
    <row r="2294" spans="1:41" x14ac:dyDescent="0.2">
      <c r="A2294" s="13"/>
      <c r="B2294" s="13"/>
      <c r="C2294" s="13"/>
      <c r="D2294" s="13"/>
      <c r="E2294" s="12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2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</row>
    <row r="2295" spans="1:41" x14ac:dyDescent="0.2">
      <c r="A2295" s="13"/>
      <c r="B2295" s="13"/>
      <c r="C2295" s="13"/>
      <c r="D2295" s="13"/>
      <c r="E2295" s="12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2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</row>
    <row r="2296" spans="1:41" x14ac:dyDescent="0.2">
      <c r="A2296" s="13"/>
      <c r="B2296" s="13"/>
      <c r="C2296" s="13"/>
      <c r="D2296" s="13"/>
      <c r="E2296" s="12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2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</row>
    <row r="2297" spans="1:41" x14ac:dyDescent="0.2">
      <c r="A2297" s="13"/>
      <c r="B2297" s="13"/>
      <c r="C2297" s="13"/>
      <c r="D2297" s="13"/>
      <c r="E2297" s="12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2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</row>
    <row r="2298" spans="1:41" x14ac:dyDescent="0.2">
      <c r="A2298" s="13"/>
      <c r="B2298" s="13"/>
      <c r="C2298" s="13"/>
      <c r="D2298" s="13"/>
      <c r="E2298" s="12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2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</row>
    <row r="2299" spans="1:41" x14ac:dyDescent="0.2">
      <c r="A2299" s="13"/>
      <c r="B2299" s="13"/>
      <c r="C2299" s="13"/>
      <c r="D2299" s="13"/>
      <c r="E2299" s="12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2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</row>
    <row r="2300" spans="1:41" x14ac:dyDescent="0.2">
      <c r="A2300" s="13"/>
      <c r="B2300" s="13"/>
      <c r="C2300" s="13"/>
      <c r="D2300" s="13"/>
      <c r="E2300" s="12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2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</row>
    <row r="2301" spans="1:41" x14ac:dyDescent="0.2">
      <c r="A2301" s="13"/>
      <c r="B2301" s="13"/>
      <c r="C2301" s="13"/>
      <c r="D2301" s="13"/>
      <c r="E2301" s="12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2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</row>
    <row r="2302" spans="1:41" x14ac:dyDescent="0.2">
      <c r="A2302" s="13"/>
      <c r="B2302" s="13"/>
      <c r="C2302" s="13"/>
      <c r="D2302" s="13"/>
      <c r="E2302" s="12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2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</row>
    <row r="2303" spans="1:41" x14ac:dyDescent="0.2">
      <c r="A2303" s="13"/>
      <c r="B2303" s="13"/>
      <c r="C2303" s="13"/>
      <c r="D2303" s="13"/>
      <c r="E2303" s="12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2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</row>
    <row r="2304" spans="1:41" x14ac:dyDescent="0.2">
      <c r="A2304" s="13"/>
      <c r="B2304" s="13"/>
      <c r="C2304" s="13"/>
      <c r="D2304" s="13"/>
      <c r="E2304" s="12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2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</row>
    <row r="2305" spans="1:41" x14ac:dyDescent="0.2">
      <c r="A2305" s="13"/>
      <c r="B2305" s="13"/>
      <c r="C2305" s="13"/>
      <c r="D2305" s="13"/>
      <c r="E2305" s="12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2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</row>
    <row r="2306" spans="1:41" x14ac:dyDescent="0.2">
      <c r="A2306" s="13"/>
      <c r="B2306" s="13"/>
      <c r="C2306" s="13"/>
      <c r="D2306" s="13"/>
      <c r="E2306" s="12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2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</row>
    <row r="2307" spans="1:41" x14ac:dyDescent="0.2">
      <c r="A2307" s="13"/>
      <c r="B2307" s="13"/>
      <c r="C2307" s="13"/>
      <c r="D2307" s="13"/>
      <c r="E2307" s="12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2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</row>
    <row r="2308" spans="1:41" x14ac:dyDescent="0.2">
      <c r="A2308" s="13"/>
      <c r="B2308" s="13"/>
      <c r="C2308" s="13"/>
      <c r="D2308" s="13"/>
      <c r="E2308" s="12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2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</row>
    <row r="2309" spans="1:41" x14ac:dyDescent="0.2">
      <c r="A2309" s="13"/>
      <c r="B2309" s="13"/>
      <c r="C2309" s="13"/>
      <c r="D2309" s="13"/>
      <c r="E2309" s="12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2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</row>
    <row r="2310" spans="1:41" x14ac:dyDescent="0.2">
      <c r="A2310" s="13"/>
      <c r="B2310" s="13"/>
      <c r="C2310" s="13"/>
      <c r="D2310" s="13"/>
      <c r="E2310" s="12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2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</row>
    <row r="2311" spans="1:41" x14ac:dyDescent="0.2">
      <c r="A2311" s="13"/>
      <c r="B2311" s="13"/>
      <c r="C2311" s="13"/>
      <c r="D2311" s="13"/>
      <c r="E2311" s="12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2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</row>
    <row r="2312" spans="1:41" x14ac:dyDescent="0.2">
      <c r="A2312" s="13"/>
      <c r="B2312" s="13"/>
      <c r="C2312" s="13"/>
      <c r="D2312" s="13"/>
      <c r="E2312" s="12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2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</row>
    <row r="2313" spans="1:41" x14ac:dyDescent="0.2">
      <c r="A2313" s="13"/>
      <c r="B2313" s="13"/>
      <c r="C2313" s="13"/>
      <c r="D2313" s="13"/>
      <c r="E2313" s="12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2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</row>
    <row r="2314" spans="1:41" x14ac:dyDescent="0.2">
      <c r="A2314" s="13"/>
      <c r="B2314" s="13"/>
      <c r="C2314" s="13"/>
      <c r="D2314" s="13"/>
      <c r="E2314" s="12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2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</row>
    <row r="2315" spans="1:41" x14ac:dyDescent="0.2">
      <c r="A2315" s="13"/>
      <c r="B2315" s="13"/>
      <c r="C2315" s="13"/>
      <c r="D2315" s="13"/>
      <c r="E2315" s="12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2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</row>
    <row r="2316" spans="1:41" x14ac:dyDescent="0.2">
      <c r="A2316" s="13"/>
      <c r="B2316" s="13"/>
      <c r="C2316" s="13"/>
      <c r="D2316" s="13"/>
      <c r="E2316" s="12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2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</row>
    <row r="2317" spans="1:41" x14ac:dyDescent="0.2">
      <c r="A2317" s="13"/>
      <c r="B2317" s="13"/>
      <c r="C2317" s="13"/>
      <c r="D2317" s="13"/>
      <c r="E2317" s="12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2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</row>
    <row r="2318" spans="1:41" x14ac:dyDescent="0.2">
      <c r="A2318" s="13"/>
      <c r="B2318" s="13"/>
      <c r="C2318" s="13"/>
      <c r="D2318" s="13"/>
      <c r="E2318" s="12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2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</row>
    <row r="2319" spans="1:41" x14ac:dyDescent="0.2">
      <c r="A2319" s="13"/>
      <c r="B2319" s="13"/>
      <c r="C2319" s="13"/>
      <c r="D2319" s="13"/>
      <c r="E2319" s="12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2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</row>
    <row r="2320" spans="1:41" x14ac:dyDescent="0.2">
      <c r="A2320" s="13"/>
      <c r="B2320" s="13"/>
      <c r="C2320" s="13"/>
      <c r="D2320" s="13"/>
      <c r="E2320" s="12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2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</row>
    <row r="2321" spans="1:41" x14ac:dyDescent="0.2">
      <c r="A2321" s="13"/>
      <c r="B2321" s="13"/>
      <c r="C2321" s="13"/>
      <c r="D2321" s="13"/>
      <c r="E2321" s="12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2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</row>
    <row r="2322" spans="1:41" x14ac:dyDescent="0.2">
      <c r="A2322" s="13"/>
      <c r="B2322" s="13"/>
      <c r="C2322" s="13"/>
      <c r="D2322" s="13"/>
      <c r="E2322" s="12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2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</row>
    <row r="2323" spans="1:41" x14ac:dyDescent="0.2">
      <c r="A2323" s="13"/>
      <c r="B2323" s="13"/>
      <c r="C2323" s="13"/>
      <c r="D2323" s="13"/>
      <c r="E2323" s="12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2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</row>
    <row r="2324" spans="1:41" x14ac:dyDescent="0.2">
      <c r="A2324" s="13"/>
      <c r="B2324" s="13"/>
      <c r="C2324" s="13"/>
      <c r="D2324" s="13"/>
      <c r="E2324" s="12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2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</row>
    <row r="2325" spans="1:41" x14ac:dyDescent="0.2">
      <c r="A2325" s="13"/>
      <c r="B2325" s="13"/>
      <c r="C2325" s="13"/>
      <c r="D2325" s="13"/>
      <c r="E2325" s="12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2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</row>
    <row r="2326" spans="1:41" x14ac:dyDescent="0.2">
      <c r="A2326" s="13"/>
      <c r="B2326" s="13"/>
      <c r="C2326" s="13"/>
      <c r="D2326" s="13"/>
      <c r="E2326" s="12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2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</row>
    <row r="2327" spans="1:41" x14ac:dyDescent="0.2">
      <c r="A2327" s="13"/>
      <c r="B2327" s="13"/>
      <c r="C2327" s="13"/>
      <c r="D2327" s="13"/>
      <c r="E2327" s="12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2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</row>
    <row r="2328" spans="1:41" x14ac:dyDescent="0.2">
      <c r="A2328" s="13"/>
      <c r="B2328" s="13"/>
      <c r="C2328" s="13"/>
      <c r="D2328" s="13"/>
      <c r="E2328" s="12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2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</row>
    <row r="2329" spans="1:41" x14ac:dyDescent="0.2">
      <c r="A2329" s="13"/>
      <c r="B2329" s="13"/>
      <c r="C2329" s="13"/>
      <c r="D2329" s="13"/>
      <c r="E2329" s="12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2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</row>
    <row r="2330" spans="1:41" x14ac:dyDescent="0.2">
      <c r="A2330" s="13"/>
      <c r="B2330" s="13"/>
      <c r="C2330" s="13"/>
      <c r="D2330" s="13"/>
      <c r="E2330" s="12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2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</row>
    <row r="2331" spans="1:41" x14ac:dyDescent="0.2">
      <c r="A2331" s="13"/>
      <c r="B2331" s="13"/>
      <c r="C2331" s="13"/>
      <c r="D2331" s="13"/>
      <c r="E2331" s="12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2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</row>
    <row r="2332" spans="1:41" x14ac:dyDescent="0.2">
      <c r="A2332" s="13"/>
      <c r="B2332" s="13"/>
      <c r="C2332" s="13"/>
      <c r="D2332" s="13"/>
      <c r="E2332" s="12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2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</row>
    <row r="2333" spans="1:41" x14ac:dyDescent="0.2">
      <c r="A2333" s="13"/>
      <c r="B2333" s="13"/>
      <c r="C2333" s="13"/>
      <c r="D2333" s="13"/>
      <c r="E2333" s="12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2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</row>
    <row r="2334" spans="1:41" x14ac:dyDescent="0.2">
      <c r="A2334" s="13"/>
      <c r="B2334" s="13"/>
      <c r="C2334" s="13"/>
      <c r="D2334" s="13"/>
      <c r="E2334" s="12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2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</row>
    <row r="2335" spans="1:41" x14ac:dyDescent="0.2">
      <c r="A2335" s="13"/>
      <c r="B2335" s="13"/>
      <c r="C2335" s="13"/>
      <c r="D2335" s="13"/>
      <c r="E2335" s="12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2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</row>
    <row r="2336" spans="1:41" x14ac:dyDescent="0.2">
      <c r="A2336" s="13"/>
      <c r="B2336" s="13"/>
      <c r="C2336" s="13"/>
      <c r="D2336" s="13"/>
      <c r="E2336" s="12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2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</row>
    <row r="2337" spans="1:41" x14ac:dyDescent="0.2">
      <c r="A2337" s="13"/>
      <c r="B2337" s="13"/>
      <c r="C2337" s="13"/>
      <c r="D2337" s="13"/>
      <c r="E2337" s="12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2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</row>
    <row r="2338" spans="1:41" x14ac:dyDescent="0.2">
      <c r="A2338" s="13"/>
      <c r="B2338" s="13"/>
      <c r="C2338" s="13"/>
      <c r="D2338" s="13"/>
      <c r="E2338" s="12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2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</row>
    <row r="2339" spans="1:41" x14ac:dyDescent="0.2">
      <c r="A2339" s="13"/>
      <c r="B2339" s="13"/>
      <c r="C2339" s="13"/>
      <c r="D2339" s="13"/>
      <c r="E2339" s="12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2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</row>
    <row r="2340" spans="1:41" x14ac:dyDescent="0.2">
      <c r="A2340" s="13"/>
      <c r="B2340" s="13"/>
      <c r="C2340" s="13"/>
      <c r="D2340" s="13"/>
      <c r="E2340" s="12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2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</row>
    <row r="2341" spans="1:41" x14ac:dyDescent="0.2">
      <c r="A2341" s="13"/>
      <c r="B2341" s="13"/>
      <c r="C2341" s="13"/>
      <c r="D2341" s="13"/>
      <c r="E2341" s="12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2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</row>
    <row r="2342" spans="1:41" x14ac:dyDescent="0.2">
      <c r="A2342" s="13"/>
      <c r="B2342" s="13"/>
      <c r="C2342" s="13"/>
      <c r="D2342" s="13"/>
      <c r="E2342" s="12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2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</row>
    <row r="2343" spans="1:41" x14ac:dyDescent="0.2">
      <c r="A2343" s="13"/>
      <c r="B2343" s="13"/>
      <c r="C2343" s="13"/>
      <c r="D2343" s="13"/>
      <c r="E2343" s="12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2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</row>
    <row r="2344" spans="1:41" x14ac:dyDescent="0.2">
      <c r="A2344" s="13"/>
      <c r="B2344" s="13"/>
      <c r="C2344" s="13"/>
      <c r="D2344" s="13"/>
      <c r="E2344" s="12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2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</row>
    <row r="2345" spans="1:41" x14ac:dyDescent="0.2">
      <c r="A2345" s="13"/>
      <c r="B2345" s="13"/>
      <c r="C2345" s="13"/>
      <c r="D2345" s="13"/>
      <c r="E2345" s="12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2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</row>
    <row r="2346" spans="1:41" x14ac:dyDescent="0.2">
      <c r="A2346" s="13"/>
      <c r="B2346" s="13"/>
      <c r="C2346" s="13"/>
      <c r="D2346" s="13"/>
      <c r="E2346" s="12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2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</row>
    <row r="2347" spans="1:41" x14ac:dyDescent="0.2">
      <c r="A2347" s="13"/>
      <c r="B2347" s="13"/>
      <c r="C2347" s="13"/>
      <c r="D2347" s="13"/>
      <c r="E2347" s="12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2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</row>
    <row r="2348" spans="1:41" x14ac:dyDescent="0.2">
      <c r="A2348" s="13"/>
      <c r="B2348" s="13"/>
      <c r="C2348" s="13"/>
      <c r="D2348" s="13"/>
      <c r="E2348" s="12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2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</row>
    <row r="2349" spans="1:41" x14ac:dyDescent="0.2">
      <c r="A2349" s="13"/>
      <c r="B2349" s="13"/>
      <c r="C2349" s="13"/>
      <c r="D2349" s="13"/>
      <c r="E2349" s="12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2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</row>
    <row r="2350" spans="1:41" x14ac:dyDescent="0.2">
      <c r="A2350" s="13"/>
      <c r="B2350" s="13"/>
      <c r="C2350" s="13"/>
      <c r="D2350" s="13"/>
      <c r="E2350" s="12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2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</row>
    <row r="2351" spans="1:41" x14ac:dyDescent="0.2">
      <c r="A2351" s="13"/>
      <c r="B2351" s="13"/>
      <c r="C2351" s="13"/>
      <c r="D2351" s="13"/>
      <c r="E2351" s="12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2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</row>
    <row r="2352" spans="1:41" x14ac:dyDescent="0.2">
      <c r="A2352" s="13"/>
      <c r="B2352" s="13"/>
      <c r="C2352" s="13"/>
      <c r="D2352" s="13"/>
      <c r="E2352" s="12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2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</row>
    <row r="2353" spans="1:41" x14ac:dyDescent="0.2">
      <c r="A2353" s="13"/>
      <c r="B2353" s="13"/>
      <c r="C2353" s="13"/>
      <c r="D2353" s="13"/>
      <c r="E2353" s="12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2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</row>
    <row r="2354" spans="1:41" x14ac:dyDescent="0.2">
      <c r="A2354" s="13"/>
      <c r="B2354" s="13"/>
      <c r="C2354" s="13"/>
      <c r="D2354" s="13"/>
      <c r="E2354" s="12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2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</row>
    <row r="2355" spans="1:41" x14ac:dyDescent="0.2">
      <c r="A2355" s="13"/>
      <c r="B2355" s="13"/>
      <c r="C2355" s="13"/>
      <c r="D2355" s="13"/>
      <c r="E2355" s="12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2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</row>
    <row r="2356" spans="1:41" x14ac:dyDescent="0.2">
      <c r="A2356" s="13"/>
      <c r="B2356" s="13"/>
      <c r="C2356" s="13"/>
      <c r="D2356" s="13"/>
      <c r="E2356" s="12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2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</row>
    <row r="2357" spans="1:41" x14ac:dyDescent="0.2">
      <c r="A2357" s="13"/>
      <c r="B2357" s="13"/>
      <c r="C2357" s="13"/>
      <c r="D2357" s="13"/>
      <c r="E2357" s="12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2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</row>
    <row r="2358" spans="1:41" x14ac:dyDescent="0.2">
      <c r="A2358" s="13"/>
      <c r="B2358" s="13"/>
      <c r="C2358" s="13"/>
      <c r="D2358" s="13"/>
      <c r="E2358" s="12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2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</row>
    <row r="2359" spans="1:41" x14ac:dyDescent="0.2">
      <c r="A2359" s="13"/>
      <c r="B2359" s="13"/>
      <c r="C2359" s="13"/>
      <c r="D2359" s="13"/>
      <c r="E2359" s="12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2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</row>
    <row r="2360" spans="1:41" x14ac:dyDescent="0.2">
      <c r="A2360" s="13"/>
      <c r="B2360" s="13"/>
      <c r="C2360" s="13"/>
      <c r="D2360" s="13"/>
      <c r="E2360" s="12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2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</row>
    <row r="2361" spans="1:41" x14ac:dyDescent="0.2">
      <c r="A2361" s="13"/>
      <c r="B2361" s="13"/>
      <c r="C2361" s="13"/>
      <c r="D2361" s="13"/>
      <c r="E2361" s="12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2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</row>
    <row r="2362" spans="1:41" x14ac:dyDescent="0.2">
      <c r="A2362" s="13"/>
      <c r="B2362" s="13"/>
      <c r="C2362" s="13"/>
      <c r="D2362" s="13"/>
      <c r="E2362" s="12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2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</row>
    <row r="2363" spans="1:41" x14ac:dyDescent="0.2">
      <c r="A2363" s="13"/>
      <c r="B2363" s="13"/>
      <c r="C2363" s="13"/>
      <c r="D2363" s="13"/>
      <c r="E2363" s="12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2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</row>
    <row r="2364" spans="1:41" x14ac:dyDescent="0.2">
      <c r="A2364" s="13"/>
      <c r="B2364" s="13"/>
      <c r="C2364" s="13"/>
      <c r="D2364" s="13"/>
      <c r="E2364" s="12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2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</row>
    <row r="2365" spans="1:41" x14ac:dyDescent="0.2">
      <c r="A2365" s="13"/>
      <c r="B2365" s="13"/>
      <c r="C2365" s="13"/>
      <c r="D2365" s="13"/>
      <c r="E2365" s="12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2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</row>
    <row r="2366" spans="1:41" x14ac:dyDescent="0.2">
      <c r="A2366" s="13"/>
      <c r="B2366" s="13"/>
      <c r="C2366" s="13"/>
      <c r="D2366" s="13"/>
      <c r="E2366" s="12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2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</row>
    <row r="2367" spans="1:41" x14ac:dyDescent="0.2">
      <c r="A2367" s="13"/>
      <c r="B2367" s="13"/>
      <c r="C2367" s="13"/>
      <c r="D2367" s="13"/>
      <c r="E2367" s="12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2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</row>
    <row r="2368" spans="1:41" x14ac:dyDescent="0.2">
      <c r="A2368" s="13"/>
      <c r="B2368" s="13"/>
      <c r="C2368" s="13"/>
      <c r="D2368" s="13"/>
      <c r="E2368" s="12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2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</row>
    <row r="2369" spans="1:41" x14ac:dyDescent="0.2">
      <c r="A2369" s="13"/>
      <c r="B2369" s="13"/>
      <c r="C2369" s="13"/>
      <c r="D2369" s="13"/>
      <c r="E2369" s="12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2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</row>
    <row r="2370" spans="1:41" x14ac:dyDescent="0.2">
      <c r="A2370" s="13"/>
      <c r="B2370" s="13"/>
      <c r="C2370" s="13"/>
      <c r="D2370" s="13"/>
      <c r="E2370" s="12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2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</row>
    <row r="2371" spans="1:41" x14ac:dyDescent="0.2">
      <c r="A2371" s="13"/>
      <c r="B2371" s="13"/>
      <c r="C2371" s="13"/>
      <c r="D2371" s="13"/>
      <c r="E2371" s="12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2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</row>
    <row r="2372" spans="1:41" x14ac:dyDescent="0.2">
      <c r="A2372" s="13"/>
      <c r="B2372" s="13"/>
      <c r="C2372" s="13"/>
      <c r="D2372" s="13"/>
      <c r="E2372" s="12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2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</row>
    <row r="2373" spans="1:41" x14ac:dyDescent="0.2">
      <c r="A2373" s="13"/>
      <c r="B2373" s="13"/>
      <c r="C2373" s="13"/>
      <c r="D2373" s="13"/>
      <c r="E2373" s="12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2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</row>
    <row r="2374" spans="1:41" x14ac:dyDescent="0.2">
      <c r="A2374" s="13"/>
      <c r="B2374" s="13"/>
      <c r="C2374" s="13"/>
      <c r="D2374" s="13"/>
      <c r="E2374" s="12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2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</row>
    <row r="2375" spans="1:41" x14ac:dyDescent="0.2">
      <c r="A2375" s="13"/>
      <c r="B2375" s="13"/>
      <c r="C2375" s="13"/>
      <c r="D2375" s="13"/>
      <c r="E2375" s="12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2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</row>
    <row r="2376" spans="1:41" x14ac:dyDescent="0.2">
      <c r="A2376" s="13"/>
      <c r="B2376" s="13"/>
      <c r="C2376" s="13"/>
      <c r="D2376" s="13"/>
      <c r="E2376" s="12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2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</row>
    <row r="2377" spans="1:41" x14ac:dyDescent="0.2">
      <c r="A2377" s="13"/>
      <c r="B2377" s="13"/>
      <c r="C2377" s="13"/>
      <c r="D2377" s="13"/>
      <c r="E2377" s="12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2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</row>
    <row r="2378" spans="1:41" x14ac:dyDescent="0.2">
      <c r="A2378" s="13"/>
      <c r="B2378" s="13"/>
      <c r="C2378" s="13"/>
      <c r="D2378" s="13"/>
      <c r="E2378" s="12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2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</row>
    <row r="2379" spans="1:41" x14ac:dyDescent="0.2">
      <c r="A2379" s="13"/>
      <c r="B2379" s="13"/>
      <c r="C2379" s="13"/>
      <c r="D2379" s="13"/>
      <c r="E2379" s="12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2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</row>
    <row r="2380" spans="1:41" x14ac:dyDescent="0.2">
      <c r="A2380" s="13"/>
      <c r="B2380" s="13"/>
      <c r="C2380" s="13"/>
      <c r="D2380" s="13"/>
      <c r="E2380" s="12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2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</row>
    <row r="2381" spans="1:41" x14ac:dyDescent="0.2">
      <c r="A2381" s="13"/>
      <c r="B2381" s="13"/>
      <c r="C2381" s="13"/>
      <c r="D2381" s="13"/>
      <c r="E2381" s="12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2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</row>
    <row r="2382" spans="1:41" x14ac:dyDescent="0.2">
      <c r="A2382" s="13"/>
      <c r="B2382" s="13"/>
      <c r="C2382" s="13"/>
      <c r="D2382" s="13"/>
      <c r="E2382" s="12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2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</row>
    <row r="2383" spans="1:41" x14ac:dyDescent="0.2">
      <c r="A2383" s="13"/>
      <c r="B2383" s="13"/>
      <c r="C2383" s="13"/>
      <c r="D2383" s="13"/>
      <c r="E2383" s="12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2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</row>
    <row r="2384" spans="1:41" x14ac:dyDescent="0.2">
      <c r="A2384" s="13"/>
      <c r="B2384" s="13"/>
      <c r="C2384" s="13"/>
      <c r="D2384" s="13"/>
      <c r="E2384" s="12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2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</row>
    <row r="2385" spans="1:41" x14ac:dyDescent="0.2">
      <c r="A2385" s="13"/>
      <c r="B2385" s="13"/>
      <c r="C2385" s="13"/>
      <c r="D2385" s="13"/>
      <c r="E2385" s="12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2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</row>
    <row r="2386" spans="1:41" x14ac:dyDescent="0.2">
      <c r="A2386" s="13"/>
      <c r="B2386" s="13"/>
      <c r="C2386" s="13"/>
      <c r="D2386" s="13"/>
      <c r="E2386" s="12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2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</row>
    <row r="2387" spans="1:41" x14ac:dyDescent="0.2">
      <c r="A2387" s="13"/>
      <c r="B2387" s="13"/>
      <c r="C2387" s="13"/>
      <c r="D2387" s="13"/>
      <c r="E2387" s="12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2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</row>
    <row r="2388" spans="1:41" x14ac:dyDescent="0.2">
      <c r="A2388" s="13"/>
      <c r="B2388" s="13"/>
      <c r="C2388" s="13"/>
      <c r="D2388" s="13"/>
      <c r="E2388" s="12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2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</row>
    <row r="2389" spans="1:41" x14ac:dyDescent="0.2">
      <c r="A2389" s="13"/>
      <c r="B2389" s="13"/>
      <c r="C2389" s="13"/>
      <c r="D2389" s="13"/>
      <c r="E2389" s="12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2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</row>
    <row r="2390" spans="1:41" x14ac:dyDescent="0.2">
      <c r="A2390" s="13"/>
      <c r="B2390" s="13"/>
      <c r="C2390" s="13"/>
      <c r="D2390" s="13"/>
      <c r="E2390" s="12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2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</row>
    <row r="2391" spans="1:41" x14ac:dyDescent="0.2">
      <c r="A2391" s="13"/>
      <c r="B2391" s="13"/>
      <c r="C2391" s="13"/>
      <c r="D2391" s="13"/>
      <c r="E2391" s="12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2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</row>
    <row r="2392" spans="1:41" x14ac:dyDescent="0.2">
      <c r="A2392" s="13"/>
      <c r="B2392" s="13"/>
      <c r="C2392" s="13"/>
      <c r="D2392" s="13"/>
      <c r="E2392" s="12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2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</row>
    <row r="2393" spans="1:41" x14ac:dyDescent="0.2">
      <c r="A2393" s="13"/>
      <c r="B2393" s="13"/>
      <c r="C2393" s="13"/>
      <c r="D2393" s="13"/>
      <c r="E2393" s="12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2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</row>
    <row r="2394" spans="1:41" x14ac:dyDescent="0.2">
      <c r="A2394" s="13"/>
      <c r="B2394" s="13"/>
      <c r="C2394" s="13"/>
      <c r="D2394" s="13"/>
      <c r="E2394" s="12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2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</row>
    <row r="2395" spans="1:41" x14ac:dyDescent="0.2">
      <c r="A2395" s="13"/>
      <c r="B2395" s="13"/>
      <c r="C2395" s="13"/>
      <c r="D2395" s="13"/>
      <c r="E2395" s="12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2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</row>
    <row r="2396" spans="1:41" x14ac:dyDescent="0.2">
      <c r="A2396" s="13"/>
      <c r="B2396" s="13"/>
      <c r="C2396" s="13"/>
      <c r="D2396" s="13"/>
      <c r="E2396" s="12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2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</row>
    <row r="2397" spans="1:41" x14ac:dyDescent="0.2">
      <c r="A2397" s="13"/>
      <c r="B2397" s="13"/>
      <c r="C2397" s="13"/>
      <c r="D2397" s="13"/>
      <c r="E2397" s="12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2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</row>
    <row r="2398" spans="1:41" x14ac:dyDescent="0.2">
      <c r="A2398" s="13"/>
      <c r="B2398" s="13"/>
      <c r="C2398" s="13"/>
      <c r="D2398" s="13"/>
      <c r="E2398" s="12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2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</row>
    <row r="2399" spans="1:41" x14ac:dyDescent="0.2">
      <c r="A2399" s="13"/>
      <c r="B2399" s="13"/>
      <c r="C2399" s="13"/>
      <c r="D2399" s="13"/>
      <c r="E2399" s="12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2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</row>
    <row r="2400" spans="1:41" x14ac:dyDescent="0.2">
      <c r="A2400" s="13"/>
      <c r="B2400" s="13"/>
      <c r="C2400" s="13"/>
      <c r="D2400" s="13"/>
      <c r="E2400" s="12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2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</row>
    <row r="2401" spans="1:41" x14ac:dyDescent="0.2">
      <c r="A2401" s="13"/>
      <c r="B2401" s="13"/>
      <c r="C2401" s="13"/>
      <c r="D2401" s="13"/>
      <c r="E2401" s="12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2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</row>
    <row r="2402" spans="1:41" x14ac:dyDescent="0.2">
      <c r="A2402" s="13"/>
      <c r="B2402" s="13"/>
      <c r="C2402" s="13"/>
      <c r="D2402" s="13"/>
      <c r="E2402" s="12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2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</row>
    <row r="2403" spans="1:41" x14ac:dyDescent="0.2">
      <c r="A2403" s="13"/>
      <c r="B2403" s="13"/>
      <c r="C2403" s="13"/>
      <c r="D2403" s="13"/>
      <c r="E2403" s="12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2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</row>
    <row r="2404" spans="1:41" x14ac:dyDescent="0.2">
      <c r="A2404" s="13"/>
      <c r="B2404" s="13"/>
      <c r="C2404" s="13"/>
      <c r="D2404" s="13"/>
      <c r="E2404" s="12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2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</row>
    <row r="2405" spans="1:41" x14ac:dyDescent="0.2">
      <c r="A2405" s="13"/>
      <c r="B2405" s="13"/>
      <c r="C2405" s="13"/>
      <c r="D2405" s="13"/>
      <c r="E2405" s="12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2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</row>
    <row r="2406" spans="1:41" x14ac:dyDescent="0.2">
      <c r="A2406" s="13"/>
      <c r="B2406" s="13"/>
      <c r="C2406" s="13"/>
      <c r="D2406" s="13"/>
      <c r="E2406" s="12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2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</row>
    <row r="2407" spans="1:41" x14ac:dyDescent="0.2">
      <c r="A2407" s="13"/>
      <c r="B2407" s="13"/>
      <c r="C2407" s="13"/>
      <c r="D2407" s="13"/>
      <c r="E2407" s="12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2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</row>
    <row r="2408" spans="1:41" x14ac:dyDescent="0.2">
      <c r="A2408" s="13"/>
      <c r="B2408" s="13"/>
      <c r="C2408" s="13"/>
      <c r="D2408" s="13"/>
      <c r="E2408" s="12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2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</row>
    <row r="2409" spans="1:41" x14ac:dyDescent="0.2">
      <c r="A2409" s="13"/>
      <c r="B2409" s="13"/>
      <c r="C2409" s="13"/>
      <c r="D2409" s="13"/>
      <c r="E2409" s="12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2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</row>
    <row r="2410" spans="1:41" x14ac:dyDescent="0.2">
      <c r="A2410" s="13"/>
      <c r="B2410" s="13"/>
      <c r="C2410" s="13"/>
      <c r="D2410" s="13"/>
      <c r="E2410" s="12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2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</row>
    <row r="2411" spans="1:41" x14ac:dyDescent="0.2">
      <c r="A2411" s="13"/>
      <c r="B2411" s="13"/>
      <c r="C2411" s="13"/>
      <c r="D2411" s="13"/>
      <c r="E2411" s="12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2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</row>
    <row r="2412" spans="1:41" x14ac:dyDescent="0.2">
      <c r="A2412" s="13"/>
      <c r="B2412" s="13"/>
      <c r="C2412" s="13"/>
      <c r="D2412" s="13"/>
      <c r="E2412" s="12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2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</row>
    <row r="2413" spans="1:41" x14ac:dyDescent="0.2">
      <c r="A2413" s="13"/>
      <c r="B2413" s="13"/>
      <c r="C2413" s="13"/>
      <c r="D2413" s="13"/>
      <c r="E2413" s="12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2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</row>
    <row r="2414" spans="1:41" x14ac:dyDescent="0.2">
      <c r="A2414" s="13"/>
      <c r="B2414" s="13"/>
      <c r="C2414" s="13"/>
      <c r="D2414" s="13"/>
      <c r="E2414" s="12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2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</row>
    <row r="2415" spans="1:41" x14ac:dyDescent="0.2">
      <c r="A2415" s="13"/>
      <c r="B2415" s="13"/>
      <c r="C2415" s="13"/>
      <c r="D2415" s="13"/>
      <c r="E2415" s="12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2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</row>
    <row r="2416" spans="1:41" x14ac:dyDescent="0.2">
      <c r="A2416" s="13"/>
      <c r="B2416" s="13"/>
      <c r="C2416" s="13"/>
      <c r="D2416" s="13"/>
      <c r="E2416" s="12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2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</row>
    <row r="2417" spans="1:41" x14ac:dyDescent="0.2">
      <c r="A2417" s="13"/>
      <c r="B2417" s="13"/>
      <c r="C2417" s="13"/>
      <c r="D2417" s="13"/>
      <c r="E2417" s="12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2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</row>
    <row r="2418" spans="1:41" x14ac:dyDescent="0.2">
      <c r="A2418" s="13"/>
      <c r="B2418" s="13"/>
      <c r="C2418" s="13"/>
      <c r="D2418" s="13"/>
      <c r="E2418" s="12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2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</row>
    <row r="2419" spans="1:41" x14ac:dyDescent="0.2">
      <c r="A2419" s="13"/>
      <c r="B2419" s="13"/>
      <c r="C2419" s="13"/>
      <c r="D2419" s="13"/>
      <c r="E2419" s="12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2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</row>
    <row r="2420" spans="1:41" x14ac:dyDescent="0.2">
      <c r="A2420" s="13"/>
      <c r="B2420" s="13"/>
      <c r="C2420" s="13"/>
      <c r="D2420" s="13"/>
      <c r="E2420" s="12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2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</row>
    <row r="2421" spans="1:41" x14ac:dyDescent="0.2">
      <c r="A2421" s="13"/>
      <c r="B2421" s="13"/>
      <c r="C2421" s="13"/>
      <c r="D2421" s="13"/>
      <c r="E2421" s="12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2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</row>
    <row r="2422" spans="1:41" x14ac:dyDescent="0.2">
      <c r="A2422" s="13"/>
      <c r="B2422" s="13"/>
      <c r="C2422" s="13"/>
      <c r="D2422" s="13"/>
      <c r="E2422" s="12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2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</row>
    <row r="2423" spans="1:41" x14ac:dyDescent="0.2">
      <c r="A2423" s="13"/>
      <c r="B2423" s="13"/>
      <c r="C2423" s="13"/>
      <c r="D2423" s="13"/>
      <c r="E2423" s="12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2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</row>
    <row r="2424" spans="1:41" x14ac:dyDescent="0.2">
      <c r="A2424" s="13"/>
      <c r="B2424" s="13"/>
      <c r="C2424" s="13"/>
      <c r="D2424" s="13"/>
      <c r="E2424" s="12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2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</row>
    <row r="2425" spans="1:41" x14ac:dyDescent="0.2">
      <c r="A2425" s="13"/>
      <c r="B2425" s="13"/>
      <c r="C2425" s="13"/>
      <c r="D2425" s="13"/>
      <c r="E2425" s="12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2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</row>
    <row r="2426" spans="1:41" x14ac:dyDescent="0.2">
      <c r="A2426" s="13"/>
      <c r="B2426" s="13"/>
      <c r="C2426" s="13"/>
      <c r="D2426" s="13"/>
      <c r="E2426" s="12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2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</row>
    <row r="2427" spans="1:41" x14ac:dyDescent="0.2">
      <c r="A2427" s="13"/>
      <c r="B2427" s="13"/>
      <c r="C2427" s="13"/>
      <c r="D2427" s="13"/>
      <c r="E2427" s="12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2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</row>
    <row r="2428" spans="1:41" x14ac:dyDescent="0.2">
      <c r="A2428" s="13"/>
      <c r="B2428" s="13"/>
      <c r="C2428" s="13"/>
      <c r="D2428" s="13"/>
      <c r="E2428" s="12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2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</row>
    <row r="2429" spans="1:41" x14ac:dyDescent="0.2">
      <c r="A2429" s="13"/>
      <c r="B2429" s="13"/>
      <c r="C2429" s="13"/>
      <c r="D2429" s="13"/>
      <c r="E2429" s="12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2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</row>
    <row r="2430" spans="1:41" x14ac:dyDescent="0.2">
      <c r="A2430" s="13"/>
      <c r="B2430" s="13"/>
      <c r="C2430" s="13"/>
      <c r="D2430" s="13"/>
      <c r="E2430" s="12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2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</row>
    <row r="2431" spans="1:41" x14ac:dyDescent="0.2">
      <c r="A2431" s="13"/>
      <c r="B2431" s="13"/>
      <c r="C2431" s="13"/>
      <c r="D2431" s="13"/>
      <c r="E2431" s="12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2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</row>
    <row r="2432" spans="1:41" x14ac:dyDescent="0.2">
      <c r="A2432" s="13"/>
      <c r="B2432" s="13"/>
      <c r="C2432" s="13"/>
      <c r="D2432" s="13"/>
      <c r="E2432" s="12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2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</row>
    <row r="2433" spans="1:41" x14ac:dyDescent="0.2">
      <c r="A2433" s="13"/>
      <c r="B2433" s="13"/>
      <c r="C2433" s="13"/>
      <c r="D2433" s="13"/>
      <c r="E2433" s="12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2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</row>
    <row r="2434" spans="1:41" x14ac:dyDescent="0.2">
      <c r="A2434" s="13"/>
      <c r="B2434" s="13"/>
      <c r="C2434" s="13"/>
      <c r="D2434" s="13"/>
      <c r="E2434" s="12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2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</row>
    <row r="2435" spans="1:41" x14ac:dyDescent="0.2">
      <c r="A2435" s="13"/>
      <c r="B2435" s="13"/>
      <c r="C2435" s="13"/>
      <c r="D2435" s="13"/>
      <c r="E2435" s="12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2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</row>
    <row r="2436" spans="1:41" x14ac:dyDescent="0.2">
      <c r="A2436" s="13"/>
      <c r="B2436" s="13"/>
      <c r="C2436" s="13"/>
      <c r="D2436" s="13"/>
      <c r="E2436" s="12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2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</row>
    <row r="2437" spans="1:41" x14ac:dyDescent="0.2">
      <c r="A2437" s="13"/>
      <c r="B2437" s="13"/>
      <c r="C2437" s="13"/>
      <c r="D2437" s="13"/>
      <c r="E2437" s="12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2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</row>
    <row r="2438" spans="1:41" x14ac:dyDescent="0.2">
      <c r="A2438" s="13"/>
      <c r="B2438" s="13"/>
      <c r="C2438" s="13"/>
      <c r="D2438" s="13"/>
      <c r="E2438" s="12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2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</row>
    <row r="2439" spans="1:41" x14ac:dyDescent="0.2">
      <c r="A2439" s="13"/>
      <c r="B2439" s="13"/>
      <c r="C2439" s="13"/>
      <c r="D2439" s="13"/>
      <c r="E2439" s="12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2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</row>
    <row r="2440" spans="1:41" x14ac:dyDescent="0.2">
      <c r="A2440" s="13"/>
      <c r="B2440" s="13"/>
      <c r="C2440" s="13"/>
      <c r="D2440" s="13"/>
      <c r="E2440" s="12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2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</row>
    <row r="2441" spans="1:41" x14ac:dyDescent="0.2">
      <c r="A2441" s="13"/>
      <c r="B2441" s="13"/>
      <c r="C2441" s="13"/>
      <c r="D2441" s="13"/>
      <c r="E2441" s="12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2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</row>
    <row r="2442" spans="1:41" x14ac:dyDescent="0.2">
      <c r="A2442" s="13"/>
      <c r="B2442" s="13"/>
      <c r="C2442" s="13"/>
      <c r="D2442" s="13"/>
      <c r="E2442" s="12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2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</row>
    <row r="2443" spans="1:41" x14ac:dyDescent="0.2">
      <c r="A2443" s="13"/>
      <c r="B2443" s="13"/>
      <c r="C2443" s="13"/>
      <c r="D2443" s="13"/>
      <c r="E2443" s="12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2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</row>
    <row r="2444" spans="1:41" x14ac:dyDescent="0.2">
      <c r="A2444" s="13"/>
      <c r="B2444" s="13"/>
      <c r="C2444" s="13"/>
      <c r="D2444" s="13"/>
      <c r="E2444" s="12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2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</row>
    <row r="2445" spans="1:41" x14ac:dyDescent="0.2">
      <c r="A2445" s="13"/>
      <c r="B2445" s="13"/>
      <c r="C2445" s="13"/>
      <c r="D2445" s="13"/>
      <c r="E2445" s="12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2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</row>
    <row r="2446" spans="1:41" x14ac:dyDescent="0.2">
      <c r="A2446" s="13"/>
      <c r="B2446" s="13"/>
      <c r="C2446" s="13"/>
      <c r="D2446" s="13"/>
      <c r="E2446" s="12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2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</row>
    <row r="2447" spans="1:41" x14ac:dyDescent="0.2">
      <c r="A2447" s="13"/>
      <c r="B2447" s="13"/>
      <c r="C2447" s="13"/>
      <c r="D2447" s="13"/>
      <c r="E2447" s="12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2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</row>
    <row r="2448" spans="1:41" x14ac:dyDescent="0.2">
      <c r="A2448" s="13"/>
      <c r="B2448" s="13"/>
      <c r="C2448" s="13"/>
      <c r="D2448" s="13"/>
      <c r="E2448" s="12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2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</row>
    <row r="2449" spans="1:41" x14ac:dyDescent="0.2">
      <c r="A2449" s="13"/>
      <c r="B2449" s="13"/>
      <c r="C2449" s="13"/>
      <c r="D2449" s="13"/>
      <c r="E2449" s="12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2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</row>
    <row r="2450" spans="1:41" x14ac:dyDescent="0.2">
      <c r="A2450" s="13"/>
      <c r="B2450" s="13"/>
      <c r="C2450" s="13"/>
      <c r="D2450" s="13"/>
      <c r="E2450" s="12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2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</row>
    <row r="2451" spans="1:41" x14ac:dyDescent="0.2">
      <c r="A2451" s="13"/>
      <c r="B2451" s="13"/>
      <c r="C2451" s="13"/>
      <c r="D2451" s="13"/>
      <c r="E2451" s="12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2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</row>
    <row r="2452" spans="1:41" x14ac:dyDescent="0.2">
      <c r="A2452" s="13"/>
      <c r="B2452" s="13"/>
      <c r="C2452" s="13"/>
      <c r="D2452" s="13"/>
      <c r="E2452" s="12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2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</row>
    <row r="2453" spans="1:41" x14ac:dyDescent="0.2">
      <c r="A2453" s="13"/>
      <c r="B2453" s="13"/>
      <c r="C2453" s="13"/>
      <c r="D2453" s="13"/>
      <c r="E2453" s="12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2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</row>
    <row r="2454" spans="1:41" x14ac:dyDescent="0.2">
      <c r="A2454" s="13"/>
      <c r="B2454" s="13"/>
      <c r="C2454" s="13"/>
      <c r="D2454" s="13"/>
      <c r="E2454" s="12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2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</row>
    <row r="2455" spans="1:41" x14ac:dyDescent="0.2">
      <c r="A2455" s="13"/>
      <c r="B2455" s="13"/>
      <c r="C2455" s="13"/>
      <c r="D2455" s="13"/>
      <c r="E2455" s="12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2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</row>
    <row r="2456" spans="1:41" x14ac:dyDescent="0.2">
      <c r="A2456" s="13"/>
      <c r="B2456" s="13"/>
      <c r="C2456" s="13"/>
      <c r="D2456" s="13"/>
      <c r="E2456" s="12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2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</row>
    <row r="2457" spans="1:41" x14ac:dyDescent="0.2">
      <c r="A2457" s="13"/>
      <c r="B2457" s="13"/>
      <c r="C2457" s="13"/>
      <c r="D2457" s="13"/>
      <c r="E2457" s="12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2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</row>
    <row r="2458" spans="1:41" x14ac:dyDescent="0.2">
      <c r="A2458" s="13"/>
      <c r="B2458" s="13"/>
      <c r="C2458" s="13"/>
      <c r="D2458" s="13"/>
      <c r="E2458" s="12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2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</row>
    <row r="2459" spans="1:41" x14ac:dyDescent="0.2">
      <c r="A2459" s="13"/>
      <c r="B2459" s="13"/>
      <c r="C2459" s="13"/>
      <c r="D2459" s="13"/>
      <c r="E2459" s="12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2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</row>
    <row r="2460" spans="1:41" x14ac:dyDescent="0.2">
      <c r="A2460" s="13"/>
      <c r="B2460" s="13"/>
      <c r="C2460" s="13"/>
      <c r="D2460" s="13"/>
      <c r="E2460" s="12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2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</row>
    <row r="2461" spans="1:41" x14ac:dyDescent="0.2">
      <c r="A2461" s="13"/>
      <c r="B2461" s="13"/>
      <c r="C2461" s="13"/>
      <c r="D2461" s="13"/>
      <c r="E2461" s="12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2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</row>
    <row r="2462" spans="1:41" x14ac:dyDescent="0.2">
      <c r="A2462" s="13"/>
      <c r="B2462" s="13"/>
      <c r="C2462" s="13"/>
      <c r="D2462" s="13"/>
      <c r="E2462" s="12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2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</row>
    <row r="2463" spans="1:41" x14ac:dyDescent="0.2">
      <c r="A2463" s="13"/>
      <c r="B2463" s="13"/>
      <c r="C2463" s="13"/>
      <c r="D2463" s="13"/>
      <c r="E2463" s="12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2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</row>
    <row r="2464" spans="1:41" x14ac:dyDescent="0.2">
      <c r="A2464" s="13"/>
      <c r="B2464" s="13"/>
      <c r="C2464" s="13"/>
      <c r="D2464" s="13"/>
      <c r="E2464" s="12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2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</row>
    <row r="2465" spans="1:41" x14ac:dyDescent="0.2">
      <c r="A2465" s="13"/>
      <c r="B2465" s="13"/>
      <c r="C2465" s="13"/>
      <c r="D2465" s="13"/>
      <c r="E2465" s="12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2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</row>
    <row r="2466" spans="1:41" x14ac:dyDescent="0.2">
      <c r="A2466" s="13"/>
      <c r="B2466" s="13"/>
      <c r="C2466" s="13"/>
      <c r="D2466" s="13"/>
      <c r="E2466" s="12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2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</row>
    <row r="2467" spans="1:41" x14ac:dyDescent="0.2">
      <c r="A2467" s="13"/>
      <c r="B2467" s="13"/>
      <c r="C2467" s="13"/>
      <c r="D2467" s="13"/>
      <c r="E2467" s="12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2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</row>
    <row r="2468" spans="1:41" x14ac:dyDescent="0.2">
      <c r="A2468" s="13"/>
      <c r="B2468" s="13"/>
      <c r="C2468" s="13"/>
      <c r="D2468" s="13"/>
      <c r="E2468" s="12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2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</row>
    <row r="2469" spans="1:41" x14ac:dyDescent="0.2">
      <c r="A2469" s="13"/>
      <c r="B2469" s="13"/>
      <c r="C2469" s="13"/>
      <c r="D2469" s="13"/>
      <c r="E2469" s="12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2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</row>
    <row r="2470" spans="1:41" x14ac:dyDescent="0.2">
      <c r="A2470" s="13"/>
      <c r="B2470" s="13"/>
      <c r="C2470" s="13"/>
      <c r="D2470" s="13"/>
      <c r="E2470" s="12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2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</row>
    <row r="2471" spans="1:41" x14ac:dyDescent="0.2">
      <c r="A2471" s="13"/>
      <c r="B2471" s="13"/>
      <c r="C2471" s="13"/>
      <c r="D2471" s="13"/>
      <c r="E2471" s="12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2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</row>
    <row r="2472" spans="1:41" x14ac:dyDescent="0.2">
      <c r="A2472" s="13"/>
      <c r="B2472" s="13"/>
      <c r="C2472" s="13"/>
      <c r="D2472" s="13"/>
      <c r="E2472" s="12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2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</row>
    <row r="2473" spans="1:41" x14ac:dyDescent="0.2">
      <c r="A2473" s="13"/>
      <c r="B2473" s="13"/>
      <c r="C2473" s="13"/>
      <c r="D2473" s="13"/>
      <c r="E2473" s="12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2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</row>
    <row r="2474" spans="1:41" x14ac:dyDescent="0.2">
      <c r="A2474" s="13"/>
      <c r="B2474" s="13"/>
      <c r="C2474" s="13"/>
      <c r="D2474" s="13"/>
      <c r="E2474" s="12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2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</row>
    <row r="2475" spans="1:41" x14ac:dyDescent="0.2">
      <c r="A2475" s="13"/>
      <c r="B2475" s="13"/>
      <c r="C2475" s="13"/>
      <c r="D2475" s="13"/>
      <c r="E2475" s="12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2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</row>
    <row r="2476" spans="1:41" x14ac:dyDescent="0.2">
      <c r="A2476" s="13"/>
      <c r="B2476" s="13"/>
      <c r="C2476" s="13"/>
      <c r="D2476" s="13"/>
      <c r="E2476" s="12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2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</row>
    <row r="2477" spans="1:41" x14ac:dyDescent="0.2">
      <c r="A2477" s="13"/>
      <c r="B2477" s="13"/>
      <c r="C2477" s="13"/>
      <c r="D2477" s="13"/>
      <c r="E2477" s="12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2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</row>
    <row r="2478" spans="1:41" x14ac:dyDescent="0.2">
      <c r="A2478" s="13"/>
      <c r="B2478" s="13"/>
      <c r="C2478" s="13"/>
      <c r="D2478" s="13"/>
      <c r="E2478" s="12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2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</row>
    <row r="2479" spans="1:41" x14ac:dyDescent="0.2">
      <c r="A2479" s="13"/>
      <c r="B2479" s="13"/>
      <c r="C2479" s="13"/>
      <c r="D2479" s="13"/>
      <c r="E2479" s="12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2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</row>
    <row r="2480" spans="1:41" x14ac:dyDescent="0.2">
      <c r="A2480" s="13"/>
      <c r="B2480" s="13"/>
      <c r="C2480" s="13"/>
      <c r="D2480" s="13"/>
      <c r="E2480" s="12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2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</row>
    <row r="2481" spans="1:41" x14ac:dyDescent="0.2">
      <c r="A2481" s="13"/>
      <c r="B2481" s="13"/>
      <c r="C2481" s="13"/>
      <c r="D2481" s="13"/>
      <c r="E2481" s="12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2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</row>
    <row r="2482" spans="1:41" x14ac:dyDescent="0.2">
      <c r="A2482" s="13"/>
      <c r="B2482" s="13"/>
      <c r="C2482" s="13"/>
      <c r="D2482" s="13"/>
      <c r="E2482" s="12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2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</row>
    <row r="2483" spans="1:41" x14ac:dyDescent="0.2">
      <c r="A2483" s="13"/>
      <c r="B2483" s="13"/>
      <c r="C2483" s="13"/>
      <c r="D2483" s="13"/>
      <c r="E2483" s="12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2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</row>
    <row r="2484" spans="1:41" x14ac:dyDescent="0.2">
      <c r="A2484" s="13"/>
      <c r="B2484" s="13"/>
      <c r="C2484" s="13"/>
      <c r="D2484" s="13"/>
      <c r="E2484" s="12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2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</row>
    <row r="2485" spans="1:41" x14ac:dyDescent="0.2">
      <c r="A2485" s="13"/>
      <c r="B2485" s="13"/>
      <c r="C2485" s="13"/>
      <c r="D2485" s="13"/>
      <c r="E2485" s="12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2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</row>
    <row r="2486" spans="1:41" x14ac:dyDescent="0.2">
      <c r="A2486" s="13"/>
      <c r="B2486" s="13"/>
      <c r="C2486" s="13"/>
      <c r="D2486" s="13"/>
      <c r="E2486" s="12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2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</row>
    <row r="2487" spans="1:41" x14ac:dyDescent="0.2">
      <c r="A2487" s="13"/>
      <c r="B2487" s="13"/>
      <c r="C2487" s="13"/>
      <c r="D2487" s="13"/>
      <c r="E2487" s="12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2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</row>
    <row r="2488" spans="1:41" x14ac:dyDescent="0.2">
      <c r="A2488" s="13"/>
      <c r="B2488" s="13"/>
      <c r="C2488" s="13"/>
      <c r="D2488" s="13"/>
      <c r="E2488" s="12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2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</row>
    <row r="2489" spans="1:41" x14ac:dyDescent="0.2">
      <c r="A2489" s="13"/>
      <c r="B2489" s="13"/>
      <c r="C2489" s="13"/>
      <c r="D2489" s="13"/>
      <c r="E2489" s="12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2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</row>
    <row r="2490" spans="1:41" x14ac:dyDescent="0.2">
      <c r="A2490" s="13"/>
      <c r="B2490" s="13"/>
      <c r="C2490" s="13"/>
      <c r="D2490" s="13"/>
      <c r="E2490" s="12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2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</row>
    <row r="2491" spans="1:41" x14ac:dyDescent="0.2">
      <c r="A2491" s="13"/>
      <c r="B2491" s="13"/>
      <c r="C2491" s="13"/>
      <c r="D2491" s="13"/>
      <c r="E2491" s="12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2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</row>
    <row r="2492" spans="1:41" x14ac:dyDescent="0.2">
      <c r="A2492" s="13"/>
      <c r="B2492" s="13"/>
      <c r="C2492" s="13"/>
      <c r="D2492" s="13"/>
      <c r="E2492" s="12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2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</row>
    <row r="2493" spans="1:41" x14ac:dyDescent="0.2">
      <c r="A2493" s="13"/>
      <c r="B2493" s="13"/>
      <c r="C2493" s="13"/>
      <c r="D2493" s="13"/>
      <c r="E2493" s="12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2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</row>
    <row r="2494" spans="1:41" x14ac:dyDescent="0.2">
      <c r="A2494" s="13"/>
      <c r="B2494" s="13"/>
      <c r="C2494" s="13"/>
      <c r="D2494" s="13"/>
      <c r="E2494" s="12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2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</row>
    <row r="2495" spans="1:41" x14ac:dyDescent="0.2">
      <c r="A2495" s="13"/>
      <c r="B2495" s="13"/>
      <c r="C2495" s="13"/>
      <c r="D2495" s="13"/>
      <c r="E2495" s="12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2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</row>
    <row r="2496" spans="1:41" x14ac:dyDescent="0.2">
      <c r="A2496" s="13"/>
      <c r="B2496" s="13"/>
      <c r="C2496" s="13"/>
      <c r="D2496" s="13"/>
      <c r="E2496" s="12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2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</row>
    <row r="2497" spans="1:41" x14ac:dyDescent="0.2">
      <c r="A2497" s="13"/>
      <c r="B2497" s="13"/>
      <c r="C2497" s="13"/>
      <c r="D2497" s="13"/>
      <c r="E2497" s="12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2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</row>
    <row r="2498" spans="1:41" x14ac:dyDescent="0.2">
      <c r="A2498" s="13"/>
      <c r="B2498" s="13"/>
      <c r="C2498" s="13"/>
      <c r="D2498" s="13"/>
      <c r="E2498" s="12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2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</row>
    <row r="2499" spans="1:41" x14ac:dyDescent="0.2">
      <c r="A2499" s="13"/>
      <c r="B2499" s="13"/>
      <c r="C2499" s="13"/>
      <c r="D2499" s="13"/>
      <c r="E2499" s="12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2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</row>
    <row r="2500" spans="1:41" x14ac:dyDescent="0.2">
      <c r="A2500" s="13"/>
      <c r="B2500" s="13"/>
      <c r="C2500" s="13"/>
      <c r="D2500" s="13"/>
      <c r="E2500" s="12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2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</row>
    <row r="2501" spans="1:41" x14ac:dyDescent="0.2">
      <c r="A2501" s="13"/>
      <c r="B2501" s="13"/>
      <c r="C2501" s="13"/>
      <c r="D2501" s="13"/>
      <c r="E2501" s="12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2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</row>
    <row r="2502" spans="1:41" x14ac:dyDescent="0.2">
      <c r="A2502" s="13"/>
      <c r="B2502" s="13"/>
      <c r="C2502" s="13"/>
      <c r="D2502" s="13"/>
      <c r="E2502" s="12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2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</row>
    <row r="2503" spans="1:41" x14ac:dyDescent="0.2">
      <c r="A2503" s="13"/>
      <c r="B2503" s="13"/>
      <c r="C2503" s="13"/>
      <c r="D2503" s="13"/>
      <c r="E2503" s="12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2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</row>
    <row r="2504" spans="1:41" x14ac:dyDescent="0.2">
      <c r="A2504" s="13"/>
      <c r="B2504" s="13"/>
      <c r="C2504" s="13"/>
      <c r="D2504" s="13"/>
      <c r="E2504" s="12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2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</row>
    <row r="2505" spans="1:41" x14ac:dyDescent="0.2">
      <c r="A2505" s="13"/>
      <c r="B2505" s="13"/>
      <c r="C2505" s="13"/>
      <c r="D2505" s="13"/>
      <c r="E2505" s="12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2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</row>
    <row r="2506" spans="1:41" x14ac:dyDescent="0.2">
      <c r="A2506" s="13"/>
      <c r="B2506" s="13"/>
      <c r="C2506" s="13"/>
      <c r="D2506" s="13"/>
      <c r="E2506" s="12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2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</row>
    <row r="2507" spans="1:41" x14ac:dyDescent="0.2">
      <c r="A2507" s="13"/>
      <c r="B2507" s="13"/>
      <c r="C2507" s="13"/>
      <c r="D2507" s="13"/>
      <c r="E2507" s="12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2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</row>
    <row r="2508" spans="1:41" x14ac:dyDescent="0.2">
      <c r="A2508" s="13"/>
      <c r="B2508" s="13"/>
      <c r="C2508" s="13"/>
      <c r="D2508" s="13"/>
      <c r="E2508" s="12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2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</row>
    <row r="2509" spans="1:41" x14ac:dyDescent="0.2">
      <c r="A2509" s="13"/>
      <c r="B2509" s="13"/>
      <c r="C2509" s="13"/>
      <c r="D2509" s="13"/>
      <c r="E2509" s="12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2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</row>
    <row r="2510" spans="1:41" x14ac:dyDescent="0.2">
      <c r="A2510" s="13"/>
      <c r="B2510" s="13"/>
      <c r="C2510" s="13"/>
      <c r="D2510" s="13"/>
      <c r="E2510" s="12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2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</row>
    <row r="2511" spans="1:41" x14ac:dyDescent="0.2">
      <c r="A2511" s="13"/>
      <c r="B2511" s="13"/>
      <c r="C2511" s="13"/>
      <c r="D2511" s="13"/>
      <c r="E2511" s="12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2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</row>
    <row r="2512" spans="1:41" x14ac:dyDescent="0.2">
      <c r="A2512" s="13"/>
      <c r="B2512" s="13"/>
      <c r="C2512" s="13"/>
      <c r="D2512" s="13"/>
      <c r="E2512" s="12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2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</row>
    <row r="2513" spans="1:41" x14ac:dyDescent="0.2">
      <c r="A2513" s="13"/>
      <c r="B2513" s="13"/>
      <c r="C2513" s="13"/>
      <c r="D2513" s="13"/>
      <c r="E2513" s="12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2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</row>
    <row r="2514" spans="1:41" x14ac:dyDescent="0.2">
      <c r="A2514" s="13"/>
      <c r="B2514" s="13"/>
      <c r="C2514" s="13"/>
      <c r="D2514" s="13"/>
      <c r="E2514" s="12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2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</row>
    <row r="2515" spans="1:41" x14ac:dyDescent="0.2">
      <c r="A2515" s="13"/>
      <c r="B2515" s="13"/>
      <c r="C2515" s="13"/>
      <c r="D2515" s="13"/>
      <c r="E2515" s="12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2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</row>
    <row r="2516" spans="1:41" x14ac:dyDescent="0.2">
      <c r="A2516" s="13"/>
      <c r="B2516" s="13"/>
      <c r="C2516" s="13"/>
      <c r="D2516" s="13"/>
      <c r="E2516" s="12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2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</row>
    <row r="2517" spans="1:41" x14ac:dyDescent="0.2">
      <c r="A2517" s="13"/>
      <c r="B2517" s="13"/>
      <c r="C2517" s="13"/>
      <c r="D2517" s="13"/>
      <c r="E2517" s="12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2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</row>
    <row r="2518" spans="1:41" x14ac:dyDescent="0.2">
      <c r="A2518" s="13"/>
      <c r="B2518" s="13"/>
      <c r="C2518" s="13"/>
      <c r="D2518" s="13"/>
      <c r="E2518" s="12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2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</row>
    <row r="2519" spans="1:41" x14ac:dyDescent="0.2">
      <c r="A2519" s="13"/>
      <c r="B2519" s="13"/>
      <c r="C2519" s="13"/>
      <c r="D2519" s="13"/>
      <c r="E2519" s="12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2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</row>
    <row r="2520" spans="1:41" x14ac:dyDescent="0.2">
      <c r="A2520" s="13"/>
      <c r="B2520" s="13"/>
      <c r="C2520" s="13"/>
      <c r="D2520" s="13"/>
      <c r="E2520" s="12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2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</row>
    <row r="2521" spans="1:41" x14ac:dyDescent="0.2">
      <c r="A2521" s="13"/>
      <c r="B2521" s="13"/>
      <c r="C2521" s="13"/>
      <c r="D2521" s="13"/>
      <c r="E2521" s="12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2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</row>
    <row r="2522" spans="1:41" x14ac:dyDescent="0.2">
      <c r="A2522" s="13"/>
      <c r="B2522" s="13"/>
      <c r="C2522" s="13"/>
      <c r="D2522" s="13"/>
      <c r="E2522" s="12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2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</row>
    <row r="2523" spans="1:41" x14ac:dyDescent="0.2">
      <c r="A2523" s="13"/>
      <c r="B2523" s="13"/>
      <c r="C2523" s="13"/>
      <c r="D2523" s="13"/>
      <c r="E2523" s="12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2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</row>
    <row r="2524" spans="1:41" x14ac:dyDescent="0.2">
      <c r="A2524" s="13"/>
      <c r="B2524" s="13"/>
      <c r="C2524" s="13"/>
      <c r="D2524" s="13"/>
      <c r="E2524" s="12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2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</row>
    <row r="2525" spans="1:41" x14ac:dyDescent="0.2">
      <c r="A2525" s="13"/>
      <c r="B2525" s="13"/>
      <c r="C2525" s="13"/>
      <c r="D2525" s="13"/>
      <c r="E2525" s="12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2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</row>
    <row r="2526" spans="1:41" x14ac:dyDescent="0.2">
      <c r="A2526" s="13"/>
      <c r="B2526" s="13"/>
      <c r="C2526" s="13"/>
      <c r="D2526" s="13"/>
      <c r="E2526" s="12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2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</row>
    <row r="2527" spans="1:41" x14ac:dyDescent="0.2">
      <c r="A2527" s="13"/>
      <c r="B2527" s="13"/>
      <c r="C2527" s="13"/>
      <c r="D2527" s="13"/>
      <c r="E2527" s="12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2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</row>
    <row r="2528" spans="1:41" x14ac:dyDescent="0.2">
      <c r="A2528" s="13"/>
      <c r="B2528" s="13"/>
      <c r="C2528" s="13"/>
      <c r="D2528" s="13"/>
      <c r="E2528" s="12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2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</row>
    <row r="2529" spans="1:41" x14ac:dyDescent="0.2">
      <c r="A2529" s="13"/>
      <c r="B2529" s="13"/>
      <c r="C2529" s="13"/>
      <c r="D2529" s="13"/>
      <c r="E2529" s="12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2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</row>
    <row r="2530" spans="1:41" x14ac:dyDescent="0.2">
      <c r="A2530" s="13"/>
      <c r="B2530" s="13"/>
      <c r="C2530" s="13"/>
      <c r="D2530" s="13"/>
      <c r="E2530" s="12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2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</row>
    <row r="2531" spans="1:41" x14ac:dyDescent="0.2">
      <c r="A2531" s="13"/>
      <c r="B2531" s="13"/>
      <c r="C2531" s="13"/>
      <c r="D2531" s="13"/>
      <c r="E2531" s="12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2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</row>
    <row r="2532" spans="1:41" x14ac:dyDescent="0.2">
      <c r="A2532" s="13"/>
      <c r="B2532" s="13"/>
      <c r="C2532" s="13"/>
      <c r="D2532" s="13"/>
      <c r="E2532" s="12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2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</row>
    <row r="2533" spans="1:41" x14ac:dyDescent="0.2">
      <c r="A2533" s="13"/>
      <c r="B2533" s="13"/>
      <c r="C2533" s="13"/>
      <c r="D2533" s="13"/>
      <c r="E2533" s="12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2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</row>
    <row r="2534" spans="1:41" x14ac:dyDescent="0.2">
      <c r="A2534" s="13"/>
      <c r="B2534" s="13"/>
      <c r="C2534" s="13"/>
      <c r="D2534" s="13"/>
      <c r="E2534" s="12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2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</row>
    <row r="2535" spans="1:41" x14ac:dyDescent="0.2">
      <c r="A2535" s="13"/>
      <c r="B2535" s="13"/>
      <c r="C2535" s="13"/>
      <c r="D2535" s="13"/>
      <c r="E2535" s="12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2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</row>
    <row r="2536" spans="1:41" x14ac:dyDescent="0.2">
      <c r="A2536" s="13"/>
      <c r="B2536" s="13"/>
      <c r="C2536" s="13"/>
      <c r="D2536" s="13"/>
      <c r="E2536" s="12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2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</row>
    <row r="2537" spans="1:41" x14ac:dyDescent="0.2">
      <c r="A2537" s="13"/>
      <c r="B2537" s="13"/>
      <c r="C2537" s="13"/>
      <c r="D2537" s="13"/>
      <c r="E2537" s="12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2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</row>
    <row r="2538" spans="1:41" x14ac:dyDescent="0.2">
      <c r="A2538" s="13"/>
      <c r="B2538" s="13"/>
      <c r="C2538" s="13"/>
      <c r="D2538" s="13"/>
      <c r="E2538" s="12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2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</row>
    <row r="2539" spans="1:41" x14ac:dyDescent="0.2">
      <c r="A2539" s="13"/>
      <c r="B2539" s="13"/>
      <c r="C2539" s="13"/>
      <c r="D2539" s="13"/>
      <c r="E2539" s="12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2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</row>
    <row r="2540" spans="1:41" x14ac:dyDescent="0.2">
      <c r="A2540" s="13"/>
      <c r="B2540" s="13"/>
      <c r="C2540" s="13"/>
      <c r="D2540" s="13"/>
      <c r="E2540" s="12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2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</row>
    <row r="2541" spans="1:41" x14ac:dyDescent="0.2">
      <c r="A2541" s="13"/>
      <c r="B2541" s="13"/>
      <c r="C2541" s="13"/>
      <c r="D2541" s="13"/>
      <c r="E2541" s="12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2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</row>
    <row r="2542" spans="1:41" x14ac:dyDescent="0.2">
      <c r="A2542" s="13"/>
      <c r="B2542" s="13"/>
      <c r="C2542" s="13"/>
      <c r="D2542" s="13"/>
      <c r="E2542" s="12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2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</row>
    <row r="2543" spans="1:41" x14ac:dyDescent="0.2">
      <c r="A2543" s="13"/>
      <c r="B2543" s="13"/>
      <c r="C2543" s="13"/>
      <c r="D2543" s="13"/>
      <c r="E2543" s="12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2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</row>
    <row r="2544" spans="1:41" x14ac:dyDescent="0.2">
      <c r="A2544" s="13"/>
      <c r="B2544" s="13"/>
      <c r="C2544" s="13"/>
      <c r="D2544" s="13"/>
      <c r="E2544" s="12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2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</row>
    <row r="2545" spans="1:41" x14ac:dyDescent="0.2">
      <c r="A2545" s="13"/>
      <c r="B2545" s="13"/>
      <c r="C2545" s="13"/>
      <c r="D2545" s="13"/>
      <c r="E2545" s="12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2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</row>
    <row r="2546" spans="1:41" x14ac:dyDescent="0.2">
      <c r="A2546" s="13"/>
      <c r="B2546" s="13"/>
      <c r="C2546" s="13"/>
      <c r="D2546" s="13"/>
      <c r="E2546" s="12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2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</row>
    <row r="2547" spans="1:41" x14ac:dyDescent="0.2">
      <c r="A2547" s="13"/>
      <c r="B2547" s="13"/>
      <c r="C2547" s="13"/>
      <c r="D2547" s="13"/>
      <c r="E2547" s="12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2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</row>
    <row r="2548" spans="1:41" x14ac:dyDescent="0.2">
      <c r="A2548" s="13"/>
      <c r="B2548" s="13"/>
      <c r="C2548" s="13"/>
      <c r="D2548" s="13"/>
      <c r="E2548" s="12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2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</row>
    <row r="2549" spans="1:41" x14ac:dyDescent="0.2">
      <c r="A2549" s="13"/>
      <c r="B2549" s="13"/>
      <c r="C2549" s="13"/>
      <c r="D2549" s="13"/>
      <c r="E2549" s="12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2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</row>
    <row r="2550" spans="1:41" x14ac:dyDescent="0.2">
      <c r="A2550" s="13"/>
      <c r="B2550" s="13"/>
      <c r="C2550" s="13"/>
      <c r="D2550" s="13"/>
      <c r="E2550" s="12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2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</row>
    <row r="2551" spans="1:41" x14ac:dyDescent="0.2">
      <c r="A2551" s="13"/>
      <c r="B2551" s="13"/>
      <c r="C2551" s="13"/>
      <c r="D2551" s="13"/>
      <c r="E2551" s="12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2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</row>
    <row r="2552" spans="1:41" x14ac:dyDescent="0.2">
      <c r="A2552" s="13"/>
      <c r="B2552" s="13"/>
      <c r="C2552" s="13"/>
      <c r="D2552" s="13"/>
      <c r="E2552" s="12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2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</row>
    <row r="2553" spans="1:41" x14ac:dyDescent="0.2">
      <c r="A2553" s="13"/>
      <c r="B2553" s="13"/>
      <c r="C2553" s="13"/>
      <c r="D2553" s="13"/>
      <c r="E2553" s="12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2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</row>
    <row r="2554" spans="1:41" x14ac:dyDescent="0.2">
      <c r="A2554" s="13"/>
      <c r="B2554" s="13"/>
      <c r="C2554" s="13"/>
      <c r="D2554" s="13"/>
      <c r="E2554" s="12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2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</row>
    <row r="2555" spans="1:41" x14ac:dyDescent="0.2">
      <c r="A2555" s="13"/>
      <c r="B2555" s="13"/>
      <c r="C2555" s="13"/>
      <c r="D2555" s="13"/>
      <c r="E2555" s="12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2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</row>
    <row r="2556" spans="1:41" x14ac:dyDescent="0.2">
      <c r="A2556" s="13"/>
      <c r="B2556" s="13"/>
      <c r="C2556" s="13"/>
      <c r="D2556" s="13"/>
      <c r="E2556" s="12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2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</row>
    <row r="2557" spans="1:41" x14ac:dyDescent="0.2">
      <c r="A2557" s="13"/>
      <c r="B2557" s="13"/>
      <c r="C2557" s="13"/>
      <c r="D2557" s="13"/>
      <c r="E2557" s="12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2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</row>
    <row r="2558" spans="1:41" x14ac:dyDescent="0.2">
      <c r="A2558" s="13"/>
      <c r="B2558" s="13"/>
      <c r="C2558" s="13"/>
      <c r="D2558" s="13"/>
      <c r="E2558" s="12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2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</row>
    <row r="2559" spans="1:41" x14ac:dyDescent="0.2">
      <c r="A2559" s="13"/>
      <c r="B2559" s="13"/>
      <c r="C2559" s="13"/>
      <c r="D2559" s="13"/>
      <c r="E2559" s="12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2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</row>
    <row r="2560" spans="1:41" x14ac:dyDescent="0.2">
      <c r="A2560" s="13"/>
      <c r="B2560" s="13"/>
      <c r="C2560" s="13"/>
      <c r="D2560" s="13"/>
      <c r="E2560" s="12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2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</row>
    <row r="2561" spans="1:41" x14ac:dyDescent="0.2">
      <c r="A2561" s="13"/>
      <c r="B2561" s="13"/>
      <c r="C2561" s="13"/>
      <c r="D2561" s="13"/>
      <c r="E2561" s="12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2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</row>
    <row r="2562" spans="1:41" x14ac:dyDescent="0.2">
      <c r="A2562" s="13"/>
      <c r="B2562" s="13"/>
      <c r="C2562" s="13"/>
      <c r="D2562" s="13"/>
      <c r="E2562" s="12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2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</row>
    <row r="2563" spans="1:41" x14ac:dyDescent="0.2">
      <c r="A2563" s="13"/>
      <c r="B2563" s="13"/>
      <c r="C2563" s="13"/>
      <c r="D2563" s="13"/>
      <c r="E2563" s="12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2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</row>
    <row r="2564" spans="1:41" x14ac:dyDescent="0.2">
      <c r="A2564" s="13"/>
      <c r="B2564" s="13"/>
      <c r="C2564" s="13"/>
      <c r="D2564" s="13"/>
      <c r="E2564" s="12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2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</row>
    <row r="2565" spans="1:41" x14ac:dyDescent="0.2">
      <c r="A2565" s="13"/>
      <c r="B2565" s="13"/>
      <c r="C2565" s="13"/>
      <c r="D2565" s="13"/>
      <c r="E2565" s="12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2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</row>
    <row r="2566" spans="1:41" x14ac:dyDescent="0.2">
      <c r="A2566" s="13"/>
      <c r="B2566" s="13"/>
      <c r="C2566" s="13"/>
      <c r="D2566" s="13"/>
      <c r="E2566" s="12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2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</row>
    <row r="2567" spans="1:41" x14ac:dyDescent="0.2">
      <c r="A2567" s="13"/>
      <c r="B2567" s="13"/>
      <c r="C2567" s="13"/>
      <c r="D2567" s="13"/>
      <c r="E2567" s="12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2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</row>
    <row r="2568" spans="1:41" x14ac:dyDescent="0.2">
      <c r="A2568" s="13"/>
      <c r="B2568" s="13"/>
      <c r="C2568" s="13"/>
      <c r="D2568" s="13"/>
      <c r="E2568" s="12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2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</row>
    <row r="2569" spans="1:41" x14ac:dyDescent="0.2">
      <c r="A2569" s="13"/>
      <c r="B2569" s="13"/>
      <c r="C2569" s="13"/>
      <c r="D2569" s="13"/>
      <c r="E2569" s="12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2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</row>
    <row r="2570" spans="1:41" x14ac:dyDescent="0.2">
      <c r="A2570" s="13"/>
      <c r="B2570" s="13"/>
      <c r="C2570" s="13"/>
      <c r="D2570" s="13"/>
      <c r="E2570" s="12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2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</row>
    <row r="2571" spans="1:41" x14ac:dyDescent="0.2">
      <c r="A2571" s="13"/>
      <c r="B2571" s="13"/>
      <c r="C2571" s="13"/>
      <c r="D2571" s="13"/>
      <c r="E2571" s="12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2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</row>
    <row r="2572" spans="1:41" x14ac:dyDescent="0.2">
      <c r="A2572" s="13"/>
      <c r="B2572" s="13"/>
      <c r="C2572" s="13"/>
      <c r="D2572" s="13"/>
      <c r="E2572" s="12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2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</row>
    <row r="2573" spans="1:41" x14ac:dyDescent="0.2">
      <c r="A2573" s="13"/>
      <c r="B2573" s="13"/>
      <c r="C2573" s="13"/>
      <c r="D2573" s="13"/>
      <c r="E2573" s="12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2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</row>
    <row r="2574" spans="1:41" x14ac:dyDescent="0.2">
      <c r="A2574" s="13"/>
      <c r="B2574" s="13"/>
      <c r="C2574" s="13"/>
      <c r="D2574" s="13"/>
      <c r="E2574" s="12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2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</row>
    <row r="2575" spans="1:41" x14ac:dyDescent="0.2">
      <c r="A2575" s="13"/>
      <c r="B2575" s="13"/>
      <c r="C2575" s="13"/>
      <c r="D2575" s="13"/>
      <c r="E2575" s="12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2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</row>
    <row r="2576" spans="1:41" x14ac:dyDescent="0.2">
      <c r="A2576" s="13"/>
      <c r="B2576" s="13"/>
      <c r="C2576" s="13"/>
      <c r="D2576" s="13"/>
      <c r="E2576" s="12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2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</row>
    <row r="2577" spans="1:41" x14ac:dyDescent="0.2">
      <c r="A2577" s="13"/>
      <c r="B2577" s="13"/>
      <c r="C2577" s="13"/>
      <c r="D2577" s="13"/>
      <c r="E2577" s="12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2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</row>
    <row r="2578" spans="1:41" x14ac:dyDescent="0.2">
      <c r="A2578" s="13"/>
      <c r="B2578" s="13"/>
      <c r="C2578" s="13"/>
      <c r="D2578" s="13"/>
      <c r="E2578" s="12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2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</row>
    <row r="2579" spans="1:41" x14ac:dyDescent="0.2">
      <c r="A2579" s="13"/>
      <c r="B2579" s="13"/>
      <c r="C2579" s="13"/>
      <c r="D2579" s="13"/>
      <c r="E2579" s="12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2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</row>
    <row r="2580" spans="1:41" x14ac:dyDescent="0.2">
      <c r="A2580" s="13"/>
      <c r="B2580" s="13"/>
      <c r="C2580" s="13"/>
      <c r="D2580" s="13"/>
      <c r="E2580" s="12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2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</row>
    <row r="2581" spans="1:41" x14ac:dyDescent="0.2">
      <c r="A2581" s="13"/>
      <c r="B2581" s="13"/>
      <c r="C2581" s="13"/>
      <c r="D2581" s="13"/>
      <c r="E2581" s="12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2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</row>
    <row r="2582" spans="1:41" x14ac:dyDescent="0.2">
      <c r="A2582" s="13"/>
      <c r="B2582" s="13"/>
      <c r="C2582" s="13"/>
      <c r="D2582" s="13"/>
      <c r="E2582" s="12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2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</row>
    <row r="2583" spans="1:41" x14ac:dyDescent="0.2">
      <c r="A2583" s="13"/>
      <c r="B2583" s="13"/>
      <c r="C2583" s="13"/>
      <c r="D2583" s="13"/>
      <c r="E2583" s="12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2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</row>
    <row r="2584" spans="1:41" x14ac:dyDescent="0.2">
      <c r="A2584" s="13"/>
      <c r="B2584" s="13"/>
      <c r="C2584" s="13"/>
      <c r="D2584" s="13"/>
      <c r="E2584" s="12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2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</row>
    <row r="2585" spans="1:41" x14ac:dyDescent="0.2">
      <c r="A2585" s="13"/>
      <c r="B2585" s="13"/>
      <c r="C2585" s="13"/>
      <c r="D2585" s="13"/>
      <c r="E2585" s="12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2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</row>
    <row r="2586" spans="1:41" x14ac:dyDescent="0.2">
      <c r="A2586" s="13"/>
      <c r="B2586" s="13"/>
      <c r="C2586" s="13"/>
      <c r="D2586" s="13"/>
      <c r="E2586" s="12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2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</row>
    <row r="2587" spans="1:41" x14ac:dyDescent="0.2">
      <c r="A2587" s="13"/>
      <c r="B2587" s="13"/>
      <c r="C2587" s="13"/>
      <c r="D2587" s="13"/>
      <c r="E2587" s="12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2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</row>
    <row r="2588" spans="1:41" x14ac:dyDescent="0.2">
      <c r="A2588" s="13"/>
      <c r="B2588" s="13"/>
      <c r="C2588" s="13"/>
      <c r="D2588" s="13"/>
      <c r="E2588" s="12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2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</row>
    <row r="2589" spans="1:41" x14ac:dyDescent="0.2">
      <c r="A2589" s="13"/>
      <c r="B2589" s="13"/>
      <c r="C2589" s="13"/>
      <c r="D2589" s="13"/>
      <c r="E2589" s="12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2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</row>
    <row r="2590" spans="1:41" x14ac:dyDescent="0.2">
      <c r="A2590" s="13"/>
      <c r="B2590" s="13"/>
      <c r="C2590" s="13"/>
      <c r="D2590" s="13"/>
      <c r="E2590" s="12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2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</row>
    <row r="2591" spans="1:41" x14ac:dyDescent="0.2">
      <c r="A2591" s="13"/>
      <c r="B2591" s="13"/>
      <c r="C2591" s="13"/>
      <c r="D2591" s="13"/>
      <c r="E2591" s="12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2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</row>
    <row r="2592" spans="1:41" x14ac:dyDescent="0.2">
      <c r="A2592" s="13"/>
      <c r="B2592" s="13"/>
      <c r="C2592" s="13"/>
      <c r="D2592" s="13"/>
      <c r="E2592" s="12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2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</row>
    <row r="2593" spans="1:41" x14ac:dyDescent="0.2">
      <c r="A2593" s="13"/>
      <c r="B2593" s="13"/>
      <c r="C2593" s="13"/>
      <c r="D2593" s="13"/>
      <c r="E2593" s="12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2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</row>
    <row r="2594" spans="1:41" x14ac:dyDescent="0.2">
      <c r="A2594" s="13"/>
      <c r="B2594" s="13"/>
      <c r="C2594" s="13"/>
      <c r="D2594" s="13"/>
      <c r="E2594" s="12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2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</row>
    <row r="2595" spans="1:41" x14ac:dyDescent="0.2">
      <c r="A2595" s="13"/>
      <c r="B2595" s="13"/>
      <c r="C2595" s="13"/>
      <c r="D2595" s="13"/>
      <c r="E2595" s="12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2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</row>
    <row r="2596" spans="1:41" x14ac:dyDescent="0.2">
      <c r="A2596" s="13"/>
      <c r="B2596" s="13"/>
      <c r="C2596" s="13"/>
      <c r="D2596" s="13"/>
      <c r="E2596" s="12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2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</row>
    <row r="2597" spans="1:41" x14ac:dyDescent="0.2">
      <c r="A2597" s="13"/>
      <c r="B2597" s="13"/>
      <c r="C2597" s="13"/>
      <c r="D2597" s="13"/>
      <c r="E2597" s="12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2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</row>
    <row r="2598" spans="1:41" x14ac:dyDescent="0.2">
      <c r="A2598" s="13"/>
      <c r="B2598" s="13"/>
      <c r="C2598" s="13"/>
      <c r="D2598" s="13"/>
      <c r="E2598" s="12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2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</row>
    <row r="2599" spans="1:41" x14ac:dyDescent="0.2">
      <c r="A2599" s="13"/>
      <c r="B2599" s="13"/>
      <c r="C2599" s="13"/>
      <c r="D2599" s="13"/>
      <c r="E2599" s="12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2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</row>
    <row r="2600" spans="1:41" x14ac:dyDescent="0.2">
      <c r="A2600" s="13"/>
      <c r="B2600" s="13"/>
      <c r="C2600" s="13"/>
      <c r="D2600" s="13"/>
      <c r="E2600" s="12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2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</row>
    <row r="2601" spans="1:41" x14ac:dyDescent="0.2">
      <c r="A2601" s="13"/>
      <c r="B2601" s="13"/>
      <c r="C2601" s="13"/>
      <c r="D2601" s="13"/>
      <c r="E2601" s="12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2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</row>
    <row r="2602" spans="1:41" x14ac:dyDescent="0.2">
      <c r="A2602" s="13"/>
      <c r="B2602" s="13"/>
      <c r="C2602" s="13"/>
      <c r="D2602" s="13"/>
      <c r="E2602" s="12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2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</row>
    <row r="2603" spans="1:41" x14ac:dyDescent="0.2">
      <c r="A2603" s="13"/>
      <c r="B2603" s="13"/>
      <c r="C2603" s="13"/>
      <c r="D2603" s="13"/>
      <c r="E2603" s="12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2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</row>
    <row r="2604" spans="1:41" x14ac:dyDescent="0.2">
      <c r="A2604" s="13"/>
      <c r="B2604" s="13"/>
      <c r="C2604" s="13"/>
      <c r="D2604" s="13"/>
      <c r="E2604" s="12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2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</row>
    <row r="2605" spans="1:41" x14ac:dyDescent="0.2">
      <c r="A2605" s="13"/>
      <c r="B2605" s="13"/>
      <c r="C2605" s="13"/>
      <c r="D2605" s="13"/>
      <c r="E2605" s="12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2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</row>
    <row r="2606" spans="1:41" x14ac:dyDescent="0.2">
      <c r="A2606" s="13"/>
      <c r="B2606" s="13"/>
      <c r="C2606" s="13"/>
      <c r="D2606" s="13"/>
      <c r="E2606" s="12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2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</row>
    <row r="2607" spans="1:41" x14ac:dyDescent="0.2">
      <c r="A2607" s="13"/>
      <c r="B2607" s="13"/>
      <c r="C2607" s="13"/>
      <c r="D2607" s="13"/>
      <c r="E2607" s="12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2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</row>
    <row r="2608" spans="1:41" x14ac:dyDescent="0.2">
      <c r="A2608" s="13"/>
      <c r="B2608" s="13"/>
      <c r="C2608" s="13"/>
      <c r="D2608" s="13"/>
      <c r="E2608" s="12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2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</row>
    <row r="2609" spans="1:41" x14ac:dyDescent="0.2">
      <c r="A2609" s="13"/>
      <c r="B2609" s="13"/>
      <c r="C2609" s="13"/>
      <c r="D2609" s="13"/>
      <c r="E2609" s="12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2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</row>
    <row r="2610" spans="1:41" x14ac:dyDescent="0.2">
      <c r="A2610" s="13"/>
      <c r="B2610" s="13"/>
      <c r="C2610" s="13"/>
      <c r="D2610" s="13"/>
      <c r="E2610" s="12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2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</row>
    <row r="2611" spans="1:41" x14ac:dyDescent="0.2">
      <c r="A2611" s="13"/>
      <c r="B2611" s="13"/>
      <c r="C2611" s="13"/>
      <c r="D2611" s="13"/>
      <c r="E2611" s="12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2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</row>
    <row r="2612" spans="1:41" x14ac:dyDescent="0.2">
      <c r="A2612" s="13"/>
      <c r="B2612" s="13"/>
      <c r="C2612" s="13"/>
      <c r="D2612" s="13"/>
      <c r="E2612" s="12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2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</row>
    <row r="2613" spans="1:41" x14ac:dyDescent="0.2">
      <c r="A2613" s="13"/>
      <c r="B2613" s="13"/>
      <c r="C2613" s="13"/>
      <c r="D2613" s="13"/>
      <c r="E2613" s="12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2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</row>
    <row r="2614" spans="1:41" x14ac:dyDescent="0.2">
      <c r="A2614" s="13"/>
      <c r="B2614" s="13"/>
      <c r="C2614" s="13"/>
      <c r="D2614" s="13"/>
      <c r="E2614" s="12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2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</row>
    <row r="2615" spans="1:41" x14ac:dyDescent="0.2">
      <c r="A2615" s="13"/>
      <c r="B2615" s="13"/>
      <c r="C2615" s="13"/>
      <c r="D2615" s="13"/>
      <c r="E2615" s="12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2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</row>
    <row r="2616" spans="1:41" x14ac:dyDescent="0.2">
      <c r="A2616" s="13"/>
      <c r="B2616" s="13"/>
      <c r="C2616" s="13"/>
      <c r="D2616" s="13"/>
      <c r="E2616" s="12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2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</row>
    <row r="2617" spans="1:41" x14ac:dyDescent="0.2">
      <c r="A2617" s="13"/>
      <c r="B2617" s="13"/>
      <c r="C2617" s="13"/>
      <c r="D2617" s="13"/>
      <c r="E2617" s="12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2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</row>
    <row r="2618" spans="1:41" x14ac:dyDescent="0.2">
      <c r="A2618" s="13"/>
      <c r="B2618" s="13"/>
      <c r="C2618" s="13"/>
      <c r="D2618" s="13"/>
      <c r="E2618" s="12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2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</row>
    <row r="2619" spans="1:41" x14ac:dyDescent="0.2">
      <c r="A2619" s="13"/>
      <c r="B2619" s="13"/>
      <c r="C2619" s="13"/>
      <c r="D2619" s="13"/>
      <c r="E2619" s="12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2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</row>
    <row r="2620" spans="1:41" x14ac:dyDescent="0.2">
      <c r="A2620" s="13"/>
      <c r="B2620" s="13"/>
      <c r="C2620" s="13"/>
      <c r="D2620" s="13"/>
      <c r="E2620" s="12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2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</row>
    <row r="2621" spans="1:41" x14ac:dyDescent="0.2">
      <c r="A2621" s="13"/>
      <c r="B2621" s="13"/>
      <c r="C2621" s="13"/>
      <c r="D2621" s="13"/>
      <c r="E2621" s="12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2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</row>
    <row r="2622" spans="1:41" x14ac:dyDescent="0.2">
      <c r="A2622" s="13"/>
      <c r="B2622" s="13"/>
      <c r="C2622" s="13"/>
      <c r="D2622" s="13"/>
      <c r="E2622" s="12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2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</row>
    <row r="2623" spans="1:41" x14ac:dyDescent="0.2">
      <c r="A2623" s="13"/>
      <c r="B2623" s="13"/>
      <c r="C2623" s="13"/>
      <c r="D2623" s="13"/>
      <c r="E2623" s="12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2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</row>
    <row r="2624" spans="1:41" x14ac:dyDescent="0.2">
      <c r="A2624" s="13"/>
      <c r="B2624" s="13"/>
      <c r="C2624" s="13"/>
      <c r="D2624" s="13"/>
      <c r="E2624" s="12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2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</row>
    <row r="2625" spans="1:41" x14ac:dyDescent="0.2">
      <c r="A2625" s="13"/>
      <c r="B2625" s="13"/>
      <c r="C2625" s="13"/>
      <c r="D2625" s="13"/>
      <c r="E2625" s="12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2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</row>
    <row r="2626" spans="1:41" x14ac:dyDescent="0.2">
      <c r="A2626" s="13"/>
      <c r="B2626" s="13"/>
      <c r="C2626" s="13"/>
      <c r="D2626" s="13"/>
      <c r="E2626" s="12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2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</row>
    <row r="2627" spans="1:41" x14ac:dyDescent="0.2">
      <c r="A2627" s="13"/>
      <c r="B2627" s="13"/>
      <c r="C2627" s="13"/>
      <c r="D2627" s="13"/>
      <c r="E2627" s="12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2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</row>
    <row r="2628" spans="1:41" x14ac:dyDescent="0.2">
      <c r="A2628" s="13"/>
      <c r="B2628" s="13"/>
      <c r="C2628" s="13"/>
      <c r="D2628" s="13"/>
      <c r="E2628" s="12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2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</row>
    <row r="2629" spans="1:41" x14ac:dyDescent="0.2">
      <c r="A2629" s="13"/>
      <c r="B2629" s="13"/>
      <c r="C2629" s="13"/>
      <c r="D2629" s="13"/>
      <c r="E2629" s="12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2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</row>
    <row r="2630" spans="1:41" x14ac:dyDescent="0.2">
      <c r="A2630" s="13"/>
      <c r="B2630" s="13"/>
      <c r="C2630" s="13"/>
      <c r="D2630" s="13"/>
      <c r="E2630" s="12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2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</row>
    <row r="2631" spans="1:41" x14ac:dyDescent="0.2">
      <c r="A2631" s="13"/>
      <c r="B2631" s="13"/>
      <c r="C2631" s="13"/>
      <c r="D2631" s="13"/>
      <c r="E2631" s="12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2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</row>
    <row r="2632" spans="1:41" x14ac:dyDescent="0.2">
      <c r="A2632" s="13"/>
      <c r="B2632" s="13"/>
      <c r="C2632" s="13"/>
      <c r="D2632" s="13"/>
      <c r="E2632" s="12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2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</row>
    <row r="2633" spans="1:41" x14ac:dyDescent="0.2">
      <c r="A2633" s="13"/>
      <c r="B2633" s="13"/>
      <c r="C2633" s="13"/>
      <c r="D2633" s="13"/>
      <c r="E2633" s="12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2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</row>
    <row r="2634" spans="1:41" x14ac:dyDescent="0.2">
      <c r="A2634" s="13"/>
      <c r="B2634" s="13"/>
      <c r="C2634" s="13"/>
      <c r="D2634" s="13"/>
      <c r="E2634" s="12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2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</row>
    <row r="2635" spans="1:41" x14ac:dyDescent="0.2">
      <c r="A2635" s="13"/>
      <c r="B2635" s="13"/>
      <c r="C2635" s="13"/>
      <c r="D2635" s="13"/>
      <c r="E2635" s="12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2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</row>
    <row r="2636" spans="1:41" x14ac:dyDescent="0.2">
      <c r="A2636" s="13"/>
      <c r="B2636" s="13"/>
      <c r="C2636" s="13"/>
      <c r="D2636" s="13"/>
      <c r="E2636" s="12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2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</row>
    <row r="2637" spans="1:41" x14ac:dyDescent="0.2">
      <c r="A2637" s="13"/>
      <c r="B2637" s="13"/>
      <c r="C2637" s="13"/>
      <c r="D2637" s="13"/>
      <c r="E2637" s="12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2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</row>
    <row r="2638" spans="1:41" x14ac:dyDescent="0.2">
      <c r="A2638" s="13"/>
      <c r="B2638" s="13"/>
      <c r="C2638" s="13"/>
      <c r="D2638" s="13"/>
      <c r="E2638" s="12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2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</row>
    <row r="2639" spans="1:41" x14ac:dyDescent="0.2">
      <c r="A2639" s="13"/>
      <c r="B2639" s="13"/>
      <c r="C2639" s="13"/>
      <c r="D2639" s="13"/>
      <c r="E2639" s="12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2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</row>
    <row r="2640" spans="1:41" x14ac:dyDescent="0.2">
      <c r="A2640" s="13"/>
      <c r="B2640" s="13"/>
      <c r="C2640" s="13"/>
      <c r="D2640" s="13"/>
      <c r="E2640" s="12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2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</row>
    <row r="2641" spans="1:41" x14ac:dyDescent="0.2">
      <c r="A2641" s="13"/>
      <c r="B2641" s="13"/>
      <c r="C2641" s="13"/>
      <c r="D2641" s="13"/>
      <c r="E2641" s="12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2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</row>
    <row r="2642" spans="1:41" x14ac:dyDescent="0.2">
      <c r="A2642" s="13"/>
      <c r="B2642" s="13"/>
      <c r="C2642" s="13"/>
      <c r="D2642" s="13"/>
      <c r="E2642" s="12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2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</row>
    <row r="2643" spans="1:41" x14ac:dyDescent="0.2">
      <c r="A2643" s="13"/>
      <c r="B2643" s="13"/>
      <c r="C2643" s="13"/>
      <c r="D2643" s="13"/>
      <c r="E2643" s="12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2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</row>
    <row r="2644" spans="1:41" x14ac:dyDescent="0.2">
      <c r="A2644" s="13"/>
      <c r="B2644" s="13"/>
      <c r="C2644" s="13"/>
      <c r="D2644" s="13"/>
      <c r="E2644" s="12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2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</row>
    <row r="2645" spans="1:41" x14ac:dyDescent="0.2">
      <c r="A2645" s="13"/>
      <c r="B2645" s="13"/>
      <c r="C2645" s="13"/>
      <c r="D2645" s="13"/>
      <c r="E2645" s="12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2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</row>
    <row r="2646" spans="1:41" x14ac:dyDescent="0.2">
      <c r="A2646" s="13"/>
      <c r="B2646" s="13"/>
      <c r="C2646" s="13"/>
      <c r="D2646" s="13"/>
      <c r="E2646" s="12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2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</row>
    <row r="2647" spans="1:41" x14ac:dyDescent="0.2">
      <c r="A2647" s="13"/>
      <c r="B2647" s="13"/>
      <c r="C2647" s="13"/>
      <c r="D2647" s="13"/>
      <c r="E2647" s="12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2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</row>
    <row r="2648" spans="1:41" x14ac:dyDescent="0.2">
      <c r="A2648" s="13"/>
      <c r="B2648" s="13"/>
      <c r="C2648" s="13"/>
      <c r="D2648" s="13"/>
      <c r="E2648" s="12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2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</row>
    <row r="2649" spans="1:41" x14ac:dyDescent="0.2">
      <c r="A2649" s="13"/>
      <c r="B2649" s="13"/>
      <c r="C2649" s="13"/>
      <c r="D2649" s="13"/>
      <c r="E2649" s="12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2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</row>
    <row r="2650" spans="1:41" x14ac:dyDescent="0.2">
      <c r="A2650" s="13"/>
      <c r="B2650" s="13"/>
      <c r="C2650" s="13"/>
      <c r="D2650" s="13"/>
      <c r="E2650" s="12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2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</row>
    <row r="2651" spans="1:41" x14ac:dyDescent="0.2">
      <c r="A2651" s="13"/>
      <c r="B2651" s="13"/>
      <c r="C2651" s="13"/>
      <c r="D2651" s="13"/>
      <c r="E2651" s="12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2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</row>
    <row r="2652" spans="1:41" x14ac:dyDescent="0.2">
      <c r="A2652" s="13"/>
      <c r="B2652" s="13"/>
      <c r="C2652" s="13"/>
      <c r="D2652" s="13"/>
      <c r="E2652" s="12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2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</row>
    <row r="2653" spans="1:41" x14ac:dyDescent="0.2">
      <c r="A2653" s="13"/>
      <c r="B2653" s="13"/>
      <c r="C2653" s="13"/>
      <c r="D2653" s="13"/>
      <c r="E2653" s="12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2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</row>
    <row r="2654" spans="1:41" x14ac:dyDescent="0.2">
      <c r="A2654" s="13"/>
      <c r="B2654" s="13"/>
      <c r="C2654" s="13"/>
      <c r="D2654" s="13"/>
      <c r="E2654" s="12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2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</row>
    <row r="2655" spans="1:41" x14ac:dyDescent="0.2">
      <c r="A2655" s="13"/>
      <c r="B2655" s="13"/>
      <c r="C2655" s="13"/>
      <c r="D2655" s="13"/>
      <c r="E2655" s="12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2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</row>
    <row r="2656" spans="1:41" x14ac:dyDescent="0.2">
      <c r="A2656" s="13"/>
      <c r="B2656" s="13"/>
      <c r="C2656" s="13"/>
      <c r="D2656" s="13"/>
      <c r="E2656" s="12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2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</row>
    <row r="2657" spans="1:41" x14ac:dyDescent="0.2">
      <c r="A2657" s="13"/>
      <c r="B2657" s="13"/>
      <c r="C2657" s="13"/>
      <c r="D2657" s="13"/>
      <c r="E2657" s="12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2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</row>
    <row r="2658" spans="1:41" x14ac:dyDescent="0.2">
      <c r="A2658" s="13"/>
      <c r="B2658" s="13"/>
      <c r="C2658" s="13"/>
      <c r="D2658" s="13"/>
      <c r="E2658" s="12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2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</row>
    <row r="2659" spans="1:41" x14ac:dyDescent="0.2">
      <c r="A2659" s="13"/>
      <c r="B2659" s="13"/>
      <c r="C2659" s="13"/>
      <c r="D2659" s="13"/>
      <c r="E2659" s="12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2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</row>
    <row r="2660" spans="1:41" x14ac:dyDescent="0.2">
      <c r="A2660" s="13"/>
      <c r="B2660" s="13"/>
      <c r="C2660" s="13"/>
      <c r="D2660" s="13"/>
      <c r="E2660" s="12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2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</row>
    <row r="2661" spans="1:41" x14ac:dyDescent="0.2">
      <c r="A2661" s="13"/>
      <c r="B2661" s="13"/>
      <c r="C2661" s="13"/>
      <c r="D2661" s="13"/>
      <c r="E2661" s="12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2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</row>
    <row r="2662" spans="1:41" x14ac:dyDescent="0.2">
      <c r="A2662" s="13"/>
      <c r="B2662" s="13"/>
      <c r="C2662" s="13"/>
      <c r="D2662" s="13"/>
      <c r="E2662" s="12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2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</row>
    <row r="2663" spans="1:41" x14ac:dyDescent="0.2">
      <c r="A2663" s="13"/>
      <c r="B2663" s="13"/>
      <c r="C2663" s="13"/>
      <c r="D2663" s="13"/>
      <c r="E2663" s="12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2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</row>
    <row r="2664" spans="1:41" x14ac:dyDescent="0.2">
      <c r="A2664" s="13"/>
      <c r="B2664" s="13"/>
      <c r="C2664" s="13"/>
      <c r="D2664" s="13"/>
      <c r="E2664" s="12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2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</row>
    <row r="2665" spans="1:41" x14ac:dyDescent="0.2">
      <c r="A2665" s="13"/>
      <c r="B2665" s="13"/>
      <c r="C2665" s="13"/>
      <c r="D2665" s="13"/>
      <c r="E2665" s="12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2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</row>
    <row r="2666" spans="1:41" x14ac:dyDescent="0.2">
      <c r="A2666" s="13"/>
      <c r="B2666" s="13"/>
      <c r="C2666" s="13"/>
      <c r="D2666" s="13"/>
      <c r="E2666" s="12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2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</row>
    <row r="2667" spans="1:41" x14ac:dyDescent="0.2">
      <c r="A2667" s="13"/>
      <c r="B2667" s="13"/>
      <c r="C2667" s="13"/>
      <c r="D2667" s="13"/>
      <c r="E2667" s="12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2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</row>
    <row r="2668" spans="1:41" x14ac:dyDescent="0.2">
      <c r="A2668" s="13"/>
      <c r="B2668" s="13"/>
      <c r="C2668" s="13"/>
      <c r="D2668" s="13"/>
      <c r="E2668" s="12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2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</row>
    <row r="2669" spans="1:41" x14ac:dyDescent="0.2">
      <c r="A2669" s="13"/>
      <c r="B2669" s="13"/>
      <c r="C2669" s="13"/>
      <c r="D2669" s="13"/>
      <c r="E2669" s="12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2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</row>
    <row r="2670" spans="1:41" x14ac:dyDescent="0.2">
      <c r="A2670" s="13"/>
      <c r="B2670" s="13"/>
      <c r="C2670" s="13"/>
      <c r="D2670" s="13"/>
      <c r="E2670" s="12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2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</row>
    <row r="2671" spans="1:41" x14ac:dyDescent="0.2">
      <c r="A2671" s="13"/>
      <c r="B2671" s="13"/>
      <c r="C2671" s="13"/>
      <c r="D2671" s="13"/>
      <c r="E2671" s="12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2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</row>
    <row r="2672" spans="1:41" x14ac:dyDescent="0.2">
      <c r="A2672" s="13"/>
      <c r="B2672" s="13"/>
      <c r="C2672" s="13"/>
      <c r="D2672" s="13"/>
      <c r="E2672" s="12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2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</row>
    <row r="2673" spans="1:41" x14ac:dyDescent="0.2">
      <c r="A2673" s="13"/>
      <c r="B2673" s="13"/>
      <c r="C2673" s="13"/>
      <c r="D2673" s="13"/>
      <c r="E2673" s="12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2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</row>
    <row r="2674" spans="1:41" x14ac:dyDescent="0.2">
      <c r="A2674" s="13"/>
      <c r="B2674" s="13"/>
      <c r="C2674" s="13"/>
      <c r="D2674" s="13"/>
      <c r="E2674" s="12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2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</row>
    <row r="2675" spans="1:41" x14ac:dyDescent="0.2">
      <c r="A2675" s="13"/>
      <c r="B2675" s="13"/>
      <c r="C2675" s="13"/>
      <c r="D2675" s="13"/>
      <c r="E2675" s="12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2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</row>
    <row r="2676" spans="1:41" x14ac:dyDescent="0.2">
      <c r="A2676" s="13"/>
      <c r="B2676" s="13"/>
      <c r="C2676" s="13"/>
      <c r="D2676" s="13"/>
      <c r="E2676" s="12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2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</row>
    <row r="2677" spans="1:41" x14ac:dyDescent="0.2">
      <c r="A2677" s="13"/>
      <c r="B2677" s="13"/>
      <c r="C2677" s="13"/>
      <c r="D2677" s="13"/>
      <c r="E2677" s="12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2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</row>
    <row r="2678" spans="1:41" x14ac:dyDescent="0.2">
      <c r="A2678" s="13"/>
      <c r="B2678" s="13"/>
      <c r="C2678" s="13"/>
      <c r="D2678" s="13"/>
      <c r="E2678" s="12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2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</row>
    <row r="2679" spans="1:41" x14ac:dyDescent="0.2">
      <c r="A2679" s="13"/>
      <c r="B2679" s="13"/>
      <c r="C2679" s="13"/>
      <c r="D2679" s="13"/>
      <c r="E2679" s="12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2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</row>
    <row r="2680" spans="1:41" x14ac:dyDescent="0.2">
      <c r="A2680" s="13"/>
      <c r="B2680" s="13"/>
      <c r="C2680" s="13"/>
      <c r="D2680" s="13"/>
      <c r="E2680" s="12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2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</row>
    <row r="2681" spans="1:41" x14ac:dyDescent="0.2">
      <c r="A2681" s="13"/>
      <c r="B2681" s="13"/>
      <c r="C2681" s="13"/>
      <c r="D2681" s="13"/>
      <c r="E2681" s="12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2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</row>
    <row r="2682" spans="1:41" x14ac:dyDescent="0.2">
      <c r="A2682" s="13"/>
      <c r="B2682" s="13"/>
      <c r="C2682" s="13"/>
      <c r="D2682" s="13"/>
      <c r="E2682" s="12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2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</row>
    <row r="2683" spans="1:41" x14ac:dyDescent="0.2">
      <c r="A2683" s="13"/>
      <c r="B2683" s="13"/>
      <c r="C2683" s="13"/>
      <c r="D2683" s="13"/>
      <c r="E2683" s="12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2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</row>
    <row r="2684" spans="1:41" x14ac:dyDescent="0.2">
      <c r="A2684" s="13"/>
      <c r="B2684" s="13"/>
      <c r="C2684" s="13"/>
      <c r="D2684" s="13"/>
      <c r="E2684" s="12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2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</row>
    <row r="2685" spans="1:41" x14ac:dyDescent="0.2">
      <c r="A2685" s="13"/>
      <c r="B2685" s="13"/>
      <c r="C2685" s="13"/>
      <c r="D2685" s="13"/>
      <c r="E2685" s="12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2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</row>
    <row r="2686" spans="1:41" x14ac:dyDescent="0.2">
      <c r="A2686" s="13"/>
      <c r="B2686" s="13"/>
      <c r="C2686" s="13"/>
      <c r="D2686" s="13"/>
      <c r="E2686" s="12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2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</row>
    <row r="2687" spans="1:41" x14ac:dyDescent="0.2">
      <c r="A2687" s="13"/>
      <c r="B2687" s="13"/>
      <c r="C2687" s="13"/>
      <c r="D2687" s="13"/>
      <c r="E2687" s="12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2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</row>
    <row r="2688" spans="1:41" x14ac:dyDescent="0.2">
      <c r="A2688" s="13"/>
      <c r="B2688" s="13"/>
      <c r="C2688" s="13"/>
      <c r="D2688" s="13"/>
      <c r="E2688" s="12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2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</row>
    <row r="2689" spans="1:41" x14ac:dyDescent="0.2">
      <c r="A2689" s="13"/>
      <c r="B2689" s="13"/>
      <c r="C2689" s="13"/>
      <c r="D2689" s="13"/>
      <c r="E2689" s="12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2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</row>
    <row r="2690" spans="1:41" x14ac:dyDescent="0.2">
      <c r="A2690" s="13"/>
      <c r="B2690" s="13"/>
      <c r="C2690" s="13"/>
      <c r="D2690" s="13"/>
      <c r="E2690" s="12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2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</row>
    <row r="2691" spans="1:41" x14ac:dyDescent="0.2">
      <c r="A2691" s="13"/>
      <c r="B2691" s="13"/>
      <c r="C2691" s="13"/>
      <c r="D2691" s="13"/>
      <c r="E2691" s="12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2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</row>
    <row r="2692" spans="1:41" x14ac:dyDescent="0.2">
      <c r="A2692" s="13"/>
      <c r="B2692" s="13"/>
      <c r="C2692" s="13"/>
      <c r="D2692" s="13"/>
      <c r="E2692" s="12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2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</row>
    <row r="2693" spans="1:41" x14ac:dyDescent="0.2">
      <c r="A2693" s="13"/>
      <c r="B2693" s="13"/>
      <c r="C2693" s="13"/>
      <c r="D2693" s="13"/>
      <c r="E2693" s="12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2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</row>
    <row r="2694" spans="1:41" x14ac:dyDescent="0.2">
      <c r="A2694" s="13"/>
      <c r="B2694" s="13"/>
      <c r="C2694" s="13"/>
      <c r="D2694" s="13"/>
      <c r="E2694" s="12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2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</row>
    <row r="2695" spans="1:41" x14ac:dyDescent="0.2">
      <c r="A2695" s="13"/>
      <c r="B2695" s="13"/>
      <c r="C2695" s="13"/>
      <c r="D2695" s="13"/>
      <c r="E2695" s="12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2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</row>
    <row r="2696" spans="1:41" x14ac:dyDescent="0.2">
      <c r="A2696" s="13"/>
      <c r="B2696" s="13"/>
      <c r="C2696" s="13"/>
      <c r="D2696" s="13"/>
      <c r="E2696" s="12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2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</row>
    <row r="2697" spans="1:41" x14ac:dyDescent="0.2">
      <c r="A2697" s="13"/>
      <c r="B2697" s="13"/>
      <c r="C2697" s="13"/>
      <c r="D2697" s="13"/>
      <c r="E2697" s="12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2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</row>
    <row r="2698" spans="1:41" x14ac:dyDescent="0.2">
      <c r="A2698" s="13"/>
      <c r="B2698" s="13"/>
      <c r="C2698" s="13"/>
      <c r="D2698" s="13"/>
      <c r="E2698" s="12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2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</row>
    <row r="2699" spans="1:41" x14ac:dyDescent="0.2">
      <c r="A2699" s="13"/>
      <c r="B2699" s="13"/>
      <c r="C2699" s="13"/>
      <c r="D2699" s="13"/>
      <c r="E2699" s="12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2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</row>
    <row r="2700" spans="1:41" x14ac:dyDescent="0.2">
      <c r="A2700" s="13"/>
      <c r="B2700" s="13"/>
      <c r="C2700" s="13"/>
      <c r="D2700" s="13"/>
      <c r="E2700" s="12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2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</row>
    <row r="2701" spans="1:41" x14ac:dyDescent="0.2">
      <c r="A2701" s="13"/>
      <c r="B2701" s="13"/>
      <c r="C2701" s="13"/>
      <c r="D2701" s="13"/>
      <c r="E2701" s="12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2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</row>
    <row r="2702" spans="1:41" x14ac:dyDescent="0.2">
      <c r="A2702" s="13"/>
      <c r="B2702" s="13"/>
      <c r="C2702" s="13"/>
      <c r="D2702" s="13"/>
      <c r="E2702" s="12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2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</row>
    <row r="2703" spans="1:41" x14ac:dyDescent="0.2">
      <c r="A2703" s="13"/>
      <c r="B2703" s="13"/>
      <c r="C2703" s="13"/>
      <c r="D2703" s="13"/>
      <c r="E2703" s="12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2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</row>
    <row r="2704" spans="1:41" x14ac:dyDescent="0.2">
      <c r="A2704" s="13"/>
      <c r="B2704" s="13"/>
      <c r="C2704" s="13"/>
      <c r="D2704" s="13"/>
      <c r="E2704" s="12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2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</row>
    <row r="2705" spans="1:41" x14ac:dyDescent="0.2">
      <c r="A2705" s="13"/>
      <c r="B2705" s="13"/>
      <c r="C2705" s="13"/>
      <c r="D2705" s="13"/>
      <c r="E2705" s="12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2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</row>
    <row r="2706" spans="1:41" x14ac:dyDescent="0.2">
      <c r="A2706" s="13"/>
      <c r="B2706" s="13"/>
      <c r="C2706" s="13"/>
      <c r="D2706" s="13"/>
      <c r="E2706" s="12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2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</row>
    <row r="2707" spans="1:41" x14ac:dyDescent="0.2">
      <c r="A2707" s="13"/>
      <c r="B2707" s="13"/>
      <c r="C2707" s="13"/>
      <c r="D2707" s="13"/>
      <c r="E2707" s="12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2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</row>
    <row r="2708" spans="1:41" x14ac:dyDescent="0.2">
      <c r="A2708" s="13"/>
      <c r="B2708" s="13"/>
      <c r="C2708" s="13"/>
      <c r="D2708" s="13"/>
      <c r="E2708" s="12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2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</row>
    <row r="2709" spans="1:41" x14ac:dyDescent="0.2">
      <c r="A2709" s="13"/>
      <c r="B2709" s="13"/>
      <c r="C2709" s="13"/>
      <c r="D2709" s="13"/>
      <c r="E2709" s="12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2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</row>
    <row r="2710" spans="1:41" x14ac:dyDescent="0.2">
      <c r="A2710" s="13"/>
      <c r="B2710" s="13"/>
      <c r="C2710" s="13"/>
      <c r="D2710" s="13"/>
      <c r="E2710" s="12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2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</row>
    <row r="2711" spans="1:41" x14ac:dyDescent="0.2">
      <c r="A2711" s="13"/>
      <c r="B2711" s="13"/>
      <c r="C2711" s="13"/>
      <c r="D2711" s="13"/>
      <c r="E2711" s="12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2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</row>
    <row r="2712" spans="1:41" x14ac:dyDescent="0.2">
      <c r="A2712" s="13"/>
      <c r="B2712" s="13"/>
      <c r="C2712" s="13"/>
      <c r="D2712" s="13"/>
      <c r="E2712" s="1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2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</row>
    <row r="2713" spans="1:41" x14ac:dyDescent="0.2">
      <c r="A2713" s="13"/>
      <c r="B2713" s="13"/>
      <c r="C2713" s="13"/>
      <c r="D2713" s="13"/>
      <c r="E2713" s="12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2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</row>
    <row r="2714" spans="1:41" x14ac:dyDescent="0.2">
      <c r="A2714" s="13"/>
      <c r="B2714" s="13"/>
      <c r="C2714" s="13"/>
      <c r="D2714" s="13"/>
      <c r="E2714" s="12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2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</row>
    <row r="2715" spans="1:41" x14ac:dyDescent="0.2">
      <c r="A2715" s="13"/>
      <c r="B2715" s="13"/>
      <c r="C2715" s="13"/>
      <c r="D2715" s="13"/>
      <c r="E2715" s="12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2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</row>
    <row r="2716" spans="1:41" x14ac:dyDescent="0.2">
      <c r="A2716" s="13"/>
      <c r="B2716" s="13"/>
      <c r="C2716" s="13"/>
      <c r="D2716" s="13"/>
      <c r="E2716" s="12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2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</row>
    <row r="2717" spans="1:41" x14ac:dyDescent="0.2">
      <c r="A2717" s="13"/>
      <c r="B2717" s="13"/>
      <c r="C2717" s="13"/>
      <c r="D2717" s="13"/>
      <c r="E2717" s="12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2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</row>
    <row r="2718" spans="1:41" x14ac:dyDescent="0.2">
      <c r="A2718" s="13"/>
      <c r="B2718" s="13"/>
      <c r="C2718" s="13"/>
      <c r="D2718" s="13"/>
      <c r="E2718" s="12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2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</row>
    <row r="2719" spans="1:41" x14ac:dyDescent="0.2">
      <c r="A2719" s="13"/>
      <c r="B2719" s="13"/>
      <c r="C2719" s="13"/>
      <c r="D2719" s="13"/>
      <c r="E2719" s="12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2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</row>
    <row r="2720" spans="1:41" x14ac:dyDescent="0.2">
      <c r="A2720" s="13"/>
      <c r="B2720" s="13"/>
      <c r="C2720" s="13"/>
      <c r="D2720" s="13"/>
      <c r="E2720" s="12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2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</row>
    <row r="2721" spans="1:41" x14ac:dyDescent="0.2">
      <c r="A2721" s="13"/>
      <c r="B2721" s="13"/>
      <c r="C2721" s="13"/>
      <c r="D2721" s="13"/>
      <c r="E2721" s="12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2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</row>
    <row r="2722" spans="1:41" x14ac:dyDescent="0.2">
      <c r="A2722" s="13"/>
      <c r="B2722" s="13"/>
      <c r="C2722" s="13"/>
      <c r="D2722" s="13"/>
      <c r="E2722" s="12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2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</row>
    <row r="2723" spans="1:41" x14ac:dyDescent="0.2">
      <c r="A2723" s="13"/>
      <c r="B2723" s="13"/>
      <c r="C2723" s="13"/>
      <c r="D2723" s="13"/>
      <c r="E2723" s="12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2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</row>
    <row r="2724" spans="1:41" x14ac:dyDescent="0.2">
      <c r="A2724" s="13"/>
      <c r="B2724" s="13"/>
      <c r="C2724" s="13"/>
      <c r="D2724" s="13"/>
      <c r="E2724" s="12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2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</row>
    <row r="2725" spans="1:41" x14ac:dyDescent="0.2">
      <c r="A2725" s="13"/>
      <c r="B2725" s="13"/>
      <c r="C2725" s="13"/>
      <c r="D2725" s="13"/>
      <c r="E2725" s="12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2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</row>
    <row r="2726" spans="1:41" x14ac:dyDescent="0.2">
      <c r="A2726" s="13"/>
      <c r="B2726" s="13"/>
      <c r="C2726" s="13"/>
      <c r="D2726" s="13"/>
      <c r="E2726" s="12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2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</row>
    <row r="2727" spans="1:41" x14ac:dyDescent="0.2">
      <c r="A2727" s="13"/>
      <c r="B2727" s="13"/>
      <c r="C2727" s="13"/>
      <c r="D2727" s="13"/>
      <c r="E2727" s="12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2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</row>
    <row r="2728" spans="1:41" x14ac:dyDescent="0.2">
      <c r="A2728" s="13"/>
      <c r="B2728" s="13"/>
      <c r="C2728" s="13"/>
      <c r="D2728" s="13"/>
      <c r="E2728" s="12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2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</row>
    <row r="2729" spans="1:41" x14ac:dyDescent="0.2">
      <c r="A2729" s="13"/>
      <c r="B2729" s="13"/>
      <c r="C2729" s="13"/>
      <c r="D2729" s="13"/>
      <c r="E2729" s="12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2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</row>
    <row r="2730" spans="1:41" x14ac:dyDescent="0.2">
      <c r="A2730" s="13"/>
      <c r="B2730" s="13"/>
      <c r="C2730" s="13"/>
      <c r="D2730" s="13"/>
      <c r="E2730" s="12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2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</row>
    <row r="2731" spans="1:41" x14ac:dyDescent="0.2">
      <c r="A2731" s="13"/>
      <c r="B2731" s="13"/>
      <c r="C2731" s="13"/>
      <c r="D2731" s="13"/>
      <c r="E2731" s="12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2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</row>
    <row r="2732" spans="1:41" x14ac:dyDescent="0.2">
      <c r="A2732" s="13"/>
      <c r="B2732" s="13"/>
      <c r="C2732" s="13"/>
      <c r="D2732" s="13"/>
      <c r="E2732" s="12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2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</row>
    <row r="2733" spans="1:41" x14ac:dyDescent="0.2">
      <c r="A2733" s="13"/>
      <c r="B2733" s="13"/>
      <c r="C2733" s="13"/>
      <c r="D2733" s="13"/>
      <c r="E2733" s="12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2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</row>
    <row r="2734" spans="1:41" x14ac:dyDescent="0.2">
      <c r="A2734" s="13"/>
      <c r="B2734" s="13"/>
      <c r="C2734" s="13"/>
      <c r="D2734" s="13"/>
      <c r="E2734" s="12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2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</row>
    <row r="2735" spans="1:41" x14ac:dyDescent="0.2">
      <c r="A2735" s="13"/>
      <c r="B2735" s="13"/>
      <c r="C2735" s="13"/>
      <c r="D2735" s="13"/>
      <c r="E2735" s="12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2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</row>
    <row r="2736" spans="1:41" x14ac:dyDescent="0.2">
      <c r="A2736" s="13"/>
      <c r="B2736" s="13"/>
      <c r="C2736" s="13"/>
      <c r="D2736" s="13"/>
      <c r="E2736" s="12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2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</row>
    <row r="2737" spans="1:41" x14ac:dyDescent="0.2">
      <c r="A2737" s="13"/>
      <c r="B2737" s="13"/>
      <c r="C2737" s="13"/>
      <c r="D2737" s="13"/>
      <c r="E2737" s="12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2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</row>
    <row r="2738" spans="1:41" x14ac:dyDescent="0.2">
      <c r="A2738" s="13"/>
      <c r="B2738" s="13"/>
      <c r="C2738" s="13"/>
      <c r="D2738" s="13"/>
      <c r="E2738" s="12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2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</row>
    <row r="2739" spans="1:41" x14ac:dyDescent="0.2">
      <c r="A2739" s="13"/>
      <c r="B2739" s="13"/>
      <c r="C2739" s="13"/>
      <c r="D2739" s="13"/>
      <c r="E2739" s="12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2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</row>
    <row r="2740" spans="1:41" x14ac:dyDescent="0.2">
      <c r="A2740" s="13"/>
      <c r="B2740" s="13"/>
      <c r="C2740" s="13"/>
      <c r="D2740" s="13"/>
      <c r="E2740" s="12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2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</row>
    <row r="2741" spans="1:41" x14ac:dyDescent="0.2">
      <c r="A2741" s="13"/>
      <c r="B2741" s="13"/>
      <c r="C2741" s="13"/>
      <c r="D2741" s="13"/>
      <c r="E2741" s="12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2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</row>
    <row r="2742" spans="1:41" x14ac:dyDescent="0.2">
      <c r="A2742" s="13"/>
      <c r="B2742" s="13"/>
      <c r="C2742" s="13"/>
      <c r="D2742" s="13"/>
      <c r="E2742" s="12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2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</row>
    <row r="2743" spans="1:41" x14ac:dyDescent="0.2">
      <c r="A2743" s="13"/>
      <c r="B2743" s="13"/>
      <c r="C2743" s="13"/>
      <c r="D2743" s="13"/>
      <c r="E2743" s="12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2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</row>
    <row r="2744" spans="1:41" x14ac:dyDescent="0.2">
      <c r="A2744" s="13"/>
      <c r="B2744" s="13"/>
      <c r="C2744" s="13"/>
      <c r="D2744" s="13"/>
      <c r="E2744" s="12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2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</row>
    <row r="2745" spans="1:41" x14ac:dyDescent="0.2">
      <c r="A2745" s="13"/>
      <c r="B2745" s="13"/>
      <c r="C2745" s="13"/>
      <c r="D2745" s="13"/>
      <c r="E2745" s="12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2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</row>
    <row r="2746" spans="1:41" x14ac:dyDescent="0.2">
      <c r="A2746" s="13"/>
      <c r="B2746" s="13"/>
      <c r="C2746" s="13"/>
      <c r="D2746" s="13"/>
      <c r="E2746" s="12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2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</row>
    <row r="2747" spans="1:41" x14ac:dyDescent="0.2">
      <c r="A2747" s="13"/>
      <c r="B2747" s="13"/>
      <c r="C2747" s="13"/>
      <c r="D2747" s="13"/>
      <c r="E2747" s="12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2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</row>
    <row r="2748" spans="1:41" x14ac:dyDescent="0.2">
      <c r="A2748" s="13"/>
      <c r="B2748" s="13"/>
      <c r="C2748" s="13"/>
      <c r="D2748" s="13"/>
      <c r="E2748" s="12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2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</row>
    <row r="2749" spans="1:41" x14ac:dyDescent="0.2">
      <c r="A2749" s="13"/>
      <c r="B2749" s="13"/>
      <c r="C2749" s="13"/>
      <c r="D2749" s="13"/>
      <c r="E2749" s="12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2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</row>
    <row r="2750" spans="1:41" x14ac:dyDescent="0.2">
      <c r="A2750" s="13"/>
      <c r="B2750" s="13"/>
      <c r="C2750" s="13"/>
      <c r="D2750" s="13"/>
      <c r="E2750" s="12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2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</row>
    <row r="2751" spans="1:41" x14ac:dyDescent="0.2">
      <c r="A2751" s="13"/>
      <c r="B2751" s="13"/>
      <c r="C2751" s="13"/>
      <c r="D2751" s="13"/>
      <c r="E2751" s="12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2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</row>
    <row r="2752" spans="1:41" x14ac:dyDescent="0.2">
      <c r="A2752" s="13"/>
      <c r="B2752" s="13"/>
      <c r="C2752" s="13"/>
      <c r="D2752" s="13"/>
      <c r="E2752" s="12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2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</row>
    <row r="2753" spans="1:41" x14ac:dyDescent="0.2">
      <c r="A2753" s="13"/>
      <c r="B2753" s="13"/>
      <c r="C2753" s="13"/>
      <c r="D2753" s="13"/>
      <c r="E2753" s="12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2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</row>
    <row r="2754" spans="1:41" x14ac:dyDescent="0.2">
      <c r="A2754" s="13"/>
      <c r="B2754" s="13"/>
      <c r="C2754" s="13"/>
      <c r="D2754" s="13"/>
      <c r="E2754" s="12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2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</row>
    <row r="2755" spans="1:41" x14ac:dyDescent="0.2">
      <c r="A2755" s="13"/>
      <c r="B2755" s="13"/>
      <c r="C2755" s="13"/>
      <c r="D2755" s="13"/>
      <c r="E2755" s="12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2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</row>
    <row r="2756" spans="1:41" x14ac:dyDescent="0.2">
      <c r="A2756" s="13"/>
      <c r="B2756" s="13"/>
      <c r="C2756" s="13"/>
      <c r="D2756" s="13"/>
      <c r="E2756" s="12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2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</row>
    <row r="2757" spans="1:41" x14ac:dyDescent="0.2">
      <c r="A2757" s="13"/>
      <c r="B2757" s="13"/>
      <c r="C2757" s="13"/>
      <c r="D2757" s="13"/>
      <c r="E2757" s="12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2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</row>
    <row r="2758" spans="1:41" x14ac:dyDescent="0.2">
      <c r="A2758" s="13"/>
      <c r="B2758" s="13"/>
      <c r="C2758" s="13"/>
      <c r="D2758" s="13"/>
      <c r="E2758" s="12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2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</row>
    <row r="2759" spans="1:41" x14ac:dyDescent="0.2">
      <c r="A2759" s="13"/>
      <c r="B2759" s="13"/>
      <c r="C2759" s="13"/>
      <c r="D2759" s="13"/>
      <c r="E2759" s="12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2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</row>
    <row r="2760" spans="1:41" x14ac:dyDescent="0.2">
      <c r="A2760" s="13"/>
      <c r="B2760" s="13"/>
      <c r="C2760" s="13"/>
      <c r="D2760" s="13"/>
      <c r="E2760" s="12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2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</row>
    <row r="2761" spans="1:41" x14ac:dyDescent="0.2">
      <c r="A2761" s="13"/>
      <c r="B2761" s="13"/>
      <c r="C2761" s="13"/>
      <c r="D2761" s="13"/>
      <c r="E2761" s="12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2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</row>
    <row r="2762" spans="1:41" x14ac:dyDescent="0.2">
      <c r="A2762" s="13"/>
      <c r="B2762" s="13"/>
      <c r="C2762" s="13"/>
      <c r="D2762" s="13"/>
      <c r="E2762" s="12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2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</row>
    <row r="2763" spans="1:41" x14ac:dyDescent="0.2">
      <c r="A2763" s="13"/>
      <c r="B2763" s="13"/>
      <c r="C2763" s="13"/>
      <c r="D2763" s="13"/>
      <c r="E2763" s="12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2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</row>
    <row r="2764" spans="1:41" x14ac:dyDescent="0.2">
      <c r="A2764" s="13"/>
      <c r="B2764" s="13"/>
      <c r="C2764" s="13"/>
      <c r="D2764" s="13"/>
      <c r="E2764" s="12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2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</row>
    <row r="2765" spans="1:41" x14ac:dyDescent="0.2">
      <c r="A2765" s="13"/>
      <c r="B2765" s="13"/>
      <c r="C2765" s="13"/>
      <c r="D2765" s="13"/>
      <c r="E2765" s="12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2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</row>
    <row r="2766" spans="1:41" x14ac:dyDescent="0.2">
      <c r="A2766" s="13"/>
      <c r="B2766" s="13"/>
      <c r="C2766" s="13"/>
      <c r="D2766" s="13"/>
      <c r="E2766" s="12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2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</row>
    <row r="2767" spans="1:41" x14ac:dyDescent="0.2">
      <c r="A2767" s="13"/>
      <c r="B2767" s="13"/>
      <c r="C2767" s="13"/>
      <c r="D2767" s="13"/>
      <c r="E2767" s="12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2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</row>
    <row r="2768" spans="1:41" x14ac:dyDescent="0.2">
      <c r="A2768" s="13"/>
      <c r="B2768" s="13"/>
      <c r="C2768" s="13"/>
      <c r="D2768" s="13"/>
      <c r="E2768" s="1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2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</row>
    <row r="2769" spans="1:41" x14ac:dyDescent="0.2">
      <c r="A2769" s="13"/>
      <c r="B2769" s="13"/>
      <c r="C2769" s="13"/>
      <c r="D2769" s="13"/>
      <c r="E2769" s="12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2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</row>
    <row r="2770" spans="1:41" x14ac:dyDescent="0.2">
      <c r="A2770" s="13"/>
      <c r="B2770" s="13"/>
      <c r="C2770" s="13"/>
      <c r="D2770" s="13"/>
      <c r="E2770" s="12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2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</row>
    <row r="2771" spans="1:41" x14ac:dyDescent="0.2">
      <c r="A2771" s="13"/>
      <c r="B2771" s="13"/>
      <c r="C2771" s="13"/>
      <c r="D2771" s="13"/>
      <c r="E2771" s="12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2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</row>
    <row r="2772" spans="1:41" x14ac:dyDescent="0.2">
      <c r="A2772" s="13"/>
      <c r="B2772" s="13"/>
      <c r="C2772" s="13"/>
      <c r="D2772" s="13"/>
      <c r="E2772" s="12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2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</row>
    <row r="2773" spans="1:41" x14ac:dyDescent="0.2">
      <c r="A2773" s="13"/>
      <c r="B2773" s="13"/>
      <c r="C2773" s="13"/>
      <c r="D2773" s="13"/>
      <c r="E2773" s="12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2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</row>
    <row r="2774" spans="1:41" x14ac:dyDescent="0.2">
      <c r="A2774" s="13"/>
      <c r="B2774" s="13"/>
      <c r="C2774" s="13"/>
      <c r="D2774" s="13"/>
      <c r="E2774" s="12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2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</row>
    <row r="2775" spans="1:41" x14ac:dyDescent="0.2">
      <c r="A2775" s="13"/>
      <c r="B2775" s="13"/>
      <c r="C2775" s="13"/>
      <c r="D2775" s="13"/>
      <c r="E2775" s="12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2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</row>
    <row r="2776" spans="1:41" x14ac:dyDescent="0.2">
      <c r="A2776" s="13"/>
      <c r="B2776" s="13"/>
      <c r="C2776" s="13"/>
      <c r="D2776" s="13"/>
      <c r="E2776" s="12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2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</row>
    <row r="2777" spans="1:41" x14ac:dyDescent="0.2">
      <c r="A2777" s="13"/>
      <c r="B2777" s="13"/>
      <c r="C2777" s="13"/>
      <c r="D2777" s="13"/>
      <c r="E2777" s="12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2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</row>
    <row r="2778" spans="1:41" x14ac:dyDescent="0.2">
      <c r="A2778" s="13"/>
      <c r="B2778" s="13"/>
      <c r="C2778" s="13"/>
      <c r="D2778" s="13"/>
      <c r="E2778" s="12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2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</row>
    <row r="2779" spans="1:41" x14ac:dyDescent="0.2">
      <c r="A2779" s="13"/>
      <c r="B2779" s="13"/>
      <c r="C2779" s="13"/>
      <c r="D2779" s="13"/>
      <c r="E2779" s="12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2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</row>
    <row r="2780" spans="1:41" x14ac:dyDescent="0.2">
      <c r="A2780" s="13"/>
      <c r="B2780" s="13"/>
      <c r="C2780" s="13"/>
      <c r="D2780" s="13"/>
      <c r="E2780" s="12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2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</row>
    <row r="2781" spans="1:41" x14ac:dyDescent="0.2">
      <c r="A2781" s="13"/>
      <c r="B2781" s="13"/>
      <c r="C2781" s="13"/>
      <c r="D2781" s="13"/>
      <c r="E2781" s="12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2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</row>
    <row r="2782" spans="1:41" x14ac:dyDescent="0.2">
      <c r="A2782" s="13"/>
      <c r="B2782" s="13"/>
      <c r="C2782" s="13"/>
      <c r="D2782" s="13"/>
      <c r="E2782" s="12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2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</row>
    <row r="2783" spans="1:41" x14ac:dyDescent="0.2">
      <c r="A2783" s="13"/>
      <c r="B2783" s="13"/>
      <c r="C2783" s="13"/>
      <c r="D2783" s="13"/>
      <c r="E2783" s="12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2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</row>
    <row r="2784" spans="1:41" x14ac:dyDescent="0.2">
      <c r="A2784" s="13"/>
      <c r="B2784" s="13"/>
      <c r="C2784" s="13"/>
      <c r="D2784" s="13"/>
      <c r="E2784" s="12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2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</row>
    <row r="2785" spans="1:41" x14ac:dyDescent="0.2">
      <c r="A2785" s="13"/>
      <c r="B2785" s="13"/>
      <c r="C2785" s="13"/>
      <c r="D2785" s="13"/>
      <c r="E2785" s="12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2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</row>
    <row r="2786" spans="1:41" x14ac:dyDescent="0.2">
      <c r="A2786" s="13"/>
      <c r="B2786" s="13"/>
      <c r="C2786" s="13"/>
      <c r="D2786" s="13"/>
      <c r="E2786" s="12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2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</row>
    <row r="2787" spans="1:41" x14ac:dyDescent="0.2">
      <c r="A2787" s="13"/>
      <c r="B2787" s="13"/>
      <c r="C2787" s="13"/>
      <c r="D2787" s="13"/>
      <c r="E2787" s="12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2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</row>
    <row r="2788" spans="1:41" x14ac:dyDescent="0.2">
      <c r="A2788" s="13"/>
      <c r="B2788" s="13"/>
      <c r="C2788" s="13"/>
      <c r="D2788" s="13"/>
      <c r="E2788" s="12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2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</row>
    <row r="2789" spans="1:41" x14ac:dyDescent="0.2">
      <c r="A2789" s="13"/>
      <c r="B2789" s="13"/>
      <c r="C2789" s="13"/>
      <c r="D2789" s="13"/>
      <c r="E2789" s="12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2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</row>
    <row r="2790" spans="1:41" x14ac:dyDescent="0.2">
      <c r="A2790" s="13"/>
      <c r="B2790" s="13"/>
      <c r="C2790" s="13"/>
      <c r="D2790" s="13"/>
      <c r="E2790" s="12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2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</row>
    <row r="2791" spans="1:41" x14ac:dyDescent="0.2">
      <c r="A2791" s="13"/>
      <c r="B2791" s="13"/>
      <c r="C2791" s="13"/>
      <c r="D2791" s="13"/>
      <c r="E2791" s="12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2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</row>
    <row r="2792" spans="1:41" x14ac:dyDescent="0.2">
      <c r="A2792" s="13"/>
      <c r="B2792" s="13"/>
      <c r="C2792" s="13"/>
      <c r="D2792" s="13"/>
      <c r="E2792" s="12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2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</row>
    <row r="2793" spans="1:41" x14ac:dyDescent="0.2">
      <c r="A2793" s="13"/>
      <c r="B2793" s="13"/>
      <c r="C2793" s="13"/>
      <c r="D2793" s="13"/>
      <c r="E2793" s="12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2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</row>
    <row r="2794" spans="1:41" x14ac:dyDescent="0.2">
      <c r="A2794" s="13"/>
      <c r="B2794" s="13"/>
      <c r="C2794" s="13"/>
      <c r="D2794" s="13"/>
      <c r="E2794" s="12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2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</row>
    <row r="2795" spans="1:41" x14ac:dyDescent="0.2">
      <c r="A2795" s="13"/>
      <c r="B2795" s="13"/>
      <c r="C2795" s="13"/>
      <c r="D2795" s="13"/>
      <c r="E2795" s="12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2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</row>
    <row r="2796" spans="1:41" x14ac:dyDescent="0.2">
      <c r="A2796" s="13"/>
      <c r="B2796" s="13"/>
      <c r="C2796" s="13"/>
      <c r="D2796" s="13"/>
      <c r="E2796" s="12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2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</row>
    <row r="2797" spans="1:41" x14ac:dyDescent="0.2">
      <c r="A2797" s="13"/>
      <c r="B2797" s="13"/>
      <c r="C2797" s="13"/>
      <c r="D2797" s="13"/>
      <c r="E2797" s="12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2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</row>
    <row r="2798" spans="1:41" x14ac:dyDescent="0.2">
      <c r="A2798" s="13"/>
      <c r="B2798" s="13"/>
      <c r="C2798" s="13"/>
      <c r="D2798" s="13"/>
      <c r="E2798" s="12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2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</row>
    <row r="2799" spans="1:41" x14ac:dyDescent="0.2">
      <c r="A2799" s="13"/>
      <c r="B2799" s="13"/>
      <c r="C2799" s="13"/>
      <c r="D2799" s="13"/>
      <c r="E2799" s="12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2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</row>
    <row r="2800" spans="1:41" x14ac:dyDescent="0.2">
      <c r="A2800" s="13"/>
      <c r="B2800" s="13"/>
      <c r="C2800" s="13"/>
      <c r="D2800" s="13"/>
      <c r="E2800" s="12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2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</row>
    <row r="2801" spans="1:41" x14ac:dyDescent="0.2">
      <c r="A2801" s="13"/>
      <c r="B2801" s="13"/>
      <c r="C2801" s="13"/>
      <c r="D2801" s="13"/>
      <c r="E2801" s="12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2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</row>
    <row r="2802" spans="1:41" x14ac:dyDescent="0.2">
      <c r="A2802" s="13"/>
      <c r="B2802" s="13"/>
      <c r="C2802" s="13"/>
      <c r="D2802" s="13"/>
      <c r="E2802" s="12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2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</row>
    <row r="2803" spans="1:41" x14ac:dyDescent="0.2">
      <c r="A2803" s="13"/>
      <c r="B2803" s="13"/>
      <c r="C2803" s="13"/>
      <c r="D2803" s="13"/>
      <c r="E2803" s="12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2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</row>
    <row r="2804" spans="1:41" x14ac:dyDescent="0.2">
      <c r="A2804" s="13"/>
      <c r="B2804" s="13"/>
      <c r="C2804" s="13"/>
      <c r="D2804" s="13"/>
      <c r="E2804" s="12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2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</row>
    <row r="2805" spans="1:41" x14ac:dyDescent="0.2">
      <c r="A2805" s="13"/>
      <c r="B2805" s="13"/>
      <c r="C2805" s="13"/>
      <c r="D2805" s="13"/>
      <c r="E2805" s="12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2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</row>
    <row r="2806" spans="1:41" x14ac:dyDescent="0.2">
      <c r="A2806" s="13"/>
      <c r="B2806" s="13"/>
      <c r="C2806" s="13"/>
      <c r="D2806" s="13"/>
      <c r="E2806" s="12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2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</row>
    <row r="2807" spans="1:41" x14ac:dyDescent="0.2">
      <c r="A2807" s="13"/>
      <c r="B2807" s="13"/>
      <c r="C2807" s="13"/>
      <c r="D2807" s="13"/>
      <c r="E2807" s="12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2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</row>
    <row r="2808" spans="1:41" x14ac:dyDescent="0.2">
      <c r="A2808" s="13"/>
      <c r="B2808" s="13"/>
      <c r="C2808" s="13"/>
      <c r="D2808" s="13"/>
      <c r="E2808" s="12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2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</row>
    <row r="2809" spans="1:41" x14ac:dyDescent="0.2">
      <c r="A2809" s="13"/>
      <c r="B2809" s="13"/>
      <c r="C2809" s="13"/>
      <c r="D2809" s="13"/>
      <c r="E2809" s="12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2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</row>
    <row r="2810" spans="1:41" x14ac:dyDescent="0.2">
      <c r="A2810" s="13"/>
      <c r="B2810" s="13"/>
      <c r="C2810" s="13"/>
      <c r="D2810" s="13"/>
      <c r="E2810" s="12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2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</row>
    <row r="2811" spans="1:41" x14ac:dyDescent="0.2">
      <c r="A2811" s="13"/>
      <c r="B2811" s="13"/>
      <c r="C2811" s="13"/>
      <c r="D2811" s="13"/>
      <c r="E2811" s="12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2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</row>
    <row r="2812" spans="1:41" x14ac:dyDescent="0.2">
      <c r="A2812" s="13"/>
      <c r="B2812" s="13"/>
      <c r="C2812" s="13"/>
      <c r="D2812" s="13"/>
      <c r="E2812" s="12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2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</row>
    <row r="2813" spans="1:41" x14ac:dyDescent="0.2">
      <c r="A2813" s="13"/>
      <c r="B2813" s="13"/>
      <c r="C2813" s="13"/>
      <c r="D2813" s="13"/>
      <c r="E2813" s="12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2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</row>
    <row r="2814" spans="1:41" x14ac:dyDescent="0.2">
      <c r="A2814" s="13"/>
      <c r="B2814" s="13"/>
      <c r="C2814" s="13"/>
      <c r="D2814" s="13"/>
      <c r="E2814" s="12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2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</row>
    <row r="2815" spans="1:41" x14ac:dyDescent="0.2">
      <c r="A2815" s="13"/>
      <c r="B2815" s="13"/>
      <c r="C2815" s="13"/>
      <c r="D2815" s="13"/>
      <c r="E2815" s="12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2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</row>
    <row r="2816" spans="1:41" x14ac:dyDescent="0.2">
      <c r="A2816" s="13"/>
      <c r="B2816" s="13"/>
      <c r="C2816" s="13"/>
      <c r="D2816" s="13"/>
      <c r="E2816" s="12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2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</row>
    <row r="2817" spans="1:41" x14ac:dyDescent="0.2">
      <c r="A2817" s="13"/>
      <c r="B2817" s="13"/>
      <c r="C2817" s="13"/>
      <c r="D2817" s="13"/>
      <c r="E2817" s="12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2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</row>
    <row r="2818" spans="1:41" x14ac:dyDescent="0.2">
      <c r="A2818" s="13"/>
      <c r="B2818" s="13"/>
      <c r="C2818" s="13"/>
      <c r="D2818" s="13"/>
      <c r="E2818" s="12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2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</row>
    <row r="2819" spans="1:41" x14ac:dyDescent="0.2">
      <c r="A2819" s="13"/>
      <c r="B2819" s="13"/>
      <c r="C2819" s="13"/>
      <c r="D2819" s="13"/>
      <c r="E2819" s="12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2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</row>
    <row r="2820" spans="1:41" x14ac:dyDescent="0.2">
      <c r="A2820" s="13"/>
      <c r="B2820" s="13"/>
      <c r="C2820" s="13"/>
      <c r="D2820" s="13"/>
      <c r="E2820" s="12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2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</row>
    <row r="2821" spans="1:41" x14ac:dyDescent="0.2">
      <c r="A2821" s="13"/>
      <c r="B2821" s="13"/>
      <c r="C2821" s="13"/>
      <c r="D2821" s="13"/>
      <c r="E2821" s="12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2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</row>
    <row r="2822" spans="1:41" x14ac:dyDescent="0.2">
      <c r="A2822" s="13"/>
      <c r="B2822" s="13"/>
      <c r="C2822" s="13"/>
      <c r="D2822" s="13"/>
      <c r="E2822" s="12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2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</row>
    <row r="2823" spans="1:41" x14ac:dyDescent="0.2">
      <c r="A2823" s="13"/>
      <c r="B2823" s="13"/>
      <c r="C2823" s="13"/>
      <c r="D2823" s="13"/>
      <c r="E2823" s="12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2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</row>
    <row r="2824" spans="1:41" x14ac:dyDescent="0.2">
      <c r="A2824" s="13"/>
      <c r="B2824" s="13"/>
      <c r="C2824" s="13"/>
      <c r="D2824" s="13"/>
      <c r="E2824" s="12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2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</row>
    <row r="2825" spans="1:41" x14ac:dyDescent="0.2">
      <c r="A2825" s="13"/>
      <c r="B2825" s="13"/>
      <c r="C2825" s="13"/>
      <c r="D2825" s="13"/>
      <c r="E2825" s="12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2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</row>
    <row r="2826" spans="1:41" x14ac:dyDescent="0.2">
      <c r="A2826" s="13"/>
      <c r="B2826" s="13"/>
      <c r="C2826" s="13"/>
      <c r="D2826" s="13"/>
      <c r="E2826" s="12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2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</row>
    <row r="2827" spans="1:41" x14ac:dyDescent="0.2">
      <c r="A2827" s="13"/>
      <c r="B2827" s="13"/>
      <c r="C2827" s="13"/>
      <c r="D2827" s="13"/>
      <c r="E2827" s="12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2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</row>
    <row r="2828" spans="1:41" x14ac:dyDescent="0.2">
      <c r="A2828" s="13"/>
      <c r="B2828" s="13"/>
      <c r="C2828" s="13"/>
      <c r="D2828" s="13"/>
      <c r="E2828" s="12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2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</row>
    <row r="2829" spans="1:41" x14ac:dyDescent="0.2">
      <c r="A2829" s="13"/>
      <c r="B2829" s="13"/>
      <c r="C2829" s="13"/>
      <c r="D2829" s="13"/>
      <c r="E2829" s="12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2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</row>
    <row r="2830" spans="1:41" x14ac:dyDescent="0.2">
      <c r="A2830" s="13"/>
      <c r="B2830" s="13"/>
      <c r="C2830" s="13"/>
      <c r="D2830" s="13"/>
      <c r="E2830" s="12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2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</row>
    <row r="2831" spans="1:41" x14ac:dyDescent="0.2">
      <c r="A2831" s="13"/>
      <c r="B2831" s="13"/>
      <c r="C2831" s="13"/>
      <c r="D2831" s="13"/>
      <c r="E2831" s="1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2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</row>
    <row r="2832" spans="1:41" x14ac:dyDescent="0.2">
      <c r="A2832" s="13"/>
      <c r="B2832" s="13"/>
      <c r="C2832" s="13"/>
      <c r="D2832" s="13"/>
      <c r="E2832" s="12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2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</row>
    <row r="2833" spans="1:41" x14ac:dyDescent="0.2">
      <c r="A2833" s="13"/>
      <c r="B2833" s="13"/>
      <c r="C2833" s="13"/>
      <c r="D2833" s="13"/>
      <c r="E2833" s="12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2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</row>
    <row r="2834" spans="1:41" x14ac:dyDescent="0.2">
      <c r="A2834" s="13"/>
      <c r="B2834" s="13"/>
      <c r="C2834" s="13"/>
      <c r="D2834" s="13"/>
      <c r="E2834" s="12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2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</row>
    <row r="2835" spans="1:41" x14ac:dyDescent="0.2">
      <c r="A2835" s="13"/>
      <c r="B2835" s="13"/>
      <c r="C2835" s="13"/>
      <c r="D2835" s="13"/>
      <c r="E2835" s="12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2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</row>
    <row r="2836" spans="1:41" x14ac:dyDescent="0.2">
      <c r="A2836" s="13"/>
      <c r="B2836" s="13"/>
      <c r="C2836" s="13"/>
      <c r="D2836" s="13"/>
      <c r="E2836" s="12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2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</row>
    <row r="2837" spans="1:41" x14ac:dyDescent="0.2">
      <c r="A2837" s="13"/>
      <c r="B2837" s="13"/>
      <c r="C2837" s="13"/>
      <c r="D2837" s="13"/>
      <c r="E2837" s="12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2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</row>
    <row r="2838" spans="1:41" x14ac:dyDescent="0.2">
      <c r="A2838" s="13"/>
      <c r="B2838" s="13"/>
      <c r="C2838" s="13"/>
      <c r="D2838" s="13"/>
      <c r="E2838" s="12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2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</row>
    <row r="2839" spans="1:41" x14ac:dyDescent="0.2">
      <c r="A2839" s="13"/>
      <c r="B2839" s="13"/>
      <c r="C2839" s="13"/>
      <c r="D2839" s="13"/>
      <c r="E2839" s="12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2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</row>
    <row r="2840" spans="1:41" x14ac:dyDescent="0.2">
      <c r="A2840" s="13"/>
      <c r="B2840" s="13"/>
      <c r="C2840" s="13"/>
      <c r="D2840" s="13"/>
      <c r="E2840" s="12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2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</row>
    <row r="2841" spans="1:41" x14ac:dyDescent="0.2">
      <c r="A2841" s="13"/>
      <c r="B2841" s="13"/>
      <c r="C2841" s="13"/>
      <c r="D2841" s="13"/>
      <c r="E2841" s="12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2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</row>
    <row r="2842" spans="1:41" x14ac:dyDescent="0.2">
      <c r="A2842" s="13"/>
      <c r="B2842" s="13"/>
      <c r="C2842" s="13"/>
      <c r="D2842" s="13"/>
      <c r="E2842" s="12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2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</row>
    <row r="2843" spans="1:41" x14ac:dyDescent="0.2">
      <c r="A2843" s="13"/>
      <c r="B2843" s="13"/>
      <c r="C2843" s="13"/>
      <c r="D2843" s="13"/>
      <c r="E2843" s="12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2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</row>
    <row r="2844" spans="1:41" x14ac:dyDescent="0.2">
      <c r="A2844" s="13"/>
      <c r="B2844" s="13"/>
      <c r="C2844" s="13"/>
      <c r="D2844" s="13"/>
      <c r="E2844" s="12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2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</row>
    <row r="2845" spans="1:41" x14ac:dyDescent="0.2">
      <c r="A2845" s="13"/>
      <c r="B2845" s="13"/>
      <c r="C2845" s="13"/>
      <c r="D2845" s="13"/>
      <c r="E2845" s="12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2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</row>
    <row r="2846" spans="1:41" x14ac:dyDescent="0.2">
      <c r="A2846" s="13"/>
      <c r="B2846" s="13"/>
      <c r="C2846" s="13"/>
      <c r="D2846" s="13"/>
      <c r="E2846" s="12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2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</row>
    <row r="2847" spans="1:41" x14ac:dyDescent="0.2">
      <c r="A2847" s="13"/>
      <c r="B2847" s="13"/>
      <c r="C2847" s="13"/>
      <c r="D2847" s="13"/>
      <c r="E2847" s="12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2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</row>
    <row r="2848" spans="1:41" x14ac:dyDescent="0.2">
      <c r="A2848" s="13"/>
      <c r="B2848" s="13"/>
      <c r="C2848" s="13"/>
      <c r="D2848" s="13"/>
      <c r="E2848" s="12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2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</row>
    <row r="2849" spans="1:41" x14ac:dyDescent="0.2">
      <c r="A2849" s="13"/>
      <c r="B2849" s="13"/>
      <c r="C2849" s="13"/>
      <c r="D2849" s="13"/>
      <c r="E2849" s="12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2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</row>
    <row r="2850" spans="1:41" x14ac:dyDescent="0.2">
      <c r="A2850" s="13"/>
      <c r="B2850" s="13"/>
      <c r="C2850" s="13"/>
      <c r="D2850" s="13"/>
      <c r="E2850" s="12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2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</row>
    <row r="2851" spans="1:41" x14ac:dyDescent="0.2">
      <c r="A2851" s="13"/>
      <c r="B2851" s="13"/>
      <c r="C2851" s="13"/>
      <c r="D2851" s="13"/>
      <c r="E2851" s="12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2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</row>
    <row r="2852" spans="1:41" x14ac:dyDescent="0.2">
      <c r="A2852" s="13"/>
      <c r="B2852" s="13"/>
      <c r="C2852" s="13"/>
      <c r="D2852" s="13"/>
      <c r="E2852" s="12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2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</row>
    <row r="2853" spans="1:41" x14ac:dyDescent="0.2">
      <c r="A2853" s="13"/>
      <c r="B2853" s="13"/>
      <c r="C2853" s="13"/>
      <c r="D2853" s="13"/>
      <c r="E2853" s="12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2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</row>
    <row r="2854" spans="1:41" x14ac:dyDescent="0.2">
      <c r="A2854" s="13"/>
      <c r="B2854" s="13"/>
      <c r="C2854" s="13"/>
      <c r="D2854" s="13"/>
      <c r="E2854" s="12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2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</row>
    <row r="2855" spans="1:41" x14ac:dyDescent="0.2">
      <c r="A2855" s="13"/>
      <c r="B2855" s="13"/>
      <c r="C2855" s="13"/>
      <c r="D2855" s="13"/>
      <c r="E2855" s="12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2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</row>
    <row r="2856" spans="1:41" x14ac:dyDescent="0.2">
      <c r="A2856" s="13"/>
      <c r="B2856" s="13"/>
      <c r="C2856" s="13"/>
      <c r="D2856" s="13"/>
      <c r="E2856" s="12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2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</row>
    <row r="2857" spans="1:41" x14ac:dyDescent="0.2">
      <c r="A2857" s="13"/>
      <c r="B2857" s="13"/>
      <c r="C2857" s="13"/>
      <c r="D2857" s="13"/>
      <c r="E2857" s="12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2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</row>
    <row r="2858" spans="1:41" x14ac:dyDescent="0.2">
      <c r="A2858" s="13"/>
      <c r="B2858" s="13"/>
      <c r="C2858" s="13"/>
      <c r="D2858" s="13"/>
      <c r="E2858" s="12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2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</row>
    <row r="2859" spans="1:41" x14ac:dyDescent="0.2">
      <c r="A2859" s="13"/>
      <c r="B2859" s="13"/>
      <c r="C2859" s="13"/>
      <c r="D2859" s="13"/>
      <c r="E2859" s="12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2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</row>
    <row r="2860" spans="1:41" x14ac:dyDescent="0.2">
      <c r="A2860" s="13"/>
      <c r="B2860" s="13"/>
      <c r="C2860" s="13"/>
      <c r="D2860" s="13"/>
      <c r="E2860" s="12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2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</row>
    <row r="2861" spans="1:41" x14ac:dyDescent="0.2">
      <c r="A2861" s="13"/>
      <c r="B2861" s="13"/>
      <c r="C2861" s="13"/>
      <c r="D2861" s="13"/>
      <c r="E2861" s="12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2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</row>
    <row r="2862" spans="1:41" x14ac:dyDescent="0.2">
      <c r="A2862" s="13"/>
      <c r="B2862" s="13"/>
      <c r="C2862" s="13"/>
      <c r="D2862" s="13"/>
      <c r="E2862" s="12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2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</row>
    <row r="2863" spans="1:41" x14ac:dyDescent="0.2">
      <c r="A2863" s="13"/>
      <c r="B2863" s="13"/>
      <c r="C2863" s="13"/>
      <c r="D2863" s="13"/>
      <c r="E2863" s="12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2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</row>
    <row r="2864" spans="1:41" x14ac:dyDescent="0.2">
      <c r="A2864" s="13"/>
      <c r="B2864" s="13"/>
      <c r="C2864" s="13"/>
      <c r="D2864" s="13"/>
      <c r="E2864" s="12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2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</row>
    <row r="2865" spans="1:41" x14ac:dyDescent="0.2">
      <c r="A2865" s="13"/>
      <c r="B2865" s="13"/>
      <c r="C2865" s="13"/>
      <c r="D2865" s="13"/>
      <c r="E2865" s="12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2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</row>
    <row r="2866" spans="1:41" x14ac:dyDescent="0.2">
      <c r="A2866" s="13"/>
      <c r="B2866" s="13"/>
      <c r="C2866" s="13"/>
      <c r="D2866" s="13"/>
      <c r="E2866" s="12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2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</row>
    <row r="2867" spans="1:41" x14ac:dyDescent="0.2">
      <c r="A2867" s="13"/>
      <c r="B2867" s="13"/>
      <c r="C2867" s="13"/>
      <c r="D2867" s="13"/>
      <c r="E2867" s="12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2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</row>
    <row r="2868" spans="1:41" x14ac:dyDescent="0.2">
      <c r="A2868" s="13"/>
      <c r="B2868" s="13"/>
      <c r="C2868" s="13"/>
      <c r="D2868" s="13"/>
      <c r="E2868" s="12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2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</row>
    <row r="2869" spans="1:41" x14ac:dyDescent="0.2">
      <c r="A2869" s="13"/>
      <c r="B2869" s="13"/>
      <c r="C2869" s="13"/>
      <c r="D2869" s="13"/>
      <c r="E2869" s="12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2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</row>
    <row r="2870" spans="1:41" x14ac:dyDescent="0.2">
      <c r="A2870" s="13"/>
      <c r="B2870" s="13"/>
      <c r="C2870" s="13"/>
      <c r="D2870" s="13"/>
      <c r="E2870" s="12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2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</row>
    <row r="2871" spans="1:41" x14ac:dyDescent="0.2">
      <c r="A2871" s="13"/>
      <c r="B2871" s="13"/>
      <c r="C2871" s="13"/>
      <c r="D2871" s="13"/>
      <c r="E2871" s="12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2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</row>
    <row r="2872" spans="1:41" x14ac:dyDescent="0.2">
      <c r="A2872" s="13"/>
      <c r="B2872" s="13"/>
      <c r="C2872" s="13"/>
      <c r="D2872" s="13"/>
      <c r="E2872" s="12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2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</row>
    <row r="2873" spans="1:41" x14ac:dyDescent="0.2">
      <c r="A2873" s="13"/>
      <c r="B2873" s="13"/>
      <c r="C2873" s="13"/>
      <c r="D2873" s="13"/>
      <c r="E2873" s="12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2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</row>
    <row r="2874" spans="1:41" x14ac:dyDescent="0.2">
      <c r="A2874" s="13"/>
      <c r="B2874" s="13"/>
      <c r="C2874" s="13"/>
      <c r="D2874" s="13"/>
      <c r="E2874" s="12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2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</row>
    <row r="2875" spans="1:41" x14ac:dyDescent="0.2">
      <c r="A2875" s="13"/>
      <c r="B2875" s="13"/>
      <c r="C2875" s="13"/>
      <c r="D2875" s="13"/>
      <c r="E2875" s="12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2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</row>
    <row r="2876" spans="1:41" x14ac:dyDescent="0.2">
      <c r="A2876" s="13"/>
      <c r="B2876" s="13"/>
      <c r="C2876" s="13"/>
      <c r="D2876" s="13"/>
      <c r="E2876" s="1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2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</row>
    <row r="2877" spans="1:41" x14ac:dyDescent="0.2">
      <c r="A2877" s="13"/>
      <c r="B2877" s="13"/>
      <c r="C2877" s="13"/>
      <c r="D2877" s="13"/>
      <c r="E2877" s="12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2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</row>
    <row r="2878" spans="1:41" x14ac:dyDescent="0.2">
      <c r="A2878" s="13"/>
      <c r="B2878" s="13"/>
      <c r="C2878" s="13"/>
      <c r="D2878" s="13"/>
      <c r="E2878" s="12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2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</row>
    <row r="2879" spans="1:41" x14ac:dyDescent="0.2">
      <c r="A2879" s="13"/>
      <c r="B2879" s="13"/>
      <c r="C2879" s="13"/>
      <c r="D2879" s="13"/>
      <c r="E2879" s="12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2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</row>
    <row r="2880" spans="1:41" x14ac:dyDescent="0.2">
      <c r="A2880" s="13"/>
      <c r="B2880" s="13"/>
      <c r="C2880" s="13"/>
      <c r="D2880" s="13"/>
      <c r="E2880" s="12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2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</row>
    <row r="2881" spans="1:41" x14ac:dyDescent="0.2">
      <c r="A2881" s="13"/>
      <c r="B2881" s="13"/>
      <c r="C2881" s="13"/>
      <c r="D2881" s="13"/>
      <c r="E2881" s="12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2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</row>
    <row r="2882" spans="1:41" x14ac:dyDescent="0.2">
      <c r="A2882" s="13"/>
      <c r="B2882" s="13"/>
      <c r="C2882" s="13"/>
      <c r="D2882" s="13"/>
      <c r="E2882" s="12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2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</row>
    <row r="2883" spans="1:41" x14ac:dyDescent="0.2">
      <c r="A2883" s="13"/>
      <c r="B2883" s="13"/>
      <c r="C2883" s="13"/>
      <c r="D2883" s="13"/>
      <c r="E2883" s="12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2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</row>
    <row r="2884" spans="1:41" x14ac:dyDescent="0.2">
      <c r="A2884" s="13"/>
      <c r="B2884" s="13"/>
      <c r="C2884" s="13"/>
      <c r="D2884" s="13"/>
      <c r="E2884" s="12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2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</row>
    <row r="2885" spans="1:41" x14ac:dyDescent="0.2">
      <c r="A2885" s="13"/>
      <c r="B2885" s="13"/>
      <c r="C2885" s="13"/>
      <c r="D2885" s="13"/>
      <c r="E2885" s="12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2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</row>
    <row r="2886" spans="1:41" x14ac:dyDescent="0.2">
      <c r="A2886" s="13"/>
      <c r="B2886" s="13"/>
      <c r="C2886" s="13"/>
      <c r="D2886" s="13"/>
      <c r="E2886" s="12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2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</row>
    <row r="2887" spans="1:41" x14ac:dyDescent="0.2">
      <c r="A2887" s="13"/>
      <c r="B2887" s="13"/>
      <c r="C2887" s="13"/>
      <c r="D2887" s="13"/>
      <c r="E2887" s="12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2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</row>
    <row r="2888" spans="1:41" x14ac:dyDescent="0.2">
      <c r="A2888" s="13"/>
      <c r="B2888" s="13"/>
      <c r="C2888" s="13"/>
      <c r="D2888" s="13"/>
      <c r="E2888" s="12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2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</row>
    <row r="2889" spans="1:41" x14ac:dyDescent="0.2">
      <c r="A2889" s="13"/>
      <c r="B2889" s="13"/>
      <c r="C2889" s="13"/>
      <c r="D2889" s="13"/>
      <c r="E2889" s="12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2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</row>
    <row r="2890" spans="1:41" x14ac:dyDescent="0.2">
      <c r="A2890" s="13"/>
      <c r="B2890" s="13"/>
      <c r="C2890" s="13"/>
      <c r="D2890" s="13"/>
      <c r="E2890" s="12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2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</row>
    <row r="2891" spans="1:41" x14ac:dyDescent="0.2">
      <c r="A2891" s="13"/>
      <c r="B2891" s="13"/>
      <c r="C2891" s="13"/>
      <c r="D2891" s="13"/>
      <c r="E2891" s="12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2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</row>
    <row r="2892" spans="1:41" x14ac:dyDescent="0.2">
      <c r="A2892" s="13"/>
      <c r="B2892" s="13"/>
      <c r="C2892" s="13"/>
      <c r="D2892" s="13"/>
      <c r="E2892" s="12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2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</row>
    <row r="2893" spans="1:41" x14ac:dyDescent="0.2">
      <c r="A2893" s="13"/>
      <c r="B2893" s="13"/>
      <c r="C2893" s="13"/>
      <c r="D2893" s="13"/>
      <c r="E2893" s="12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2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</row>
    <row r="2894" spans="1:41" x14ac:dyDescent="0.2">
      <c r="A2894" s="13"/>
      <c r="B2894" s="13"/>
      <c r="C2894" s="13"/>
      <c r="D2894" s="13"/>
      <c r="E2894" s="12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2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</row>
    <row r="2895" spans="1:41" x14ac:dyDescent="0.2">
      <c r="A2895" s="13"/>
      <c r="B2895" s="13"/>
      <c r="C2895" s="13"/>
      <c r="D2895" s="13"/>
      <c r="E2895" s="12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2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</row>
    <row r="2896" spans="1:41" x14ac:dyDescent="0.2">
      <c r="A2896" s="13"/>
      <c r="B2896" s="13"/>
      <c r="C2896" s="13"/>
      <c r="D2896" s="13"/>
      <c r="E2896" s="12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2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</row>
    <row r="2897" spans="1:41" x14ac:dyDescent="0.2">
      <c r="A2897" s="13"/>
      <c r="B2897" s="13"/>
      <c r="C2897" s="13"/>
      <c r="D2897" s="13"/>
      <c r="E2897" s="12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2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</row>
    <row r="2898" spans="1:41" x14ac:dyDescent="0.2">
      <c r="A2898" s="13"/>
      <c r="B2898" s="13"/>
      <c r="C2898" s="13"/>
      <c r="D2898" s="13"/>
      <c r="E2898" s="12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2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</row>
    <row r="2899" spans="1:41" x14ac:dyDescent="0.2">
      <c r="A2899" s="13"/>
      <c r="B2899" s="13"/>
      <c r="C2899" s="13"/>
      <c r="D2899" s="13"/>
      <c r="E2899" s="12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2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</row>
    <row r="2900" spans="1:41" x14ac:dyDescent="0.2">
      <c r="A2900" s="13"/>
      <c r="B2900" s="13"/>
      <c r="C2900" s="13"/>
      <c r="D2900" s="13"/>
      <c r="E2900" s="12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2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</row>
    <row r="2901" spans="1:41" x14ac:dyDescent="0.2">
      <c r="A2901" s="13"/>
      <c r="B2901" s="13"/>
      <c r="C2901" s="13"/>
      <c r="D2901" s="13"/>
      <c r="E2901" s="12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2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</row>
    <row r="2902" spans="1:41" x14ac:dyDescent="0.2">
      <c r="A2902" s="13"/>
      <c r="B2902" s="13"/>
      <c r="C2902" s="13"/>
      <c r="D2902" s="13"/>
      <c r="E2902" s="12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2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</row>
    <row r="2903" spans="1:41" x14ac:dyDescent="0.2">
      <c r="A2903" s="13"/>
      <c r="B2903" s="13"/>
      <c r="C2903" s="13"/>
      <c r="D2903" s="13"/>
      <c r="E2903" s="12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2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</row>
    <row r="2904" spans="1:41" x14ac:dyDescent="0.2">
      <c r="A2904" s="13"/>
      <c r="B2904" s="13"/>
      <c r="C2904" s="13"/>
      <c r="D2904" s="13"/>
      <c r="E2904" s="12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2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</row>
    <row r="2905" spans="1:41" x14ac:dyDescent="0.2">
      <c r="A2905" s="13"/>
      <c r="B2905" s="13"/>
      <c r="C2905" s="13"/>
      <c r="D2905" s="13"/>
      <c r="E2905" s="12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2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</row>
    <row r="2906" spans="1:41" x14ac:dyDescent="0.2">
      <c r="A2906" s="13"/>
      <c r="B2906" s="13"/>
      <c r="C2906" s="13"/>
      <c r="D2906" s="13"/>
      <c r="E2906" s="12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2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</row>
    <row r="2907" spans="1:41" x14ac:dyDescent="0.2">
      <c r="A2907" s="13"/>
      <c r="B2907" s="13"/>
      <c r="C2907" s="13"/>
      <c r="D2907" s="13"/>
      <c r="E2907" s="12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2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</row>
    <row r="2908" spans="1:41" x14ac:dyDescent="0.2">
      <c r="A2908" s="13"/>
      <c r="B2908" s="13"/>
      <c r="C2908" s="13"/>
      <c r="D2908" s="13"/>
      <c r="E2908" s="12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2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</row>
    <row r="2909" spans="1:41" x14ac:dyDescent="0.2">
      <c r="A2909" s="13"/>
      <c r="B2909" s="13"/>
      <c r="C2909" s="13"/>
      <c r="D2909" s="13"/>
      <c r="E2909" s="12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2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</row>
    <row r="2910" spans="1:41" x14ac:dyDescent="0.2">
      <c r="A2910" s="13"/>
      <c r="B2910" s="13"/>
      <c r="C2910" s="13"/>
      <c r="D2910" s="13"/>
      <c r="E2910" s="12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2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</row>
    <row r="2911" spans="1:41" x14ac:dyDescent="0.2">
      <c r="A2911" s="13"/>
      <c r="B2911" s="13"/>
      <c r="C2911" s="13"/>
      <c r="D2911" s="13"/>
      <c r="E2911" s="12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2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</row>
    <row r="2912" spans="1:41" x14ac:dyDescent="0.2">
      <c r="A2912" s="13"/>
      <c r="B2912" s="13"/>
      <c r="C2912" s="13"/>
      <c r="D2912" s="13"/>
      <c r="E2912" s="12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2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</row>
    <row r="2913" spans="1:41" x14ac:dyDescent="0.2">
      <c r="A2913" s="13"/>
      <c r="B2913" s="13"/>
      <c r="C2913" s="13"/>
      <c r="D2913" s="13"/>
      <c r="E2913" s="12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2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</row>
    <row r="2914" spans="1:41" x14ac:dyDescent="0.2">
      <c r="A2914" s="13"/>
      <c r="B2914" s="13"/>
      <c r="C2914" s="13"/>
      <c r="D2914" s="13"/>
      <c r="E2914" s="12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2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</row>
    <row r="2915" spans="1:41" x14ac:dyDescent="0.2">
      <c r="A2915" s="13"/>
      <c r="B2915" s="13"/>
      <c r="C2915" s="13"/>
      <c r="D2915" s="13"/>
      <c r="E2915" s="12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2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</row>
    <row r="2916" spans="1:41" x14ac:dyDescent="0.2">
      <c r="A2916" s="13"/>
      <c r="B2916" s="13"/>
      <c r="C2916" s="13"/>
      <c r="D2916" s="13"/>
      <c r="E2916" s="12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2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</row>
    <row r="2917" spans="1:41" x14ac:dyDescent="0.2">
      <c r="A2917" s="13"/>
      <c r="B2917" s="13"/>
      <c r="C2917" s="13"/>
      <c r="D2917" s="13"/>
      <c r="E2917" s="12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2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</row>
    <row r="2918" spans="1:41" x14ac:dyDescent="0.2">
      <c r="A2918" s="13"/>
      <c r="B2918" s="13"/>
      <c r="C2918" s="13"/>
      <c r="D2918" s="13"/>
      <c r="E2918" s="12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2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</row>
    <row r="2919" spans="1:41" x14ac:dyDescent="0.2">
      <c r="A2919" s="13"/>
      <c r="B2919" s="13"/>
      <c r="C2919" s="13"/>
      <c r="D2919" s="13"/>
      <c r="E2919" s="12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2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</row>
    <row r="2920" spans="1:41" x14ac:dyDescent="0.2">
      <c r="A2920" s="13"/>
      <c r="B2920" s="13"/>
      <c r="C2920" s="13"/>
      <c r="D2920" s="13"/>
      <c r="E2920" s="12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2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</row>
    <row r="2921" spans="1:41" x14ac:dyDescent="0.2">
      <c r="A2921" s="13"/>
      <c r="B2921" s="13"/>
      <c r="C2921" s="13"/>
      <c r="D2921" s="13"/>
      <c r="E2921" s="12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2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</row>
    <row r="2922" spans="1:41" x14ac:dyDescent="0.2">
      <c r="A2922" s="13"/>
      <c r="B2922" s="13"/>
      <c r="C2922" s="13"/>
      <c r="D2922" s="13"/>
      <c r="E2922" s="12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2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</row>
    <row r="2923" spans="1:41" x14ac:dyDescent="0.2">
      <c r="A2923" s="13"/>
      <c r="B2923" s="13"/>
      <c r="C2923" s="13"/>
      <c r="D2923" s="13"/>
      <c r="E2923" s="12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2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</row>
    <row r="2924" spans="1:41" x14ac:dyDescent="0.2">
      <c r="A2924" s="13"/>
      <c r="B2924" s="13"/>
      <c r="C2924" s="13"/>
      <c r="D2924" s="13"/>
      <c r="E2924" s="12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2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</row>
    <row r="2925" spans="1:41" x14ac:dyDescent="0.2">
      <c r="A2925" s="13"/>
      <c r="B2925" s="13"/>
      <c r="C2925" s="13"/>
      <c r="D2925" s="13"/>
      <c r="E2925" s="12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2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</row>
    <row r="2926" spans="1:41" x14ac:dyDescent="0.2">
      <c r="A2926" s="13"/>
      <c r="B2926" s="13"/>
      <c r="C2926" s="13"/>
      <c r="D2926" s="13"/>
      <c r="E2926" s="12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2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</row>
    <row r="2927" spans="1:41" x14ac:dyDescent="0.2">
      <c r="A2927" s="13"/>
      <c r="B2927" s="13"/>
      <c r="C2927" s="13"/>
      <c r="D2927" s="13"/>
      <c r="E2927" s="12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2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</row>
    <row r="2928" spans="1:41" x14ac:dyDescent="0.2">
      <c r="A2928" s="13"/>
      <c r="B2928" s="13"/>
      <c r="C2928" s="13"/>
      <c r="D2928" s="13"/>
      <c r="E2928" s="1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2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</row>
    <row r="2929" spans="1:41" x14ac:dyDescent="0.2">
      <c r="A2929" s="13"/>
      <c r="B2929" s="13"/>
      <c r="C2929" s="13"/>
      <c r="D2929" s="13"/>
      <c r="E2929" s="12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2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</row>
    <row r="2930" spans="1:41" x14ac:dyDescent="0.2">
      <c r="A2930" s="13"/>
      <c r="B2930" s="13"/>
      <c r="C2930" s="13"/>
      <c r="D2930" s="13"/>
      <c r="E2930" s="12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2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</row>
    <row r="2931" spans="1:41" x14ac:dyDescent="0.2">
      <c r="A2931" s="13"/>
      <c r="B2931" s="13"/>
      <c r="C2931" s="13"/>
      <c r="D2931" s="13"/>
      <c r="E2931" s="12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2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</row>
    <row r="2932" spans="1:41" x14ac:dyDescent="0.2">
      <c r="A2932" s="13"/>
      <c r="B2932" s="13"/>
      <c r="C2932" s="13"/>
      <c r="D2932" s="13"/>
      <c r="E2932" s="12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2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</row>
    <row r="2933" spans="1:41" x14ac:dyDescent="0.2">
      <c r="A2933" s="13"/>
      <c r="B2933" s="13"/>
      <c r="C2933" s="13"/>
      <c r="D2933" s="13"/>
      <c r="E2933" s="12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2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</row>
    <row r="2934" spans="1:41" x14ac:dyDescent="0.2">
      <c r="A2934" s="13"/>
      <c r="B2934" s="13"/>
      <c r="C2934" s="13"/>
      <c r="D2934" s="13"/>
      <c r="E2934" s="12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2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</row>
    <row r="2935" spans="1:41" x14ac:dyDescent="0.2">
      <c r="A2935" s="13"/>
      <c r="B2935" s="13"/>
      <c r="C2935" s="13"/>
      <c r="D2935" s="13"/>
      <c r="E2935" s="12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2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</row>
    <row r="2936" spans="1:41" x14ac:dyDescent="0.2">
      <c r="A2936" s="13"/>
      <c r="B2936" s="13"/>
      <c r="C2936" s="13"/>
      <c r="D2936" s="13"/>
      <c r="E2936" s="12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2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</row>
    <row r="2937" spans="1:41" x14ac:dyDescent="0.2">
      <c r="A2937" s="13"/>
      <c r="B2937" s="13"/>
      <c r="C2937" s="13"/>
      <c r="D2937" s="13"/>
      <c r="E2937" s="12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2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</row>
    <row r="2938" spans="1:41" x14ac:dyDescent="0.2">
      <c r="A2938" s="13"/>
      <c r="B2938" s="13"/>
      <c r="C2938" s="13"/>
      <c r="D2938" s="13"/>
      <c r="E2938" s="12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2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</row>
    <row r="2939" spans="1:41" x14ac:dyDescent="0.2">
      <c r="A2939" s="13"/>
      <c r="B2939" s="13"/>
      <c r="C2939" s="13"/>
      <c r="D2939" s="13"/>
      <c r="E2939" s="12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2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</row>
    <row r="2940" spans="1:41" x14ac:dyDescent="0.2">
      <c r="A2940" s="13"/>
      <c r="B2940" s="13"/>
      <c r="C2940" s="13"/>
      <c r="D2940" s="13"/>
      <c r="E2940" s="12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2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</row>
    <row r="2941" spans="1:41" x14ac:dyDescent="0.2">
      <c r="A2941" s="13"/>
      <c r="B2941" s="13"/>
      <c r="C2941" s="13"/>
      <c r="D2941" s="13"/>
      <c r="E2941" s="12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2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</row>
    <row r="2942" spans="1:41" x14ac:dyDescent="0.2">
      <c r="A2942" s="13"/>
      <c r="B2942" s="13"/>
      <c r="C2942" s="13"/>
      <c r="D2942" s="13"/>
      <c r="E2942" s="12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2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</row>
    <row r="2943" spans="1:41" x14ac:dyDescent="0.2">
      <c r="A2943" s="13"/>
      <c r="B2943" s="13"/>
      <c r="C2943" s="13"/>
      <c r="D2943" s="13"/>
      <c r="E2943" s="12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2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</row>
    <row r="2944" spans="1:41" x14ac:dyDescent="0.2">
      <c r="A2944" s="13"/>
      <c r="B2944" s="13"/>
      <c r="C2944" s="13"/>
      <c r="D2944" s="13"/>
      <c r="E2944" s="12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2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</row>
    <row r="2945" spans="1:41" x14ac:dyDescent="0.2">
      <c r="A2945" s="13"/>
      <c r="B2945" s="13"/>
      <c r="C2945" s="13"/>
      <c r="D2945" s="13"/>
      <c r="E2945" s="12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2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</row>
    <row r="2946" spans="1:41" x14ac:dyDescent="0.2">
      <c r="A2946" s="13"/>
      <c r="B2946" s="13"/>
      <c r="C2946" s="13"/>
      <c r="D2946" s="13"/>
      <c r="E2946" s="12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2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</row>
    <row r="2947" spans="1:41" x14ac:dyDescent="0.2">
      <c r="A2947" s="13"/>
      <c r="B2947" s="13"/>
      <c r="C2947" s="13"/>
      <c r="D2947" s="13"/>
      <c r="E2947" s="12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2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</row>
    <row r="2948" spans="1:41" x14ac:dyDescent="0.2">
      <c r="A2948" s="13"/>
      <c r="B2948" s="13"/>
      <c r="C2948" s="13"/>
      <c r="D2948" s="13"/>
      <c r="E2948" s="12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2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</row>
    <row r="2949" spans="1:41" x14ac:dyDescent="0.2">
      <c r="A2949" s="13"/>
      <c r="B2949" s="13"/>
      <c r="C2949" s="13"/>
      <c r="D2949" s="13"/>
      <c r="E2949" s="12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2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</row>
    <row r="2950" spans="1:41" x14ac:dyDescent="0.2">
      <c r="A2950" s="13"/>
      <c r="B2950" s="13"/>
      <c r="C2950" s="13"/>
      <c r="D2950" s="13"/>
      <c r="E2950" s="12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2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</row>
    <row r="2951" spans="1:41" x14ac:dyDescent="0.2">
      <c r="A2951" s="13"/>
      <c r="B2951" s="13"/>
      <c r="C2951" s="13"/>
      <c r="D2951" s="13"/>
      <c r="E2951" s="12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2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</row>
    <row r="2952" spans="1:41" x14ac:dyDescent="0.2">
      <c r="A2952" s="13"/>
      <c r="B2952" s="13"/>
      <c r="C2952" s="13"/>
      <c r="D2952" s="13"/>
      <c r="E2952" s="12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2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</row>
    <row r="2953" spans="1:41" x14ac:dyDescent="0.2">
      <c r="A2953" s="13"/>
      <c r="B2953" s="13"/>
      <c r="C2953" s="13"/>
      <c r="D2953" s="13"/>
      <c r="E2953" s="12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2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</row>
    <row r="2954" spans="1:41" x14ac:dyDescent="0.2">
      <c r="A2954" s="13"/>
      <c r="B2954" s="13"/>
      <c r="C2954" s="13"/>
      <c r="D2954" s="13"/>
      <c r="E2954" s="12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2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</row>
    <row r="2955" spans="1:41" x14ac:dyDescent="0.2">
      <c r="A2955" s="13"/>
      <c r="B2955" s="13"/>
      <c r="C2955" s="13"/>
      <c r="D2955" s="13"/>
      <c r="E2955" s="12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2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</row>
    <row r="2956" spans="1:41" x14ac:dyDescent="0.2">
      <c r="A2956" s="13"/>
      <c r="B2956" s="13"/>
      <c r="C2956" s="13"/>
      <c r="D2956" s="13"/>
      <c r="E2956" s="12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2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</row>
    <row r="2957" spans="1:41" x14ac:dyDescent="0.2">
      <c r="A2957" s="13"/>
      <c r="B2957" s="13"/>
      <c r="C2957" s="13"/>
      <c r="D2957" s="13"/>
      <c r="E2957" s="12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2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</row>
    <row r="2958" spans="1:41" x14ac:dyDescent="0.2">
      <c r="A2958" s="13"/>
      <c r="B2958" s="13"/>
      <c r="C2958" s="13"/>
      <c r="D2958" s="13"/>
      <c r="E2958" s="12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2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</row>
    <row r="2959" spans="1:41" x14ac:dyDescent="0.2">
      <c r="A2959" s="13"/>
      <c r="B2959" s="13"/>
      <c r="C2959" s="13"/>
      <c r="D2959" s="13"/>
      <c r="E2959" s="12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2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</row>
    <row r="2960" spans="1:41" x14ac:dyDescent="0.2">
      <c r="A2960" s="13"/>
      <c r="B2960" s="13"/>
      <c r="C2960" s="13"/>
      <c r="D2960" s="13"/>
      <c r="E2960" s="12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2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</row>
    <row r="2961" spans="1:41" x14ac:dyDescent="0.2">
      <c r="A2961" s="13"/>
      <c r="B2961" s="13"/>
      <c r="C2961" s="13"/>
      <c r="D2961" s="13"/>
      <c r="E2961" s="12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2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</row>
    <row r="2962" spans="1:41" x14ac:dyDescent="0.2">
      <c r="A2962" s="13"/>
      <c r="B2962" s="13"/>
      <c r="C2962" s="13"/>
      <c r="D2962" s="13"/>
      <c r="E2962" s="12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2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</row>
    <row r="2963" spans="1:41" x14ac:dyDescent="0.2">
      <c r="A2963" s="13"/>
      <c r="B2963" s="13"/>
      <c r="C2963" s="13"/>
      <c r="D2963" s="13"/>
      <c r="E2963" s="12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2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</row>
    <row r="2964" spans="1:41" x14ac:dyDescent="0.2">
      <c r="A2964" s="13"/>
      <c r="B2964" s="13"/>
      <c r="C2964" s="13"/>
      <c r="D2964" s="13"/>
      <c r="E2964" s="12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2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</row>
    <row r="2965" spans="1:41" x14ac:dyDescent="0.2">
      <c r="A2965" s="13"/>
      <c r="B2965" s="13"/>
      <c r="C2965" s="13"/>
      <c r="D2965" s="13"/>
      <c r="E2965" s="12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2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</row>
    <row r="2966" spans="1:41" x14ac:dyDescent="0.2">
      <c r="A2966" s="13"/>
      <c r="B2966" s="13"/>
      <c r="C2966" s="13"/>
      <c r="D2966" s="13"/>
      <c r="E2966" s="12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2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</row>
    <row r="2967" spans="1:41" x14ac:dyDescent="0.2">
      <c r="A2967" s="13"/>
      <c r="B2967" s="13"/>
      <c r="C2967" s="13"/>
      <c r="D2967" s="13"/>
      <c r="E2967" s="12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2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</row>
    <row r="2968" spans="1:41" x14ac:dyDescent="0.2">
      <c r="A2968" s="13"/>
      <c r="B2968" s="13"/>
      <c r="C2968" s="13"/>
      <c r="D2968" s="13"/>
      <c r="E2968" s="12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2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</row>
    <row r="2969" spans="1:41" x14ac:dyDescent="0.2">
      <c r="A2969" s="13"/>
      <c r="B2969" s="13"/>
      <c r="C2969" s="13"/>
      <c r="D2969" s="13"/>
      <c r="E2969" s="12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2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</row>
    <row r="2970" spans="1:41" x14ac:dyDescent="0.2">
      <c r="A2970" s="13"/>
      <c r="B2970" s="13"/>
      <c r="C2970" s="13"/>
      <c r="D2970" s="13"/>
      <c r="E2970" s="12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2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</row>
    <row r="2971" spans="1:41" x14ac:dyDescent="0.2">
      <c r="A2971" s="13"/>
      <c r="B2971" s="13"/>
      <c r="C2971" s="13"/>
      <c r="D2971" s="13"/>
      <c r="E2971" s="12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2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</row>
    <row r="2972" spans="1:41" x14ac:dyDescent="0.2">
      <c r="A2972" s="13"/>
      <c r="B2972" s="13"/>
      <c r="C2972" s="13"/>
      <c r="D2972" s="13"/>
      <c r="E2972" s="12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2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</row>
    <row r="2973" spans="1:41" x14ac:dyDescent="0.2">
      <c r="A2973" s="13"/>
      <c r="B2973" s="13"/>
      <c r="C2973" s="13"/>
      <c r="D2973" s="13"/>
      <c r="E2973" s="12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2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</row>
    <row r="2974" spans="1:41" x14ac:dyDescent="0.2">
      <c r="A2974" s="13"/>
      <c r="B2974" s="13"/>
      <c r="C2974" s="13"/>
      <c r="D2974" s="13"/>
      <c r="E2974" s="12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2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</row>
    <row r="2975" spans="1:41" x14ac:dyDescent="0.2">
      <c r="A2975" s="13"/>
      <c r="B2975" s="13"/>
      <c r="C2975" s="13"/>
      <c r="D2975" s="13"/>
      <c r="E2975" s="12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2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</row>
    <row r="2976" spans="1:41" x14ac:dyDescent="0.2">
      <c r="A2976" s="13"/>
      <c r="B2976" s="13"/>
      <c r="C2976" s="13"/>
      <c r="D2976" s="13"/>
      <c r="E2976" s="12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2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</row>
    <row r="2977" spans="1:41" x14ac:dyDescent="0.2">
      <c r="A2977" s="13"/>
      <c r="B2977" s="13"/>
      <c r="C2977" s="13"/>
      <c r="D2977" s="13"/>
      <c r="E2977" s="12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2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</row>
    <row r="2978" spans="1:41" x14ac:dyDescent="0.2">
      <c r="A2978" s="13"/>
      <c r="B2978" s="13"/>
      <c r="C2978" s="13"/>
      <c r="D2978" s="13"/>
      <c r="E2978" s="12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2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</row>
    <row r="2979" spans="1:41" x14ac:dyDescent="0.2">
      <c r="A2979" s="13"/>
      <c r="B2979" s="13"/>
      <c r="C2979" s="13"/>
      <c r="D2979" s="13"/>
      <c r="E2979" s="12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2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</row>
    <row r="2980" spans="1:41" x14ac:dyDescent="0.2">
      <c r="A2980" s="13"/>
      <c r="B2980" s="13"/>
      <c r="C2980" s="13"/>
      <c r="D2980" s="13"/>
      <c r="E2980" s="12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2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</row>
    <row r="2981" spans="1:41" x14ac:dyDescent="0.2">
      <c r="A2981" s="13"/>
      <c r="B2981" s="13"/>
      <c r="C2981" s="13"/>
      <c r="D2981" s="13"/>
      <c r="E2981" s="12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2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</row>
    <row r="2982" spans="1:41" x14ac:dyDescent="0.2">
      <c r="A2982" s="13"/>
      <c r="B2982" s="13"/>
      <c r="C2982" s="13"/>
      <c r="D2982" s="13"/>
      <c r="E2982" s="12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2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</row>
    <row r="2983" spans="1:41" x14ac:dyDescent="0.2">
      <c r="A2983" s="13"/>
      <c r="B2983" s="13"/>
      <c r="C2983" s="13"/>
      <c r="D2983" s="13"/>
      <c r="E2983" s="12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2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</row>
    <row r="2984" spans="1:41" x14ac:dyDescent="0.2">
      <c r="A2984" s="13"/>
      <c r="B2984" s="13"/>
      <c r="C2984" s="13"/>
      <c r="D2984" s="13"/>
      <c r="E2984" s="12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2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</row>
    <row r="2985" spans="1:41" x14ac:dyDescent="0.2">
      <c r="A2985" s="13"/>
      <c r="B2985" s="13"/>
      <c r="C2985" s="13"/>
      <c r="D2985" s="13"/>
      <c r="E2985" s="12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2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</row>
    <row r="2986" spans="1:41" x14ac:dyDescent="0.2">
      <c r="A2986" s="13"/>
      <c r="B2986" s="13"/>
      <c r="C2986" s="13"/>
      <c r="D2986" s="13"/>
      <c r="E2986" s="12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2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</row>
    <row r="2987" spans="1:41" x14ac:dyDescent="0.2">
      <c r="A2987" s="13"/>
      <c r="B2987" s="13"/>
      <c r="C2987" s="13"/>
      <c r="D2987" s="13"/>
      <c r="E2987" s="12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2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</row>
    <row r="2988" spans="1:41" x14ac:dyDescent="0.2">
      <c r="A2988" s="13"/>
      <c r="B2988" s="13"/>
      <c r="C2988" s="13"/>
      <c r="D2988" s="13"/>
      <c r="E2988" s="12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2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</row>
    <row r="2989" spans="1:41" x14ac:dyDescent="0.2">
      <c r="A2989" s="13"/>
      <c r="B2989" s="13"/>
      <c r="C2989" s="13"/>
      <c r="D2989" s="13"/>
      <c r="E2989" s="12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2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</row>
    <row r="2990" spans="1:41" x14ac:dyDescent="0.2">
      <c r="A2990" s="13"/>
      <c r="B2990" s="13"/>
      <c r="C2990" s="13"/>
      <c r="D2990" s="13"/>
      <c r="E2990" s="12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2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</row>
    <row r="2991" spans="1:41" x14ac:dyDescent="0.2">
      <c r="A2991" s="13"/>
      <c r="B2991" s="13"/>
      <c r="C2991" s="13"/>
      <c r="D2991" s="13"/>
      <c r="E2991" s="12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2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</row>
    <row r="2992" spans="1:41" x14ac:dyDescent="0.2">
      <c r="A2992" s="13"/>
      <c r="B2992" s="13"/>
      <c r="C2992" s="13"/>
      <c r="D2992" s="13"/>
      <c r="E2992" s="12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2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</row>
    <row r="2993" spans="1:41" x14ac:dyDescent="0.2">
      <c r="A2993" s="13"/>
      <c r="B2993" s="13"/>
      <c r="C2993" s="13"/>
      <c r="D2993" s="13"/>
      <c r="E2993" s="12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2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</row>
    <row r="2994" spans="1:41" x14ac:dyDescent="0.2">
      <c r="A2994" s="13"/>
      <c r="B2994" s="13"/>
      <c r="C2994" s="13"/>
      <c r="D2994" s="13"/>
      <c r="E2994" s="12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2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</row>
    <row r="2995" spans="1:41" x14ac:dyDescent="0.2">
      <c r="A2995" s="13"/>
      <c r="B2995" s="13"/>
      <c r="C2995" s="13"/>
      <c r="D2995" s="13"/>
      <c r="E2995" s="12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2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</row>
    <row r="2996" spans="1:41" x14ac:dyDescent="0.2">
      <c r="A2996" s="13"/>
      <c r="B2996" s="13"/>
      <c r="C2996" s="13"/>
      <c r="D2996" s="13"/>
      <c r="E2996" s="12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2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</row>
    <row r="2997" spans="1:41" x14ac:dyDescent="0.2">
      <c r="A2997" s="13"/>
      <c r="B2997" s="13"/>
      <c r="C2997" s="13"/>
      <c r="D2997" s="13"/>
      <c r="E2997" s="12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2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</row>
    <row r="2998" spans="1:41" x14ac:dyDescent="0.2">
      <c r="A2998" s="13"/>
      <c r="B2998" s="13"/>
      <c r="C2998" s="13"/>
      <c r="D2998" s="13"/>
      <c r="E2998" s="12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2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</row>
    <row r="2999" spans="1:41" x14ac:dyDescent="0.2">
      <c r="A2999" s="13"/>
      <c r="B2999" s="13"/>
      <c r="C2999" s="13"/>
      <c r="D2999" s="13"/>
      <c r="E2999" s="12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2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</row>
    <row r="3000" spans="1:41" x14ac:dyDescent="0.2">
      <c r="A3000" s="13"/>
      <c r="B3000" s="13"/>
      <c r="C3000" s="13"/>
      <c r="D3000" s="13"/>
      <c r="E3000" s="12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2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</row>
    <row r="3001" spans="1:41" x14ac:dyDescent="0.2">
      <c r="A3001" s="13"/>
      <c r="B3001" s="13"/>
      <c r="C3001" s="13"/>
      <c r="D3001" s="13"/>
      <c r="E3001" s="12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2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</row>
    <row r="3002" spans="1:41" x14ac:dyDescent="0.2">
      <c r="A3002" s="13"/>
      <c r="B3002" s="13"/>
      <c r="C3002" s="13"/>
      <c r="D3002" s="13"/>
      <c r="E3002" s="12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2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</row>
    <row r="3003" spans="1:41" x14ac:dyDescent="0.2">
      <c r="A3003" s="13"/>
      <c r="B3003" s="13"/>
      <c r="C3003" s="13"/>
      <c r="D3003" s="13"/>
      <c r="E3003" s="12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2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</row>
    <row r="3004" spans="1:41" x14ac:dyDescent="0.2">
      <c r="A3004" s="13"/>
      <c r="B3004" s="13"/>
      <c r="C3004" s="13"/>
      <c r="D3004" s="13"/>
      <c r="E3004" s="12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2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</row>
    <row r="3005" spans="1:41" x14ac:dyDescent="0.2">
      <c r="A3005" s="13"/>
      <c r="B3005" s="13"/>
      <c r="C3005" s="13"/>
      <c r="D3005" s="13"/>
      <c r="E3005" s="12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2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</row>
    <row r="3006" spans="1:41" x14ac:dyDescent="0.2">
      <c r="A3006" s="13"/>
      <c r="B3006" s="13"/>
      <c r="C3006" s="13"/>
      <c r="D3006" s="13"/>
      <c r="E3006" s="12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2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</row>
    <row r="3007" spans="1:41" x14ac:dyDescent="0.2">
      <c r="A3007" s="13"/>
      <c r="B3007" s="13"/>
      <c r="C3007" s="13"/>
      <c r="D3007" s="13"/>
      <c r="E3007" s="12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2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</row>
    <row r="3008" spans="1:41" x14ac:dyDescent="0.2">
      <c r="A3008" s="13"/>
      <c r="B3008" s="13"/>
      <c r="C3008" s="13"/>
      <c r="D3008" s="13"/>
      <c r="E3008" s="12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2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</row>
    <row r="3009" spans="1:41" x14ac:dyDescent="0.2">
      <c r="A3009" s="13"/>
      <c r="B3009" s="13"/>
      <c r="C3009" s="13"/>
      <c r="D3009" s="13"/>
      <c r="E3009" s="12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2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</row>
    <row r="3010" spans="1:41" x14ac:dyDescent="0.2">
      <c r="A3010" s="13"/>
      <c r="B3010" s="13"/>
      <c r="C3010" s="13"/>
      <c r="D3010" s="13"/>
      <c r="E3010" s="12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2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</row>
    <row r="3011" spans="1:41" x14ac:dyDescent="0.2">
      <c r="A3011" s="13"/>
      <c r="B3011" s="13"/>
      <c r="C3011" s="13"/>
      <c r="D3011" s="13"/>
      <c r="E3011" s="12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2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</row>
    <row r="3012" spans="1:41" x14ac:dyDescent="0.2">
      <c r="A3012" s="13"/>
      <c r="B3012" s="13"/>
      <c r="C3012" s="13"/>
      <c r="D3012" s="13"/>
      <c r="E3012" s="12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2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</row>
    <row r="3013" spans="1:41" x14ac:dyDescent="0.2">
      <c r="A3013" s="13"/>
      <c r="B3013" s="13"/>
      <c r="C3013" s="13"/>
      <c r="D3013" s="13"/>
      <c r="E3013" s="12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2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</row>
    <row r="3014" spans="1:41" x14ac:dyDescent="0.2">
      <c r="A3014" s="13"/>
      <c r="B3014" s="13"/>
      <c r="C3014" s="13"/>
      <c r="D3014" s="13"/>
      <c r="E3014" s="12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2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</row>
    <row r="3015" spans="1:41" x14ac:dyDescent="0.2">
      <c r="A3015" s="13"/>
      <c r="B3015" s="13"/>
      <c r="C3015" s="13"/>
      <c r="D3015" s="13"/>
      <c r="E3015" s="12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2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</row>
    <row r="3016" spans="1:41" x14ac:dyDescent="0.2">
      <c r="A3016" s="13"/>
      <c r="B3016" s="13"/>
      <c r="C3016" s="13"/>
      <c r="D3016" s="13"/>
      <c r="E3016" s="12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2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</row>
    <row r="3017" spans="1:41" x14ac:dyDescent="0.2">
      <c r="A3017" s="13"/>
      <c r="B3017" s="13"/>
      <c r="C3017" s="13"/>
      <c r="D3017" s="13"/>
      <c r="E3017" s="12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2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</row>
    <row r="3018" spans="1:41" x14ac:dyDescent="0.2">
      <c r="A3018" s="13"/>
      <c r="B3018" s="13"/>
      <c r="C3018" s="13"/>
      <c r="D3018" s="13"/>
      <c r="E3018" s="12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2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</row>
    <row r="3019" spans="1:41" x14ac:dyDescent="0.2">
      <c r="A3019" s="13"/>
      <c r="B3019" s="13"/>
      <c r="C3019" s="13"/>
      <c r="D3019" s="13"/>
      <c r="E3019" s="12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2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</row>
    <row r="3020" spans="1:41" x14ac:dyDescent="0.2">
      <c r="A3020" s="13"/>
      <c r="B3020" s="13"/>
      <c r="C3020" s="13"/>
      <c r="D3020" s="13"/>
      <c r="E3020" s="12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2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</row>
    <row r="3021" spans="1:41" x14ac:dyDescent="0.2">
      <c r="A3021" s="13"/>
      <c r="B3021" s="13"/>
      <c r="C3021" s="13"/>
      <c r="D3021" s="13"/>
      <c r="E3021" s="12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2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</row>
    <row r="3022" spans="1:41" x14ac:dyDescent="0.2">
      <c r="A3022" s="13"/>
      <c r="B3022" s="13"/>
      <c r="C3022" s="13"/>
      <c r="D3022" s="13"/>
      <c r="E3022" s="12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2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</row>
    <row r="3023" spans="1:41" x14ac:dyDescent="0.2">
      <c r="A3023" s="13"/>
      <c r="B3023" s="13"/>
      <c r="C3023" s="13"/>
      <c r="D3023" s="13"/>
      <c r="E3023" s="12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2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</row>
    <row r="3024" spans="1:41" x14ac:dyDescent="0.2">
      <c r="A3024" s="13"/>
      <c r="B3024" s="13"/>
      <c r="C3024" s="13"/>
      <c r="D3024" s="13"/>
      <c r="E3024" s="12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2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</row>
    <row r="3025" spans="1:41" x14ac:dyDescent="0.2">
      <c r="A3025" s="13"/>
      <c r="B3025" s="13"/>
      <c r="C3025" s="13"/>
      <c r="D3025" s="13"/>
      <c r="E3025" s="12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2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</row>
    <row r="3026" spans="1:41" x14ac:dyDescent="0.2">
      <c r="A3026" s="13"/>
      <c r="B3026" s="13"/>
      <c r="C3026" s="13"/>
      <c r="D3026" s="13"/>
      <c r="E3026" s="12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2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</row>
    <row r="3027" spans="1:41" x14ac:dyDescent="0.2">
      <c r="A3027" s="13"/>
      <c r="B3027" s="13"/>
      <c r="C3027" s="13"/>
      <c r="D3027" s="13"/>
      <c r="E3027" s="12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2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</row>
    <row r="3028" spans="1:41" x14ac:dyDescent="0.2">
      <c r="A3028" s="13"/>
      <c r="B3028" s="13"/>
      <c r="C3028" s="13"/>
      <c r="D3028" s="13"/>
      <c r="E3028" s="12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2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</row>
    <row r="3029" spans="1:41" x14ac:dyDescent="0.2">
      <c r="A3029" s="13"/>
      <c r="B3029" s="13"/>
      <c r="C3029" s="13"/>
      <c r="D3029" s="13"/>
      <c r="E3029" s="12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2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</row>
    <row r="3030" spans="1:41" x14ac:dyDescent="0.2">
      <c r="A3030" s="13"/>
      <c r="B3030" s="13"/>
      <c r="C3030" s="13"/>
      <c r="D3030" s="13"/>
      <c r="E3030" s="12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2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</row>
    <row r="3031" spans="1:41" x14ac:dyDescent="0.2">
      <c r="A3031" s="13"/>
      <c r="B3031" s="13"/>
      <c r="C3031" s="13"/>
      <c r="D3031" s="13"/>
      <c r="E3031" s="12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2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</row>
    <row r="3032" spans="1:41" x14ac:dyDescent="0.2">
      <c r="A3032" s="13"/>
      <c r="B3032" s="13"/>
      <c r="C3032" s="13"/>
      <c r="D3032" s="13"/>
      <c r="E3032" s="12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2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</row>
    <row r="3033" spans="1:41" x14ac:dyDescent="0.2">
      <c r="A3033" s="13"/>
      <c r="B3033" s="13"/>
      <c r="C3033" s="13"/>
      <c r="D3033" s="13"/>
      <c r="E3033" s="12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2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</row>
    <row r="3034" spans="1:41" x14ac:dyDescent="0.2">
      <c r="A3034" s="13"/>
      <c r="B3034" s="13"/>
      <c r="C3034" s="13"/>
      <c r="D3034" s="13"/>
      <c r="E3034" s="12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2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</row>
    <row r="3035" spans="1:41" x14ac:dyDescent="0.2">
      <c r="A3035" s="13"/>
      <c r="B3035" s="13"/>
      <c r="C3035" s="13"/>
      <c r="D3035" s="13"/>
      <c r="E3035" s="12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2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</row>
    <row r="3036" spans="1:41" x14ac:dyDescent="0.2">
      <c r="A3036" s="13"/>
      <c r="B3036" s="13"/>
      <c r="C3036" s="13"/>
      <c r="D3036" s="13"/>
      <c r="E3036" s="12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2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</row>
    <row r="3037" spans="1:41" x14ac:dyDescent="0.2">
      <c r="A3037" s="13"/>
      <c r="B3037" s="13"/>
      <c r="C3037" s="13"/>
      <c r="D3037" s="13"/>
      <c r="E3037" s="12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2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</row>
    <row r="3038" spans="1:41" x14ac:dyDescent="0.2">
      <c r="A3038" s="13"/>
      <c r="B3038" s="13"/>
      <c r="C3038" s="13"/>
      <c r="D3038" s="13"/>
      <c r="E3038" s="12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2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</row>
    <row r="3039" spans="1:41" x14ac:dyDescent="0.2">
      <c r="A3039" s="13"/>
      <c r="B3039" s="13"/>
      <c r="C3039" s="13"/>
      <c r="D3039" s="13"/>
      <c r="E3039" s="12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2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</row>
    <row r="3040" spans="1:41" x14ac:dyDescent="0.2">
      <c r="A3040" s="13"/>
      <c r="B3040" s="13"/>
      <c r="C3040" s="13"/>
      <c r="D3040" s="13"/>
      <c r="E3040" s="12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2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</row>
    <row r="3041" spans="1:41" x14ac:dyDescent="0.2">
      <c r="A3041" s="13"/>
      <c r="B3041" s="13"/>
      <c r="C3041" s="13"/>
      <c r="D3041" s="13"/>
      <c r="E3041" s="12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2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</row>
    <row r="3042" spans="1:41" x14ac:dyDescent="0.2">
      <c r="A3042" s="13"/>
      <c r="B3042" s="13"/>
      <c r="C3042" s="13"/>
      <c r="D3042" s="13"/>
      <c r="E3042" s="12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2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</row>
    <row r="3043" spans="1:41" x14ac:dyDescent="0.2">
      <c r="A3043" s="13"/>
      <c r="B3043" s="13"/>
      <c r="C3043" s="13"/>
      <c r="D3043" s="13"/>
      <c r="E3043" s="12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2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</row>
    <row r="3044" spans="1:41" x14ac:dyDescent="0.2">
      <c r="A3044" s="13"/>
      <c r="B3044" s="13"/>
      <c r="C3044" s="13"/>
      <c r="D3044" s="13"/>
      <c r="E3044" s="12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2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</row>
    <row r="3045" spans="1:41" x14ac:dyDescent="0.2">
      <c r="A3045" s="13"/>
      <c r="B3045" s="13"/>
      <c r="C3045" s="13"/>
      <c r="D3045" s="13"/>
      <c r="E3045" s="12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2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</row>
    <row r="3046" spans="1:41" x14ac:dyDescent="0.2">
      <c r="A3046" s="13"/>
      <c r="B3046" s="13"/>
      <c r="C3046" s="13"/>
      <c r="D3046" s="13"/>
      <c r="E3046" s="12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2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</row>
    <row r="3047" spans="1:41" x14ac:dyDescent="0.2">
      <c r="A3047" s="13"/>
      <c r="B3047" s="13"/>
      <c r="C3047" s="13"/>
      <c r="D3047" s="13"/>
      <c r="E3047" s="12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2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</row>
    <row r="3048" spans="1:41" x14ac:dyDescent="0.2">
      <c r="A3048" s="13"/>
      <c r="B3048" s="13"/>
      <c r="C3048" s="13"/>
      <c r="D3048" s="13"/>
      <c r="E3048" s="12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2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</row>
    <row r="3049" spans="1:41" x14ac:dyDescent="0.2">
      <c r="A3049" s="13"/>
      <c r="B3049" s="13"/>
      <c r="C3049" s="13"/>
      <c r="D3049" s="13"/>
      <c r="E3049" s="12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2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</row>
    <row r="3050" spans="1:41" x14ac:dyDescent="0.2">
      <c r="A3050" s="13"/>
      <c r="B3050" s="13"/>
      <c r="C3050" s="13"/>
      <c r="D3050" s="13"/>
      <c r="E3050" s="12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2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</row>
    <row r="3051" spans="1:41" x14ac:dyDescent="0.2">
      <c r="A3051" s="13"/>
      <c r="B3051" s="13"/>
      <c r="C3051" s="13"/>
      <c r="D3051" s="13"/>
      <c r="E3051" s="12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2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</row>
    <row r="3052" spans="1:41" x14ac:dyDescent="0.2">
      <c r="A3052" s="13"/>
      <c r="B3052" s="13"/>
      <c r="C3052" s="13"/>
      <c r="D3052" s="13"/>
      <c r="E3052" s="12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2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</row>
    <row r="3053" spans="1:41" x14ac:dyDescent="0.2">
      <c r="A3053" s="13"/>
      <c r="B3053" s="13"/>
      <c r="C3053" s="13"/>
      <c r="D3053" s="13"/>
      <c r="E3053" s="12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2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</row>
    <row r="3054" spans="1:41" x14ac:dyDescent="0.2">
      <c r="A3054" s="13"/>
      <c r="B3054" s="13"/>
      <c r="C3054" s="13"/>
      <c r="D3054" s="13"/>
      <c r="E3054" s="12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2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</row>
    <row r="3055" spans="1:41" x14ac:dyDescent="0.2">
      <c r="A3055" s="13"/>
      <c r="B3055" s="13"/>
      <c r="C3055" s="13"/>
      <c r="D3055" s="13"/>
      <c r="E3055" s="12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2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</row>
    <row r="3056" spans="1:41" x14ac:dyDescent="0.2">
      <c r="A3056" s="13"/>
      <c r="B3056" s="13"/>
      <c r="C3056" s="13"/>
      <c r="D3056" s="13"/>
      <c r="E3056" s="12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2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</row>
    <row r="3057" spans="1:41" x14ac:dyDescent="0.2">
      <c r="A3057" s="13"/>
      <c r="B3057" s="13"/>
      <c r="C3057" s="13"/>
      <c r="D3057" s="13"/>
      <c r="E3057" s="12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2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</row>
    <row r="3058" spans="1:41" x14ac:dyDescent="0.2">
      <c r="A3058" s="13"/>
      <c r="B3058" s="13"/>
      <c r="C3058" s="13"/>
      <c r="D3058" s="13"/>
      <c r="E3058" s="12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2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</row>
    <row r="3059" spans="1:41" x14ac:dyDescent="0.2">
      <c r="A3059" s="13"/>
      <c r="B3059" s="13"/>
      <c r="C3059" s="13"/>
      <c r="D3059" s="13"/>
      <c r="E3059" s="12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2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</row>
    <row r="3060" spans="1:41" x14ac:dyDescent="0.2">
      <c r="A3060" s="13"/>
      <c r="B3060" s="13"/>
      <c r="C3060" s="13"/>
      <c r="D3060" s="13"/>
      <c r="E3060" s="12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2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</row>
    <row r="3061" spans="1:41" x14ac:dyDescent="0.2">
      <c r="A3061" s="13"/>
      <c r="B3061" s="13"/>
      <c r="C3061" s="13"/>
      <c r="D3061" s="13"/>
      <c r="E3061" s="12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2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</row>
    <row r="3062" spans="1:41" x14ac:dyDescent="0.2">
      <c r="A3062" s="13"/>
      <c r="B3062" s="13"/>
      <c r="C3062" s="13"/>
      <c r="D3062" s="13"/>
      <c r="E3062" s="12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2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</row>
    <row r="3063" spans="1:41" x14ac:dyDescent="0.2">
      <c r="A3063" s="13"/>
      <c r="B3063" s="13"/>
      <c r="C3063" s="13"/>
      <c r="D3063" s="13"/>
      <c r="E3063" s="12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2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</row>
    <row r="3064" spans="1:41" x14ac:dyDescent="0.2">
      <c r="A3064" s="13"/>
      <c r="B3064" s="13"/>
      <c r="C3064" s="13"/>
      <c r="D3064" s="13"/>
      <c r="E3064" s="12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2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</row>
    <row r="3065" spans="1:41" x14ac:dyDescent="0.2">
      <c r="A3065" s="13"/>
      <c r="B3065" s="13"/>
      <c r="C3065" s="13"/>
      <c r="D3065" s="13"/>
      <c r="E3065" s="12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2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</row>
    <row r="3066" spans="1:41" x14ac:dyDescent="0.2">
      <c r="A3066" s="13"/>
      <c r="B3066" s="13"/>
      <c r="C3066" s="13"/>
      <c r="D3066" s="13"/>
      <c r="E3066" s="12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2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</row>
    <row r="3067" spans="1:41" x14ac:dyDescent="0.2">
      <c r="A3067" s="13"/>
      <c r="B3067" s="13"/>
      <c r="C3067" s="13"/>
      <c r="D3067" s="13"/>
      <c r="E3067" s="12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2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</row>
    <row r="3068" spans="1:41" x14ac:dyDescent="0.2">
      <c r="A3068" s="13"/>
      <c r="B3068" s="13"/>
      <c r="C3068" s="13"/>
      <c r="D3068" s="13"/>
      <c r="E3068" s="12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2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</row>
    <row r="3069" spans="1:41" x14ac:dyDescent="0.2">
      <c r="A3069" s="13"/>
      <c r="B3069" s="13"/>
      <c r="C3069" s="13"/>
      <c r="D3069" s="13"/>
      <c r="E3069" s="12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2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</row>
    <row r="3070" spans="1:41" x14ac:dyDescent="0.2">
      <c r="A3070" s="13"/>
      <c r="B3070" s="13"/>
      <c r="C3070" s="13"/>
      <c r="D3070" s="13"/>
      <c r="E3070" s="12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2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</row>
    <row r="3071" spans="1:41" x14ac:dyDescent="0.2">
      <c r="A3071" s="13"/>
      <c r="B3071" s="13"/>
      <c r="C3071" s="13"/>
      <c r="D3071" s="13"/>
      <c r="E3071" s="12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2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</row>
    <row r="3072" spans="1:41" x14ac:dyDescent="0.2">
      <c r="A3072" s="13"/>
      <c r="B3072" s="13"/>
      <c r="C3072" s="13"/>
      <c r="D3072" s="13"/>
      <c r="E3072" s="12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2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</row>
    <row r="3073" spans="1:41" x14ac:dyDescent="0.2">
      <c r="A3073" s="13"/>
      <c r="B3073" s="13"/>
      <c r="C3073" s="13"/>
      <c r="D3073" s="13"/>
      <c r="E3073" s="12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2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</row>
    <row r="3074" spans="1:41" x14ac:dyDescent="0.2">
      <c r="A3074" s="13"/>
      <c r="B3074" s="13"/>
      <c r="C3074" s="13"/>
      <c r="D3074" s="13"/>
      <c r="E3074" s="12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2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</row>
    <row r="3075" spans="1:41" x14ac:dyDescent="0.2">
      <c r="A3075" s="13"/>
      <c r="B3075" s="13"/>
      <c r="C3075" s="13"/>
      <c r="D3075" s="13"/>
      <c r="E3075" s="12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2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</row>
    <row r="3076" spans="1:41" x14ac:dyDescent="0.2">
      <c r="A3076" s="13"/>
      <c r="B3076" s="13"/>
      <c r="C3076" s="13"/>
      <c r="D3076" s="13"/>
      <c r="E3076" s="12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2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</row>
    <row r="3077" spans="1:41" x14ac:dyDescent="0.2">
      <c r="A3077" s="13"/>
      <c r="B3077" s="13"/>
      <c r="C3077" s="13"/>
      <c r="D3077" s="13"/>
      <c r="E3077" s="12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2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</row>
    <row r="3078" spans="1:41" x14ac:dyDescent="0.2">
      <c r="A3078" s="13"/>
      <c r="B3078" s="13"/>
      <c r="C3078" s="13"/>
      <c r="D3078" s="13"/>
      <c r="E3078" s="12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2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</row>
    <row r="3079" spans="1:41" x14ac:dyDescent="0.2">
      <c r="A3079" s="13"/>
      <c r="B3079" s="13"/>
      <c r="C3079" s="13"/>
      <c r="D3079" s="13"/>
      <c r="E3079" s="12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2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</row>
    <row r="3080" spans="1:41" x14ac:dyDescent="0.2">
      <c r="A3080" s="13"/>
      <c r="B3080" s="13"/>
      <c r="C3080" s="13"/>
      <c r="D3080" s="13"/>
      <c r="E3080" s="12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2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</row>
    <row r="3081" spans="1:41" x14ac:dyDescent="0.2">
      <c r="A3081" s="13"/>
      <c r="B3081" s="13"/>
      <c r="C3081" s="13"/>
      <c r="D3081" s="13"/>
      <c r="E3081" s="12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2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</row>
    <row r="3082" spans="1:41" x14ac:dyDescent="0.2">
      <c r="A3082" s="13"/>
      <c r="B3082" s="13"/>
      <c r="C3082" s="13"/>
      <c r="D3082" s="13"/>
      <c r="E3082" s="12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2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</row>
    <row r="3083" spans="1:41" x14ac:dyDescent="0.2">
      <c r="A3083" s="13"/>
      <c r="B3083" s="13"/>
      <c r="C3083" s="13"/>
      <c r="D3083" s="13"/>
      <c r="E3083" s="12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2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</row>
    <row r="3084" spans="1:41" x14ac:dyDescent="0.2">
      <c r="A3084" s="13"/>
      <c r="B3084" s="13"/>
      <c r="C3084" s="13"/>
      <c r="D3084" s="13"/>
      <c r="E3084" s="12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2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</row>
    <row r="3085" spans="1:41" x14ac:dyDescent="0.2">
      <c r="A3085" s="13"/>
      <c r="B3085" s="13"/>
      <c r="C3085" s="13"/>
      <c r="D3085" s="13"/>
      <c r="E3085" s="12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2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</row>
    <row r="3086" spans="1:41" x14ac:dyDescent="0.2">
      <c r="A3086" s="13"/>
      <c r="B3086" s="13"/>
      <c r="C3086" s="13"/>
      <c r="D3086" s="13"/>
      <c r="E3086" s="12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2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</row>
    <row r="3087" spans="1:41" x14ac:dyDescent="0.2">
      <c r="A3087" s="13"/>
      <c r="B3087" s="13"/>
      <c r="C3087" s="13"/>
      <c r="D3087" s="13"/>
      <c r="E3087" s="12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2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</row>
    <row r="3088" spans="1:41" x14ac:dyDescent="0.2">
      <c r="A3088" s="13"/>
      <c r="B3088" s="13"/>
      <c r="C3088" s="13"/>
      <c r="D3088" s="13"/>
      <c r="E3088" s="12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2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</row>
    <row r="3089" spans="1:41" x14ac:dyDescent="0.2">
      <c r="A3089" s="13"/>
      <c r="B3089" s="13"/>
      <c r="C3089" s="13"/>
      <c r="D3089" s="13"/>
      <c r="E3089" s="12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2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</row>
    <row r="3090" spans="1:41" x14ac:dyDescent="0.2">
      <c r="A3090" s="13"/>
      <c r="B3090" s="13"/>
      <c r="C3090" s="13"/>
      <c r="D3090" s="13"/>
      <c r="E3090" s="12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2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</row>
    <row r="3091" spans="1:41" x14ac:dyDescent="0.2">
      <c r="A3091" s="13"/>
      <c r="B3091" s="13"/>
      <c r="C3091" s="13"/>
      <c r="D3091" s="13"/>
      <c r="E3091" s="12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2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</row>
    <row r="3092" spans="1:41" x14ac:dyDescent="0.2">
      <c r="A3092" s="13"/>
      <c r="B3092" s="13"/>
      <c r="C3092" s="13"/>
      <c r="D3092" s="13"/>
      <c r="E3092" s="12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2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</row>
    <row r="3093" spans="1:41" x14ac:dyDescent="0.2">
      <c r="A3093" s="13"/>
      <c r="B3093" s="13"/>
      <c r="C3093" s="13"/>
      <c r="D3093" s="13"/>
      <c r="E3093" s="12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2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</row>
    <row r="3094" spans="1:41" x14ac:dyDescent="0.2">
      <c r="A3094" s="13"/>
      <c r="B3094" s="13"/>
      <c r="C3094" s="13"/>
      <c r="D3094" s="13"/>
      <c r="E3094" s="12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2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</row>
    <row r="3095" spans="1:41" x14ac:dyDescent="0.2">
      <c r="A3095" s="13"/>
      <c r="B3095" s="13"/>
      <c r="C3095" s="13"/>
      <c r="D3095" s="13"/>
      <c r="E3095" s="12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2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</row>
    <row r="3096" spans="1:41" x14ac:dyDescent="0.2">
      <c r="A3096" s="13"/>
      <c r="B3096" s="13"/>
      <c r="C3096" s="13"/>
      <c r="D3096" s="13"/>
      <c r="E3096" s="12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2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</row>
    <row r="3097" spans="1:41" x14ac:dyDescent="0.2">
      <c r="A3097" s="13"/>
      <c r="B3097" s="13"/>
      <c r="C3097" s="13"/>
      <c r="D3097" s="13"/>
      <c r="E3097" s="12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2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</row>
    <row r="3098" spans="1:41" x14ac:dyDescent="0.2">
      <c r="A3098" s="13"/>
      <c r="B3098" s="13"/>
      <c r="C3098" s="13"/>
      <c r="D3098" s="13"/>
      <c r="E3098" s="12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2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</row>
    <row r="3099" spans="1:41" x14ac:dyDescent="0.2">
      <c r="A3099" s="13"/>
      <c r="B3099" s="13"/>
      <c r="C3099" s="13"/>
      <c r="D3099" s="13"/>
      <c r="E3099" s="12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2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</row>
    <row r="3100" spans="1:41" x14ac:dyDescent="0.2">
      <c r="A3100" s="13"/>
      <c r="B3100" s="13"/>
      <c r="C3100" s="13"/>
      <c r="D3100" s="13"/>
      <c r="E3100" s="12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2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</row>
    <row r="3101" spans="1:41" x14ac:dyDescent="0.2">
      <c r="A3101" s="13"/>
      <c r="B3101" s="13"/>
      <c r="C3101" s="13"/>
      <c r="D3101" s="13"/>
      <c r="E3101" s="12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2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</row>
    <row r="3102" spans="1:41" x14ac:dyDescent="0.2">
      <c r="A3102" s="13"/>
      <c r="B3102" s="13"/>
      <c r="C3102" s="13"/>
      <c r="D3102" s="13"/>
      <c r="E3102" s="12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2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</row>
    <row r="3103" spans="1:41" x14ac:dyDescent="0.2">
      <c r="A3103" s="13"/>
      <c r="B3103" s="13"/>
      <c r="C3103" s="13"/>
      <c r="D3103" s="13"/>
      <c r="E3103" s="12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2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</row>
    <row r="3104" spans="1:41" x14ac:dyDescent="0.2">
      <c r="A3104" s="13"/>
      <c r="B3104" s="13"/>
      <c r="C3104" s="13"/>
      <c r="D3104" s="13"/>
      <c r="E3104" s="12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2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</row>
    <row r="3105" spans="1:41" x14ac:dyDescent="0.2">
      <c r="A3105" s="13"/>
      <c r="B3105" s="13"/>
      <c r="C3105" s="13"/>
      <c r="D3105" s="13"/>
      <c r="E3105" s="12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2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</row>
    <row r="3106" spans="1:41" x14ac:dyDescent="0.2">
      <c r="A3106" s="13"/>
      <c r="B3106" s="13"/>
      <c r="C3106" s="13"/>
      <c r="D3106" s="13"/>
      <c r="E3106" s="12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2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</row>
    <row r="3107" spans="1:41" x14ac:dyDescent="0.2">
      <c r="A3107" s="13"/>
      <c r="B3107" s="13"/>
      <c r="C3107" s="13"/>
      <c r="D3107" s="13"/>
      <c r="E3107" s="12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2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</row>
    <row r="3108" spans="1:41" x14ac:dyDescent="0.2">
      <c r="A3108" s="13"/>
      <c r="B3108" s="13"/>
      <c r="C3108" s="13"/>
      <c r="D3108" s="13"/>
      <c r="E3108" s="12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2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</row>
    <row r="3109" spans="1:41" x14ac:dyDescent="0.2">
      <c r="A3109" s="13"/>
      <c r="B3109" s="13"/>
      <c r="C3109" s="13"/>
      <c r="D3109" s="13"/>
      <c r="E3109" s="12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2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</row>
    <row r="3110" spans="1:41" x14ac:dyDescent="0.2">
      <c r="A3110" s="13"/>
      <c r="B3110" s="13"/>
      <c r="C3110" s="13"/>
      <c r="D3110" s="13"/>
      <c r="E3110" s="12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2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</row>
    <row r="3111" spans="1:41" x14ac:dyDescent="0.2">
      <c r="A3111" s="13"/>
      <c r="B3111" s="13"/>
      <c r="C3111" s="13"/>
      <c r="D3111" s="13"/>
      <c r="E3111" s="12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2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</row>
    <row r="3112" spans="1:41" x14ac:dyDescent="0.2">
      <c r="A3112" s="13"/>
      <c r="B3112" s="13"/>
      <c r="C3112" s="13"/>
      <c r="D3112" s="13"/>
      <c r="E3112" s="12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2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</row>
    <row r="3113" spans="1:41" x14ac:dyDescent="0.2">
      <c r="A3113" s="13"/>
      <c r="B3113" s="13"/>
      <c r="C3113" s="13"/>
      <c r="D3113" s="13"/>
      <c r="E3113" s="12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2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</row>
    <row r="3114" spans="1:41" x14ac:dyDescent="0.2">
      <c r="A3114" s="13"/>
      <c r="B3114" s="13"/>
      <c r="C3114" s="13"/>
      <c r="D3114" s="13"/>
      <c r="E3114" s="12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2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</row>
    <row r="3115" spans="1:41" x14ac:dyDescent="0.2">
      <c r="A3115" s="13"/>
      <c r="B3115" s="13"/>
      <c r="C3115" s="13"/>
      <c r="D3115" s="13"/>
      <c r="E3115" s="12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2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</row>
    <row r="3116" spans="1:41" x14ac:dyDescent="0.2">
      <c r="A3116" s="13"/>
      <c r="B3116" s="13"/>
      <c r="C3116" s="13"/>
      <c r="D3116" s="13"/>
      <c r="E3116" s="12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2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</row>
    <row r="3117" spans="1:41" x14ac:dyDescent="0.2">
      <c r="A3117" s="13"/>
      <c r="B3117" s="13"/>
      <c r="C3117" s="13"/>
      <c r="D3117" s="13"/>
      <c r="E3117" s="12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2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</row>
    <row r="3118" spans="1:41" x14ac:dyDescent="0.2">
      <c r="A3118" s="13"/>
      <c r="B3118" s="13"/>
      <c r="C3118" s="13"/>
      <c r="D3118" s="13"/>
      <c r="E3118" s="12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2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</row>
    <row r="3119" spans="1:41" x14ac:dyDescent="0.2">
      <c r="A3119" s="13"/>
      <c r="B3119" s="13"/>
      <c r="C3119" s="13"/>
      <c r="D3119" s="13"/>
      <c r="E3119" s="12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2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</row>
    <row r="3120" spans="1:41" x14ac:dyDescent="0.2">
      <c r="A3120" s="13"/>
      <c r="B3120" s="13"/>
      <c r="C3120" s="13"/>
      <c r="D3120" s="13"/>
      <c r="E3120" s="12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2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</row>
    <row r="3121" spans="1:41" x14ac:dyDescent="0.2">
      <c r="A3121" s="13"/>
      <c r="B3121" s="13"/>
      <c r="C3121" s="13"/>
      <c r="D3121" s="13"/>
      <c r="E3121" s="12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2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</row>
    <row r="3122" spans="1:41" x14ac:dyDescent="0.2">
      <c r="A3122" s="13"/>
      <c r="B3122" s="13"/>
      <c r="C3122" s="13"/>
      <c r="D3122" s="13"/>
      <c r="E3122" s="12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2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</row>
    <row r="3123" spans="1:41" x14ac:dyDescent="0.2">
      <c r="A3123" s="13"/>
      <c r="B3123" s="13"/>
      <c r="C3123" s="13"/>
      <c r="D3123" s="13"/>
      <c r="E3123" s="12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2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</row>
    <row r="3124" spans="1:41" x14ac:dyDescent="0.2">
      <c r="A3124" s="13"/>
      <c r="B3124" s="13"/>
      <c r="C3124" s="13"/>
      <c r="D3124" s="13"/>
      <c r="E3124" s="12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2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</row>
    <row r="3125" spans="1:41" x14ac:dyDescent="0.2">
      <c r="A3125" s="13"/>
      <c r="B3125" s="13"/>
      <c r="C3125" s="13"/>
      <c r="D3125" s="13"/>
      <c r="E3125" s="12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2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</row>
    <row r="3126" spans="1:41" x14ac:dyDescent="0.2">
      <c r="A3126" s="13"/>
      <c r="B3126" s="13"/>
      <c r="C3126" s="13"/>
      <c r="D3126" s="13"/>
      <c r="E3126" s="12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2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</row>
    <row r="3127" spans="1:41" x14ac:dyDescent="0.2">
      <c r="A3127" s="13"/>
      <c r="B3127" s="13"/>
      <c r="C3127" s="13"/>
      <c r="D3127" s="13"/>
      <c r="E3127" s="12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2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</row>
    <row r="3128" spans="1:41" x14ac:dyDescent="0.2">
      <c r="A3128" s="13"/>
      <c r="B3128" s="13"/>
      <c r="C3128" s="13"/>
      <c r="D3128" s="13"/>
      <c r="E3128" s="12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2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</row>
    <row r="3129" spans="1:41" x14ac:dyDescent="0.2">
      <c r="A3129" s="13"/>
      <c r="B3129" s="13"/>
      <c r="C3129" s="13"/>
      <c r="D3129" s="13"/>
      <c r="E3129" s="12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2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</row>
    <row r="3130" spans="1:41" x14ac:dyDescent="0.2">
      <c r="A3130" s="13"/>
      <c r="B3130" s="13"/>
      <c r="C3130" s="13"/>
      <c r="D3130" s="13"/>
      <c r="E3130" s="12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2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</row>
    <row r="3131" spans="1:41" x14ac:dyDescent="0.2">
      <c r="A3131" s="13"/>
      <c r="B3131" s="13"/>
      <c r="C3131" s="13"/>
      <c r="D3131" s="13"/>
      <c r="E3131" s="12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2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</row>
    <row r="3132" spans="1:41" x14ac:dyDescent="0.2">
      <c r="A3132" s="13"/>
      <c r="B3132" s="13"/>
      <c r="C3132" s="13"/>
      <c r="D3132" s="13"/>
      <c r="E3132" s="12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2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</row>
    <row r="3133" spans="1:41" x14ac:dyDescent="0.2">
      <c r="A3133" s="13"/>
      <c r="B3133" s="13"/>
      <c r="C3133" s="13"/>
      <c r="D3133" s="13"/>
      <c r="E3133" s="12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2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</row>
    <row r="3134" spans="1:41" x14ac:dyDescent="0.2">
      <c r="A3134" s="13"/>
      <c r="B3134" s="13"/>
      <c r="C3134" s="13"/>
      <c r="D3134" s="13"/>
      <c r="E3134" s="12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2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</row>
    <row r="3135" spans="1:41" x14ac:dyDescent="0.2">
      <c r="A3135" s="13"/>
      <c r="B3135" s="13"/>
      <c r="C3135" s="13"/>
      <c r="D3135" s="13"/>
      <c r="E3135" s="12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2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</row>
    <row r="3136" spans="1:41" x14ac:dyDescent="0.2">
      <c r="A3136" s="13"/>
      <c r="B3136" s="13"/>
      <c r="C3136" s="13"/>
      <c r="D3136" s="13"/>
      <c r="E3136" s="12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2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</row>
    <row r="3137" spans="1:41" x14ac:dyDescent="0.2">
      <c r="A3137" s="13"/>
      <c r="B3137" s="13"/>
      <c r="C3137" s="13"/>
      <c r="D3137" s="13"/>
      <c r="E3137" s="12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2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</row>
    <row r="3138" spans="1:41" x14ac:dyDescent="0.2">
      <c r="A3138" s="13"/>
      <c r="B3138" s="13"/>
      <c r="C3138" s="13"/>
      <c r="D3138" s="13"/>
      <c r="E3138" s="12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2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</row>
    <row r="3139" spans="1:41" x14ac:dyDescent="0.2">
      <c r="A3139" s="13"/>
      <c r="B3139" s="13"/>
      <c r="C3139" s="13"/>
      <c r="D3139" s="13"/>
      <c r="E3139" s="12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2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</row>
    <row r="3140" spans="1:41" x14ac:dyDescent="0.2">
      <c r="A3140" s="13"/>
      <c r="B3140" s="13"/>
      <c r="C3140" s="13"/>
      <c r="D3140" s="13"/>
      <c r="E3140" s="12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2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</row>
    <row r="3141" spans="1:41" x14ac:dyDescent="0.2">
      <c r="A3141" s="13"/>
      <c r="B3141" s="13"/>
      <c r="C3141" s="13"/>
      <c r="D3141" s="13"/>
      <c r="E3141" s="12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2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</row>
    <row r="3142" spans="1:41" x14ac:dyDescent="0.2">
      <c r="A3142" s="13"/>
      <c r="B3142" s="13"/>
      <c r="C3142" s="13"/>
      <c r="D3142" s="13"/>
      <c r="E3142" s="12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2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</row>
    <row r="3143" spans="1:41" x14ac:dyDescent="0.2">
      <c r="A3143" s="13"/>
      <c r="B3143" s="13"/>
      <c r="C3143" s="13"/>
      <c r="D3143" s="13"/>
      <c r="E3143" s="12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2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</row>
    <row r="3144" spans="1:41" x14ac:dyDescent="0.2">
      <c r="A3144" s="13"/>
      <c r="B3144" s="13"/>
      <c r="C3144" s="13"/>
      <c r="D3144" s="13"/>
      <c r="E3144" s="12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2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</row>
    <row r="3145" spans="1:41" x14ac:dyDescent="0.2">
      <c r="A3145" s="13"/>
      <c r="B3145" s="13"/>
      <c r="C3145" s="13"/>
      <c r="D3145" s="13"/>
      <c r="E3145" s="12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2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</row>
    <row r="3146" spans="1:41" x14ac:dyDescent="0.2">
      <c r="A3146" s="13"/>
      <c r="B3146" s="13"/>
      <c r="C3146" s="13"/>
      <c r="D3146" s="13"/>
      <c r="E3146" s="12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2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</row>
    <row r="3147" spans="1:41" x14ac:dyDescent="0.2">
      <c r="A3147" s="13"/>
      <c r="B3147" s="13"/>
      <c r="C3147" s="13"/>
      <c r="D3147" s="13"/>
      <c r="E3147" s="12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2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</row>
    <row r="3148" spans="1:41" x14ac:dyDescent="0.2">
      <c r="A3148" s="13"/>
      <c r="B3148" s="13"/>
      <c r="C3148" s="13"/>
      <c r="D3148" s="13"/>
      <c r="E3148" s="12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2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</row>
    <row r="3149" spans="1:41" x14ac:dyDescent="0.2">
      <c r="A3149" s="13"/>
      <c r="B3149" s="13"/>
      <c r="C3149" s="13"/>
      <c r="D3149" s="13"/>
      <c r="E3149" s="12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2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</row>
    <row r="3150" spans="1:41" x14ac:dyDescent="0.2">
      <c r="A3150" s="13"/>
      <c r="B3150" s="13"/>
      <c r="C3150" s="13"/>
      <c r="D3150" s="13"/>
      <c r="E3150" s="12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2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</row>
    <row r="3151" spans="1:41" x14ac:dyDescent="0.2">
      <c r="A3151" s="13"/>
      <c r="B3151" s="13"/>
      <c r="C3151" s="13"/>
      <c r="D3151" s="13"/>
      <c r="E3151" s="12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2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</row>
    <row r="3152" spans="1:41" x14ac:dyDescent="0.2">
      <c r="A3152" s="13"/>
      <c r="B3152" s="13"/>
      <c r="C3152" s="13"/>
      <c r="D3152" s="13"/>
      <c r="E3152" s="12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2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</row>
    <row r="3153" spans="1:41" x14ac:dyDescent="0.2">
      <c r="A3153" s="13"/>
      <c r="B3153" s="13"/>
      <c r="C3153" s="13"/>
      <c r="D3153" s="13"/>
      <c r="E3153" s="12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2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</row>
    <row r="3154" spans="1:41" x14ac:dyDescent="0.2">
      <c r="A3154" s="13"/>
      <c r="B3154" s="13"/>
      <c r="C3154" s="13"/>
      <c r="D3154" s="13"/>
      <c r="E3154" s="12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2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</row>
    <row r="3155" spans="1:41" x14ac:dyDescent="0.2">
      <c r="A3155" s="13"/>
      <c r="B3155" s="13"/>
      <c r="C3155" s="13"/>
      <c r="D3155" s="13"/>
      <c r="E3155" s="12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2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</row>
    <row r="3156" spans="1:41" x14ac:dyDescent="0.2">
      <c r="A3156" s="13"/>
      <c r="B3156" s="13"/>
      <c r="C3156" s="13"/>
      <c r="D3156" s="13"/>
      <c r="E3156" s="12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2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</row>
    <row r="3157" spans="1:41" x14ac:dyDescent="0.2">
      <c r="A3157" s="13"/>
      <c r="B3157" s="13"/>
      <c r="C3157" s="13"/>
      <c r="D3157" s="13"/>
      <c r="E3157" s="12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2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</row>
    <row r="3158" spans="1:41" x14ac:dyDescent="0.2">
      <c r="A3158" s="13"/>
      <c r="B3158" s="13"/>
      <c r="C3158" s="13"/>
      <c r="D3158" s="13"/>
      <c r="E3158" s="12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2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</row>
    <row r="3159" spans="1:41" x14ac:dyDescent="0.2">
      <c r="A3159" s="13"/>
      <c r="B3159" s="13"/>
      <c r="C3159" s="13"/>
      <c r="D3159" s="13"/>
      <c r="E3159" s="12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2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</row>
    <row r="3160" spans="1:41" x14ac:dyDescent="0.2">
      <c r="A3160" s="13"/>
      <c r="B3160" s="13"/>
      <c r="C3160" s="13"/>
      <c r="D3160" s="13"/>
      <c r="E3160" s="12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2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</row>
    <row r="3161" spans="1:41" x14ac:dyDescent="0.2">
      <c r="A3161" s="13"/>
      <c r="B3161" s="13"/>
      <c r="C3161" s="13"/>
      <c r="D3161" s="13"/>
      <c r="E3161" s="12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2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</row>
    <row r="3162" spans="1:41" x14ac:dyDescent="0.2">
      <c r="A3162" s="13"/>
      <c r="B3162" s="13"/>
      <c r="C3162" s="13"/>
      <c r="D3162" s="13"/>
      <c r="E3162" s="12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2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</row>
    <row r="3163" spans="1:41" x14ac:dyDescent="0.2">
      <c r="A3163" s="13"/>
      <c r="B3163" s="13"/>
      <c r="C3163" s="13"/>
      <c r="D3163" s="13"/>
      <c r="E3163" s="12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2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</row>
    <row r="3164" spans="1:41" x14ac:dyDescent="0.2">
      <c r="A3164" s="13"/>
      <c r="B3164" s="13"/>
      <c r="C3164" s="13"/>
      <c r="D3164" s="13"/>
      <c r="E3164" s="12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2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</row>
    <row r="3165" spans="1:41" x14ac:dyDescent="0.2">
      <c r="A3165" s="13"/>
      <c r="B3165" s="13"/>
      <c r="C3165" s="13"/>
      <c r="D3165" s="13"/>
      <c r="E3165" s="12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2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</row>
    <row r="3166" spans="1:41" x14ac:dyDescent="0.2">
      <c r="A3166" s="13"/>
      <c r="B3166" s="13"/>
      <c r="C3166" s="13"/>
      <c r="D3166" s="13"/>
      <c r="E3166" s="12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2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</row>
    <row r="3167" spans="1:41" x14ac:dyDescent="0.2">
      <c r="A3167" s="13"/>
      <c r="B3167" s="13"/>
      <c r="C3167" s="13"/>
      <c r="D3167" s="13"/>
      <c r="E3167" s="12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2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</row>
    <row r="3168" spans="1:41" x14ac:dyDescent="0.2">
      <c r="A3168" s="13"/>
      <c r="B3168" s="13"/>
      <c r="C3168" s="13"/>
      <c r="D3168" s="13"/>
      <c r="E3168" s="12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2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</row>
    <row r="3169" spans="1:41" x14ac:dyDescent="0.2">
      <c r="A3169" s="13"/>
      <c r="B3169" s="13"/>
      <c r="C3169" s="13"/>
      <c r="D3169" s="13"/>
      <c r="E3169" s="12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2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</row>
    <row r="3170" spans="1:41" x14ac:dyDescent="0.2">
      <c r="A3170" s="13"/>
      <c r="B3170" s="13"/>
      <c r="C3170" s="13"/>
      <c r="D3170" s="13"/>
      <c r="E3170" s="12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2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</row>
    <row r="3171" spans="1:41" x14ac:dyDescent="0.2">
      <c r="A3171" s="13"/>
      <c r="B3171" s="13"/>
      <c r="C3171" s="13"/>
      <c r="D3171" s="13"/>
      <c r="E3171" s="12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2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</row>
    <row r="3172" spans="1:41" x14ac:dyDescent="0.2">
      <c r="A3172" s="13"/>
      <c r="B3172" s="13"/>
      <c r="C3172" s="13"/>
      <c r="D3172" s="13"/>
      <c r="E3172" s="12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2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</row>
    <row r="3173" spans="1:41" x14ac:dyDescent="0.2">
      <c r="A3173" s="13"/>
      <c r="B3173" s="13"/>
      <c r="C3173" s="13"/>
      <c r="D3173" s="13"/>
      <c r="E3173" s="12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2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</row>
    <row r="3174" spans="1:41" x14ac:dyDescent="0.2">
      <c r="A3174" s="13"/>
      <c r="B3174" s="13"/>
      <c r="C3174" s="13"/>
      <c r="D3174" s="13"/>
      <c r="E3174" s="12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2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</row>
    <row r="3175" spans="1:41" x14ac:dyDescent="0.2">
      <c r="A3175" s="13"/>
      <c r="B3175" s="13"/>
      <c r="C3175" s="13"/>
      <c r="D3175" s="13"/>
      <c r="E3175" s="12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2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</row>
    <row r="3176" spans="1:41" x14ac:dyDescent="0.2">
      <c r="A3176" s="13"/>
      <c r="B3176" s="13"/>
      <c r="C3176" s="13"/>
      <c r="D3176" s="13"/>
      <c r="E3176" s="12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2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</row>
    <row r="3177" spans="1:41" x14ac:dyDescent="0.2">
      <c r="A3177" s="13"/>
      <c r="B3177" s="13"/>
      <c r="C3177" s="13"/>
      <c r="D3177" s="13"/>
      <c r="E3177" s="12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2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</row>
    <row r="3178" spans="1:41" x14ac:dyDescent="0.2">
      <c r="A3178" s="13"/>
      <c r="B3178" s="13"/>
      <c r="C3178" s="13"/>
      <c r="D3178" s="13"/>
      <c r="E3178" s="12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2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</row>
    <row r="3179" spans="1:41" x14ac:dyDescent="0.2">
      <c r="A3179" s="13"/>
      <c r="B3179" s="13"/>
      <c r="C3179" s="13"/>
      <c r="D3179" s="13"/>
      <c r="E3179" s="12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2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</row>
    <row r="3180" spans="1:41" x14ac:dyDescent="0.2">
      <c r="A3180" s="13"/>
      <c r="B3180" s="13"/>
      <c r="C3180" s="13"/>
      <c r="D3180" s="13"/>
      <c r="E3180" s="12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2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</row>
    <row r="3181" spans="1:41" x14ac:dyDescent="0.2">
      <c r="A3181" s="13"/>
      <c r="B3181" s="13"/>
      <c r="C3181" s="13"/>
      <c r="D3181" s="13"/>
      <c r="E3181" s="12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2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</row>
    <row r="3182" spans="1:41" x14ac:dyDescent="0.2">
      <c r="A3182" s="13"/>
      <c r="B3182" s="13"/>
      <c r="C3182" s="13"/>
      <c r="D3182" s="13"/>
      <c r="E3182" s="12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2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</row>
    <row r="3183" spans="1:41" x14ac:dyDescent="0.2">
      <c r="A3183" s="13"/>
      <c r="B3183" s="13"/>
      <c r="C3183" s="13"/>
      <c r="D3183" s="13"/>
      <c r="E3183" s="12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2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</row>
    <row r="3184" spans="1:41" x14ac:dyDescent="0.2">
      <c r="A3184" s="13"/>
      <c r="B3184" s="13"/>
      <c r="C3184" s="13"/>
      <c r="D3184" s="13"/>
      <c r="E3184" s="12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2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</row>
    <row r="3185" spans="1:41" x14ac:dyDescent="0.2">
      <c r="A3185" s="13"/>
      <c r="B3185" s="13"/>
      <c r="C3185" s="13"/>
      <c r="D3185" s="13"/>
      <c r="E3185" s="12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2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</row>
    <row r="3186" spans="1:41" x14ac:dyDescent="0.2">
      <c r="A3186" s="13"/>
      <c r="B3186" s="13"/>
      <c r="C3186" s="13"/>
      <c r="D3186" s="13"/>
      <c r="E3186" s="12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2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</row>
    <row r="3187" spans="1:41" x14ac:dyDescent="0.2">
      <c r="A3187" s="13"/>
      <c r="B3187" s="13"/>
      <c r="C3187" s="13"/>
      <c r="D3187" s="13"/>
      <c r="E3187" s="12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2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</row>
    <row r="3188" spans="1:41" x14ac:dyDescent="0.2">
      <c r="A3188" s="13"/>
      <c r="B3188" s="13"/>
      <c r="C3188" s="13"/>
      <c r="D3188" s="13"/>
      <c r="E3188" s="12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2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</row>
    <row r="3189" spans="1:41" x14ac:dyDescent="0.2">
      <c r="A3189" s="13"/>
      <c r="B3189" s="13"/>
      <c r="C3189" s="13"/>
      <c r="D3189" s="13"/>
      <c r="E3189" s="12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2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</row>
    <row r="3190" spans="1:41" x14ac:dyDescent="0.2">
      <c r="A3190" s="13"/>
      <c r="B3190" s="13"/>
      <c r="C3190" s="13"/>
      <c r="D3190" s="13"/>
      <c r="E3190" s="12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2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</row>
    <row r="3191" spans="1:41" x14ac:dyDescent="0.2">
      <c r="A3191" s="13"/>
      <c r="B3191" s="13"/>
      <c r="C3191" s="13"/>
      <c r="D3191" s="13"/>
      <c r="E3191" s="12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2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</row>
    <row r="3192" spans="1:41" x14ac:dyDescent="0.2">
      <c r="A3192" s="13"/>
      <c r="B3192" s="13"/>
      <c r="C3192" s="13"/>
      <c r="D3192" s="13"/>
      <c r="E3192" s="12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2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</row>
    <row r="3193" spans="1:41" x14ac:dyDescent="0.2">
      <c r="A3193" s="13"/>
      <c r="B3193" s="13"/>
      <c r="C3193" s="13"/>
      <c r="D3193" s="13"/>
      <c r="E3193" s="12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2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</row>
    <row r="3194" spans="1:41" x14ac:dyDescent="0.2">
      <c r="A3194" s="13"/>
      <c r="B3194" s="13"/>
      <c r="C3194" s="13"/>
      <c r="D3194" s="13"/>
      <c r="E3194" s="12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2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</row>
    <row r="3195" spans="1:41" x14ac:dyDescent="0.2">
      <c r="A3195" s="13"/>
      <c r="B3195" s="13"/>
      <c r="C3195" s="13"/>
      <c r="D3195" s="13"/>
      <c r="E3195" s="12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2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</row>
    <row r="3196" spans="1:41" x14ac:dyDescent="0.2">
      <c r="A3196" s="13"/>
      <c r="B3196" s="13"/>
      <c r="C3196" s="13"/>
      <c r="D3196" s="13"/>
      <c r="E3196" s="12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2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</row>
    <row r="3197" spans="1:41" x14ac:dyDescent="0.2">
      <c r="A3197" s="13"/>
      <c r="B3197" s="13"/>
      <c r="C3197" s="13"/>
      <c r="D3197" s="13"/>
      <c r="E3197" s="12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2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</row>
    <row r="3198" spans="1:41" x14ac:dyDescent="0.2">
      <c r="A3198" s="13"/>
      <c r="B3198" s="13"/>
      <c r="C3198" s="13"/>
      <c r="D3198" s="13"/>
      <c r="E3198" s="12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2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</row>
    <row r="3199" spans="1:41" x14ac:dyDescent="0.2">
      <c r="A3199" s="13"/>
      <c r="B3199" s="13"/>
      <c r="C3199" s="13"/>
      <c r="D3199" s="13"/>
      <c r="E3199" s="12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2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</row>
    <row r="3200" spans="1:41" x14ac:dyDescent="0.2">
      <c r="A3200" s="13"/>
      <c r="B3200" s="13"/>
      <c r="C3200" s="13"/>
      <c r="D3200" s="13"/>
      <c r="E3200" s="12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2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</row>
    <row r="3201" spans="1:41" x14ac:dyDescent="0.2">
      <c r="A3201" s="13"/>
      <c r="B3201" s="13"/>
      <c r="C3201" s="13"/>
      <c r="D3201" s="13"/>
      <c r="E3201" s="12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2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</row>
    <row r="3202" spans="1:41" x14ac:dyDescent="0.2">
      <c r="A3202" s="13"/>
      <c r="B3202" s="13"/>
      <c r="C3202" s="13"/>
      <c r="D3202" s="13"/>
      <c r="E3202" s="12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2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</row>
    <row r="3203" spans="1:41" x14ac:dyDescent="0.2">
      <c r="A3203" s="13"/>
      <c r="B3203" s="13"/>
      <c r="C3203" s="13"/>
      <c r="D3203" s="13"/>
      <c r="E3203" s="12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2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</row>
    <row r="3204" spans="1:41" x14ac:dyDescent="0.2">
      <c r="A3204" s="13"/>
      <c r="B3204" s="13"/>
      <c r="C3204" s="13"/>
      <c r="D3204" s="13"/>
      <c r="E3204" s="12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2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</row>
    <row r="3205" spans="1:41" x14ac:dyDescent="0.2">
      <c r="A3205" s="13"/>
      <c r="B3205" s="13"/>
      <c r="C3205" s="13"/>
      <c r="D3205" s="13"/>
      <c r="E3205" s="12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2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</row>
    <row r="3206" spans="1:41" x14ac:dyDescent="0.2">
      <c r="A3206" s="13"/>
      <c r="B3206" s="13"/>
      <c r="C3206" s="13"/>
      <c r="D3206" s="13"/>
      <c r="E3206" s="12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2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</row>
    <row r="3207" spans="1:41" x14ac:dyDescent="0.2">
      <c r="A3207" s="13"/>
      <c r="B3207" s="13"/>
      <c r="C3207" s="13"/>
      <c r="D3207" s="13"/>
      <c r="E3207" s="12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2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</row>
    <row r="3208" spans="1:41" x14ac:dyDescent="0.2">
      <c r="A3208" s="13"/>
      <c r="B3208" s="13"/>
      <c r="C3208" s="13"/>
      <c r="D3208" s="13"/>
      <c r="E3208" s="12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2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</row>
    <row r="3209" spans="1:41" x14ac:dyDescent="0.2">
      <c r="A3209" s="13"/>
      <c r="B3209" s="13"/>
      <c r="C3209" s="13"/>
      <c r="D3209" s="13"/>
      <c r="E3209" s="12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2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</row>
    <row r="3210" spans="1:41" x14ac:dyDescent="0.2">
      <c r="A3210" s="13"/>
      <c r="B3210" s="13"/>
      <c r="C3210" s="13"/>
      <c r="D3210" s="13"/>
      <c r="E3210" s="12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2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</row>
    <row r="3211" spans="1:41" x14ac:dyDescent="0.2">
      <c r="A3211" s="13"/>
      <c r="B3211" s="13"/>
      <c r="C3211" s="13"/>
      <c r="D3211" s="13"/>
      <c r="E3211" s="12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2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</row>
    <row r="3212" spans="1:41" x14ac:dyDescent="0.2">
      <c r="A3212" s="13"/>
      <c r="B3212" s="13"/>
      <c r="C3212" s="13"/>
      <c r="D3212" s="13"/>
      <c r="E3212" s="12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2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</row>
    <row r="3213" spans="1:41" x14ac:dyDescent="0.2">
      <c r="A3213" s="13"/>
      <c r="B3213" s="13"/>
      <c r="C3213" s="13"/>
      <c r="D3213" s="13"/>
      <c r="E3213" s="12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2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</row>
    <row r="3214" spans="1:41" x14ac:dyDescent="0.2">
      <c r="A3214" s="13"/>
      <c r="B3214" s="13"/>
      <c r="C3214" s="13"/>
      <c r="D3214" s="13"/>
      <c r="E3214" s="12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2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</row>
    <row r="3215" spans="1:41" x14ac:dyDescent="0.2">
      <c r="A3215" s="13"/>
      <c r="B3215" s="13"/>
      <c r="C3215" s="13"/>
      <c r="D3215" s="13"/>
      <c r="E3215" s="12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2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</row>
    <row r="3216" spans="1:41" x14ac:dyDescent="0.2">
      <c r="A3216" s="13"/>
      <c r="B3216" s="13"/>
      <c r="C3216" s="13"/>
      <c r="D3216" s="13"/>
      <c r="E3216" s="12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2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</row>
    <row r="3217" spans="1:41" x14ac:dyDescent="0.2">
      <c r="A3217" s="13"/>
      <c r="B3217" s="13"/>
      <c r="C3217" s="13"/>
      <c r="D3217" s="13"/>
      <c r="E3217" s="12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2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</row>
    <row r="3218" spans="1:41" x14ac:dyDescent="0.2">
      <c r="A3218" s="13"/>
      <c r="B3218" s="13"/>
      <c r="C3218" s="13"/>
      <c r="D3218" s="13"/>
      <c r="E3218" s="12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2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</row>
    <row r="3219" spans="1:41" x14ac:dyDescent="0.2">
      <c r="A3219" s="13"/>
      <c r="B3219" s="13"/>
      <c r="C3219" s="13"/>
      <c r="D3219" s="13"/>
      <c r="E3219" s="12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2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</row>
    <row r="3220" spans="1:41" x14ac:dyDescent="0.2">
      <c r="A3220" s="13"/>
      <c r="B3220" s="13"/>
      <c r="C3220" s="13"/>
      <c r="D3220" s="13"/>
      <c r="E3220" s="12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2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</row>
    <row r="3221" spans="1:41" x14ac:dyDescent="0.2">
      <c r="A3221" s="13"/>
      <c r="B3221" s="13"/>
      <c r="C3221" s="13"/>
      <c r="D3221" s="13"/>
      <c r="E3221" s="12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2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</row>
    <row r="3222" spans="1:41" x14ac:dyDescent="0.2">
      <c r="A3222" s="13"/>
      <c r="B3222" s="13"/>
      <c r="C3222" s="13"/>
      <c r="D3222" s="13"/>
      <c r="E3222" s="12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2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</row>
    <row r="3223" spans="1:41" x14ac:dyDescent="0.2">
      <c r="A3223" s="13"/>
      <c r="B3223" s="13"/>
      <c r="C3223" s="13"/>
      <c r="D3223" s="13"/>
      <c r="E3223" s="12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2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</row>
    <row r="3224" spans="1:41" x14ac:dyDescent="0.2">
      <c r="A3224" s="13"/>
      <c r="B3224" s="13"/>
      <c r="C3224" s="13"/>
      <c r="D3224" s="13"/>
      <c r="E3224" s="12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2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</row>
    <row r="3225" spans="1:41" x14ac:dyDescent="0.2">
      <c r="A3225" s="13"/>
      <c r="B3225" s="13"/>
      <c r="C3225" s="13"/>
      <c r="D3225" s="13"/>
      <c r="E3225" s="12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2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</row>
    <row r="3226" spans="1:41" x14ac:dyDescent="0.2">
      <c r="A3226" s="13"/>
      <c r="B3226" s="13"/>
      <c r="C3226" s="13"/>
      <c r="D3226" s="13"/>
      <c r="E3226" s="12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2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</row>
    <row r="3227" spans="1:41" x14ac:dyDescent="0.2">
      <c r="A3227" s="13"/>
      <c r="B3227" s="13"/>
      <c r="C3227" s="13"/>
      <c r="D3227" s="13"/>
      <c r="E3227" s="12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2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</row>
    <row r="3228" spans="1:41" x14ac:dyDescent="0.2">
      <c r="A3228" s="13"/>
      <c r="B3228" s="13"/>
      <c r="C3228" s="13"/>
      <c r="D3228" s="13"/>
      <c r="E3228" s="12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2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</row>
    <row r="3229" spans="1:41" x14ac:dyDescent="0.2">
      <c r="A3229" s="13"/>
      <c r="B3229" s="13"/>
      <c r="C3229" s="13"/>
      <c r="D3229" s="13"/>
      <c r="E3229" s="12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2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</row>
    <row r="3230" spans="1:41" x14ac:dyDescent="0.2">
      <c r="A3230" s="13"/>
      <c r="B3230" s="13"/>
      <c r="C3230" s="13"/>
      <c r="D3230" s="13"/>
      <c r="E3230" s="12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2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</row>
    <row r="3231" spans="1:41" x14ac:dyDescent="0.2">
      <c r="A3231" s="13"/>
      <c r="B3231" s="13"/>
      <c r="C3231" s="13"/>
      <c r="D3231" s="13"/>
      <c r="E3231" s="12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2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</row>
    <row r="3232" spans="1:41" x14ac:dyDescent="0.2">
      <c r="A3232" s="13"/>
      <c r="B3232" s="13"/>
      <c r="C3232" s="13"/>
      <c r="D3232" s="13"/>
      <c r="E3232" s="12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2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</row>
    <row r="3233" spans="1:41" x14ac:dyDescent="0.2">
      <c r="A3233" s="13"/>
      <c r="B3233" s="13"/>
      <c r="C3233" s="13"/>
      <c r="D3233" s="13"/>
      <c r="E3233" s="12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2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</row>
    <row r="3234" spans="1:41" x14ac:dyDescent="0.2">
      <c r="A3234" s="13"/>
      <c r="B3234" s="13"/>
      <c r="C3234" s="13"/>
      <c r="D3234" s="13"/>
      <c r="E3234" s="12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2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</row>
    <row r="3235" spans="1:41" x14ac:dyDescent="0.2">
      <c r="A3235" s="13"/>
      <c r="B3235" s="13"/>
      <c r="C3235" s="13"/>
      <c r="D3235" s="13"/>
      <c r="E3235" s="12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2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</row>
    <row r="3236" spans="1:41" x14ac:dyDescent="0.2">
      <c r="A3236" s="13"/>
      <c r="B3236" s="13"/>
      <c r="C3236" s="13"/>
      <c r="D3236" s="13"/>
      <c r="E3236" s="12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2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</row>
    <row r="3237" spans="1:41" x14ac:dyDescent="0.2">
      <c r="A3237" s="13"/>
      <c r="B3237" s="13"/>
      <c r="C3237" s="13"/>
      <c r="D3237" s="13"/>
      <c r="E3237" s="12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2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</row>
    <row r="3238" spans="1:41" x14ac:dyDescent="0.2">
      <c r="A3238" s="13"/>
      <c r="B3238" s="13"/>
      <c r="C3238" s="13"/>
      <c r="D3238" s="13"/>
      <c r="E3238" s="12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2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</row>
    <row r="3239" spans="1:41" x14ac:dyDescent="0.2">
      <c r="A3239" s="13"/>
      <c r="B3239" s="13"/>
      <c r="C3239" s="13"/>
      <c r="D3239" s="13"/>
      <c r="E3239" s="1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2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</row>
    <row r="3240" spans="1:41" x14ac:dyDescent="0.2">
      <c r="A3240" s="13"/>
      <c r="B3240" s="13"/>
      <c r="C3240" s="13"/>
      <c r="D3240" s="13"/>
      <c r="E3240" s="12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2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</row>
    <row r="3241" spans="1:41" x14ac:dyDescent="0.2">
      <c r="A3241" s="13"/>
      <c r="B3241" s="13"/>
      <c r="C3241" s="13"/>
      <c r="D3241" s="13"/>
      <c r="E3241" s="12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2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</row>
    <row r="3242" spans="1:41" x14ac:dyDescent="0.2">
      <c r="A3242" s="13"/>
      <c r="B3242" s="13"/>
      <c r="C3242" s="13"/>
      <c r="D3242" s="13"/>
      <c r="E3242" s="12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2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</row>
    <row r="3243" spans="1:41" x14ac:dyDescent="0.2">
      <c r="A3243" s="13"/>
      <c r="B3243" s="13"/>
      <c r="C3243" s="13"/>
      <c r="D3243" s="13"/>
      <c r="E3243" s="12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2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</row>
    <row r="3244" spans="1:41" x14ac:dyDescent="0.2">
      <c r="A3244" s="13"/>
      <c r="B3244" s="13"/>
      <c r="C3244" s="13"/>
      <c r="D3244" s="13"/>
      <c r="E3244" s="12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2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</row>
    <row r="3245" spans="1:41" x14ac:dyDescent="0.2">
      <c r="A3245" s="13"/>
      <c r="B3245" s="13"/>
      <c r="C3245" s="13"/>
      <c r="D3245" s="13"/>
      <c r="E3245" s="12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2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</row>
    <row r="3246" spans="1:41" x14ac:dyDescent="0.2">
      <c r="A3246" s="13"/>
      <c r="B3246" s="13"/>
      <c r="C3246" s="13"/>
      <c r="D3246" s="13"/>
      <c r="E3246" s="12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2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</row>
    <row r="3247" spans="1:41" x14ac:dyDescent="0.2">
      <c r="A3247" s="13"/>
      <c r="B3247" s="13"/>
      <c r="C3247" s="13"/>
      <c r="D3247" s="13"/>
      <c r="E3247" s="12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2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</row>
    <row r="3248" spans="1:41" x14ac:dyDescent="0.2">
      <c r="A3248" s="13"/>
      <c r="B3248" s="13"/>
      <c r="C3248" s="13"/>
      <c r="D3248" s="13"/>
      <c r="E3248" s="12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2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</row>
    <row r="3249" spans="1:41" x14ac:dyDescent="0.2">
      <c r="A3249" s="13"/>
      <c r="B3249" s="13"/>
      <c r="C3249" s="13"/>
      <c r="D3249" s="13"/>
      <c r="E3249" s="12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2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</row>
    <row r="3250" spans="1:41" x14ac:dyDescent="0.2">
      <c r="A3250" s="13"/>
      <c r="B3250" s="13"/>
      <c r="C3250" s="13"/>
      <c r="D3250" s="13"/>
      <c r="E3250" s="12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2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</row>
    <row r="3251" spans="1:41" x14ac:dyDescent="0.2">
      <c r="A3251" s="13"/>
      <c r="B3251" s="13"/>
      <c r="C3251" s="13"/>
      <c r="D3251" s="13"/>
      <c r="E3251" s="12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2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</row>
    <row r="3252" spans="1:41" x14ac:dyDescent="0.2">
      <c r="A3252" s="13"/>
      <c r="B3252" s="13"/>
      <c r="C3252" s="13"/>
      <c r="D3252" s="13"/>
      <c r="E3252" s="12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2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</row>
    <row r="3253" spans="1:41" x14ac:dyDescent="0.2">
      <c r="A3253" s="13"/>
      <c r="B3253" s="13"/>
      <c r="C3253" s="13"/>
      <c r="D3253" s="13"/>
      <c r="E3253" s="12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2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</row>
    <row r="3254" spans="1:41" x14ac:dyDescent="0.2">
      <c r="A3254" s="13"/>
      <c r="B3254" s="13"/>
      <c r="C3254" s="13"/>
      <c r="D3254" s="13"/>
      <c r="E3254" s="12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2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</row>
    <row r="3255" spans="1:41" x14ac:dyDescent="0.2">
      <c r="A3255" s="13"/>
      <c r="B3255" s="13"/>
      <c r="C3255" s="13"/>
      <c r="D3255" s="13"/>
      <c r="E3255" s="12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2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</row>
    <row r="3256" spans="1:41" x14ac:dyDescent="0.2">
      <c r="A3256" s="13"/>
      <c r="B3256" s="13"/>
      <c r="C3256" s="13"/>
      <c r="D3256" s="13"/>
      <c r="E3256" s="12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2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</row>
    <row r="3257" spans="1:41" x14ac:dyDescent="0.2">
      <c r="A3257" s="13"/>
      <c r="B3257" s="13"/>
      <c r="C3257" s="13"/>
      <c r="D3257" s="13"/>
      <c r="E3257" s="12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2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</row>
    <row r="3258" spans="1:41" x14ac:dyDescent="0.2">
      <c r="A3258" s="13"/>
      <c r="B3258" s="13"/>
      <c r="C3258" s="13"/>
      <c r="D3258" s="13"/>
      <c r="E3258" s="12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2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</row>
    <row r="3259" spans="1:41" x14ac:dyDescent="0.2">
      <c r="A3259" s="13"/>
      <c r="B3259" s="13"/>
      <c r="C3259" s="13"/>
      <c r="D3259" s="13"/>
      <c r="E3259" s="12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2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</row>
    <row r="3260" spans="1:41" x14ac:dyDescent="0.2">
      <c r="A3260" s="13"/>
      <c r="B3260" s="13"/>
      <c r="C3260" s="13"/>
      <c r="D3260" s="13"/>
      <c r="E3260" s="12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2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</row>
    <row r="3261" spans="1:41" x14ac:dyDescent="0.2">
      <c r="A3261" s="13"/>
      <c r="B3261" s="13"/>
      <c r="C3261" s="13"/>
      <c r="D3261" s="13"/>
      <c r="E3261" s="12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2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</row>
    <row r="3262" spans="1:41" x14ac:dyDescent="0.2">
      <c r="A3262" s="13"/>
      <c r="B3262" s="13"/>
      <c r="C3262" s="13"/>
      <c r="D3262" s="13"/>
      <c r="E3262" s="12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2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</row>
    <row r="3263" spans="1:41" x14ac:dyDescent="0.2">
      <c r="A3263" s="13"/>
      <c r="B3263" s="13"/>
      <c r="C3263" s="13"/>
      <c r="D3263" s="13"/>
      <c r="E3263" s="12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2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</row>
    <row r="3264" spans="1:41" x14ac:dyDescent="0.2">
      <c r="A3264" s="13"/>
      <c r="B3264" s="13"/>
      <c r="C3264" s="13"/>
      <c r="D3264" s="13"/>
      <c r="E3264" s="12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2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</row>
    <row r="3265" spans="1:41" x14ac:dyDescent="0.2">
      <c r="A3265" s="13"/>
      <c r="B3265" s="13"/>
      <c r="C3265" s="13"/>
      <c r="D3265" s="13"/>
      <c r="E3265" s="12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2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</row>
    <row r="3266" spans="1:41" x14ac:dyDescent="0.2">
      <c r="A3266" s="13"/>
      <c r="B3266" s="13"/>
      <c r="C3266" s="13"/>
      <c r="D3266" s="13"/>
      <c r="E3266" s="12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2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</row>
    <row r="3267" spans="1:41" x14ac:dyDescent="0.2">
      <c r="A3267" s="13"/>
      <c r="B3267" s="13"/>
      <c r="C3267" s="13"/>
      <c r="D3267" s="13"/>
      <c r="E3267" s="12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2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</row>
    <row r="3268" spans="1:41" x14ac:dyDescent="0.2">
      <c r="A3268" s="13"/>
      <c r="B3268" s="13"/>
      <c r="C3268" s="13"/>
      <c r="D3268" s="13"/>
      <c r="E3268" s="12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2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</row>
    <row r="3269" spans="1:41" x14ac:dyDescent="0.2">
      <c r="A3269" s="13"/>
      <c r="B3269" s="13"/>
      <c r="C3269" s="13"/>
      <c r="D3269" s="13"/>
      <c r="E3269" s="12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2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</row>
    <row r="3270" spans="1:41" x14ac:dyDescent="0.2">
      <c r="A3270" s="13"/>
      <c r="B3270" s="13"/>
      <c r="C3270" s="13"/>
      <c r="D3270" s="13"/>
      <c r="E3270" s="12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2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</row>
    <row r="3271" spans="1:41" x14ac:dyDescent="0.2">
      <c r="A3271" s="13"/>
      <c r="B3271" s="13"/>
      <c r="C3271" s="13"/>
      <c r="D3271" s="13"/>
      <c r="E3271" s="12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2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</row>
    <row r="3272" spans="1:41" x14ac:dyDescent="0.2">
      <c r="A3272" s="13"/>
      <c r="B3272" s="13"/>
      <c r="C3272" s="13"/>
      <c r="D3272" s="13"/>
      <c r="E3272" s="12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2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</row>
    <row r="3273" spans="1:41" x14ac:dyDescent="0.2">
      <c r="A3273" s="13"/>
      <c r="B3273" s="13"/>
      <c r="C3273" s="13"/>
      <c r="D3273" s="13"/>
      <c r="E3273" s="12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2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</row>
    <row r="3274" spans="1:41" x14ac:dyDescent="0.2">
      <c r="A3274" s="13"/>
      <c r="B3274" s="13"/>
      <c r="C3274" s="13"/>
      <c r="D3274" s="13"/>
      <c r="E3274" s="12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2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</row>
    <row r="3275" spans="1:41" x14ac:dyDescent="0.2">
      <c r="A3275" s="13"/>
      <c r="B3275" s="13"/>
      <c r="C3275" s="13"/>
      <c r="D3275" s="13"/>
      <c r="E3275" s="12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2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</row>
    <row r="3276" spans="1:41" x14ac:dyDescent="0.2">
      <c r="A3276" s="13"/>
      <c r="B3276" s="13"/>
      <c r="C3276" s="13"/>
      <c r="D3276" s="13"/>
      <c r="E3276" s="12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2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</row>
    <row r="3277" spans="1:41" x14ac:dyDescent="0.2">
      <c r="A3277" s="13"/>
      <c r="B3277" s="13"/>
      <c r="C3277" s="13"/>
      <c r="D3277" s="13"/>
      <c r="E3277" s="12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2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</row>
    <row r="3278" spans="1:41" x14ac:dyDescent="0.2">
      <c r="A3278" s="13"/>
      <c r="B3278" s="13"/>
      <c r="C3278" s="13"/>
      <c r="D3278" s="13"/>
      <c r="E3278" s="12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2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</row>
    <row r="3279" spans="1:41" x14ac:dyDescent="0.2">
      <c r="A3279" s="13"/>
      <c r="B3279" s="13"/>
      <c r="C3279" s="13"/>
      <c r="D3279" s="13"/>
      <c r="E3279" s="12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2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</row>
    <row r="3280" spans="1:41" x14ac:dyDescent="0.2">
      <c r="A3280" s="13"/>
      <c r="B3280" s="13"/>
      <c r="C3280" s="13"/>
      <c r="D3280" s="13"/>
      <c r="E3280" s="12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2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</row>
    <row r="3281" spans="1:41" x14ac:dyDescent="0.2">
      <c r="A3281" s="13"/>
      <c r="B3281" s="13"/>
      <c r="C3281" s="13"/>
      <c r="D3281" s="13"/>
      <c r="E3281" s="12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2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</row>
    <row r="3282" spans="1:41" x14ac:dyDescent="0.2">
      <c r="A3282" s="13"/>
      <c r="B3282" s="13"/>
      <c r="C3282" s="13"/>
      <c r="D3282" s="13"/>
      <c r="E3282" s="12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2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</row>
    <row r="3283" spans="1:41" x14ac:dyDescent="0.2">
      <c r="A3283" s="13"/>
      <c r="B3283" s="13"/>
      <c r="C3283" s="13"/>
      <c r="D3283" s="13"/>
      <c r="E3283" s="12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2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</row>
    <row r="3284" spans="1:41" x14ac:dyDescent="0.2">
      <c r="A3284" s="13"/>
      <c r="B3284" s="13"/>
      <c r="C3284" s="13"/>
      <c r="D3284" s="13"/>
      <c r="E3284" s="12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2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</row>
    <row r="3285" spans="1:41" x14ac:dyDescent="0.2">
      <c r="A3285" s="13"/>
      <c r="B3285" s="13"/>
      <c r="C3285" s="13"/>
      <c r="D3285" s="13"/>
      <c r="E3285" s="12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2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</row>
    <row r="3286" spans="1:41" x14ac:dyDescent="0.2">
      <c r="A3286" s="13"/>
      <c r="B3286" s="13"/>
      <c r="C3286" s="13"/>
      <c r="D3286" s="13"/>
      <c r="E3286" s="12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2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</row>
    <row r="3287" spans="1:41" x14ac:dyDescent="0.2">
      <c r="A3287" s="13"/>
      <c r="B3287" s="13"/>
      <c r="C3287" s="13"/>
      <c r="D3287" s="13"/>
      <c r="E3287" s="12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2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</row>
    <row r="3288" spans="1:41" x14ac:dyDescent="0.2">
      <c r="A3288" s="13"/>
      <c r="B3288" s="13"/>
      <c r="C3288" s="13"/>
      <c r="D3288" s="13"/>
      <c r="E3288" s="12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2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</row>
    <row r="3289" spans="1:41" x14ac:dyDescent="0.2">
      <c r="A3289" s="13"/>
      <c r="B3289" s="13"/>
      <c r="C3289" s="13"/>
      <c r="D3289" s="13"/>
      <c r="E3289" s="12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2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</row>
    <row r="3290" spans="1:41" x14ac:dyDescent="0.2">
      <c r="A3290" s="13"/>
      <c r="B3290" s="13"/>
      <c r="C3290" s="13"/>
      <c r="D3290" s="13"/>
      <c r="E3290" s="12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2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</row>
    <row r="3291" spans="1:41" x14ac:dyDescent="0.2">
      <c r="A3291" s="13"/>
      <c r="B3291" s="13"/>
      <c r="C3291" s="13"/>
      <c r="D3291" s="13"/>
      <c r="E3291" s="12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2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</row>
    <row r="3292" spans="1:41" x14ac:dyDescent="0.2">
      <c r="A3292" s="13"/>
      <c r="B3292" s="13"/>
      <c r="C3292" s="13"/>
      <c r="D3292" s="13"/>
      <c r="E3292" s="12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2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</row>
    <row r="3293" spans="1:41" x14ac:dyDescent="0.2">
      <c r="A3293" s="13"/>
      <c r="B3293" s="13"/>
      <c r="C3293" s="13"/>
      <c r="D3293" s="13"/>
      <c r="E3293" s="12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2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</row>
    <row r="3294" spans="1:41" x14ac:dyDescent="0.2">
      <c r="A3294" s="13"/>
      <c r="B3294" s="13"/>
      <c r="C3294" s="13"/>
      <c r="D3294" s="13"/>
      <c r="E3294" s="12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2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</row>
    <row r="3295" spans="1:41" x14ac:dyDescent="0.2">
      <c r="A3295" s="13"/>
      <c r="B3295" s="13"/>
      <c r="C3295" s="13"/>
      <c r="D3295" s="13"/>
      <c r="E3295" s="12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2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</row>
    <row r="3296" spans="1:41" x14ac:dyDescent="0.2">
      <c r="A3296" s="13"/>
      <c r="B3296" s="13"/>
      <c r="C3296" s="13"/>
      <c r="D3296" s="13"/>
      <c r="E3296" s="12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2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</row>
    <row r="3297" spans="1:41" x14ac:dyDescent="0.2">
      <c r="A3297" s="13"/>
      <c r="B3297" s="13"/>
      <c r="C3297" s="13"/>
      <c r="D3297" s="13"/>
      <c r="E3297" s="12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2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</row>
    <row r="3298" spans="1:41" x14ac:dyDescent="0.2">
      <c r="A3298" s="13"/>
      <c r="B3298" s="13"/>
      <c r="C3298" s="13"/>
      <c r="D3298" s="13"/>
      <c r="E3298" s="12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2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</row>
    <row r="3299" spans="1:41" x14ac:dyDescent="0.2">
      <c r="A3299" s="13"/>
      <c r="B3299" s="13"/>
      <c r="C3299" s="13"/>
      <c r="D3299" s="13"/>
      <c r="E3299" s="12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2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</row>
    <row r="3300" spans="1:41" x14ac:dyDescent="0.2">
      <c r="A3300" s="13"/>
      <c r="B3300" s="13"/>
      <c r="C3300" s="13"/>
      <c r="D3300" s="13"/>
      <c r="E3300" s="12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2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</row>
    <row r="3301" spans="1:41" x14ac:dyDescent="0.2">
      <c r="A3301" s="13"/>
      <c r="B3301" s="13"/>
      <c r="C3301" s="13"/>
      <c r="D3301" s="13"/>
      <c r="E3301" s="12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2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</row>
    <row r="3302" spans="1:41" x14ac:dyDescent="0.2">
      <c r="A3302" s="13"/>
      <c r="B3302" s="13"/>
      <c r="C3302" s="13"/>
      <c r="D3302" s="13"/>
      <c r="E3302" s="12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2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</row>
    <row r="3303" spans="1:41" x14ac:dyDescent="0.2">
      <c r="A3303" s="13"/>
      <c r="B3303" s="13"/>
      <c r="C3303" s="13"/>
      <c r="D3303" s="13"/>
      <c r="E3303" s="12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2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</row>
    <row r="3304" spans="1:41" x14ac:dyDescent="0.2">
      <c r="A3304" s="13"/>
      <c r="B3304" s="13"/>
      <c r="C3304" s="13"/>
      <c r="D3304" s="13"/>
      <c r="E3304" s="12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2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</row>
    <row r="3305" spans="1:41" x14ac:dyDescent="0.2">
      <c r="A3305" s="13"/>
      <c r="B3305" s="13"/>
      <c r="C3305" s="13"/>
      <c r="D3305" s="13"/>
      <c r="E3305" s="12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2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</row>
    <row r="3306" spans="1:41" x14ac:dyDescent="0.2">
      <c r="A3306" s="13"/>
      <c r="B3306" s="13"/>
      <c r="C3306" s="13"/>
      <c r="D3306" s="13"/>
      <c r="E3306" s="12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2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</row>
    <row r="3307" spans="1:41" x14ac:dyDescent="0.2">
      <c r="A3307" s="13"/>
      <c r="B3307" s="13"/>
      <c r="C3307" s="13"/>
      <c r="D3307" s="13"/>
      <c r="E3307" s="12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2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</row>
    <row r="3308" spans="1:41" x14ac:dyDescent="0.2">
      <c r="A3308" s="13"/>
      <c r="B3308" s="13"/>
      <c r="C3308" s="13"/>
      <c r="D3308" s="13"/>
      <c r="E3308" s="12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2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</row>
    <row r="3309" spans="1:41" x14ac:dyDescent="0.2">
      <c r="A3309" s="13"/>
      <c r="B3309" s="13"/>
      <c r="C3309" s="13"/>
      <c r="D3309" s="13"/>
      <c r="E3309" s="12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2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</row>
    <row r="3310" spans="1:41" x14ac:dyDescent="0.2">
      <c r="A3310" s="13"/>
      <c r="B3310" s="13"/>
      <c r="C3310" s="13"/>
      <c r="D3310" s="13"/>
      <c r="E3310" s="12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2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</row>
    <row r="3311" spans="1:41" x14ac:dyDescent="0.2">
      <c r="A3311" s="13"/>
      <c r="B3311" s="13"/>
      <c r="C3311" s="13"/>
      <c r="D3311" s="13"/>
      <c r="E3311" s="12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2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</row>
    <row r="3312" spans="1:41" x14ac:dyDescent="0.2">
      <c r="A3312" s="13"/>
      <c r="B3312" s="13"/>
      <c r="C3312" s="13"/>
      <c r="D3312" s="13"/>
      <c r="E3312" s="12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2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</row>
    <row r="3313" spans="1:41" x14ac:dyDescent="0.2">
      <c r="A3313" s="13"/>
      <c r="B3313" s="13"/>
      <c r="C3313" s="13"/>
      <c r="D3313" s="13"/>
      <c r="E3313" s="12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2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</row>
    <row r="3314" spans="1:41" x14ac:dyDescent="0.2">
      <c r="A3314" s="13"/>
      <c r="B3314" s="13"/>
      <c r="C3314" s="13"/>
      <c r="D3314" s="13"/>
      <c r="E3314" s="12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2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</row>
    <row r="3315" spans="1:41" x14ac:dyDescent="0.2">
      <c r="A3315" s="13"/>
      <c r="B3315" s="13"/>
      <c r="C3315" s="13"/>
      <c r="D3315" s="13"/>
      <c r="E3315" s="12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2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</row>
    <row r="3316" spans="1:41" x14ac:dyDescent="0.2">
      <c r="A3316" s="13"/>
      <c r="B3316" s="13"/>
      <c r="C3316" s="13"/>
      <c r="D3316" s="13"/>
      <c r="E3316" s="12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2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</row>
    <row r="3317" spans="1:41" x14ac:dyDescent="0.2">
      <c r="A3317" s="13"/>
      <c r="B3317" s="13"/>
      <c r="C3317" s="13"/>
      <c r="D3317" s="13"/>
      <c r="E3317" s="12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2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</row>
    <row r="3318" spans="1:41" x14ac:dyDescent="0.2">
      <c r="A3318" s="13"/>
      <c r="B3318" s="13"/>
      <c r="C3318" s="13"/>
      <c r="D3318" s="13"/>
      <c r="E3318" s="12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2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</row>
    <row r="3319" spans="1:41" x14ac:dyDescent="0.2">
      <c r="A3319" s="13"/>
      <c r="B3319" s="13"/>
      <c r="C3319" s="13"/>
      <c r="D3319" s="13"/>
      <c r="E3319" s="12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2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</row>
    <row r="3320" spans="1:41" x14ac:dyDescent="0.2">
      <c r="A3320" s="13"/>
      <c r="B3320" s="13"/>
      <c r="C3320" s="13"/>
      <c r="D3320" s="13"/>
      <c r="E3320" s="12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2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</row>
    <row r="3321" spans="1:41" x14ac:dyDescent="0.2">
      <c r="A3321" s="13"/>
      <c r="B3321" s="13"/>
      <c r="C3321" s="13"/>
      <c r="D3321" s="13"/>
      <c r="E3321" s="12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2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</row>
    <row r="3322" spans="1:41" x14ac:dyDescent="0.2">
      <c r="A3322" s="13"/>
      <c r="B3322" s="13"/>
      <c r="C3322" s="13"/>
      <c r="D3322" s="13"/>
      <c r="E3322" s="12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2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</row>
    <row r="3323" spans="1:41" x14ac:dyDescent="0.2">
      <c r="A3323" s="13"/>
      <c r="B3323" s="13"/>
      <c r="C3323" s="13"/>
      <c r="D3323" s="13"/>
      <c r="E3323" s="12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2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</row>
    <row r="3324" spans="1:41" x14ac:dyDescent="0.2">
      <c r="A3324" s="13"/>
      <c r="B3324" s="13"/>
      <c r="C3324" s="13"/>
      <c r="D3324" s="13"/>
      <c r="E3324" s="12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2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</row>
    <row r="3325" spans="1:41" x14ac:dyDescent="0.2">
      <c r="A3325" s="13"/>
      <c r="B3325" s="13"/>
      <c r="C3325" s="13"/>
      <c r="D3325" s="13"/>
      <c r="E3325" s="12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2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</row>
    <row r="3326" spans="1:41" x14ac:dyDescent="0.2">
      <c r="A3326" s="13"/>
      <c r="B3326" s="13"/>
      <c r="C3326" s="13"/>
      <c r="D3326" s="13"/>
      <c r="E3326" s="12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2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</row>
    <row r="3327" spans="1:41" x14ac:dyDescent="0.2">
      <c r="A3327" s="13"/>
      <c r="B3327" s="13"/>
      <c r="C3327" s="13"/>
      <c r="D3327" s="13"/>
      <c r="E3327" s="12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2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</row>
    <row r="3328" spans="1:41" x14ac:dyDescent="0.2">
      <c r="A3328" s="13"/>
      <c r="B3328" s="13"/>
      <c r="C3328" s="13"/>
      <c r="D3328" s="13"/>
      <c r="E3328" s="12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2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</row>
    <row r="3329" spans="1:41" x14ac:dyDescent="0.2">
      <c r="A3329" s="13"/>
      <c r="B3329" s="13"/>
      <c r="C3329" s="13"/>
      <c r="D3329" s="13"/>
      <c r="E3329" s="12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2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</row>
    <row r="3330" spans="1:41" x14ac:dyDescent="0.2">
      <c r="A3330" s="13"/>
      <c r="B3330" s="13"/>
      <c r="C3330" s="13"/>
      <c r="D3330" s="13"/>
      <c r="E3330" s="12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2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</row>
    <row r="3331" spans="1:41" x14ac:dyDescent="0.2">
      <c r="A3331" s="13"/>
      <c r="B3331" s="13"/>
      <c r="C3331" s="13"/>
      <c r="D3331" s="13"/>
      <c r="E3331" s="12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2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</row>
    <row r="3332" spans="1:41" x14ac:dyDescent="0.2">
      <c r="A3332" s="13"/>
      <c r="B3332" s="13"/>
      <c r="C3332" s="13"/>
      <c r="D3332" s="13"/>
      <c r="E3332" s="12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2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</row>
    <row r="3333" spans="1:41" x14ac:dyDescent="0.2">
      <c r="A3333" s="13"/>
      <c r="B3333" s="13"/>
      <c r="C3333" s="13"/>
      <c r="D3333" s="13"/>
      <c r="E3333" s="12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2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</row>
    <row r="3334" spans="1:41" x14ac:dyDescent="0.2">
      <c r="A3334" s="13"/>
      <c r="B3334" s="13"/>
      <c r="C3334" s="13"/>
      <c r="D3334" s="13"/>
      <c r="E3334" s="12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2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</row>
    <row r="3335" spans="1:41" x14ac:dyDescent="0.2">
      <c r="A3335" s="13"/>
      <c r="B3335" s="13"/>
      <c r="C3335" s="13"/>
      <c r="D3335" s="13"/>
      <c r="E3335" s="12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2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</row>
    <row r="3336" spans="1:41" x14ac:dyDescent="0.2">
      <c r="A3336" s="13"/>
      <c r="B3336" s="13"/>
      <c r="C3336" s="13"/>
      <c r="D3336" s="13"/>
      <c r="E3336" s="12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2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</row>
    <row r="3337" spans="1:41" x14ac:dyDescent="0.2">
      <c r="A3337" s="13"/>
      <c r="B3337" s="13"/>
      <c r="C3337" s="13"/>
      <c r="D3337" s="13"/>
      <c r="E3337" s="12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2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</row>
    <row r="3338" spans="1:41" x14ac:dyDescent="0.2">
      <c r="A3338" s="13"/>
      <c r="B3338" s="13"/>
      <c r="C3338" s="13"/>
      <c r="D3338" s="13"/>
      <c r="E3338" s="12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2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</row>
    <row r="3339" spans="1:41" x14ac:dyDescent="0.2">
      <c r="A3339" s="13"/>
      <c r="B3339" s="13"/>
      <c r="C3339" s="13"/>
      <c r="D3339" s="13"/>
      <c r="E3339" s="12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2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</row>
    <row r="3340" spans="1:41" x14ac:dyDescent="0.2">
      <c r="A3340" s="13"/>
      <c r="B3340" s="13"/>
      <c r="C3340" s="13"/>
      <c r="D3340" s="13"/>
      <c r="E3340" s="12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2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</row>
    <row r="3341" spans="1:41" x14ac:dyDescent="0.2">
      <c r="A3341" s="13"/>
      <c r="B3341" s="13"/>
      <c r="C3341" s="13"/>
      <c r="D3341" s="13"/>
      <c r="E3341" s="12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2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</row>
    <row r="3342" spans="1:41" x14ac:dyDescent="0.2">
      <c r="A3342" s="13"/>
      <c r="B3342" s="13"/>
      <c r="C3342" s="13"/>
      <c r="D3342" s="13"/>
      <c r="E3342" s="12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2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</row>
    <row r="3343" spans="1:41" x14ac:dyDescent="0.2">
      <c r="A3343" s="13"/>
      <c r="B3343" s="13"/>
      <c r="C3343" s="13"/>
      <c r="D3343" s="13"/>
      <c r="E3343" s="12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2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</row>
    <row r="3344" spans="1:41" x14ac:dyDescent="0.2">
      <c r="A3344" s="13"/>
      <c r="B3344" s="13"/>
      <c r="C3344" s="13"/>
      <c r="D3344" s="13"/>
      <c r="E3344" s="12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2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</row>
    <row r="3345" spans="1:41" x14ac:dyDescent="0.2">
      <c r="A3345" s="13"/>
      <c r="B3345" s="13"/>
      <c r="C3345" s="13"/>
      <c r="D3345" s="13"/>
      <c r="E3345" s="12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2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</row>
    <row r="3346" spans="1:41" x14ac:dyDescent="0.2">
      <c r="A3346" s="13"/>
      <c r="B3346" s="13"/>
      <c r="C3346" s="13"/>
      <c r="D3346" s="13"/>
      <c r="E3346" s="1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2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</row>
    <row r="3347" spans="1:41" x14ac:dyDescent="0.2">
      <c r="A3347" s="13"/>
      <c r="B3347" s="13"/>
      <c r="C3347" s="13"/>
      <c r="D3347" s="13"/>
      <c r="E3347" s="12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2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</row>
    <row r="3348" spans="1:41" x14ac:dyDescent="0.2">
      <c r="A3348" s="13"/>
      <c r="B3348" s="13"/>
      <c r="C3348" s="13"/>
      <c r="D3348" s="13"/>
      <c r="E3348" s="12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2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</row>
    <row r="3349" spans="1:41" x14ac:dyDescent="0.2">
      <c r="A3349" s="13"/>
      <c r="B3349" s="13"/>
      <c r="C3349" s="13"/>
      <c r="D3349" s="13"/>
      <c r="E3349" s="12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2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</row>
    <row r="3350" spans="1:41" x14ac:dyDescent="0.2">
      <c r="A3350" s="13"/>
      <c r="B3350" s="13"/>
      <c r="C3350" s="13"/>
      <c r="D3350" s="13"/>
      <c r="E3350" s="12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2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</row>
    <row r="3351" spans="1:41" x14ac:dyDescent="0.2">
      <c r="A3351" s="13"/>
      <c r="B3351" s="13"/>
      <c r="C3351" s="13"/>
      <c r="D3351" s="13"/>
      <c r="E3351" s="12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2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</row>
    <row r="3352" spans="1:41" x14ac:dyDescent="0.2">
      <c r="A3352" s="13"/>
      <c r="B3352" s="13"/>
      <c r="C3352" s="13"/>
      <c r="D3352" s="13"/>
      <c r="E3352" s="12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2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</row>
    <row r="3353" spans="1:41" x14ac:dyDescent="0.2">
      <c r="A3353" s="13"/>
      <c r="B3353" s="13"/>
      <c r="C3353" s="13"/>
      <c r="D3353" s="13"/>
      <c r="E3353" s="12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2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</row>
    <row r="3354" spans="1:41" x14ac:dyDescent="0.2">
      <c r="A3354" s="13"/>
      <c r="B3354" s="13"/>
      <c r="C3354" s="13"/>
      <c r="D3354" s="13"/>
      <c r="E3354" s="12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2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</row>
    <row r="3355" spans="1:41" x14ac:dyDescent="0.2">
      <c r="A3355" s="13"/>
      <c r="B3355" s="13"/>
      <c r="C3355" s="13"/>
      <c r="D3355" s="13"/>
      <c r="E3355" s="12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2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</row>
    <row r="3356" spans="1:41" x14ac:dyDescent="0.2">
      <c r="A3356" s="13"/>
      <c r="B3356" s="13"/>
      <c r="C3356" s="13"/>
      <c r="D3356" s="13"/>
      <c r="E3356" s="12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2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</row>
    <row r="3357" spans="1:41" x14ac:dyDescent="0.2">
      <c r="A3357" s="13"/>
      <c r="B3357" s="13"/>
      <c r="C3357" s="13"/>
      <c r="D3357" s="13"/>
      <c r="E3357" s="12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2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</row>
    <row r="3358" spans="1:41" x14ac:dyDescent="0.2">
      <c r="A3358" s="13"/>
      <c r="B3358" s="13"/>
      <c r="C3358" s="13"/>
      <c r="D3358" s="13"/>
      <c r="E3358" s="12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2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</row>
    <row r="3359" spans="1:41" x14ac:dyDescent="0.2">
      <c r="A3359" s="13"/>
      <c r="B3359" s="13"/>
      <c r="C3359" s="13"/>
      <c r="D3359" s="13"/>
      <c r="E3359" s="12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2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</row>
    <row r="3360" spans="1:41" x14ac:dyDescent="0.2">
      <c r="A3360" s="13"/>
      <c r="B3360" s="13"/>
      <c r="C3360" s="13"/>
      <c r="D3360" s="13"/>
      <c r="E3360" s="12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2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</row>
    <row r="3361" spans="1:41" x14ac:dyDescent="0.2">
      <c r="A3361" s="13"/>
      <c r="B3361" s="13"/>
      <c r="C3361" s="13"/>
      <c r="D3361" s="13"/>
      <c r="E3361" s="12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2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</row>
    <row r="3362" spans="1:41" x14ac:dyDescent="0.2">
      <c r="A3362" s="13"/>
      <c r="B3362" s="13"/>
      <c r="C3362" s="13"/>
      <c r="D3362" s="13"/>
      <c r="E3362" s="12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2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</row>
    <row r="3363" spans="1:41" x14ac:dyDescent="0.2">
      <c r="A3363" s="13"/>
      <c r="B3363" s="13"/>
      <c r="C3363" s="13"/>
      <c r="D3363" s="13"/>
      <c r="E3363" s="12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2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</row>
    <row r="3364" spans="1:41" x14ac:dyDescent="0.2">
      <c r="A3364" s="13"/>
      <c r="B3364" s="13"/>
      <c r="C3364" s="13"/>
      <c r="D3364" s="13"/>
      <c r="E3364" s="12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2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</row>
    <row r="3365" spans="1:41" x14ac:dyDescent="0.2">
      <c r="A3365" s="13"/>
      <c r="B3365" s="13"/>
      <c r="C3365" s="13"/>
      <c r="D3365" s="13"/>
      <c r="E3365" s="12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2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</row>
    <row r="3366" spans="1:41" x14ac:dyDescent="0.2">
      <c r="A3366" s="13"/>
      <c r="B3366" s="13"/>
      <c r="C3366" s="13"/>
      <c r="D3366" s="13"/>
      <c r="E3366" s="12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2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</row>
    <row r="3367" spans="1:41" x14ac:dyDescent="0.2">
      <c r="A3367" s="13"/>
      <c r="B3367" s="13"/>
      <c r="C3367" s="13"/>
      <c r="D3367" s="13"/>
      <c r="E3367" s="12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2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</row>
    <row r="3368" spans="1:41" x14ac:dyDescent="0.2">
      <c r="A3368" s="13"/>
      <c r="B3368" s="13"/>
      <c r="C3368" s="13"/>
      <c r="D3368" s="13"/>
      <c r="E3368" s="12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2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</row>
    <row r="3369" spans="1:41" x14ac:dyDescent="0.2">
      <c r="A3369" s="13"/>
      <c r="B3369" s="13"/>
      <c r="C3369" s="13"/>
      <c r="D3369" s="13"/>
      <c r="E3369" s="12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2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</row>
    <row r="3370" spans="1:41" x14ac:dyDescent="0.2">
      <c r="A3370" s="13"/>
      <c r="B3370" s="13"/>
      <c r="C3370" s="13"/>
      <c r="D3370" s="13"/>
      <c r="E3370" s="12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2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</row>
    <row r="3371" spans="1:41" x14ac:dyDescent="0.2">
      <c r="A3371" s="13"/>
      <c r="B3371" s="13"/>
      <c r="C3371" s="13"/>
      <c r="D3371" s="13"/>
      <c r="E3371" s="12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2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</row>
    <row r="3372" spans="1:41" x14ac:dyDescent="0.2">
      <c r="A3372" s="13"/>
      <c r="B3372" s="13"/>
      <c r="C3372" s="13"/>
      <c r="D3372" s="13"/>
      <c r="E3372" s="12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2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</row>
    <row r="3373" spans="1:41" x14ac:dyDescent="0.2">
      <c r="A3373" s="13"/>
      <c r="B3373" s="13"/>
      <c r="C3373" s="13"/>
      <c r="D3373" s="13"/>
      <c r="E3373" s="12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2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</row>
    <row r="3374" spans="1:41" x14ac:dyDescent="0.2">
      <c r="A3374" s="13"/>
      <c r="B3374" s="13"/>
      <c r="C3374" s="13"/>
      <c r="D3374" s="13"/>
      <c r="E3374" s="12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2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</row>
    <row r="3375" spans="1:41" x14ac:dyDescent="0.2">
      <c r="A3375" s="13"/>
      <c r="B3375" s="13"/>
      <c r="C3375" s="13"/>
      <c r="D3375" s="13"/>
      <c r="E3375" s="12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2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</row>
    <row r="3376" spans="1:41" x14ac:dyDescent="0.2">
      <c r="A3376" s="13"/>
      <c r="B3376" s="13"/>
      <c r="C3376" s="13"/>
      <c r="D3376" s="13"/>
      <c r="E3376" s="12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2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</row>
    <row r="3377" spans="1:41" x14ac:dyDescent="0.2">
      <c r="A3377" s="13"/>
      <c r="B3377" s="13"/>
      <c r="C3377" s="13"/>
      <c r="D3377" s="13"/>
      <c r="E3377" s="12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2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</row>
    <row r="3378" spans="1:41" x14ac:dyDescent="0.2">
      <c r="A3378" s="13"/>
      <c r="B3378" s="13"/>
      <c r="C3378" s="13"/>
      <c r="D3378" s="13"/>
      <c r="E3378" s="12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2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</row>
    <row r="3379" spans="1:41" x14ac:dyDescent="0.2">
      <c r="A3379" s="13"/>
      <c r="B3379" s="13"/>
      <c r="C3379" s="13"/>
      <c r="D3379" s="13"/>
      <c r="E3379" s="12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2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</row>
    <row r="3380" spans="1:41" x14ac:dyDescent="0.2">
      <c r="A3380" s="13"/>
      <c r="B3380" s="13"/>
      <c r="C3380" s="13"/>
      <c r="D3380" s="13"/>
      <c r="E3380" s="12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2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</row>
    <row r="3381" spans="1:41" x14ac:dyDescent="0.2">
      <c r="A3381" s="13"/>
      <c r="B3381" s="13"/>
      <c r="C3381" s="13"/>
      <c r="D3381" s="13"/>
      <c r="E3381" s="12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2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</row>
    <row r="3382" spans="1:41" x14ac:dyDescent="0.2">
      <c r="A3382" s="13"/>
      <c r="B3382" s="13"/>
      <c r="C3382" s="13"/>
      <c r="D3382" s="13"/>
      <c r="E3382" s="12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2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</row>
    <row r="3383" spans="1:41" x14ac:dyDescent="0.2">
      <c r="A3383" s="13"/>
      <c r="B3383" s="13"/>
      <c r="C3383" s="13"/>
      <c r="D3383" s="13"/>
      <c r="E3383" s="12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2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</row>
    <row r="3384" spans="1:41" x14ac:dyDescent="0.2">
      <c r="A3384" s="13"/>
      <c r="B3384" s="13"/>
      <c r="C3384" s="13"/>
      <c r="D3384" s="13"/>
      <c r="E3384" s="12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2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</row>
    <row r="3385" spans="1:41" x14ac:dyDescent="0.2">
      <c r="A3385" s="13"/>
      <c r="B3385" s="13"/>
      <c r="C3385" s="13"/>
      <c r="D3385" s="13"/>
      <c r="E3385" s="12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2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</row>
    <row r="3386" spans="1:41" x14ac:dyDescent="0.2">
      <c r="A3386" s="13"/>
      <c r="B3386" s="13"/>
      <c r="C3386" s="13"/>
      <c r="D3386" s="13"/>
      <c r="E3386" s="12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2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</row>
    <row r="3387" spans="1:41" x14ac:dyDescent="0.2">
      <c r="A3387" s="13"/>
      <c r="B3387" s="13"/>
      <c r="C3387" s="13"/>
      <c r="D3387" s="13"/>
      <c r="E3387" s="12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2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</row>
    <row r="3388" spans="1:41" x14ac:dyDescent="0.2">
      <c r="A3388" s="13"/>
      <c r="B3388" s="13"/>
      <c r="C3388" s="13"/>
      <c r="D3388" s="13"/>
      <c r="E3388" s="12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2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</row>
    <row r="3389" spans="1:41" x14ac:dyDescent="0.2">
      <c r="A3389" s="13"/>
      <c r="B3389" s="13"/>
      <c r="C3389" s="13"/>
      <c r="D3389" s="13"/>
      <c r="E3389" s="12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2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</row>
    <row r="3390" spans="1:41" x14ac:dyDescent="0.2">
      <c r="A3390" s="13"/>
      <c r="B3390" s="13"/>
      <c r="C3390" s="13"/>
      <c r="D3390" s="13"/>
      <c r="E3390" s="12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2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</row>
    <row r="3391" spans="1:41" x14ac:dyDescent="0.2">
      <c r="A3391" s="13"/>
      <c r="B3391" s="13"/>
      <c r="C3391" s="13"/>
      <c r="D3391" s="13"/>
      <c r="E3391" s="12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2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</row>
    <row r="3392" spans="1:41" x14ac:dyDescent="0.2">
      <c r="A3392" s="13"/>
      <c r="B3392" s="13"/>
      <c r="C3392" s="13"/>
      <c r="D3392" s="13"/>
      <c r="E3392" s="12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2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</row>
    <row r="3393" spans="1:41" x14ac:dyDescent="0.2">
      <c r="A3393" s="13"/>
      <c r="B3393" s="13"/>
      <c r="C3393" s="13"/>
      <c r="D3393" s="13"/>
      <c r="E3393" s="12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2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</row>
    <row r="3394" spans="1:41" x14ac:dyDescent="0.2">
      <c r="A3394" s="13"/>
      <c r="B3394" s="13"/>
      <c r="C3394" s="13"/>
      <c r="D3394" s="13"/>
      <c r="E3394" s="12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2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</row>
    <row r="3395" spans="1:41" x14ac:dyDescent="0.2">
      <c r="A3395" s="13"/>
      <c r="B3395" s="13"/>
      <c r="C3395" s="13"/>
      <c r="D3395" s="13"/>
      <c r="E3395" s="12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2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</row>
    <row r="3396" spans="1:41" x14ac:dyDescent="0.2">
      <c r="A3396" s="13"/>
      <c r="B3396" s="13"/>
      <c r="C3396" s="13"/>
      <c r="D3396" s="13"/>
      <c r="E3396" s="12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2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</row>
    <row r="3397" spans="1:41" x14ac:dyDescent="0.2">
      <c r="A3397" s="13"/>
      <c r="B3397" s="13"/>
      <c r="C3397" s="13"/>
      <c r="D3397" s="13"/>
      <c r="E3397" s="12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2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</row>
    <row r="3398" spans="1:41" x14ac:dyDescent="0.2">
      <c r="A3398" s="13"/>
      <c r="B3398" s="13"/>
      <c r="C3398" s="13"/>
      <c r="D3398" s="13"/>
      <c r="E3398" s="12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2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</row>
    <row r="3399" spans="1:41" x14ac:dyDescent="0.2">
      <c r="A3399" s="13"/>
      <c r="B3399" s="13"/>
      <c r="C3399" s="13"/>
      <c r="D3399" s="13"/>
      <c r="E3399" s="12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2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</row>
    <row r="3400" spans="1:41" x14ac:dyDescent="0.2">
      <c r="A3400" s="13"/>
      <c r="B3400" s="13"/>
      <c r="C3400" s="13"/>
      <c r="D3400" s="13"/>
      <c r="E3400" s="12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2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</row>
    <row r="3401" spans="1:41" x14ac:dyDescent="0.2">
      <c r="A3401" s="13"/>
      <c r="B3401" s="13"/>
      <c r="C3401" s="13"/>
      <c r="D3401" s="13"/>
      <c r="E3401" s="12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2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</row>
    <row r="3402" spans="1:41" x14ac:dyDescent="0.2">
      <c r="A3402" s="13"/>
      <c r="B3402" s="13"/>
      <c r="C3402" s="13"/>
      <c r="D3402" s="13"/>
      <c r="E3402" s="12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2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</row>
    <row r="3403" spans="1:41" x14ac:dyDescent="0.2">
      <c r="A3403" s="13"/>
      <c r="B3403" s="13"/>
      <c r="C3403" s="13"/>
      <c r="D3403" s="13"/>
      <c r="E3403" s="12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2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</row>
    <row r="3404" spans="1:41" x14ac:dyDescent="0.2">
      <c r="A3404" s="13"/>
      <c r="B3404" s="13"/>
      <c r="C3404" s="13"/>
      <c r="D3404" s="13"/>
      <c r="E3404" s="12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2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</row>
    <row r="3405" spans="1:41" x14ac:dyDescent="0.2">
      <c r="A3405" s="13"/>
      <c r="B3405" s="13"/>
      <c r="C3405" s="13"/>
      <c r="D3405" s="13"/>
      <c r="E3405" s="12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2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</row>
    <row r="3406" spans="1:41" x14ac:dyDescent="0.2">
      <c r="A3406" s="13"/>
      <c r="B3406" s="13"/>
      <c r="C3406" s="13"/>
      <c r="D3406" s="13"/>
      <c r="E3406" s="12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2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</row>
    <row r="3407" spans="1:41" x14ac:dyDescent="0.2">
      <c r="A3407" s="13"/>
      <c r="B3407" s="13"/>
      <c r="C3407" s="13"/>
      <c r="D3407" s="13"/>
      <c r="E3407" s="12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2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</row>
    <row r="3408" spans="1:41" x14ac:dyDescent="0.2">
      <c r="A3408" s="13"/>
      <c r="B3408" s="13"/>
      <c r="C3408" s="13"/>
      <c r="D3408" s="13"/>
      <c r="E3408" s="12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2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</row>
    <row r="3409" spans="1:41" x14ac:dyDescent="0.2">
      <c r="A3409" s="13"/>
      <c r="B3409" s="13"/>
      <c r="C3409" s="13"/>
      <c r="D3409" s="13"/>
      <c r="E3409" s="12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2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</row>
    <row r="3410" spans="1:41" x14ac:dyDescent="0.2">
      <c r="A3410" s="13"/>
      <c r="B3410" s="13"/>
      <c r="C3410" s="13"/>
      <c r="D3410" s="13"/>
      <c r="E3410" s="12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2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</row>
    <row r="3411" spans="1:41" x14ac:dyDescent="0.2">
      <c r="A3411" s="13"/>
      <c r="B3411" s="13"/>
      <c r="C3411" s="13"/>
      <c r="D3411" s="13"/>
      <c r="E3411" s="12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2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</row>
    <row r="3412" spans="1:41" x14ac:dyDescent="0.2">
      <c r="A3412" s="13"/>
      <c r="B3412" s="13"/>
      <c r="C3412" s="13"/>
      <c r="D3412" s="13"/>
      <c r="E3412" s="12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2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</row>
    <row r="3413" spans="1:41" x14ac:dyDescent="0.2">
      <c r="A3413" s="13"/>
      <c r="B3413" s="13"/>
      <c r="C3413" s="13"/>
      <c r="D3413" s="13"/>
      <c r="E3413" s="12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2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</row>
    <row r="3414" spans="1:41" x14ac:dyDescent="0.2">
      <c r="A3414" s="13"/>
      <c r="B3414" s="13"/>
      <c r="C3414" s="13"/>
      <c r="D3414" s="13"/>
      <c r="E3414" s="12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2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</row>
    <row r="3415" spans="1:41" x14ac:dyDescent="0.2">
      <c r="A3415" s="13"/>
      <c r="B3415" s="13"/>
      <c r="C3415" s="13"/>
      <c r="D3415" s="13"/>
      <c r="E3415" s="12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2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</row>
    <row r="3416" spans="1:41" x14ac:dyDescent="0.2">
      <c r="A3416" s="13"/>
      <c r="B3416" s="13"/>
      <c r="C3416" s="13"/>
      <c r="D3416" s="13"/>
      <c r="E3416" s="12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2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</row>
    <row r="3417" spans="1:41" x14ac:dyDescent="0.2">
      <c r="A3417" s="13"/>
      <c r="B3417" s="13"/>
      <c r="C3417" s="13"/>
      <c r="D3417" s="13"/>
      <c r="E3417" s="12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2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</row>
    <row r="3418" spans="1:41" x14ac:dyDescent="0.2">
      <c r="A3418" s="13"/>
      <c r="B3418" s="13"/>
      <c r="C3418" s="13"/>
      <c r="D3418" s="13"/>
      <c r="E3418" s="12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2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</row>
    <row r="3419" spans="1:41" x14ac:dyDescent="0.2">
      <c r="A3419" s="13"/>
      <c r="B3419" s="13"/>
      <c r="C3419" s="13"/>
      <c r="D3419" s="13"/>
      <c r="E3419" s="12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2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</row>
    <row r="3420" spans="1:41" x14ac:dyDescent="0.2">
      <c r="A3420" s="13"/>
      <c r="B3420" s="13"/>
      <c r="C3420" s="13"/>
      <c r="D3420" s="13"/>
      <c r="E3420" s="12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2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</row>
    <row r="3421" spans="1:41" x14ac:dyDescent="0.2">
      <c r="A3421" s="13"/>
      <c r="B3421" s="13"/>
      <c r="C3421" s="13"/>
      <c r="D3421" s="13"/>
      <c r="E3421" s="12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2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</row>
    <row r="3422" spans="1:41" x14ac:dyDescent="0.2">
      <c r="A3422" s="13"/>
      <c r="B3422" s="13"/>
      <c r="C3422" s="13"/>
      <c r="D3422" s="13"/>
      <c r="E3422" s="12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2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</row>
    <row r="3423" spans="1:41" x14ac:dyDescent="0.2">
      <c r="A3423" s="13"/>
      <c r="B3423" s="13"/>
      <c r="C3423" s="13"/>
      <c r="D3423" s="13"/>
      <c r="E3423" s="12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2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</row>
    <row r="3424" spans="1:41" x14ac:dyDescent="0.2">
      <c r="A3424" s="13"/>
      <c r="B3424" s="13"/>
      <c r="C3424" s="13"/>
      <c r="D3424" s="13"/>
      <c r="E3424" s="12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2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</row>
    <row r="3425" spans="1:41" x14ac:dyDescent="0.2">
      <c r="A3425" s="13"/>
      <c r="B3425" s="13"/>
      <c r="C3425" s="13"/>
      <c r="D3425" s="13"/>
      <c r="E3425" s="12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2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</row>
    <row r="3426" spans="1:41" x14ac:dyDescent="0.2">
      <c r="A3426" s="13"/>
      <c r="B3426" s="13"/>
      <c r="C3426" s="13"/>
      <c r="D3426" s="13"/>
      <c r="E3426" s="12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2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</row>
    <row r="3427" spans="1:41" x14ac:dyDescent="0.2">
      <c r="A3427" s="13"/>
      <c r="B3427" s="13"/>
      <c r="C3427" s="13"/>
      <c r="D3427" s="13"/>
      <c r="E3427" s="12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2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</row>
    <row r="3428" spans="1:41" x14ac:dyDescent="0.2">
      <c r="A3428" s="13"/>
      <c r="B3428" s="13"/>
      <c r="C3428" s="13"/>
      <c r="D3428" s="13"/>
      <c r="E3428" s="12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2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</row>
    <row r="3429" spans="1:41" x14ac:dyDescent="0.2">
      <c r="A3429" s="13"/>
      <c r="B3429" s="13"/>
      <c r="C3429" s="13"/>
      <c r="D3429" s="13"/>
      <c r="E3429" s="12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2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</row>
    <row r="3430" spans="1:41" x14ac:dyDescent="0.2">
      <c r="A3430" s="13"/>
      <c r="B3430" s="13"/>
      <c r="C3430" s="13"/>
      <c r="D3430" s="13"/>
      <c r="E3430" s="12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2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</row>
    <row r="3431" spans="1:41" x14ac:dyDescent="0.2">
      <c r="A3431" s="13"/>
      <c r="B3431" s="13"/>
      <c r="C3431" s="13"/>
      <c r="D3431" s="13"/>
      <c r="E3431" s="12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2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</row>
    <row r="3432" spans="1:41" x14ac:dyDescent="0.2">
      <c r="A3432" s="13"/>
      <c r="B3432" s="13"/>
      <c r="C3432" s="13"/>
      <c r="D3432" s="13"/>
      <c r="E3432" s="12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2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</row>
    <row r="3433" spans="1:41" x14ac:dyDescent="0.2">
      <c r="A3433" s="13"/>
      <c r="B3433" s="13"/>
      <c r="C3433" s="13"/>
      <c r="D3433" s="13"/>
      <c r="E3433" s="12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2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</row>
    <row r="3434" spans="1:41" x14ac:dyDescent="0.2">
      <c r="A3434" s="13"/>
      <c r="B3434" s="13"/>
      <c r="C3434" s="13"/>
      <c r="D3434" s="13"/>
      <c r="E3434" s="12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2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</row>
    <row r="3435" spans="1:41" x14ac:dyDescent="0.2">
      <c r="A3435" s="13"/>
      <c r="B3435" s="13"/>
      <c r="C3435" s="13"/>
      <c r="D3435" s="13"/>
      <c r="E3435" s="12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2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</row>
    <row r="3436" spans="1:41" x14ac:dyDescent="0.2">
      <c r="A3436" s="13"/>
      <c r="B3436" s="13"/>
      <c r="C3436" s="13"/>
      <c r="D3436" s="13"/>
      <c r="E3436" s="12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2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</row>
    <row r="3437" spans="1:41" x14ac:dyDescent="0.2">
      <c r="A3437" s="13"/>
      <c r="B3437" s="13"/>
      <c r="C3437" s="13"/>
      <c r="D3437" s="13"/>
      <c r="E3437" s="12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2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</row>
    <row r="3438" spans="1:41" x14ac:dyDescent="0.2">
      <c r="A3438" s="13"/>
      <c r="B3438" s="13"/>
      <c r="C3438" s="13"/>
      <c r="D3438" s="13"/>
      <c r="E3438" s="12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2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</row>
    <row r="3439" spans="1:41" x14ac:dyDescent="0.2">
      <c r="A3439" s="13"/>
      <c r="B3439" s="13"/>
      <c r="C3439" s="13"/>
      <c r="D3439" s="13"/>
      <c r="E3439" s="12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2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</row>
    <row r="3440" spans="1:41" x14ac:dyDescent="0.2">
      <c r="A3440" s="13"/>
      <c r="B3440" s="13"/>
      <c r="C3440" s="13"/>
      <c r="D3440" s="13"/>
      <c r="E3440" s="12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2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</row>
    <row r="3441" spans="1:41" x14ac:dyDescent="0.2">
      <c r="A3441" s="13"/>
      <c r="B3441" s="13"/>
      <c r="C3441" s="13"/>
      <c r="D3441" s="13"/>
      <c r="E3441" s="12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2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</row>
    <row r="3442" spans="1:41" x14ac:dyDescent="0.2">
      <c r="A3442" s="13"/>
      <c r="B3442" s="13"/>
      <c r="C3442" s="13"/>
      <c r="D3442" s="13"/>
      <c r="E3442" s="12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2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</row>
    <row r="3443" spans="1:41" x14ac:dyDescent="0.2">
      <c r="A3443" s="13"/>
      <c r="B3443" s="13"/>
      <c r="C3443" s="13"/>
      <c r="D3443" s="13"/>
      <c r="E3443" s="12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2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</row>
    <row r="3444" spans="1:41" x14ac:dyDescent="0.2">
      <c r="A3444" s="13"/>
      <c r="B3444" s="13"/>
      <c r="C3444" s="13"/>
      <c r="D3444" s="13"/>
      <c r="E3444" s="12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2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</row>
    <row r="3445" spans="1:41" x14ac:dyDescent="0.2">
      <c r="A3445" s="13"/>
      <c r="B3445" s="13"/>
      <c r="C3445" s="13"/>
      <c r="D3445" s="13"/>
      <c r="E3445" s="12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2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</row>
    <row r="3446" spans="1:41" x14ac:dyDescent="0.2">
      <c r="A3446" s="13"/>
      <c r="B3446" s="13"/>
      <c r="C3446" s="13"/>
      <c r="D3446" s="13"/>
      <c r="E3446" s="12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2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</row>
    <row r="3447" spans="1:41" x14ac:dyDescent="0.2">
      <c r="A3447" s="13"/>
      <c r="B3447" s="13"/>
      <c r="C3447" s="13"/>
      <c r="D3447" s="13"/>
      <c r="E3447" s="12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2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</row>
    <row r="3448" spans="1:41" x14ac:dyDescent="0.2">
      <c r="A3448" s="13"/>
      <c r="B3448" s="13"/>
      <c r="C3448" s="13"/>
      <c r="D3448" s="13"/>
      <c r="E3448" s="12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2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</row>
    <row r="3449" spans="1:41" x14ac:dyDescent="0.2">
      <c r="A3449" s="13"/>
      <c r="B3449" s="13"/>
      <c r="C3449" s="13"/>
      <c r="D3449" s="13"/>
      <c r="E3449" s="12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2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</row>
    <row r="3450" spans="1:41" x14ac:dyDescent="0.2">
      <c r="A3450" s="13"/>
      <c r="B3450" s="13"/>
      <c r="C3450" s="13"/>
      <c r="D3450" s="13"/>
      <c r="E3450" s="12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2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</row>
    <row r="3451" spans="1:41" x14ac:dyDescent="0.2">
      <c r="A3451" s="13"/>
      <c r="B3451" s="13"/>
      <c r="C3451" s="13"/>
      <c r="D3451" s="13"/>
      <c r="E3451" s="12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2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</row>
    <row r="3452" spans="1:41" x14ac:dyDescent="0.2">
      <c r="A3452" s="13"/>
      <c r="B3452" s="13"/>
      <c r="C3452" s="13"/>
      <c r="D3452" s="13"/>
      <c r="E3452" s="12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2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</row>
    <row r="3453" spans="1:41" x14ac:dyDescent="0.2">
      <c r="A3453" s="13"/>
      <c r="B3453" s="13"/>
      <c r="C3453" s="13"/>
      <c r="D3453" s="13"/>
      <c r="E3453" s="12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2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</row>
    <row r="3454" spans="1:41" x14ac:dyDescent="0.2">
      <c r="A3454" s="13"/>
      <c r="B3454" s="13"/>
      <c r="C3454" s="13"/>
      <c r="D3454" s="13"/>
      <c r="E3454" s="12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2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</row>
    <row r="3455" spans="1:41" x14ac:dyDescent="0.2">
      <c r="A3455" s="13"/>
      <c r="B3455" s="13"/>
      <c r="C3455" s="13"/>
      <c r="D3455" s="13"/>
      <c r="E3455" s="12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2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</row>
    <row r="3456" spans="1:41" x14ac:dyDescent="0.2">
      <c r="A3456" s="13"/>
      <c r="B3456" s="13"/>
      <c r="C3456" s="13"/>
      <c r="D3456" s="13"/>
      <c r="E3456" s="12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2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</row>
    <row r="3457" spans="1:41" x14ac:dyDescent="0.2">
      <c r="A3457" s="13"/>
      <c r="B3457" s="13"/>
      <c r="C3457" s="13"/>
      <c r="D3457" s="13"/>
      <c r="E3457" s="12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2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</row>
    <row r="3458" spans="1:41" x14ac:dyDescent="0.2">
      <c r="A3458" s="13"/>
      <c r="B3458" s="13"/>
      <c r="C3458" s="13"/>
      <c r="D3458" s="13"/>
      <c r="E3458" s="12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2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</row>
    <row r="3459" spans="1:41" x14ac:dyDescent="0.2">
      <c r="A3459" s="13"/>
      <c r="B3459" s="13"/>
      <c r="C3459" s="13"/>
      <c r="D3459" s="13"/>
      <c r="E3459" s="12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2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</row>
    <row r="3460" spans="1:41" x14ac:dyDescent="0.2">
      <c r="A3460" s="13"/>
      <c r="B3460" s="13"/>
      <c r="C3460" s="13"/>
      <c r="D3460" s="13"/>
      <c r="E3460" s="12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2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</row>
    <row r="3461" spans="1:41" x14ac:dyDescent="0.2">
      <c r="A3461" s="13"/>
      <c r="B3461" s="13"/>
      <c r="C3461" s="13"/>
      <c r="D3461" s="13"/>
      <c r="E3461" s="12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2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</row>
    <row r="3462" spans="1:41" x14ac:dyDescent="0.2">
      <c r="A3462" s="13"/>
      <c r="B3462" s="13"/>
      <c r="C3462" s="13"/>
      <c r="D3462" s="13"/>
      <c r="E3462" s="12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2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</row>
    <row r="3463" spans="1:41" x14ac:dyDescent="0.2">
      <c r="A3463" s="13"/>
      <c r="B3463" s="13"/>
      <c r="C3463" s="13"/>
      <c r="D3463" s="13"/>
      <c r="E3463" s="12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2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</row>
    <row r="3464" spans="1:41" x14ac:dyDescent="0.2">
      <c r="A3464" s="13"/>
      <c r="B3464" s="13"/>
      <c r="C3464" s="13"/>
      <c r="D3464" s="13"/>
      <c r="E3464" s="12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2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</row>
    <row r="3465" spans="1:41" x14ac:dyDescent="0.2">
      <c r="A3465" s="13"/>
      <c r="B3465" s="13"/>
      <c r="C3465" s="13"/>
      <c r="D3465" s="13"/>
      <c r="E3465" s="12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2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</row>
    <row r="3466" spans="1:41" x14ac:dyDescent="0.2">
      <c r="A3466" s="13"/>
      <c r="B3466" s="13"/>
      <c r="C3466" s="13"/>
      <c r="D3466" s="13"/>
      <c r="E3466" s="12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2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</row>
    <row r="3467" spans="1:41" x14ac:dyDescent="0.2">
      <c r="A3467" s="13"/>
      <c r="B3467" s="13"/>
      <c r="C3467" s="13"/>
      <c r="D3467" s="13"/>
      <c r="E3467" s="12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2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</row>
    <row r="3468" spans="1:41" x14ac:dyDescent="0.2">
      <c r="A3468" s="13"/>
      <c r="B3468" s="13"/>
      <c r="C3468" s="13"/>
      <c r="D3468" s="13"/>
      <c r="E3468" s="12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2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</row>
    <row r="3469" spans="1:41" x14ac:dyDescent="0.2">
      <c r="A3469" s="13"/>
      <c r="B3469" s="13"/>
      <c r="C3469" s="13"/>
      <c r="D3469" s="13"/>
      <c r="E3469" s="12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2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</row>
    <row r="3470" spans="1:41" x14ac:dyDescent="0.2">
      <c r="A3470" s="13"/>
      <c r="B3470" s="13"/>
      <c r="C3470" s="13"/>
      <c r="D3470" s="13"/>
      <c r="E3470" s="12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2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</row>
    <row r="3471" spans="1:41" x14ac:dyDescent="0.2">
      <c r="A3471" s="13"/>
      <c r="B3471" s="13"/>
      <c r="C3471" s="13"/>
      <c r="D3471" s="13"/>
      <c r="E3471" s="12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2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</row>
    <row r="3472" spans="1:41" x14ac:dyDescent="0.2">
      <c r="A3472" s="13"/>
      <c r="B3472" s="13"/>
      <c r="C3472" s="13"/>
      <c r="D3472" s="13"/>
      <c r="E3472" s="12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2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</row>
    <row r="3473" spans="1:41" x14ac:dyDescent="0.2">
      <c r="A3473" s="13"/>
      <c r="B3473" s="13"/>
      <c r="C3473" s="13"/>
      <c r="D3473" s="13"/>
      <c r="E3473" s="12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2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</row>
    <row r="3474" spans="1:41" x14ac:dyDescent="0.2">
      <c r="A3474" s="13"/>
      <c r="B3474" s="13"/>
      <c r="C3474" s="13"/>
      <c r="D3474" s="13"/>
      <c r="E3474" s="12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2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</row>
    <row r="3475" spans="1:41" x14ac:dyDescent="0.2">
      <c r="A3475" s="13"/>
      <c r="B3475" s="13"/>
      <c r="C3475" s="13"/>
      <c r="D3475" s="13"/>
      <c r="E3475" s="12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2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</row>
    <row r="3476" spans="1:41" x14ac:dyDescent="0.2">
      <c r="A3476" s="13"/>
      <c r="B3476" s="13"/>
      <c r="C3476" s="13"/>
      <c r="D3476" s="13"/>
      <c r="E3476" s="12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2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</row>
    <row r="3477" spans="1:41" x14ac:dyDescent="0.2">
      <c r="A3477" s="13"/>
      <c r="B3477" s="13"/>
      <c r="C3477" s="13"/>
      <c r="D3477" s="13"/>
      <c r="E3477" s="12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2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</row>
    <row r="3478" spans="1:41" x14ac:dyDescent="0.2">
      <c r="A3478" s="13"/>
      <c r="B3478" s="13"/>
      <c r="C3478" s="13"/>
      <c r="D3478" s="13"/>
      <c r="E3478" s="1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2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</row>
    <row r="3479" spans="1:41" x14ac:dyDescent="0.2">
      <c r="A3479" s="13"/>
      <c r="B3479" s="13"/>
      <c r="C3479" s="13"/>
      <c r="D3479" s="13"/>
      <c r="E3479" s="12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2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</row>
    <row r="3480" spans="1:41" x14ac:dyDescent="0.2">
      <c r="A3480" s="13"/>
      <c r="B3480" s="13"/>
      <c r="C3480" s="13"/>
      <c r="D3480" s="13"/>
      <c r="E3480" s="12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2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</row>
    <row r="3481" spans="1:41" x14ac:dyDescent="0.2">
      <c r="A3481" s="13"/>
      <c r="B3481" s="13"/>
      <c r="C3481" s="13"/>
      <c r="D3481" s="13"/>
      <c r="E3481" s="12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2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</row>
    <row r="3482" spans="1:41" x14ac:dyDescent="0.2">
      <c r="A3482" s="13"/>
      <c r="B3482" s="13"/>
      <c r="C3482" s="13"/>
      <c r="D3482" s="13"/>
      <c r="E3482" s="12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2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</row>
    <row r="3483" spans="1:41" x14ac:dyDescent="0.2">
      <c r="A3483" s="13"/>
      <c r="B3483" s="13"/>
      <c r="C3483" s="13"/>
      <c r="D3483" s="13"/>
      <c r="E3483" s="12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2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</row>
    <row r="3484" spans="1:41" x14ac:dyDescent="0.2">
      <c r="A3484" s="13"/>
      <c r="B3484" s="13"/>
      <c r="C3484" s="13"/>
      <c r="D3484" s="13"/>
      <c r="E3484" s="12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2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</row>
    <row r="3485" spans="1:41" x14ac:dyDescent="0.2">
      <c r="A3485" s="13"/>
      <c r="B3485" s="13"/>
      <c r="C3485" s="13"/>
      <c r="D3485" s="13"/>
      <c r="E3485" s="12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2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</row>
    <row r="3486" spans="1:41" x14ac:dyDescent="0.2">
      <c r="A3486" s="13"/>
      <c r="B3486" s="13"/>
      <c r="C3486" s="13"/>
      <c r="D3486" s="13"/>
      <c r="E3486" s="12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2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</row>
    <row r="3487" spans="1:41" x14ac:dyDescent="0.2">
      <c r="A3487" s="13"/>
      <c r="B3487" s="13"/>
      <c r="C3487" s="13"/>
      <c r="D3487" s="13"/>
      <c r="E3487" s="12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2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</row>
    <row r="3488" spans="1:41" x14ac:dyDescent="0.2">
      <c r="A3488" s="13"/>
      <c r="B3488" s="13"/>
      <c r="C3488" s="13"/>
      <c r="D3488" s="13"/>
      <c r="E3488" s="12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2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</row>
    <row r="3489" spans="1:41" x14ac:dyDescent="0.2">
      <c r="A3489" s="13"/>
      <c r="B3489" s="13"/>
      <c r="C3489" s="13"/>
      <c r="D3489" s="13"/>
      <c r="E3489" s="12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2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</row>
    <row r="3490" spans="1:41" x14ac:dyDescent="0.2">
      <c r="A3490" s="13"/>
      <c r="B3490" s="13"/>
      <c r="C3490" s="13"/>
      <c r="D3490" s="13"/>
      <c r="E3490" s="12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2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</row>
    <row r="3491" spans="1:41" x14ac:dyDescent="0.2">
      <c r="A3491" s="13"/>
      <c r="B3491" s="13"/>
      <c r="C3491" s="13"/>
      <c r="D3491" s="13"/>
      <c r="E3491" s="12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2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</row>
    <row r="3492" spans="1:41" x14ac:dyDescent="0.2">
      <c r="A3492" s="13"/>
      <c r="B3492" s="13"/>
      <c r="C3492" s="13"/>
      <c r="D3492" s="13"/>
      <c r="E3492" s="12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2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</row>
    <row r="3493" spans="1:41" x14ac:dyDescent="0.2">
      <c r="A3493" s="13"/>
      <c r="B3493" s="13"/>
      <c r="C3493" s="13"/>
      <c r="D3493" s="13"/>
      <c r="E3493" s="12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2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</row>
    <row r="3494" spans="1:41" x14ac:dyDescent="0.2">
      <c r="A3494" s="13"/>
      <c r="B3494" s="13"/>
      <c r="C3494" s="13"/>
      <c r="D3494" s="13"/>
      <c r="E3494" s="12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2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</row>
    <row r="3495" spans="1:41" x14ac:dyDescent="0.2">
      <c r="A3495" s="13"/>
      <c r="B3495" s="13"/>
      <c r="C3495" s="13"/>
      <c r="D3495" s="13"/>
      <c r="E3495" s="12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2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</row>
    <row r="3496" spans="1:41" x14ac:dyDescent="0.2">
      <c r="A3496" s="13"/>
      <c r="B3496" s="13"/>
      <c r="C3496" s="13"/>
      <c r="D3496" s="13"/>
      <c r="E3496" s="12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2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</row>
    <row r="3497" spans="1:41" x14ac:dyDescent="0.2">
      <c r="A3497" s="13"/>
      <c r="B3497" s="13"/>
      <c r="C3497" s="13"/>
      <c r="D3497" s="13"/>
      <c r="E3497" s="1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2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</row>
    <row r="3498" spans="1:41" x14ac:dyDescent="0.2">
      <c r="A3498" s="13"/>
      <c r="B3498" s="13"/>
      <c r="C3498" s="13"/>
      <c r="D3498" s="13"/>
      <c r="E3498" s="12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2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</row>
    <row r="3499" spans="1:41" x14ac:dyDescent="0.2">
      <c r="A3499" s="13"/>
      <c r="B3499" s="13"/>
      <c r="C3499" s="13"/>
      <c r="D3499" s="13"/>
      <c r="E3499" s="12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2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</row>
    <row r="3500" spans="1:41" x14ac:dyDescent="0.2">
      <c r="A3500" s="13"/>
      <c r="B3500" s="13"/>
      <c r="C3500" s="13"/>
      <c r="D3500" s="13"/>
      <c r="E3500" s="12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2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</row>
    <row r="3501" spans="1:41" x14ac:dyDescent="0.2">
      <c r="A3501" s="13"/>
      <c r="B3501" s="13"/>
      <c r="C3501" s="13"/>
      <c r="D3501" s="13"/>
      <c r="E3501" s="12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2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</row>
    <row r="3502" spans="1:41" x14ac:dyDescent="0.2">
      <c r="A3502" s="13"/>
      <c r="B3502" s="13"/>
      <c r="C3502" s="13"/>
      <c r="D3502" s="13"/>
      <c r="E3502" s="12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2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</row>
    <row r="3503" spans="1:41" x14ac:dyDescent="0.2">
      <c r="A3503" s="13"/>
      <c r="B3503" s="13"/>
      <c r="C3503" s="13"/>
      <c r="D3503" s="13"/>
      <c r="E3503" s="12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2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</row>
    <row r="3504" spans="1:41" x14ac:dyDescent="0.2">
      <c r="A3504" s="13"/>
      <c r="B3504" s="13"/>
      <c r="C3504" s="13"/>
      <c r="D3504" s="13"/>
      <c r="E3504" s="12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2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</row>
    <row r="3505" spans="1:41" x14ac:dyDescent="0.2">
      <c r="A3505" s="13"/>
      <c r="B3505" s="13"/>
      <c r="C3505" s="13"/>
      <c r="D3505" s="13"/>
      <c r="E3505" s="12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2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</row>
    <row r="3506" spans="1:41" x14ac:dyDescent="0.2">
      <c r="A3506" s="13"/>
      <c r="B3506" s="13"/>
      <c r="C3506" s="13"/>
      <c r="D3506" s="13"/>
      <c r="E3506" s="12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2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</row>
    <row r="3507" spans="1:41" x14ac:dyDescent="0.2">
      <c r="A3507" s="13"/>
      <c r="B3507" s="13"/>
      <c r="C3507" s="13"/>
      <c r="D3507" s="13"/>
      <c r="E3507" s="12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2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</row>
    <row r="3508" spans="1:41" x14ac:dyDescent="0.2">
      <c r="A3508" s="13"/>
      <c r="B3508" s="13"/>
      <c r="C3508" s="13"/>
      <c r="D3508" s="13"/>
      <c r="E3508" s="12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2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</row>
    <row r="3509" spans="1:41" x14ac:dyDescent="0.2">
      <c r="A3509" s="13"/>
      <c r="B3509" s="13"/>
      <c r="C3509" s="13"/>
      <c r="D3509" s="13"/>
      <c r="E3509" s="12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2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</row>
    <row r="3510" spans="1:41" x14ac:dyDescent="0.2">
      <c r="A3510" s="13"/>
      <c r="B3510" s="13"/>
      <c r="C3510" s="13"/>
      <c r="D3510" s="13"/>
      <c r="E3510" s="12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2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</row>
    <row r="3511" spans="1:41" x14ac:dyDescent="0.2">
      <c r="A3511" s="13"/>
      <c r="B3511" s="13"/>
      <c r="C3511" s="13"/>
      <c r="D3511" s="13"/>
      <c r="E3511" s="12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2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</row>
    <row r="3512" spans="1:41" x14ac:dyDescent="0.2">
      <c r="A3512" s="13"/>
      <c r="B3512" s="13"/>
      <c r="C3512" s="13"/>
      <c r="D3512" s="13"/>
      <c r="E3512" s="12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2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</row>
    <row r="3513" spans="1:41" x14ac:dyDescent="0.2">
      <c r="A3513" s="13"/>
      <c r="B3513" s="13"/>
      <c r="C3513" s="13"/>
      <c r="D3513" s="13"/>
      <c r="E3513" s="12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2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</row>
    <row r="3514" spans="1:41" x14ac:dyDescent="0.2">
      <c r="A3514" s="13"/>
      <c r="B3514" s="13"/>
      <c r="C3514" s="13"/>
      <c r="D3514" s="13"/>
      <c r="E3514" s="12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2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</row>
    <row r="3515" spans="1:41" x14ac:dyDescent="0.2">
      <c r="A3515" s="13"/>
      <c r="B3515" s="13"/>
      <c r="C3515" s="13"/>
      <c r="D3515" s="13"/>
      <c r="E3515" s="12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2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</row>
    <row r="3516" spans="1:41" x14ac:dyDescent="0.2">
      <c r="A3516" s="13"/>
      <c r="B3516" s="13"/>
      <c r="C3516" s="13"/>
      <c r="D3516" s="13"/>
      <c r="E3516" s="12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2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</row>
    <row r="3517" spans="1:41" x14ac:dyDescent="0.2">
      <c r="A3517" s="13"/>
      <c r="B3517" s="13"/>
      <c r="C3517" s="13"/>
      <c r="D3517" s="13"/>
      <c r="E3517" s="12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2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</row>
    <row r="3518" spans="1:41" x14ac:dyDescent="0.2">
      <c r="A3518" s="13"/>
      <c r="B3518" s="13"/>
      <c r="C3518" s="13"/>
      <c r="D3518" s="13"/>
      <c r="E3518" s="12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2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</row>
    <row r="3519" spans="1:41" x14ac:dyDescent="0.2">
      <c r="A3519" s="13"/>
      <c r="B3519" s="13"/>
      <c r="C3519" s="13"/>
      <c r="D3519" s="13"/>
      <c r="E3519" s="12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2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</row>
    <row r="3520" spans="1:41" x14ac:dyDescent="0.2">
      <c r="A3520" s="13"/>
      <c r="B3520" s="13"/>
      <c r="C3520" s="13"/>
      <c r="D3520" s="13"/>
      <c r="E3520" s="12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2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</row>
    <row r="3521" spans="1:41" x14ac:dyDescent="0.2">
      <c r="A3521" s="13"/>
      <c r="B3521" s="13"/>
      <c r="C3521" s="13"/>
      <c r="D3521" s="13"/>
      <c r="E3521" s="12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2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</row>
    <row r="3522" spans="1:41" x14ac:dyDescent="0.2">
      <c r="A3522" s="13"/>
      <c r="B3522" s="13"/>
      <c r="C3522" s="13"/>
      <c r="D3522" s="13"/>
      <c r="E3522" s="12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2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</row>
    <row r="3523" spans="1:41" x14ac:dyDescent="0.2">
      <c r="A3523" s="13"/>
      <c r="B3523" s="13"/>
      <c r="C3523" s="13"/>
      <c r="D3523" s="13"/>
      <c r="E3523" s="12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2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</row>
    <row r="3524" spans="1:41" x14ac:dyDescent="0.2">
      <c r="A3524" s="13"/>
      <c r="B3524" s="13"/>
      <c r="C3524" s="13"/>
      <c r="D3524" s="13"/>
      <c r="E3524" s="12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2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</row>
    <row r="3525" spans="1:41" x14ac:dyDescent="0.2">
      <c r="A3525" s="13"/>
      <c r="B3525" s="13"/>
      <c r="C3525" s="13"/>
      <c r="D3525" s="13"/>
      <c r="E3525" s="12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2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</row>
    <row r="3526" spans="1:41" x14ac:dyDescent="0.2">
      <c r="A3526" s="13"/>
      <c r="B3526" s="13"/>
      <c r="C3526" s="13"/>
      <c r="D3526" s="13"/>
      <c r="E3526" s="12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2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</row>
    <row r="3527" spans="1:41" x14ac:dyDescent="0.2">
      <c r="A3527" s="13"/>
      <c r="B3527" s="13"/>
      <c r="C3527" s="13"/>
      <c r="D3527" s="13"/>
      <c r="E3527" s="12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2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</row>
    <row r="3528" spans="1:41" x14ac:dyDescent="0.2">
      <c r="A3528" s="13"/>
      <c r="B3528" s="13"/>
      <c r="C3528" s="13"/>
      <c r="D3528" s="13"/>
      <c r="E3528" s="12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2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</row>
    <row r="3529" spans="1:41" x14ac:dyDescent="0.2">
      <c r="A3529" s="13"/>
      <c r="B3529" s="13"/>
      <c r="C3529" s="13"/>
      <c r="D3529" s="13"/>
      <c r="E3529" s="12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2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</row>
    <row r="3530" spans="1:41" x14ac:dyDescent="0.2">
      <c r="A3530" s="13"/>
      <c r="B3530" s="13"/>
      <c r="C3530" s="13"/>
      <c r="D3530" s="13"/>
      <c r="E3530" s="12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2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</row>
    <row r="3531" spans="1:41" x14ac:dyDescent="0.2">
      <c r="A3531" s="13"/>
      <c r="B3531" s="13"/>
      <c r="C3531" s="13"/>
      <c r="D3531" s="13"/>
      <c r="E3531" s="12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2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</row>
    <row r="3532" spans="1:41" x14ac:dyDescent="0.2">
      <c r="A3532" s="13"/>
      <c r="B3532" s="13"/>
      <c r="C3532" s="13"/>
      <c r="D3532" s="13"/>
      <c r="E3532" s="12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2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</row>
    <row r="3533" spans="1:41" x14ac:dyDescent="0.2">
      <c r="A3533" s="13"/>
      <c r="B3533" s="13"/>
      <c r="C3533" s="13"/>
      <c r="D3533" s="13"/>
      <c r="E3533" s="1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2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</row>
    <row r="3534" spans="1:41" x14ac:dyDescent="0.2">
      <c r="A3534" s="13"/>
      <c r="B3534" s="13"/>
      <c r="C3534" s="13"/>
      <c r="D3534" s="13"/>
      <c r="E3534" s="12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2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</row>
    <row r="3535" spans="1:41" x14ac:dyDescent="0.2">
      <c r="A3535" s="13"/>
      <c r="B3535" s="13"/>
      <c r="C3535" s="13"/>
      <c r="D3535" s="13"/>
      <c r="E3535" s="12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2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</row>
    <row r="3536" spans="1:41" x14ac:dyDescent="0.2">
      <c r="A3536" s="13"/>
      <c r="B3536" s="13"/>
      <c r="C3536" s="13"/>
      <c r="D3536" s="13"/>
      <c r="E3536" s="12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2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</row>
    <row r="3537" spans="1:41" x14ac:dyDescent="0.2">
      <c r="A3537" s="13"/>
      <c r="B3537" s="13"/>
      <c r="C3537" s="13"/>
      <c r="D3537" s="13"/>
      <c r="E3537" s="12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2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</row>
    <row r="3538" spans="1:41" x14ac:dyDescent="0.2">
      <c r="A3538" s="13"/>
      <c r="B3538" s="13"/>
      <c r="C3538" s="13"/>
      <c r="D3538" s="13"/>
      <c r="E3538" s="12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2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</row>
    <row r="3539" spans="1:41" x14ac:dyDescent="0.2">
      <c r="A3539" s="13"/>
      <c r="B3539" s="13"/>
      <c r="C3539" s="13"/>
      <c r="D3539" s="13"/>
      <c r="E3539" s="12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2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</row>
    <row r="3540" spans="1:41" x14ac:dyDescent="0.2">
      <c r="A3540" s="13"/>
      <c r="B3540" s="13"/>
      <c r="C3540" s="13"/>
      <c r="D3540" s="13"/>
      <c r="E3540" s="12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2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</row>
    <row r="3541" spans="1:41" x14ac:dyDescent="0.2">
      <c r="A3541" s="13"/>
      <c r="B3541" s="13"/>
      <c r="C3541" s="13"/>
      <c r="D3541" s="13"/>
      <c r="E3541" s="12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2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</row>
    <row r="3542" spans="1:41" x14ac:dyDescent="0.2">
      <c r="A3542" s="13"/>
      <c r="B3542" s="13"/>
      <c r="C3542" s="13"/>
      <c r="D3542" s="13"/>
      <c r="E3542" s="12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2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</row>
    <row r="3543" spans="1:41" x14ac:dyDescent="0.2">
      <c r="A3543" s="13"/>
      <c r="B3543" s="13"/>
      <c r="C3543" s="13"/>
      <c r="D3543" s="13"/>
      <c r="E3543" s="12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2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</row>
    <row r="3544" spans="1:41" x14ac:dyDescent="0.2">
      <c r="A3544" s="13"/>
      <c r="B3544" s="13"/>
      <c r="C3544" s="13"/>
      <c r="D3544" s="13"/>
      <c r="E3544" s="12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2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</row>
    <row r="3545" spans="1:41" x14ac:dyDescent="0.2">
      <c r="A3545" s="13"/>
      <c r="B3545" s="13"/>
      <c r="C3545" s="13"/>
      <c r="D3545" s="13"/>
      <c r="E3545" s="12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2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</row>
    <row r="3546" spans="1:41" x14ac:dyDescent="0.2">
      <c r="A3546" s="13"/>
      <c r="B3546" s="13"/>
      <c r="C3546" s="13"/>
      <c r="D3546" s="13"/>
      <c r="E3546" s="12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2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</row>
    <row r="3547" spans="1:41" x14ac:dyDescent="0.2">
      <c r="A3547" s="13"/>
      <c r="B3547" s="13"/>
      <c r="C3547" s="13"/>
      <c r="D3547" s="13"/>
      <c r="E3547" s="12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2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</row>
    <row r="3548" spans="1:41" x14ac:dyDescent="0.2">
      <c r="A3548" s="13"/>
      <c r="B3548" s="13"/>
      <c r="C3548" s="13"/>
      <c r="D3548" s="13"/>
      <c r="E3548" s="12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2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</row>
    <row r="3549" spans="1:41" x14ac:dyDescent="0.2">
      <c r="A3549" s="13"/>
      <c r="B3549" s="13"/>
      <c r="C3549" s="13"/>
      <c r="D3549" s="13"/>
      <c r="E3549" s="12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2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</row>
    <row r="3550" spans="1:41" x14ac:dyDescent="0.2">
      <c r="A3550" s="13"/>
      <c r="B3550" s="13"/>
      <c r="C3550" s="13"/>
      <c r="D3550" s="13"/>
      <c r="E3550" s="12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2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</row>
    <row r="3551" spans="1:41" x14ac:dyDescent="0.2">
      <c r="A3551" s="13"/>
      <c r="B3551" s="13"/>
      <c r="C3551" s="13"/>
      <c r="D3551" s="13"/>
      <c r="E3551" s="12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2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</row>
    <row r="3552" spans="1:41" x14ac:dyDescent="0.2">
      <c r="A3552" s="13"/>
      <c r="B3552" s="13"/>
      <c r="C3552" s="13"/>
      <c r="D3552" s="13"/>
      <c r="E3552" s="12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2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</row>
    <row r="3553" spans="1:41" x14ac:dyDescent="0.2">
      <c r="A3553" s="13"/>
      <c r="B3553" s="13"/>
      <c r="C3553" s="13"/>
      <c r="D3553" s="13"/>
      <c r="E3553" s="12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2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</row>
    <row r="3554" spans="1:41" x14ac:dyDescent="0.2">
      <c r="A3554" s="13"/>
      <c r="B3554" s="13"/>
      <c r="C3554" s="13"/>
      <c r="D3554" s="13"/>
      <c r="E3554" s="12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2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</row>
    <row r="3555" spans="1:41" x14ac:dyDescent="0.2">
      <c r="A3555" s="13"/>
      <c r="B3555" s="13"/>
      <c r="C3555" s="13"/>
      <c r="D3555" s="13"/>
      <c r="E3555" s="12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2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</row>
    <row r="3556" spans="1:41" x14ac:dyDescent="0.2">
      <c r="A3556" s="13"/>
      <c r="B3556" s="13"/>
      <c r="C3556" s="13"/>
      <c r="D3556" s="13"/>
      <c r="E3556" s="12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2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</row>
    <row r="3557" spans="1:41" x14ac:dyDescent="0.2">
      <c r="A3557" s="13"/>
      <c r="B3557" s="13"/>
      <c r="C3557" s="13"/>
      <c r="D3557" s="13"/>
      <c r="E3557" s="12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2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</row>
    <row r="3558" spans="1:41" x14ac:dyDescent="0.2">
      <c r="A3558" s="13"/>
      <c r="B3558" s="13"/>
      <c r="C3558" s="13"/>
      <c r="D3558" s="13"/>
      <c r="E3558" s="12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2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</row>
    <row r="3559" spans="1:41" x14ac:dyDescent="0.2">
      <c r="A3559" s="13"/>
      <c r="B3559" s="13"/>
      <c r="C3559" s="13"/>
      <c r="D3559" s="13"/>
      <c r="E3559" s="12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2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</row>
    <row r="3560" spans="1:41" x14ac:dyDescent="0.2">
      <c r="A3560" s="13"/>
      <c r="B3560" s="13"/>
      <c r="C3560" s="13"/>
      <c r="D3560" s="13"/>
      <c r="E3560" s="12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2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</row>
    <row r="3561" spans="1:41" x14ac:dyDescent="0.2">
      <c r="A3561" s="13"/>
      <c r="B3561" s="13"/>
      <c r="C3561" s="13"/>
      <c r="D3561" s="13"/>
      <c r="E3561" s="12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2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</row>
    <row r="3562" spans="1:41" x14ac:dyDescent="0.2">
      <c r="A3562" s="13"/>
      <c r="B3562" s="13"/>
      <c r="C3562" s="13"/>
      <c r="D3562" s="13"/>
      <c r="E3562" s="12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2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</row>
    <row r="3563" spans="1:41" x14ac:dyDescent="0.2">
      <c r="A3563" s="13"/>
      <c r="B3563" s="13"/>
      <c r="C3563" s="13"/>
      <c r="D3563" s="13"/>
      <c r="E3563" s="12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2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</row>
    <row r="3564" spans="1:41" x14ac:dyDescent="0.2">
      <c r="A3564" s="13"/>
      <c r="B3564" s="13"/>
      <c r="C3564" s="13"/>
      <c r="D3564" s="13"/>
      <c r="E3564" s="12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2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</row>
    <row r="3565" spans="1:41" x14ac:dyDescent="0.2">
      <c r="A3565" s="13"/>
      <c r="B3565" s="13"/>
      <c r="C3565" s="13"/>
      <c r="D3565" s="13"/>
      <c r="E3565" s="12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2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</row>
    <row r="3566" spans="1:41" x14ac:dyDescent="0.2">
      <c r="A3566" s="13"/>
      <c r="B3566" s="13"/>
      <c r="C3566" s="13"/>
      <c r="D3566" s="13"/>
      <c r="E3566" s="12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2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</row>
    <row r="3567" spans="1:41" x14ac:dyDescent="0.2">
      <c r="A3567" s="13"/>
      <c r="B3567" s="13"/>
      <c r="C3567" s="13"/>
      <c r="D3567" s="13"/>
      <c r="E3567" s="12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2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</row>
    <row r="3568" spans="1:41" x14ac:dyDescent="0.2">
      <c r="A3568" s="13"/>
      <c r="B3568" s="13"/>
      <c r="C3568" s="13"/>
      <c r="D3568" s="13"/>
      <c r="E3568" s="12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2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</row>
    <row r="3569" spans="1:41" x14ac:dyDescent="0.2">
      <c r="A3569" s="13"/>
      <c r="B3569" s="13"/>
      <c r="C3569" s="13"/>
      <c r="D3569" s="13"/>
      <c r="E3569" s="12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2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</row>
    <row r="3570" spans="1:41" x14ac:dyDescent="0.2">
      <c r="A3570" s="13"/>
      <c r="B3570" s="13"/>
      <c r="C3570" s="13"/>
      <c r="D3570" s="13"/>
      <c r="E3570" s="12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2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</row>
    <row r="3571" spans="1:41" x14ac:dyDescent="0.2">
      <c r="A3571" s="13"/>
      <c r="B3571" s="13"/>
      <c r="C3571" s="13"/>
      <c r="D3571" s="13"/>
      <c r="E3571" s="12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2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</row>
    <row r="3572" spans="1:41" x14ac:dyDescent="0.2">
      <c r="A3572" s="13"/>
      <c r="B3572" s="13"/>
      <c r="C3572" s="13"/>
      <c r="D3572" s="13"/>
      <c r="E3572" s="12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2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</row>
    <row r="3573" spans="1:41" x14ac:dyDescent="0.2">
      <c r="A3573" s="13"/>
      <c r="B3573" s="13"/>
      <c r="C3573" s="13"/>
      <c r="D3573" s="13"/>
      <c r="E3573" s="12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2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</row>
    <row r="3574" spans="1:41" x14ac:dyDescent="0.2">
      <c r="A3574" s="13"/>
      <c r="B3574" s="13"/>
      <c r="C3574" s="13"/>
      <c r="D3574" s="13"/>
      <c r="E3574" s="12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2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</row>
    <row r="3575" spans="1:41" x14ac:dyDescent="0.2">
      <c r="A3575" s="13"/>
      <c r="B3575" s="13"/>
      <c r="C3575" s="13"/>
      <c r="D3575" s="13"/>
      <c r="E3575" s="12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2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</row>
    <row r="3576" spans="1:41" x14ac:dyDescent="0.2">
      <c r="A3576" s="13"/>
      <c r="B3576" s="13"/>
      <c r="C3576" s="13"/>
      <c r="D3576" s="13"/>
      <c r="E3576" s="12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2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</row>
    <row r="3577" spans="1:41" x14ac:dyDescent="0.2">
      <c r="A3577" s="13"/>
      <c r="B3577" s="13"/>
      <c r="C3577" s="13"/>
      <c r="D3577" s="13"/>
      <c r="E3577" s="12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2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</row>
    <row r="3578" spans="1:41" x14ac:dyDescent="0.2">
      <c r="A3578" s="13"/>
      <c r="B3578" s="13"/>
      <c r="C3578" s="13"/>
      <c r="D3578" s="13"/>
      <c r="E3578" s="12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2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</row>
    <row r="3579" spans="1:41" x14ac:dyDescent="0.2">
      <c r="A3579" s="13"/>
      <c r="B3579" s="13"/>
      <c r="C3579" s="13"/>
      <c r="D3579" s="13"/>
      <c r="E3579" s="12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2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</row>
    <row r="3580" spans="1:41" x14ac:dyDescent="0.2">
      <c r="A3580" s="13"/>
      <c r="B3580" s="13"/>
      <c r="C3580" s="13"/>
      <c r="D3580" s="13"/>
      <c r="E3580" s="12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2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</row>
    <row r="3581" spans="1:41" x14ac:dyDescent="0.2">
      <c r="A3581" s="13"/>
      <c r="B3581" s="13"/>
      <c r="C3581" s="13"/>
      <c r="D3581" s="13"/>
      <c r="E3581" s="12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2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</row>
    <row r="3582" spans="1:41" x14ac:dyDescent="0.2">
      <c r="A3582" s="13"/>
      <c r="B3582" s="13"/>
      <c r="C3582" s="13"/>
      <c r="D3582" s="13"/>
      <c r="E3582" s="12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2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</row>
    <row r="3583" spans="1:41" x14ac:dyDescent="0.2">
      <c r="A3583" s="13"/>
      <c r="B3583" s="13"/>
      <c r="C3583" s="13"/>
      <c r="D3583" s="13"/>
      <c r="E3583" s="12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2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</row>
    <row r="3584" spans="1:41" x14ac:dyDescent="0.2">
      <c r="A3584" s="13"/>
      <c r="B3584" s="13"/>
      <c r="C3584" s="13"/>
      <c r="D3584" s="13"/>
      <c r="E3584" s="12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2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</row>
    <row r="3585" spans="1:41" x14ac:dyDescent="0.2">
      <c r="A3585" s="13"/>
      <c r="B3585" s="13"/>
      <c r="C3585" s="13"/>
      <c r="D3585" s="13"/>
      <c r="E3585" s="12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2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</row>
    <row r="3586" spans="1:41" x14ac:dyDescent="0.2">
      <c r="A3586" s="13"/>
      <c r="B3586" s="13"/>
      <c r="C3586" s="13"/>
      <c r="D3586" s="13"/>
      <c r="E3586" s="12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2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</row>
    <row r="3587" spans="1:41" x14ac:dyDescent="0.2">
      <c r="A3587" s="13"/>
      <c r="B3587" s="13"/>
      <c r="C3587" s="13"/>
      <c r="D3587" s="13"/>
      <c r="E3587" s="12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2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</row>
    <row r="3588" spans="1:41" x14ac:dyDescent="0.2">
      <c r="A3588" s="13"/>
      <c r="B3588" s="13"/>
      <c r="C3588" s="13"/>
      <c r="D3588" s="13"/>
      <c r="E3588" s="12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2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</row>
    <row r="3589" spans="1:41" x14ac:dyDescent="0.2">
      <c r="A3589" s="13"/>
      <c r="B3589" s="13"/>
      <c r="C3589" s="13"/>
      <c r="D3589" s="13"/>
      <c r="E3589" s="12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2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</row>
    <row r="3590" spans="1:41" x14ac:dyDescent="0.2">
      <c r="A3590" s="13"/>
      <c r="B3590" s="13"/>
      <c r="C3590" s="13"/>
      <c r="D3590" s="13"/>
      <c r="E3590" s="12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2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</row>
    <row r="3591" spans="1:41" x14ac:dyDescent="0.2">
      <c r="A3591" s="13"/>
      <c r="B3591" s="13"/>
      <c r="C3591" s="13"/>
      <c r="D3591" s="13"/>
      <c r="E3591" s="12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2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</row>
    <row r="3592" spans="1:41" x14ac:dyDescent="0.2">
      <c r="A3592" s="13"/>
      <c r="B3592" s="13"/>
      <c r="C3592" s="13"/>
      <c r="D3592" s="13"/>
      <c r="E3592" s="12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2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</row>
    <row r="3593" spans="1:41" x14ac:dyDescent="0.2">
      <c r="A3593" s="13"/>
      <c r="B3593" s="13"/>
      <c r="C3593" s="13"/>
      <c r="D3593" s="13"/>
      <c r="E3593" s="12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2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</row>
    <row r="3594" spans="1:41" x14ac:dyDescent="0.2">
      <c r="A3594" s="13"/>
      <c r="B3594" s="13"/>
      <c r="C3594" s="13"/>
      <c r="D3594" s="13"/>
      <c r="E3594" s="12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2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</row>
    <row r="3595" spans="1:41" x14ac:dyDescent="0.2">
      <c r="A3595" s="13"/>
      <c r="B3595" s="13"/>
      <c r="C3595" s="13"/>
      <c r="D3595" s="13"/>
      <c r="E3595" s="12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2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</row>
    <row r="3596" spans="1:41" x14ac:dyDescent="0.2">
      <c r="A3596" s="13"/>
      <c r="B3596" s="13"/>
      <c r="C3596" s="13"/>
      <c r="D3596" s="13"/>
      <c r="E3596" s="12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2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</row>
    <row r="3597" spans="1:41" x14ac:dyDescent="0.2">
      <c r="A3597" s="13"/>
      <c r="B3597" s="13"/>
      <c r="C3597" s="13"/>
      <c r="D3597" s="13"/>
      <c r="E3597" s="12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2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</row>
    <row r="3598" spans="1:41" x14ac:dyDescent="0.2">
      <c r="A3598" s="13"/>
      <c r="B3598" s="13"/>
      <c r="C3598" s="13"/>
      <c r="D3598" s="13"/>
      <c r="E3598" s="12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2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</row>
    <row r="3599" spans="1:41" x14ac:dyDescent="0.2">
      <c r="A3599" s="13"/>
      <c r="B3599" s="13"/>
      <c r="C3599" s="13"/>
      <c r="D3599" s="13"/>
      <c r="E3599" s="12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2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</row>
    <row r="3600" spans="1:41" x14ac:dyDescent="0.2">
      <c r="A3600" s="13"/>
      <c r="B3600" s="13"/>
      <c r="C3600" s="13"/>
      <c r="D3600" s="13"/>
      <c r="E3600" s="12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2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</row>
    <row r="3601" spans="1:41" x14ac:dyDescent="0.2">
      <c r="A3601" s="13"/>
      <c r="B3601" s="13"/>
      <c r="C3601" s="13"/>
      <c r="D3601" s="13"/>
      <c r="E3601" s="12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2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</row>
    <row r="3602" spans="1:41" x14ac:dyDescent="0.2">
      <c r="A3602" s="13"/>
      <c r="B3602" s="13"/>
      <c r="C3602" s="13"/>
      <c r="D3602" s="13"/>
      <c r="E3602" s="12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2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</row>
    <row r="3603" spans="1:41" x14ac:dyDescent="0.2">
      <c r="A3603" s="13"/>
      <c r="B3603" s="13"/>
      <c r="C3603" s="13"/>
      <c r="D3603" s="13"/>
      <c r="E3603" s="12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2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</row>
    <row r="3604" spans="1:41" x14ac:dyDescent="0.2">
      <c r="A3604" s="13"/>
      <c r="B3604" s="13"/>
      <c r="C3604" s="13"/>
      <c r="D3604" s="13"/>
      <c r="E3604" s="12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2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</row>
    <row r="3605" spans="1:41" x14ac:dyDescent="0.2">
      <c r="A3605" s="13"/>
      <c r="B3605" s="13"/>
      <c r="C3605" s="13"/>
      <c r="D3605" s="13"/>
      <c r="E3605" s="12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2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</row>
    <row r="3606" spans="1:41" x14ac:dyDescent="0.2">
      <c r="A3606" s="13"/>
      <c r="B3606" s="13"/>
      <c r="C3606" s="13"/>
      <c r="D3606" s="13"/>
      <c r="E3606" s="12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2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</row>
    <row r="3607" spans="1:41" x14ac:dyDescent="0.2">
      <c r="A3607" s="13"/>
      <c r="B3607" s="13"/>
      <c r="C3607" s="13"/>
      <c r="D3607" s="13"/>
      <c r="E3607" s="12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2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</row>
    <row r="3608" spans="1:41" x14ac:dyDescent="0.2">
      <c r="A3608" s="13"/>
      <c r="B3608" s="13"/>
      <c r="C3608" s="13"/>
      <c r="D3608" s="13"/>
      <c r="E3608" s="12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2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</row>
    <row r="3609" spans="1:41" x14ac:dyDescent="0.2">
      <c r="A3609" s="13"/>
      <c r="B3609" s="13"/>
      <c r="C3609" s="13"/>
      <c r="D3609" s="13"/>
      <c r="E3609" s="12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2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</row>
    <row r="3610" spans="1:41" x14ac:dyDescent="0.2">
      <c r="A3610" s="13"/>
      <c r="B3610" s="13"/>
      <c r="C3610" s="13"/>
      <c r="D3610" s="13"/>
      <c r="E3610" s="12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2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</row>
    <row r="3611" spans="1:41" x14ac:dyDescent="0.2">
      <c r="A3611" s="13"/>
      <c r="B3611" s="13"/>
      <c r="C3611" s="13"/>
      <c r="D3611" s="13"/>
      <c r="E3611" s="12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2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</row>
    <row r="3612" spans="1:41" x14ac:dyDescent="0.2">
      <c r="A3612" s="13"/>
      <c r="B3612" s="13"/>
      <c r="C3612" s="13"/>
      <c r="D3612" s="13"/>
      <c r="E3612" s="12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2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</row>
    <row r="3613" spans="1:41" x14ac:dyDescent="0.2">
      <c r="A3613" s="13"/>
      <c r="B3613" s="13"/>
      <c r="C3613" s="13"/>
      <c r="D3613" s="13"/>
      <c r="E3613" s="12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2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</row>
    <row r="3614" spans="1:41" x14ac:dyDescent="0.2">
      <c r="A3614" s="13"/>
      <c r="B3614" s="13"/>
      <c r="C3614" s="13"/>
      <c r="D3614" s="13"/>
      <c r="E3614" s="12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2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</row>
    <row r="3615" spans="1:41" x14ac:dyDescent="0.2">
      <c r="A3615" s="13"/>
      <c r="B3615" s="13"/>
      <c r="C3615" s="13"/>
      <c r="D3615" s="13"/>
      <c r="E3615" s="12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2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</row>
    <row r="3616" spans="1:41" x14ac:dyDescent="0.2">
      <c r="A3616" s="13"/>
      <c r="B3616" s="13"/>
      <c r="C3616" s="13"/>
      <c r="D3616" s="13"/>
      <c r="E3616" s="12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2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</row>
    <row r="3617" spans="1:41" x14ac:dyDescent="0.2">
      <c r="A3617" s="13"/>
      <c r="B3617" s="13"/>
      <c r="C3617" s="13"/>
      <c r="D3617" s="13"/>
      <c r="E3617" s="12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2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</row>
    <row r="3618" spans="1:41" x14ac:dyDescent="0.2">
      <c r="A3618" s="13"/>
      <c r="B3618" s="13"/>
      <c r="C3618" s="13"/>
      <c r="D3618" s="13"/>
      <c r="E3618" s="12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2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</row>
    <row r="3619" spans="1:41" x14ac:dyDescent="0.2">
      <c r="A3619" s="13"/>
      <c r="B3619" s="13"/>
      <c r="C3619" s="13"/>
      <c r="D3619" s="13"/>
      <c r="E3619" s="12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2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</row>
    <row r="3620" spans="1:41" x14ac:dyDescent="0.2">
      <c r="A3620" s="13"/>
      <c r="B3620" s="13"/>
      <c r="C3620" s="13"/>
      <c r="D3620" s="13"/>
      <c r="E3620" s="12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2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</row>
    <row r="3621" spans="1:41" x14ac:dyDescent="0.2">
      <c r="A3621" s="13"/>
      <c r="B3621" s="13"/>
      <c r="C3621" s="13"/>
      <c r="D3621" s="13"/>
      <c r="E3621" s="12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2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</row>
    <row r="3622" spans="1:41" x14ac:dyDescent="0.2">
      <c r="A3622" s="13"/>
      <c r="B3622" s="13"/>
      <c r="C3622" s="13"/>
      <c r="D3622" s="13"/>
      <c r="E3622" s="12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2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</row>
    <row r="3623" spans="1:41" x14ac:dyDescent="0.2">
      <c r="A3623" s="13"/>
      <c r="B3623" s="13"/>
      <c r="C3623" s="13"/>
      <c r="D3623" s="13"/>
      <c r="E3623" s="12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2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</row>
    <row r="3624" spans="1:41" x14ac:dyDescent="0.2">
      <c r="A3624" s="13"/>
      <c r="B3624" s="13"/>
      <c r="C3624" s="13"/>
      <c r="D3624" s="13"/>
      <c r="E3624" s="12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2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</row>
    <row r="3625" spans="1:41" x14ac:dyDescent="0.2">
      <c r="A3625" s="13"/>
      <c r="B3625" s="13"/>
      <c r="C3625" s="13"/>
      <c r="D3625" s="13"/>
      <c r="E3625" s="1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2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</row>
    <row r="3626" spans="1:41" x14ac:dyDescent="0.2">
      <c r="A3626" s="13"/>
      <c r="B3626" s="13"/>
      <c r="C3626" s="13"/>
      <c r="D3626" s="13"/>
      <c r="E3626" s="12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2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</row>
    <row r="3627" spans="1:41" x14ac:dyDescent="0.2">
      <c r="A3627" s="13"/>
      <c r="B3627" s="13"/>
      <c r="C3627" s="13"/>
      <c r="D3627" s="13"/>
      <c r="E3627" s="12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2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</row>
    <row r="3628" spans="1:41" x14ac:dyDescent="0.2">
      <c r="A3628" s="13"/>
      <c r="B3628" s="13"/>
      <c r="C3628" s="13"/>
      <c r="D3628" s="13"/>
      <c r="E3628" s="12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2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</row>
    <row r="3629" spans="1:41" x14ac:dyDescent="0.2">
      <c r="A3629" s="13"/>
      <c r="B3629" s="13"/>
      <c r="C3629" s="13"/>
      <c r="D3629" s="13"/>
      <c r="E3629" s="12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2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</row>
    <row r="3630" spans="1:41" x14ac:dyDescent="0.2">
      <c r="A3630" s="13"/>
      <c r="B3630" s="13"/>
      <c r="C3630" s="13"/>
      <c r="D3630" s="13"/>
      <c r="E3630" s="12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2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</row>
    <row r="3631" spans="1:41" x14ac:dyDescent="0.2">
      <c r="A3631" s="13"/>
      <c r="B3631" s="13"/>
      <c r="C3631" s="13"/>
      <c r="D3631" s="13"/>
      <c r="E3631" s="12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2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</row>
    <row r="3632" spans="1:41" x14ac:dyDescent="0.2">
      <c r="A3632" s="13"/>
      <c r="B3632" s="13"/>
      <c r="C3632" s="13"/>
      <c r="D3632" s="13"/>
      <c r="E3632" s="12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2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</row>
    <row r="3633" spans="1:41" x14ac:dyDescent="0.2">
      <c r="A3633" s="13"/>
      <c r="B3633" s="13"/>
      <c r="C3633" s="13"/>
      <c r="D3633" s="13"/>
      <c r="E3633" s="12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2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</row>
    <row r="3634" spans="1:41" x14ac:dyDescent="0.2">
      <c r="A3634" s="13"/>
      <c r="B3634" s="13"/>
      <c r="C3634" s="13"/>
      <c r="D3634" s="13"/>
      <c r="E3634" s="12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2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</row>
    <row r="3635" spans="1:41" x14ac:dyDescent="0.2">
      <c r="A3635" s="13"/>
      <c r="B3635" s="13"/>
      <c r="C3635" s="13"/>
      <c r="D3635" s="13"/>
      <c r="E3635" s="12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2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</row>
    <row r="3636" spans="1:41" x14ac:dyDescent="0.2">
      <c r="A3636" s="13"/>
      <c r="B3636" s="13"/>
      <c r="C3636" s="13"/>
      <c r="D3636" s="13"/>
      <c r="E3636" s="12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2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</row>
    <row r="3637" spans="1:41" x14ac:dyDescent="0.2">
      <c r="A3637" s="13"/>
      <c r="B3637" s="13"/>
      <c r="C3637" s="13"/>
      <c r="D3637" s="13"/>
      <c r="E3637" s="12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2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</row>
    <row r="3638" spans="1:41" x14ac:dyDescent="0.2">
      <c r="A3638" s="13"/>
      <c r="B3638" s="13"/>
      <c r="C3638" s="13"/>
      <c r="D3638" s="13"/>
      <c r="E3638" s="12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2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</row>
    <row r="3639" spans="1:41" x14ac:dyDescent="0.2">
      <c r="A3639" s="13"/>
      <c r="B3639" s="13"/>
      <c r="C3639" s="13"/>
      <c r="D3639" s="13"/>
      <c r="E3639" s="12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2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</row>
    <row r="3640" spans="1:41" x14ac:dyDescent="0.2">
      <c r="A3640" s="13"/>
      <c r="B3640" s="13"/>
      <c r="C3640" s="13"/>
      <c r="D3640" s="13"/>
      <c r="E3640" s="12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2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</row>
    <row r="3641" spans="1:41" x14ac:dyDescent="0.2">
      <c r="A3641" s="13"/>
      <c r="B3641" s="13"/>
      <c r="C3641" s="13"/>
      <c r="D3641" s="13"/>
      <c r="E3641" s="12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2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</row>
    <row r="3642" spans="1:41" x14ac:dyDescent="0.2">
      <c r="A3642" s="13"/>
      <c r="B3642" s="13"/>
      <c r="C3642" s="13"/>
      <c r="D3642" s="13"/>
      <c r="E3642" s="12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2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</row>
    <row r="3643" spans="1:41" x14ac:dyDescent="0.2">
      <c r="A3643" s="13"/>
      <c r="B3643" s="13"/>
      <c r="C3643" s="13"/>
      <c r="D3643" s="13"/>
      <c r="E3643" s="12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2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</row>
    <row r="3644" spans="1:41" x14ac:dyDescent="0.2">
      <c r="A3644" s="13"/>
      <c r="B3644" s="13"/>
      <c r="C3644" s="13"/>
      <c r="D3644" s="13"/>
      <c r="E3644" s="12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2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</row>
    <row r="3645" spans="1:41" x14ac:dyDescent="0.2">
      <c r="A3645" s="13"/>
      <c r="B3645" s="13"/>
      <c r="C3645" s="13"/>
      <c r="D3645" s="13"/>
      <c r="E3645" s="12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2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</row>
    <row r="3646" spans="1:41" x14ac:dyDescent="0.2">
      <c r="A3646" s="13"/>
      <c r="B3646" s="13"/>
      <c r="C3646" s="13"/>
      <c r="D3646" s="13"/>
      <c r="E3646" s="12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2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</row>
    <row r="3647" spans="1:41" x14ac:dyDescent="0.2">
      <c r="A3647" s="13"/>
      <c r="B3647" s="13"/>
      <c r="C3647" s="13"/>
      <c r="D3647" s="13"/>
      <c r="E3647" s="12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2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</row>
    <row r="3648" spans="1:41" x14ac:dyDescent="0.2">
      <c r="A3648" s="13"/>
      <c r="B3648" s="13"/>
      <c r="C3648" s="13"/>
      <c r="D3648" s="13"/>
      <c r="E3648" s="12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2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</row>
    <row r="3649" spans="1:41" x14ac:dyDescent="0.2">
      <c r="A3649" s="13"/>
      <c r="B3649" s="13"/>
      <c r="C3649" s="13"/>
      <c r="D3649" s="13"/>
      <c r="E3649" s="12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2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</row>
    <row r="3650" spans="1:41" x14ac:dyDescent="0.2">
      <c r="A3650" s="13"/>
      <c r="B3650" s="13"/>
      <c r="C3650" s="13"/>
      <c r="D3650" s="13"/>
      <c r="E3650" s="12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2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</row>
    <row r="3651" spans="1:41" x14ac:dyDescent="0.2">
      <c r="A3651" s="13"/>
      <c r="B3651" s="13"/>
      <c r="C3651" s="13"/>
      <c r="D3651" s="13"/>
      <c r="E3651" s="12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2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</row>
    <row r="3652" spans="1:41" x14ac:dyDescent="0.2">
      <c r="A3652" s="13"/>
      <c r="B3652" s="13"/>
      <c r="C3652" s="13"/>
      <c r="D3652" s="13"/>
      <c r="E3652" s="12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2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</row>
    <row r="3653" spans="1:41" x14ac:dyDescent="0.2">
      <c r="A3653" s="13"/>
      <c r="B3653" s="13"/>
      <c r="C3653" s="13"/>
      <c r="D3653" s="13"/>
      <c r="E3653" s="12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2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</row>
    <row r="3654" spans="1:41" x14ac:dyDescent="0.2">
      <c r="A3654" s="13"/>
      <c r="B3654" s="13"/>
      <c r="C3654" s="13"/>
      <c r="D3654" s="13"/>
      <c r="E3654" s="12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2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</row>
    <row r="3655" spans="1:41" x14ac:dyDescent="0.2">
      <c r="A3655" s="13"/>
      <c r="B3655" s="13"/>
      <c r="C3655" s="13"/>
      <c r="D3655" s="13"/>
      <c r="E3655" s="12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2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</row>
    <row r="3656" spans="1:41" x14ac:dyDescent="0.2">
      <c r="A3656" s="13"/>
      <c r="B3656" s="13"/>
      <c r="C3656" s="13"/>
      <c r="D3656" s="13"/>
      <c r="E3656" s="12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2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</row>
    <row r="3657" spans="1:41" x14ac:dyDescent="0.2">
      <c r="A3657" s="13"/>
      <c r="B3657" s="13"/>
      <c r="C3657" s="13"/>
      <c r="D3657" s="13"/>
      <c r="E3657" s="12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2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</row>
    <row r="3658" spans="1:41" x14ac:dyDescent="0.2">
      <c r="A3658" s="13"/>
      <c r="B3658" s="13"/>
      <c r="C3658" s="13"/>
      <c r="D3658" s="13"/>
      <c r="E3658" s="12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2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</row>
    <row r="3659" spans="1:41" x14ac:dyDescent="0.2">
      <c r="A3659" s="13"/>
      <c r="B3659" s="13"/>
      <c r="C3659" s="13"/>
      <c r="D3659" s="13"/>
      <c r="E3659" s="12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2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</row>
    <row r="3660" spans="1:41" x14ac:dyDescent="0.2">
      <c r="A3660" s="13"/>
      <c r="B3660" s="13"/>
      <c r="C3660" s="13"/>
      <c r="D3660" s="13"/>
      <c r="E3660" s="12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2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</row>
    <row r="3661" spans="1:41" x14ac:dyDescent="0.2">
      <c r="A3661" s="13"/>
      <c r="B3661" s="13"/>
      <c r="C3661" s="13"/>
      <c r="D3661" s="13"/>
      <c r="E3661" s="12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2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</row>
    <row r="3662" spans="1:41" x14ac:dyDescent="0.2">
      <c r="A3662" s="13"/>
      <c r="B3662" s="13"/>
      <c r="C3662" s="13"/>
      <c r="D3662" s="13"/>
      <c r="E3662" s="12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2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</row>
    <row r="3663" spans="1:41" x14ac:dyDescent="0.2">
      <c r="A3663" s="13"/>
      <c r="B3663" s="13"/>
      <c r="C3663" s="13"/>
      <c r="D3663" s="13"/>
      <c r="E3663" s="12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2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</row>
    <row r="3664" spans="1:41" x14ac:dyDescent="0.2">
      <c r="A3664" s="13"/>
      <c r="B3664" s="13"/>
      <c r="C3664" s="13"/>
      <c r="D3664" s="13"/>
      <c r="E3664" s="12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2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</row>
    <row r="3665" spans="1:41" x14ac:dyDescent="0.2">
      <c r="A3665" s="13"/>
      <c r="B3665" s="13"/>
      <c r="C3665" s="13"/>
      <c r="D3665" s="13"/>
      <c r="E3665" s="12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2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</row>
    <row r="3666" spans="1:41" x14ac:dyDescent="0.2">
      <c r="A3666" s="13"/>
      <c r="B3666" s="13"/>
      <c r="C3666" s="13"/>
      <c r="D3666" s="13"/>
      <c r="E3666" s="12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2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</row>
    <row r="3667" spans="1:41" x14ac:dyDescent="0.2">
      <c r="A3667" s="13"/>
      <c r="B3667" s="13"/>
      <c r="C3667" s="13"/>
      <c r="D3667" s="13"/>
      <c r="E3667" s="12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2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</row>
    <row r="3668" spans="1:41" x14ac:dyDescent="0.2">
      <c r="A3668" s="13"/>
      <c r="B3668" s="13"/>
      <c r="C3668" s="13"/>
      <c r="D3668" s="13"/>
      <c r="E3668" s="12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2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</row>
    <row r="3669" spans="1:41" x14ac:dyDescent="0.2">
      <c r="A3669" s="13"/>
      <c r="B3669" s="13"/>
      <c r="C3669" s="13"/>
      <c r="D3669" s="13"/>
      <c r="E3669" s="12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2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</row>
    <row r="3670" spans="1:41" x14ac:dyDescent="0.2">
      <c r="A3670" s="13"/>
      <c r="B3670" s="13"/>
      <c r="C3670" s="13"/>
      <c r="D3670" s="13"/>
      <c r="E3670" s="12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2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</row>
    <row r="3671" spans="1:41" x14ac:dyDescent="0.2">
      <c r="A3671" s="13"/>
      <c r="B3671" s="13"/>
      <c r="C3671" s="13"/>
      <c r="D3671" s="13"/>
      <c r="E3671" s="12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2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</row>
    <row r="3672" spans="1:41" x14ac:dyDescent="0.2">
      <c r="A3672" s="13"/>
      <c r="B3672" s="13"/>
      <c r="C3672" s="13"/>
      <c r="D3672" s="13"/>
      <c r="E3672" s="12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2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</row>
    <row r="3673" spans="1:41" x14ac:dyDescent="0.2">
      <c r="A3673" s="13"/>
      <c r="B3673" s="13"/>
      <c r="C3673" s="13"/>
      <c r="D3673" s="13"/>
      <c r="E3673" s="12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2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</row>
    <row r="3674" spans="1:41" x14ac:dyDescent="0.2">
      <c r="A3674" s="13"/>
      <c r="B3674" s="13"/>
      <c r="C3674" s="13"/>
      <c r="D3674" s="13"/>
      <c r="E3674" s="12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2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</row>
    <row r="3675" spans="1:41" x14ac:dyDescent="0.2">
      <c r="A3675" s="13"/>
      <c r="B3675" s="13"/>
      <c r="C3675" s="13"/>
      <c r="D3675" s="13"/>
      <c r="E3675" s="12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2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</row>
    <row r="3676" spans="1:41" x14ac:dyDescent="0.2">
      <c r="A3676" s="13"/>
      <c r="B3676" s="13"/>
      <c r="C3676" s="13"/>
      <c r="D3676" s="13"/>
      <c r="E3676" s="12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2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</row>
    <row r="3677" spans="1:41" x14ac:dyDescent="0.2">
      <c r="A3677" s="13"/>
      <c r="B3677" s="13"/>
      <c r="C3677" s="13"/>
      <c r="D3677" s="13"/>
      <c r="E3677" s="12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2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</row>
    <row r="3678" spans="1:41" x14ac:dyDescent="0.2">
      <c r="A3678" s="13"/>
      <c r="B3678" s="13"/>
      <c r="C3678" s="13"/>
      <c r="D3678" s="13"/>
      <c r="E3678" s="12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2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</row>
    <row r="3679" spans="1:41" x14ac:dyDescent="0.2">
      <c r="A3679" s="13"/>
      <c r="B3679" s="13"/>
      <c r="C3679" s="13"/>
      <c r="D3679" s="13"/>
      <c r="E3679" s="12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2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</row>
    <row r="3680" spans="1:41" x14ac:dyDescent="0.2">
      <c r="A3680" s="13"/>
      <c r="B3680" s="13"/>
      <c r="C3680" s="13"/>
      <c r="D3680" s="13"/>
      <c r="E3680" s="12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2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</row>
    <row r="3681" spans="1:41" x14ac:dyDescent="0.2">
      <c r="A3681" s="13"/>
      <c r="B3681" s="13"/>
      <c r="C3681" s="13"/>
      <c r="D3681" s="13"/>
      <c r="E3681" s="12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2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</row>
    <row r="3682" spans="1:41" x14ac:dyDescent="0.2">
      <c r="A3682" s="13"/>
      <c r="B3682" s="13"/>
      <c r="C3682" s="13"/>
      <c r="D3682" s="13"/>
      <c r="E3682" s="12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2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</row>
    <row r="3683" spans="1:41" x14ac:dyDescent="0.2">
      <c r="A3683" s="13"/>
      <c r="B3683" s="13"/>
      <c r="C3683" s="13"/>
      <c r="D3683" s="13"/>
      <c r="E3683" s="12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2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</row>
    <row r="3684" spans="1:41" x14ac:dyDescent="0.2">
      <c r="A3684" s="13"/>
      <c r="B3684" s="13"/>
      <c r="C3684" s="13"/>
      <c r="D3684" s="13"/>
      <c r="E3684" s="12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2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</row>
    <row r="3685" spans="1:41" x14ac:dyDescent="0.2">
      <c r="A3685" s="13"/>
      <c r="B3685" s="13"/>
      <c r="C3685" s="13"/>
      <c r="D3685" s="13"/>
      <c r="E3685" s="12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2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</row>
    <row r="3686" spans="1:41" x14ac:dyDescent="0.2">
      <c r="A3686" s="13"/>
      <c r="B3686" s="13"/>
      <c r="C3686" s="13"/>
      <c r="D3686" s="13"/>
      <c r="E3686" s="12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2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</row>
    <row r="3687" spans="1:41" x14ac:dyDescent="0.2">
      <c r="A3687" s="13"/>
      <c r="B3687" s="13"/>
      <c r="C3687" s="13"/>
      <c r="D3687" s="13"/>
      <c r="E3687" s="12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2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</row>
    <row r="3688" spans="1:41" x14ac:dyDescent="0.2">
      <c r="A3688" s="13"/>
      <c r="B3688" s="13"/>
      <c r="C3688" s="13"/>
      <c r="D3688" s="13"/>
      <c r="E3688" s="12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2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</row>
    <row r="3689" spans="1:41" x14ac:dyDescent="0.2">
      <c r="A3689" s="13"/>
      <c r="B3689" s="13"/>
      <c r="C3689" s="13"/>
      <c r="D3689" s="13"/>
      <c r="E3689" s="12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2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</row>
    <row r="3690" spans="1:41" x14ac:dyDescent="0.2">
      <c r="A3690" s="13"/>
      <c r="B3690" s="13"/>
      <c r="C3690" s="13"/>
      <c r="D3690" s="13"/>
      <c r="E3690" s="12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2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</row>
    <row r="3691" spans="1:41" x14ac:dyDescent="0.2">
      <c r="A3691" s="13"/>
      <c r="B3691" s="13"/>
      <c r="C3691" s="13"/>
      <c r="D3691" s="13"/>
      <c r="E3691" s="12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2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</row>
    <row r="3692" spans="1:41" x14ac:dyDescent="0.2">
      <c r="A3692" s="13"/>
      <c r="B3692" s="13"/>
      <c r="C3692" s="13"/>
      <c r="D3692" s="13"/>
      <c r="E3692" s="12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2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</row>
    <row r="3693" spans="1:41" x14ac:dyDescent="0.2">
      <c r="A3693" s="13"/>
      <c r="B3693" s="13"/>
      <c r="C3693" s="13"/>
      <c r="D3693" s="13"/>
      <c r="E3693" s="12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2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</row>
    <row r="3694" spans="1:41" x14ac:dyDescent="0.2">
      <c r="A3694" s="13"/>
      <c r="B3694" s="13"/>
      <c r="C3694" s="13"/>
      <c r="D3694" s="13"/>
      <c r="E3694" s="12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2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</row>
    <row r="3695" spans="1:41" x14ac:dyDescent="0.2">
      <c r="A3695" s="13"/>
      <c r="B3695" s="13"/>
      <c r="C3695" s="13"/>
      <c r="D3695" s="13"/>
      <c r="E3695" s="12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2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</row>
    <row r="3696" spans="1:41" x14ac:dyDescent="0.2">
      <c r="A3696" s="13"/>
      <c r="B3696" s="13"/>
      <c r="C3696" s="13"/>
      <c r="D3696" s="13"/>
      <c r="E3696" s="12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2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</row>
    <row r="3697" spans="1:41" x14ac:dyDescent="0.2">
      <c r="A3697" s="13"/>
      <c r="B3697" s="13"/>
      <c r="C3697" s="13"/>
      <c r="D3697" s="13"/>
      <c r="E3697" s="12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2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</row>
    <row r="3698" spans="1:41" x14ac:dyDescent="0.2">
      <c r="A3698" s="13"/>
      <c r="B3698" s="13"/>
      <c r="C3698" s="13"/>
      <c r="D3698" s="13"/>
      <c r="E3698" s="12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2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</row>
    <row r="3699" spans="1:41" x14ac:dyDescent="0.2">
      <c r="A3699" s="13"/>
      <c r="B3699" s="13"/>
      <c r="C3699" s="13"/>
      <c r="D3699" s="13"/>
      <c r="E3699" s="12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2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</row>
    <row r="3700" spans="1:41" x14ac:dyDescent="0.2">
      <c r="A3700" s="13"/>
      <c r="B3700" s="13"/>
      <c r="C3700" s="13"/>
      <c r="D3700" s="13"/>
      <c r="E3700" s="12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2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</row>
    <row r="3701" spans="1:41" x14ac:dyDescent="0.2">
      <c r="A3701" s="13"/>
      <c r="B3701" s="13"/>
      <c r="C3701" s="13"/>
      <c r="D3701" s="13"/>
      <c r="E3701" s="12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2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</row>
    <row r="3702" spans="1:41" x14ac:dyDescent="0.2">
      <c r="A3702" s="13"/>
      <c r="B3702" s="13"/>
      <c r="C3702" s="13"/>
      <c r="D3702" s="13"/>
      <c r="E3702" s="12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2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</row>
    <row r="3703" spans="1:41" x14ac:dyDescent="0.2">
      <c r="A3703" s="13"/>
      <c r="B3703" s="13"/>
      <c r="C3703" s="13"/>
      <c r="D3703" s="13"/>
      <c r="E3703" s="12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2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</row>
    <row r="3704" spans="1:41" x14ac:dyDescent="0.2">
      <c r="A3704" s="13"/>
      <c r="B3704" s="13"/>
      <c r="C3704" s="13"/>
      <c r="D3704" s="13"/>
      <c r="E3704" s="12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2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</row>
    <row r="3705" spans="1:41" x14ac:dyDescent="0.2">
      <c r="A3705" s="13"/>
      <c r="B3705" s="13"/>
      <c r="C3705" s="13"/>
      <c r="D3705" s="13"/>
      <c r="E3705" s="12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2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</row>
    <row r="3706" spans="1:41" x14ac:dyDescent="0.2">
      <c r="A3706" s="13"/>
      <c r="B3706" s="13"/>
      <c r="C3706" s="13"/>
      <c r="D3706" s="13"/>
      <c r="E3706" s="12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2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</row>
    <row r="3707" spans="1:41" x14ac:dyDescent="0.2">
      <c r="A3707" s="13"/>
      <c r="B3707" s="13"/>
      <c r="C3707" s="13"/>
      <c r="D3707" s="13"/>
      <c r="E3707" s="12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2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</row>
    <row r="3708" spans="1:41" x14ac:dyDescent="0.2">
      <c r="A3708" s="13"/>
      <c r="B3708" s="13"/>
      <c r="C3708" s="13"/>
      <c r="D3708" s="13"/>
      <c r="E3708" s="12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2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</row>
    <row r="3709" spans="1:41" x14ac:dyDescent="0.2">
      <c r="A3709" s="13"/>
      <c r="B3709" s="13"/>
      <c r="C3709" s="13"/>
      <c r="D3709" s="13"/>
      <c r="E3709" s="12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2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</row>
    <row r="3710" spans="1:41" x14ac:dyDescent="0.2">
      <c r="A3710" s="13"/>
      <c r="B3710" s="13"/>
      <c r="C3710" s="13"/>
      <c r="D3710" s="13"/>
      <c r="E3710" s="12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2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</row>
    <row r="3711" spans="1:41" x14ac:dyDescent="0.2">
      <c r="A3711" s="13"/>
      <c r="B3711" s="13"/>
      <c r="C3711" s="13"/>
      <c r="D3711" s="13"/>
      <c r="E3711" s="12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2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</row>
    <row r="3712" spans="1:41" x14ac:dyDescent="0.2">
      <c r="A3712" s="13"/>
      <c r="B3712" s="13"/>
      <c r="C3712" s="13"/>
      <c r="D3712" s="13"/>
      <c r="E3712" s="12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2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</row>
    <row r="3713" spans="1:41" x14ac:dyDescent="0.2">
      <c r="A3713" s="13"/>
      <c r="B3713" s="13"/>
      <c r="C3713" s="13"/>
      <c r="D3713" s="13"/>
      <c r="E3713" s="12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2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</row>
    <row r="3714" spans="1:41" x14ac:dyDescent="0.2">
      <c r="A3714" s="13"/>
      <c r="B3714" s="13"/>
      <c r="C3714" s="13"/>
      <c r="D3714" s="13"/>
      <c r="E3714" s="12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2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</row>
    <row r="3715" spans="1:41" x14ac:dyDescent="0.2">
      <c r="A3715" s="13"/>
      <c r="B3715" s="13"/>
      <c r="C3715" s="13"/>
      <c r="D3715" s="13"/>
      <c r="E3715" s="12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2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</row>
    <row r="3716" spans="1:41" x14ac:dyDescent="0.2">
      <c r="A3716" s="13"/>
      <c r="B3716" s="13"/>
      <c r="C3716" s="13"/>
      <c r="D3716" s="13"/>
      <c r="E3716" s="12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2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</row>
    <row r="3717" spans="1:41" x14ac:dyDescent="0.2">
      <c r="A3717" s="13"/>
      <c r="B3717" s="13"/>
      <c r="C3717" s="13"/>
      <c r="D3717" s="13"/>
      <c r="E3717" s="12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2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</row>
    <row r="3718" spans="1:41" x14ac:dyDescent="0.2">
      <c r="A3718" s="13"/>
      <c r="B3718" s="13"/>
      <c r="C3718" s="13"/>
      <c r="D3718" s="13"/>
      <c r="E3718" s="12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2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</row>
    <row r="3719" spans="1:41" x14ac:dyDescent="0.2">
      <c r="A3719" s="13"/>
      <c r="B3719" s="13"/>
      <c r="C3719" s="13"/>
      <c r="D3719" s="13"/>
      <c r="E3719" s="12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2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</row>
    <row r="3720" spans="1:41" x14ac:dyDescent="0.2">
      <c r="A3720" s="13"/>
      <c r="B3720" s="13"/>
      <c r="C3720" s="13"/>
      <c r="D3720" s="13"/>
      <c r="E3720" s="12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2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</row>
    <row r="3721" spans="1:41" x14ac:dyDescent="0.2">
      <c r="A3721" s="13"/>
      <c r="B3721" s="13"/>
      <c r="C3721" s="13"/>
      <c r="D3721" s="13"/>
      <c r="E3721" s="12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2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</row>
    <row r="3722" spans="1:41" x14ac:dyDescent="0.2">
      <c r="A3722" s="13"/>
      <c r="B3722" s="13"/>
      <c r="C3722" s="13"/>
      <c r="D3722" s="13"/>
      <c r="E3722" s="12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2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</row>
    <row r="3723" spans="1:41" x14ac:dyDescent="0.2">
      <c r="A3723" s="13"/>
      <c r="B3723" s="13"/>
      <c r="C3723" s="13"/>
      <c r="D3723" s="13"/>
      <c r="E3723" s="12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2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</row>
    <row r="3724" spans="1:41" x14ac:dyDescent="0.2">
      <c r="A3724" s="13"/>
      <c r="B3724" s="13"/>
      <c r="C3724" s="13"/>
      <c r="D3724" s="13"/>
      <c r="E3724" s="12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2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</row>
    <row r="3725" spans="1:41" x14ac:dyDescent="0.2">
      <c r="A3725" s="13"/>
      <c r="B3725" s="13"/>
      <c r="C3725" s="13"/>
      <c r="D3725" s="13"/>
      <c r="E3725" s="12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2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</row>
    <row r="3726" spans="1:41" x14ac:dyDescent="0.2">
      <c r="A3726" s="13"/>
      <c r="B3726" s="13"/>
      <c r="C3726" s="13"/>
      <c r="D3726" s="13"/>
      <c r="E3726" s="12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2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</row>
    <row r="3727" spans="1:41" x14ac:dyDescent="0.2">
      <c r="A3727" s="13"/>
      <c r="B3727" s="13"/>
      <c r="C3727" s="13"/>
      <c r="D3727" s="13"/>
      <c r="E3727" s="12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2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</row>
    <row r="3728" spans="1:41" x14ac:dyDescent="0.2">
      <c r="A3728" s="13"/>
      <c r="B3728" s="13"/>
      <c r="C3728" s="13"/>
      <c r="D3728" s="13"/>
      <c r="E3728" s="12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2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</row>
    <row r="3729" spans="1:41" x14ac:dyDescent="0.2">
      <c r="A3729" s="13"/>
      <c r="B3729" s="13"/>
      <c r="C3729" s="13"/>
      <c r="D3729" s="13"/>
      <c r="E3729" s="12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2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</row>
    <row r="3730" spans="1:41" x14ac:dyDescent="0.2">
      <c r="A3730" s="13"/>
      <c r="B3730" s="13"/>
      <c r="C3730" s="13"/>
      <c r="D3730" s="13"/>
      <c r="E3730" s="12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2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</row>
    <row r="3731" spans="1:41" x14ac:dyDescent="0.2">
      <c r="A3731" s="13"/>
      <c r="B3731" s="13"/>
      <c r="C3731" s="13"/>
      <c r="D3731" s="13"/>
      <c r="E3731" s="12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2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</row>
    <row r="3732" spans="1:41" x14ac:dyDescent="0.2">
      <c r="A3732" s="13"/>
      <c r="B3732" s="13"/>
      <c r="C3732" s="13"/>
      <c r="D3732" s="13"/>
      <c r="E3732" s="12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2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</row>
    <row r="3733" spans="1:41" x14ac:dyDescent="0.2">
      <c r="A3733" s="13"/>
      <c r="B3733" s="13"/>
      <c r="C3733" s="13"/>
      <c r="D3733" s="13"/>
      <c r="E3733" s="12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2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</row>
    <row r="3734" spans="1:41" x14ac:dyDescent="0.2">
      <c r="A3734" s="13"/>
      <c r="B3734" s="13"/>
      <c r="C3734" s="13"/>
      <c r="D3734" s="13"/>
      <c r="E3734" s="12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2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</row>
    <row r="3735" spans="1:41" x14ac:dyDescent="0.2">
      <c r="A3735" s="13"/>
      <c r="B3735" s="13"/>
      <c r="C3735" s="13"/>
      <c r="D3735" s="13"/>
      <c r="E3735" s="12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2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</row>
    <row r="3736" spans="1:41" x14ac:dyDescent="0.2">
      <c r="A3736" s="13"/>
      <c r="B3736" s="13"/>
      <c r="C3736" s="13"/>
      <c r="D3736" s="13"/>
      <c r="E3736" s="12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2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</row>
    <row r="3737" spans="1:41" x14ac:dyDescent="0.2">
      <c r="A3737" s="13"/>
      <c r="B3737" s="13"/>
      <c r="C3737" s="13"/>
      <c r="D3737" s="13"/>
      <c r="E3737" s="12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2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</row>
    <row r="3738" spans="1:41" x14ac:dyDescent="0.2">
      <c r="A3738" s="13"/>
      <c r="B3738" s="13"/>
      <c r="C3738" s="13"/>
      <c r="D3738" s="13"/>
      <c r="E3738" s="12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2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</row>
    <row r="3739" spans="1:41" x14ac:dyDescent="0.2">
      <c r="A3739" s="13"/>
      <c r="B3739" s="13"/>
      <c r="C3739" s="13"/>
      <c r="D3739" s="13"/>
      <c r="E3739" s="12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2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</row>
    <row r="3740" spans="1:41" x14ac:dyDescent="0.2">
      <c r="A3740" s="13"/>
      <c r="B3740" s="13"/>
      <c r="C3740" s="13"/>
      <c r="D3740" s="13"/>
      <c r="E3740" s="12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2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</row>
    <row r="3741" spans="1:41" x14ac:dyDescent="0.2">
      <c r="A3741" s="13"/>
      <c r="B3741" s="13"/>
      <c r="C3741" s="13"/>
      <c r="D3741" s="13"/>
      <c r="E3741" s="12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2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</row>
    <row r="3742" spans="1:41" x14ac:dyDescent="0.2">
      <c r="A3742" s="13"/>
      <c r="B3742" s="13"/>
      <c r="C3742" s="13"/>
      <c r="D3742" s="13"/>
      <c r="E3742" s="12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2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</row>
    <row r="3743" spans="1:41" x14ac:dyDescent="0.2">
      <c r="A3743" s="13"/>
      <c r="B3743" s="13"/>
      <c r="C3743" s="13"/>
      <c r="D3743" s="13"/>
      <c r="E3743" s="12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2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</row>
    <row r="3744" spans="1:41" x14ac:dyDescent="0.2">
      <c r="A3744" s="13"/>
      <c r="B3744" s="13"/>
      <c r="C3744" s="13"/>
      <c r="D3744" s="13"/>
      <c r="E3744" s="12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2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</row>
    <row r="3745" spans="1:41" x14ac:dyDescent="0.2">
      <c r="A3745" s="13"/>
      <c r="B3745" s="13"/>
      <c r="C3745" s="13"/>
      <c r="D3745" s="13"/>
      <c r="E3745" s="12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2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</row>
    <row r="3746" spans="1:41" x14ac:dyDescent="0.2">
      <c r="A3746" s="13"/>
      <c r="B3746" s="13"/>
      <c r="C3746" s="13"/>
      <c r="D3746" s="13"/>
      <c r="E3746" s="12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2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</row>
    <row r="3747" spans="1:41" x14ac:dyDescent="0.2">
      <c r="A3747" s="13"/>
      <c r="B3747" s="13"/>
      <c r="C3747" s="13"/>
      <c r="D3747" s="13"/>
      <c r="E3747" s="12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2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</row>
    <row r="3748" spans="1:41" x14ac:dyDescent="0.2">
      <c r="A3748" s="13"/>
      <c r="B3748" s="13"/>
      <c r="C3748" s="13"/>
      <c r="D3748" s="13"/>
      <c r="E3748" s="12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2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</row>
    <row r="3749" spans="1:41" x14ac:dyDescent="0.2">
      <c r="A3749" s="13"/>
      <c r="B3749" s="13"/>
      <c r="C3749" s="13"/>
      <c r="D3749" s="13"/>
      <c r="E3749" s="12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2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</row>
    <row r="3750" spans="1:41" x14ac:dyDescent="0.2">
      <c r="A3750" s="13"/>
      <c r="B3750" s="13"/>
      <c r="C3750" s="13"/>
      <c r="D3750" s="13"/>
      <c r="E3750" s="12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2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</row>
    <row r="3751" spans="1:41" x14ac:dyDescent="0.2">
      <c r="A3751" s="13"/>
      <c r="B3751" s="13"/>
      <c r="C3751" s="13"/>
      <c r="D3751" s="13"/>
      <c r="E3751" s="12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2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</row>
    <row r="3752" spans="1:41" x14ac:dyDescent="0.2">
      <c r="A3752" s="13"/>
      <c r="B3752" s="13"/>
      <c r="C3752" s="13"/>
      <c r="D3752" s="13"/>
      <c r="E3752" s="12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2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</row>
    <row r="3753" spans="1:41" x14ac:dyDescent="0.2">
      <c r="A3753" s="13"/>
      <c r="B3753" s="13"/>
      <c r="C3753" s="13"/>
      <c r="D3753" s="13"/>
      <c r="E3753" s="12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2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</row>
    <row r="3754" spans="1:41" x14ac:dyDescent="0.2">
      <c r="A3754" s="13"/>
      <c r="B3754" s="13"/>
      <c r="C3754" s="13"/>
      <c r="D3754" s="13"/>
      <c r="E3754" s="12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2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</row>
    <row r="3755" spans="1:41" x14ac:dyDescent="0.2">
      <c r="A3755" s="13"/>
      <c r="B3755" s="13"/>
      <c r="C3755" s="13"/>
      <c r="D3755" s="13"/>
      <c r="E3755" s="12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2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</row>
    <row r="3756" spans="1:41" x14ac:dyDescent="0.2">
      <c r="A3756" s="13"/>
      <c r="B3756" s="13"/>
      <c r="C3756" s="13"/>
      <c r="D3756" s="13"/>
      <c r="E3756" s="12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2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</row>
    <row r="3757" spans="1:41" x14ac:dyDescent="0.2">
      <c r="A3757" s="13"/>
      <c r="B3757" s="13"/>
      <c r="C3757" s="13"/>
      <c r="D3757" s="13"/>
      <c r="E3757" s="12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2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</row>
    <row r="3758" spans="1:41" x14ac:dyDescent="0.2">
      <c r="A3758" s="13"/>
      <c r="B3758" s="13"/>
      <c r="C3758" s="13"/>
      <c r="D3758" s="13"/>
      <c r="E3758" s="12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2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</row>
    <row r="3759" spans="1:41" x14ac:dyDescent="0.2">
      <c r="A3759" s="13"/>
      <c r="B3759" s="13"/>
      <c r="C3759" s="13"/>
      <c r="D3759" s="13"/>
      <c r="E3759" s="12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2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</row>
    <row r="3760" spans="1:41" x14ac:dyDescent="0.2">
      <c r="A3760" s="13"/>
      <c r="B3760" s="13"/>
      <c r="C3760" s="13"/>
      <c r="D3760" s="13"/>
      <c r="E3760" s="12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2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</row>
    <row r="3761" spans="1:41" x14ac:dyDescent="0.2">
      <c r="A3761" s="13"/>
      <c r="B3761" s="13"/>
      <c r="C3761" s="13"/>
      <c r="D3761" s="13"/>
      <c r="E3761" s="12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2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</row>
    <row r="3762" spans="1:41" x14ac:dyDescent="0.2">
      <c r="A3762" s="13"/>
      <c r="B3762" s="13"/>
      <c r="C3762" s="13"/>
      <c r="D3762" s="13"/>
      <c r="E3762" s="12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2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</row>
    <row r="3763" spans="1:41" x14ac:dyDescent="0.2">
      <c r="A3763" s="13"/>
      <c r="B3763" s="13"/>
      <c r="C3763" s="13"/>
      <c r="D3763" s="13"/>
      <c r="E3763" s="12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2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</row>
    <row r="3764" spans="1:41" x14ac:dyDescent="0.2">
      <c r="A3764" s="13"/>
      <c r="B3764" s="13"/>
      <c r="C3764" s="13"/>
      <c r="D3764" s="13"/>
      <c r="E3764" s="12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2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</row>
    <row r="3765" spans="1:41" x14ac:dyDescent="0.2">
      <c r="A3765" s="13"/>
      <c r="B3765" s="13"/>
      <c r="C3765" s="13"/>
      <c r="D3765" s="13"/>
      <c r="E3765" s="12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2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</row>
    <row r="3766" spans="1:41" x14ac:dyDescent="0.2">
      <c r="A3766" s="13"/>
      <c r="B3766" s="13"/>
      <c r="C3766" s="13"/>
      <c r="D3766" s="13"/>
      <c r="E3766" s="12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2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</row>
    <row r="3767" spans="1:41" x14ac:dyDescent="0.2">
      <c r="A3767" s="13"/>
      <c r="B3767" s="13"/>
      <c r="C3767" s="13"/>
      <c r="D3767" s="13"/>
      <c r="E3767" s="12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2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</row>
    <row r="3768" spans="1:41" x14ac:dyDescent="0.2">
      <c r="A3768" s="13"/>
      <c r="B3768" s="13"/>
      <c r="C3768" s="13"/>
      <c r="D3768" s="13"/>
      <c r="E3768" s="12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2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</row>
    <row r="3769" spans="1:41" x14ac:dyDescent="0.2">
      <c r="A3769" s="13"/>
      <c r="B3769" s="13"/>
      <c r="C3769" s="13"/>
      <c r="D3769" s="13"/>
      <c r="E3769" s="12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2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</row>
    <row r="3770" spans="1:41" x14ac:dyDescent="0.2">
      <c r="A3770" s="13"/>
      <c r="B3770" s="13"/>
      <c r="C3770" s="13"/>
      <c r="D3770" s="13"/>
      <c r="E3770" s="12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2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</row>
    <row r="3771" spans="1:41" x14ac:dyDescent="0.2">
      <c r="A3771" s="13"/>
      <c r="B3771" s="13"/>
      <c r="C3771" s="13"/>
      <c r="D3771" s="13"/>
      <c r="E3771" s="12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2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</row>
    <row r="3772" spans="1:41" x14ac:dyDescent="0.2">
      <c r="A3772" s="13"/>
      <c r="B3772" s="13"/>
      <c r="C3772" s="13"/>
      <c r="D3772" s="13"/>
      <c r="E3772" s="12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2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</row>
    <row r="3773" spans="1:41" x14ac:dyDescent="0.2">
      <c r="A3773" s="13"/>
      <c r="B3773" s="13"/>
      <c r="C3773" s="13"/>
      <c r="D3773" s="13"/>
      <c r="E3773" s="12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2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</row>
    <row r="3774" spans="1:41" x14ac:dyDescent="0.2">
      <c r="A3774" s="13"/>
      <c r="B3774" s="13"/>
      <c r="C3774" s="13"/>
      <c r="D3774" s="13"/>
      <c r="E3774" s="12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2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</row>
    <row r="3775" spans="1:41" x14ac:dyDescent="0.2">
      <c r="A3775" s="13"/>
      <c r="B3775" s="13"/>
      <c r="C3775" s="13"/>
      <c r="D3775" s="13"/>
      <c r="E3775" s="12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2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</row>
    <row r="3776" spans="1:41" x14ac:dyDescent="0.2">
      <c r="A3776" s="13"/>
      <c r="B3776" s="13"/>
      <c r="C3776" s="13"/>
      <c r="D3776" s="13"/>
      <c r="E3776" s="12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2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</row>
    <row r="3777" spans="1:41" x14ac:dyDescent="0.2">
      <c r="A3777" s="13"/>
      <c r="B3777" s="13"/>
      <c r="C3777" s="13"/>
      <c r="D3777" s="13"/>
      <c r="E3777" s="12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2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</row>
    <row r="3778" spans="1:41" x14ac:dyDescent="0.2">
      <c r="A3778" s="13"/>
      <c r="B3778" s="13"/>
      <c r="C3778" s="13"/>
      <c r="D3778" s="13"/>
      <c r="E3778" s="12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2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</row>
    <row r="3779" spans="1:41" x14ac:dyDescent="0.2">
      <c r="A3779" s="13"/>
      <c r="B3779" s="13"/>
      <c r="C3779" s="13"/>
      <c r="D3779" s="13"/>
      <c r="E3779" s="12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2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</row>
    <row r="3780" spans="1:41" x14ac:dyDescent="0.2">
      <c r="A3780" s="13"/>
      <c r="B3780" s="13"/>
      <c r="C3780" s="13"/>
      <c r="D3780" s="13"/>
      <c r="E3780" s="12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2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</row>
    <row r="3781" spans="1:41" x14ac:dyDescent="0.2">
      <c r="A3781" s="13"/>
      <c r="B3781" s="13"/>
      <c r="C3781" s="13"/>
      <c r="D3781" s="13"/>
      <c r="E3781" s="12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2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</row>
    <row r="3782" spans="1:41" x14ac:dyDescent="0.2">
      <c r="A3782" s="13"/>
      <c r="B3782" s="13"/>
      <c r="C3782" s="13"/>
      <c r="D3782" s="13"/>
      <c r="E3782" s="12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2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</row>
    <row r="3783" spans="1:41" x14ac:dyDescent="0.2">
      <c r="A3783" s="13"/>
      <c r="B3783" s="13"/>
      <c r="C3783" s="13"/>
      <c r="D3783" s="13"/>
      <c r="E3783" s="12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2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</row>
    <row r="3784" spans="1:41" x14ac:dyDescent="0.2">
      <c r="A3784" s="13"/>
      <c r="B3784" s="13"/>
      <c r="C3784" s="13"/>
      <c r="D3784" s="13"/>
      <c r="E3784" s="12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2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</row>
    <row r="3785" spans="1:41" x14ac:dyDescent="0.2">
      <c r="A3785" s="13"/>
      <c r="B3785" s="13"/>
      <c r="C3785" s="13"/>
      <c r="D3785" s="13"/>
      <c r="E3785" s="12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2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</row>
    <row r="3786" spans="1:41" x14ac:dyDescent="0.2">
      <c r="A3786" s="13"/>
      <c r="B3786" s="13"/>
      <c r="C3786" s="13"/>
      <c r="D3786" s="13"/>
      <c r="E3786" s="12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2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</row>
    <row r="3787" spans="1:41" x14ac:dyDescent="0.2">
      <c r="A3787" s="13"/>
      <c r="B3787" s="13"/>
      <c r="C3787" s="13"/>
      <c r="D3787" s="13"/>
      <c r="E3787" s="12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2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</row>
    <row r="3788" spans="1:41" x14ac:dyDescent="0.2">
      <c r="A3788" s="13"/>
      <c r="B3788" s="13"/>
      <c r="C3788" s="13"/>
      <c r="D3788" s="13"/>
      <c r="E3788" s="12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2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</row>
    <row r="3789" spans="1:41" x14ac:dyDescent="0.2">
      <c r="A3789" s="13"/>
      <c r="B3789" s="13"/>
      <c r="C3789" s="13"/>
      <c r="D3789" s="13"/>
      <c r="E3789" s="12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2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</row>
    <row r="3790" spans="1:41" x14ac:dyDescent="0.2">
      <c r="A3790" s="13"/>
      <c r="B3790" s="13"/>
      <c r="C3790" s="13"/>
      <c r="D3790" s="13"/>
      <c r="E3790" s="12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2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</row>
    <row r="3791" spans="1:41" x14ac:dyDescent="0.2">
      <c r="A3791" s="13"/>
      <c r="B3791" s="13"/>
      <c r="C3791" s="13"/>
      <c r="D3791" s="13"/>
      <c r="E3791" s="12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2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</row>
    <row r="3792" spans="1:41" x14ac:dyDescent="0.2">
      <c r="A3792" s="13"/>
      <c r="B3792" s="13"/>
      <c r="C3792" s="13"/>
      <c r="D3792" s="13"/>
      <c r="E3792" s="12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2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</row>
    <row r="3793" spans="1:41" x14ac:dyDescent="0.2">
      <c r="A3793" s="13"/>
      <c r="B3793" s="13"/>
      <c r="C3793" s="13"/>
      <c r="D3793" s="13"/>
      <c r="E3793" s="12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2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</row>
    <row r="3794" spans="1:41" x14ac:dyDescent="0.2">
      <c r="A3794" s="13"/>
      <c r="B3794" s="13"/>
      <c r="C3794" s="13"/>
      <c r="D3794" s="13"/>
      <c r="E3794" s="12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2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</row>
    <row r="3795" spans="1:41" x14ac:dyDescent="0.2">
      <c r="A3795" s="13"/>
      <c r="B3795" s="13"/>
      <c r="C3795" s="13"/>
      <c r="D3795" s="13"/>
      <c r="E3795" s="12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2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</row>
    <row r="3796" spans="1:41" x14ac:dyDescent="0.2">
      <c r="A3796" s="13"/>
      <c r="B3796" s="13"/>
      <c r="C3796" s="13"/>
      <c r="D3796" s="13"/>
      <c r="E3796" s="12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2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</row>
    <row r="3797" spans="1:41" x14ac:dyDescent="0.2">
      <c r="A3797" s="13"/>
      <c r="B3797" s="13"/>
      <c r="C3797" s="13"/>
      <c r="D3797" s="13"/>
      <c r="E3797" s="12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2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</row>
    <row r="3798" spans="1:41" x14ac:dyDescent="0.2">
      <c r="A3798" s="13"/>
      <c r="B3798" s="13"/>
      <c r="C3798" s="13"/>
      <c r="D3798" s="13"/>
      <c r="E3798" s="12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2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</row>
    <row r="3799" spans="1:41" x14ac:dyDescent="0.2">
      <c r="A3799" s="13"/>
      <c r="B3799" s="13"/>
      <c r="C3799" s="13"/>
      <c r="D3799" s="13"/>
      <c r="E3799" s="12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2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</row>
    <row r="3800" spans="1:41" x14ac:dyDescent="0.2">
      <c r="A3800" s="13"/>
      <c r="B3800" s="13"/>
      <c r="C3800" s="13"/>
      <c r="D3800" s="13"/>
      <c r="E3800" s="12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2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</row>
    <row r="3801" spans="1:41" x14ac:dyDescent="0.2">
      <c r="A3801" s="13"/>
      <c r="B3801" s="13"/>
      <c r="C3801" s="13"/>
      <c r="D3801" s="13"/>
      <c r="E3801" s="12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2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</row>
    <row r="3802" spans="1:41" x14ac:dyDescent="0.2">
      <c r="A3802" s="13"/>
      <c r="B3802" s="13"/>
      <c r="C3802" s="13"/>
      <c r="D3802" s="13"/>
      <c r="E3802" s="12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2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</row>
    <row r="3803" spans="1:41" x14ac:dyDescent="0.2">
      <c r="A3803" s="13"/>
      <c r="B3803" s="13"/>
      <c r="C3803" s="13"/>
      <c r="D3803" s="13"/>
      <c r="E3803" s="12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2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</row>
    <row r="3804" spans="1:41" x14ac:dyDescent="0.2">
      <c r="A3804" s="13"/>
      <c r="B3804" s="13"/>
      <c r="C3804" s="13"/>
      <c r="D3804" s="13"/>
      <c r="E3804" s="12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2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</row>
    <row r="3805" spans="1:41" x14ac:dyDescent="0.2">
      <c r="A3805" s="13"/>
      <c r="B3805" s="13"/>
      <c r="C3805" s="13"/>
      <c r="D3805" s="13"/>
      <c r="E3805" s="12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2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</row>
    <row r="3806" spans="1:41" x14ac:dyDescent="0.2">
      <c r="A3806" s="13"/>
      <c r="B3806" s="13"/>
      <c r="C3806" s="13"/>
      <c r="D3806" s="13"/>
      <c r="E3806" s="12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2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</row>
    <row r="3807" spans="1:41" x14ac:dyDescent="0.2">
      <c r="A3807" s="13"/>
      <c r="B3807" s="13"/>
      <c r="C3807" s="13"/>
      <c r="D3807" s="13"/>
      <c r="E3807" s="12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2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</row>
    <row r="3808" spans="1:41" x14ac:dyDescent="0.2">
      <c r="A3808" s="13"/>
      <c r="B3808" s="13"/>
      <c r="C3808" s="13"/>
      <c r="D3808" s="13"/>
      <c r="E3808" s="12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2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</row>
    <row r="3809" spans="1:41" x14ac:dyDescent="0.2">
      <c r="A3809" s="13"/>
      <c r="B3809" s="13"/>
      <c r="C3809" s="13"/>
      <c r="D3809" s="13"/>
      <c r="E3809" s="12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2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</row>
    <row r="3810" spans="1:41" x14ac:dyDescent="0.2">
      <c r="A3810" s="13"/>
      <c r="B3810" s="13"/>
      <c r="C3810" s="13"/>
      <c r="D3810" s="13"/>
      <c r="E3810" s="12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2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</row>
    <row r="3811" spans="1:41" x14ac:dyDescent="0.2">
      <c r="A3811" s="13"/>
      <c r="B3811" s="13"/>
      <c r="C3811" s="13"/>
      <c r="D3811" s="13"/>
      <c r="E3811" s="12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2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</row>
    <row r="3812" spans="1:41" x14ac:dyDescent="0.2">
      <c r="A3812" s="13"/>
      <c r="B3812" s="13"/>
      <c r="C3812" s="13"/>
      <c r="D3812" s="13"/>
      <c r="E3812" s="12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2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</row>
    <row r="3813" spans="1:41" x14ac:dyDescent="0.2">
      <c r="A3813" s="13"/>
      <c r="B3813" s="13"/>
      <c r="C3813" s="13"/>
      <c r="D3813" s="13"/>
      <c r="E3813" s="12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2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</row>
    <row r="3814" spans="1:41" x14ac:dyDescent="0.2">
      <c r="A3814" s="13"/>
      <c r="B3814" s="13"/>
      <c r="C3814" s="13"/>
      <c r="D3814" s="13"/>
      <c r="E3814" s="12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2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</row>
    <row r="3815" spans="1:41" x14ac:dyDescent="0.2">
      <c r="A3815" s="13"/>
      <c r="B3815" s="13"/>
      <c r="C3815" s="13"/>
      <c r="D3815" s="13"/>
      <c r="E3815" s="12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2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</row>
    <row r="3816" spans="1:41" x14ac:dyDescent="0.2">
      <c r="A3816" s="13"/>
      <c r="B3816" s="13"/>
      <c r="C3816" s="13"/>
      <c r="D3816" s="13"/>
      <c r="E3816" s="12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2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</row>
    <row r="3817" spans="1:41" x14ac:dyDescent="0.2">
      <c r="A3817" s="13"/>
      <c r="B3817" s="13"/>
      <c r="C3817" s="13"/>
      <c r="D3817" s="13"/>
      <c r="E3817" s="12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2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</row>
    <row r="3818" spans="1:41" x14ac:dyDescent="0.2">
      <c r="A3818" s="13"/>
      <c r="B3818" s="13"/>
      <c r="C3818" s="13"/>
      <c r="D3818" s="13"/>
      <c r="E3818" s="12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2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</row>
    <row r="3819" spans="1:41" x14ac:dyDescent="0.2">
      <c r="A3819" s="13"/>
      <c r="B3819" s="13"/>
      <c r="C3819" s="13"/>
      <c r="D3819" s="13"/>
      <c r="E3819" s="12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2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</row>
    <row r="3820" spans="1:41" x14ac:dyDescent="0.2">
      <c r="A3820" s="13"/>
      <c r="B3820" s="13"/>
      <c r="C3820" s="13"/>
      <c r="D3820" s="13"/>
      <c r="E3820" s="12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2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</row>
    <row r="3821" spans="1:41" x14ac:dyDescent="0.2">
      <c r="A3821" s="13"/>
      <c r="B3821" s="13"/>
      <c r="C3821" s="13"/>
      <c r="D3821" s="13"/>
      <c r="E3821" s="12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2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</row>
    <row r="3822" spans="1:41" x14ac:dyDescent="0.2">
      <c r="A3822" s="13"/>
      <c r="B3822" s="13"/>
      <c r="C3822" s="13"/>
      <c r="D3822" s="13"/>
      <c r="E3822" s="12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2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</row>
    <row r="3823" spans="1:41" x14ac:dyDescent="0.2">
      <c r="A3823" s="13"/>
      <c r="B3823" s="13"/>
      <c r="C3823" s="13"/>
      <c r="D3823" s="13"/>
      <c r="E3823" s="12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2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</row>
    <row r="3824" spans="1:41" x14ac:dyDescent="0.2">
      <c r="A3824" s="13"/>
      <c r="B3824" s="13"/>
      <c r="C3824" s="13"/>
      <c r="D3824" s="13"/>
      <c r="E3824" s="12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2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</row>
    <row r="3825" spans="1:41" x14ac:dyDescent="0.2">
      <c r="A3825" s="13"/>
      <c r="B3825" s="13"/>
      <c r="C3825" s="13"/>
      <c r="D3825" s="13"/>
      <c r="E3825" s="12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2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</row>
    <row r="3826" spans="1:41" x14ac:dyDescent="0.2">
      <c r="A3826" s="13"/>
      <c r="B3826" s="13"/>
      <c r="C3826" s="13"/>
      <c r="D3826" s="13"/>
      <c r="E3826" s="12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2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</row>
    <row r="3827" spans="1:41" x14ac:dyDescent="0.2">
      <c r="A3827" s="13"/>
      <c r="B3827" s="13"/>
      <c r="C3827" s="13"/>
      <c r="D3827" s="13"/>
      <c r="E3827" s="12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2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</row>
    <row r="3828" spans="1:41" x14ac:dyDescent="0.2">
      <c r="A3828" s="13"/>
      <c r="B3828" s="13"/>
      <c r="C3828" s="13"/>
      <c r="D3828" s="13"/>
      <c r="E3828" s="12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2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</row>
    <row r="3829" spans="1:41" x14ac:dyDescent="0.2">
      <c r="A3829" s="13"/>
      <c r="B3829" s="13"/>
      <c r="C3829" s="13"/>
      <c r="D3829" s="13"/>
      <c r="E3829" s="12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2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</row>
    <row r="3830" spans="1:41" x14ac:dyDescent="0.2">
      <c r="A3830" s="13"/>
      <c r="B3830" s="13"/>
      <c r="C3830" s="13"/>
      <c r="D3830" s="13"/>
      <c r="E3830" s="12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2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</row>
    <row r="3831" spans="1:41" x14ac:dyDescent="0.2">
      <c r="A3831" s="13"/>
      <c r="B3831" s="13"/>
      <c r="C3831" s="13"/>
      <c r="D3831" s="13"/>
      <c r="E3831" s="12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2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</row>
    <row r="3832" spans="1:41" x14ac:dyDescent="0.2">
      <c r="A3832" s="13"/>
      <c r="B3832" s="13"/>
      <c r="C3832" s="13"/>
      <c r="D3832" s="13"/>
      <c r="E3832" s="12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2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</row>
    <row r="3833" spans="1:41" x14ac:dyDescent="0.2">
      <c r="A3833" s="13"/>
      <c r="B3833" s="13"/>
      <c r="C3833" s="13"/>
      <c r="D3833" s="13"/>
      <c r="E3833" s="12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2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</row>
    <row r="3834" spans="1:41" x14ac:dyDescent="0.2">
      <c r="A3834" s="13"/>
      <c r="B3834" s="13"/>
      <c r="C3834" s="13"/>
      <c r="D3834" s="13"/>
      <c r="E3834" s="12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2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</row>
    <row r="3835" spans="1:41" x14ac:dyDescent="0.2">
      <c r="A3835" s="13"/>
      <c r="B3835" s="13"/>
      <c r="C3835" s="13"/>
      <c r="D3835" s="13"/>
      <c r="E3835" s="12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2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</row>
    <row r="3836" spans="1:41" x14ac:dyDescent="0.2">
      <c r="A3836" s="13"/>
      <c r="B3836" s="13"/>
      <c r="C3836" s="13"/>
      <c r="D3836" s="13"/>
      <c r="E3836" s="12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2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</row>
    <row r="3837" spans="1:41" x14ac:dyDescent="0.2">
      <c r="A3837" s="13"/>
      <c r="B3837" s="13"/>
      <c r="C3837" s="13"/>
      <c r="D3837" s="13"/>
      <c r="E3837" s="12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2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</row>
    <row r="3838" spans="1:41" x14ac:dyDescent="0.2">
      <c r="A3838" s="13"/>
      <c r="B3838" s="13"/>
      <c r="C3838" s="13"/>
      <c r="D3838" s="13"/>
      <c r="E3838" s="12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2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</row>
    <row r="3839" spans="1:41" x14ac:dyDescent="0.2">
      <c r="A3839" s="13"/>
      <c r="B3839" s="13"/>
      <c r="C3839" s="13"/>
      <c r="D3839" s="13"/>
      <c r="E3839" s="12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2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</row>
    <row r="3840" spans="1:41" x14ac:dyDescent="0.2">
      <c r="A3840" s="13"/>
      <c r="B3840" s="13"/>
      <c r="C3840" s="13"/>
      <c r="D3840" s="13"/>
      <c r="E3840" s="12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2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</row>
    <row r="3841" spans="1:41" x14ac:dyDescent="0.2">
      <c r="A3841" s="13"/>
      <c r="B3841" s="13"/>
      <c r="C3841" s="13"/>
      <c r="D3841" s="13"/>
      <c r="E3841" s="12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2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</row>
    <row r="3842" spans="1:41" x14ac:dyDescent="0.2">
      <c r="A3842" s="13"/>
      <c r="B3842" s="13"/>
      <c r="C3842" s="13"/>
      <c r="D3842" s="13"/>
      <c r="E3842" s="12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2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</row>
    <row r="3843" spans="1:41" x14ac:dyDescent="0.2">
      <c r="A3843" s="13"/>
      <c r="B3843" s="13"/>
      <c r="C3843" s="13"/>
      <c r="D3843" s="13"/>
      <c r="E3843" s="12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2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</row>
    <row r="3844" spans="1:41" x14ac:dyDescent="0.2">
      <c r="A3844" s="13"/>
      <c r="B3844" s="13"/>
      <c r="C3844" s="13"/>
      <c r="D3844" s="13"/>
      <c r="E3844" s="12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2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</row>
    <row r="3845" spans="1:41" x14ac:dyDescent="0.2">
      <c r="A3845" s="13"/>
      <c r="B3845" s="13"/>
      <c r="C3845" s="13"/>
      <c r="D3845" s="13"/>
      <c r="E3845" s="12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2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</row>
    <row r="3846" spans="1:41" x14ac:dyDescent="0.2">
      <c r="A3846" s="13"/>
      <c r="B3846" s="13"/>
      <c r="C3846" s="13"/>
      <c r="D3846" s="13"/>
      <c r="E3846" s="12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2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</row>
    <row r="3847" spans="1:41" x14ac:dyDescent="0.2">
      <c r="A3847" s="13"/>
      <c r="B3847" s="13"/>
      <c r="C3847" s="13"/>
      <c r="D3847" s="13"/>
      <c r="E3847" s="12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2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</row>
    <row r="3848" spans="1:41" x14ac:dyDescent="0.2">
      <c r="A3848" s="13"/>
      <c r="B3848" s="13"/>
      <c r="C3848" s="13"/>
      <c r="D3848" s="13"/>
      <c r="E3848" s="12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2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</row>
    <row r="3849" spans="1:41" x14ac:dyDescent="0.2">
      <c r="A3849" s="13"/>
      <c r="B3849" s="13"/>
      <c r="C3849" s="13"/>
      <c r="D3849" s="13"/>
      <c r="E3849" s="12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2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</row>
    <row r="3850" spans="1:41" x14ac:dyDescent="0.2">
      <c r="A3850" s="13"/>
      <c r="B3850" s="13"/>
      <c r="C3850" s="13"/>
      <c r="D3850" s="13"/>
      <c r="E3850" s="12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2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</row>
    <row r="3851" spans="1:41" x14ac:dyDescent="0.2">
      <c r="A3851" s="13"/>
      <c r="B3851" s="13"/>
      <c r="C3851" s="13"/>
      <c r="D3851" s="13"/>
      <c r="E3851" s="12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2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</row>
    <row r="3852" spans="1:41" x14ac:dyDescent="0.2">
      <c r="A3852" s="13"/>
      <c r="B3852" s="13"/>
      <c r="C3852" s="13"/>
      <c r="D3852" s="13"/>
      <c r="E3852" s="12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2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</row>
    <row r="3853" spans="1:41" x14ac:dyDescent="0.2">
      <c r="A3853" s="13"/>
      <c r="B3853" s="13"/>
      <c r="C3853" s="13"/>
      <c r="D3853" s="13"/>
      <c r="E3853" s="12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2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</row>
    <row r="3854" spans="1:41" x14ac:dyDescent="0.2">
      <c r="A3854" s="13"/>
      <c r="B3854" s="13"/>
      <c r="C3854" s="13"/>
      <c r="D3854" s="13"/>
      <c r="E3854" s="12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2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</row>
    <row r="3855" spans="1:41" x14ac:dyDescent="0.2">
      <c r="A3855" s="13"/>
      <c r="B3855" s="13"/>
      <c r="C3855" s="13"/>
      <c r="D3855" s="13"/>
      <c r="E3855" s="12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2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</row>
    <row r="3856" spans="1:41" x14ac:dyDescent="0.2">
      <c r="A3856" s="13"/>
      <c r="B3856" s="13"/>
      <c r="C3856" s="13"/>
      <c r="D3856" s="13"/>
      <c r="E3856" s="12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2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</row>
    <row r="3857" spans="1:41" x14ac:dyDescent="0.2">
      <c r="A3857" s="13"/>
      <c r="B3857" s="13"/>
      <c r="C3857" s="13"/>
      <c r="D3857" s="13"/>
      <c r="E3857" s="12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2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</row>
    <row r="3858" spans="1:41" x14ac:dyDescent="0.2">
      <c r="A3858" s="13"/>
      <c r="B3858" s="13"/>
      <c r="C3858" s="13"/>
      <c r="D3858" s="13"/>
      <c r="E3858" s="12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2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</row>
    <row r="3859" spans="1:41" x14ac:dyDescent="0.2">
      <c r="A3859" s="13"/>
      <c r="B3859" s="13"/>
      <c r="C3859" s="13"/>
      <c r="D3859" s="13"/>
      <c r="E3859" s="12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2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</row>
    <row r="3860" spans="1:41" x14ac:dyDescent="0.2">
      <c r="A3860" s="13"/>
      <c r="B3860" s="13"/>
      <c r="C3860" s="13"/>
      <c r="D3860" s="13"/>
      <c r="E3860" s="12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2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</row>
    <row r="3861" spans="1:41" x14ac:dyDescent="0.2">
      <c r="A3861" s="13"/>
      <c r="B3861" s="13"/>
      <c r="C3861" s="13"/>
      <c r="D3861" s="13"/>
      <c r="E3861" s="12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2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</row>
    <row r="3862" spans="1:41" x14ac:dyDescent="0.2">
      <c r="A3862" s="13"/>
      <c r="B3862" s="13"/>
      <c r="C3862" s="13"/>
      <c r="D3862" s="13"/>
      <c r="E3862" s="12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2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</row>
    <row r="3863" spans="1:41" x14ac:dyDescent="0.2">
      <c r="A3863" s="13"/>
      <c r="B3863" s="13"/>
      <c r="C3863" s="13"/>
      <c r="D3863" s="13"/>
      <c r="E3863" s="12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2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</row>
    <row r="3864" spans="1:41" x14ac:dyDescent="0.2">
      <c r="A3864" s="13"/>
      <c r="B3864" s="13"/>
      <c r="C3864" s="13"/>
      <c r="D3864" s="13"/>
      <c r="E3864" s="12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2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</row>
    <row r="3865" spans="1:41" x14ac:dyDescent="0.2">
      <c r="A3865" s="13"/>
      <c r="B3865" s="13"/>
      <c r="C3865" s="13"/>
      <c r="D3865" s="13"/>
      <c r="E3865" s="12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2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</row>
    <row r="3866" spans="1:41" x14ac:dyDescent="0.2">
      <c r="A3866" s="13"/>
      <c r="B3866" s="13"/>
      <c r="C3866" s="13"/>
      <c r="D3866" s="13"/>
      <c r="E3866" s="12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2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</row>
    <row r="3867" spans="1:41" x14ac:dyDescent="0.2">
      <c r="A3867" s="13"/>
      <c r="B3867" s="13"/>
      <c r="C3867" s="13"/>
      <c r="D3867" s="13"/>
      <c r="E3867" s="12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2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</row>
    <row r="3868" spans="1:41" x14ac:dyDescent="0.2">
      <c r="A3868" s="13"/>
      <c r="B3868" s="13"/>
      <c r="C3868" s="13"/>
      <c r="D3868" s="13"/>
      <c r="E3868" s="12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2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</row>
    <row r="3869" spans="1:41" x14ac:dyDescent="0.2">
      <c r="A3869" s="13"/>
      <c r="B3869" s="13"/>
      <c r="C3869" s="13"/>
      <c r="D3869" s="13"/>
      <c r="E3869" s="12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2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</row>
    <row r="3870" spans="1:41" x14ac:dyDescent="0.2">
      <c r="A3870" s="13"/>
      <c r="B3870" s="13"/>
      <c r="C3870" s="13"/>
      <c r="D3870" s="13"/>
      <c r="E3870" s="12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2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</row>
    <row r="3871" spans="1:41" x14ac:dyDescent="0.2">
      <c r="A3871" s="13"/>
      <c r="B3871" s="13"/>
      <c r="C3871" s="13"/>
      <c r="D3871" s="13"/>
      <c r="E3871" s="12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2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</row>
    <row r="3872" spans="1:41" x14ac:dyDescent="0.2">
      <c r="A3872" s="13"/>
      <c r="B3872" s="13"/>
      <c r="C3872" s="13"/>
      <c r="D3872" s="13"/>
      <c r="E3872" s="12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2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</row>
    <row r="3873" spans="1:41" x14ac:dyDescent="0.2">
      <c r="A3873" s="13"/>
      <c r="B3873" s="13"/>
      <c r="C3873" s="13"/>
      <c r="D3873" s="13"/>
      <c r="E3873" s="12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2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</row>
    <row r="3874" spans="1:41" x14ac:dyDescent="0.2">
      <c r="A3874" s="13"/>
      <c r="B3874" s="13"/>
      <c r="C3874" s="13"/>
      <c r="D3874" s="13"/>
      <c r="E3874" s="12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2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</row>
    <row r="3875" spans="1:41" x14ac:dyDescent="0.2">
      <c r="A3875" s="13"/>
      <c r="B3875" s="13"/>
      <c r="C3875" s="13"/>
      <c r="D3875" s="13"/>
      <c r="E3875" s="12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2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</row>
    <row r="3876" spans="1:41" x14ac:dyDescent="0.2">
      <c r="A3876" s="13"/>
      <c r="B3876" s="13"/>
      <c r="C3876" s="13"/>
      <c r="D3876" s="13"/>
      <c r="E3876" s="12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2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</row>
    <row r="3877" spans="1:41" x14ac:dyDescent="0.2">
      <c r="A3877" s="13"/>
      <c r="B3877" s="13"/>
      <c r="C3877" s="13"/>
      <c r="D3877" s="13"/>
      <c r="E3877" s="12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2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</row>
    <row r="3878" spans="1:41" x14ac:dyDescent="0.2">
      <c r="A3878" s="13"/>
      <c r="B3878" s="13"/>
      <c r="C3878" s="13"/>
      <c r="D3878" s="13"/>
      <c r="E3878" s="12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2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</row>
    <row r="3879" spans="1:41" x14ac:dyDescent="0.2">
      <c r="A3879" s="13"/>
      <c r="B3879" s="13"/>
      <c r="C3879" s="13"/>
      <c r="D3879" s="13"/>
      <c r="E3879" s="12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2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</row>
    <row r="3880" spans="1:41" x14ac:dyDescent="0.2">
      <c r="A3880" s="13"/>
      <c r="B3880" s="13"/>
      <c r="C3880" s="13"/>
      <c r="D3880" s="13"/>
      <c r="E3880" s="12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2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</row>
    <row r="3881" spans="1:41" x14ac:dyDescent="0.2">
      <c r="A3881" s="13"/>
      <c r="B3881" s="13"/>
      <c r="C3881" s="13"/>
      <c r="D3881" s="13"/>
      <c r="E3881" s="12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2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</row>
    <row r="3882" spans="1:41" x14ac:dyDescent="0.2">
      <c r="A3882" s="13"/>
      <c r="B3882" s="13"/>
      <c r="C3882" s="13"/>
      <c r="D3882" s="13"/>
      <c r="E3882" s="12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2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</row>
    <row r="3883" spans="1:41" x14ac:dyDescent="0.2">
      <c r="A3883" s="13"/>
      <c r="B3883" s="13"/>
      <c r="C3883" s="13"/>
      <c r="D3883" s="13"/>
      <c r="E3883" s="12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2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</row>
    <row r="3884" spans="1:41" x14ac:dyDescent="0.2">
      <c r="A3884" s="13"/>
      <c r="B3884" s="13"/>
      <c r="C3884" s="13"/>
      <c r="D3884" s="13"/>
      <c r="E3884" s="12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2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</row>
    <row r="3885" spans="1:41" x14ac:dyDescent="0.2">
      <c r="A3885" s="13"/>
      <c r="B3885" s="13"/>
      <c r="C3885" s="13"/>
      <c r="D3885" s="13"/>
      <c r="E3885" s="12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2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</row>
    <row r="3886" spans="1:41" x14ac:dyDescent="0.2">
      <c r="A3886" s="13"/>
      <c r="B3886" s="13"/>
      <c r="C3886" s="13"/>
      <c r="D3886" s="13"/>
      <c r="E3886" s="12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2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</row>
    <row r="3887" spans="1:41" x14ac:dyDescent="0.2">
      <c r="A3887" s="13"/>
      <c r="B3887" s="13"/>
      <c r="C3887" s="13"/>
      <c r="D3887" s="13"/>
      <c r="E3887" s="12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2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</row>
    <row r="3888" spans="1:41" x14ac:dyDescent="0.2">
      <c r="A3888" s="13"/>
      <c r="B3888" s="13"/>
      <c r="C3888" s="13"/>
      <c r="D3888" s="13"/>
      <c r="E3888" s="12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2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</row>
    <row r="3889" spans="1:41" x14ac:dyDescent="0.2">
      <c r="A3889" s="13"/>
      <c r="B3889" s="13"/>
      <c r="C3889" s="13"/>
      <c r="D3889" s="13"/>
      <c r="E3889" s="12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2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</row>
    <row r="3890" spans="1:41" x14ac:dyDescent="0.2">
      <c r="A3890" s="13"/>
      <c r="B3890" s="13"/>
      <c r="C3890" s="13"/>
      <c r="D3890" s="13"/>
      <c r="E3890" s="12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2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</row>
    <row r="3891" spans="1:41" x14ac:dyDescent="0.2">
      <c r="A3891" s="13"/>
      <c r="B3891" s="13"/>
      <c r="C3891" s="13"/>
      <c r="D3891" s="13"/>
      <c r="E3891" s="12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2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</row>
    <row r="3892" spans="1:41" x14ac:dyDescent="0.2">
      <c r="A3892" s="13"/>
      <c r="B3892" s="13"/>
      <c r="C3892" s="13"/>
      <c r="D3892" s="13"/>
      <c r="E3892" s="12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2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</row>
    <row r="3893" spans="1:41" x14ac:dyDescent="0.2">
      <c r="A3893" s="13"/>
      <c r="B3893" s="13"/>
      <c r="C3893" s="13"/>
      <c r="D3893" s="13"/>
      <c r="E3893" s="12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2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</row>
    <row r="3894" spans="1:41" x14ac:dyDescent="0.2">
      <c r="A3894" s="13"/>
      <c r="B3894" s="13"/>
      <c r="C3894" s="13"/>
      <c r="D3894" s="13"/>
      <c r="E3894" s="12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2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</row>
    <row r="3895" spans="1:41" x14ac:dyDescent="0.2">
      <c r="A3895" s="13"/>
      <c r="B3895" s="13"/>
      <c r="C3895" s="13"/>
      <c r="D3895" s="13"/>
      <c r="E3895" s="12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2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</row>
    <row r="3896" spans="1:41" x14ac:dyDescent="0.2">
      <c r="A3896" s="13"/>
      <c r="B3896" s="13"/>
      <c r="C3896" s="13"/>
      <c r="D3896" s="13"/>
      <c r="E3896" s="12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2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</row>
    <row r="3897" spans="1:41" x14ac:dyDescent="0.2">
      <c r="A3897" s="13"/>
      <c r="B3897" s="13"/>
      <c r="C3897" s="13"/>
      <c r="D3897" s="13"/>
      <c r="E3897" s="12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2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</row>
    <row r="3898" spans="1:41" x14ac:dyDescent="0.2">
      <c r="A3898" s="13"/>
      <c r="B3898" s="13"/>
      <c r="C3898" s="13"/>
      <c r="D3898" s="13"/>
      <c r="E3898" s="12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2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</row>
    <row r="3899" spans="1:41" x14ac:dyDescent="0.2">
      <c r="A3899" s="13"/>
      <c r="B3899" s="13"/>
      <c r="C3899" s="13"/>
      <c r="D3899" s="13"/>
      <c r="E3899" s="12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2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</row>
    <row r="3900" spans="1:41" x14ac:dyDescent="0.2">
      <c r="A3900" s="13"/>
      <c r="B3900" s="13"/>
      <c r="C3900" s="13"/>
      <c r="D3900" s="13"/>
      <c r="E3900" s="12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2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</row>
    <row r="3901" spans="1:41" x14ac:dyDescent="0.2">
      <c r="A3901" s="13"/>
      <c r="B3901" s="13"/>
      <c r="C3901" s="13"/>
      <c r="D3901" s="13"/>
      <c r="E3901" s="12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2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</row>
    <row r="3902" spans="1:41" x14ac:dyDescent="0.2">
      <c r="A3902" s="13"/>
      <c r="B3902" s="13"/>
      <c r="C3902" s="13"/>
      <c r="D3902" s="13"/>
      <c r="E3902" s="12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2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</row>
    <row r="3903" spans="1:41" x14ac:dyDescent="0.2">
      <c r="A3903" s="13"/>
      <c r="B3903" s="13"/>
      <c r="C3903" s="13"/>
      <c r="D3903" s="13"/>
      <c r="E3903" s="12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2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</row>
    <row r="3904" spans="1:41" x14ac:dyDescent="0.2">
      <c r="A3904" s="13"/>
      <c r="B3904" s="13"/>
      <c r="C3904" s="13"/>
      <c r="D3904" s="13"/>
      <c r="E3904" s="12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2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</row>
    <row r="3905" spans="1:41" x14ac:dyDescent="0.2">
      <c r="A3905" s="13"/>
      <c r="B3905" s="13"/>
      <c r="C3905" s="13"/>
      <c r="D3905" s="13"/>
      <c r="E3905" s="12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2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</row>
    <row r="3906" spans="1:41" x14ac:dyDescent="0.2">
      <c r="A3906" s="13"/>
      <c r="B3906" s="13"/>
      <c r="C3906" s="13"/>
      <c r="D3906" s="13"/>
      <c r="E3906" s="12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2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</row>
    <row r="3907" spans="1:41" x14ac:dyDescent="0.2">
      <c r="A3907" s="13"/>
      <c r="B3907" s="13"/>
      <c r="C3907" s="13"/>
      <c r="D3907" s="13"/>
      <c r="E3907" s="12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2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</row>
    <row r="3908" spans="1:41" x14ac:dyDescent="0.2">
      <c r="A3908" s="13"/>
      <c r="B3908" s="13"/>
      <c r="C3908" s="13"/>
      <c r="D3908" s="13"/>
      <c r="E3908" s="12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2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</row>
    <row r="3909" spans="1:41" x14ac:dyDescent="0.2">
      <c r="A3909" s="13"/>
      <c r="B3909" s="13"/>
      <c r="C3909" s="13"/>
      <c r="D3909" s="13"/>
      <c r="E3909" s="12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2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</row>
    <row r="3910" spans="1:41" x14ac:dyDescent="0.2">
      <c r="A3910" s="13"/>
      <c r="B3910" s="13"/>
      <c r="C3910" s="13"/>
      <c r="D3910" s="13"/>
      <c r="E3910" s="12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2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</row>
    <row r="3911" spans="1:41" x14ac:dyDescent="0.2">
      <c r="A3911" s="13"/>
      <c r="B3911" s="13"/>
      <c r="C3911" s="13"/>
      <c r="D3911" s="13"/>
      <c r="E3911" s="12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2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</row>
    <row r="3912" spans="1:41" x14ac:dyDescent="0.2">
      <c r="A3912" s="13"/>
      <c r="B3912" s="13"/>
      <c r="C3912" s="13"/>
      <c r="D3912" s="13"/>
      <c r="E3912" s="12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2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</row>
    <row r="3913" spans="1:41" x14ac:dyDescent="0.2">
      <c r="A3913" s="13"/>
      <c r="B3913" s="13"/>
      <c r="C3913" s="13"/>
      <c r="D3913" s="13"/>
      <c r="E3913" s="12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2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</row>
    <row r="3914" spans="1:41" x14ac:dyDescent="0.2">
      <c r="A3914" s="13"/>
      <c r="B3914" s="13"/>
      <c r="C3914" s="13"/>
      <c r="D3914" s="13"/>
      <c r="E3914" s="12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2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</row>
    <row r="3915" spans="1:41" x14ac:dyDescent="0.2">
      <c r="A3915" s="13"/>
      <c r="B3915" s="13"/>
      <c r="C3915" s="13"/>
      <c r="D3915" s="13"/>
      <c r="E3915" s="12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2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</row>
    <row r="3916" spans="1:41" x14ac:dyDescent="0.2">
      <c r="A3916" s="13"/>
      <c r="B3916" s="13"/>
      <c r="C3916" s="13"/>
      <c r="D3916" s="13"/>
      <c r="E3916" s="12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2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</row>
    <row r="3917" spans="1:41" x14ac:dyDescent="0.2">
      <c r="A3917" s="13"/>
      <c r="B3917" s="13"/>
      <c r="C3917" s="13"/>
      <c r="D3917" s="13"/>
      <c r="E3917" s="12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2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</row>
    <row r="3918" spans="1:41" x14ac:dyDescent="0.2">
      <c r="A3918" s="13"/>
      <c r="B3918" s="13"/>
      <c r="C3918" s="13"/>
      <c r="D3918" s="13"/>
      <c r="E3918" s="12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2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</row>
    <row r="3919" spans="1:41" x14ac:dyDescent="0.2">
      <c r="A3919" s="13"/>
      <c r="B3919" s="13"/>
      <c r="C3919" s="13"/>
      <c r="D3919" s="13"/>
      <c r="E3919" s="12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2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</row>
    <row r="3920" spans="1:41" x14ac:dyDescent="0.2">
      <c r="A3920" s="13"/>
      <c r="B3920" s="13"/>
      <c r="C3920" s="13"/>
      <c r="D3920" s="13"/>
      <c r="E3920" s="12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2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</row>
    <row r="3921" spans="1:41" x14ac:dyDescent="0.2">
      <c r="A3921" s="13"/>
      <c r="B3921" s="13"/>
      <c r="C3921" s="13"/>
      <c r="D3921" s="13"/>
      <c r="E3921" s="12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2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</row>
    <row r="3922" spans="1:41" x14ac:dyDescent="0.2">
      <c r="A3922" s="13"/>
      <c r="B3922" s="13"/>
      <c r="C3922" s="13"/>
      <c r="D3922" s="13"/>
      <c r="E3922" s="1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2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</row>
    <row r="3923" spans="1:41" x14ac:dyDescent="0.2">
      <c r="A3923" s="13"/>
      <c r="B3923" s="13"/>
      <c r="C3923" s="13"/>
      <c r="D3923" s="13"/>
      <c r="E3923" s="12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2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</row>
    <row r="3924" spans="1:41" x14ac:dyDescent="0.2">
      <c r="A3924" s="13"/>
      <c r="B3924" s="13"/>
      <c r="C3924" s="13"/>
      <c r="D3924" s="13"/>
      <c r="E3924" s="12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2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</row>
    <row r="3925" spans="1:41" x14ac:dyDescent="0.2">
      <c r="A3925" s="13"/>
      <c r="B3925" s="13"/>
      <c r="C3925" s="13"/>
      <c r="D3925" s="13"/>
      <c r="E3925" s="12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2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</row>
    <row r="3926" spans="1:41" x14ac:dyDescent="0.2">
      <c r="A3926" s="13"/>
      <c r="B3926" s="13"/>
      <c r="C3926" s="13"/>
      <c r="D3926" s="13"/>
      <c r="E3926" s="12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2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</row>
    <row r="3927" spans="1:41" x14ac:dyDescent="0.2">
      <c r="A3927" s="13"/>
      <c r="B3927" s="13"/>
      <c r="C3927" s="13"/>
      <c r="D3927" s="13"/>
      <c r="E3927" s="12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2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</row>
    <row r="3928" spans="1:41" x14ac:dyDescent="0.2">
      <c r="A3928" s="13"/>
      <c r="B3928" s="13"/>
      <c r="C3928" s="13"/>
      <c r="D3928" s="13"/>
      <c r="E3928" s="12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2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</row>
    <row r="3929" spans="1:41" x14ac:dyDescent="0.2">
      <c r="A3929" s="13"/>
      <c r="B3929" s="13"/>
      <c r="C3929" s="13"/>
      <c r="D3929" s="13"/>
      <c r="E3929" s="12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2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</row>
    <row r="3930" spans="1:41" x14ac:dyDescent="0.2">
      <c r="A3930" s="13"/>
      <c r="B3930" s="13"/>
      <c r="C3930" s="13"/>
      <c r="D3930" s="13"/>
      <c r="E3930" s="12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2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</row>
    <row r="3931" spans="1:41" x14ac:dyDescent="0.2">
      <c r="A3931" s="13"/>
      <c r="B3931" s="13"/>
      <c r="C3931" s="13"/>
      <c r="D3931" s="13"/>
      <c r="E3931" s="12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2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</row>
    <row r="3932" spans="1:41" x14ac:dyDescent="0.2">
      <c r="A3932" s="13"/>
      <c r="B3932" s="13"/>
      <c r="C3932" s="13"/>
      <c r="D3932" s="13"/>
      <c r="E3932" s="12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2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</row>
    <row r="3933" spans="1:41" x14ac:dyDescent="0.2">
      <c r="A3933" s="13"/>
      <c r="B3933" s="13"/>
      <c r="C3933" s="13"/>
      <c r="D3933" s="13"/>
      <c r="E3933" s="12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2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</row>
    <row r="3934" spans="1:41" x14ac:dyDescent="0.2">
      <c r="A3934" s="13"/>
      <c r="B3934" s="13"/>
      <c r="C3934" s="13"/>
      <c r="D3934" s="13"/>
      <c r="E3934" s="12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2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</row>
    <row r="3935" spans="1:41" x14ac:dyDescent="0.2">
      <c r="A3935" s="13"/>
      <c r="B3935" s="13"/>
      <c r="C3935" s="13"/>
      <c r="D3935" s="13"/>
      <c r="E3935" s="12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2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</row>
    <row r="3936" spans="1:41" x14ac:dyDescent="0.2">
      <c r="A3936" s="13"/>
      <c r="B3936" s="13"/>
      <c r="C3936" s="13"/>
      <c r="D3936" s="13"/>
      <c r="E3936" s="12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2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</row>
    <row r="3937" spans="1:41" x14ac:dyDescent="0.2">
      <c r="A3937" s="13"/>
      <c r="B3937" s="13"/>
      <c r="C3937" s="13"/>
      <c r="D3937" s="13"/>
      <c r="E3937" s="12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2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</row>
    <row r="3938" spans="1:41" x14ac:dyDescent="0.2">
      <c r="A3938" s="13"/>
      <c r="B3938" s="13"/>
      <c r="C3938" s="13"/>
      <c r="D3938" s="13"/>
      <c r="E3938" s="12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2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</row>
    <row r="3939" spans="1:41" x14ac:dyDescent="0.2">
      <c r="A3939" s="13"/>
      <c r="B3939" s="13"/>
      <c r="C3939" s="13"/>
      <c r="D3939" s="13"/>
      <c r="E3939" s="12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2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</row>
    <row r="3940" spans="1:41" x14ac:dyDescent="0.2">
      <c r="A3940" s="13"/>
      <c r="B3940" s="13"/>
      <c r="C3940" s="13"/>
      <c r="D3940" s="13"/>
      <c r="E3940" s="12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2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</row>
    <row r="3941" spans="1:41" x14ac:dyDescent="0.2">
      <c r="A3941" s="13"/>
      <c r="B3941" s="13"/>
      <c r="C3941" s="13"/>
      <c r="D3941" s="13"/>
      <c r="E3941" s="12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2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</row>
    <row r="3942" spans="1:41" x14ac:dyDescent="0.2">
      <c r="A3942" s="13"/>
      <c r="B3942" s="13"/>
      <c r="C3942" s="13"/>
      <c r="D3942" s="13"/>
      <c r="E3942" s="12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2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</row>
    <row r="3943" spans="1:41" x14ac:dyDescent="0.2">
      <c r="A3943" s="13"/>
      <c r="B3943" s="13"/>
      <c r="C3943" s="13"/>
      <c r="D3943" s="13"/>
      <c r="E3943" s="12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2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</row>
    <row r="3944" spans="1:41" x14ac:dyDescent="0.2">
      <c r="A3944" s="13"/>
      <c r="B3944" s="13"/>
      <c r="C3944" s="13"/>
      <c r="D3944" s="13"/>
      <c r="E3944" s="12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2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</row>
    <row r="3945" spans="1:41" x14ac:dyDescent="0.2">
      <c r="A3945" s="13"/>
      <c r="B3945" s="13"/>
      <c r="C3945" s="13"/>
      <c r="D3945" s="13"/>
      <c r="E3945" s="12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2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</row>
    <row r="3946" spans="1:41" x14ac:dyDescent="0.2">
      <c r="A3946" s="13"/>
      <c r="B3946" s="13"/>
      <c r="C3946" s="13"/>
      <c r="D3946" s="13"/>
      <c r="E3946" s="12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2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</row>
    <row r="3947" spans="1:41" x14ac:dyDescent="0.2">
      <c r="A3947" s="13"/>
      <c r="B3947" s="13"/>
      <c r="C3947" s="13"/>
      <c r="D3947" s="13"/>
      <c r="E3947" s="12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2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</row>
    <row r="3948" spans="1:41" x14ac:dyDescent="0.2">
      <c r="A3948" s="13"/>
      <c r="B3948" s="13"/>
      <c r="C3948" s="13"/>
      <c r="D3948" s="13"/>
      <c r="E3948" s="12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2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</row>
    <row r="3949" spans="1:41" x14ac:dyDescent="0.2">
      <c r="A3949" s="13"/>
      <c r="B3949" s="13"/>
      <c r="C3949" s="13"/>
      <c r="D3949" s="13"/>
      <c r="E3949" s="12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2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</row>
    <row r="3950" spans="1:41" x14ac:dyDescent="0.2">
      <c r="A3950" s="13"/>
      <c r="B3950" s="13"/>
      <c r="C3950" s="13"/>
      <c r="D3950" s="13"/>
      <c r="E3950" s="12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2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</row>
    <row r="3951" spans="1:41" x14ac:dyDescent="0.2">
      <c r="A3951" s="13"/>
      <c r="B3951" s="13"/>
      <c r="C3951" s="13"/>
      <c r="D3951" s="13"/>
      <c r="E3951" s="12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2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</row>
    <row r="3952" spans="1:41" x14ac:dyDescent="0.2">
      <c r="A3952" s="13"/>
      <c r="B3952" s="13"/>
      <c r="C3952" s="13"/>
      <c r="D3952" s="13"/>
      <c r="E3952" s="12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2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</row>
    <row r="3953" spans="1:41" x14ac:dyDescent="0.2">
      <c r="A3953" s="13"/>
      <c r="B3953" s="13"/>
      <c r="C3953" s="13"/>
      <c r="D3953" s="13"/>
      <c r="E3953" s="12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2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</row>
    <row r="3954" spans="1:41" x14ac:dyDescent="0.2">
      <c r="A3954" s="13"/>
      <c r="B3954" s="13"/>
      <c r="C3954" s="13"/>
      <c r="D3954" s="13"/>
      <c r="E3954" s="12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2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</row>
    <row r="3955" spans="1:41" x14ac:dyDescent="0.2">
      <c r="A3955" s="13"/>
      <c r="B3955" s="13"/>
      <c r="C3955" s="13"/>
      <c r="D3955" s="13"/>
      <c r="E3955" s="12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2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</row>
    <row r="3956" spans="1:41" x14ac:dyDescent="0.2">
      <c r="A3956" s="13"/>
      <c r="B3956" s="13"/>
      <c r="C3956" s="13"/>
      <c r="D3956" s="13"/>
      <c r="E3956" s="12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2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</row>
    <row r="3957" spans="1:41" x14ac:dyDescent="0.2">
      <c r="A3957" s="13"/>
      <c r="B3957" s="13"/>
      <c r="C3957" s="13"/>
      <c r="D3957" s="13"/>
      <c r="E3957" s="12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2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</row>
    <row r="3958" spans="1:41" x14ac:dyDescent="0.2">
      <c r="A3958" s="13"/>
      <c r="B3958" s="13"/>
      <c r="C3958" s="13"/>
      <c r="D3958" s="13"/>
      <c r="E3958" s="12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2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</row>
    <row r="3959" spans="1:41" x14ac:dyDescent="0.2">
      <c r="A3959" s="13"/>
      <c r="B3959" s="13"/>
      <c r="C3959" s="13"/>
      <c r="D3959" s="13"/>
      <c r="E3959" s="12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2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</row>
    <row r="3960" spans="1:41" x14ac:dyDescent="0.2">
      <c r="A3960" s="13"/>
      <c r="B3960" s="13"/>
      <c r="C3960" s="13"/>
      <c r="D3960" s="13"/>
      <c r="E3960" s="12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2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</row>
    <row r="3961" spans="1:41" x14ac:dyDescent="0.2">
      <c r="A3961" s="13"/>
      <c r="B3961" s="13"/>
      <c r="C3961" s="13"/>
      <c r="D3961" s="13"/>
      <c r="E3961" s="12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2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</row>
    <row r="3962" spans="1:41" x14ac:dyDescent="0.2">
      <c r="A3962" s="13"/>
      <c r="B3962" s="13"/>
      <c r="C3962" s="13"/>
      <c r="D3962" s="13"/>
      <c r="E3962" s="12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2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</row>
    <row r="3963" spans="1:41" x14ac:dyDescent="0.2">
      <c r="A3963" s="13"/>
      <c r="B3963" s="13"/>
      <c r="C3963" s="13"/>
      <c r="D3963" s="13"/>
      <c r="E3963" s="12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2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</row>
    <row r="3964" spans="1:41" x14ac:dyDescent="0.2">
      <c r="A3964" s="13"/>
      <c r="B3964" s="13"/>
      <c r="C3964" s="13"/>
      <c r="D3964" s="13"/>
      <c r="E3964" s="12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2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</row>
    <row r="3965" spans="1:41" x14ac:dyDescent="0.2">
      <c r="A3965" s="13"/>
      <c r="B3965" s="13"/>
      <c r="C3965" s="13"/>
      <c r="D3965" s="13"/>
      <c r="E3965" s="12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2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</row>
    <row r="3966" spans="1:41" x14ac:dyDescent="0.2">
      <c r="A3966" s="13"/>
      <c r="B3966" s="13"/>
      <c r="C3966" s="13"/>
      <c r="D3966" s="13"/>
      <c r="E3966" s="12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2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</row>
    <row r="3967" spans="1:41" x14ac:dyDescent="0.2">
      <c r="A3967" s="13"/>
      <c r="B3967" s="13"/>
      <c r="C3967" s="13"/>
      <c r="D3967" s="13"/>
      <c r="E3967" s="12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2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</row>
    <row r="3968" spans="1:41" x14ac:dyDescent="0.2">
      <c r="A3968" s="13"/>
      <c r="B3968" s="13"/>
      <c r="C3968" s="13"/>
      <c r="D3968" s="13"/>
      <c r="E3968" s="12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2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</row>
    <row r="3969" spans="1:41" x14ac:dyDescent="0.2">
      <c r="A3969" s="13"/>
      <c r="B3969" s="13"/>
      <c r="C3969" s="13"/>
      <c r="D3969" s="13"/>
      <c r="E3969" s="12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2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</row>
    <row r="3970" spans="1:41" x14ac:dyDescent="0.2">
      <c r="A3970" s="13"/>
      <c r="B3970" s="13"/>
      <c r="C3970" s="13"/>
      <c r="D3970" s="13"/>
      <c r="E3970" s="12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2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</row>
    <row r="3971" spans="1:41" x14ac:dyDescent="0.2">
      <c r="A3971" s="13"/>
      <c r="B3971" s="13"/>
      <c r="C3971" s="13"/>
      <c r="D3971" s="13"/>
      <c r="E3971" s="12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2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</row>
    <row r="3972" spans="1:41" x14ac:dyDescent="0.2">
      <c r="A3972" s="13"/>
      <c r="B3972" s="13"/>
      <c r="C3972" s="13"/>
      <c r="D3972" s="13"/>
      <c r="E3972" s="12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2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</row>
    <row r="3973" spans="1:41" x14ac:dyDescent="0.2">
      <c r="A3973" s="13"/>
      <c r="B3973" s="13"/>
      <c r="C3973" s="13"/>
      <c r="D3973" s="13"/>
      <c r="E3973" s="12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2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</row>
    <row r="3974" spans="1:41" x14ac:dyDescent="0.2">
      <c r="A3974" s="13"/>
      <c r="B3974" s="13"/>
      <c r="C3974" s="13"/>
      <c r="D3974" s="13"/>
      <c r="E3974" s="12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2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</row>
    <row r="3975" spans="1:41" x14ac:dyDescent="0.2">
      <c r="A3975" s="13"/>
      <c r="B3975" s="13"/>
      <c r="C3975" s="13"/>
      <c r="D3975" s="13"/>
      <c r="E3975" s="12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2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</row>
    <row r="3976" spans="1:41" x14ac:dyDescent="0.2">
      <c r="A3976" s="13"/>
      <c r="B3976" s="13"/>
      <c r="C3976" s="13"/>
      <c r="D3976" s="13"/>
      <c r="E3976" s="12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2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</row>
    <row r="3977" spans="1:41" x14ac:dyDescent="0.2">
      <c r="A3977" s="13"/>
      <c r="B3977" s="13"/>
      <c r="C3977" s="13"/>
      <c r="D3977" s="13"/>
      <c r="E3977" s="12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2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</row>
    <row r="3978" spans="1:41" x14ac:dyDescent="0.2">
      <c r="A3978" s="13"/>
      <c r="B3978" s="13"/>
      <c r="C3978" s="13"/>
      <c r="D3978" s="13"/>
      <c r="E3978" s="12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2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</row>
    <row r="3979" spans="1:41" x14ac:dyDescent="0.2">
      <c r="A3979" s="13"/>
      <c r="B3979" s="13"/>
      <c r="C3979" s="13"/>
      <c r="D3979" s="13"/>
      <c r="E3979" s="12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2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</row>
    <row r="3980" spans="1:41" x14ac:dyDescent="0.2">
      <c r="A3980" s="13"/>
      <c r="B3980" s="13"/>
      <c r="C3980" s="13"/>
      <c r="D3980" s="13"/>
      <c r="E3980" s="12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2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</row>
    <row r="3981" spans="1:41" x14ac:dyDescent="0.2">
      <c r="A3981" s="13"/>
      <c r="B3981" s="13"/>
      <c r="C3981" s="13"/>
      <c r="D3981" s="13"/>
      <c r="E3981" s="12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2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</row>
    <row r="3982" spans="1:41" x14ac:dyDescent="0.2">
      <c r="A3982" s="13"/>
      <c r="B3982" s="13"/>
      <c r="C3982" s="13"/>
      <c r="D3982" s="13"/>
      <c r="E3982" s="12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2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</row>
    <row r="3983" spans="1:41" x14ac:dyDescent="0.2">
      <c r="A3983" s="13"/>
      <c r="B3983" s="13"/>
      <c r="C3983" s="13"/>
      <c r="D3983" s="13"/>
      <c r="E3983" s="12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2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</row>
    <row r="3984" spans="1:41" x14ac:dyDescent="0.2">
      <c r="A3984" s="13"/>
      <c r="B3984" s="13"/>
      <c r="C3984" s="13"/>
      <c r="D3984" s="13"/>
      <c r="E3984" s="12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2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</row>
    <row r="3985" spans="1:41" x14ac:dyDescent="0.2">
      <c r="A3985" s="13"/>
      <c r="B3985" s="13"/>
      <c r="C3985" s="13"/>
      <c r="D3985" s="13"/>
      <c r="E3985" s="12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2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</row>
    <row r="3986" spans="1:41" x14ac:dyDescent="0.2">
      <c r="A3986" s="13"/>
      <c r="B3986" s="13"/>
      <c r="C3986" s="13"/>
      <c r="D3986" s="13"/>
      <c r="E3986" s="12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2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</row>
    <row r="3987" spans="1:41" x14ac:dyDescent="0.2">
      <c r="A3987" s="13"/>
      <c r="B3987" s="13"/>
      <c r="C3987" s="13"/>
      <c r="D3987" s="13"/>
      <c r="E3987" s="12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2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</row>
    <row r="3988" spans="1:41" x14ac:dyDescent="0.2">
      <c r="A3988" s="13"/>
      <c r="B3988" s="13"/>
      <c r="C3988" s="13"/>
      <c r="D3988" s="13"/>
      <c r="E3988" s="12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2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</row>
    <row r="3989" spans="1:41" x14ac:dyDescent="0.2">
      <c r="A3989" s="13"/>
      <c r="B3989" s="13"/>
      <c r="C3989" s="13"/>
      <c r="D3989" s="13"/>
      <c r="E3989" s="12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2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</row>
    <row r="3990" spans="1:41" x14ac:dyDescent="0.2">
      <c r="A3990" s="13"/>
      <c r="B3990" s="13"/>
      <c r="C3990" s="13"/>
      <c r="D3990" s="13"/>
      <c r="E3990" s="12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2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</row>
    <row r="3991" spans="1:41" x14ac:dyDescent="0.2">
      <c r="A3991" s="13"/>
      <c r="B3991" s="13"/>
      <c r="C3991" s="13"/>
      <c r="D3991" s="13"/>
      <c r="E3991" s="12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2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</row>
    <row r="3992" spans="1:41" x14ac:dyDescent="0.2">
      <c r="A3992" s="13"/>
      <c r="B3992" s="13"/>
      <c r="C3992" s="13"/>
      <c r="D3992" s="13"/>
      <c r="E3992" s="12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2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</row>
    <row r="3993" spans="1:41" x14ac:dyDescent="0.2">
      <c r="A3993" s="13"/>
      <c r="B3993" s="13"/>
      <c r="C3993" s="13"/>
      <c r="D3993" s="13"/>
      <c r="E3993" s="12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2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</row>
    <row r="3994" spans="1:41" x14ac:dyDescent="0.2">
      <c r="A3994" s="13"/>
      <c r="B3994" s="13"/>
      <c r="C3994" s="13"/>
      <c r="D3994" s="13"/>
      <c r="E3994" s="12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2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</row>
    <row r="3995" spans="1:41" x14ac:dyDescent="0.2">
      <c r="A3995" s="13"/>
      <c r="B3995" s="13"/>
      <c r="C3995" s="13"/>
      <c r="D3995" s="13"/>
      <c r="E3995" s="12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2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</row>
    <row r="3996" spans="1:41" x14ac:dyDescent="0.2">
      <c r="A3996" s="13"/>
      <c r="B3996" s="13"/>
      <c r="C3996" s="13"/>
      <c r="D3996" s="13"/>
      <c r="E3996" s="12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2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</row>
    <row r="3997" spans="1:41" x14ac:dyDescent="0.2">
      <c r="A3997" s="13"/>
      <c r="B3997" s="13"/>
      <c r="C3997" s="13"/>
      <c r="D3997" s="13"/>
      <c r="E3997" s="12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2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</row>
    <row r="3998" spans="1:41" x14ac:dyDescent="0.2">
      <c r="A3998" s="13"/>
      <c r="B3998" s="13"/>
      <c r="C3998" s="13"/>
      <c r="D3998" s="13"/>
      <c r="E3998" s="12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2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</row>
    <row r="3999" spans="1:41" x14ac:dyDescent="0.2">
      <c r="A3999" s="13"/>
      <c r="B3999" s="13"/>
      <c r="C3999" s="13"/>
      <c r="D3999" s="13"/>
      <c r="E3999" s="12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2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</row>
    <row r="4000" spans="1:41" x14ac:dyDescent="0.2">
      <c r="A4000" s="13"/>
      <c r="B4000" s="13"/>
      <c r="C4000" s="13"/>
      <c r="D4000" s="13"/>
      <c r="E4000" s="12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2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</row>
    <row r="4001" spans="1:41" x14ac:dyDescent="0.2">
      <c r="A4001" s="13"/>
      <c r="B4001" s="13"/>
      <c r="C4001" s="13"/>
      <c r="D4001" s="13"/>
      <c r="E4001" s="12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2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</row>
    <row r="4002" spans="1:41" x14ac:dyDescent="0.2">
      <c r="A4002" s="13"/>
      <c r="B4002" s="13"/>
      <c r="C4002" s="13"/>
      <c r="D4002" s="13"/>
      <c r="E4002" s="12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2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</row>
    <row r="4003" spans="1:41" x14ac:dyDescent="0.2">
      <c r="A4003" s="13"/>
      <c r="B4003" s="13"/>
      <c r="C4003" s="13"/>
      <c r="D4003" s="13"/>
      <c r="E4003" s="12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2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</row>
    <row r="4004" spans="1:41" x14ac:dyDescent="0.2">
      <c r="A4004" s="13"/>
      <c r="B4004" s="13"/>
      <c r="C4004" s="13"/>
      <c r="D4004" s="13"/>
      <c r="E4004" s="12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2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</row>
    <row r="4005" spans="1:41" x14ac:dyDescent="0.2">
      <c r="A4005" s="13"/>
      <c r="B4005" s="13"/>
      <c r="C4005" s="13"/>
      <c r="D4005" s="13"/>
      <c r="E4005" s="12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2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</row>
    <row r="4006" spans="1:41" x14ac:dyDescent="0.2">
      <c r="A4006" s="13"/>
      <c r="B4006" s="13"/>
      <c r="C4006" s="13"/>
      <c r="D4006" s="13"/>
      <c r="E4006" s="12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2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</row>
    <row r="4007" spans="1:41" x14ac:dyDescent="0.2">
      <c r="A4007" s="13"/>
      <c r="B4007" s="13"/>
      <c r="C4007" s="13"/>
      <c r="D4007" s="13"/>
      <c r="E4007" s="12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2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</row>
    <row r="4008" spans="1:41" x14ac:dyDescent="0.2">
      <c r="A4008" s="13"/>
      <c r="B4008" s="13"/>
      <c r="C4008" s="13"/>
      <c r="D4008" s="13"/>
      <c r="E4008" s="12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2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</row>
    <row r="4009" spans="1:41" x14ac:dyDescent="0.2">
      <c r="A4009" s="13"/>
      <c r="B4009" s="13"/>
      <c r="C4009" s="13"/>
      <c r="D4009" s="13"/>
      <c r="E4009" s="12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2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</row>
    <row r="4010" spans="1:41" x14ac:dyDescent="0.2">
      <c r="A4010" s="13"/>
      <c r="B4010" s="13"/>
      <c r="C4010" s="13"/>
      <c r="D4010" s="13"/>
      <c r="E4010" s="12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2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</row>
    <row r="4011" spans="1:41" x14ac:dyDescent="0.2">
      <c r="A4011" s="13"/>
      <c r="B4011" s="13"/>
      <c r="C4011" s="13"/>
      <c r="D4011" s="13"/>
      <c r="E4011" s="12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2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</row>
    <row r="4012" spans="1:41" x14ac:dyDescent="0.2">
      <c r="A4012" s="13"/>
      <c r="B4012" s="13"/>
      <c r="C4012" s="13"/>
      <c r="D4012" s="13"/>
      <c r="E4012" s="12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2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</row>
    <row r="4013" spans="1:41" x14ac:dyDescent="0.2">
      <c r="A4013" s="13"/>
      <c r="B4013" s="13"/>
      <c r="C4013" s="13"/>
      <c r="D4013" s="13"/>
      <c r="E4013" s="12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2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</row>
    <row r="4014" spans="1:41" x14ac:dyDescent="0.2">
      <c r="A4014" s="13"/>
      <c r="B4014" s="13"/>
      <c r="C4014" s="13"/>
      <c r="D4014" s="13"/>
      <c r="E4014" s="12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2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</row>
    <row r="4015" spans="1:41" x14ac:dyDescent="0.2">
      <c r="A4015" s="13"/>
      <c r="B4015" s="13"/>
      <c r="C4015" s="13"/>
      <c r="D4015" s="13"/>
      <c r="E4015" s="12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2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</row>
    <row r="4016" spans="1:41" x14ac:dyDescent="0.2">
      <c r="A4016" s="13"/>
      <c r="B4016" s="13"/>
      <c r="C4016" s="13"/>
      <c r="D4016" s="13"/>
      <c r="E4016" s="12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2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</row>
    <row r="4017" spans="1:41" x14ac:dyDescent="0.2">
      <c r="A4017" s="13"/>
      <c r="B4017" s="13"/>
      <c r="C4017" s="13"/>
      <c r="D4017" s="13"/>
      <c r="E4017" s="12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2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</row>
    <row r="4018" spans="1:41" x14ac:dyDescent="0.2">
      <c r="A4018" s="13"/>
      <c r="B4018" s="13"/>
      <c r="C4018" s="13"/>
      <c r="D4018" s="13"/>
      <c r="E4018" s="12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2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</row>
    <row r="4019" spans="1:41" x14ac:dyDescent="0.2">
      <c r="A4019" s="13"/>
      <c r="B4019" s="13"/>
      <c r="C4019" s="13"/>
      <c r="D4019" s="13"/>
      <c r="E4019" s="12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2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</row>
    <row r="4020" spans="1:41" x14ac:dyDescent="0.2">
      <c r="A4020" s="13"/>
      <c r="B4020" s="13"/>
      <c r="C4020" s="13"/>
      <c r="D4020" s="13"/>
      <c r="E4020" s="12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2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</row>
    <row r="4021" spans="1:41" x14ac:dyDescent="0.2">
      <c r="A4021" s="13"/>
      <c r="B4021" s="13"/>
      <c r="C4021" s="13"/>
      <c r="D4021" s="13"/>
      <c r="E4021" s="12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2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</row>
    <row r="4022" spans="1:41" x14ac:dyDescent="0.2">
      <c r="A4022" s="13"/>
      <c r="B4022" s="13"/>
      <c r="C4022" s="13"/>
      <c r="D4022" s="13"/>
      <c r="E4022" s="12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2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</row>
    <row r="4023" spans="1:41" x14ac:dyDescent="0.2">
      <c r="A4023" s="13"/>
      <c r="B4023" s="13"/>
      <c r="C4023" s="13"/>
      <c r="D4023" s="13"/>
      <c r="E4023" s="12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2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</row>
    <row r="4024" spans="1:41" x14ac:dyDescent="0.2">
      <c r="A4024" s="13"/>
      <c r="B4024" s="13"/>
      <c r="C4024" s="13"/>
      <c r="D4024" s="13"/>
      <c r="E4024" s="12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2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</row>
    <row r="4025" spans="1:41" x14ac:dyDescent="0.2">
      <c r="A4025" s="13"/>
      <c r="B4025" s="13"/>
      <c r="C4025" s="13"/>
      <c r="D4025" s="13"/>
      <c r="E4025" s="12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2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</row>
    <row r="4026" spans="1:41" x14ac:dyDescent="0.2">
      <c r="A4026" s="13"/>
      <c r="B4026" s="13"/>
      <c r="C4026" s="13"/>
      <c r="D4026" s="13"/>
      <c r="E4026" s="12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2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</row>
    <row r="4027" spans="1:41" x14ac:dyDescent="0.2">
      <c r="A4027" s="13"/>
      <c r="B4027" s="13"/>
      <c r="C4027" s="13"/>
      <c r="D4027" s="13"/>
      <c r="E4027" s="12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2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</row>
    <row r="4028" spans="1:41" x14ac:dyDescent="0.2">
      <c r="A4028" s="13"/>
      <c r="B4028" s="13"/>
      <c r="C4028" s="13"/>
      <c r="D4028" s="13"/>
      <c r="E4028" s="12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2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</row>
    <row r="4029" spans="1:41" x14ac:dyDescent="0.2">
      <c r="A4029" s="13"/>
      <c r="B4029" s="13"/>
      <c r="C4029" s="13"/>
      <c r="D4029" s="13"/>
      <c r="E4029" s="12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2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</row>
    <row r="4030" spans="1:41" x14ac:dyDescent="0.2">
      <c r="A4030" s="13"/>
      <c r="B4030" s="13"/>
      <c r="C4030" s="13"/>
      <c r="D4030" s="13"/>
      <c r="E4030" s="12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2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</row>
    <row r="4031" spans="1:41" x14ac:dyDescent="0.2">
      <c r="A4031" s="13"/>
      <c r="B4031" s="13"/>
      <c r="C4031" s="13"/>
      <c r="D4031" s="13"/>
      <c r="E4031" s="12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2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</row>
    <row r="4032" spans="1:41" x14ac:dyDescent="0.2">
      <c r="A4032" s="13"/>
      <c r="B4032" s="13"/>
      <c r="C4032" s="13"/>
      <c r="D4032" s="13"/>
      <c r="E4032" s="12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2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</row>
    <row r="4033" spans="1:41" x14ac:dyDescent="0.2">
      <c r="A4033" s="13"/>
      <c r="B4033" s="13"/>
      <c r="C4033" s="13"/>
      <c r="D4033" s="13"/>
      <c r="E4033" s="12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2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</row>
    <row r="4034" spans="1:41" x14ac:dyDescent="0.2">
      <c r="A4034" s="13"/>
      <c r="B4034" s="13"/>
      <c r="C4034" s="13"/>
      <c r="D4034" s="13"/>
      <c r="E4034" s="12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2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</row>
    <row r="4035" spans="1:41" x14ac:dyDescent="0.2">
      <c r="A4035" s="13"/>
      <c r="B4035" s="13"/>
      <c r="C4035" s="13"/>
      <c r="D4035" s="13"/>
      <c r="E4035" s="12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2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</row>
    <row r="4036" spans="1:41" x14ac:dyDescent="0.2">
      <c r="A4036" s="13"/>
      <c r="B4036" s="13"/>
      <c r="C4036" s="13"/>
      <c r="D4036" s="13"/>
      <c r="E4036" s="12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2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</row>
    <row r="4037" spans="1:41" x14ac:dyDescent="0.2">
      <c r="A4037" s="13"/>
      <c r="B4037" s="13"/>
      <c r="C4037" s="13"/>
      <c r="D4037" s="13"/>
      <c r="E4037" s="12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2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</row>
    <row r="4038" spans="1:41" x14ac:dyDescent="0.2">
      <c r="A4038" s="13"/>
      <c r="B4038" s="13"/>
      <c r="C4038" s="13"/>
      <c r="D4038" s="13"/>
      <c r="E4038" s="12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2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</row>
    <row r="4039" spans="1:41" x14ac:dyDescent="0.2">
      <c r="A4039" s="13"/>
      <c r="B4039" s="13"/>
      <c r="C4039" s="13"/>
      <c r="D4039" s="13"/>
      <c r="E4039" s="12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2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</row>
    <row r="4040" spans="1:41" x14ac:dyDescent="0.2">
      <c r="A4040" s="13"/>
      <c r="B4040" s="13"/>
      <c r="C4040" s="13"/>
      <c r="D4040" s="13"/>
      <c r="E4040" s="12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2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</row>
    <row r="4041" spans="1:41" x14ac:dyDescent="0.2">
      <c r="A4041" s="13"/>
      <c r="B4041" s="13"/>
      <c r="C4041" s="13"/>
      <c r="D4041" s="13"/>
      <c r="E4041" s="12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2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</row>
    <row r="4042" spans="1:41" x14ac:dyDescent="0.2">
      <c r="A4042" s="13"/>
      <c r="B4042" s="13"/>
      <c r="C4042" s="13"/>
      <c r="D4042" s="13"/>
      <c r="E4042" s="12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2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</row>
    <row r="4043" spans="1:41" x14ac:dyDescent="0.2">
      <c r="A4043" s="13"/>
      <c r="B4043" s="13"/>
      <c r="C4043" s="13"/>
      <c r="D4043" s="13"/>
      <c r="E4043" s="12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2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</row>
    <row r="4044" spans="1:41" x14ac:dyDescent="0.2">
      <c r="A4044" s="13"/>
      <c r="B4044" s="13"/>
      <c r="C4044" s="13"/>
      <c r="D4044" s="13"/>
      <c r="E4044" s="12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2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</row>
    <row r="4045" spans="1:41" x14ac:dyDescent="0.2">
      <c r="A4045" s="13"/>
      <c r="B4045" s="13"/>
      <c r="C4045" s="13"/>
      <c r="D4045" s="13"/>
      <c r="E4045" s="12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2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</row>
    <row r="4046" spans="1:41" x14ac:dyDescent="0.2">
      <c r="A4046" s="13"/>
      <c r="B4046" s="13"/>
      <c r="C4046" s="13"/>
      <c r="D4046" s="13"/>
      <c r="E4046" s="12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2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</row>
    <row r="4047" spans="1:41" x14ac:dyDescent="0.2">
      <c r="A4047" s="13"/>
      <c r="B4047" s="13"/>
      <c r="C4047" s="13"/>
      <c r="D4047" s="13"/>
      <c r="E4047" s="12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2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</row>
    <row r="4048" spans="1:41" x14ac:dyDescent="0.2">
      <c r="A4048" s="13"/>
      <c r="B4048" s="13"/>
      <c r="C4048" s="13"/>
      <c r="D4048" s="13"/>
      <c r="E4048" s="12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2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</row>
    <row r="4049" spans="1:41" x14ac:dyDescent="0.2">
      <c r="A4049" s="13"/>
      <c r="B4049" s="13"/>
      <c r="C4049" s="13"/>
      <c r="D4049" s="13"/>
      <c r="E4049" s="12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2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</row>
    <row r="4050" spans="1:41" x14ac:dyDescent="0.2">
      <c r="A4050" s="13"/>
      <c r="B4050" s="13"/>
      <c r="C4050" s="13"/>
      <c r="D4050" s="13"/>
      <c r="E4050" s="12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2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</row>
    <row r="4051" spans="1:41" x14ac:dyDescent="0.2">
      <c r="A4051" s="13"/>
      <c r="B4051" s="13"/>
      <c r="C4051" s="13"/>
      <c r="D4051" s="13"/>
      <c r="E4051" s="12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2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</row>
    <row r="4052" spans="1:41" x14ac:dyDescent="0.2">
      <c r="A4052" s="13"/>
      <c r="B4052" s="13"/>
      <c r="C4052" s="13"/>
      <c r="D4052" s="13"/>
      <c r="E4052" s="12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2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</row>
    <row r="4053" spans="1:41" x14ac:dyDescent="0.2">
      <c r="A4053" s="13"/>
      <c r="B4053" s="13"/>
      <c r="C4053" s="13"/>
      <c r="D4053" s="13"/>
      <c r="E4053" s="12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2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</row>
    <row r="4054" spans="1:41" x14ac:dyDescent="0.2">
      <c r="A4054" s="13"/>
      <c r="B4054" s="13"/>
      <c r="C4054" s="13"/>
      <c r="D4054" s="13"/>
      <c r="E4054" s="12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2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</row>
    <row r="4055" spans="1:41" x14ac:dyDescent="0.2">
      <c r="A4055" s="13"/>
      <c r="B4055" s="13"/>
      <c r="C4055" s="13"/>
      <c r="D4055" s="13"/>
      <c r="E4055" s="12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2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</row>
    <row r="4056" spans="1:41" x14ac:dyDescent="0.2">
      <c r="A4056" s="13"/>
      <c r="B4056" s="13"/>
      <c r="C4056" s="13"/>
      <c r="D4056" s="13"/>
      <c r="E4056" s="12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2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</row>
    <row r="4057" spans="1:41" x14ac:dyDescent="0.2">
      <c r="A4057" s="13"/>
      <c r="B4057" s="13"/>
      <c r="C4057" s="13"/>
      <c r="D4057" s="13"/>
      <c r="E4057" s="12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2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</row>
    <row r="4058" spans="1:41" x14ac:dyDescent="0.2">
      <c r="A4058" s="13"/>
      <c r="B4058" s="13"/>
      <c r="C4058" s="13"/>
      <c r="D4058" s="13"/>
      <c r="E4058" s="12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2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</row>
    <row r="4059" spans="1:41" x14ac:dyDescent="0.2">
      <c r="A4059" s="13"/>
      <c r="B4059" s="13"/>
      <c r="C4059" s="13"/>
      <c r="D4059" s="13"/>
      <c r="E4059" s="12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2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</row>
    <row r="4060" spans="1:41" x14ac:dyDescent="0.2">
      <c r="A4060" s="13"/>
      <c r="B4060" s="13"/>
      <c r="C4060" s="13"/>
      <c r="D4060" s="13"/>
      <c r="E4060" s="12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2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</row>
    <row r="4061" spans="1:41" x14ac:dyDescent="0.2">
      <c r="A4061" s="13"/>
      <c r="B4061" s="13"/>
      <c r="C4061" s="13"/>
      <c r="D4061" s="13"/>
      <c r="E4061" s="1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2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</row>
    <row r="4062" spans="1:41" x14ac:dyDescent="0.2">
      <c r="A4062" s="13"/>
      <c r="B4062" s="13"/>
      <c r="C4062" s="13"/>
      <c r="D4062" s="13"/>
      <c r="E4062" s="12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2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</row>
    <row r="4063" spans="1:41" x14ac:dyDescent="0.2">
      <c r="A4063" s="13"/>
      <c r="B4063" s="13"/>
      <c r="C4063" s="13"/>
      <c r="D4063" s="13"/>
      <c r="E4063" s="12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2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</row>
    <row r="4064" spans="1:41" x14ac:dyDescent="0.2">
      <c r="A4064" s="13"/>
      <c r="B4064" s="13"/>
      <c r="C4064" s="13"/>
      <c r="D4064" s="13"/>
      <c r="E4064" s="12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2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</row>
    <row r="4065" spans="1:41" x14ac:dyDescent="0.2">
      <c r="A4065" s="13"/>
      <c r="B4065" s="13"/>
      <c r="C4065" s="13"/>
      <c r="D4065" s="13"/>
      <c r="E4065" s="12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2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</row>
    <row r="4066" spans="1:41" x14ac:dyDescent="0.2">
      <c r="A4066" s="13"/>
      <c r="B4066" s="13"/>
      <c r="C4066" s="13"/>
      <c r="D4066" s="13"/>
      <c r="E4066" s="12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2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</row>
    <row r="4067" spans="1:41" x14ac:dyDescent="0.2">
      <c r="A4067" s="13"/>
      <c r="B4067" s="13"/>
      <c r="C4067" s="13"/>
      <c r="D4067" s="13"/>
      <c r="E4067" s="12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2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</row>
    <row r="4068" spans="1:41" x14ac:dyDescent="0.2">
      <c r="A4068" s="13"/>
      <c r="B4068" s="13"/>
      <c r="C4068" s="13"/>
      <c r="D4068" s="13"/>
      <c r="E4068" s="12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2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</row>
    <row r="4069" spans="1:41" x14ac:dyDescent="0.2">
      <c r="A4069" s="13"/>
      <c r="B4069" s="13"/>
      <c r="C4069" s="13"/>
      <c r="D4069" s="13"/>
      <c r="E4069" s="12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2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</row>
    <row r="4070" spans="1:41" x14ac:dyDescent="0.2">
      <c r="A4070" s="13"/>
      <c r="B4070" s="13"/>
      <c r="C4070" s="13"/>
      <c r="D4070" s="13"/>
      <c r="E4070" s="12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2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</row>
    <row r="4071" spans="1:41" x14ac:dyDescent="0.2">
      <c r="A4071" s="13"/>
      <c r="B4071" s="13"/>
      <c r="C4071" s="13"/>
      <c r="D4071" s="13"/>
      <c r="E4071" s="12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2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</row>
    <row r="4072" spans="1:41" x14ac:dyDescent="0.2">
      <c r="A4072" s="13"/>
      <c r="B4072" s="13"/>
      <c r="C4072" s="13"/>
      <c r="D4072" s="13"/>
      <c r="E4072" s="12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2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</row>
    <row r="4073" spans="1:41" x14ac:dyDescent="0.2">
      <c r="A4073" s="13"/>
      <c r="B4073" s="13"/>
      <c r="C4073" s="13"/>
      <c r="D4073" s="13"/>
      <c r="E4073" s="12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2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</row>
    <row r="4074" spans="1:41" x14ac:dyDescent="0.2">
      <c r="A4074" s="13"/>
      <c r="B4074" s="13"/>
      <c r="C4074" s="13"/>
      <c r="D4074" s="13"/>
      <c r="E4074" s="12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2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</row>
    <row r="4075" spans="1:41" x14ac:dyDescent="0.2">
      <c r="A4075" s="13"/>
      <c r="B4075" s="13"/>
      <c r="C4075" s="13"/>
      <c r="D4075" s="13"/>
      <c r="E4075" s="12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2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</row>
    <row r="4076" spans="1:41" x14ac:dyDescent="0.2">
      <c r="A4076" s="13"/>
      <c r="B4076" s="13"/>
      <c r="C4076" s="13"/>
      <c r="D4076" s="13"/>
      <c r="E4076" s="12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2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</row>
    <row r="4077" spans="1:41" x14ac:dyDescent="0.2">
      <c r="A4077" s="13"/>
      <c r="B4077" s="13"/>
      <c r="C4077" s="13"/>
      <c r="D4077" s="13"/>
      <c r="E4077" s="12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2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</row>
    <row r="4078" spans="1:41" x14ac:dyDescent="0.2">
      <c r="A4078" s="13"/>
      <c r="B4078" s="13"/>
      <c r="C4078" s="13"/>
      <c r="D4078" s="13"/>
      <c r="E4078" s="12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2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</row>
    <row r="4079" spans="1:41" x14ac:dyDescent="0.2">
      <c r="A4079" s="13"/>
      <c r="B4079" s="13"/>
      <c r="C4079" s="13"/>
      <c r="D4079" s="13"/>
      <c r="E4079" s="12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2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</row>
    <row r="4080" spans="1:41" x14ac:dyDescent="0.2">
      <c r="A4080" s="13"/>
      <c r="B4080" s="13"/>
      <c r="C4080" s="13"/>
      <c r="D4080" s="13"/>
      <c r="E4080" s="12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2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</row>
    <row r="4081" spans="1:41" x14ac:dyDescent="0.2">
      <c r="A4081" s="13"/>
      <c r="B4081" s="13"/>
      <c r="C4081" s="13"/>
      <c r="D4081" s="13"/>
      <c r="E4081" s="12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2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</row>
    <row r="4082" spans="1:41" x14ac:dyDescent="0.2">
      <c r="A4082" s="13"/>
      <c r="B4082" s="13"/>
      <c r="C4082" s="13"/>
      <c r="D4082" s="13"/>
      <c r="E4082" s="12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2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</row>
    <row r="4083" spans="1:41" x14ac:dyDescent="0.2">
      <c r="A4083" s="13"/>
      <c r="B4083" s="13"/>
      <c r="C4083" s="13"/>
      <c r="D4083" s="13"/>
      <c r="E4083" s="12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2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</row>
    <row r="4084" spans="1:41" x14ac:dyDescent="0.2">
      <c r="A4084" s="13"/>
      <c r="B4084" s="13"/>
      <c r="C4084" s="13"/>
      <c r="D4084" s="13"/>
      <c r="E4084" s="12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2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</row>
    <row r="4085" spans="1:41" x14ac:dyDescent="0.2">
      <c r="A4085" s="13"/>
      <c r="B4085" s="13"/>
      <c r="C4085" s="13"/>
      <c r="D4085" s="13"/>
      <c r="E4085" s="12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2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</row>
    <row r="4086" spans="1:41" x14ac:dyDescent="0.2">
      <c r="A4086" s="13"/>
      <c r="B4086" s="13"/>
      <c r="C4086" s="13"/>
      <c r="D4086" s="13"/>
      <c r="E4086" s="12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2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</row>
    <row r="4087" spans="1:41" x14ac:dyDescent="0.2">
      <c r="A4087" s="13"/>
      <c r="B4087" s="13"/>
      <c r="C4087" s="13"/>
      <c r="D4087" s="13"/>
      <c r="E4087" s="12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2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</row>
    <row r="4088" spans="1:41" x14ac:dyDescent="0.2">
      <c r="A4088" s="13"/>
      <c r="B4088" s="13"/>
      <c r="C4088" s="13"/>
      <c r="D4088" s="13"/>
      <c r="E4088" s="12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2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</row>
    <row r="4089" spans="1:41" x14ac:dyDescent="0.2">
      <c r="A4089" s="13"/>
      <c r="B4089" s="13"/>
      <c r="C4089" s="13"/>
      <c r="D4089" s="13"/>
      <c r="E4089" s="12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2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</row>
    <row r="4090" spans="1:41" x14ac:dyDescent="0.2">
      <c r="A4090" s="13"/>
      <c r="B4090" s="13"/>
      <c r="C4090" s="13"/>
      <c r="D4090" s="13"/>
      <c r="E4090" s="12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2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</row>
    <row r="4091" spans="1:41" x14ac:dyDescent="0.2">
      <c r="A4091" s="13"/>
      <c r="B4091" s="13"/>
      <c r="C4091" s="13"/>
      <c r="D4091" s="13"/>
      <c r="E4091" s="12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2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</row>
    <row r="4092" spans="1:41" x14ac:dyDescent="0.2">
      <c r="A4092" s="13"/>
      <c r="B4092" s="13"/>
      <c r="C4092" s="13"/>
      <c r="D4092" s="13"/>
      <c r="E4092" s="12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2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</row>
    <row r="4093" spans="1:41" x14ac:dyDescent="0.2">
      <c r="A4093" s="13"/>
      <c r="B4093" s="13"/>
      <c r="C4093" s="13"/>
      <c r="D4093" s="13"/>
      <c r="E4093" s="12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2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</row>
    <row r="4094" spans="1:41" x14ac:dyDescent="0.2">
      <c r="A4094" s="13"/>
      <c r="B4094" s="13"/>
      <c r="C4094" s="13"/>
      <c r="D4094" s="13"/>
      <c r="E4094" s="12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2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</row>
    <row r="4095" spans="1:41" x14ac:dyDescent="0.2">
      <c r="A4095" s="13"/>
      <c r="B4095" s="13"/>
      <c r="C4095" s="13"/>
      <c r="D4095" s="13"/>
      <c r="E4095" s="12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2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</row>
    <row r="4096" spans="1:41" x14ac:dyDescent="0.2">
      <c r="A4096" s="13"/>
      <c r="B4096" s="13"/>
      <c r="C4096" s="13"/>
      <c r="D4096" s="13"/>
      <c r="E4096" s="12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2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</row>
    <row r="4097" spans="1:41" x14ac:dyDescent="0.2">
      <c r="A4097" s="13"/>
      <c r="B4097" s="13"/>
      <c r="C4097" s="13"/>
      <c r="D4097" s="13"/>
      <c r="E4097" s="12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2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</row>
    <row r="4098" spans="1:41" x14ac:dyDescent="0.2">
      <c r="A4098" s="13"/>
      <c r="B4098" s="13"/>
      <c r="C4098" s="13"/>
      <c r="D4098" s="13"/>
      <c r="E4098" s="12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2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</row>
    <row r="4099" spans="1:41" x14ac:dyDescent="0.2">
      <c r="A4099" s="13"/>
      <c r="B4099" s="13"/>
      <c r="C4099" s="13"/>
      <c r="D4099" s="13"/>
      <c r="E4099" s="12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2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</row>
    <row r="4100" spans="1:41" x14ac:dyDescent="0.2">
      <c r="A4100" s="13"/>
      <c r="B4100" s="13"/>
      <c r="C4100" s="13"/>
      <c r="D4100" s="13"/>
      <c r="E4100" s="12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2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</row>
    <row r="4101" spans="1:41" x14ac:dyDescent="0.2">
      <c r="A4101" s="13"/>
      <c r="B4101" s="13"/>
      <c r="C4101" s="13"/>
      <c r="D4101" s="13"/>
      <c r="E4101" s="12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2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</row>
    <row r="4102" spans="1:41" x14ac:dyDescent="0.2">
      <c r="A4102" s="13"/>
      <c r="B4102" s="13"/>
      <c r="C4102" s="13"/>
      <c r="D4102" s="13"/>
      <c r="E4102" s="12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2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</row>
    <row r="4103" spans="1:41" x14ac:dyDescent="0.2">
      <c r="A4103" s="13"/>
      <c r="B4103" s="13"/>
      <c r="C4103" s="13"/>
      <c r="D4103" s="13"/>
      <c r="E4103" s="12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2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</row>
    <row r="4104" spans="1:41" x14ac:dyDescent="0.2">
      <c r="A4104" s="13"/>
      <c r="B4104" s="13"/>
      <c r="C4104" s="13"/>
      <c r="D4104" s="13"/>
      <c r="E4104" s="12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2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</row>
    <row r="4105" spans="1:41" x14ac:dyDescent="0.2">
      <c r="A4105" s="13"/>
      <c r="B4105" s="13"/>
      <c r="C4105" s="13"/>
      <c r="D4105" s="13"/>
      <c r="E4105" s="12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2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</row>
    <row r="4106" spans="1:41" x14ac:dyDescent="0.2">
      <c r="A4106" s="13"/>
      <c r="B4106" s="13"/>
      <c r="C4106" s="13"/>
      <c r="D4106" s="13"/>
      <c r="E4106" s="12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2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</row>
    <row r="4107" spans="1:41" x14ac:dyDescent="0.2">
      <c r="A4107" s="13"/>
      <c r="B4107" s="13"/>
      <c r="C4107" s="13"/>
      <c r="D4107" s="13"/>
      <c r="E4107" s="12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2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</row>
    <row r="4108" spans="1:41" x14ac:dyDescent="0.2">
      <c r="A4108" s="13"/>
      <c r="B4108" s="13"/>
      <c r="C4108" s="13"/>
      <c r="D4108" s="13"/>
      <c r="E4108" s="12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2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</row>
    <row r="4109" spans="1:41" x14ac:dyDescent="0.2">
      <c r="A4109" s="13"/>
      <c r="B4109" s="13"/>
      <c r="C4109" s="13"/>
      <c r="D4109" s="13"/>
      <c r="E4109" s="12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2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</row>
    <row r="4110" spans="1:41" x14ac:dyDescent="0.2">
      <c r="A4110" s="13"/>
      <c r="B4110" s="13"/>
      <c r="C4110" s="13"/>
      <c r="D4110" s="13"/>
      <c r="E4110" s="12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2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</row>
    <row r="4111" spans="1:41" x14ac:dyDescent="0.2">
      <c r="A4111" s="13"/>
      <c r="B4111" s="13"/>
      <c r="C4111" s="13"/>
      <c r="D4111" s="13"/>
      <c r="E4111" s="12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2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</row>
    <row r="4112" spans="1:41" x14ac:dyDescent="0.2">
      <c r="A4112" s="13"/>
      <c r="B4112" s="13"/>
      <c r="C4112" s="13"/>
      <c r="D4112" s="13"/>
      <c r="E4112" s="12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2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</row>
    <row r="4113" spans="1:41" x14ac:dyDescent="0.2">
      <c r="A4113" s="13"/>
      <c r="B4113" s="13"/>
      <c r="C4113" s="13"/>
      <c r="D4113" s="13"/>
      <c r="E4113" s="12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2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</row>
    <row r="4114" spans="1:41" x14ac:dyDescent="0.2">
      <c r="A4114" s="13"/>
      <c r="B4114" s="13"/>
      <c r="C4114" s="13"/>
      <c r="D4114" s="13"/>
      <c r="E4114" s="12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2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</row>
    <row r="4115" spans="1:41" x14ac:dyDescent="0.2">
      <c r="A4115" s="13"/>
      <c r="B4115" s="13"/>
      <c r="C4115" s="13"/>
      <c r="D4115" s="13"/>
      <c r="E4115" s="12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2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</row>
    <row r="4116" spans="1:41" x14ac:dyDescent="0.2">
      <c r="A4116" s="13"/>
      <c r="B4116" s="13"/>
      <c r="C4116" s="13"/>
      <c r="D4116" s="13"/>
      <c r="E4116" s="12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2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</row>
    <row r="4117" spans="1:41" x14ac:dyDescent="0.2">
      <c r="A4117" s="13"/>
      <c r="B4117" s="13"/>
      <c r="C4117" s="13"/>
      <c r="D4117" s="13"/>
      <c r="E4117" s="12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2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</row>
    <row r="4118" spans="1:41" x14ac:dyDescent="0.2">
      <c r="A4118" s="13"/>
      <c r="B4118" s="13"/>
      <c r="C4118" s="13"/>
      <c r="D4118" s="13"/>
      <c r="E4118" s="12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2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</row>
    <row r="4119" spans="1:41" x14ac:dyDescent="0.2">
      <c r="A4119" s="13"/>
      <c r="B4119" s="13"/>
      <c r="C4119" s="13"/>
      <c r="D4119" s="13"/>
      <c r="E4119" s="12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2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</row>
    <row r="4120" spans="1:41" x14ac:dyDescent="0.2">
      <c r="A4120" s="13"/>
      <c r="B4120" s="13"/>
      <c r="C4120" s="13"/>
      <c r="D4120" s="13"/>
      <c r="E4120" s="12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2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</row>
    <row r="4121" spans="1:41" x14ac:dyDescent="0.2">
      <c r="A4121" s="13"/>
      <c r="B4121" s="13"/>
      <c r="C4121" s="13"/>
      <c r="D4121" s="13"/>
      <c r="E4121" s="12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2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</row>
    <row r="4122" spans="1:41" x14ac:dyDescent="0.2">
      <c r="A4122" s="13"/>
      <c r="B4122" s="13"/>
      <c r="C4122" s="13"/>
      <c r="D4122" s="13"/>
      <c r="E4122" s="12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2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</row>
    <row r="4123" spans="1:41" x14ac:dyDescent="0.2">
      <c r="A4123" s="13"/>
      <c r="B4123" s="13"/>
      <c r="C4123" s="13"/>
      <c r="D4123" s="13"/>
      <c r="E4123" s="12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2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</row>
    <row r="4124" spans="1:41" x14ac:dyDescent="0.2">
      <c r="A4124" s="13"/>
      <c r="B4124" s="13"/>
      <c r="C4124" s="13"/>
      <c r="D4124" s="13"/>
      <c r="E4124" s="12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2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</row>
    <row r="4125" spans="1:41" x14ac:dyDescent="0.2">
      <c r="A4125" s="13"/>
      <c r="B4125" s="13"/>
      <c r="C4125" s="13"/>
      <c r="D4125" s="13"/>
      <c r="E4125" s="12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2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</row>
    <row r="4126" spans="1:41" x14ac:dyDescent="0.2">
      <c r="A4126" s="13"/>
      <c r="B4126" s="13"/>
      <c r="C4126" s="13"/>
      <c r="D4126" s="13"/>
      <c r="E4126" s="12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2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</row>
    <row r="4127" spans="1:41" x14ac:dyDescent="0.2">
      <c r="A4127" s="13"/>
      <c r="B4127" s="13"/>
      <c r="C4127" s="13"/>
      <c r="D4127" s="13"/>
      <c r="E4127" s="12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2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</row>
    <row r="4128" spans="1:41" x14ac:dyDescent="0.2">
      <c r="A4128" s="13"/>
      <c r="B4128" s="13"/>
      <c r="C4128" s="13"/>
      <c r="D4128" s="13"/>
      <c r="E4128" s="12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2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</row>
    <row r="4129" spans="1:41" x14ac:dyDescent="0.2">
      <c r="A4129" s="13"/>
      <c r="B4129" s="13"/>
      <c r="C4129" s="13"/>
      <c r="D4129" s="13"/>
      <c r="E4129" s="12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2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</row>
    <row r="4130" spans="1:41" x14ac:dyDescent="0.2">
      <c r="A4130" s="13"/>
      <c r="B4130" s="13"/>
      <c r="C4130" s="13"/>
      <c r="D4130" s="13"/>
      <c r="E4130" s="12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2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</row>
    <row r="4131" spans="1:41" x14ac:dyDescent="0.2">
      <c r="A4131" s="13"/>
      <c r="B4131" s="13"/>
      <c r="C4131" s="13"/>
      <c r="D4131" s="13"/>
      <c r="E4131" s="12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2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</row>
    <row r="4132" spans="1:41" x14ac:dyDescent="0.2">
      <c r="A4132" s="13"/>
      <c r="B4132" s="13"/>
      <c r="C4132" s="13"/>
      <c r="D4132" s="13"/>
      <c r="E4132" s="12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2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</row>
    <row r="4133" spans="1:41" x14ac:dyDescent="0.2">
      <c r="A4133" s="13"/>
      <c r="B4133" s="13"/>
      <c r="C4133" s="13"/>
      <c r="D4133" s="13"/>
      <c r="E4133" s="12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2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</row>
    <row r="4134" spans="1:41" x14ac:dyDescent="0.2">
      <c r="A4134" s="13"/>
      <c r="B4134" s="13"/>
      <c r="C4134" s="13"/>
      <c r="D4134" s="13"/>
      <c r="E4134" s="12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2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</row>
    <row r="4135" spans="1:41" x14ac:dyDescent="0.2">
      <c r="A4135" s="13"/>
      <c r="B4135" s="13"/>
      <c r="C4135" s="13"/>
      <c r="D4135" s="13"/>
      <c r="E4135" s="12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2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</row>
    <row r="4136" spans="1:41" x14ac:dyDescent="0.2">
      <c r="A4136" s="13"/>
      <c r="B4136" s="13"/>
      <c r="C4136" s="13"/>
      <c r="D4136" s="13"/>
      <c r="E4136" s="12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2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</row>
    <row r="4137" spans="1:41" x14ac:dyDescent="0.2">
      <c r="A4137" s="13"/>
      <c r="B4137" s="13"/>
      <c r="C4137" s="13"/>
      <c r="D4137" s="13"/>
      <c r="E4137" s="12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2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</row>
    <row r="4138" spans="1:41" x14ac:dyDescent="0.2">
      <c r="A4138" s="13"/>
      <c r="B4138" s="13"/>
      <c r="C4138" s="13"/>
      <c r="D4138" s="13"/>
      <c r="E4138" s="12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2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</row>
    <row r="4139" spans="1:41" x14ac:dyDescent="0.2">
      <c r="A4139" s="13"/>
      <c r="B4139" s="13"/>
      <c r="C4139" s="13"/>
      <c r="D4139" s="13"/>
      <c r="E4139" s="12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2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</row>
    <row r="4140" spans="1:41" x14ac:dyDescent="0.2">
      <c r="A4140" s="13"/>
      <c r="B4140" s="13"/>
      <c r="C4140" s="13"/>
      <c r="D4140" s="13"/>
      <c r="E4140" s="12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2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</row>
    <row r="4141" spans="1:41" x14ac:dyDescent="0.2">
      <c r="A4141" s="13"/>
      <c r="B4141" s="13"/>
      <c r="C4141" s="13"/>
      <c r="D4141" s="13"/>
      <c r="E4141" s="12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2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</row>
    <row r="4142" spans="1:41" x14ac:dyDescent="0.2">
      <c r="A4142" s="13"/>
      <c r="B4142" s="13"/>
      <c r="C4142" s="13"/>
      <c r="D4142" s="13"/>
      <c r="E4142" s="12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2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</row>
    <row r="4143" spans="1:41" x14ac:dyDescent="0.2">
      <c r="A4143" s="13"/>
      <c r="B4143" s="13"/>
      <c r="C4143" s="13"/>
      <c r="D4143" s="13"/>
      <c r="E4143" s="12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2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</row>
    <row r="4144" spans="1:41" x14ac:dyDescent="0.2">
      <c r="A4144" s="13"/>
      <c r="B4144" s="13"/>
      <c r="C4144" s="13"/>
      <c r="D4144" s="13"/>
      <c r="E4144" s="12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2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</row>
    <row r="4145" spans="1:41" x14ac:dyDescent="0.2">
      <c r="A4145" s="13"/>
      <c r="B4145" s="13"/>
      <c r="C4145" s="13"/>
      <c r="D4145" s="13"/>
      <c r="E4145" s="12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2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</row>
    <row r="4146" spans="1:41" x14ac:dyDescent="0.2">
      <c r="A4146" s="13"/>
      <c r="B4146" s="13"/>
      <c r="C4146" s="13"/>
      <c r="D4146" s="13"/>
      <c r="E4146" s="12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2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</row>
    <row r="4147" spans="1:41" x14ac:dyDescent="0.2">
      <c r="A4147" s="13"/>
      <c r="B4147" s="13"/>
      <c r="C4147" s="13"/>
      <c r="D4147" s="13"/>
      <c r="E4147" s="12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2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</row>
    <row r="4148" spans="1:41" x14ac:dyDescent="0.2">
      <c r="A4148" s="13"/>
      <c r="B4148" s="13"/>
      <c r="C4148" s="13"/>
      <c r="D4148" s="13"/>
      <c r="E4148" s="12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2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</row>
    <row r="4149" spans="1:41" x14ac:dyDescent="0.2">
      <c r="A4149" s="13"/>
      <c r="B4149" s="13"/>
      <c r="C4149" s="13"/>
      <c r="D4149" s="13"/>
      <c r="E4149" s="12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2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</row>
    <row r="4150" spans="1:41" x14ac:dyDescent="0.2">
      <c r="A4150" s="13"/>
      <c r="B4150" s="13"/>
      <c r="C4150" s="13"/>
      <c r="D4150" s="13"/>
      <c r="E4150" s="12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2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</row>
    <row r="4151" spans="1:41" x14ac:dyDescent="0.2">
      <c r="A4151" s="13"/>
      <c r="B4151" s="13"/>
      <c r="C4151" s="13"/>
      <c r="D4151" s="13"/>
      <c r="E4151" s="12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2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</row>
    <row r="4152" spans="1:41" x14ac:dyDescent="0.2">
      <c r="A4152" s="13"/>
      <c r="B4152" s="13"/>
      <c r="C4152" s="13"/>
      <c r="D4152" s="13"/>
      <c r="E4152" s="12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2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</row>
    <row r="4153" spans="1:41" x14ac:dyDescent="0.2">
      <c r="A4153" s="13"/>
      <c r="B4153" s="13"/>
      <c r="C4153" s="13"/>
      <c r="D4153" s="13"/>
      <c r="E4153" s="12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2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</row>
    <row r="4154" spans="1:41" x14ac:dyDescent="0.2">
      <c r="A4154" s="13"/>
      <c r="B4154" s="13"/>
      <c r="C4154" s="13"/>
      <c r="D4154" s="13"/>
      <c r="E4154" s="12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2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</row>
    <row r="4155" spans="1:41" x14ac:dyDescent="0.2">
      <c r="A4155" s="13"/>
      <c r="B4155" s="13"/>
      <c r="C4155" s="13"/>
      <c r="D4155" s="13"/>
      <c r="E4155" s="12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2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</row>
    <row r="4156" spans="1:41" x14ac:dyDescent="0.2">
      <c r="A4156" s="13"/>
      <c r="B4156" s="13"/>
      <c r="C4156" s="13"/>
      <c r="D4156" s="13"/>
      <c r="E4156" s="12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2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</row>
    <row r="4157" spans="1:41" x14ac:dyDescent="0.2">
      <c r="A4157" s="13"/>
      <c r="B4157" s="13"/>
      <c r="C4157" s="13"/>
      <c r="D4157" s="13"/>
      <c r="E4157" s="12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2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</row>
    <row r="4158" spans="1:41" x14ac:dyDescent="0.2">
      <c r="A4158" s="13"/>
      <c r="B4158" s="13"/>
      <c r="C4158" s="13"/>
      <c r="D4158" s="13"/>
      <c r="E4158" s="12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2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</row>
    <row r="4159" spans="1:41" x14ac:dyDescent="0.2">
      <c r="A4159" s="13"/>
      <c r="B4159" s="13"/>
      <c r="C4159" s="13"/>
      <c r="D4159" s="13"/>
      <c r="E4159" s="12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2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</row>
    <row r="4160" spans="1:41" x14ac:dyDescent="0.2">
      <c r="A4160" s="13"/>
      <c r="B4160" s="13"/>
      <c r="C4160" s="13"/>
      <c r="D4160" s="13"/>
      <c r="E4160" s="12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2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</row>
    <row r="4161" spans="1:41" x14ac:dyDescent="0.2">
      <c r="A4161" s="13"/>
      <c r="B4161" s="13"/>
      <c r="C4161" s="13"/>
      <c r="D4161" s="13"/>
      <c r="E4161" s="12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2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</row>
    <row r="4162" spans="1:41" x14ac:dyDescent="0.2">
      <c r="A4162" s="13"/>
      <c r="B4162" s="13"/>
      <c r="C4162" s="13"/>
      <c r="D4162" s="13"/>
      <c r="E4162" s="12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2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</row>
    <row r="4163" spans="1:41" x14ac:dyDescent="0.2">
      <c r="A4163" s="13"/>
      <c r="B4163" s="13"/>
      <c r="C4163" s="13"/>
      <c r="D4163" s="13"/>
      <c r="E4163" s="12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2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</row>
    <row r="4164" spans="1:41" x14ac:dyDescent="0.2">
      <c r="A4164" s="13"/>
      <c r="B4164" s="13"/>
      <c r="C4164" s="13"/>
      <c r="D4164" s="13"/>
      <c r="E4164" s="12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2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</row>
    <row r="4165" spans="1:41" x14ac:dyDescent="0.2">
      <c r="A4165" s="13"/>
      <c r="B4165" s="13"/>
      <c r="C4165" s="13"/>
      <c r="D4165" s="13"/>
      <c r="E4165" s="12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2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</row>
    <row r="4166" spans="1:41" x14ac:dyDescent="0.2">
      <c r="A4166" s="13"/>
      <c r="B4166" s="13"/>
      <c r="C4166" s="13"/>
      <c r="D4166" s="13"/>
      <c r="E4166" s="12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2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</row>
    <row r="4167" spans="1:41" x14ac:dyDescent="0.2">
      <c r="A4167" s="13"/>
      <c r="B4167" s="13"/>
      <c r="C4167" s="13"/>
      <c r="D4167" s="13"/>
      <c r="E4167" s="12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2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</row>
    <row r="4168" spans="1:41" x14ac:dyDescent="0.2">
      <c r="A4168" s="13"/>
      <c r="B4168" s="13"/>
      <c r="C4168" s="13"/>
      <c r="D4168" s="13"/>
      <c r="E4168" s="12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2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</row>
    <row r="4169" spans="1:41" x14ac:dyDescent="0.2">
      <c r="A4169" s="13"/>
      <c r="B4169" s="13"/>
      <c r="C4169" s="13"/>
      <c r="D4169" s="13"/>
      <c r="E4169" s="12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2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</row>
    <row r="4170" spans="1:41" x14ac:dyDescent="0.2">
      <c r="A4170" s="13"/>
      <c r="B4170" s="13"/>
      <c r="C4170" s="13"/>
      <c r="D4170" s="13"/>
      <c r="E4170" s="12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2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</row>
    <row r="4171" spans="1:41" x14ac:dyDescent="0.2">
      <c r="A4171" s="13"/>
      <c r="B4171" s="13"/>
      <c r="C4171" s="13"/>
      <c r="D4171" s="13"/>
      <c r="E4171" s="12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2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</row>
    <row r="4172" spans="1:41" x14ac:dyDescent="0.2">
      <c r="A4172" s="13"/>
      <c r="B4172" s="13"/>
      <c r="C4172" s="13"/>
      <c r="D4172" s="13"/>
      <c r="E4172" s="12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2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</row>
    <row r="4173" spans="1:41" x14ac:dyDescent="0.2">
      <c r="A4173" s="13"/>
      <c r="B4173" s="13"/>
      <c r="C4173" s="13"/>
      <c r="D4173" s="13"/>
      <c r="E4173" s="12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2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</row>
    <row r="4174" spans="1:41" x14ac:dyDescent="0.2">
      <c r="A4174" s="13"/>
      <c r="B4174" s="13"/>
      <c r="C4174" s="13"/>
      <c r="D4174" s="13"/>
      <c r="E4174" s="12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2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</row>
    <row r="4175" spans="1:41" x14ac:dyDescent="0.2">
      <c r="A4175" s="13"/>
      <c r="B4175" s="13"/>
      <c r="C4175" s="13"/>
      <c r="D4175" s="13"/>
      <c r="E4175" s="12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2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</row>
    <row r="4176" spans="1:41" x14ac:dyDescent="0.2">
      <c r="A4176" s="13"/>
      <c r="B4176" s="13"/>
      <c r="C4176" s="13"/>
      <c r="D4176" s="13"/>
      <c r="E4176" s="12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2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</row>
    <row r="4177" spans="1:41" x14ac:dyDescent="0.2">
      <c r="A4177" s="13"/>
      <c r="B4177" s="13"/>
      <c r="C4177" s="13"/>
      <c r="D4177" s="13"/>
      <c r="E4177" s="12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2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</row>
    <row r="4178" spans="1:41" x14ac:dyDescent="0.2">
      <c r="A4178" s="13"/>
      <c r="B4178" s="13"/>
      <c r="C4178" s="13"/>
      <c r="D4178" s="13"/>
      <c r="E4178" s="12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2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</row>
    <row r="4179" spans="1:41" x14ac:dyDescent="0.2">
      <c r="A4179" s="13"/>
      <c r="B4179" s="13"/>
      <c r="C4179" s="13"/>
      <c r="D4179" s="13"/>
      <c r="E4179" s="12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2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</row>
    <row r="4180" spans="1:41" x14ac:dyDescent="0.2">
      <c r="A4180" s="13"/>
      <c r="B4180" s="13"/>
      <c r="C4180" s="13"/>
      <c r="D4180" s="13"/>
      <c r="E4180" s="12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2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</row>
    <row r="4181" spans="1:41" x14ac:dyDescent="0.2">
      <c r="A4181" s="13"/>
      <c r="B4181" s="13"/>
      <c r="C4181" s="13"/>
      <c r="D4181" s="13"/>
      <c r="E4181" s="12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2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</row>
    <row r="4182" spans="1:41" x14ac:dyDescent="0.2">
      <c r="A4182" s="13"/>
      <c r="B4182" s="13"/>
      <c r="C4182" s="13"/>
      <c r="D4182" s="13"/>
      <c r="E4182" s="12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2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</row>
    <row r="4183" spans="1:41" x14ac:dyDescent="0.2">
      <c r="A4183" s="13"/>
      <c r="B4183" s="13"/>
      <c r="C4183" s="13"/>
      <c r="D4183" s="13"/>
      <c r="E4183" s="12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2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</row>
    <row r="4184" spans="1:41" x14ac:dyDescent="0.2">
      <c r="A4184" s="13"/>
      <c r="B4184" s="13"/>
      <c r="C4184" s="13"/>
      <c r="D4184" s="13"/>
      <c r="E4184" s="12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2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</row>
    <row r="4185" spans="1:41" x14ac:dyDescent="0.2">
      <c r="A4185" s="13"/>
      <c r="B4185" s="13"/>
      <c r="C4185" s="13"/>
      <c r="D4185" s="13"/>
      <c r="E4185" s="12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2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</row>
    <row r="4186" spans="1:41" x14ac:dyDescent="0.2">
      <c r="A4186" s="13"/>
      <c r="B4186" s="13"/>
      <c r="C4186" s="13"/>
      <c r="D4186" s="13"/>
      <c r="E4186" s="12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2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</row>
    <row r="4187" spans="1:41" x14ac:dyDescent="0.2">
      <c r="A4187" s="13"/>
      <c r="B4187" s="13"/>
      <c r="C4187" s="13"/>
      <c r="D4187" s="13"/>
      <c r="E4187" s="12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2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</row>
    <row r="4188" spans="1:41" x14ac:dyDescent="0.2">
      <c r="A4188" s="13"/>
      <c r="B4188" s="13"/>
      <c r="C4188" s="13"/>
      <c r="D4188" s="13"/>
      <c r="E4188" s="12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2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</row>
    <row r="4189" spans="1:41" x14ac:dyDescent="0.2">
      <c r="A4189" s="13"/>
      <c r="B4189" s="13"/>
      <c r="C4189" s="13"/>
      <c r="D4189" s="13"/>
      <c r="E4189" s="12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2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</row>
    <row r="4190" spans="1:41" x14ac:dyDescent="0.2">
      <c r="A4190" s="13"/>
      <c r="B4190" s="13"/>
      <c r="C4190" s="13"/>
      <c r="D4190" s="13"/>
      <c r="E4190" s="12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2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</row>
    <row r="4191" spans="1:41" x14ac:dyDescent="0.2">
      <c r="A4191" s="13"/>
      <c r="B4191" s="13"/>
      <c r="C4191" s="13"/>
      <c r="D4191" s="13"/>
      <c r="E4191" s="12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2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</row>
    <row r="4192" spans="1:41" x14ac:dyDescent="0.2">
      <c r="A4192" s="13"/>
      <c r="B4192" s="13"/>
      <c r="C4192" s="13"/>
      <c r="D4192" s="13"/>
      <c r="E4192" s="12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2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</row>
    <row r="4193" spans="1:41" x14ac:dyDescent="0.2">
      <c r="A4193" s="13"/>
      <c r="B4193" s="13"/>
      <c r="C4193" s="13"/>
      <c r="D4193" s="13"/>
      <c r="E4193" s="12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2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</row>
    <row r="4194" spans="1:41" x14ac:dyDescent="0.2">
      <c r="A4194" s="13"/>
      <c r="B4194" s="13"/>
      <c r="C4194" s="13"/>
      <c r="D4194" s="13"/>
      <c r="E4194" s="12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2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</row>
    <row r="4195" spans="1:41" x14ac:dyDescent="0.2">
      <c r="A4195" s="13"/>
      <c r="B4195" s="13"/>
      <c r="C4195" s="13"/>
      <c r="D4195" s="13"/>
      <c r="E4195" s="12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2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</row>
    <row r="4196" spans="1:41" x14ac:dyDescent="0.2">
      <c r="A4196" s="13"/>
      <c r="B4196" s="13"/>
      <c r="C4196" s="13"/>
      <c r="D4196" s="13"/>
      <c r="E4196" s="12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2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</row>
    <row r="4197" spans="1:41" x14ac:dyDescent="0.2">
      <c r="A4197" s="13"/>
      <c r="B4197" s="13"/>
      <c r="C4197" s="13"/>
      <c r="D4197" s="13"/>
      <c r="E4197" s="12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2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</row>
    <row r="4198" spans="1:41" x14ac:dyDescent="0.2">
      <c r="A4198" s="13"/>
      <c r="B4198" s="13"/>
      <c r="C4198" s="13"/>
      <c r="D4198" s="13"/>
      <c r="E4198" s="12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2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</row>
    <row r="4199" spans="1:41" x14ac:dyDescent="0.2">
      <c r="A4199" s="13"/>
      <c r="B4199" s="13"/>
      <c r="C4199" s="13"/>
      <c r="D4199" s="13"/>
      <c r="E4199" s="12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2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</row>
    <row r="4200" spans="1:41" x14ac:dyDescent="0.2">
      <c r="A4200" s="13"/>
      <c r="B4200" s="13"/>
      <c r="C4200" s="13"/>
      <c r="D4200" s="13"/>
      <c r="E4200" s="12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2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</row>
    <row r="4201" spans="1:41" x14ac:dyDescent="0.2">
      <c r="A4201" s="13"/>
      <c r="B4201" s="13"/>
      <c r="C4201" s="13"/>
      <c r="D4201" s="13"/>
      <c r="E4201" s="12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2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</row>
    <row r="4202" spans="1:41" x14ac:dyDescent="0.2">
      <c r="A4202" s="13"/>
      <c r="B4202" s="13"/>
      <c r="C4202" s="13"/>
      <c r="D4202" s="13"/>
      <c r="E4202" s="12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2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</row>
    <row r="4203" spans="1:41" x14ac:dyDescent="0.2">
      <c r="A4203" s="13"/>
      <c r="B4203" s="13"/>
      <c r="C4203" s="13"/>
      <c r="D4203" s="13"/>
      <c r="E4203" s="12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2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</row>
    <row r="4204" spans="1:41" x14ac:dyDescent="0.2">
      <c r="A4204" s="13"/>
      <c r="B4204" s="13"/>
      <c r="C4204" s="13"/>
      <c r="D4204" s="13"/>
      <c r="E4204" s="12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2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</row>
    <row r="4205" spans="1:41" x14ac:dyDescent="0.2">
      <c r="A4205" s="13"/>
      <c r="B4205" s="13"/>
      <c r="C4205" s="13"/>
      <c r="D4205" s="13"/>
      <c r="E4205" s="12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2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</row>
    <row r="4206" spans="1:41" x14ac:dyDescent="0.2">
      <c r="A4206" s="13"/>
      <c r="B4206" s="13"/>
      <c r="C4206" s="13"/>
      <c r="D4206" s="13"/>
      <c r="E4206" s="12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2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</row>
    <row r="4207" spans="1:41" x14ac:dyDescent="0.2">
      <c r="A4207" s="13"/>
      <c r="B4207" s="13"/>
      <c r="C4207" s="13"/>
      <c r="D4207" s="13"/>
      <c r="E4207" s="12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2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</row>
    <row r="4208" spans="1:41" x14ac:dyDescent="0.2">
      <c r="A4208" s="13"/>
      <c r="B4208" s="13"/>
      <c r="C4208" s="13"/>
      <c r="D4208" s="13"/>
      <c r="E4208" s="12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2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</row>
    <row r="4209" spans="1:41" x14ac:dyDescent="0.2">
      <c r="A4209" s="13"/>
      <c r="B4209" s="13"/>
      <c r="C4209" s="13"/>
      <c r="D4209" s="13"/>
      <c r="E4209" s="12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2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</row>
    <row r="4210" spans="1:41" x14ac:dyDescent="0.2">
      <c r="A4210" s="13"/>
      <c r="B4210" s="13"/>
      <c r="C4210" s="13"/>
      <c r="D4210" s="13"/>
      <c r="E4210" s="12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2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</row>
    <row r="4211" spans="1:41" x14ac:dyDescent="0.2">
      <c r="A4211" s="13"/>
      <c r="B4211" s="13"/>
      <c r="C4211" s="13"/>
      <c r="D4211" s="13"/>
      <c r="E4211" s="12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2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</row>
    <row r="4212" spans="1:41" x14ac:dyDescent="0.2">
      <c r="A4212" s="13"/>
      <c r="B4212" s="13"/>
      <c r="C4212" s="13"/>
      <c r="D4212" s="13"/>
      <c r="E4212" s="12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2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</row>
    <row r="4213" spans="1:41" x14ac:dyDescent="0.2">
      <c r="A4213" s="13"/>
      <c r="B4213" s="13"/>
      <c r="C4213" s="13"/>
      <c r="D4213" s="13"/>
      <c r="E4213" s="12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2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</row>
    <row r="4214" spans="1:41" x14ac:dyDescent="0.2">
      <c r="A4214" s="13"/>
      <c r="B4214" s="13"/>
      <c r="C4214" s="13"/>
      <c r="D4214" s="13"/>
      <c r="E4214" s="12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2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</row>
    <row r="4215" spans="1:41" x14ac:dyDescent="0.2">
      <c r="A4215" s="13"/>
      <c r="B4215" s="13"/>
      <c r="C4215" s="13"/>
      <c r="D4215" s="13"/>
      <c r="E4215" s="12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2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</row>
    <row r="4216" spans="1:41" x14ac:dyDescent="0.2">
      <c r="A4216" s="13"/>
      <c r="B4216" s="13"/>
      <c r="C4216" s="13"/>
      <c r="D4216" s="13"/>
      <c r="E4216" s="12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2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</row>
    <row r="4217" spans="1:41" x14ac:dyDescent="0.2">
      <c r="A4217" s="13"/>
      <c r="B4217" s="13"/>
      <c r="C4217" s="13"/>
      <c r="D4217" s="13"/>
      <c r="E4217" s="12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2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</row>
    <row r="4218" spans="1:41" x14ac:dyDescent="0.2">
      <c r="A4218" s="13"/>
      <c r="B4218" s="13"/>
      <c r="C4218" s="13"/>
      <c r="D4218" s="13"/>
      <c r="E4218" s="12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2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</row>
    <row r="4219" spans="1:41" x14ac:dyDescent="0.2">
      <c r="A4219" s="13"/>
      <c r="B4219" s="13"/>
      <c r="C4219" s="13"/>
      <c r="D4219" s="13"/>
      <c r="E4219" s="12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2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</row>
    <row r="4220" spans="1:41" x14ac:dyDescent="0.2">
      <c r="A4220" s="13"/>
      <c r="B4220" s="13"/>
      <c r="C4220" s="13"/>
      <c r="D4220" s="13"/>
      <c r="E4220" s="12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2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</row>
    <row r="4221" spans="1:41" x14ac:dyDescent="0.2">
      <c r="A4221" s="13"/>
      <c r="B4221" s="13"/>
      <c r="C4221" s="13"/>
      <c r="D4221" s="13"/>
      <c r="E4221" s="12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2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</row>
    <row r="4222" spans="1:41" x14ac:dyDescent="0.2">
      <c r="A4222" s="13"/>
      <c r="B4222" s="13"/>
      <c r="C4222" s="13"/>
      <c r="D4222" s="13"/>
      <c r="E4222" s="12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2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</row>
    <row r="4223" spans="1:41" x14ac:dyDescent="0.2">
      <c r="A4223" s="13"/>
      <c r="B4223" s="13"/>
      <c r="C4223" s="13"/>
      <c r="D4223" s="13"/>
      <c r="E4223" s="12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2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</row>
    <row r="4224" spans="1:41" x14ac:dyDescent="0.2">
      <c r="A4224" s="13"/>
      <c r="B4224" s="13"/>
      <c r="C4224" s="13"/>
      <c r="D4224" s="13"/>
      <c r="E4224" s="12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2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</row>
    <row r="4225" spans="1:41" x14ac:dyDescent="0.2">
      <c r="A4225" s="13"/>
      <c r="B4225" s="13"/>
      <c r="C4225" s="13"/>
      <c r="D4225" s="13"/>
      <c r="E4225" s="12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2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</row>
    <row r="4226" spans="1:41" x14ac:dyDescent="0.2">
      <c r="A4226" s="13"/>
      <c r="B4226" s="13"/>
      <c r="C4226" s="13"/>
      <c r="D4226" s="13"/>
      <c r="E4226" s="12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2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</row>
    <row r="4227" spans="1:41" x14ac:dyDescent="0.2">
      <c r="A4227" s="13"/>
      <c r="B4227" s="13"/>
      <c r="C4227" s="13"/>
      <c r="D4227" s="13"/>
      <c r="E4227" s="12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2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</row>
    <row r="4228" spans="1:41" x14ac:dyDescent="0.2">
      <c r="A4228" s="13"/>
      <c r="B4228" s="13"/>
      <c r="C4228" s="13"/>
      <c r="D4228" s="13"/>
      <c r="E4228" s="12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2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</row>
    <row r="4229" spans="1:41" x14ac:dyDescent="0.2">
      <c r="A4229" s="13"/>
      <c r="B4229" s="13"/>
      <c r="C4229" s="13"/>
      <c r="D4229" s="13"/>
      <c r="E4229" s="12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2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</row>
    <row r="4230" spans="1:41" x14ac:dyDescent="0.2">
      <c r="A4230" s="13"/>
      <c r="B4230" s="13"/>
      <c r="C4230" s="13"/>
      <c r="D4230" s="13"/>
      <c r="E4230" s="12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2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</row>
    <row r="4231" spans="1:41" x14ac:dyDescent="0.2">
      <c r="A4231" s="13"/>
      <c r="B4231" s="13"/>
      <c r="C4231" s="13"/>
      <c r="D4231" s="13"/>
      <c r="E4231" s="12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2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</row>
    <row r="4232" spans="1:41" x14ac:dyDescent="0.2">
      <c r="A4232" s="13"/>
      <c r="B4232" s="13"/>
      <c r="C4232" s="13"/>
      <c r="D4232" s="13"/>
      <c r="E4232" s="12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2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</row>
    <row r="4233" spans="1:41" x14ac:dyDescent="0.2">
      <c r="A4233" s="13"/>
      <c r="B4233" s="13"/>
      <c r="C4233" s="13"/>
      <c r="D4233" s="13"/>
      <c r="E4233" s="12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2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</row>
    <row r="4234" spans="1:41" x14ac:dyDescent="0.2">
      <c r="A4234" s="13"/>
      <c r="B4234" s="13"/>
      <c r="C4234" s="13"/>
      <c r="D4234" s="13"/>
      <c r="E4234" s="12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2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</row>
    <row r="4235" spans="1:41" x14ac:dyDescent="0.2">
      <c r="A4235" s="13"/>
      <c r="B4235" s="13"/>
      <c r="C4235" s="13"/>
      <c r="D4235" s="13"/>
      <c r="E4235" s="12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2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</row>
    <row r="4236" spans="1:41" x14ac:dyDescent="0.2">
      <c r="A4236" s="13"/>
      <c r="B4236" s="13"/>
      <c r="C4236" s="13"/>
      <c r="D4236" s="13"/>
      <c r="E4236" s="12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2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</row>
    <row r="4237" spans="1:41" x14ac:dyDescent="0.2">
      <c r="A4237" s="13"/>
      <c r="B4237" s="13"/>
      <c r="C4237" s="13"/>
      <c r="D4237" s="13"/>
      <c r="E4237" s="12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2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</row>
    <row r="4238" spans="1:41" x14ac:dyDescent="0.2">
      <c r="A4238" s="13"/>
      <c r="B4238" s="13"/>
      <c r="C4238" s="13"/>
      <c r="D4238" s="13"/>
      <c r="E4238" s="12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2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</row>
    <row r="4239" spans="1:41" x14ac:dyDescent="0.2">
      <c r="A4239" s="13"/>
      <c r="B4239" s="13"/>
      <c r="C4239" s="13"/>
      <c r="D4239" s="13"/>
      <c r="E4239" s="12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2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</row>
    <row r="4240" spans="1:41" x14ac:dyDescent="0.2">
      <c r="A4240" s="13"/>
      <c r="B4240" s="13"/>
      <c r="C4240" s="13"/>
      <c r="D4240" s="13"/>
      <c r="E4240" s="12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2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</row>
    <row r="4241" spans="1:41" x14ac:dyDescent="0.2">
      <c r="A4241" s="13"/>
      <c r="B4241" s="13"/>
      <c r="C4241" s="13"/>
      <c r="D4241" s="13"/>
      <c r="E4241" s="12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2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</row>
    <row r="4242" spans="1:41" x14ac:dyDescent="0.2">
      <c r="A4242" s="13"/>
      <c r="B4242" s="13"/>
      <c r="C4242" s="13"/>
      <c r="D4242" s="13"/>
      <c r="E4242" s="12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2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</row>
    <row r="4243" spans="1:41" x14ac:dyDescent="0.2">
      <c r="A4243" s="13"/>
      <c r="B4243" s="13"/>
      <c r="C4243" s="13"/>
      <c r="D4243" s="13"/>
      <c r="E4243" s="12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2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</row>
    <row r="4244" spans="1:41" x14ac:dyDescent="0.2">
      <c r="A4244" s="13"/>
      <c r="B4244" s="13"/>
      <c r="C4244" s="13"/>
      <c r="D4244" s="13"/>
      <c r="E4244" s="12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2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</row>
    <row r="4245" spans="1:41" x14ac:dyDescent="0.2">
      <c r="A4245" s="13"/>
      <c r="B4245" s="13"/>
      <c r="C4245" s="13"/>
      <c r="D4245" s="13"/>
      <c r="E4245" s="12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2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</row>
    <row r="4246" spans="1:41" x14ac:dyDescent="0.2">
      <c r="A4246" s="13"/>
      <c r="B4246" s="13"/>
      <c r="C4246" s="13"/>
      <c r="D4246" s="13"/>
      <c r="E4246" s="12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2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</row>
    <row r="4247" spans="1:41" x14ac:dyDescent="0.2">
      <c r="A4247" s="13"/>
      <c r="B4247" s="13"/>
      <c r="C4247" s="13"/>
      <c r="D4247" s="13"/>
      <c r="E4247" s="12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2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</row>
    <row r="4248" spans="1:41" x14ac:dyDescent="0.2">
      <c r="A4248" s="13"/>
      <c r="B4248" s="13"/>
      <c r="C4248" s="13"/>
      <c r="D4248" s="13"/>
      <c r="E4248" s="12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2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</row>
    <row r="4249" spans="1:41" x14ac:dyDescent="0.2">
      <c r="A4249" s="13"/>
      <c r="B4249" s="13"/>
      <c r="C4249" s="13"/>
      <c r="D4249" s="13"/>
      <c r="E4249" s="12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2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</row>
    <row r="4250" spans="1:41" x14ac:dyDescent="0.2">
      <c r="A4250" s="13"/>
      <c r="B4250" s="13"/>
      <c r="C4250" s="13"/>
      <c r="D4250" s="13"/>
      <c r="E4250" s="1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2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</row>
    <row r="4251" spans="1:41" x14ac:dyDescent="0.2">
      <c r="A4251" s="13"/>
      <c r="B4251" s="13"/>
      <c r="C4251" s="13"/>
      <c r="D4251" s="13"/>
      <c r="E4251" s="12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2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</row>
    <row r="4252" spans="1:41" x14ac:dyDescent="0.2">
      <c r="A4252" s="13"/>
      <c r="B4252" s="13"/>
      <c r="C4252" s="13"/>
      <c r="D4252" s="13"/>
      <c r="E4252" s="12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2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</row>
    <row r="4253" spans="1:41" x14ac:dyDescent="0.2">
      <c r="A4253" s="13"/>
      <c r="B4253" s="13"/>
      <c r="C4253" s="13"/>
      <c r="D4253" s="13"/>
      <c r="E4253" s="12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2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</row>
    <row r="4254" spans="1:41" x14ac:dyDescent="0.2">
      <c r="A4254" s="13"/>
      <c r="B4254" s="13"/>
      <c r="C4254" s="13"/>
      <c r="D4254" s="13"/>
      <c r="E4254" s="12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2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</row>
    <row r="4255" spans="1:41" x14ac:dyDescent="0.2">
      <c r="A4255" s="13"/>
      <c r="B4255" s="13"/>
      <c r="C4255" s="13"/>
      <c r="D4255" s="13"/>
      <c r="E4255" s="12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2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</row>
    <row r="4256" spans="1:41" x14ac:dyDescent="0.2">
      <c r="A4256" s="13"/>
      <c r="B4256" s="13"/>
      <c r="C4256" s="13"/>
      <c r="D4256" s="13"/>
      <c r="E4256" s="12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2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</row>
    <row r="4257" spans="1:41" x14ac:dyDescent="0.2">
      <c r="A4257" s="13"/>
      <c r="B4257" s="13"/>
      <c r="C4257" s="13"/>
      <c r="D4257" s="13"/>
      <c r="E4257" s="12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2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</row>
    <row r="4258" spans="1:41" x14ac:dyDescent="0.2">
      <c r="A4258" s="13"/>
      <c r="B4258" s="13"/>
      <c r="C4258" s="13"/>
      <c r="D4258" s="13"/>
      <c r="E4258" s="12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2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</row>
    <row r="4259" spans="1:41" x14ac:dyDescent="0.2">
      <c r="A4259" s="13"/>
      <c r="B4259" s="13"/>
      <c r="C4259" s="13"/>
      <c r="D4259" s="13"/>
      <c r="E4259" s="12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2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</row>
    <row r="4260" spans="1:41" x14ac:dyDescent="0.2">
      <c r="A4260" s="13"/>
      <c r="B4260" s="13"/>
      <c r="C4260" s="13"/>
      <c r="D4260" s="13"/>
      <c r="E4260" s="12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2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</row>
    <row r="4261" spans="1:41" x14ac:dyDescent="0.2">
      <c r="A4261" s="13"/>
      <c r="B4261" s="13"/>
      <c r="C4261" s="13"/>
      <c r="D4261" s="13"/>
      <c r="E4261" s="12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2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</row>
    <row r="4262" spans="1:41" x14ac:dyDescent="0.2">
      <c r="A4262" s="13"/>
      <c r="B4262" s="13"/>
      <c r="C4262" s="13"/>
      <c r="D4262" s="13"/>
      <c r="E4262" s="12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2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</row>
    <row r="4263" spans="1:41" x14ac:dyDescent="0.2">
      <c r="A4263" s="13"/>
      <c r="B4263" s="13"/>
      <c r="C4263" s="13"/>
      <c r="D4263" s="13"/>
      <c r="E4263" s="12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2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</row>
    <row r="4264" spans="1:41" x14ac:dyDescent="0.2">
      <c r="A4264" s="13"/>
      <c r="B4264" s="13"/>
      <c r="C4264" s="13"/>
      <c r="D4264" s="13"/>
      <c r="E4264" s="12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2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</row>
    <row r="4265" spans="1:41" x14ac:dyDescent="0.2">
      <c r="A4265" s="13"/>
      <c r="B4265" s="13"/>
      <c r="C4265" s="13"/>
      <c r="D4265" s="13"/>
      <c r="E4265" s="12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2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</row>
    <row r="4266" spans="1:41" x14ac:dyDescent="0.2">
      <c r="A4266" s="13"/>
      <c r="B4266" s="13"/>
      <c r="C4266" s="13"/>
      <c r="D4266" s="13"/>
      <c r="E4266" s="12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2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</row>
    <row r="4267" spans="1:41" x14ac:dyDescent="0.2">
      <c r="A4267" s="13"/>
      <c r="B4267" s="13"/>
      <c r="C4267" s="13"/>
      <c r="D4267" s="13"/>
      <c r="E4267" s="12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2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</row>
    <row r="4268" spans="1:41" x14ac:dyDescent="0.2">
      <c r="A4268" s="13"/>
      <c r="B4268" s="13"/>
      <c r="C4268" s="13"/>
      <c r="D4268" s="13"/>
      <c r="E4268" s="12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2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</row>
    <row r="4269" spans="1:41" x14ac:dyDescent="0.2">
      <c r="A4269" s="13"/>
      <c r="B4269" s="13"/>
      <c r="C4269" s="13"/>
      <c r="D4269" s="13"/>
      <c r="E4269" s="12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2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</row>
    <row r="4270" spans="1:41" x14ac:dyDescent="0.2">
      <c r="A4270" s="13"/>
      <c r="B4270" s="13"/>
      <c r="C4270" s="13"/>
      <c r="D4270" s="13"/>
      <c r="E4270" s="12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2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</row>
    <row r="4271" spans="1:41" x14ac:dyDescent="0.2">
      <c r="A4271" s="13"/>
      <c r="B4271" s="13"/>
      <c r="C4271" s="13"/>
      <c r="D4271" s="13"/>
      <c r="E4271" s="12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2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</row>
    <row r="4272" spans="1:41" x14ac:dyDescent="0.2">
      <c r="A4272" s="13"/>
      <c r="B4272" s="13"/>
      <c r="C4272" s="13"/>
      <c r="D4272" s="13"/>
      <c r="E4272" s="12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2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</row>
    <row r="4273" spans="1:41" x14ac:dyDescent="0.2">
      <c r="A4273" s="13"/>
      <c r="B4273" s="13"/>
      <c r="C4273" s="13"/>
      <c r="D4273" s="13"/>
      <c r="E4273" s="12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2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</row>
    <row r="4274" spans="1:41" x14ac:dyDescent="0.2">
      <c r="A4274" s="13"/>
      <c r="B4274" s="13"/>
      <c r="C4274" s="13"/>
      <c r="D4274" s="13"/>
      <c r="E4274" s="12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2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</row>
    <row r="4275" spans="1:41" x14ac:dyDescent="0.2">
      <c r="A4275" s="13"/>
      <c r="B4275" s="13"/>
      <c r="C4275" s="13"/>
      <c r="D4275" s="13"/>
      <c r="E4275" s="12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2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</row>
    <row r="4276" spans="1:41" x14ac:dyDescent="0.2">
      <c r="A4276" s="13"/>
      <c r="B4276" s="13"/>
      <c r="C4276" s="13"/>
      <c r="D4276" s="13"/>
      <c r="E4276" s="12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2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</row>
    <row r="4277" spans="1:41" x14ac:dyDescent="0.2">
      <c r="A4277" s="13"/>
      <c r="B4277" s="13"/>
      <c r="C4277" s="13"/>
      <c r="D4277" s="13"/>
      <c r="E4277" s="12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2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</row>
    <row r="4278" spans="1:41" x14ac:dyDescent="0.2">
      <c r="A4278" s="13"/>
      <c r="B4278" s="13"/>
      <c r="C4278" s="13"/>
      <c r="D4278" s="13"/>
      <c r="E4278" s="12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2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</row>
    <row r="4279" spans="1:41" x14ac:dyDescent="0.2">
      <c r="A4279" s="13"/>
      <c r="B4279" s="13"/>
      <c r="C4279" s="13"/>
      <c r="D4279" s="13"/>
      <c r="E4279" s="12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2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</row>
    <row r="4280" spans="1:41" x14ac:dyDescent="0.2">
      <c r="A4280" s="13"/>
      <c r="B4280" s="13"/>
      <c r="C4280" s="13"/>
      <c r="D4280" s="13"/>
      <c r="E4280" s="12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2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</row>
    <row r="4281" spans="1:41" x14ac:dyDescent="0.2">
      <c r="A4281" s="13"/>
      <c r="B4281" s="13"/>
      <c r="C4281" s="13"/>
      <c r="D4281" s="13"/>
      <c r="E4281" s="12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2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</row>
    <row r="4282" spans="1:41" x14ac:dyDescent="0.2">
      <c r="A4282" s="13"/>
      <c r="B4282" s="13"/>
      <c r="C4282" s="13"/>
      <c r="D4282" s="13"/>
      <c r="E4282" s="12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2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</row>
    <row r="4283" spans="1:41" x14ac:dyDescent="0.2">
      <c r="A4283" s="13"/>
      <c r="B4283" s="13"/>
      <c r="C4283" s="13"/>
      <c r="D4283" s="13"/>
      <c r="E4283" s="12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2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</row>
    <row r="4284" spans="1:41" x14ac:dyDescent="0.2">
      <c r="A4284" s="13"/>
      <c r="B4284" s="13"/>
      <c r="C4284" s="13"/>
      <c r="D4284" s="13"/>
      <c r="E4284" s="12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2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</row>
    <row r="4285" spans="1:41" x14ac:dyDescent="0.2">
      <c r="A4285" s="13"/>
      <c r="B4285" s="13"/>
      <c r="C4285" s="13"/>
      <c r="D4285" s="13"/>
      <c r="E4285" s="12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2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</row>
    <row r="4286" spans="1:41" x14ac:dyDescent="0.2">
      <c r="A4286" s="13"/>
      <c r="B4286" s="13"/>
      <c r="C4286" s="13"/>
      <c r="D4286" s="13"/>
      <c r="E4286" s="12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2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</row>
    <row r="4287" spans="1:41" x14ac:dyDescent="0.2">
      <c r="A4287" s="13"/>
      <c r="B4287" s="13"/>
      <c r="C4287" s="13"/>
      <c r="D4287" s="13"/>
      <c r="E4287" s="12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2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</row>
    <row r="4288" spans="1:41" x14ac:dyDescent="0.2">
      <c r="A4288" s="13"/>
      <c r="B4288" s="13"/>
      <c r="C4288" s="13"/>
      <c r="D4288" s="13"/>
      <c r="E4288" s="12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2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</row>
    <row r="4289" spans="1:41" x14ac:dyDescent="0.2">
      <c r="A4289" s="13"/>
      <c r="B4289" s="13"/>
      <c r="C4289" s="13"/>
      <c r="D4289" s="13"/>
      <c r="E4289" s="12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2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</row>
    <row r="4290" spans="1:41" x14ac:dyDescent="0.2">
      <c r="A4290" s="13"/>
      <c r="B4290" s="13"/>
      <c r="C4290" s="13"/>
      <c r="D4290" s="13"/>
      <c r="E4290" s="12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2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</row>
    <row r="4291" spans="1:41" x14ac:dyDescent="0.2">
      <c r="A4291" s="13"/>
      <c r="B4291" s="13"/>
      <c r="C4291" s="13"/>
      <c r="D4291" s="13"/>
      <c r="E4291" s="12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2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</row>
    <row r="4292" spans="1:41" x14ac:dyDescent="0.2">
      <c r="A4292" s="13"/>
      <c r="B4292" s="13"/>
      <c r="C4292" s="13"/>
      <c r="D4292" s="13"/>
      <c r="E4292" s="12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2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</row>
    <row r="4293" spans="1:41" x14ac:dyDescent="0.2">
      <c r="A4293" s="13"/>
      <c r="B4293" s="13"/>
      <c r="C4293" s="13"/>
      <c r="D4293" s="13"/>
      <c r="E4293" s="12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2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</row>
    <row r="4294" spans="1:41" x14ac:dyDescent="0.2">
      <c r="A4294" s="13"/>
      <c r="B4294" s="13"/>
      <c r="C4294" s="13"/>
      <c r="D4294" s="13"/>
      <c r="E4294" s="12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2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</row>
    <row r="4295" spans="1:41" x14ac:dyDescent="0.2">
      <c r="A4295" s="13"/>
      <c r="B4295" s="13"/>
      <c r="C4295" s="13"/>
      <c r="D4295" s="13"/>
      <c r="E4295" s="12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2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</row>
    <row r="4296" spans="1:41" x14ac:dyDescent="0.2">
      <c r="A4296" s="13"/>
      <c r="B4296" s="13"/>
      <c r="C4296" s="13"/>
      <c r="D4296" s="13"/>
      <c r="E4296" s="12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2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</row>
    <row r="4297" spans="1:41" x14ac:dyDescent="0.2">
      <c r="A4297" s="13"/>
      <c r="B4297" s="13"/>
      <c r="C4297" s="13"/>
      <c r="D4297" s="13"/>
      <c r="E4297" s="12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2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</row>
    <row r="4298" spans="1:41" x14ac:dyDescent="0.2">
      <c r="A4298" s="13"/>
      <c r="B4298" s="13"/>
      <c r="C4298" s="13"/>
      <c r="D4298" s="13"/>
      <c r="E4298" s="12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2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</row>
    <row r="4299" spans="1:41" x14ac:dyDescent="0.2">
      <c r="A4299" s="13"/>
      <c r="B4299" s="13"/>
      <c r="C4299" s="13"/>
      <c r="D4299" s="13"/>
      <c r="E4299" s="12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2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</row>
    <row r="4300" spans="1:41" x14ac:dyDescent="0.2">
      <c r="A4300" s="13"/>
      <c r="B4300" s="13"/>
      <c r="C4300" s="13"/>
      <c r="D4300" s="13"/>
      <c r="E4300" s="12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2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</row>
    <row r="4301" spans="1:41" x14ac:dyDescent="0.2">
      <c r="A4301" s="13"/>
      <c r="B4301" s="13"/>
      <c r="C4301" s="13"/>
      <c r="D4301" s="13"/>
      <c r="E4301" s="12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2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</row>
    <row r="4302" spans="1:41" x14ac:dyDescent="0.2">
      <c r="A4302" s="13"/>
      <c r="B4302" s="13"/>
      <c r="C4302" s="13"/>
      <c r="D4302" s="13"/>
      <c r="E4302" s="12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2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</row>
    <row r="4303" spans="1:41" x14ac:dyDescent="0.2">
      <c r="A4303" s="13"/>
      <c r="B4303" s="13"/>
      <c r="C4303" s="13"/>
      <c r="D4303" s="13"/>
      <c r="E4303" s="12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2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</row>
    <row r="4304" spans="1:41" x14ac:dyDescent="0.2">
      <c r="A4304" s="13"/>
      <c r="B4304" s="13"/>
      <c r="C4304" s="13"/>
      <c r="D4304" s="13"/>
      <c r="E4304" s="12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2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</row>
    <row r="4305" spans="1:41" x14ac:dyDescent="0.2">
      <c r="A4305" s="13"/>
      <c r="B4305" s="13"/>
      <c r="C4305" s="13"/>
      <c r="D4305" s="13"/>
      <c r="E4305" s="12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2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</row>
    <row r="4306" spans="1:41" x14ac:dyDescent="0.2">
      <c r="A4306" s="13"/>
      <c r="B4306" s="13"/>
      <c r="C4306" s="13"/>
      <c r="D4306" s="13"/>
      <c r="E4306" s="12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2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</row>
    <row r="4307" spans="1:41" x14ac:dyDescent="0.2">
      <c r="A4307" s="13"/>
      <c r="B4307" s="13"/>
      <c r="C4307" s="13"/>
      <c r="D4307" s="13"/>
      <c r="E4307" s="12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2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</row>
    <row r="4308" spans="1:41" x14ac:dyDescent="0.2">
      <c r="A4308" s="13"/>
      <c r="B4308" s="13"/>
      <c r="C4308" s="13"/>
      <c r="D4308" s="13"/>
      <c r="E4308" s="12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2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</row>
    <row r="4309" spans="1:41" x14ac:dyDescent="0.2">
      <c r="A4309" s="13"/>
      <c r="B4309" s="13"/>
      <c r="C4309" s="13"/>
      <c r="D4309" s="13"/>
      <c r="E4309" s="12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2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</row>
    <row r="4310" spans="1:41" x14ac:dyDescent="0.2">
      <c r="A4310" s="13"/>
      <c r="B4310" s="13"/>
      <c r="C4310" s="13"/>
      <c r="D4310" s="13"/>
      <c r="E4310" s="12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2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</row>
    <row r="4311" spans="1:41" x14ac:dyDescent="0.2">
      <c r="A4311" s="13"/>
      <c r="B4311" s="13"/>
      <c r="C4311" s="13"/>
      <c r="D4311" s="13"/>
      <c r="E4311" s="12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2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</row>
    <row r="4312" spans="1:41" x14ac:dyDescent="0.2">
      <c r="A4312" s="13"/>
      <c r="B4312" s="13"/>
      <c r="C4312" s="13"/>
      <c r="D4312" s="13"/>
      <c r="E4312" s="12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2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</row>
    <row r="4313" spans="1:41" x14ac:dyDescent="0.2">
      <c r="A4313" s="13"/>
      <c r="B4313" s="13"/>
      <c r="C4313" s="13"/>
      <c r="D4313" s="13"/>
      <c r="E4313" s="12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2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</row>
    <row r="4314" spans="1:41" x14ac:dyDescent="0.2">
      <c r="A4314" s="13"/>
      <c r="B4314" s="13"/>
      <c r="C4314" s="13"/>
      <c r="D4314" s="13"/>
      <c r="E4314" s="12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2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</row>
    <row r="4315" spans="1:41" x14ac:dyDescent="0.2">
      <c r="A4315" s="13"/>
      <c r="B4315" s="13"/>
      <c r="C4315" s="13"/>
      <c r="D4315" s="13"/>
      <c r="E4315" s="12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2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</row>
    <row r="4316" spans="1:41" x14ac:dyDescent="0.2">
      <c r="A4316" s="13"/>
      <c r="B4316" s="13"/>
      <c r="C4316" s="13"/>
      <c r="D4316" s="13"/>
      <c r="E4316" s="12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2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</row>
    <row r="4317" spans="1:41" x14ac:dyDescent="0.2">
      <c r="A4317" s="13"/>
      <c r="B4317" s="13"/>
      <c r="C4317" s="13"/>
      <c r="D4317" s="13"/>
      <c r="E4317" s="12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2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</row>
    <row r="4318" spans="1:41" x14ac:dyDescent="0.2">
      <c r="A4318" s="13"/>
      <c r="B4318" s="13"/>
      <c r="C4318" s="13"/>
      <c r="D4318" s="13"/>
      <c r="E4318" s="12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2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</row>
    <row r="4319" spans="1:41" x14ac:dyDescent="0.2">
      <c r="A4319" s="13"/>
      <c r="B4319" s="13"/>
      <c r="C4319" s="13"/>
      <c r="D4319" s="13"/>
      <c r="E4319" s="12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2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</row>
    <row r="4320" spans="1:41" x14ac:dyDescent="0.2">
      <c r="A4320" s="13"/>
      <c r="B4320" s="13"/>
      <c r="C4320" s="13"/>
      <c r="D4320" s="13"/>
      <c r="E4320" s="12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2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</row>
    <row r="4321" spans="1:41" x14ac:dyDescent="0.2">
      <c r="A4321" s="13"/>
      <c r="B4321" s="13"/>
      <c r="C4321" s="13"/>
      <c r="D4321" s="13"/>
      <c r="E4321" s="12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2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</row>
    <row r="4322" spans="1:41" x14ac:dyDescent="0.2">
      <c r="A4322" s="13"/>
      <c r="B4322" s="13"/>
      <c r="C4322" s="13"/>
      <c r="D4322" s="13"/>
      <c r="E4322" s="12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2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</row>
    <row r="4323" spans="1:41" x14ac:dyDescent="0.2">
      <c r="A4323" s="13"/>
      <c r="B4323" s="13"/>
      <c r="C4323" s="13"/>
      <c r="D4323" s="13"/>
      <c r="E4323" s="12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2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</row>
    <row r="4324" spans="1:41" x14ac:dyDescent="0.2">
      <c r="A4324" s="13"/>
      <c r="B4324" s="13"/>
      <c r="C4324" s="13"/>
      <c r="D4324" s="13"/>
      <c r="E4324" s="12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2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</row>
    <row r="4325" spans="1:41" x14ac:dyDescent="0.2">
      <c r="A4325" s="13"/>
      <c r="B4325" s="13"/>
      <c r="C4325" s="13"/>
      <c r="D4325" s="13"/>
      <c r="E4325" s="12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2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</row>
    <row r="4326" spans="1:41" x14ac:dyDescent="0.2">
      <c r="A4326" s="13"/>
      <c r="B4326" s="13"/>
      <c r="C4326" s="13"/>
      <c r="D4326" s="13"/>
      <c r="E4326" s="12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2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</row>
    <row r="4327" spans="1:41" x14ac:dyDescent="0.2">
      <c r="A4327" s="13"/>
      <c r="B4327" s="13"/>
      <c r="C4327" s="13"/>
      <c r="D4327" s="13"/>
      <c r="E4327" s="12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2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</row>
    <row r="4328" spans="1:41" x14ac:dyDescent="0.2">
      <c r="A4328" s="13"/>
      <c r="B4328" s="13"/>
      <c r="C4328" s="13"/>
      <c r="D4328" s="13"/>
      <c r="E4328" s="12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2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</row>
    <row r="4329" spans="1:41" x14ac:dyDescent="0.2">
      <c r="A4329" s="13"/>
      <c r="B4329" s="13"/>
      <c r="C4329" s="13"/>
      <c r="D4329" s="13"/>
      <c r="E4329" s="12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2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</row>
    <row r="4330" spans="1:41" x14ac:dyDescent="0.2">
      <c r="A4330" s="13"/>
      <c r="B4330" s="13"/>
      <c r="C4330" s="13"/>
      <c r="D4330" s="13"/>
      <c r="E4330" s="12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2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</row>
    <row r="4331" spans="1:41" x14ac:dyDescent="0.2">
      <c r="A4331" s="13"/>
      <c r="B4331" s="13"/>
      <c r="C4331" s="13"/>
      <c r="D4331" s="13"/>
      <c r="E4331" s="12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2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</row>
    <row r="4332" spans="1:41" x14ac:dyDescent="0.2">
      <c r="A4332" s="13"/>
      <c r="B4332" s="13"/>
      <c r="C4332" s="13"/>
      <c r="D4332" s="13"/>
      <c r="E4332" s="12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2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</row>
    <row r="4333" spans="1:41" x14ac:dyDescent="0.2">
      <c r="A4333" s="13"/>
      <c r="B4333" s="13"/>
      <c r="C4333" s="13"/>
      <c r="D4333" s="13"/>
      <c r="E4333" s="12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2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</row>
    <row r="4334" spans="1:41" x14ac:dyDescent="0.2">
      <c r="A4334" s="13"/>
      <c r="B4334" s="13"/>
      <c r="C4334" s="13"/>
      <c r="D4334" s="13"/>
      <c r="E4334" s="12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2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</row>
    <row r="4335" spans="1:41" x14ac:dyDescent="0.2">
      <c r="A4335" s="13"/>
      <c r="B4335" s="13"/>
      <c r="C4335" s="13"/>
      <c r="D4335" s="13"/>
      <c r="E4335" s="12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2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</row>
    <row r="4336" spans="1:41" x14ac:dyDescent="0.2">
      <c r="A4336" s="13"/>
      <c r="B4336" s="13"/>
      <c r="C4336" s="13"/>
      <c r="D4336" s="13"/>
      <c r="E4336" s="12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2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</row>
    <row r="4337" spans="1:41" x14ac:dyDescent="0.2">
      <c r="A4337" s="13"/>
      <c r="B4337" s="13"/>
      <c r="C4337" s="13"/>
      <c r="D4337" s="13"/>
      <c r="E4337" s="12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2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</row>
    <row r="4338" spans="1:41" x14ac:dyDescent="0.2">
      <c r="A4338" s="13"/>
      <c r="B4338" s="13"/>
      <c r="C4338" s="13"/>
      <c r="D4338" s="13"/>
      <c r="E4338" s="12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2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</row>
    <row r="4339" spans="1:41" x14ac:dyDescent="0.2">
      <c r="A4339" s="13"/>
      <c r="B4339" s="13"/>
      <c r="C4339" s="13"/>
      <c r="D4339" s="13"/>
      <c r="E4339" s="12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2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</row>
    <row r="4340" spans="1:41" x14ac:dyDescent="0.2">
      <c r="A4340" s="13"/>
      <c r="B4340" s="13"/>
      <c r="C4340" s="13"/>
      <c r="D4340" s="13"/>
      <c r="E4340" s="12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2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</row>
    <row r="4341" spans="1:41" x14ac:dyDescent="0.2">
      <c r="A4341" s="13"/>
      <c r="B4341" s="13"/>
      <c r="C4341" s="13"/>
      <c r="D4341" s="13"/>
      <c r="E4341" s="12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2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</row>
    <row r="4342" spans="1:41" x14ac:dyDescent="0.2">
      <c r="A4342" s="13"/>
      <c r="B4342" s="13"/>
      <c r="C4342" s="13"/>
      <c r="D4342" s="13"/>
      <c r="E4342" s="12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2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</row>
    <row r="4343" spans="1:41" x14ac:dyDescent="0.2">
      <c r="A4343" s="13"/>
      <c r="B4343" s="13"/>
      <c r="C4343" s="13"/>
      <c r="D4343" s="13"/>
      <c r="E4343" s="12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2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</row>
    <row r="4344" spans="1:41" x14ac:dyDescent="0.2">
      <c r="A4344" s="13"/>
      <c r="B4344" s="13"/>
      <c r="C4344" s="13"/>
      <c r="D4344" s="13"/>
      <c r="E4344" s="12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2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</row>
    <row r="4345" spans="1:41" x14ac:dyDescent="0.2">
      <c r="A4345" s="13"/>
      <c r="B4345" s="13"/>
      <c r="C4345" s="13"/>
      <c r="D4345" s="13"/>
      <c r="E4345" s="12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2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</row>
    <row r="4346" spans="1:41" x14ac:dyDescent="0.2">
      <c r="A4346" s="13"/>
      <c r="B4346" s="13"/>
      <c r="C4346" s="13"/>
      <c r="D4346" s="13"/>
      <c r="E4346" s="12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2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</row>
    <row r="4347" spans="1:41" x14ac:dyDescent="0.2">
      <c r="A4347" s="13"/>
      <c r="B4347" s="13"/>
      <c r="C4347" s="13"/>
      <c r="D4347" s="13"/>
      <c r="E4347" s="12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2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</row>
    <row r="4348" spans="1:41" x14ac:dyDescent="0.2">
      <c r="A4348" s="13"/>
      <c r="B4348" s="13"/>
      <c r="C4348" s="13"/>
      <c r="D4348" s="13"/>
      <c r="E4348" s="12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2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</row>
    <row r="4349" spans="1:41" x14ac:dyDescent="0.2">
      <c r="A4349" s="13"/>
      <c r="B4349" s="13"/>
      <c r="C4349" s="13"/>
      <c r="D4349" s="13"/>
      <c r="E4349" s="12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2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</row>
    <row r="4350" spans="1:41" x14ac:dyDescent="0.2">
      <c r="A4350" s="13"/>
      <c r="B4350" s="13"/>
      <c r="C4350" s="13"/>
      <c r="D4350" s="13"/>
      <c r="E4350" s="12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2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</row>
    <row r="4351" spans="1:41" x14ac:dyDescent="0.2">
      <c r="A4351" s="13"/>
      <c r="B4351" s="13"/>
      <c r="C4351" s="13"/>
      <c r="D4351" s="13"/>
      <c r="E4351" s="12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2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</row>
    <row r="4352" spans="1:41" x14ac:dyDescent="0.2">
      <c r="A4352" s="13"/>
      <c r="B4352" s="13"/>
      <c r="C4352" s="13"/>
      <c r="D4352" s="13"/>
      <c r="E4352" s="12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2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</row>
    <row r="4353" spans="1:41" x14ac:dyDescent="0.2">
      <c r="A4353" s="13"/>
      <c r="B4353" s="13"/>
      <c r="C4353" s="13"/>
      <c r="D4353" s="13"/>
      <c r="E4353" s="12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2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</row>
    <row r="4354" spans="1:41" x14ac:dyDescent="0.2">
      <c r="A4354" s="13"/>
      <c r="B4354" s="13"/>
      <c r="C4354" s="13"/>
      <c r="D4354" s="13"/>
      <c r="E4354" s="12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2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</row>
    <row r="4355" spans="1:41" x14ac:dyDescent="0.2">
      <c r="A4355" s="13"/>
      <c r="B4355" s="13"/>
      <c r="C4355" s="13"/>
      <c r="D4355" s="13"/>
      <c r="E4355" s="12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2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</row>
    <row r="4356" spans="1:41" x14ac:dyDescent="0.2">
      <c r="A4356" s="13"/>
      <c r="B4356" s="13"/>
      <c r="C4356" s="13"/>
      <c r="D4356" s="13"/>
      <c r="E4356" s="12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2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</row>
    <row r="4357" spans="1:41" x14ac:dyDescent="0.2">
      <c r="A4357" s="13"/>
      <c r="B4357" s="13"/>
      <c r="C4357" s="13"/>
      <c r="D4357" s="13"/>
      <c r="E4357" s="12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2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</row>
    <row r="4358" spans="1:41" x14ac:dyDescent="0.2">
      <c r="A4358" s="13"/>
      <c r="B4358" s="13"/>
      <c r="C4358" s="13"/>
      <c r="D4358" s="13"/>
      <c r="E4358" s="12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2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</row>
    <row r="4359" spans="1:41" x14ac:dyDescent="0.2">
      <c r="A4359" s="13"/>
      <c r="B4359" s="13"/>
      <c r="C4359" s="13"/>
      <c r="D4359" s="13"/>
      <c r="E4359" s="12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2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</row>
    <row r="4360" spans="1:41" x14ac:dyDescent="0.2">
      <c r="A4360" s="13"/>
      <c r="B4360" s="13"/>
      <c r="C4360" s="13"/>
      <c r="D4360" s="13"/>
      <c r="E4360" s="12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2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</row>
    <row r="4361" spans="1:41" x14ac:dyDescent="0.2">
      <c r="A4361" s="13"/>
      <c r="B4361" s="13"/>
      <c r="C4361" s="13"/>
      <c r="D4361" s="13"/>
      <c r="E4361" s="12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2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</row>
    <row r="4362" spans="1:41" x14ac:dyDescent="0.2">
      <c r="A4362" s="13"/>
      <c r="B4362" s="13"/>
      <c r="C4362" s="13"/>
      <c r="D4362" s="13"/>
      <c r="E4362" s="12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2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</row>
    <row r="4363" spans="1:41" x14ac:dyDescent="0.2">
      <c r="A4363" s="13"/>
      <c r="B4363" s="13"/>
      <c r="C4363" s="13"/>
      <c r="D4363" s="13"/>
      <c r="E4363" s="12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2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</row>
    <row r="4364" spans="1:41" x14ac:dyDescent="0.2">
      <c r="A4364" s="13"/>
      <c r="B4364" s="13"/>
      <c r="C4364" s="13"/>
      <c r="D4364" s="13"/>
      <c r="E4364" s="12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2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</row>
    <row r="4365" spans="1:41" x14ac:dyDescent="0.2">
      <c r="A4365" s="13"/>
      <c r="B4365" s="13"/>
      <c r="C4365" s="13"/>
      <c r="D4365" s="13"/>
      <c r="E4365" s="12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2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</row>
    <row r="4366" spans="1:41" x14ac:dyDescent="0.2">
      <c r="A4366" s="13"/>
      <c r="B4366" s="13"/>
      <c r="C4366" s="13"/>
      <c r="D4366" s="13"/>
      <c r="E4366" s="12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2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</row>
    <row r="4367" spans="1:41" x14ac:dyDescent="0.2">
      <c r="A4367" s="13"/>
      <c r="B4367" s="13"/>
      <c r="C4367" s="13"/>
      <c r="D4367" s="13"/>
      <c r="E4367" s="12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2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</row>
    <row r="4368" spans="1:41" x14ac:dyDescent="0.2">
      <c r="A4368" s="13"/>
      <c r="B4368" s="13"/>
      <c r="C4368" s="13"/>
      <c r="D4368" s="13"/>
      <c r="E4368" s="12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2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</row>
    <row r="4369" spans="1:41" x14ac:dyDescent="0.2">
      <c r="A4369" s="13"/>
      <c r="B4369" s="13"/>
      <c r="C4369" s="13"/>
      <c r="D4369" s="13"/>
      <c r="E4369" s="12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2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</row>
    <row r="4370" spans="1:41" x14ac:dyDescent="0.2">
      <c r="A4370" s="13"/>
      <c r="B4370" s="13"/>
      <c r="C4370" s="13"/>
      <c r="D4370" s="13"/>
      <c r="E4370" s="12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2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</row>
    <row r="4371" spans="1:41" x14ac:dyDescent="0.2">
      <c r="A4371" s="13"/>
      <c r="B4371" s="13"/>
      <c r="C4371" s="13"/>
      <c r="D4371" s="13"/>
      <c r="E4371" s="12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2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</row>
    <row r="4372" spans="1:41" x14ac:dyDescent="0.2">
      <c r="A4372" s="13"/>
      <c r="B4372" s="13"/>
      <c r="C4372" s="13"/>
      <c r="D4372" s="13"/>
      <c r="E4372" s="12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2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</row>
    <row r="4373" spans="1:41" x14ac:dyDescent="0.2">
      <c r="A4373" s="13"/>
      <c r="B4373" s="13"/>
      <c r="C4373" s="13"/>
      <c r="D4373" s="13"/>
      <c r="E4373" s="12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2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</row>
    <row r="4374" spans="1:41" x14ac:dyDescent="0.2">
      <c r="A4374" s="13"/>
      <c r="B4374" s="13"/>
      <c r="C4374" s="13"/>
      <c r="D4374" s="13"/>
      <c r="E4374" s="12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2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</row>
    <row r="4375" spans="1:41" x14ac:dyDescent="0.2">
      <c r="A4375" s="13"/>
      <c r="B4375" s="13"/>
      <c r="C4375" s="13"/>
      <c r="D4375" s="13"/>
      <c r="E4375" s="12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2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</row>
    <row r="4376" spans="1:41" x14ac:dyDescent="0.2">
      <c r="A4376" s="13"/>
      <c r="B4376" s="13"/>
      <c r="C4376" s="13"/>
      <c r="D4376" s="13"/>
      <c r="E4376" s="12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2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</row>
    <row r="4377" spans="1:41" x14ac:dyDescent="0.2">
      <c r="A4377" s="13"/>
      <c r="B4377" s="13"/>
      <c r="C4377" s="13"/>
      <c r="D4377" s="13"/>
      <c r="E4377" s="12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2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</row>
    <row r="4378" spans="1:41" x14ac:dyDescent="0.2">
      <c r="A4378" s="13"/>
      <c r="B4378" s="13"/>
      <c r="C4378" s="13"/>
      <c r="D4378" s="13"/>
      <c r="E4378" s="12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2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</row>
    <row r="4379" spans="1:41" x14ac:dyDescent="0.2">
      <c r="A4379" s="13"/>
      <c r="B4379" s="13"/>
      <c r="C4379" s="13"/>
      <c r="D4379" s="13"/>
      <c r="E4379" s="12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2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</row>
    <row r="4380" spans="1:41" x14ac:dyDescent="0.2">
      <c r="A4380" s="13"/>
      <c r="B4380" s="13"/>
      <c r="C4380" s="13"/>
      <c r="D4380" s="13"/>
      <c r="E4380" s="12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2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</row>
    <row r="4381" spans="1:41" x14ac:dyDescent="0.2">
      <c r="A4381" s="13"/>
      <c r="B4381" s="13"/>
      <c r="C4381" s="13"/>
      <c r="D4381" s="13"/>
      <c r="E4381" s="12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2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</row>
    <row r="4382" spans="1:41" x14ac:dyDescent="0.2">
      <c r="A4382" s="13"/>
      <c r="B4382" s="13"/>
      <c r="C4382" s="13"/>
      <c r="D4382" s="13"/>
      <c r="E4382" s="12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2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</row>
    <row r="4383" spans="1:41" x14ac:dyDescent="0.2">
      <c r="A4383" s="13"/>
      <c r="B4383" s="13"/>
      <c r="C4383" s="13"/>
      <c r="D4383" s="13"/>
      <c r="E4383" s="12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2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</row>
    <row r="4384" spans="1:41" x14ac:dyDescent="0.2">
      <c r="A4384" s="13"/>
      <c r="B4384" s="13"/>
      <c r="C4384" s="13"/>
      <c r="D4384" s="13"/>
      <c r="E4384" s="12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2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</row>
    <row r="4385" spans="1:41" x14ac:dyDescent="0.2">
      <c r="A4385" s="13"/>
      <c r="B4385" s="13"/>
      <c r="C4385" s="13"/>
      <c r="D4385" s="13"/>
      <c r="E4385" s="12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2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</row>
    <row r="4386" spans="1:41" x14ac:dyDescent="0.2">
      <c r="A4386" s="13"/>
      <c r="B4386" s="13"/>
      <c r="C4386" s="13"/>
      <c r="D4386" s="13"/>
      <c r="E4386" s="12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2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</row>
    <row r="4387" spans="1:41" x14ac:dyDescent="0.2">
      <c r="A4387" s="13"/>
      <c r="B4387" s="13"/>
      <c r="C4387" s="13"/>
      <c r="D4387" s="13"/>
      <c r="E4387" s="12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2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</row>
    <row r="4388" spans="1:41" x14ac:dyDescent="0.2">
      <c r="A4388" s="13"/>
      <c r="B4388" s="13"/>
      <c r="C4388" s="13"/>
      <c r="D4388" s="13"/>
      <c r="E4388" s="12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2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</row>
    <row r="4389" spans="1:41" x14ac:dyDescent="0.2">
      <c r="A4389" s="13"/>
      <c r="B4389" s="13"/>
      <c r="C4389" s="13"/>
      <c r="D4389" s="13"/>
      <c r="E4389" s="12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2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</row>
    <row r="4390" spans="1:41" x14ac:dyDescent="0.2">
      <c r="A4390" s="13"/>
      <c r="B4390" s="13"/>
      <c r="C4390" s="13"/>
      <c r="D4390" s="13"/>
      <c r="E4390" s="12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2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</row>
    <row r="4391" spans="1:41" x14ac:dyDescent="0.2">
      <c r="A4391" s="13"/>
      <c r="B4391" s="13"/>
      <c r="C4391" s="13"/>
      <c r="D4391" s="13"/>
      <c r="E4391" s="12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2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</row>
    <row r="4392" spans="1:41" x14ac:dyDescent="0.2">
      <c r="A4392" s="13"/>
      <c r="B4392" s="13"/>
      <c r="C4392" s="13"/>
      <c r="D4392" s="13"/>
      <c r="E4392" s="12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2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</row>
    <row r="4393" spans="1:41" x14ac:dyDescent="0.2">
      <c r="A4393" s="13"/>
      <c r="B4393" s="13"/>
      <c r="C4393" s="13"/>
      <c r="D4393" s="13"/>
      <c r="E4393" s="12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2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</row>
    <row r="4394" spans="1:41" x14ac:dyDescent="0.2">
      <c r="A4394" s="13"/>
      <c r="B4394" s="13"/>
      <c r="C4394" s="13"/>
      <c r="D4394" s="13"/>
      <c r="E4394" s="12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2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</row>
    <row r="4395" spans="1:41" x14ac:dyDescent="0.2">
      <c r="A4395" s="13"/>
      <c r="B4395" s="13"/>
      <c r="C4395" s="13"/>
      <c r="D4395" s="13"/>
      <c r="E4395" s="12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2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</row>
    <row r="4396" spans="1:41" x14ac:dyDescent="0.2">
      <c r="A4396" s="13"/>
      <c r="B4396" s="13"/>
      <c r="C4396" s="13"/>
      <c r="D4396" s="13"/>
      <c r="E4396" s="12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2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</row>
    <row r="4397" spans="1:41" x14ac:dyDescent="0.2">
      <c r="A4397" s="13"/>
      <c r="B4397" s="13"/>
      <c r="C4397" s="13"/>
      <c r="D4397" s="13"/>
      <c r="E4397" s="12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2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</row>
    <row r="4398" spans="1:41" x14ac:dyDescent="0.2">
      <c r="A4398" s="13"/>
      <c r="B4398" s="13"/>
      <c r="C4398" s="13"/>
      <c r="D4398" s="13"/>
      <c r="E4398" s="12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2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</row>
    <row r="4399" spans="1:41" x14ac:dyDescent="0.2">
      <c r="A4399" s="13"/>
      <c r="B4399" s="13"/>
      <c r="C4399" s="13"/>
      <c r="D4399" s="13"/>
      <c r="E4399" s="12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2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</row>
    <row r="4400" spans="1:41" x14ac:dyDescent="0.2">
      <c r="A4400" s="13"/>
      <c r="B4400" s="13"/>
      <c r="C4400" s="13"/>
      <c r="D4400" s="13"/>
      <c r="E4400" s="12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2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</row>
    <row r="4401" spans="1:41" x14ac:dyDescent="0.2">
      <c r="A4401" s="13"/>
      <c r="B4401" s="13"/>
      <c r="C4401" s="13"/>
      <c r="D4401" s="13"/>
      <c r="E4401" s="12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2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</row>
    <row r="4402" spans="1:41" x14ac:dyDescent="0.2">
      <c r="A4402" s="13"/>
      <c r="B4402" s="13"/>
      <c r="C4402" s="13"/>
      <c r="D4402" s="13"/>
      <c r="E4402" s="12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2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</row>
    <row r="4403" spans="1:41" x14ac:dyDescent="0.2">
      <c r="A4403" s="13"/>
      <c r="B4403" s="13"/>
      <c r="C4403" s="13"/>
      <c r="D4403" s="13"/>
      <c r="E4403" s="12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2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</row>
    <row r="4404" spans="1:41" x14ac:dyDescent="0.2">
      <c r="A4404" s="13"/>
      <c r="B4404" s="13"/>
      <c r="C4404" s="13"/>
      <c r="D4404" s="13"/>
      <c r="E4404" s="12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2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</row>
    <row r="4405" spans="1:41" x14ac:dyDescent="0.2">
      <c r="A4405" s="13"/>
      <c r="B4405" s="13"/>
      <c r="C4405" s="13"/>
      <c r="D4405" s="13"/>
      <c r="E4405" s="12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2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</row>
    <row r="4406" spans="1:41" x14ac:dyDescent="0.2">
      <c r="A4406" s="13"/>
      <c r="B4406" s="13"/>
      <c r="C4406" s="13"/>
      <c r="D4406" s="13"/>
      <c r="E4406" s="12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2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</row>
    <row r="4407" spans="1:41" x14ac:dyDescent="0.2">
      <c r="A4407" s="13"/>
      <c r="B4407" s="13"/>
      <c r="C4407" s="13"/>
      <c r="D4407" s="13"/>
      <c r="E4407" s="12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2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</row>
    <row r="4408" spans="1:41" x14ac:dyDescent="0.2">
      <c r="A4408" s="13"/>
      <c r="B4408" s="13"/>
      <c r="C4408" s="13"/>
      <c r="D4408" s="13"/>
      <c r="E4408" s="12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2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</row>
    <row r="4409" spans="1:41" x14ac:dyDescent="0.2">
      <c r="A4409" s="13"/>
      <c r="B4409" s="13"/>
      <c r="C4409" s="13"/>
      <c r="D4409" s="13"/>
      <c r="E4409" s="12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2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</row>
    <row r="4410" spans="1:41" x14ac:dyDescent="0.2">
      <c r="A4410" s="13"/>
      <c r="B4410" s="13"/>
      <c r="C4410" s="13"/>
      <c r="D4410" s="13"/>
      <c r="E4410" s="12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2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</row>
    <row r="4411" spans="1:41" x14ac:dyDescent="0.2">
      <c r="A4411" s="13"/>
      <c r="B4411" s="13"/>
      <c r="C4411" s="13"/>
      <c r="D4411" s="13"/>
      <c r="E4411" s="12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2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</row>
    <row r="4412" spans="1:41" x14ac:dyDescent="0.2">
      <c r="A4412" s="13"/>
      <c r="B4412" s="13"/>
      <c r="C4412" s="13"/>
      <c r="D4412" s="13"/>
      <c r="E4412" s="12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2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</row>
    <row r="4413" spans="1:41" x14ac:dyDescent="0.2">
      <c r="A4413" s="13"/>
      <c r="B4413" s="13"/>
      <c r="C4413" s="13"/>
      <c r="D4413" s="13"/>
      <c r="E4413" s="12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2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</row>
    <row r="4414" spans="1:41" x14ac:dyDescent="0.2">
      <c r="A4414" s="13"/>
      <c r="B4414" s="13"/>
      <c r="C4414" s="13"/>
      <c r="D4414" s="13"/>
      <c r="E4414" s="12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2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</row>
    <row r="4415" spans="1:41" x14ac:dyDescent="0.2">
      <c r="A4415" s="13"/>
      <c r="B4415" s="13"/>
      <c r="C4415" s="13"/>
      <c r="D4415" s="13"/>
      <c r="E4415" s="12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2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</row>
    <row r="4416" spans="1:41" x14ac:dyDescent="0.2">
      <c r="A4416" s="13"/>
      <c r="B4416" s="13"/>
      <c r="C4416" s="13"/>
      <c r="D4416" s="13"/>
      <c r="E4416" s="12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2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</row>
    <row r="4417" spans="1:41" x14ac:dyDescent="0.2">
      <c r="A4417" s="13"/>
      <c r="B4417" s="13"/>
      <c r="C4417" s="13"/>
      <c r="D4417" s="13"/>
      <c r="E4417" s="12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2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</row>
    <row r="4418" spans="1:41" x14ac:dyDescent="0.2">
      <c r="A4418" s="13"/>
      <c r="B4418" s="13"/>
      <c r="C4418" s="13"/>
      <c r="D4418" s="13"/>
      <c r="E4418" s="12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2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</row>
    <row r="4419" spans="1:41" x14ac:dyDescent="0.2">
      <c r="A4419" s="13"/>
      <c r="B4419" s="13"/>
      <c r="C4419" s="13"/>
      <c r="D4419" s="13"/>
      <c r="E4419" s="12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2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</row>
    <row r="4420" spans="1:41" x14ac:dyDescent="0.2">
      <c r="A4420" s="13"/>
      <c r="B4420" s="13"/>
      <c r="C4420" s="13"/>
      <c r="D4420" s="13"/>
      <c r="E4420" s="12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2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</row>
    <row r="4421" spans="1:41" x14ac:dyDescent="0.2">
      <c r="A4421" s="13"/>
      <c r="B4421" s="13"/>
      <c r="C4421" s="13"/>
      <c r="D4421" s="13"/>
      <c r="E4421" s="12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2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</row>
    <row r="4422" spans="1:41" x14ac:dyDescent="0.2">
      <c r="A4422" s="13"/>
      <c r="B4422" s="13"/>
      <c r="C4422" s="13"/>
      <c r="D4422" s="13"/>
      <c r="E4422" s="12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2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</row>
    <row r="4423" spans="1:41" x14ac:dyDescent="0.2">
      <c r="A4423" s="13"/>
      <c r="B4423" s="13"/>
      <c r="C4423" s="13"/>
      <c r="D4423" s="13"/>
      <c r="E4423" s="12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2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</row>
    <row r="4424" spans="1:41" x14ac:dyDescent="0.2">
      <c r="A4424" s="13"/>
      <c r="B4424" s="13"/>
      <c r="C4424" s="13"/>
      <c r="D4424" s="13"/>
      <c r="E4424" s="12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2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</row>
    <row r="4425" spans="1:41" x14ac:dyDescent="0.2">
      <c r="A4425" s="13"/>
      <c r="B4425" s="13"/>
      <c r="C4425" s="13"/>
      <c r="D4425" s="13"/>
      <c r="E4425" s="12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2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</row>
    <row r="4426" spans="1:41" x14ac:dyDescent="0.2">
      <c r="A4426" s="13"/>
      <c r="B4426" s="13"/>
      <c r="C4426" s="13"/>
      <c r="D4426" s="13"/>
      <c r="E4426" s="12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2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</row>
    <row r="4427" spans="1:41" x14ac:dyDescent="0.2">
      <c r="A4427" s="13"/>
      <c r="B4427" s="13"/>
      <c r="C4427" s="13"/>
      <c r="D4427" s="13"/>
      <c r="E4427" s="12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2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</row>
    <row r="4428" spans="1:41" x14ac:dyDescent="0.2">
      <c r="A4428" s="13"/>
      <c r="B4428" s="13"/>
      <c r="C4428" s="13"/>
      <c r="D4428" s="13"/>
      <c r="E4428" s="12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2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</row>
    <row r="4429" spans="1:41" x14ac:dyDescent="0.2">
      <c r="A4429" s="13"/>
      <c r="B4429" s="13"/>
      <c r="C4429" s="13"/>
      <c r="D4429" s="13"/>
      <c r="E4429" s="12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2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</row>
    <row r="4430" spans="1:41" x14ac:dyDescent="0.2">
      <c r="A4430" s="13"/>
      <c r="B4430" s="13"/>
      <c r="C4430" s="13"/>
      <c r="D4430" s="13"/>
      <c r="E4430" s="12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2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</row>
    <row r="4431" spans="1:41" x14ac:dyDescent="0.2">
      <c r="A4431" s="13"/>
      <c r="B4431" s="13"/>
      <c r="C4431" s="13"/>
      <c r="D4431" s="13"/>
      <c r="E4431" s="12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2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</row>
    <row r="4432" spans="1:41" x14ac:dyDescent="0.2">
      <c r="A4432" s="13"/>
      <c r="B4432" s="13"/>
      <c r="C4432" s="13"/>
      <c r="D4432" s="13"/>
      <c r="E4432" s="12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2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</row>
    <row r="4433" spans="1:41" x14ac:dyDescent="0.2">
      <c r="A4433" s="13"/>
      <c r="B4433" s="13"/>
      <c r="C4433" s="13"/>
      <c r="D4433" s="13"/>
      <c r="E4433" s="12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2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</row>
    <row r="4434" spans="1:41" x14ac:dyDescent="0.2">
      <c r="A4434" s="13"/>
      <c r="B4434" s="13"/>
      <c r="C4434" s="13"/>
      <c r="D4434" s="13"/>
      <c r="E4434" s="12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2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</row>
    <row r="4435" spans="1:41" x14ac:dyDescent="0.2">
      <c r="A4435" s="13"/>
      <c r="B4435" s="13"/>
      <c r="C4435" s="13"/>
      <c r="D4435" s="13"/>
      <c r="E4435" s="12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2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</row>
    <row r="4436" spans="1:41" x14ac:dyDescent="0.2">
      <c r="A4436" s="13"/>
      <c r="B4436" s="13"/>
      <c r="C4436" s="13"/>
      <c r="D4436" s="13"/>
      <c r="E4436" s="12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2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</row>
    <row r="4437" spans="1:41" x14ac:dyDescent="0.2">
      <c r="A4437" s="13"/>
      <c r="B4437" s="13"/>
      <c r="C4437" s="13"/>
      <c r="D4437" s="13"/>
      <c r="E4437" s="12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2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</row>
    <row r="4438" spans="1:41" x14ac:dyDescent="0.2">
      <c r="A4438" s="13"/>
      <c r="B4438" s="13"/>
      <c r="C4438" s="13"/>
      <c r="D4438" s="13"/>
      <c r="E4438" s="12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2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</row>
    <row r="4439" spans="1:41" x14ac:dyDescent="0.2">
      <c r="A4439" s="13"/>
      <c r="B4439" s="13"/>
      <c r="C4439" s="13"/>
      <c r="D4439" s="13"/>
      <c r="E4439" s="12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2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</row>
    <row r="4440" spans="1:41" x14ac:dyDescent="0.2">
      <c r="A4440" s="13"/>
      <c r="B4440" s="13"/>
      <c r="C4440" s="13"/>
      <c r="D4440" s="13"/>
      <c r="E4440" s="12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2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</row>
    <row r="4441" spans="1:41" x14ac:dyDescent="0.2">
      <c r="A4441" s="13"/>
      <c r="B4441" s="13"/>
      <c r="C4441" s="13"/>
      <c r="D4441" s="13"/>
      <c r="E4441" s="12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2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</row>
    <row r="4442" spans="1:41" x14ac:dyDescent="0.2">
      <c r="A4442" s="13"/>
      <c r="B4442" s="13"/>
      <c r="C4442" s="13"/>
      <c r="D4442" s="13"/>
      <c r="E4442" s="12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2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</row>
    <row r="4443" spans="1:41" x14ac:dyDescent="0.2">
      <c r="A4443" s="13"/>
      <c r="B4443" s="13"/>
      <c r="C4443" s="13"/>
      <c r="D4443" s="13"/>
      <c r="E4443" s="12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2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</row>
    <row r="4444" spans="1:41" x14ac:dyDescent="0.2">
      <c r="A4444" s="13"/>
      <c r="B4444" s="13"/>
      <c r="C4444" s="13"/>
      <c r="D4444" s="13"/>
      <c r="E4444" s="12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2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</row>
    <row r="4445" spans="1:41" x14ac:dyDescent="0.2">
      <c r="A4445" s="13"/>
      <c r="B4445" s="13"/>
      <c r="C4445" s="13"/>
      <c r="D4445" s="13"/>
      <c r="E4445" s="12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2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</row>
    <row r="4446" spans="1:41" x14ac:dyDescent="0.2">
      <c r="A4446" s="13"/>
      <c r="B4446" s="13"/>
      <c r="C4446" s="13"/>
      <c r="D4446" s="13"/>
      <c r="E4446" s="12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2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</row>
    <row r="4447" spans="1:41" x14ac:dyDescent="0.2">
      <c r="A4447" s="13"/>
      <c r="B4447" s="13"/>
      <c r="C4447" s="13"/>
      <c r="D4447" s="13"/>
      <c r="E4447" s="12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2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</row>
    <row r="4448" spans="1:41" x14ac:dyDescent="0.2">
      <c r="A4448" s="13"/>
      <c r="B4448" s="13"/>
      <c r="C4448" s="13"/>
      <c r="D4448" s="13"/>
      <c r="E4448" s="12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2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</row>
    <row r="4449" spans="1:41" x14ac:dyDescent="0.2">
      <c r="A4449" s="13"/>
      <c r="B4449" s="13"/>
      <c r="C4449" s="13"/>
      <c r="D4449" s="13"/>
      <c r="E4449" s="12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2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</row>
    <row r="4450" spans="1:41" x14ac:dyDescent="0.2">
      <c r="A4450" s="13"/>
      <c r="B4450" s="13"/>
      <c r="C4450" s="13"/>
      <c r="D4450" s="13"/>
      <c r="E4450" s="12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2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</row>
    <row r="4451" spans="1:41" x14ac:dyDescent="0.2">
      <c r="A4451" s="13"/>
      <c r="B4451" s="13"/>
      <c r="C4451" s="13"/>
      <c r="D4451" s="13"/>
      <c r="E4451" s="1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2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</row>
    <row r="4452" spans="1:41" x14ac:dyDescent="0.2">
      <c r="A4452" s="13"/>
      <c r="B4452" s="13"/>
      <c r="C4452" s="13"/>
      <c r="D4452" s="13"/>
      <c r="E4452" s="12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2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</row>
    <row r="4453" spans="1:41" x14ac:dyDescent="0.2">
      <c r="A4453" s="13"/>
      <c r="B4453" s="13"/>
      <c r="C4453" s="13"/>
      <c r="D4453" s="13"/>
      <c r="E4453" s="12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2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</row>
    <row r="4454" spans="1:41" x14ac:dyDescent="0.2">
      <c r="A4454" s="13"/>
      <c r="B4454" s="13"/>
      <c r="C4454" s="13"/>
      <c r="D4454" s="13"/>
      <c r="E4454" s="12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2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</row>
    <row r="4455" spans="1:41" x14ac:dyDescent="0.2">
      <c r="A4455" s="13"/>
      <c r="B4455" s="13"/>
      <c r="C4455" s="13"/>
      <c r="D4455" s="13"/>
      <c r="E4455" s="12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2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</row>
    <row r="4456" spans="1:41" x14ac:dyDescent="0.2">
      <c r="A4456" s="13"/>
      <c r="B4456" s="13"/>
      <c r="C4456" s="13"/>
      <c r="D4456" s="13"/>
      <c r="E4456" s="12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2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</row>
    <row r="4457" spans="1:41" x14ac:dyDescent="0.2">
      <c r="A4457" s="13"/>
      <c r="B4457" s="13"/>
      <c r="C4457" s="13"/>
      <c r="D4457" s="13"/>
      <c r="E4457" s="12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2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</row>
    <row r="4458" spans="1:41" x14ac:dyDescent="0.2">
      <c r="A4458" s="13"/>
      <c r="B4458" s="13"/>
      <c r="C4458" s="13"/>
      <c r="D4458" s="13"/>
      <c r="E4458" s="12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2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</row>
    <row r="4459" spans="1:41" x14ac:dyDescent="0.2">
      <c r="A4459" s="13"/>
      <c r="B4459" s="13"/>
      <c r="C4459" s="13"/>
      <c r="D4459" s="13"/>
      <c r="E4459" s="12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2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</row>
    <row r="4460" spans="1:41" x14ac:dyDescent="0.2">
      <c r="A4460" s="13"/>
      <c r="B4460" s="13"/>
      <c r="C4460" s="13"/>
      <c r="D4460" s="13"/>
      <c r="E4460" s="12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2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</row>
    <row r="4461" spans="1:41" x14ac:dyDescent="0.2">
      <c r="A4461" s="13"/>
      <c r="B4461" s="13"/>
      <c r="C4461" s="13"/>
      <c r="D4461" s="13"/>
      <c r="E4461" s="12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2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</row>
    <row r="4462" spans="1:41" x14ac:dyDescent="0.2">
      <c r="A4462" s="13"/>
      <c r="B4462" s="13"/>
      <c r="C4462" s="13"/>
      <c r="D4462" s="13"/>
      <c r="E4462" s="12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2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</row>
    <row r="4463" spans="1:41" x14ac:dyDescent="0.2">
      <c r="A4463" s="13"/>
      <c r="B4463" s="13"/>
      <c r="C4463" s="13"/>
      <c r="D4463" s="13"/>
      <c r="E4463" s="12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2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</row>
    <row r="4464" spans="1:41" x14ac:dyDescent="0.2">
      <c r="A4464" s="13"/>
      <c r="B4464" s="13"/>
      <c r="C4464" s="13"/>
      <c r="D4464" s="13"/>
      <c r="E4464" s="12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2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</row>
    <row r="4465" spans="1:41" x14ac:dyDescent="0.2">
      <c r="A4465" s="13"/>
      <c r="B4465" s="13"/>
      <c r="C4465" s="13"/>
      <c r="D4465" s="13"/>
      <c r="E4465" s="12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2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</row>
    <row r="4466" spans="1:41" x14ac:dyDescent="0.2">
      <c r="A4466" s="13"/>
      <c r="B4466" s="13"/>
      <c r="C4466" s="13"/>
      <c r="D4466" s="13"/>
      <c r="E4466" s="12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2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</row>
    <row r="4467" spans="1:41" x14ac:dyDescent="0.2">
      <c r="A4467" s="13"/>
      <c r="B4467" s="13"/>
      <c r="C4467" s="13"/>
      <c r="D4467" s="13"/>
      <c r="E4467" s="12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2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</row>
    <row r="4468" spans="1:41" x14ac:dyDescent="0.2">
      <c r="A4468" s="13"/>
      <c r="B4468" s="13"/>
      <c r="C4468" s="13"/>
      <c r="D4468" s="13"/>
      <c r="E4468" s="12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2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</row>
    <row r="4469" spans="1:41" x14ac:dyDescent="0.2">
      <c r="A4469" s="13"/>
      <c r="B4469" s="13"/>
      <c r="C4469" s="13"/>
      <c r="D4469" s="13"/>
      <c r="E4469" s="12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2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</row>
    <row r="4470" spans="1:41" x14ac:dyDescent="0.2">
      <c r="A4470" s="13"/>
      <c r="B4470" s="13"/>
      <c r="C4470" s="13"/>
      <c r="D4470" s="13"/>
      <c r="E4470" s="12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2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</row>
    <row r="4471" spans="1:41" x14ac:dyDescent="0.2">
      <c r="A4471" s="13"/>
      <c r="B4471" s="13"/>
      <c r="C4471" s="13"/>
      <c r="D4471" s="13"/>
      <c r="E4471" s="12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2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</row>
    <row r="4472" spans="1:41" x14ac:dyDescent="0.2">
      <c r="A4472" s="13"/>
      <c r="B4472" s="13"/>
      <c r="C4472" s="13"/>
      <c r="D4472" s="13"/>
      <c r="E4472" s="12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2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</row>
    <row r="4473" spans="1:41" x14ac:dyDescent="0.2">
      <c r="A4473" s="13"/>
      <c r="B4473" s="13"/>
      <c r="C4473" s="13"/>
      <c r="D4473" s="13"/>
      <c r="E4473" s="12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2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</row>
    <row r="4474" spans="1:41" x14ac:dyDescent="0.2">
      <c r="A4474" s="13"/>
      <c r="B4474" s="13"/>
      <c r="C4474" s="13"/>
      <c r="D4474" s="13"/>
      <c r="E4474" s="12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2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</row>
    <row r="4475" spans="1:41" x14ac:dyDescent="0.2">
      <c r="A4475" s="13"/>
      <c r="B4475" s="13"/>
      <c r="C4475" s="13"/>
      <c r="D4475" s="13"/>
      <c r="E4475" s="12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2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</row>
    <row r="4476" spans="1:41" x14ac:dyDescent="0.2">
      <c r="A4476" s="13"/>
      <c r="B4476" s="13"/>
      <c r="C4476" s="13"/>
      <c r="D4476" s="13"/>
      <c r="E4476" s="12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2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</row>
    <row r="4477" spans="1:41" x14ac:dyDescent="0.2">
      <c r="A4477" s="13"/>
      <c r="B4477" s="13"/>
      <c r="C4477" s="13"/>
      <c r="D4477" s="13"/>
      <c r="E4477" s="12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2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</row>
    <row r="4478" spans="1:41" x14ac:dyDescent="0.2">
      <c r="A4478" s="13"/>
      <c r="B4478" s="13"/>
      <c r="C4478" s="13"/>
      <c r="D4478" s="13"/>
      <c r="E4478" s="12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2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</row>
    <row r="4479" spans="1:41" x14ac:dyDescent="0.2">
      <c r="A4479" s="13"/>
      <c r="B4479" s="13"/>
      <c r="C4479" s="13"/>
      <c r="D4479" s="13"/>
      <c r="E4479" s="12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2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</row>
    <row r="4480" spans="1:41" x14ac:dyDescent="0.2">
      <c r="A4480" s="13"/>
      <c r="B4480" s="13"/>
      <c r="C4480" s="13"/>
      <c r="D4480" s="13"/>
      <c r="E4480" s="12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2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</row>
    <row r="4481" spans="1:41" x14ac:dyDescent="0.2">
      <c r="A4481" s="13"/>
      <c r="B4481" s="13"/>
      <c r="C4481" s="13"/>
      <c r="D4481" s="13"/>
      <c r="E4481" s="12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2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</row>
    <row r="4482" spans="1:41" x14ac:dyDescent="0.2">
      <c r="A4482" s="13"/>
      <c r="B4482" s="13"/>
      <c r="C4482" s="13"/>
      <c r="D4482" s="13"/>
      <c r="E4482" s="12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2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</row>
    <row r="4483" spans="1:41" x14ac:dyDescent="0.2">
      <c r="A4483" s="13"/>
      <c r="B4483" s="13"/>
      <c r="C4483" s="13"/>
      <c r="D4483" s="13"/>
      <c r="E4483" s="12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2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</row>
    <row r="4484" spans="1:41" x14ac:dyDescent="0.2">
      <c r="A4484" s="13"/>
      <c r="B4484" s="13"/>
      <c r="C4484" s="13"/>
      <c r="D4484" s="13"/>
      <c r="E4484" s="12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2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</row>
    <row r="4485" spans="1:41" x14ac:dyDescent="0.2">
      <c r="A4485" s="13"/>
      <c r="B4485" s="13"/>
      <c r="C4485" s="13"/>
      <c r="D4485" s="13"/>
      <c r="E4485" s="12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2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</row>
    <row r="4486" spans="1:41" x14ac:dyDescent="0.2">
      <c r="A4486" s="13"/>
      <c r="B4486" s="13"/>
      <c r="C4486" s="13"/>
      <c r="D4486" s="13"/>
      <c r="E4486" s="12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2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</row>
    <row r="4487" spans="1:41" x14ac:dyDescent="0.2">
      <c r="A4487" s="13"/>
      <c r="B4487" s="13"/>
      <c r="C4487" s="13"/>
      <c r="D4487" s="13"/>
      <c r="E4487" s="12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2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</row>
    <row r="4488" spans="1:41" x14ac:dyDescent="0.2">
      <c r="A4488" s="13"/>
      <c r="B4488" s="13"/>
      <c r="C4488" s="13"/>
      <c r="D4488" s="13"/>
      <c r="E4488" s="12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2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</row>
    <row r="4489" spans="1:41" x14ac:dyDescent="0.2">
      <c r="A4489" s="13"/>
      <c r="B4489" s="13"/>
      <c r="C4489" s="13"/>
      <c r="D4489" s="13"/>
      <c r="E4489" s="12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2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</row>
    <row r="4490" spans="1:41" x14ac:dyDescent="0.2">
      <c r="A4490" s="13"/>
      <c r="B4490" s="13"/>
      <c r="C4490" s="13"/>
      <c r="D4490" s="13"/>
      <c r="E4490" s="12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2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</row>
    <row r="4491" spans="1:41" x14ac:dyDescent="0.2">
      <c r="A4491" s="13"/>
      <c r="B4491" s="13"/>
      <c r="C4491" s="13"/>
      <c r="D4491" s="13"/>
      <c r="E4491" s="12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2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</row>
    <row r="4492" spans="1:41" x14ac:dyDescent="0.2">
      <c r="A4492" s="13"/>
      <c r="B4492" s="13"/>
      <c r="C4492" s="13"/>
      <c r="D4492" s="13"/>
      <c r="E4492" s="12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2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</row>
    <row r="4493" spans="1:41" x14ac:dyDescent="0.2">
      <c r="A4493" s="13"/>
      <c r="B4493" s="13"/>
      <c r="C4493" s="13"/>
      <c r="D4493" s="13"/>
      <c r="E4493" s="12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2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</row>
    <row r="4494" spans="1:41" x14ac:dyDescent="0.2">
      <c r="A4494" s="13"/>
      <c r="B4494" s="13"/>
      <c r="C4494" s="13"/>
      <c r="D4494" s="13"/>
      <c r="E4494" s="1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2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</row>
    <row r="4495" spans="1:41" x14ac:dyDescent="0.2">
      <c r="A4495" s="13"/>
      <c r="B4495" s="13"/>
      <c r="C4495" s="13"/>
      <c r="D4495" s="13"/>
      <c r="E4495" s="12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2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</row>
    <row r="4496" spans="1:41" x14ac:dyDescent="0.2">
      <c r="A4496" s="13"/>
      <c r="B4496" s="13"/>
      <c r="C4496" s="13"/>
      <c r="D4496" s="13"/>
      <c r="E4496" s="12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2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</row>
    <row r="4497" spans="1:41" x14ac:dyDescent="0.2">
      <c r="A4497" s="13"/>
      <c r="B4497" s="13"/>
      <c r="C4497" s="13"/>
      <c r="D4497" s="13"/>
      <c r="E4497" s="12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2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</row>
    <row r="4498" spans="1:41" x14ac:dyDescent="0.2">
      <c r="A4498" s="13"/>
      <c r="B4498" s="13"/>
      <c r="C4498" s="13"/>
      <c r="D4498" s="13"/>
      <c r="E4498" s="12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2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</row>
    <row r="4499" spans="1:41" x14ac:dyDescent="0.2">
      <c r="A4499" s="13"/>
      <c r="B4499" s="13"/>
      <c r="C4499" s="13"/>
      <c r="D4499" s="13"/>
      <c r="E4499" s="12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2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</row>
    <row r="4500" spans="1:41" x14ac:dyDescent="0.2">
      <c r="A4500" s="13"/>
      <c r="B4500" s="13"/>
      <c r="C4500" s="13"/>
      <c r="D4500" s="13"/>
      <c r="E4500" s="12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2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</row>
    <row r="4501" spans="1:41" x14ac:dyDescent="0.2">
      <c r="A4501" s="13"/>
      <c r="B4501" s="13"/>
      <c r="C4501" s="13"/>
      <c r="D4501" s="13"/>
      <c r="E4501" s="12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2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</row>
    <row r="4502" spans="1:41" x14ac:dyDescent="0.2">
      <c r="A4502" s="13"/>
      <c r="B4502" s="13"/>
      <c r="C4502" s="13"/>
      <c r="D4502" s="13"/>
      <c r="E4502" s="12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2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</row>
    <row r="4503" spans="1:41" x14ac:dyDescent="0.2">
      <c r="A4503" s="13"/>
      <c r="B4503" s="13"/>
      <c r="C4503" s="13"/>
      <c r="D4503" s="13"/>
      <c r="E4503" s="12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2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</row>
    <row r="4504" spans="1:41" x14ac:dyDescent="0.2">
      <c r="A4504" s="13"/>
      <c r="B4504" s="13"/>
      <c r="C4504" s="13"/>
      <c r="D4504" s="13"/>
      <c r="E4504" s="12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2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</row>
    <row r="4505" spans="1:41" x14ac:dyDescent="0.2">
      <c r="A4505" s="13"/>
      <c r="B4505" s="13"/>
      <c r="C4505" s="13"/>
      <c r="D4505" s="13"/>
      <c r="E4505" s="12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2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</row>
    <row r="4506" spans="1:41" x14ac:dyDescent="0.2">
      <c r="A4506" s="13"/>
      <c r="B4506" s="13"/>
      <c r="C4506" s="13"/>
      <c r="D4506" s="13"/>
      <c r="E4506" s="12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2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</row>
    <row r="4507" spans="1:41" x14ac:dyDescent="0.2">
      <c r="A4507" s="13"/>
      <c r="B4507" s="13"/>
      <c r="C4507" s="13"/>
      <c r="D4507" s="13"/>
      <c r="E4507" s="12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2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</row>
    <row r="4508" spans="1:41" x14ac:dyDescent="0.2">
      <c r="A4508" s="13"/>
      <c r="B4508" s="13"/>
      <c r="C4508" s="13"/>
      <c r="D4508" s="13"/>
      <c r="E4508" s="12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2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</row>
    <row r="4509" spans="1:41" x14ac:dyDescent="0.2">
      <c r="A4509" s="13"/>
      <c r="B4509" s="13"/>
      <c r="C4509" s="13"/>
      <c r="D4509" s="13"/>
      <c r="E4509" s="12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2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</row>
    <row r="4510" spans="1:41" x14ac:dyDescent="0.2">
      <c r="A4510" s="13"/>
      <c r="B4510" s="13"/>
      <c r="C4510" s="13"/>
      <c r="D4510" s="13"/>
      <c r="E4510" s="12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2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</row>
    <row r="4511" spans="1:41" x14ac:dyDescent="0.2">
      <c r="A4511" s="13"/>
      <c r="B4511" s="13"/>
      <c r="C4511" s="13"/>
      <c r="D4511" s="13"/>
      <c r="E4511" s="12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2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</row>
    <row r="4512" spans="1:41" x14ac:dyDescent="0.2">
      <c r="A4512" s="13"/>
      <c r="B4512" s="13"/>
      <c r="C4512" s="13"/>
      <c r="D4512" s="13"/>
      <c r="E4512" s="12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2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</row>
    <row r="4513" spans="1:41" x14ac:dyDescent="0.2">
      <c r="A4513" s="13"/>
      <c r="B4513" s="13"/>
      <c r="C4513" s="13"/>
      <c r="D4513" s="13"/>
      <c r="E4513" s="12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2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</row>
    <row r="4514" spans="1:41" x14ac:dyDescent="0.2">
      <c r="A4514" s="13"/>
      <c r="B4514" s="13"/>
      <c r="C4514" s="13"/>
      <c r="D4514" s="13"/>
      <c r="E4514" s="12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2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</row>
    <row r="4515" spans="1:41" x14ac:dyDescent="0.2">
      <c r="A4515" s="13"/>
      <c r="B4515" s="13"/>
      <c r="C4515" s="13"/>
      <c r="D4515" s="13"/>
      <c r="E4515" s="12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2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</row>
    <row r="4516" spans="1:41" x14ac:dyDescent="0.2">
      <c r="A4516" s="13"/>
      <c r="B4516" s="13"/>
      <c r="C4516" s="13"/>
      <c r="D4516" s="13"/>
      <c r="E4516" s="12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2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</row>
    <row r="4517" spans="1:41" x14ac:dyDescent="0.2">
      <c r="A4517" s="13"/>
      <c r="B4517" s="13"/>
      <c r="C4517" s="13"/>
      <c r="D4517" s="13"/>
      <c r="E4517" s="12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2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</row>
    <row r="4518" spans="1:41" x14ac:dyDescent="0.2">
      <c r="A4518" s="13"/>
      <c r="B4518" s="13"/>
      <c r="C4518" s="13"/>
      <c r="D4518" s="13"/>
      <c r="E4518" s="12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2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</row>
    <row r="4519" spans="1:41" x14ac:dyDescent="0.2">
      <c r="A4519" s="13"/>
      <c r="B4519" s="13"/>
      <c r="C4519" s="13"/>
      <c r="D4519" s="13"/>
      <c r="E4519" s="12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2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</row>
    <row r="4520" spans="1:41" x14ac:dyDescent="0.2">
      <c r="A4520" s="13"/>
      <c r="B4520" s="13"/>
      <c r="C4520" s="13"/>
      <c r="D4520" s="13"/>
      <c r="E4520" s="12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2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</row>
    <row r="4521" spans="1:41" x14ac:dyDescent="0.2">
      <c r="A4521" s="13"/>
      <c r="B4521" s="13"/>
      <c r="C4521" s="13"/>
      <c r="D4521" s="13"/>
      <c r="E4521" s="12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2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</row>
    <row r="4522" spans="1:41" x14ac:dyDescent="0.2">
      <c r="A4522" s="13"/>
      <c r="B4522" s="13"/>
      <c r="C4522" s="13"/>
      <c r="D4522" s="13"/>
      <c r="E4522" s="12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2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</row>
    <row r="4523" spans="1:41" x14ac:dyDescent="0.2">
      <c r="A4523" s="13"/>
      <c r="B4523" s="13"/>
      <c r="C4523" s="13"/>
      <c r="D4523" s="13"/>
      <c r="E4523" s="12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2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</row>
    <row r="4524" spans="1:41" x14ac:dyDescent="0.2">
      <c r="A4524" s="13"/>
      <c r="B4524" s="13"/>
      <c r="C4524" s="13"/>
      <c r="D4524" s="13"/>
      <c r="E4524" s="12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2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</row>
    <row r="4525" spans="1:41" x14ac:dyDescent="0.2">
      <c r="A4525" s="13"/>
      <c r="B4525" s="13"/>
      <c r="C4525" s="13"/>
      <c r="D4525" s="13"/>
      <c r="E4525" s="12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2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</row>
    <row r="4526" spans="1:41" x14ac:dyDescent="0.2">
      <c r="A4526" s="13"/>
      <c r="B4526" s="13"/>
      <c r="C4526" s="13"/>
      <c r="D4526" s="13"/>
      <c r="E4526" s="12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2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</row>
    <row r="4527" spans="1:41" x14ac:dyDescent="0.2">
      <c r="A4527" s="13"/>
      <c r="B4527" s="13"/>
      <c r="C4527" s="13"/>
      <c r="D4527" s="13"/>
      <c r="E4527" s="12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2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</row>
    <row r="4528" spans="1:41" x14ac:dyDescent="0.2">
      <c r="A4528" s="13"/>
      <c r="B4528" s="13"/>
      <c r="C4528" s="13"/>
      <c r="D4528" s="13"/>
      <c r="E4528" s="12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2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</row>
    <row r="4529" spans="1:41" x14ac:dyDescent="0.2">
      <c r="A4529" s="13"/>
      <c r="B4529" s="13"/>
      <c r="C4529" s="13"/>
      <c r="D4529" s="13"/>
      <c r="E4529" s="12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2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</row>
    <row r="4530" spans="1:41" x14ac:dyDescent="0.2">
      <c r="A4530" s="13"/>
      <c r="B4530" s="13"/>
      <c r="C4530" s="13"/>
      <c r="D4530" s="13"/>
      <c r="E4530" s="12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2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</row>
    <row r="4531" spans="1:41" x14ac:dyDescent="0.2">
      <c r="A4531" s="13"/>
      <c r="B4531" s="13"/>
      <c r="C4531" s="13"/>
      <c r="D4531" s="13"/>
      <c r="E4531" s="12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2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</row>
    <row r="4532" spans="1:41" x14ac:dyDescent="0.2">
      <c r="A4532" s="13"/>
      <c r="B4532" s="13"/>
      <c r="C4532" s="13"/>
      <c r="D4532" s="13"/>
      <c r="E4532" s="12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2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</row>
    <row r="4533" spans="1:41" x14ac:dyDescent="0.2">
      <c r="A4533" s="13"/>
      <c r="B4533" s="13"/>
      <c r="C4533" s="13"/>
      <c r="D4533" s="13"/>
      <c r="E4533" s="12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2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</row>
    <row r="4534" spans="1:41" x14ac:dyDescent="0.2">
      <c r="A4534" s="13"/>
      <c r="B4534" s="13"/>
      <c r="C4534" s="13"/>
      <c r="D4534" s="13"/>
      <c r="E4534" s="12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2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</row>
    <row r="4535" spans="1:41" x14ac:dyDescent="0.2">
      <c r="A4535" s="13"/>
      <c r="B4535" s="13"/>
      <c r="C4535" s="13"/>
      <c r="D4535" s="13"/>
      <c r="E4535" s="12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2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</row>
    <row r="4536" spans="1:41" x14ac:dyDescent="0.2">
      <c r="A4536" s="13"/>
      <c r="B4536" s="13"/>
      <c r="C4536" s="13"/>
      <c r="D4536" s="13"/>
      <c r="E4536" s="12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2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</row>
    <row r="4537" spans="1:41" x14ac:dyDescent="0.2">
      <c r="A4537" s="13"/>
      <c r="B4537" s="13"/>
      <c r="C4537" s="13"/>
      <c r="D4537" s="13"/>
      <c r="E4537" s="12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2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</row>
    <row r="4538" spans="1:41" x14ac:dyDescent="0.2">
      <c r="A4538" s="13"/>
      <c r="B4538" s="13"/>
      <c r="C4538" s="13"/>
      <c r="D4538" s="13"/>
      <c r="E4538" s="12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2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</row>
    <row r="4539" spans="1:41" x14ac:dyDescent="0.2">
      <c r="A4539" s="13"/>
      <c r="B4539" s="13"/>
      <c r="C4539" s="13"/>
      <c r="D4539" s="13"/>
      <c r="E4539" s="12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2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</row>
    <row r="4540" spans="1:41" x14ac:dyDescent="0.2">
      <c r="A4540" s="13"/>
      <c r="B4540" s="13"/>
      <c r="C4540" s="13"/>
      <c r="D4540" s="13"/>
      <c r="E4540" s="12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2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</row>
    <row r="4541" spans="1:41" x14ac:dyDescent="0.2">
      <c r="A4541" s="13"/>
      <c r="B4541" s="13"/>
      <c r="C4541" s="13"/>
      <c r="D4541" s="13"/>
      <c r="E4541" s="12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2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</row>
    <row r="4542" spans="1:41" x14ac:dyDescent="0.2">
      <c r="A4542" s="13"/>
      <c r="B4542" s="13"/>
      <c r="C4542" s="13"/>
      <c r="D4542" s="13"/>
      <c r="E4542" s="12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2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</row>
    <row r="4543" spans="1:41" x14ac:dyDescent="0.2">
      <c r="A4543" s="13"/>
      <c r="B4543" s="13"/>
      <c r="C4543" s="13"/>
      <c r="D4543" s="13"/>
      <c r="E4543" s="12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2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</row>
    <row r="4544" spans="1:41" x14ac:dyDescent="0.2">
      <c r="A4544" s="13"/>
      <c r="B4544" s="13"/>
      <c r="C4544" s="13"/>
      <c r="D4544" s="13"/>
      <c r="E4544" s="12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2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</row>
    <row r="4545" spans="1:41" x14ac:dyDescent="0.2">
      <c r="A4545" s="13"/>
      <c r="B4545" s="13"/>
      <c r="C4545" s="13"/>
      <c r="D4545" s="13"/>
      <c r="E4545" s="12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2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</row>
    <row r="4546" spans="1:41" x14ac:dyDescent="0.2">
      <c r="A4546" s="13"/>
      <c r="B4546" s="13"/>
      <c r="C4546" s="13"/>
      <c r="D4546" s="13"/>
      <c r="E4546" s="12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2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</row>
    <row r="4547" spans="1:41" x14ac:dyDescent="0.2">
      <c r="A4547" s="13"/>
      <c r="B4547" s="13"/>
      <c r="C4547" s="13"/>
      <c r="D4547" s="13"/>
      <c r="E4547" s="12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2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</row>
    <row r="4548" spans="1:41" x14ac:dyDescent="0.2">
      <c r="A4548" s="13"/>
      <c r="B4548" s="13"/>
      <c r="C4548" s="13"/>
      <c r="D4548" s="13"/>
      <c r="E4548" s="12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2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</row>
    <row r="4549" spans="1:41" x14ac:dyDescent="0.2">
      <c r="A4549" s="13"/>
      <c r="B4549" s="13"/>
      <c r="C4549" s="13"/>
      <c r="D4549" s="13"/>
      <c r="E4549" s="12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2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</row>
    <row r="4550" spans="1:41" x14ac:dyDescent="0.2">
      <c r="A4550" s="13"/>
      <c r="B4550" s="13"/>
      <c r="C4550" s="13"/>
      <c r="D4550" s="13"/>
      <c r="E4550" s="12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2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</row>
    <row r="4551" spans="1:41" x14ac:dyDescent="0.2">
      <c r="A4551" s="13"/>
      <c r="B4551" s="13"/>
      <c r="C4551" s="13"/>
      <c r="D4551" s="13"/>
      <c r="E4551" s="12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2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</row>
    <row r="4552" spans="1:41" x14ac:dyDescent="0.2">
      <c r="A4552" s="13"/>
      <c r="B4552" s="13"/>
      <c r="C4552" s="13"/>
      <c r="D4552" s="13"/>
      <c r="E4552" s="12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2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</row>
    <row r="4553" spans="1:41" x14ac:dyDescent="0.2">
      <c r="A4553" s="13"/>
      <c r="B4553" s="13"/>
      <c r="C4553" s="13"/>
      <c r="D4553" s="13"/>
      <c r="E4553" s="12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2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</row>
    <row r="4554" spans="1:41" x14ac:dyDescent="0.2">
      <c r="A4554" s="13"/>
      <c r="B4554" s="13"/>
      <c r="C4554" s="13"/>
      <c r="D4554" s="13"/>
      <c r="E4554" s="12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2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</row>
    <row r="4555" spans="1:41" x14ac:dyDescent="0.2">
      <c r="A4555" s="13"/>
      <c r="B4555" s="13"/>
      <c r="C4555" s="13"/>
      <c r="D4555" s="13"/>
      <c r="E4555" s="12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2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</row>
    <row r="4556" spans="1:41" x14ac:dyDescent="0.2">
      <c r="A4556" s="13"/>
      <c r="B4556" s="13"/>
      <c r="C4556" s="13"/>
      <c r="D4556" s="13"/>
      <c r="E4556" s="12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2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</row>
    <row r="4557" spans="1:41" x14ac:dyDescent="0.2">
      <c r="A4557" s="13"/>
      <c r="B4557" s="13"/>
      <c r="C4557" s="13"/>
      <c r="D4557" s="13"/>
      <c r="E4557" s="12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2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</row>
    <row r="4558" spans="1:41" x14ac:dyDescent="0.2">
      <c r="A4558" s="13"/>
      <c r="B4558" s="13"/>
      <c r="C4558" s="13"/>
      <c r="D4558" s="13"/>
      <c r="E4558" s="12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2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</row>
    <row r="4559" spans="1:41" x14ac:dyDescent="0.2">
      <c r="A4559" s="13"/>
      <c r="B4559" s="13"/>
      <c r="C4559" s="13"/>
      <c r="D4559" s="13"/>
      <c r="E4559" s="12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2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</row>
    <row r="4560" spans="1:41" x14ac:dyDescent="0.2">
      <c r="A4560" s="13"/>
      <c r="B4560" s="13"/>
      <c r="C4560" s="13"/>
      <c r="D4560" s="13"/>
      <c r="E4560" s="12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2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</row>
    <row r="4561" spans="1:41" x14ac:dyDescent="0.2">
      <c r="A4561" s="13"/>
      <c r="B4561" s="13"/>
      <c r="C4561" s="13"/>
      <c r="D4561" s="13"/>
      <c r="E4561" s="12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2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</row>
    <row r="4562" spans="1:41" x14ac:dyDescent="0.2">
      <c r="A4562" s="13"/>
      <c r="B4562" s="13"/>
      <c r="C4562" s="13"/>
      <c r="D4562" s="13"/>
      <c r="E4562" s="12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2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</row>
    <row r="4563" spans="1:41" x14ac:dyDescent="0.2">
      <c r="A4563" s="13"/>
      <c r="B4563" s="13"/>
      <c r="C4563" s="13"/>
      <c r="D4563" s="13"/>
      <c r="E4563" s="12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2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</row>
    <row r="4564" spans="1:41" x14ac:dyDescent="0.2">
      <c r="A4564" s="13"/>
      <c r="B4564" s="13"/>
      <c r="C4564" s="13"/>
      <c r="D4564" s="13"/>
      <c r="E4564" s="12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2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</row>
    <row r="4565" spans="1:41" x14ac:dyDescent="0.2">
      <c r="A4565" s="13"/>
      <c r="B4565" s="13"/>
      <c r="C4565" s="13"/>
      <c r="D4565" s="13"/>
      <c r="E4565" s="12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2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</row>
    <row r="4566" spans="1:41" x14ac:dyDescent="0.2">
      <c r="A4566" s="13"/>
      <c r="B4566" s="13"/>
      <c r="C4566" s="13"/>
      <c r="D4566" s="13"/>
      <c r="E4566" s="12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2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</row>
    <row r="4567" spans="1:41" x14ac:dyDescent="0.2">
      <c r="A4567" s="13"/>
      <c r="B4567" s="13"/>
      <c r="C4567" s="13"/>
      <c r="D4567" s="13"/>
      <c r="E4567" s="12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2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</row>
    <row r="4568" spans="1:41" x14ac:dyDescent="0.2">
      <c r="A4568" s="13"/>
      <c r="B4568" s="13"/>
      <c r="C4568" s="13"/>
      <c r="D4568" s="13"/>
      <c r="E4568" s="12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2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</row>
    <row r="4569" spans="1:41" x14ac:dyDescent="0.2">
      <c r="A4569" s="13"/>
      <c r="B4569" s="13"/>
      <c r="C4569" s="13"/>
      <c r="D4569" s="13"/>
      <c r="E4569" s="12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2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</row>
    <row r="4570" spans="1:41" x14ac:dyDescent="0.2">
      <c r="A4570" s="13"/>
      <c r="B4570" s="13"/>
      <c r="C4570" s="13"/>
      <c r="D4570" s="13"/>
      <c r="E4570" s="12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2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</row>
    <row r="4571" spans="1:41" x14ac:dyDescent="0.2">
      <c r="A4571" s="13"/>
      <c r="B4571" s="13"/>
      <c r="C4571" s="13"/>
      <c r="D4571" s="13"/>
      <c r="E4571" s="12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2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</row>
    <row r="4572" spans="1:41" x14ac:dyDescent="0.2">
      <c r="A4572" s="13"/>
      <c r="B4572" s="13"/>
      <c r="C4572" s="13"/>
      <c r="D4572" s="13"/>
      <c r="E4572" s="12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2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</row>
    <row r="4573" spans="1:41" x14ac:dyDescent="0.2">
      <c r="A4573" s="13"/>
      <c r="B4573" s="13"/>
      <c r="C4573" s="13"/>
      <c r="D4573" s="13"/>
      <c r="E4573" s="12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2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</row>
    <row r="4574" spans="1:41" x14ac:dyDescent="0.2">
      <c r="A4574" s="13"/>
      <c r="B4574" s="13"/>
      <c r="C4574" s="13"/>
      <c r="D4574" s="13"/>
      <c r="E4574" s="12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2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</row>
    <row r="4575" spans="1:41" x14ac:dyDescent="0.2">
      <c r="A4575" s="13"/>
      <c r="B4575" s="13"/>
      <c r="C4575" s="13"/>
      <c r="D4575" s="13"/>
      <c r="E4575" s="12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2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</row>
    <row r="4576" spans="1:41" x14ac:dyDescent="0.2">
      <c r="A4576" s="13"/>
      <c r="B4576" s="13"/>
      <c r="C4576" s="13"/>
      <c r="D4576" s="13"/>
      <c r="E4576" s="12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2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</row>
    <row r="4577" spans="1:41" x14ac:dyDescent="0.2">
      <c r="A4577" s="13"/>
      <c r="B4577" s="13"/>
      <c r="C4577" s="13"/>
      <c r="D4577" s="13"/>
      <c r="E4577" s="12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2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</row>
    <row r="4578" spans="1:41" x14ac:dyDescent="0.2">
      <c r="A4578" s="13"/>
      <c r="B4578" s="13"/>
      <c r="C4578" s="13"/>
      <c r="D4578" s="13"/>
      <c r="E4578" s="12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2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</row>
    <row r="4579" spans="1:41" x14ac:dyDescent="0.2">
      <c r="A4579" s="13"/>
      <c r="B4579" s="13"/>
      <c r="C4579" s="13"/>
      <c r="D4579" s="13"/>
      <c r="E4579" s="12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2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</row>
    <row r="4580" spans="1:41" x14ac:dyDescent="0.2">
      <c r="A4580" s="13"/>
      <c r="B4580" s="13"/>
      <c r="C4580" s="13"/>
      <c r="D4580" s="13"/>
      <c r="E4580" s="12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2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</row>
    <row r="4581" spans="1:41" x14ac:dyDescent="0.2">
      <c r="A4581" s="13"/>
      <c r="B4581" s="13"/>
      <c r="C4581" s="13"/>
      <c r="D4581" s="13"/>
      <c r="E4581" s="12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2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</row>
    <row r="4582" spans="1:41" x14ac:dyDescent="0.2">
      <c r="A4582" s="13"/>
      <c r="B4582" s="13"/>
      <c r="C4582" s="13"/>
      <c r="D4582" s="13"/>
      <c r="E4582" s="12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2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</row>
    <row r="4583" spans="1:41" x14ac:dyDescent="0.2">
      <c r="A4583" s="13"/>
      <c r="B4583" s="13"/>
      <c r="C4583" s="13"/>
      <c r="D4583" s="13"/>
      <c r="E4583" s="12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2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</row>
    <row r="4584" spans="1:41" x14ac:dyDescent="0.2">
      <c r="A4584" s="13"/>
      <c r="B4584" s="13"/>
      <c r="C4584" s="13"/>
      <c r="D4584" s="13"/>
      <c r="E4584" s="12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2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</row>
    <row r="4585" spans="1:41" x14ac:dyDescent="0.2">
      <c r="A4585" s="13"/>
      <c r="B4585" s="13"/>
      <c r="C4585" s="13"/>
      <c r="D4585" s="13"/>
      <c r="E4585" s="12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2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</row>
    <row r="4586" spans="1:41" x14ac:dyDescent="0.2">
      <c r="A4586" s="13"/>
      <c r="B4586" s="13"/>
      <c r="C4586" s="13"/>
      <c r="D4586" s="13"/>
      <c r="E4586" s="12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2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</row>
    <row r="4587" spans="1:41" x14ac:dyDescent="0.2">
      <c r="A4587" s="13"/>
      <c r="B4587" s="13"/>
      <c r="C4587" s="13"/>
      <c r="D4587" s="13"/>
      <c r="E4587" s="12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2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</row>
    <row r="4588" spans="1:41" x14ac:dyDescent="0.2">
      <c r="A4588" s="13"/>
      <c r="B4588" s="13"/>
      <c r="C4588" s="13"/>
      <c r="D4588" s="13"/>
      <c r="E4588" s="12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2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</row>
    <row r="4589" spans="1:41" x14ac:dyDescent="0.2">
      <c r="A4589" s="13"/>
      <c r="B4589" s="13"/>
      <c r="C4589" s="13"/>
      <c r="D4589" s="13"/>
      <c r="E4589" s="12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2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</row>
    <row r="4590" spans="1:41" x14ac:dyDescent="0.2">
      <c r="A4590" s="13"/>
      <c r="B4590" s="13"/>
      <c r="C4590" s="13"/>
      <c r="D4590" s="13"/>
      <c r="E4590" s="1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2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</row>
    <row r="4591" spans="1:41" x14ac:dyDescent="0.2">
      <c r="A4591" s="13"/>
      <c r="B4591" s="13"/>
      <c r="C4591" s="13"/>
      <c r="D4591" s="13"/>
      <c r="E4591" s="12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2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</row>
    <row r="4592" spans="1:41" x14ac:dyDescent="0.2">
      <c r="A4592" s="13"/>
      <c r="B4592" s="13"/>
      <c r="C4592" s="13"/>
      <c r="D4592" s="13"/>
      <c r="E4592" s="12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2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</row>
    <row r="4593" spans="1:41" x14ac:dyDescent="0.2">
      <c r="A4593" s="13"/>
      <c r="B4593" s="13"/>
      <c r="C4593" s="13"/>
      <c r="D4593" s="13"/>
      <c r="E4593" s="12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2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</row>
    <row r="4594" spans="1:41" x14ac:dyDescent="0.2">
      <c r="A4594" s="13"/>
      <c r="B4594" s="13"/>
      <c r="C4594" s="13"/>
      <c r="D4594" s="13"/>
      <c r="E4594" s="12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2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</row>
    <row r="4595" spans="1:41" x14ac:dyDescent="0.2">
      <c r="A4595" s="13"/>
      <c r="B4595" s="13"/>
      <c r="C4595" s="13"/>
      <c r="D4595" s="13"/>
      <c r="E4595" s="12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2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</row>
    <row r="4596" spans="1:41" x14ac:dyDescent="0.2">
      <c r="A4596" s="13"/>
      <c r="B4596" s="13"/>
      <c r="C4596" s="13"/>
      <c r="D4596" s="13"/>
      <c r="E4596" s="12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2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</row>
    <row r="4597" spans="1:41" x14ac:dyDescent="0.2">
      <c r="A4597" s="13"/>
      <c r="B4597" s="13"/>
      <c r="C4597" s="13"/>
      <c r="D4597" s="13"/>
      <c r="E4597" s="12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2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</row>
    <row r="4598" spans="1:41" x14ac:dyDescent="0.2">
      <c r="A4598" s="13"/>
      <c r="B4598" s="13"/>
      <c r="C4598" s="13"/>
      <c r="D4598" s="13"/>
      <c r="E4598" s="12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2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</row>
    <row r="4599" spans="1:41" x14ac:dyDescent="0.2">
      <c r="A4599" s="13"/>
      <c r="B4599" s="13"/>
      <c r="C4599" s="13"/>
      <c r="D4599" s="13"/>
      <c r="E4599" s="12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2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</row>
    <row r="4600" spans="1:41" x14ac:dyDescent="0.2">
      <c r="A4600" s="13"/>
      <c r="B4600" s="13"/>
      <c r="C4600" s="13"/>
      <c r="D4600" s="13"/>
      <c r="E4600" s="12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2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</row>
    <row r="4601" spans="1:41" x14ac:dyDescent="0.2">
      <c r="A4601" s="13"/>
      <c r="B4601" s="13"/>
      <c r="C4601" s="13"/>
      <c r="D4601" s="13"/>
      <c r="E4601" s="12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2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</row>
    <row r="4602" spans="1:41" x14ac:dyDescent="0.2">
      <c r="A4602" s="13"/>
      <c r="B4602" s="13"/>
      <c r="C4602" s="13"/>
      <c r="D4602" s="13"/>
      <c r="E4602" s="12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2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</row>
    <row r="4603" spans="1:41" x14ac:dyDescent="0.2">
      <c r="A4603" s="13"/>
      <c r="B4603" s="13"/>
      <c r="C4603" s="13"/>
      <c r="D4603" s="13"/>
      <c r="E4603" s="12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2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</row>
    <row r="4604" spans="1:41" x14ac:dyDescent="0.2">
      <c r="A4604" s="13"/>
      <c r="B4604" s="13"/>
      <c r="C4604" s="13"/>
      <c r="D4604" s="13"/>
      <c r="E4604" s="12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2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</row>
    <row r="4605" spans="1:41" x14ac:dyDescent="0.2">
      <c r="A4605" s="13"/>
      <c r="B4605" s="13"/>
      <c r="C4605" s="13"/>
      <c r="D4605" s="13"/>
      <c r="E4605" s="12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2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</row>
    <row r="4606" spans="1:41" x14ac:dyDescent="0.2">
      <c r="A4606" s="13"/>
      <c r="B4606" s="13"/>
      <c r="C4606" s="13"/>
      <c r="D4606" s="13"/>
      <c r="E4606" s="12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2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</row>
    <row r="4607" spans="1:41" x14ac:dyDescent="0.2">
      <c r="A4607" s="13"/>
      <c r="B4607" s="13"/>
      <c r="C4607" s="13"/>
      <c r="D4607" s="13"/>
      <c r="E4607" s="12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2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</row>
    <row r="4608" spans="1:41" x14ac:dyDescent="0.2">
      <c r="A4608" s="13"/>
      <c r="B4608" s="13"/>
      <c r="C4608" s="13"/>
      <c r="D4608" s="13"/>
      <c r="E4608" s="12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2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</row>
    <row r="4609" spans="1:41" x14ac:dyDescent="0.2">
      <c r="A4609" s="13"/>
      <c r="B4609" s="13"/>
      <c r="C4609" s="13"/>
      <c r="D4609" s="13"/>
      <c r="E4609" s="12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2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</row>
    <row r="4610" spans="1:41" x14ac:dyDescent="0.2">
      <c r="A4610" s="13"/>
      <c r="B4610" s="13"/>
      <c r="C4610" s="13"/>
      <c r="D4610" s="13"/>
      <c r="E4610" s="12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2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</row>
    <row r="4611" spans="1:41" x14ac:dyDescent="0.2">
      <c r="A4611" s="13"/>
      <c r="B4611" s="13"/>
      <c r="C4611" s="13"/>
      <c r="D4611" s="13"/>
      <c r="E4611" s="12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2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</row>
    <row r="4612" spans="1:41" x14ac:dyDescent="0.2">
      <c r="A4612" s="13"/>
      <c r="B4612" s="13"/>
      <c r="C4612" s="13"/>
      <c r="D4612" s="13"/>
      <c r="E4612" s="12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2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</row>
    <row r="4613" spans="1:41" x14ac:dyDescent="0.2">
      <c r="A4613" s="13"/>
      <c r="B4613" s="13"/>
      <c r="C4613" s="13"/>
      <c r="D4613" s="13"/>
      <c r="E4613" s="12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2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</row>
    <row r="4614" spans="1:41" x14ac:dyDescent="0.2">
      <c r="A4614" s="13"/>
      <c r="B4614" s="13"/>
      <c r="C4614" s="13"/>
      <c r="D4614" s="13"/>
      <c r="E4614" s="12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2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</row>
    <row r="4615" spans="1:41" x14ac:dyDescent="0.2">
      <c r="A4615" s="13"/>
      <c r="B4615" s="13"/>
      <c r="C4615" s="13"/>
      <c r="D4615" s="13"/>
      <c r="E4615" s="12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2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</row>
    <row r="4616" spans="1:41" x14ac:dyDescent="0.2">
      <c r="A4616" s="13"/>
      <c r="B4616" s="13"/>
      <c r="C4616" s="13"/>
      <c r="D4616" s="13"/>
      <c r="E4616" s="12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2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</row>
    <row r="4617" spans="1:41" x14ac:dyDescent="0.2">
      <c r="A4617" s="13"/>
      <c r="B4617" s="13"/>
      <c r="C4617" s="13"/>
      <c r="D4617" s="13"/>
      <c r="E4617" s="12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2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</row>
    <row r="4618" spans="1:41" x14ac:dyDescent="0.2">
      <c r="A4618" s="13"/>
      <c r="B4618" s="13"/>
      <c r="C4618" s="13"/>
      <c r="D4618" s="13"/>
      <c r="E4618" s="12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2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</row>
    <row r="4619" spans="1:41" x14ac:dyDescent="0.2">
      <c r="A4619" s="13"/>
      <c r="B4619" s="13"/>
      <c r="C4619" s="13"/>
      <c r="D4619" s="13"/>
      <c r="E4619" s="12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2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</row>
    <row r="4620" spans="1:41" x14ac:dyDescent="0.2">
      <c r="A4620" s="13"/>
      <c r="B4620" s="13"/>
      <c r="C4620" s="13"/>
      <c r="D4620" s="13"/>
      <c r="E4620" s="12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2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</row>
    <row r="4621" spans="1:41" x14ac:dyDescent="0.2">
      <c r="A4621" s="13"/>
      <c r="B4621" s="13"/>
      <c r="C4621" s="13"/>
      <c r="D4621" s="13"/>
      <c r="E4621" s="12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2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</row>
    <row r="4622" spans="1:41" x14ac:dyDescent="0.2">
      <c r="A4622" s="13"/>
      <c r="B4622" s="13"/>
      <c r="C4622" s="13"/>
      <c r="D4622" s="13"/>
      <c r="E4622" s="12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2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</row>
    <row r="4623" spans="1:41" x14ac:dyDescent="0.2">
      <c r="A4623" s="13"/>
      <c r="B4623" s="13"/>
      <c r="C4623" s="13"/>
      <c r="D4623" s="13"/>
      <c r="E4623" s="12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2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</row>
    <row r="4624" spans="1:41" x14ac:dyDescent="0.2">
      <c r="A4624" s="13"/>
      <c r="B4624" s="13"/>
      <c r="C4624" s="13"/>
      <c r="D4624" s="13"/>
      <c r="E4624" s="12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2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</row>
    <row r="4625" spans="1:41" x14ac:dyDescent="0.2">
      <c r="A4625" s="13"/>
      <c r="B4625" s="13"/>
      <c r="C4625" s="13"/>
      <c r="D4625" s="13"/>
      <c r="E4625" s="12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2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</row>
    <row r="4626" spans="1:41" x14ac:dyDescent="0.2">
      <c r="A4626" s="13"/>
      <c r="B4626" s="13"/>
      <c r="C4626" s="13"/>
      <c r="D4626" s="13"/>
      <c r="E4626" s="12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2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</row>
    <row r="4627" spans="1:41" x14ac:dyDescent="0.2">
      <c r="A4627" s="13"/>
      <c r="B4627" s="13"/>
      <c r="C4627" s="13"/>
      <c r="D4627" s="13"/>
      <c r="E4627" s="12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2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</row>
    <row r="4628" spans="1:41" x14ac:dyDescent="0.2">
      <c r="A4628" s="13"/>
      <c r="B4628" s="13"/>
      <c r="C4628" s="13"/>
      <c r="D4628" s="13"/>
      <c r="E4628" s="12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2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</row>
    <row r="4629" spans="1:41" x14ac:dyDescent="0.2">
      <c r="A4629" s="13"/>
      <c r="B4629" s="13"/>
      <c r="C4629" s="13"/>
      <c r="D4629" s="13"/>
      <c r="E4629" s="12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2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</row>
    <row r="4630" spans="1:41" x14ac:dyDescent="0.2">
      <c r="A4630" s="13"/>
      <c r="B4630" s="13"/>
      <c r="C4630" s="13"/>
      <c r="D4630" s="13"/>
      <c r="E4630" s="12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2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</row>
    <row r="4631" spans="1:41" x14ac:dyDescent="0.2">
      <c r="A4631" s="13"/>
      <c r="B4631" s="13"/>
      <c r="C4631" s="13"/>
      <c r="D4631" s="13"/>
      <c r="E4631" s="12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2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</row>
    <row r="4632" spans="1:41" x14ac:dyDescent="0.2">
      <c r="A4632" s="13"/>
      <c r="B4632" s="13"/>
      <c r="C4632" s="13"/>
      <c r="D4632" s="13"/>
      <c r="E4632" s="12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2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</row>
    <row r="4633" spans="1:41" x14ac:dyDescent="0.2">
      <c r="A4633" s="13"/>
      <c r="B4633" s="13"/>
      <c r="C4633" s="13"/>
      <c r="D4633" s="13"/>
      <c r="E4633" s="12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2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</row>
    <row r="4634" spans="1:41" x14ac:dyDescent="0.2">
      <c r="A4634" s="13"/>
      <c r="B4634" s="13"/>
      <c r="C4634" s="13"/>
      <c r="D4634" s="13"/>
      <c r="E4634" s="12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2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</row>
    <row r="4635" spans="1:41" x14ac:dyDescent="0.2">
      <c r="A4635" s="13"/>
      <c r="B4635" s="13"/>
      <c r="C4635" s="13"/>
      <c r="D4635" s="13"/>
      <c r="E4635" s="12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2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</row>
    <row r="4636" spans="1:41" x14ac:dyDescent="0.2">
      <c r="A4636" s="13"/>
      <c r="B4636" s="13"/>
      <c r="C4636" s="13"/>
      <c r="D4636" s="13"/>
      <c r="E4636" s="12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2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</row>
    <row r="4637" spans="1:41" x14ac:dyDescent="0.2">
      <c r="A4637" s="13"/>
      <c r="B4637" s="13"/>
      <c r="C4637" s="13"/>
      <c r="D4637" s="13"/>
      <c r="E4637" s="12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2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</row>
    <row r="4638" spans="1:41" x14ac:dyDescent="0.2">
      <c r="A4638" s="13"/>
      <c r="B4638" s="13"/>
      <c r="C4638" s="13"/>
      <c r="D4638" s="13"/>
      <c r="E4638" s="12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2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</row>
    <row r="4639" spans="1:41" x14ac:dyDescent="0.2">
      <c r="A4639" s="13"/>
      <c r="B4639" s="13"/>
      <c r="C4639" s="13"/>
      <c r="D4639" s="13"/>
      <c r="E4639" s="12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2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</row>
    <row r="4640" spans="1:41" x14ac:dyDescent="0.2">
      <c r="A4640" s="13"/>
      <c r="B4640" s="13"/>
      <c r="C4640" s="13"/>
      <c r="D4640" s="13"/>
      <c r="E4640" s="12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2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</row>
    <row r="4641" spans="1:41" x14ac:dyDescent="0.2">
      <c r="A4641" s="13"/>
      <c r="B4641" s="13"/>
      <c r="C4641" s="13"/>
      <c r="D4641" s="13"/>
      <c r="E4641" s="12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2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</row>
    <row r="4642" spans="1:41" x14ac:dyDescent="0.2">
      <c r="A4642" s="13"/>
      <c r="B4642" s="13"/>
      <c r="C4642" s="13"/>
      <c r="D4642" s="13"/>
      <c r="E4642" s="12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2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</row>
    <row r="4643" spans="1:41" x14ac:dyDescent="0.2">
      <c r="A4643" s="13"/>
      <c r="B4643" s="13"/>
      <c r="C4643" s="13"/>
      <c r="D4643" s="13"/>
      <c r="E4643" s="12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2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</row>
    <row r="4644" spans="1:41" x14ac:dyDescent="0.2">
      <c r="A4644" s="13"/>
      <c r="B4644" s="13"/>
      <c r="C4644" s="13"/>
      <c r="D4644" s="13"/>
      <c r="E4644" s="12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2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</row>
    <row r="4645" spans="1:41" x14ac:dyDescent="0.2">
      <c r="A4645" s="13"/>
      <c r="B4645" s="13"/>
      <c r="C4645" s="13"/>
      <c r="D4645" s="13"/>
      <c r="E4645" s="12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2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</row>
    <row r="4646" spans="1:41" x14ac:dyDescent="0.2">
      <c r="A4646" s="13"/>
      <c r="B4646" s="13"/>
      <c r="C4646" s="13"/>
      <c r="D4646" s="13"/>
      <c r="E4646" s="12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2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</row>
    <row r="4647" spans="1:41" x14ac:dyDescent="0.2">
      <c r="A4647" s="13"/>
      <c r="B4647" s="13"/>
      <c r="C4647" s="13"/>
      <c r="D4647" s="13"/>
      <c r="E4647" s="12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2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</row>
    <row r="4648" spans="1:41" x14ac:dyDescent="0.2">
      <c r="A4648" s="13"/>
      <c r="B4648" s="13"/>
      <c r="C4648" s="13"/>
      <c r="D4648" s="13"/>
      <c r="E4648" s="12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2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</row>
    <row r="4649" spans="1:41" x14ac:dyDescent="0.2">
      <c r="A4649" s="13"/>
      <c r="B4649" s="13"/>
      <c r="C4649" s="13"/>
      <c r="D4649" s="13"/>
      <c r="E4649" s="12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2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</row>
    <row r="4650" spans="1:41" x14ac:dyDescent="0.2">
      <c r="A4650" s="13"/>
      <c r="B4650" s="13"/>
      <c r="C4650" s="13"/>
      <c r="D4650" s="13"/>
      <c r="E4650" s="12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2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</row>
    <row r="4651" spans="1:41" x14ac:dyDescent="0.2">
      <c r="A4651" s="13"/>
      <c r="B4651" s="13"/>
      <c r="C4651" s="13"/>
      <c r="D4651" s="13"/>
      <c r="E4651" s="12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2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</row>
    <row r="4652" spans="1:41" x14ac:dyDescent="0.2">
      <c r="A4652" s="13"/>
      <c r="B4652" s="13"/>
      <c r="C4652" s="13"/>
      <c r="D4652" s="13"/>
      <c r="E4652" s="12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2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</row>
    <row r="4653" spans="1:41" x14ac:dyDescent="0.2">
      <c r="A4653" s="13"/>
      <c r="B4653" s="13"/>
      <c r="C4653" s="13"/>
      <c r="D4653" s="13"/>
      <c r="E4653" s="12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2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</row>
    <row r="4654" spans="1:41" x14ac:dyDescent="0.2">
      <c r="A4654" s="13"/>
      <c r="B4654" s="13"/>
      <c r="C4654" s="13"/>
      <c r="D4654" s="13"/>
      <c r="E4654" s="12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2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</row>
    <row r="4655" spans="1:41" x14ac:dyDescent="0.2">
      <c r="A4655" s="13"/>
      <c r="B4655" s="13"/>
      <c r="C4655" s="13"/>
      <c r="D4655" s="13"/>
      <c r="E4655" s="12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2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</row>
    <row r="4656" spans="1:41" x14ac:dyDescent="0.2">
      <c r="A4656" s="13"/>
      <c r="B4656" s="13"/>
      <c r="C4656" s="13"/>
      <c r="D4656" s="13"/>
      <c r="E4656" s="12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2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</row>
    <row r="4657" spans="1:41" x14ac:dyDescent="0.2">
      <c r="A4657" s="13"/>
      <c r="B4657" s="13"/>
      <c r="C4657" s="13"/>
      <c r="D4657" s="13"/>
      <c r="E4657" s="12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2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</row>
    <row r="4658" spans="1:41" x14ac:dyDescent="0.2">
      <c r="A4658" s="13"/>
      <c r="B4658" s="13"/>
      <c r="C4658" s="13"/>
      <c r="D4658" s="13"/>
      <c r="E4658" s="12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2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</row>
    <row r="4659" spans="1:41" x14ac:dyDescent="0.2">
      <c r="A4659" s="13"/>
      <c r="B4659" s="13"/>
      <c r="C4659" s="13"/>
      <c r="D4659" s="13"/>
      <c r="E4659" s="12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2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</row>
    <row r="4660" spans="1:41" x14ac:dyDescent="0.2">
      <c r="A4660" s="13"/>
      <c r="B4660" s="13"/>
      <c r="C4660" s="13"/>
      <c r="D4660" s="13"/>
      <c r="E4660" s="12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2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</row>
    <row r="4661" spans="1:41" x14ac:dyDescent="0.2">
      <c r="A4661" s="13"/>
      <c r="B4661" s="13"/>
      <c r="C4661" s="13"/>
      <c r="D4661" s="13"/>
      <c r="E4661" s="12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2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</row>
    <row r="4662" spans="1:41" x14ac:dyDescent="0.2">
      <c r="A4662" s="13"/>
      <c r="B4662" s="13"/>
      <c r="C4662" s="13"/>
      <c r="D4662" s="13"/>
      <c r="E4662" s="12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2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</row>
    <row r="4663" spans="1:41" x14ac:dyDescent="0.2">
      <c r="A4663" s="13"/>
      <c r="B4663" s="13"/>
      <c r="C4663" s="13"/>
      <c r="D4663" s="13"/>
      <c r="E4663" s="12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2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</row>
    <row r="4664" spans="1:41" x14ac:dyDescent="0.2">
      <c r="A4664" s="13"/>
      <c r="B4664" s="13"/>
      <c r="C4664" s="13"/>
      <c r="D4664" s="13"/>
      <c r="E4664" s="12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2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</row>
    <row r="4665" spans="1:41" x14ac:dyDescent="0.2">
      <c r="A4665" s="13"/>
      <c r="B4665" s="13"/>
      <c r="C4665" s="13"/>
      <c r="D4665" s="13"/>
      <c r="E4665" s="12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2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</row>
    <row r="4666" spans="1:41" x14ac:dyDescent="0.2">
      <c r="A4666" s="13"/>
      <c r="B4666" s="13"/>
      <c r="C4666" s="13"/>
      <c r="D4666" s="13"/>
      <c r="E4666" s="12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2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</row>
    <row r="4667" spans="1:41" x14ac:dyDescent="0.2">
      <c r="A4667" s="13"/>
      <c r="B4667" s="13"/>
      <c r="C4667" s="13"/>
      <c r="D4667" s="13"/>
      <c r="E4667" s="12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2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</row>
    <row r="4668" spans="1:41" x14ac:dyDescent="0.2">
      <c r="A4668" s="13"/>
      <c r="B4668" s="13"/>
      <c r="C4668" s="13"/>
      <c r="D4668" s="13"/>
      <c r="E4668" s="12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2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</row>
    <row r="4669" spans="1:41" x14ac:dyDescent="0.2">
      <c r="A4669" s="13"/>
      <c r="B4669" s="13"/>
      <c r="C4669" s="13"/>
      <c r="D4669" s="13"/>
      <c r="E4669" s="12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2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</row>
    <row r="4670" spans="1:41" x14ac:dyDescent="0.2">
      <c r="A4670" s="13"/>
      <c r="B4670" s="13"/>
      <c r="C4670" s="13"/>
      <c r="D4670" s="13"/>
      <c r="E4670" s="12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2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</row>
    <row r="4671" spans="1:41" x14ac:dyDescent="0.2">
      <c r="A4671" s="13"/>
      <c r="B4671" s="13"/>
      <c r="C4671" s="13"/>
      <c r="D4671" s="13"/>
      <c r="E4671" s="12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2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</row>
    <row r="4672" spans="1:41" x14ac:dyDescent="0.2">
      <c r="A4672" s="13"/>
      <c r="B4672" s="13"/>
      <c r="C4672" s="13"/>
      <c r="D4672" s="13"/>
      <c r="E4672" s="12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2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</row>
    <row r="4673" spans="1:41" x14ac:dyDescent="0.2">
      <c r="A4673" s="13"/>
      <c r="B4673" s="13"/>
      <c r="C4673" s="13"/>
      <c r="D4673" s="13"/>
      <c r="E4673" s="12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2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</row>
    <row r="4674" spans="1:41" x14ac:dyDescent="0.2">
      <c r="A4674" s="13"/>
      <c r="B4674" s="13"/>
      <c r="C4674" s="13"/>
      <c r="D4674" s="13"/>
      <c r="E4674" s="12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2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</row>
    <row r="4675" spans="1:41" x14ac:dyDescent="0.2">
      <c r="A4675" s="13"/>
      <c r="B4675" s="13"/>
      <c r="C4675" s="13"/>
      <c r="D4675" s="13"/>
      <c r="E4675" s="12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2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</row>
    <row r="4676" spans="1:41" x14ac:dyDescent="0.2">
      <c r="A4676" s="13"/>
      <c r="B4676" s="13"/>
      <c r="C4676" s="13"/>
      <c r="D4676" s="13"/>
      <c r="E4676" s="12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2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</row>
    <row r="4677" spans="1:41" x14ac:dyDescent="0.2">
      <c r="A4677" s="13"/>
      <c r="B4677" s="13"/>
      <c r="C4677" s="13"/>
      <c r="D4677" s="13"/>
      <c r="E4677" s="12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2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</row>
    <row r="4678" spans="1:41" x14ac:dyDescent="0.2">
      <c r="A4678" s="13"/>
      <c r="B4678" s="13"/>
      <c r="C4678" s="13"/>
      <c r="D4678" s="13"/>
      <c r="E4678" s="12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2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</row>
    <row r="4679" spans="1:41" x14ac:dyDescent="0.2">
      <c r="A4679" s="13"/>
      <c r="B4679" s="13"/>
      <c r="C4679" s="13"/>
      <c r="D4679" s="13"/>
      <c r="E4679" s="1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2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</row>
    <row r="4680" spans="1:41" x14ac:dyDescent="0.2">
      <c r="A4680" s="13"/>
      <c r="B4680" s="13"/>
      <c r="C4680" s="13"/>
      <c r="D4680" s="13"/>
      <c r="E4680" s="12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2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</row>
    <row r="4681" spans="1:41" x14ac:dyDescent="0.2">
      <c r="A4681" s="13"/>
      <c r="B4681" s="13"/>
      <c r="C4681" s="13"/>
      <c r="D4681" s="13"/>
      <c r="E4681" s="12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2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</row>
    <row r="4682" spans="1:41" x14ac:dyDescent="0.2">
      <c r="A4682" s="13"/>
      <c r="B4682" s="13"/>
      <c r="C4682" s="13"/>
      <c r="D4682" s="13"/>
      <c r="E4682" s="12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2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</row>
    <row r="4683" spans="1:41" x14ac:dyDescent="0.2">
      <c r="A4683" s="13"/>
      <c r="B4683" s="13"/>
      <c r="C4683" s="13"/>
      <c r="D4683" s="13"/>
      <c r="E4683" s="12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2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</row>
    <row r="4684" spans="1:41" x14ac:dyDescent="0.2">
      <c r="A4684" s="13"/>
      <c r="B4684" s="13"/>
      <c r="C4684" s="13"/>
      <c r="D4684" s="13"/>
      <c r="E4684" s="12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2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</row>
    <row r="4685" spans="1:41" x14ac:dyDescent="0.2">
      <c r="A4685" s="13"/>
      <c r="B4685" s="13"/>
      <c r="C4685" s="13"/>
      <c r="D4685" s="13"/>
      <c r="E4685" s="12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2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</row>
    <row r="4686" spans="1:41" x14ac:dyDescent="0.2">
      <c r="A4686" s="13"/>
      <c r="B4686" s="13"/>
      <c r="C4686" s="13"/>
      <c r="D4686" s="13"/>
      <c r="E4686" s="12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2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</row>
    <row r="4687" spans="1:41" x14ac:dyDescent="0.2">
      <c r="A4687" s="13"/>
      <c r="B4687" s="13"/>
      <c r="C4687" s="13"/>
      <c r="D4687" s="13"/>
      <c r="E4687" s="12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2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</row>
    <row r="4688" spans="1:41" x14ac:dyDescent="0.2">
      <c r="A4688" s="13"/>
      <c r="B4688" s="13"/>
      <c r="C4688" s="13"/>
      <c r="D4688" s="13"/>
      <c r="E4688" s="12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2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</row>
    <row r="4689" spans="1:41" x14ac:dyDescent="0.2">
      <c r="A4689" s="13"/>
      <c r="B4689" s="13"/>
      <c r="C4689" s="13"/>
      <c r="D4689" s="13"/>
      <c r="E4689" s="12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2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</row>
    <row r="4690" spans="1:41" x14ac:dyDescent="0.2">
      <c r="A4690" s="13"/>
      <c r="B4690" s="13"/>
      <c r="C4690" s="13"/>
      <c r="D4690" s="13"/>
      <c r="E4690" s="12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2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</row>
    <row r="4691" spans="1:41" x14ac:dyDescent="0.2">
      <c r="A4691" s="13"/>
      <c r="B4691" s="13"/>
      <c r="C4691" s="13"/>
      <c r="D4691" s="13"/>
      <c r="E4691" s="12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2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</row>
    <row r="4692" spans="1:41" x14ac:dyDescent="0.2">
      <c r="A4692" s="13"/>
      <c r="B4692" s="13"/>
      <c r="C4692" s="13"/>
      <c r="D4692" s="13"/>
      <c r="E4692" s="12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2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</row>
    <row r="4693" spans="1:41" x14ac:dyDescent="0.2">
      <c r="A4693" s="13"/>
      <c r="B4693" s="13"/>
      <c r="C4693" s="13"/>
      <c r="D4693" s="13"/>
      <c r="E4693" s="12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2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</row>
    <row r="4694" spans="1:41" x14ac:dyDescent="0.2">
      <c r="A4694" s="13"/>
      <c r="B4694" s="13"/>
      <c r="C4694" s="13"/>
      <c r="D4694" s="13"/>
      <c r="E4694" s="12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2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</row>
    <row r="4695" spans="1:41" x14ac:dyDescent="0.2">
      <c r="A4695" s="13"/>
      <c r="B4695" s="13"/>
      <c r="C4695" s="13"/>
      <c r="D4695" s="13"/>
      <c r="E4695" s="12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2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</row>
    <row r="4696" spans="1:41" x14ac:dyDescent="0.2">
      <c r="A4696" s="13"/>
      <c r="B4696" s="13"/>
      <c r="C4696" s="13"/>
      <c r="D4696" s="13"/>
      <c r="E4696" s="12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2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</row>
    <row r="4697" spans="1:41" x14ac:dyDescent="0.2">
      <c r="A4697" s="13"/>
      <c r="B4697" s="13"/>
      <c r="C4697" s="13"/>
      <c r="D4697" s="13"/>
      <c r="E4697" s="12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2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</row>
    <row r="4698" spans="1:41" x14ac:dyDescent="0.2">
      <c r="A4698" s="13"/>
      <c r="B4698" s="13"/>
      <c r="C4698" s="13"/>
      <c r="D4698" s="13"/>
      <c r="E4698" s="12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2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</row>
    <row r="4699" spans="1:41" x14ac:dyDescent="0.2">
      <c r="A4699" s="13"/>
      <c r="B4699" s="13"/>
      <c r="C4699" s="13"/>
      <c r="D4699" s="13"/>
      <c r="E4699" s="12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2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</row>
    <row r="4700" spans="1:41" x14ac:dyDescent="0.2">
      <c r="A4700" s="13"/>
      <c r="B4700" s="13"/>
      <c r="C4700" s="13"/>
      <c r="D4700" s="13"/>
      <c r="E4700" s="12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2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</row>
    <row r="4701" spans="1:41" x14ac:dyDescent="0.2">
      <c r="A4701" s="13"/>
      <c r="B4701" s="13"/>
      <c r="C4701" s="13"/>
      <c r="D4701" s="13"/>
      <c r="E4701" s="12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2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</row>
    <row r="4702" spans="1:41" x14ac:dyDescent="0.2">
      <c r="A4702" s="13"/>
      <c r="B4702" s="13"/>
      <c r="C4702" s="13"/>
      <c r="D4702" s="13"/>
      <c r="E4702" s="12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2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</row>
    <row r="4703" spans="1:41" x14ac:dyDescent="0.2">
      <c r="A4703" s="13"/>
      <c r="B4703" s="13"/>
      <c r="C4703" s="13"/>
      <c r="D4703" s="13"/>
      <c r="E4703" s="12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2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</row>
    <row r="4704" spans="1:41" x14ac:dyDescent="0.2">
      <c r="A4704" s="13"/>
      <c r="B4704" s="13"/>
      <c r="C4704" s="13"/>
      <c r="D4704" s="13"/>
      <c r="E4704" s="12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2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</row>
    <row r="4705" spans="1:41" x14ac:dyDescent="0.2">
      <c r="A4705" s="13"/>
      <c r="B4705" s="13"/>
      <c r="C4705" s="13"/>
      <c r="D4705" s="13"/>
      <c r="E4705" s="12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2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</row>
    <row r="4706" spans="1:41" x14ac:dyDescent="0.2">
      <c r="A4706" s="13"/>
      <c r="B4706" s="13"/>
      <c r="C4706" s="13"/>
      <c r="D4706" s="13"/>
      <c r="E4706" s="12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2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</row>
    <row r="4707" spans="1:41" x14ac:dyDescent="0.2">
      <c r="A4707" s="13"/>
      <c r="B4707" s="13"/>
      <c r="C4707" s="13"/>
      <c r="D4707" s="13"/>
      <c r="E4707" s="12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2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</row>
    <row r="4708" spans="1:41" x14ac:dyDescent="0.2">
      <c r="A4708" s="13"/>
      <c r="B4708" s="13"/>
      <c r="C4708" s="13"/>
      <c r="D4708" s="13"/>
      <c r="E4708" s="12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2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</row>
    <row r="4709" spans="1:41" x14ac:dyDescent="0.2">
      <c r="A4709" s="13"/>
      <c r="B4709" s="13"/>
      <c r="C4709" s="13"/>
      <c r="D4709" s="13"/>
      <c r="E4709" s="12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2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</row>
    <row r="4710" spans="1:41" x14ac:dyDescent="0.2">
      <c r="A4710" s="13"/>
      <c r="B4710" s="13"/>
      <c r="C4710" s="13"/>
      <c r="D4710" s="13"/>
      <c r="E4710" s="12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2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</row>
    <row r="4711" spans="1:41" x14ac:dyDescent="0.2">
      <c r="A4711" s="13"/>
      <c r="B4711" s="13"/>
      <c r="C4711" s="13"/>
      <c r="D4711" s="13"/>
      <c r="E4711" s="12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2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</row>
    <row r="4712" spans="1:41" x14ac:dyDescent="0.2">
      <c r="A4712" s="13"/>
      <c r="B4712" s="13"/>
      <c r="C4712" s="13"/>
      <c r="D4712" s="13"/>
      <c r="E4712" s="12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2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</row>
    <row r="4713" spans="1:41" x14ac:dyDescent="0.2">
      <c r="A4713" s="13"/>
      <c r="B4713" s="13"/>
      <c r="C4713" s="13"/>
      <c r="D4713" s="13"/>
      <c r="E4713" s="12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2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</row>
    <row r="4714" spans="1:41" x14ac:dyDescent="0.2">
      <c r="A4714" s="13"/>
      <c r="B4714" s="13"/>
      <c r="C4714" s="13"/>
      <c r="D4714" s="13"/>
      <c r="E4714" s="12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2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</row>
    <row r="4715" spans="1:41" x14ac:dyDescent="0.2">
      <c r="A4715" s="13"/>
      <c r="B4715" s="13"/>
      <c r="C4715" s="13"/>
      <c r="D4715" s="13"/>
      <c r="E4715" s="12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2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</row>
    <row r="4716" spans="1:41" x14ac:dyDescent="0.2">
      <c r="A4716" s="13"/>
      <c r="B4716" s="13"/>
      <c r="C4716" s="13"/>
      <c r="D4716" s="13"/>
      <c r="E4716" s="12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2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</row>
    <row r="4717" spans="1:41" x14ac:dyDescent="0.2">
      <c r="A4717" s="13"/>
      <c r="B4717" s="13"/>
      <c r="C4717" s="13"/>
      <c r="D4717" s="13"/>
      <c r="E4717" s="12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2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</row>
    <row r="4718" spans="1:41" x14ac:dyDescent="0.2">
      <c r="A4718" s="13"/>
      <c r="B4718" s="13"/>
      <c r="C4718" s="13"/>
      <c r="D4718" s="13"/>
      <c r="E4718" s="12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2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</row>
    <row r="4719" spans="1:41" x14ac:dyDescent="0.2">
      <c r="A4719" s="13"/>
      <c r="B4719" s="13"/>
      <c r="C4719" s="13"/>
      <c r="D4719" s="13"/>
      <c r="E4719" s="12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2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</row>
    <row r="4720" spans="1:41" x14ac:dyDescent="0.2">
      <c r="A4720" s="13"/>
      <c r="B4720" s="13"/>
      <c r="C4720" s="13"/>
      <c r="D4720" s="13"/>
      <c r="E4720" s="12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2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</row>
    <row r="4721" spans="1:41" x14ac:dyDescent="0.2">
      <c r="A4721" s="13"/>
      <c r="B4721" s="13"/>
      <c r="C4721" s="13"/>
      <c r="D4721" s="13"/>
      <c r="E4721" s="12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2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</row>
    <row r="4722" spans="1:41" x14ac:dyDescent="0.2">
      <c r="A4722" s="13"/>
      <c r="B4722" s="13"/>
      <c r="C4722" s="13"/>
      <c r="D4722" s="13"/>
      <c r="E4722" s="12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2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</row>
    <row r="4723" spans="1:41" x14ac:dyDescent="0.2">
      <c r="A4723" s="13"/>
      <c r="B4723" s="13"/>
      <c r="C4723" s="13"/>
      <c r="D4723" s="13"/>
      <c r="E4723" s="12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2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</row>
    <row r="4724" spans="1:41" x14ac:dyDescent="0.2">
      <c r="A4724" s="13"/>
      <c r="B4724" s="13"/>
      <c r="C4724" s="13"/>
      <c r="D4724" s="13"/>
      <c r="E4724" s="12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2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</row>
    <row r="4725" spans="1:41" x14ac:dyDescent="0.2">
      <c r="A4725" s="13"/>
      <c r="B4725" s="13"/>
      <c r="C4725" s="13"/>
      <c r="D4725" s="13"/>
      <c r="E4725" s="12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2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</row>
    <row r="4726" spans="1:41" x14ac:dyDescent="0.2">
      <c r="A4726" s="13"/>
      <c r="B4726" s="13"/>
      <c r="C4726" s="13"/>
      <c r="D4726" s="13"/>
      <c r="E4726" s="12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2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</row>
    <row r="4727" spans="1:41" x14ac:dyDescent="0.2">
      <c r="A4727" s="13"/>
      <c r="B4727" s="13"/>
      <c r="C4727" s="13"/>
      <c r="D4727" s="13"/>
      <c r="E4727" s="12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2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</row>
    <row r="4728" spans="1:41" x14ac:dyDescent="0.2">
      <c r="A4728" s="13"/>
      <c r="B4728" s="13"/>
      <c r="C4728" s="13"/>
      <c r="D4728" s="13"/>
      <c r="E4728" s="12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2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</row>
    <row r="4729" spans="1:41" x14ac:dyDescent="0.2">
      <c r="A4729" s="13"/>
      <c r="B4729" s="13"/>
      <c r="C4729" s="13"/>
      <c r="D4729" s="13"/>
      <c r="E4729" s="12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2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</row>
    <row r="4730" spans="1:41" x14ac:dyDescent="0.2">
      <c r="A4730" s="13"/>
      <c r="B4730" s="13"/>
      <c r="C4730" s="13"/>
      <c r="D4730" s="13"/>
      <c r="E4730" s="12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2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</row>
    <row r="4731" spans="1:41" x14ac:dyDescent="0.2">
      <c r="A4731" s="13"/>
      <c r="B4731" s="13"/>
      <c r="C4731" s="13"/>
      <c r="D4731" s="13"/>
      <c r="E4731" s="12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2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</row>
    <row r="4732" spans="1:41" x14ac:dyDescent="0.2">
      <c r="A4732" s="13"/>
      <c r="B4732" s="13"/>
      <c r="C4732" s="13"/>
      <c r="D4732" s="13"/>
      <c r="E4732" s="12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2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</row>
    <row r="4733" spans="1:41" x14ac:dyDescent="0.2">
      <c r="A4733" s="13"/>
      <c r="B4733" s="13"/>
      <c r="C4733" s="13"/>
      <c r="D4733" s="13"/>
      <c r="E4733" s="12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2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</row>
    <row r="4734" spans="1:41" x14ac:dyDescent="0.2">
      <c r="A4734" s="13"/>
      <c r="B4734" s="13"/>
      <c r="C4734" s="13"/>
      <c r="D4734" s="13"/>
      <c r="E4734" s="12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2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</row>
    <row r="4735" spans="1:41" x14ac:dyDescent="0.2">
      <c r="A4735" s="13"/>
      <c r="B4735" s="13"/>
      <c r="C4735" s="13"/>
      <c r="D4735" s="13"/>
      <c r="E4735" s="12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2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</row>
    <row r="4736" spans="1:41" x14ac:dyDescent="0.2">
      <c r="A4736" s="13"/>
      <c r="B4736" s="13"/>
      <c r="C4736" s="13"/>
      <c r="D4736" s="13"/>
      <c r="E4736" s="12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2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</row>
    <row r="4737" spans="1:41" x14ac:dyDescent="0.2">
      <c r="A4737" s="13"/>
      <c r="B4737" s="13"/>
      <c r="C4737" s="13"/>
      <c r="D4737" s="13"/>
      <c r="E4737" s="12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2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</row>
    <row r="4738" spans="1:41" x14ac:dyDescent="0.2">
      <c r="A4738" s="13"/>
      <c r="B4738" s="13"/>
      <c r="C4738" s="13"/>
      <c r="D4738" s="13"/>
      <c r="E4738" s="12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2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</row>
    <row r="4739" spans="1:41" x14ac:dyDescent="0.2">
      <c r="A4739" s="13"/>
      <c r="B4739" s="13"/>
      <c r="C4739" s="13"/>
      <c r="D4739" s="13"/>
      <c r="E4739" s="12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2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</row>
    <row r="4740" spans="1:41" x14ac:dyDescent="0.2">
      <c r="A4740" s="13"/>
      <c r="B4740" s="13"/>
      <c r="C4740" s="13"/>
      <c r="D4740" s="13"/>
      <c r="E4740" s="12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2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</row>
    <row r="4741" spans="1:41" x14ac:dyDescent="0.2">
      <c r="A4741" s="13"/>
      <c r="B4741" s="13"/>
      <c r="C4741" s="13"/>
      <c r="D4741" s="13"/>
      <c r="E4741" s="12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2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</row>
    <row r="4742" spans="1:41" x14ac:dyDescent="0.2">
      <c r="A4742" s="13"/>
      <c r="B4742" s="13"/>
      <c r="C4742" s="13"/>
      <c r="D4742" s="13"/>
      <c r="E4742" s="12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2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</row>
    <row r="4743" spans="1:41" x14ac:dyDescent="0.2">
      <c r="A4743" s="13"/>
      <c r="B4743" s="13"/>
      <c r="C4743" s="13"/>
      <c r="D4743" s="13"/>
      <c r="E4743" s="12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2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</row>
    <row r="4744" spans="1:41" x14ac:dyDescent="0.2">
      <c r="A4744" s="13"/>
      <c r="B4744" s="13"/>
      <c r="C4744" s="13"/>
      <c r="D4744" s="13"/>
      <c r="E4744" s="12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2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</row>
    <row r="4745" spans="1:41" x14ac:dyDescent="0.2">
      <c r="A4745" s="13"/>
      <c r="B4745" s="13"/>
      <c r="C4745" s="13"/>
      <c r="D4745" s="13"/>
      <c r="E4745" s="12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2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</row>
    <row r="4746" spans="1:41" x14ac:dyDescent="0.2">
      <c r="A4746" s="13"/>
      <c r="B4746" s="13"/>
      <c r="C4746" s="13"/>
      <c r="D4746" s="13"/>
      <c r="E4746" s="1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2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</row>
    <row r="4747" spans="1:41" x14ac:dyDescent="0.2">
      <c r="A4747" s="13"/>
      <c r="B4747" s="13"/>
      <c r="C4747" s="13"/>
      <c r="D4747" s="13"/>
      <c r="E4747" s="12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2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</row>
    <row r="4748" spans="1:41" x14ac:dyDescent="0.2">
      <c r="A4748" s="13"/>
      <c r="B4748" s="13"/>
      <c r="C4748" s="13"/>
      <c r="D4748" s="13"/>
      <c r="E4748" s="12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2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</row>
    <row r="4749" spans="1:41" x14ac:dyDescent="0.2">
      <c r="A4749" s="13"/>
      <c r="B4749" s="13"/>
      <c r="C4749" s="13"/>
      <c r="D4749" s="13"/>
      <c r="E4749" s="12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2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</row>
    <row r="4750" spans="1:41" x14ac:dyDescent="0.2">
      <c r="A4750" s="13"/>
      <c r="B4750" s="13"/>
      <c r="C4750" s="13"/>
      <c r="D4750" s="13"/>
      <c r="E4750" s="12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2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</row>
    <row r="4751" spans="1:41" x14ac:dyDescent="0.2">
      <c r="A4751" s="13"/>
      <c r="B4751" s="13"/>
      <c r="C4751" s="13"/>
      <c r="D4751" s="13"/>
      <c r="E4751" s="12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2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</row>
    <row r="4752" spans="1:41" x14ac:dyDescent="0.2">
      <c r="A4752" s="13"/>
      <c r="B4752" s="13"/>
      <c r="C4752" s="13"/>
      <c r="D4752" s="13"/>
      <c r="E4752" s="12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2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</row>
    <row r="4753" spans="1:41" x14ac:dyDescent="0.2">
      <c r="A4753" s="13"/>
      <c r="B4753" s="13"/>
      <c r="C4753" s="13"/>
      <c r="D4753" s="13"/>
      <c r="E4753" s="12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2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</row>
    <row r="4754" spans="1:41" x14ac:dyDescent="0.2">
      <c r="A4754" s="13"/>
      <c r="B4754" s="13"/>
      <c r="C4754" s="13"/>
      <c r="D4754" s="13"/>
      <c r="E4754" s="12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2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</row>
    <row r="4755" spans="1:41" x14ac:dyDescent="0.2">
      <c r="A4755" s="13"/>
      <c r="B4755" s="13"/>
      <c r="C4755" s="13"/>
      <c r="D4755" s="13"/>
      <c r="E4755" s="12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2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</row>
    <row r="4756" spans="1:41" x14ac:dyDescent="0.2">
      <c r="A4756" s="13"/>
      <c r="B4756" s="13"/>
      <c r="C4756" s="13"/>
      <c r="D4756" s="13"/>
      <c r="E4756" s="12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2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</row>
    <row r="4757" spans="1:41" x14ac:dyDescent="0.2">
      <c r="A4757" s="13"/>
      <c r="B4757" s="13"/>
      <c r="C4757" s="13"/>
      <c r="D4757" s="13"/>
      <c r="E4757" s="12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2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</row>
    <row r="4758" spans="1:41" x14ac:dyDescent="0.2">
      <c r="A4758" s="13"/>
      <c r="B4758" s="13"/>
      <c r="C4758" s="13"/>
      <c r="D4758" s="13"/>
      <c r="E4758" s="12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2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</row>
    <row r="4759" spans="1:41" x14ac:dyDescent="0.2">
      <c r="A4759" s="13"/>
      <c r="B4759" s="13"/>
      <c r="C4759" s="13"/>
      <c r="D4759" s="13"/>
      <c r="E4759" s="12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2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</row>
    <row r="4760" spans="1:41" x14ac:dyDescent="0.2">
      <c r="A4760" s="13"/>
      <c r="B4760" s="13"/>
      <c r="C4760" s="13"/>
      <c r="D4760" s="13"/>
      <c r="E4760" s="12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2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</row>
    <row r="4761" spans="1:41" x14ac:dyDescent="0.2">
      <c r="A4761" s="13"/>
      <c r="B4761" s="13"/>
      <c r="C4761" s="13"/>
      <c r="D4761" s="13"/>
      <c r="E4761" s="12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2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</row>
    <row r="4762" spans="1:41" x14ac:dyDescent="0.2">
      <c r="A4762" s="13"/>
      <c r="B4762" s="13"/>
      <c r="C4762" s="13"/>
      <c r="D4762" s="13"/>
      <c r="E4762" s="12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2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</row>
    <row r="4763" spans="1:41" x14ac:dyDescent="0.2">
      <c r="A4763" s="13"/>
      <c r="B4763" s="13"/>
      <c r="C4763" s="13"/>
      <c r="D4763" s="13"/>
      <c r="E4763" s="12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2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</row>
    <row r="4764" spans="1:41" x14ac:dyDescent="0.2">
      <c r="A4764" s="13"/>
      <c r="B4764" s="13"/>
      <c r="C4764" s="13"/>
      <c r="D4764" s="13"/>
      <c r="E4764" s="12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2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</row>
    <row r="4765" spans="1:41" x14ac:dyDescent="0.2">
      <c r="A4765" s="13"/>
      <c r="B4765" s="13"/>
      <c r="C4765" s="13"/>
      <c r="D4765" s="13"/>
      <c r="E4765" s="12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2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</row>
    <row r="4766" spans="1:41" x14ac:dyDescent="0.2">
      <c r="A4766" s="13"/>
      <c r="B4766" s="13"/>
      <c r="C4766" s="13"/>
      <c r="D4766" s="13"/>
      <c r="E4766" s="12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2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</row>
    <row r="4767" spans="1:41" x14ac:dyDescent="0.2">
      <c r="A4767" s="13"/>
      <c r="B4767" s="13"/>
      <c r="C4767" s="13"/>
      <c r="D4767" s="13"/>
      <c r="E4767" s="12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2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</row>
    <row r="4768" spans="1:41" x14ac:dyDescent="0.2">
      <c r="A4768" s="13"/>
      <c r="B4768" s="13"/>
      <c r="C4768" s="13"/>
      <c r="D4768" s="13"/>
      <c r="E4768" s="12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2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</row>
    <row r="4769" spans="1:41" x14ac:dyDescent="0.2">
      <c r="A4769" s="13"/>
      <c r="B4769" s="13"/>
      <c r="C4769" s="13"/>
      <c r="D4769" s="13"/>
      <c r="E4769" s="12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2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</row>
    <row r="4770" spans="1:41" x14ac:dyDescent="0.2">
      <c r="A4770" s="13"/>
      <c r="B4770" s="13"/>
      <c r="C4770" s="13"/>
      <c r="D4770" s="13"/>
      <c r="E4770" s="12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2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</row>
    <row r="4771" spans="1:41" x14ac:dyDescent="0.2">
      <c r="A4771" s="13"/>
      <c r="B4771" s="13"/>
      <c r="C4771" s="13"/>
      <c r="D4771" s="13"/>
      <c r="E4771" s="12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2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</row>
    <row r="4772" spans="1:41" x14ac:dyDescent="0.2">
      <c r="A4772" s="13"/>
      <c r="B4772" s="13"/>
      <c r="C4772" s="13"/>
      <c r="D4772" s="13"/>
      <c r="E4772" s="12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2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</row>
    <row r="4773" spans="1:41" x14ac:dyDescent="0.2">
      <c r="A4773" s="13"/>
      <c r="B4773" s="13"/>
      <c r="C4773" s="13"/>
      <c r="D4773" s="13"/>
      <c r="E4773" s="12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2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</row>
    <row r="4774" spans="1:41" x14ac:dyDescent="0.2">
      <c r="A4774" s="13"/>
      <c r="B4774" s="13"/>
      <c r="C4774" s="13"/>
      <c r="D4774" s="13"/>
      <c r="E4774" s="12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2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</row>
    <row r="4775" spans="1:41" x14ac:dyDescent="0.2">
      <c r="A4775" s="13"/>
      <c r="B4775" s="13"/>
      <c r="C4775" s="13"/>
      <c r="D4775" s="13"/>
      <c r="E4775" s="12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2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</row>
    <row r="4776" spans="1:41" x14ac:dyDescent="0.2">
      <c r="A4776" s="13"/>
      <c r="B4776" s="13"/>
      <c r="C4776" s="13"/>
      <c r="D4776" s="13"/>
      <c r="E4776" s="12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2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</row>
    <row r="4777" spans="1:41" x14ac:dyDescent="0.2">
      <c r="A4777" s="13"/>
      <c r="B4777" s="13"/>
      <c r="C4777" s="13"/>
      <c r="D4777" s="13"/>
      <c r="E4777" s="12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2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</row>
    <row r="4778" spans="1:41" x14ac:dyDescent="0.2">
      <c r="A4778" s="13"/>
      <c r="B4778" s="13"/>
      <c r="C4778" s="13"/>
      <c r="D4778" s="13"/>
      <c r="E4778" s="12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2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</row>
    <row r="4779" spans="1:41" x14ac:dyDescent="0.2">
      <c r="A4779" s="13"/>
      <c r="B4779" s="13"/>
      <c r="C4779" s="13"/>
      <c r="D4779" s="13"/>
      <c r="E4779" s="12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2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</row>
    <row r="4780" spans="1:41" x14ac:dyDescent="0.2">
      <c r="A4780" s="13"/>
      <c r="B4780" s="13"/>
      <c r="C4780" s="13"/>
      <c r="D4780" s="13"/>
      <c r="E4780" s="12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2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</row>
    <row r="4781" spans="1:41" x14ac:dyDescent="0.2">
      <c r="A4781" s="13"/>
      <c r="B4781" s="13"/>
      <c r="C4781" s="13"/>
      <c r="D4781" s="13"/>
      <c r="E4781" s="12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2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</row>
    <row r="4782" spans="1:41" x14ac:dyDescent="0.2">
      <c r="A4782" s="13"/>
      <c r="B4782" s="13"/>
      <c r="C4782" s="13"/>
      <c r="D4782" s="13"/>
      <c r="E4782" s="12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2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</row>
    <row r="4783" spans="1:41" x14ac:dyDescent="0.2">
      <c r="A4783" s="13"/>
      <c r="B4783" s="13"/>
      <c r="C4783" s="13"/>
      <c r="D4783" s="13"/>
      <c r="E4783" s="12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2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</row>
    <row r="4784" spans="1:41" x14ac:dyDescent="0.2">
      <c r="A4784" s="13"/>
      <c r="B4784" s="13"/>
      <c r="C4784" s="13"/>
      <c r="D4784" s="13"/>
      <c r="E4784" s="12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2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</row>
    <row r="4785" spans="1:41" x14ac:dyDescent="0.2">
      <c r="A4785" s="13"/>
      <c r="B4785" s="13"/>
      <c r="C4785" s="13"/>
      <c r="D4785" s="13"/>
      <c r="E4785" s="12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2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</row>
    <row r="4786" spans="1:41" x14ac:dyDescent="0.2">
      <c r="A4786" s="13"/>
      <c r="B4786" s="13"/>
      <c r="C4786" s="13"/>
      <c r="D4786" s="13"/>
      <c r="E4786" s="12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2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</row>
    <row r="4787" spans="1:41" x14ac:dyDescent="0.2">
      <c r="A4787" s="13"/>
      <c r="B4787" s="13"/>
      <c r="C4787" s="13"/>
      <c r="D4787" s="13"/>
      <c r="E4787" s="12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2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</row>
    <row r="4788" spans="1:41" x14ac:dyDescent="0.2">
      <c r="A4788" s="13"/>
      <c r="B4788" s="13"/>
      <c r="C4788" s="13"/>
      <c r="D4788" s="13"/>
      <c r="E4788" s="12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2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</row>
    <row r="4789" spans="1:41" x14ac:dyDescent="0.2">
      <c r="A4789" s="13"/>
      <c r="B4789" s="13"/>
      <c r="C4789" s="13"/>
      <c r="D4789" s="13"/>
      <c r="E4789" s="12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2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</row>
    <row r="4790" spans="1:41" x14ac:dyDescent="0.2">
      <c r="A4790" s="13"/>
      <c r="B4790" s="13"/>
      <c r="C4790" s="13"/>
      <c r="D4790" s="13"/>
      <c r="E4790" s="12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2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</row>
    <row r="4791" spans="1:41" x14ac:dyDescent="0.2">
      <c r="A4791" s="13"/>
      <c r="B4791" s="13"/>
      <c r="C4791" s="13"/>
      <c r="D4791" s="13"/>
      <c r="E4791" s="12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2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</row>
    <row r="4792" spans="1:41" x14ac:dyDescent="0.2">
      <c r="A4792" s="13"/>
      <c r="B4792" s="13"/>
      <c r="C4792" s="13"/>
      <c r="D4792" s="13"/>
      <c r="E4792" s="12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2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</row>
    <row r="4793" spans="1:41" x14ac:dyDescent="0.2">
      <c r="A4793" s="13"/>
      <c r="B4793" s="13"/>
      <c r="C4793" s="13"/>
      <c r="D4793" s="13"/>
      <c r="E4793" s="12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2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</row>
    <row r="4794" spans="1:41" x14ac:dyDescent="0.2">
      <c r="A4794" s="13"/>
      <c r="B4794" s="13"/>
      <c r="C4794" s="13"/>
      <c r="D4794" s="13"/>
      <c r="E4794" s="12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2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</row>
    <row r="4795" spans="1:41" x14ac:dyDescent="0.2">
      <c r="A4795" s="13"/>
      <c r="B4795" s="13"/>
      <c r="C4795" s="13"/>
      <c r="D4795" s="13"/>
      <c r="E4795" s="12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2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</row>
    <row r="4796" spans="1:41" x14ac:dyDescent="0.2">
      <c r="A4796" s="13"/>
      <c r="B4796" s="13"/>
      <c r="C4796" s="13"/>
      <c r="D4796" s="13"/>
      <c r="E4796" s="12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2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</row>
    <row r="4797" spans="1:41" x14ac:dyDescent="0.2">
      <c r="A4797" s="13"/>
      <c r="B4797" s="13"/>
      <c r="C4797" s="13"/>
      <c r="D4797" s="13"/>
      <c r="E4797" s="12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2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</row>
    <row r="4798" spans="1:41" x14ac:dyDescent="0.2">
      <c r="A4798" s="13"/>
      <c r="B4798" s="13"/>
      <c r="C4798" s="13"/>
      <c r="D4798" s="13"/>
      <c r="E4798" s="12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2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</row>
    <row r="4799" spans="1:41" x14ac:dyDescent="0.2">
      <c r="A4799" s="13"/>
      <c r="B4799" s="13"/>
      <c r="C4799" s="13"/>
      <c r="D4799" s="13"/>
      <c r="E4799" s="12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2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</row>
    <row r="4800" spans="1:41" x14ac:dyDescent="0.2">
      <c r="A4800" s="13"/>
      <c r="B4800" s="13"/>
      <c r="C4800" s="13"/>
      <c r="D4800" s="13"/>
      <c r="E4800" s="12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2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</row>
    <row r="4801" spans="1:41" x14ac:dyDescent="0.2">
      <c r="A4801" s="13"/>
      <c r="B4801" s="13"/>
      <c r="C4801" s="13"/>
      <c r="D4801" s="13"/>
      <c r="E4801" s="12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2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</row>
    <row r="4802" spans="1:41" x14ac:dyDescent="0.2">
      <c r="A4802" s="13"/>
      <c r="B4802" s="13"/>
      <c r="C4802" s="13"/>
      <c r="D4802" s="13"/>
      <c r="E4802" s="12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2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</row>
    <row r="4803" spans="1:41" x14ac:dyDescent="0.2">
      <c r="A4803" s="13"/>
      <c r="B4803" s="13"/>
      <c r="C4803" s="13"/>
      <c r="D4803" s="13"/>
      <c r="E4803" s="12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2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</row>
    <row r="4804" spans="1:41" x14ac:dyDescent="0.2">
      <c r="A4804" s="13"/>
      <c r="B4804" s="13"/>
      <c r="C4804" s="13"/>
      <c r="D4804" s="13"/>
      <c r="E4804" s="12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2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</row>
    <row r="4805" spans="1:41" x14ac:dyDescent="0.2">
      <c r="A4805" s="13"/>
      <c r="B4805" s="13"/>
      <c r="C4805" s="13"/>
      <c r="D4805" s="13"/>
      <c r="E4805" s="12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2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</row>
    <row r="4806" spans="1:41" x14ac:dyDescent="0.2">
      <c r="A4806" s="13"/>
      <c r="B4806" s="13"/>
      <c r="C4806" s="13"/>
      <c r="D4806" s="13"/>
      <c r="E4806" s="12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2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</row>
    <row r="4807" spans="1:41" x14ac:dyDescent="0.2">
      <c r="A4807" s="13"/>
      <c r="B4807" s="13"/>
      <c r="C4807" s="13"/>
      <c r="D4807" s="13"/>
      <c r="E4807" s="12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2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</row>
    <row r="4808" spans="1:41" x14ac:dyDescent="0.2">
      <c r="A4808" s="13"/>
      <c r="B4808" s="13"/>
      <c r="C4808" s="13"/>
      <c r="D4808" s="13"/>
      <c r="E4808" s="12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2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</row>
    <row r="4809" spans="1:41" x14ac:dyDescent="0.2">
      <c r="A4809" s="13"/>
      <c r="B4809" s="13"/>
      <c r="C4809" s="13"/>
      <c r="D4809" s="13"/>
      <c r="E4809" s="12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2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</row>
    <row r="4810" spans="1:41" x14ac:dyDescent="0.2">
      <c r="A4810" s="13"/>
      <c r="B4810" s="13"/>
      <c r="C4810" s="13"/>
      <c r="D4810" s="13"/>
      <c r="E4810" s="12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2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</row>
    <row r="4811" spans="1:41" x14ac:dyDescent="0.2">
      <c r="A4811" s="13"/>
      <c r="B4811" s="13"/>
      <c r="C4811" s="13"/>
      <c r="D4811" s="13"/>
      <c r="E4811" s="12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2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</row>
    <row r="4812" spans="1:41" x14ac:dyDescent="0.2">
      <c r="A4812" s="13"/>
      <c r="B4812" s="13"/>
      <c r="C4812" s="13"/>
      <c r="D4812" s="13"/>
      <c r="E4812" s="12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2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</row>
    <row r="4813" spans="1:41" x14ac:dyDescent="0.2">
      <c r="A4813" s="13"/>
      <c r="B4813" s="13"/>
      <c r="C4813" s="13"/>
      <c r="D4813" s="13"/>
      <c r="E4813" s="12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2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</row>
    <row r="4814" spans="1:41" x14ac:dyDescent="0.2">
      <c r="A4814" s="13"/>
      <c r="B4814" s="13"/>
      <c r="C4814" s="13"/>
      <c r="D4814" s="13"/>
      <c r="E4814" s="12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2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</row>
    <row r="4815" spans="1:41" x14ac:dyDescent="0.2">
      <c r="A4815" s="13"/>
      <c r="B4815" s="13"/>
      <c r="C4815" s="13"/>
      <c r="D4815" s="13"/>
      <c r="E4815" s="12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2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</row>
    <row r="4816" spans="1:41" x14ac:dyDescent="0.2">
      <c r="A4816" s="13"/>
      <c r="B4816" s="13"/>
      <c r="C4816" s="13"/>
      <c r="D4816" s="13"/>
      <c r="E4816" s="12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2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</row>
    <row r="4817" spans="1:41" x14ac:dyDescent="0.2">
      <c r="A4817" s="13"/>
      <c r="B4817" s="13"/>
      <c r="C4817" s="13"/>
      <c r="D4817" s="13"/>
      <c r="E4817" s="12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2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</row>
    <row r="4818" spans="1:41" x14ac:dyDescent="0.2">
      <c r="A4818" s="13"/>
      <c r="B4818" s="13"/>
      <c r="C4818" s="13"/>
      <c r="D4818" s="13"/>
      <c r="E4818" s="12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2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</row>
    <row r="4819" spans="1:41" x14ac:dyDescent="0.2">
      <c r="A4819" s="13"/>
      <c r="B4819" s="13"/>
      <c r="C4819" s="13"/>
      <c r="D4819" s="13"/>
      <c r="E4819" s="12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2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</row>
    <row r="4820" spans="1:41" x14ac:dyDescent="0.2">
      <c r="A4820" s="13"/>
      <c r="B4820" s="13"/>
      <c r="C4820" s="13"/>
      <c r="D4820" s="13"/>
      <c r="E4820" s="12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2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</row>
    <row r="4821" spans="1:41" x14ac:dyDescent="0.2">
      <c r="A4821" s="13"/>
      <c r="B4821" s="13"/>
      <c r="C4821" s="13"/>
      <c r="D4821" s="13"/>
      <c r="E4821" s="12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2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</row>
    <row r="4822" spans="1:41" x14ac:dyDescent="0.2">
      <c r="A4822" s="13"/>
      <c r="B4822" s="13"/>
      <c r="C4822" s="13"/>
      <c r="D4822" s="13"/>
      <c r="E4822" s="12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2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</row>
    <row r="4823" spans="1:41" x14ac:dyDescent="0.2">
      <c r="A4823" s="13"/>
      <c r="B4823" s="13"/>
      <c r="C4823" s="13"/>
      <c r="D4823" s="13"/>
      <c r="E4823" s="12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2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</row>
    <row r="4824" spans="1:41" x14ac:dyDescent="0.2">
      <c r="A4824" s="13"/>
      <c r="B4824" s="13"/>
      <c r="C4824" s="13"/>
      <c r="D4824" s="13"/>
      <c r="E4824" s="12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2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</row>
    <row r="4825" spans="1:41" x14ac:dyDescent="0.2">
      <c r="A4825" s="13"/>
      <c r="B4825" s="13"/>
      <c r="C4825" s="13"/>
      <c r="D4825" s="13"/>
      <c r="E4825" s="12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2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</row>
    <row r="4826" spans="1:41" x14ac:dyDescent="0.2">
      <c r="A4826" s="13"/>
      <c r="B4826" s="13"/>
      <c r="C4826" s="13"/>
      <c r="D4826" s="13"/>
      <c r="E4826" s="12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2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</row>
    <row r="4827" spans="1:41" x14ac:dyDescent="0.2">
      <c r="A4827" s="13"/>
      <c r="B4827" s="13"/>
      <c r="C4827" s="13"/>
      <c r="D4827" s="13"/>
      <c r="E4827" s="12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2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</row>
    <row r="4828" spans="1:41" x14ac:dyDescent="0.2">
      <c r="A4828" s="13"/>
      <c r="B4828" s="13"/>
      <c r="C4828" s="13"/>
      <c r="D4828" s="13"/>
      <c r="E4828" s="12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2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</row>
    <row r="4829" spans="1:41" x14ac:dyDescent="0.2">
      <c r="A4829" s="13"/>
      <c r="B4829" s="13"/>
      <c r="C4829" s="13"/>
      <c r="D4829" s="13"/>
      <c r="E4829" s="12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2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</row>
    <row r="4830" spans="1:41" x14ac:dyDescent="0.2">
      <c r="A4830" s="13"/>
      <c r="B4830" s="13"/>
      <c r="C4830" s="13"/>
      <c r="D4830" s="13"/>
      <c r="E4830" s="12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2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</row>
    <row r="4831" spans="1:41" x14ac:dyDescent="0.2">
      <c r="A4831" s="13"/>
      <c r="B4831" s="13"/>
      <c r="C4831" s="13"/>
      <c r="D4831" s="13"/>
      <c r="E4831" s="12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2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</row>
    <row r="4832" spans="1:41" x14ac:dyDescent="0.2">
      <c r="A4832" s="13"/>
      <c r="B4832" s="13"/>
      <c r="C4832" s="13"/>
      <c r="D4832" s="13"/>
      <c r="E4832" s="12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2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</row>
    <row r="4833" spans="1:41" x14ac:dyDescent="0.2">
      <c r="A4833" s="13"/>
      <c r="B4833" s="13"/>
      <c r="C4833" s="13"/>
      <c r="D4833" s="13"/>
      <c r="E4833" s="12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2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</row>
    <row r="4834" spans="1:41" x14ac:dyDescent="0.2">
      <c r="A4834" s="13"/>
      <c r="B4834" s="13"/>
      <c r="C4834" s="13"/>
      <c r="D4834" s="13"/>
      <c r="E4834" s="12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2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</row>
    <row r="4835" spans="1:41" x14ac:dyDescent="0.2">
      <c r="A4835" s="13"/>
      <c r="B4835" s="13"/>
      <c r="C4835" s="13"/>
      <c r="D4835" s="13"/>
      <c r="E4835" s="12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2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</row>
    <row r="4836" spans="1:41" x14ac:dyDescent="0.2">
      <c r="A4836" s="13"/>
      <c r="B4836" s="13"/>
      <c r="C4836" s="13"/>
      <c r="D4836" s="13"/>
      <c r="E4836" s="12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2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</row>
    <row r="4837" spans="1:41" x14ac:dyDescent="0.2">
      <c r="A4837" s="13"/>
      <c r="B4837" s="13"/>
      <c r="C4837" s="13"/>
      <c r="D4837" s="13"/>
      <c r="E4837" s="12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2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</row>
    <row r="4838" spans="1:41" x14ac:dyDescent="0.2">
      <c r="A4838" s="13"/>
      <c r="B4838" s="13"/>
      <c r="C4838" s="13"/>
      <c r="D4838" s="13"/>
      <c r="E4838" s="12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2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</row>
    <row r="4839" spans="1:41" x14ac:dyDescent="0.2">
      <c r="A4839" s="13"/>
      <c r="B4839" s="13"/>
      <c r="C4839" s="13"/>
      <c r="D4839" s="13"/>
      <c r="E4839" s="12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2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</row>
    <row r="4840" spans="1:41" x14ac:dyDescent="0.2">
      <c r="A4840" s="13"/>
      <c r="B4840" s="13"/>
      <c r="C4840" s="13"/>
      <c r="D4840" s="13"/>
      <c r="E4840" s="12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2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</row>
    <row r="4841" spans="1:41" x14ac:dyDescent="0.2">
      <c r="A4841" s="13"/>
      <c r="B4841" s="13"/>
      <c r="C4841" s="13"/>
      <c r="D4841" s="13"/>
      <c r="E4841" s="12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2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</row>
    <row r="4842" spans="1:41" x14ac:dyDescent="0.2">
      <c r="A4842" s="13"/>
      <c r="B4842" s="13"/>
      <c r="C4842" s="13"/>
      <c r="D4842" s="13"/>
      <c r="E4842" s="12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2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</row>
    <row r="4843" spans="1:41" x14ac:dyDescent="0.2">
      <c r="A4843" s="13"/>
      <c r="B4843" s="13"/>
      <c r="C4843" s="13"/>
      <c r="D4843" s="13"/>
      <c r="E4843" s="12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2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</row>
    <row r="4844" spans="1:41" x14ac:dyDescent="0.2">
      <c r="A4844" s="13"/>
      <c r="B4844" s="13"/>
      <c r="C4844" s="13"/>
      <c r="D4844" s="13"/>
      <c r="E4844" s="12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2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</row>
    <row r="4845" spans="1:41" x14ac:dyDescent="0.2">
      <c r="A4845" s="13"/>
      <c r="B4845" s="13"/>
      <c r="C4845" s="13"/>
      <c r="D4845" s="13"/>
      <c r="E4845" s="12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2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</row>
    <row r="4846" spans="1:41" x14ac:dyDescent="0.2">
      <c r="A4846" s="13"/>
      <c r="B4846" s="13"/>
      <c r="C4846" s="13"/>
      <c r="D4846" s="13"/>
      <c r="E4846" s="1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2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</row>
    <row r="4847" spans="1:41" x14ac:dyDescent="0.2">
      <c r="A4847" s="13"/>
      <c r="B4847" s="13"/>
      <c r="C4847" s="13"/>
      <c r="D4847" s="13"/>
      <c r="E4847" s="12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2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</row>
    <row r="4848" spans="1:41" x14ac:dyDescent="0.2">
      <c r="A4848" s="13"/>
      <c r="B4848" s="13"/>
      <c r="C4848" s="13"/>
      <c r="D4848" s="13"/>
      <c r="E4848" s="12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2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</row>
    <row r="4849" spans="1:41" x14ac:dyDescent="0.2">
      <c r="A4849" s="13"/>
      <c r="B4849" s="13"/>
      <c r="C4849" s="13"/>
      <c r="D4849" s="13"/>
      <c r="E4849" s="12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2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</row>
    <row r="4850" spans="1:41" x14ac:dyDescent="0.2">
      <c r="A4850" s="13"/>
      <c r="B4850" s="13"/>
      <c r="C4850" s="13"/>
      <c r="D4850" s="13"/>
      <c r="E4850" s="12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2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</row>
    <row r="4851" spans="1:41" x14ac:dyDescent="0.2">
      <c r="A4851" s="13"/>
      <c r="B4851" s="13"/>
      <c r="C4851" s="13"/>
      <c r="D4851" s="13"/>
      <c r="E4851" s="12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2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</row>
    <row r="4852" spans="1:41" x14ac:dyDescent="0.2">
      <c r="A4852" s="13"/>
      <c r="B4852" s="13"/>
      <c r="C4852" s="13"/>
      <c r="D4852" s="13"/>
      <c r="E4852" s="12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2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</row>
    <row r="4853" spans="1:41" x14ac:dyDescent="0.2">
      <c r="A4853" s="13"/>
      <c r="B4853" s="13"/>
      <c r="C4853" s="13"/>
      <c r="D4853" s="13"/>
      <c r="E4853" s="12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2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</row>
    <row r="4854" spans="1:41" x14ac:dyDescent="0.2">
      <c r="A4854" s="13"/>
      <c r="B4854" s="13"/>
      <c r="C4854" s="13"/>
      <c r="D4854" s="13"/>
      <c r="E4854" s="12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2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</row>
    <row r="4855" spans="1:41" x14ac:dyDescent="0.2">
      <c r="A4855" s="13"/>
      <c r="B4855" s="13"/>
      <c r="C4855" s="13"/>
      <c r="D4855" s="13"/>
      <c r="E4855" s="12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2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</row>
    <row r="4856" spans="1:41" x14ac:dyDescent="0.2">
      <c r="A4856" s="13"/>
      <c r="B4856" s="13"/>
      <c r="C4856" s="13"/>
      <c r="D4856" s="13"/>
      <c r="E4856" s="12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2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</row>
    <row r="4857" spans="1:41" x14ac:dyDescent="0.2">
      <c r="A4857" s="13"/>
      <c r="B4857" s="13"/>
      <c r="C4857" s="13"/>
      <c r="D4857" s="13"/>
      <c r="E4857" s="12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2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</row>
    <row r="4858" spans="1:41" x14ac:dyDescent="0.2">
      <c r="A4858" s="13"/>
      <c r="B4858" s="13"/>
      <c r="C4858" s="13"/>
      <c r="D4858" s="13"/>
      <c r="E4858" s="12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2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</row>
    <row r="4859" spans="1:41" x14ac:dyDescent="0.2">
      <c r="A4859" s="13"/>
      <c r="B4859" s="13"/>
      <c r="C4859" s="13"/>
      <c r="D4859" s="13"/>
      <c r="E4859" s="12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2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</row>
    <row r="4860" spans="1:41" x14ac:dyDescent="0.2">
      <c r="A4860" s="13"/>
      <c r="B4860" s="13"/>
      <c r="C4860" s="13"/>
      <c r="D4860" s="13"/>
      <c r="E4860" s="12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2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</row>
    <row r="4861" spans="1:41" x14ac:dyDescent="0.2">
      <c r="A4861" s="13"/>
      <c r="B4861" s="13"/>
      <c r="C4861" s="13"/>
      <c r="D4861" s="13"/>
      <c r="E4861" s="12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2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</row>
    <row r="4862" spans="1:41" x14ac:dyDescent="0.2">
      <c r="A4862" s="13"/>
      <c r="B4862" s="13"/>
      <c r="C4862" s="13"/>
      <c r="D4862" s="13"/>
      <c r="E4862" s="12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2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</row>
    <row r="4863" spans="1:41" x14ac:dyDescent="0.2">
      <c r="A4863" s="13"/>
      <c r="B4863" s="13"/>
      <c r="C4863" s="13"/>
      <c r="D4863" s="13"/>
      <c r="E4863" s="12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2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</row>
    <row r="4864" spans="1:41" x14ac:dyDescent="0.2">
      <c r="A4864" s="13"/>
      <c r="B4864" s="13"/>
      <c r="C4864" s="13"/>
      <c r="D4864" s="13"/>
      <c r="E4864" s="12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2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</row>
    <row r="4865" spans="1:41" x14ac:dyDescent="0.2">
      <c r="A4865" s="13"/>
      <c r="B4865" s="13"/>
      <c r="C4865" s="13"/>
      <c r="D4865" s="13"/>
      <c r="E4865" s="12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2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</row>
    <row r="4866" spans="1:41" x14ac:dyDescent="0.2">
      <c r="A4866" s="13"/>
      <c r="B4866" s="13"/>
      <c r="C4866" s="13"/>
      <c r="D4866" s="13"/>
      <c r="E4866" s="12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2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</row>
    <row r="4867" spans="1:41" x14ac:dyDescent="0.2">
      <c r="A4867" s="13"/>
      <c r="B4867" s="13"/>
      <c r="C4867" s="13"/>
      <c r="D4867" s="13"/>
      <c r="E4867" s="12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2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</row>
    <row r="4868" spans="1:41" x14ac:dyDescent="0.2">
      <c r="A4868" s="13"/>
      <c r="B4868" s="13"/>
      <c r="C4868" s="13"/>
      <c r="D4868" s="13"/>
      <c r="E4868" s="12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2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</row>
    <row r="4869" spans="1:41" x14ac:dyDescent="0.2">
      <c r="A4869" s="13"/>
      <c r="B4869" s="13"/>
      <c r="C4869" s="13"/>
      <c r="D4869" s="13"/>
      <c r="E4869" s="12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2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</row>
    <row r="4870" spans="1:41" x14ac:dyDescent="0.2">
      <c r="A4870" s="13"/>
      <c r="B4870" s="13"/>
      <c r="C4870" s="13"/>
      <c r="D4870" s="13"/>
      <c r="E4870" s="12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2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</row>
    <row r="4871" spans="1:41" x14ac:dyDescent="0.2">
      <c r="A4871" s="13"/>
      <c r="B4871" s="13"/>
      <c r="C4871" s="13"/>
      <c r="D4871" s="13"/>
      <c r="E4871" s="12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2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</row>
    <row r="4872" spans="1:41" x14ac:dyDescent="0.2">
      <c r="A4872" s="13"/>
      <c r="B4872" s="13"/>
      <c r="C4872" s="13"/>
      <c r="D4872" s="13"/>
      <c r="E4872" s="12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2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</row>
    <row r="4873" spans="1:41" x14ac:dyDescent="0.2">
      <c r="A4873" s="13"/>
      <c r="B4873" s="13"/>
      <c r="C4873" s="13"/>
      <c r="D4873" s="13"/>
      <c r="E4873" s="12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2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</row>
    <row r="4874" spans="1:41" x14ac:dyDescent="0.2">
      <c r="A4874" s="13"/>
      <c r="B4874" s="13"/>
      <c r="C4874" s="13"/>
      <c r="D4874" s="13"/>
      <c r="E4874" s="12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2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</row>
    <row r="4875" spans="1:41" x14ac:dyDescent="0.2">
      <c r="A4875" s="13"/>
      <c r="B4875" s="13"/>
      <c r="C4875" s="13"/>
      <c r="D4875" s="13"/>
      <c r="E4875" s="12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2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</row>
    <row r="4876" spans="1:41" x14ac:dyDescent="0.2">
      <c r="A4876" s="13"/>
      <c r="B4876" s="13"/>
      <c r="C4876" s="13"/>
      <c r="D4876" s="13"/>
      <c r="E4876" s="12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2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</row>
    <row r="4877" spans="1:41" x14ac:dyDescent="0.2">
      <c r="A4877" s="13"/>
      <c r="B4877" s="13"/>
      <c r="C4877" s="13"/>
      <c r="D4877" s="13"/>
      <c r="E4877" s="12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2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</row>
    <row r="4878" spans="1:41" x14ac:dyDescent="0.2">
      <c r="A4878" s="13"/>
      <c r="B4878" s="13"/>
      <c r="C4878" s="13"/>
      <c r="D4878" s="13"/>
      <c r="E4878" s="12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2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</row>
    <row r="4879" spans="1:41" x14ac:dyDescent="0.2">
      <c r="A4879" s="13"/>
      <c r="B4879" s="13"/>
      <c r="C4879" s="13"/>
      <c r="D4879" s="13"/>
      <c r="E4879" s="12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2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</row>
    <row r="4880" spans="1:41" x14ac:dyDescent="0.2">
      <c r="A4880" s="13"/>
      <c r="B4880" s="13"/>
      <c r="C4880" s="13"/>
      <c r="D4880" s="13"/>
      <c r="E4880" s="12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2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</row>
    <row r="4881" spans="1:41" x14ac:dyDescent="0.2">
      <c r="A4881" s="13"/>
      <c r="B4881" s="13"/>
      <c r="C4881" s="13"/>
      <c r="D4881" s="13"/>
      <c r="E4881" s="12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2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</row>
    <row r="4882" spans="1:41" x14ac:dyDescent="0.2">
      <c r="A4882" s="13"/>
      <c r="B4882" s="13"/>
      <c r="C4882" s="13"/>
      <c r="D4882" s="13"/>
      <c r="E4882" s="12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2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</row>
    <row r="4883" spans="1:41" x14ac:dyDescent="0.2">
      <c r="A4883" s="13"/>
      <c r="B4883" s="13"/>
      <c r="C4883" s="13"/>
      <c r="D4883" s="13"/>
      <c r="E4883" s="12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2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</row>
    <row r="4884" spans="1:41" x14ac:dyDescent="0.2">
      <c r="A4884" s="13"/>
      <c r="B4884" s="13"/>
      <c r="C4884" s="13"/>
      <c r="D4884" s="13"/>
      <c r="E4884" s="12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2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</row>
    <row r="4885" spans="1:41" x14ac:dyDescent="0.2">
      <c r="A4885" s="13"/>
      <c r="B4885" s="13"/>
      <c r="C4885" s="13"/>
      <c r="D4885" s="13"/>
      <c r="E4885" s="12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2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</row>
    <row r="4886" spans="1:41" x14ac:dyDescent="0.2">
      <c r="A4886" s="13"/>
      <c r="B4886" s="13"/>
      <c r="C4886" s="13"/>
      <c r="D4886" s="13"/>
      <c r="E4886" s="12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2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</row>
    <row r="4887" spans="1:41" x14ac:dyDescent="0.2">
      <c r="A4887" s="13"/>
      <c r="B4887" s="13"/>
      <c r="C4887" s="13"/>
      <c r="D4887" s="13"/>
      <c r="E4887" s="12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2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</row>
    <row r="4888" spans="1:41" x14ac:dyDescent="0.2">
      <c r="A4888" s="13"/>
      <c r="B4888" s="13"/>
      <c r="C4888" s="13"/>
      <c r="D4888" s="13"/>
      <c r="E4888" s="12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2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</row>
    <row r="4889" spans="1:41" x14ac:dyDescent="0.2">
      <c r="A4889" s="13"/>
      <c r="B4889" s="13"/>
      <c r="C4889" s="13"/>
      <c r="D4889" s="13"/>
      <c r="E4889" s="12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2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</row>
    <row r="4890" spans="1:41" x14ac:dyDescent="0.2">
      <c r="A4890" s="13"/>
      <c r="B4890" s="13"/>
      <c r="C4890" s="13"/>
      <c r="D4890" s="13"/>
      <c r="E4890" s="12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2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</row>
    <row r="4891" spans="1:41" x14ac:dyDescent="0.2">
      <c r="A4891" s="13"/>
      <c r="B4891" s="13"/>
      <c r="C4891" s="13"/>
      <c r="D4891" s="13"/>
      <c r="E4891" s="12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2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</row>
    <row r="4892" spans="1:41" x14ac:dyDescent="0.2">
      <c r="A4892" s="13"/>
      <c r="B4892" s="13"/>
      <c r="C4892" s="13"/>
      <c r="D4892" s="13"/>
      <c r="E4892" s="12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2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</row>
    <row r="4893" spans="1:41" x14ac:dyDescent="0.2">
      <c r="A4893" s="13"/>
      <c r="B4893" s="13"/>
      <c r="C4893" s="13"/>
      <c r="D4893" s="13"/>
      <c r="E4893" s="12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2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</row>
    <row r="4894" spans="1:41" x14ac:dyDescent="0.2">
      <c r="A4894" s="13"/>
      <c r="B4894" s="13"/>
      <c r="C4894" s="13"/>
      <c r="D4894" s="13"/>
      <c r="E4894" s="12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2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</row>
    <row r="4895" spans="1:41" x14ac:dyDescent="0.2">
      <c r="A4895" s="13"/>
      <c r="B4895" s="13"/>
      <c r="C4895" s="13"/>
      <c r="D4895" s="13"/>
      <c r="E4895" s="12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2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</row>
    <row r="4896" spans="1:41" x14ac:dyDescent="0.2">
      <c r="A4896" s="13"/>
      <c r="B4896" s="13"/>
      <c r="C4896" s="13"/>
      <c r="D4896" s="13"/>
      <c r="E4896" s="12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2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</row>
    <row r="4897" spans="1:41" x14ac:dyDescent="0.2">
      <c r="A4897" s="13"/>
      <c r="B4897" s="13"/>
      <c r="C4897" s="13"/>
      <c r="D4897" s="13"/>
      <c r="E4897" s="12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2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</row>
    <row r="4898" spans="1:41" x14ac:dyDescent="0.2">
      <c r="A4898" s="13"/>
      <c r="B4898" s="13"/>
      <c r="C4898" s="13"/>
      <c r="D4898" s="13"/>
      <c r="E4898" s="12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2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</row>
    <row r="4899" spans="1:41" x14ac:dyDescent="0.2">
      <c r="A4899" s="13"/>
      <c r="B4899" s="13"/>
      <c r="C4899" s="13"/>
      <c r="D4899" s="13"/>
      <c r="E4899" s="12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2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</row>
    <row r="4900" spans="1:41" x14ac:dyDescent="0.2">
      <c r="A4900" s="13"/>
      <c r="B4900" s="13"/>
      <c r="C4900" s="13"/>
      <c r="D4900" s="13"/>
      <c r="E4900" s="12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2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</row>
    <row r="4901" spans="1:41" x14ac:dyDescent="0.2">
      <c r="A4901" s="13"/>
      <c r="B4901" s="13"/>
      <c r="C4901" s="13"/>
      <c r="D4901" s="13"/>
      <c r="E4901" s="12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2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</row>
    <row r="4902" spans="1:41" x14ac:dyDescent="0.2">
      <c r="A4902" s="13"/>
      <c r="B4902" s="13"/>
      <c r="C4902" s="13"/>
      <c r="D4902" s="13"/>
      <c r="E4902" s="12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2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</row>
    <row r="4903" spans="1:41" x14ac:dyDescent="0.2">
      <c r="A4903" s="13"/>
      <c r="B4903" s="13"/>
      <c r="C4903" s="13"/>
      <c r="D4903" s="13"/>
      <c r="E4903" s="12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2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</row>
    <row r="4904" spans="1:41" x14ac:dyDescent="0.2">
      <c r="A4904" s="13"/>
      <c r="B4904" s="13"/>
      <c r="C4904" s="13"/>
      <c r="D4904" s="13"/>
      <c r="E4904" s="12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2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</row>
    <row r="4905" spans="1:41" x14ac:dyDescent="0.2">
      <c r="A4905" s="13"/>
      <c r="B4905" s="13"/>
      <c r="C4905" s="13"/>
      <c r="D4905" s="13"/>
      <c r="E4905" s="12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2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</row>
    <row r="4906" spans="1:41" x14ac:dyDescent="0.2">
      <c r="A4906" s="13"/>
      <c r="B4906" s="13"/>
      <c r="C4906" s="13"/>
      <c r="D4906" s="13"/>
      <c r="E4906" s="12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2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</row>
    <row r="4907" spans="1:41" x14ac:dyDescent="0.2">
      <c r="A4907" s="13"/>
      <c r="B4907" s="13"/>
      <c r="C4907" s="13"/>
      <c r="D4907" s="13"/>
      <c r="E4907" s="12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2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</row>
    <row r="4908" spans="1:41" x14ac:dyDescent="0.2">
      <c r="A4908" s="13"/>
      <c r="B4908" s="13"/>
      <c r="C4908" s="13"/>
      <c r="D4908" s="13"/>
      <c r="E4908" s="12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2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</row>
    <row r="4909" spans="1:41" x14ac:dyDescent="0.2">
      <c r="A4909" s="13"/>
      <c r="B4909" s="13"/>
      <c r="C4909" s="13"/>
      <c r="D4909" s="13"/>
      <c r="E4909" s="12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2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</row>
    <row r="4910" spans="1:41" x14ac:dyDescent="0.2">
      <c r="A4910" s="13"/>
      <c r="B4910" s="13"/>
      <c r="C4910" s="13"/>
      <c r="D4910" s="13"/>
      <c r="E4910" s="12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2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</row>
    <row r="4911" spans="1:41" x14ac:dyDescent="0.2">
      <c r="A4911" s="13"/>
      <c r="B4911" s="13"/>
      <c r="C4911" s="13"/>
      <c r="D4911" s="13"/>
      <c r="E4911" s="12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2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</row>
    <row r="4912" spans="1:41" x14ac:dyDescent="0.2">
      <c r="A4912" s="13"/>
      <c r="B4912" s="13"/>
      <c r="C4912" s="13"/>
      <c r="D4912" s="13"/>
      <c r="E4912" s="12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2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</row>
    <row r="4913" spans="1:41" x14ac:dyDescent="0.2">
      <c r="A4913" s="13"/>
      <c r="B4913" s="13"/>
      <c r="C4913" s="13"/>
      <c r="D4913" s="13"/>
      <c r="E4913" s="12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2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</row>
    <row r="4914" spans="1:41" x14ac:dyDescent="0.2">
      <c r="A4914" s="13"/>
      <c r="B4914" s="13"/>
      <c r="C4914" s="13"/>
      <c r="D4914" s="13"/>
      <c r="E4914" s="12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2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</row>
    <row r="4915" spans="1:41" x14ac:dyDescent="0.2">
      <c r="A4915" s="13"/>
      <c r="B4915" s="13"/>
      <c r="C4915" s="13"/>
      <c r="D4915" s="13"/>
      <c r="E4915" s="12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2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</row>
    <row r="4916" spans="1:41" x14ac:dyDescent="0.2">
      <c r="A4916" s="13"/>
      <c r="B4916" s="13"/>
      <c r="C4916" s="13"/>
      <c r="D4916" s="13"/>
      <c r="E4916" s="12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2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</row>
    <row r="4917" spans="1:41" x14ac:dyDescent="0.2">
      <c r="A4917" s="13"/>
      <c r="B4917" s="13"/>
      <c r="C4917" s="13"/>
      <c r="D4917" s="13"/>
      <c r="E4917" s="12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2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</row>
    <row r="4918" spans="1:41" x14ac:dyDescent="0.2">
      <c r="A4918" s="13"/>
      <c r="B4918" s="13"/>
      <c r="C4918" s="13"/>
      <c r="D4918" s="13"/>
      <c r="E4918" s="12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2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</row>
    <row r="4919" spans="1:41" x14ac:dyDescent="0.2">
      <c r="A4919" s="13"/>
      <c r="B4919" s="13"/>
      <c r="C4919" s="13"/>
      <c r="D4919" s="13"/>
      <c r="E4919" s="12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2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</row>
    <row r="4920" spans="1:41" x14ac:dyDescent="0.2">
      <c r="A4920" s="13"/>
      <c r="B4920" s="13"/>
      <c r="C4920" s="13"/>
      <c r="D4920" s="13"/>
      <c r="E4920" s="12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2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</row>
    <row r="4921" spans="1:41" x14ac:dyDescent="0.2">
      <c r="A4921" s="13"/>
      <c r="B4921" s="13"/>
      <c r="C4921" s="13"/>
      <c r="D4921" s="13"/>
      <c r="E4921" s="12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2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</row>
    <row r="4922" spans="1:41" x14ac:dyDescent="0.2">
      <c r="A4922" s="13"/>
      <c r="B4922" s="13"/>
      <c r="C4922" s="13"/>
      <c r="D4922" s="13"/>
      <c r="E4922" s="12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2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</row>
    <row r="4923" spans="1:41" x14ac:dyDescent="0.2">
      <c r="A4923" s="13"/>
      <c r="B4923" s="13"/>
      <c r="C4923" s="13"/>
      <c r="D4923" s="13"/>
      <c r="E4923" s="12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2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</row>
    <row r="4924" spans="1:41" x14ac:dyDescent="0.2">
      <c r="A4924" s="13"/>
      <c r="B4924" s="13"/>
      <c r="C4924" s="13"/>
      <c r="D4924" s="13"/>
      <c r="E4924" s="12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2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</row>
    <row r="4925" spans="1:41" x14ac:dyDescent="0.2">
      <c r="A4925" s="13"/>
      <c r="B4925" s="13"/>
      <c r="C4925" s="13"/>
      <c r="D4925" s="13"/>
      <c r="E4925" s="12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2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</row>
    <row r="4926" spans="1:41" x14ac:dyDescent="0.2">
      <c r="A4926" s="13"/>
      <c r="B4926" s="13"/>
      <c r="C4926" s="13"/>
      <c r="D4926" s="13"/>
      <c r="E4926" s="12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2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</row>
    <row r="4927" spans="1:41" x14ac:dyDescent="0.2">
      <c r="A4927" s="13"/>
      <c r="B4927" s="13"/>
      <c r="C4927" s="13"/>
      <c r="D4927" s="13"/>
      <c r="E4927" s="12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2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</row>
    <row r="4928" spans="1:41" x14ac:dyDescent="0.2">
      <c r="A4928" s="13"/>
      <c r="B4928" s="13"/>
      <c r="C4928" s="13"/>
      <c r="D4928" s="13"/>
      <c r="E4928" s="12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2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</row>
    <row r="4929" spans="1:41" x14ac:dyDescent="0.2">
      <c r="A4929" s="13"/>
      <c r="B4929" s="13"/>
      <c r="C4929" s="13"/>
      <c r="D4929" s="13"/>
      <c r="E4929" s="12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2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</row>
    <row r="4930" spans="1:41" x14ac:dyDescent="0.2">
      <c r="A4930" s="13"/>
      <c r="B4930" s="13"/>
      <c r="C4930" s="13"/>
      <c r="D4930" s="13"/>
      <c r="E4930" s="12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2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</row>
    <row r="4931" spans="1:41" x14ac:dyDescent="0.2">
      <c r="A4931" s="13"/>
      <c r="B4931" s="13"/>
      <c r="C4931" s="13"/>
      <c r="D4931" s="13"/>
      <c r="E4931" s="12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2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</row>
    <row r="4932" spans="1:41" x14ac:dyDescent="0.2">
      <c r="A4932" s="13"/>
      <c r="B4932" s="13"/>
      <c r="C4932" s="13"/>
      <c r="D4932" s="13"/>
      <c r="E4932" s="12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2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</row>
    <row r="4933" spans="1:41" x14ac:dyDescent="0.2">
      <c r="A4933" s="13"/>
      <c r="B4933" s="13"/>
      <c r="C4933" s="13"/>
      <c r="D4933" s="13"/>
      <c r="E4933" s="12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2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</row>
    <row r="4934" spans="1:41" x14ac:dyDescent="0.2">
      <c r="A4934" s="13"/>
      <c r="B4934" s="13"/>
      <c r="C4934" s="13"/>
      <c r="D4934" s="13"/>
      <c r="E4934" s="12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2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</row>
    <row r="4935" spans="1:41" x14ac:dyDescent="0.2">
      <c r="A4935" s="13"/>
      <c r="B4935" s="13"/>
      <c r="C4935" s="13"/>
      <c r="D4935" s="13"/>
      <c r="E4935" s="1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2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</row>
    <row r="4936" spans="1:41" x14ac:dyDescent="0.2">
      <c r="A4936" s="13"/>
      <c r="B4936" s="13"/>
      <c r="C4936" s="13"/>
      <c r="D4936" s="13"/>
      <c r="E4936" s="12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2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</row>
    <row r="4937" spans="1:41" x14ac:dyDescent="0.2">
      <c r="A4937" s="13"/>
      <c r="B4937" s="13"/>
      <c r="C4937" s="13"/>
      <c r="D4937" s="13"/>
      <c r="E4937" s="12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2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</row>
    <row r="4938" spans="1:41" x14ac:dyDescent="0.2">
      <c r="A4938" s="13"/>
      <c r="B4938" s="13"/>
      <c r="C4938" s="13"/>
      <c r="D4938" s="13"/>
      <c r="E4938" s="12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2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</row>
    <row r="4939" spans="1:41" x14ac:dyDescent="0.2">
      <c r="A4939" s="13"/>
      <c r="B4939" s="13"/>
      <c r="C4939" s="13"/>
      <c r="D4939" s="13"/>
      <c r="E4939" s="12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2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</row>
    <row r="4940" spans="1:41" x14ac:dyDescent="0.2">
      <c r="A4940" s="13"/>
      <c r="B4940" s="13"/>
      <c r="C4940" s="13"/>
      <c r="D4940" s="13"/>
      <c r="E4940" s="12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2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</row>
    <row r="4941" spans="1:41" x14ac:dyDescent="0.2">
      <c r="A4941" s="13"/>
      <c r="B4941" s="13"/>
      <c r="C4941" s="13"/>
      <c r="D4941" s="13"/>
      <c r="E4941" s="12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2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</row>
    <row r="4942" spans="1:41" x14ac:dyDescent="0.2">
      <c r="A4942" s="13"/>
      <c r="B4942" s="13"/>
      <c r="C4942" s="13"/>
      <c r="D4942" s="13"/>
      <c r="E4942" s="12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2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</row>
    <row r="4943" spans="1:41" x14ac:dyDescent="0.2">
      <c r="A4943" s="13"/>
      <c r="B4943" s="13"/>
      <c r="C4943" s="13"/>
      <c r="D4943" s="13"/>
      <c r="E4943" s="12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2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</row>
    <row r="4944" spans="1:41" x14ac:dyDescent="0.2">
      <c r="A4944" s="13"/>
      <c r="B4944" s="13"/>
      <c r="C4944" s="13"/>
      <c r="D4944" s="13"/>
      <c r="E4944" s="12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2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</row>
    <row r="4945" spans="1:41" x14ac:dyDescent="0.2">
      <c r="A4945" s="13"/>
      <c r="B4945" s="13"/>
      <c r="C4945" s="13"/>
      <c r="D4945" s="13"/>
      <c r="E4945" s="12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2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</row>
    <row r="4946" spans="1:41" x14ac:dyDescent="0.2">
      <c r="A4946" s="13"/>
      <c r="B4946" s="13"/>
      <c r="C4946" s="13"/>
      <c r="D4946" s="13"/>
      <c r="E4946" s="12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2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</row>
    <row r="4947" spans="1:41" x14ac:dyDescent="0.2">
      <c r="A4947" s="13"/>
      <c r="B4947" s="13"/>
      <c r="C4947" s="13"/>
      <c r="D4947" s="13"/>
      <c r="E4947" s="12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2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</row>
    <row r="4948" spans="1:41" x14ac:dyDescent="0.2">
      <c r="A4948" s="13"/>
      <c r="B4948" s="13"/>
      <c r="C4948" s="13"/>
      <c r="D4948" s="13"/>
      <c r="E4948" s="12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2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</row>
    <row r="4949" spans="1:41" x14ac:dyDescent="0.2">
      <c r="A4949" s="13"/>
      <c r="B4949" s="13"/>
      <c r="C4949" s="13"/>
      <c r="D4949" s="13"/>
      <c r="E4949" s="12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2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</row>
    <row r="4950" spans="1:41" x14ac:dyDescent="0.2">
      <c r="A4950" s="13"/>
      <c r="B4950" s="13"/>
      <c r="C4950" s="13"/>
      <c r="D4950" s="13"/>
      <c r="E4950" s="12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2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</row>
    <row r="4951" spans="1:41" x14ac:dyDescent="0.2">
      <c r="A4951" s="13"/>
      <c r="B4951" s="13"/>
      <c r="C4951" s="13"/>
      <c r="D4951" s="13"/>
      <c r="E4951" s="12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2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</row>
    <row r="4952" spans="1:41" x14ac:dyDescent="0.2">
      <c r="A4952" s="13"/>
      <c r="B4952" s="13"/>
      <c r="C4952" s="13"/>
      <c r="D4952" s="13"/>
      <c r="E4952" s="12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2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</row>
    <row r="4953" spans="1:41" x14ac:dyDescent="0.2">
      <c r="A4953" s="13"/>
      <c r="B4953" s="13"/>
      <c r="C4953" s="13"/>
      <c r="D4953" s="13"/>
      <c r="E4953" s="12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2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</row>
    <row r="4954" spans="1:41" x14ac:dyDescent="0.2">
      <c r="A4954" s="13"/>
      <c r="B4954" s="13"/>
      <c r="C4954" s="13"/>
      <c r="D4954" s="13"/>
      <c r="E4954" s="12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2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</row>
    <row r="4955" spans="1:41" x14ac:dyDescent="0.2">
      <c r="A4955" s="13"/>
      <c r="B4955" s="13"/>
      <c r="C4955" s="13"/>
      <c r="D4955" s="13"/>
      <c r="E4955" s="12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2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</row>
    <row r="4956" spans="1:41" x14ac:dyDescent="0.2">
      <c r="A4956" s="13"/>
      <c r="B4956" s="13"/>
      <c r="C4956" s="13"/>
      <c r="D4956" s="13"/>
      <c r="E4956" s="12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2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</row>
    <row r="4957" spans="1:41" x14ac:dyDescent="0.2">
      <c r="A4957" s="13"/>
      <c r="B4957" s="13"/>
      <c r="C4957" s="13"/>
      <c r="D4957" s="13"/>
      <c r="E4957" s="12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2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</row>
    <row r="4958" spans="1:41" x14ac:dyDescent="0.2">
      <c r="A4958" s="13"/>
      <c r="B4958" s="13"/>
      <c r="C4958" s="13"/>
      <c r="D4958" s="13"/>
      <c r="E4958" s="12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2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</row>
    <row r="4959" spans="1:41" x14ac:dyDescent="0.2">
      <c r="A4959" s="13"/>
      <c r="B4959" s="13"/>
      <c r="C4959" s="13"/>
      <c r="D4959" s="13"/>
      <c r="E4959" s="12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2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</row>
    <row r="4960" spans="1:41" x14ac:dyDescent="0.2">
      <c r="A4960" s="13"/>
      <c r="B4960" s="13"/>
      <c r="C4960" s="13"/>
      <c r="D4960" s="13"/>
      <c r="E4960" s="12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2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</row>
    <row r="4961" spans="1:41" x14ac:dyDescent="0.2">
      <c r="A4961" s="13"/>
      <c r="B4961" s="13"/>
      <c r="C4961" s="13"/>
      <c r="D4961" s="13"/>
      <c r="E4961" s="12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2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</row>
    <row r="4962" spans="1:41" x14ac:dyDescent="0.2">
      <c r="A4962" s="13"/>
      <c r="B4962" s="13"/>
      <c r="C4962" s="13"/>
      <c r="D4962" s="13"/>
      <c r="E4962" s="12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2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</row>
    <row r="4963" spans="1:41" x14ac:dyDescent="0.2">
      <c r="A4963" s="13"/>
      <c r="B4963" s="13"/>
      <c r="C4963" s="13"/>
      <c r="D4963" s="13"/>
      <c r="E4963" s="12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2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</row>
    <row r="4964" spans="1:41" x14ac:dyDescent="0.2">
      <c r="A4964" s="13"/>
      <c r="B4964" s="13"/>
      <c r="C4964" s="13"/>
      <c r="D4964" s="13"/>
      <c r="E4964" s="12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2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</row>
    <row r="4965" spans="1:41" x14ac:dyDescent="0.2">
      <c r="A4965" s="13"/>
      <c r="B4965" s="13"/>
      <c r="C4965" s="13"/>
      <c r="D4965" s="13"/>
      <c r="E4965" s="12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2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</row>
    <row r="4966" spans="1:41" x14ac:dyDescent="0.2">
      <c r="A4966" s="13"/>
      <c r="B4966" s="13"/>
      <c r="C4966" s="13"/>
      <c r="D4966" s="13"/>
      <c r="E4966" s="12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2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</row>
    <row r="4967" spans="1:41" x14ac:dyDescent="0.2">
      <c r="A4967" s="13"/>
      <c r="B4967" s="13"/>
      <c r="C4967" s="13"/>
      <c r="D4967" s="13"/>
      <c r="E4967" s="12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2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</row>
    <row r="4968" spans="1:41" x14ac:dyDescent="0.2">
      <c r="A4968" s="13"/>
      <c r="B4968" s="13"/>
      <c r="C4968" s="13"/>
      <c r="D4968" s="13"/>
      <c r="E4968" s="12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2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</row>
    <row r="4969" spans="1:41" x14ac:dyDescent="0.2">
      <c r="A4969" s="13"/>
      <c r="B4969" s="13"/>
      <c r="C4969" s="13"/>
      <c r="D4969" s="13"/>
      <c r="E4969" s="1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2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</row>
    <row r="4970" spans="1:41" x14ac:dyDescent="0.2">
      <c r="A4970" s="13"/>
      <c r="B4970" s="13"/>
      <c r="C4970" s="13"/>
      <c r="D4970" s="13"/>
      <c r="E4970" s="12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2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</row>
    <row r="4971" spans="1:41" x14ac:dyDescent="0.2">
      <c r="A4971" s="13"/>
      <c r="B4971" s="13"/>
      <c r="C4971" s="13"/>
      <c r="D4971" s="13"/>
      <c r="E4971" s="12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2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</row>
    <row r="4972" spans="1:41" x14ac:dyDescent="0.2">
      <c r="A4972" s="13"/>
      <c r="B4972" s="13"/>
      <c r="C4972" s="13"/>
      <c r="D4972" s="13"/>
      <c r="E4972" s="12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2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</row>
    <row r="4973" spans="1:41" x14ac:dyDescent="0.2">
      <c r="A4973" s="13"/>
      <c r="B4973" s="13"/>
      <c r="C4973" s="13"/>
      <c r="D4973" s="13"/>
      <c r="E4973" s="12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2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</row>
    <row r="4974" spans="1:41" x14ac:dyDescent="0.2">
      <c r="A4974" s="13"/>
      <c r="B4974" s="13"/>
      <c r="C4974" s="13"/>
      <c r="D4974" s="13"/>
      <c r="E4974" s="12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2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</row>
    <row r="4975" spans="1:41" x14ac:dyDescent="0.2">
      <c r="A4975" s="13"/>
      <c r="B4975" s="13"/>
      <c r="C4975" s="13"/>
      <c r="D4975" s="13"/>
      <c r="E4975" s="12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2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</row>
    <row r="4976" spans="1:41" x14ac:dyDescent="0.2">
      <c r="A4976" s="13"/>
      <c r="B4976" s="13"/>
      <c r="C4976" s="13"/>
      <c r="D4976" s="13"/>
      <c r="E4976" s="12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2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</row>
    <row r="4977" spans="1:41" x14ac:dyDescent="0.2">
      <c r="A4977" s="13"/>
      <c r="B4977" s="13"/>
      <c r="C4977" s="13"/>
      <c r="D4977" s="13"/>
      <c r="E4977" s="12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2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</row>
    <row r="4978" spans="1:41" x14ac:dyDescent="0.2">
      <c r="A4978" s="13"/>
      <c r="B4978" s="13"/>
      <c r="C4978" s="13"/>
      <c r="D4978" s="13"/>
      <c r="E4978" s="12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2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</row>
    <row r="4979" spans="1:41" x14ac:dyDescent="0.2">
      <c r="A4979" s="13"/>
      <c r="B4979" s="13"/>
      <c r="C4979" s="13"/>
      <c r="D4979" s="13"/>
      <c r="E4979" s="12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2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</row>
    <row r="4980" spans="1:41" x14ac:dyDescent="0.2">
      <c r="A4980" s="13"/>
      <c r="B4980" s="13"/>
      <c r="C4980" s="13"/>
      <c r="D4980" s="13"/>
      <c r="E4980" s="12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2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</row>
    <row r="4981" spans="1:41" x14ac:dyDescent="0.2">
      <c r="A4981" s="13"/>
      <c r="B4981" s="13"/>
      <c r="C4981" s="13"/>
      <c r="D4981" s="13"/>
      <c r="E4981" s="12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2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</row>
    <row r="4982" spans="1:41" x14ac:dyDescent="0.2">
      <c r="A4982" s="13"/>
      <c r="B4982" s="13"/>
      <c r="C4982" s="13"/>
      <c r="D4982" s="13"/>
      <c r="E4982" s="12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2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</row>
    <row r="4983" spans="1:41" x14ac:dyDescent="0.2">
      <c r="A4983" s="13"/>
      <c r="B4983" s="13"/>
      <c r="C4983" s="13"/>
      <c r="D4983" s="13"/>
      <c r="E4983" s="12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2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</row>
    <row r="4984" spans="1:41" x14ac:dyDescent="0.2">
      <c r="A4984" s="13"/>
      <c r="B4984" s="13"/>
      <c r="C4984" s="13"/>
      <c r="D4984" s="13"/>
      <c r="E4984" s="12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2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</row>
    <row r="4985" spans="1:41" x14ac:dyDescent="0.2">
      <c r="A4985" s="13"/>
      <c r="B4985" s="13"/>
      <c r="C4985" s="13"/>
      <c r="D4985" s="13"/>
      <c r="E4985" s="12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2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</row>
    <row r="4986" spans="1:41" x14ac:dyDescent="0.2">
      <c r="A4986" s="13"/>
      <c r="B4986" s="13"/>
      <c r="C4986" s="13"/>
      <c r="D4986" s="13"/>
      <c r="E4986" s="12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2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</row>
    <row r="4987" spans="1:41" x14ac:dyDescent="0.2">
      <c r="A4987" s="13"/>
      <c r="B4987" s="13"/>
      <c r="C4987" s="13"/>
      <c r="D4987" s="13"/>
      <c r="E4987" s="12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2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</row>
    <row r="4988" spans="1:41" x14ac:dyDescent="0.2">
      <c r="A4988" s="13"/>
      <c r="B4988" s="13"/>
      <c r="C4988" s="13"/>
      <c r="D4988" s="13"/>
      <c r="E4988" s="12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2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</row>
    <row r="4989" spans="1:41" x14ac:dyDescent="0.2">
      <c r="A4989" s="13"/>
      <c r="B4989" s="13"/>
      <c r="C4989" s="13"/>
      <c r="D4989" s="13"/>
      <c r="E4989" s="12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2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</row>
    <row r="4990" spans="1:41" x14ac:dyDescent="0.2">
      <c r="A4990" s="13"/>
      <c r="B4990" s="13"/>
      <c r="C4990" s="13"/>
      <c r="D4990" s="13"/>
      <c r="E4990" s="12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2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</row>
    <row r="4991" spans="1:41" x14ac:dyDescent="0.2">
      <c r="A4991" s="13"/>
      <c r="B4991" s="13"/>
      <c r="C4991" s="13"/>
      <c r="D4991" s="13"/>
      <c r="E4991" s="12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2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</row>
    <row r="4992" spans="1:41" x14ac:dyDescent="0.2">
      <c r="A4992" s="13"/>
      <c r="B4992" s="13"/>
      <c r="C4992" s="13"/>
      <c r="D4992" s="13"/>
      <c r="E4992" s="12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2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</row>
    <row r="4993" spans="1:41" x14ac:dyDescent="0.2">
      <c r="A4993" s="13"/>
      <c r="B4993" s="13"/>
      <c r="C4993" s="13"/>
      <c r="D4993" s="13"/>
      <c r="E4993" s="12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2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</row>
    <row r="4994" spans="1:41" x14ac:dyDescent="0.2">
      <c r="A4994" s="13"/>
      <c r="B4994" s="13"/>
      <c r="C4994" s="13"/>
      <c r="D4994" s="13"/>
      <c r="E4994" s="12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2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</row>
    <row r="4995" spans="1:41" x14ac:dyDescent="0.2">
      <c r="A4995" s="13"/>
      <c r="B4995" s="13"/>
      <c r="C4995" s="13"/>
      <c r="D4995" s="13"/>
      <c r="E4995" s="12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2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</row>
    <row r="4996" spans="1:41" x14ac:dyDescent="0.2">
      <c r="A4996" s="13"/>
      <c r="B4996" s="13"/>
      <c r="C4996" s="13"/>
      <c r="D4996" s="13"/>
      <c r="E4996" s="12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2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</row>
    <row r="4997" spans="1:41" x14ac:dyDescent="0.2">
      <c r="A4997" s="13"/>
      <c r="B4997" s="13"/>
      <c r="C4997" s="13"/>
      <c r="D4997" s="13"/>
      <c r="E4997" s="12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2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</row>
    <row r="4998" spans="1:41" x14ac:dyDescent="0.2">
      <c r="A4998" s="13"/>
      <c r="B4998" s="13"/>
      <c r="C4998" s="13"/>
      <c r="D4998" s="13"/>
      <c r="E4998" s="12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2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</row>
    <row r="4999" spans="1:41" x14ac:dyDescent="0.2">
      <c r="A4999" s="13"/>
      <c r="B4999" s="13"/>
      <c r="C4999" s="13"/>
      <c r="D4999" s="13"/>
      <c r="E4999" s="12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2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</row>
    <row r="5000" spans="1:41" x14ac:dyDescent="0.2">
      <c r="A5000" s="13"/>
      <c r="B5000" s="13"/>
      <c r="C5000" s="13"/>
      <c r="D5000" s="13"/>
      <c r="E5000" s="12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2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aInstrumentosLatam">
                <anchor moveWithCells="1" sizeWithCells="1">
                  <from>
                    <xdr:col>9</xdr:col>
                    <xdr:colOff>57150</xdr:colOff>
                    <xdr:row>0</xdr:row>
                    <xdr:rowOff>28575</xdr:rowOff>
                  </from>
                  <to>
                    <xdr:col>10</xdr:col>
                    <xdr:colOff>723900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61"/>
  <sheetViews>
    <sheetView workbookViewId="0">
      <selection activeCell="D7" sqref="D7"/>
    </sheetView>
  </sheetViews>
  <sheetFormatPr baseColWidth="10" defaultRowHeight="14.25" x14ac:dyDescent="0.2"/>
  <cols>
    <col min="1" max="1" width="19.875" bestFit="1" customWidth="1"/>
    <col min="2" max="2" width="11.875" customWidth="1"/>
    <col min="3" max="3" width="10.25" customWidth="1"/>
    <col min="4" max="4" width="7" customWidth="1"/>
    <col min="5" max="5" width="7.875" bestFit="1" customWidth="1"/>
    <col min="6" max="6" width="25.25" bestFit="1" customWidth="1"/>
    <col min="7" max="7" width="18.875" bestFit="1" customWidth="1"/>
  </cols>
  <sheetData>
    <row r="1" spans="1:24" ht="15" x14ac:dyDescent="0.25">
      <c r="A1" s="6" t="s">
        <v>726</v>
      </c>
      <c r="B1" s="6" t="s">
        <v>727</v>
      </c>
      <c r="C1" s="2"/>
      <c r="D1" s="2"/>
      <c r="E1" s="2"/>
      <c r="F1" s="2"/>
      <c r="G1" s="2"/>
      <c r="H1" s="2"/>
    </row>
    <row r="2" spans="1:24" x14ac:dyDescent="0.2">
      <c r="A2" s="2" t="s">
        <v>731</v>
      </c>
      <c r="B2" s="8">
        <v>9.7834982187430114E-3</v>
      </c>
      <c r="C2" s="2"/>
      <c r="E2" s="3"/>
      <c r="F2" s="5"/>
      <c r="G2" s="5"/>
      <c r="X2" s="1"/>
    </row>
    <row r="3" spans="1:24" x14ac:dyDescent="0.2">
      <c r="A3" s="2" t="s">
        <v>732</v>
      </c>
      <c r="B3" s="8">
        <v>4.0901794003428502E-3</v>
      </c>
      <c r="C3" s="2"/>
      <c r="E3" s="3"/>
      <c r="F3" s="5"/>
      <c r="G3" s="5"/>
      <c r="X3" s="1"/>
    </row>
    <row r="4" spans="1:24" x14ac:dyDescent="0.2">
      <c r="A4" s="2" t="s">
        <v>733</v>
      </c>
      <c r="B4" s="8">
        <v>9.084230940345368E-3</v>
      </c>
      <c r="C4" s="2"/>
      <c r="E4" s="3"/>
      <c r="F4" s="5"/>
      <c r="G4" s="5"/>
      <c r="X4" s="1"/>
    </row>
    <row r="5" spans="1:24" x14ac:dyDescent="0.2">
      <c r="A5" s="2" t="s">
        <v>734</v>
      </c>
      <c r="B5" s="8">
        <v>1.3328723978317343E-2</v>
      </c>
      <c r="C5" s="2"/>
      <c r="E5" s="2"/>
      <c r="F5" s="5"/>
      <c r="G5" s="5"/>
    </row>
    <row r="6" spans="1:24" x14ac:dyDescent="0.2">
      <c r="A6" s="2" t="s">
        <v>735</v>
      </c>
      <c r="B6" s="8">
        <v>2.1180560513352358E-2</v>
      </c>
      <c r="C6" s="2"/>
      <c r="E6" s="2"/>
      <c r="F6" s="5"/>
      <c r="G6" s="5"/>
    </row>
    <row r="7" spans="1:24" x14ac:dyDescent="0.2">
      <c r="A7" s="2" t="s">
        <v>736</v>
      </c>
      <c r="B7" s="8">
        <v>2.5279333817177455E-2</v>
      </c>
      <c r="C7" s="2"/>
      <c r="E7" s="2"/>
      <c r="F7" s="5"/>
      <c r="G7" s="5"/>
    </row>
    <row r="8" spans="1:24" x14ac:dyDescent="0.2">
      <c r="A8" s="2" t="s">
        <v>824</v>
      </c>
      <c r="B8" s="8">
        <v>1.627490183064197E-2</v>
      </c>
      <c r="C8" s="2"/>
      <c r="E8" s="3"/>
      <c r="F8" s="5"/>
      <c r="G8" s="5"/>
      <c r="X8" s="1"/>
    </row>
    <row r="9" spans="1:24" x14ac:dyDescent="0.2">
      <c r="A9" s="2" t="s">
        <v>737</v>
      </c>
      <c r="B9" s="8">
        <v>4.8661267972889645E-2</v>
      </c>
      <c r="C9" s="2"/>
      <c r="E9" s="3"/>
      <c r="X9" s="1"/>
    </row>
    <row r="10" spans="1:24" x14ac:dyDescent="0.2">
      <c r="A10" s="2" t="s">
        <v>738</v>
      </c>
      <c r="B10" s="8">
        <v>3.3276269756998308E-2</v>
      </c>
      <c r="C10" s="2"/>
      <c r="E10" s="2"/>
    </row>
    <row r="11" spans="1:24" x14ac:dyDescent="0.2">
      <c r="A11" s="2" t="s">
        <v>739</v>
      </c>
      <c r="B11" s="8">
        <v>2.129388352479368E-2</v>
      </c>
      <c r="C11" s="2"/>
      <c r="E11" s="1"/>
      <c r="X11" s="1"/>
    </row>
    <row r="12" spans="1:24" x14ac:dyDescent="0.2">
      <c r="A12" s="2" t="s">
        <v>825</v>
      </c>
      <c r="B12" s="8">
        <v>1.4587456161338956E-2</v>
      </c>
      <c r="C12" s="2"/>
      <c r="X12" s="1"/>
    </row>
    <row r="13" spans="1:24" x14ac:dyDescent="0.2">
      <c r="A13" s="2" t="s">
        <v>740</v>
      </c>
      <c r="B13" s="8">
        <v>4.1831668617001057E-2</v>
      </c>
      <c r="C13" s="2"/>
      <c r="E13" s="1"/>
      <c r="X13" s="1"/>
    </row>
    <row r="14" spans="1:24" x14ac:dyDescent="0.2">
      <c r="A14" s="2" t="s">
        <v>741</v>
      </c>
      <c r="B14" s="8">
        <v>2.6280295902557062E-2</v>
      </c>
      <c r="C14" s="2"/>
      <c r="X14" s="1"/>
    </row>
    <row r="15" spans="1:24" x14ac:dyDescent="0.2">
      <c r="A15" s="2" t="s">
        <v>742</v>
      </c>
      <c r="B15" s="8">
        <v>2.4976105550795866E-2</v>
      </c>
      <c r="C15" s="2"/>
    </row>
    <row r="16" spans="1:24" x14ac:dyDescent="0.2">
      <c r="A16" s="2" t="s">
        <v>826</v>
      </c>
      <c r="B16" s="8">
        <v>3.4195650496275146E-3</v>
      </c>
      <c r="C16" s="2"/>
    </row>
    <row r="17" spans="1:24" x14ac:dyDescent="0.2">
      <c r="A17" s="2" t="s">
        <v>743</v>
      </c>
      <c r="B17" s="8">
        <v>8.4366078658749445E-4</v>
      </c>
      <c r="C17" s="2"/>
      <c r="X17" s="1"/>
    </row>
    <row r="18" spans="1:24" x14ac:dyDescent="0.2">
      <c r="A18" s="2" t="s">
        <v>744</v>
      </c>
      <c r="B18" s="8">
        <v>1.0432147920388841E-3</v>
      </c>
      <c r="C18" s="2"/>
    </row>
    <row r="19" spans="1:24" x14ac:dyDescent="0.2">
      <c r="A19" s="2" t="s">
        <v>745</v>
      </c>
      <c r="B19" s="8">
        <v>1.7237305419512353E-3</v>
      </c>
      <c r="C19" s="2"/>
      <c r="X19" s="1"/>
    </row>
    <row r="20" spans="1:24" x14ac:dyDescent="0.2">
      <c r="A20" s="2" t="s">
        <v>746</v>
      </c>
      <c r="B20" s="8">
        <v>5.5026227866881621E-3</v>
      </c>
      <c r="C20" s="2"/>
      <c r="E20" s="1"/>
      <c r="X20" s="1"/>
    </row>
    <row r="21" spans="1:24" x14ac:dyDescent="0.2">
      <c r="A21" s="2" t="s">
        <v>747</v>
      </c>
      <c r="B21" s="8">
        <v>1.4107108127778873E-2</v>
      </c>
      <c r="C21" s="2"/>
      <c r="E21" s="1"/>
    </row>
    <row r="22" spans="1:24" x14ac:dyDescent="0.2">
      <c r="A22" s="2" t="s">
        <v>748</v>
      </c>
      <c r="B22" s="8">
        <v>1.962900141532347E-2</v>
      </c>
      <c r="C22" s="2"/>
      <c r="E22" s="1"/>
      <c r="X22" s="1"/>
    </row>
    <row r="23" spans="1:24" x14ac:dyDescent="0.2">
      <c r="A23" s="2" t="s">
        <v>749</v>
      </c>
      <c r="B23" s="8">
        <v>1.857890604058432E-2</v>
      </c>
      <c r="C23" s="2"/>
      <c r="E23" s="1"/>
      <c r="X23" s="1"/>
    </row>
    <row r="24" spans="1:24" x14ac:dyDescent="0.2">
      <c r="A24" s="2" t="s">
        <v>750</v>
      </c>
      <c r="B24" s="8">
        <v>1.4582657979427394E-2</v>
      </c>
      <c r="C24" s="2"/>
    </row>
    <row r="25" spans="1:24" x14ac:dyDescent="0.2">
      <c r="A25" s="2" t="s">
        <v>751</v>
      </c>
      <c r="B25" s="8">
        <v>2.4362206465031767E-3</v>
      </c>
      <c r="C25" s="2"/>
    </row>
    <row r="26" spans="1:24" x14ac:dyDescent="0.2">
      <c r="A26" s="2" t="s">
        <v>752</v>
      </c>
      <c r="B26" s="8">
        <v>1.7418866873124928E-2</v>
      </c>
      <c r="C26" s="2"/>
      <c r="E26" s="1"/>
    </row>
    <row r="27" spans="1:24" x14ac:dyDescent="0.2">
      <c r="A27" s="2" t="s">
        <v>753</v>
      </c>
      <c r="B27" s="8">
        <v>2.7613026926612935E-2</v>
      </c>
      <c r="C27" s="2"/>
      <c r="E27" s="1"/>
      <c r="X27" s="1"/>
    </row>
    <row r="28" spans="1:24" x14ac:dyDescent="0.2">
      <c r="A28" s="2" t="s">
        <v>754</v>
      </c>
      <c r="B28" s="8">
        <v>3.7638793889018834E-2</v>
      </c>
      <c r="C28" s="2"/>
      <c r="E28" s="1"/>
      <c r="X28" s="1"/>
    </row>
    <row r="29" spans="1:24" x14ac:dyDescent="0.2">
      <c r="A29" s="2" t="s">
        <v>755</v>
      </c>
      <c r="B29" s="8">
        <v>4.0441006368734857E-2</v>
      </c>
      <c r="C29" s="2"/>
      <c r="E29" s="1"/>
      <c r="X29" s="1"/>
    </row>
    <row r="30" spans="1:24" x14ac:dyDescent="0.2">
      <c r="A30" s="2" t="s">
        <v>848</v>
      </c>
      <c r="B30" s="8">
        <v>4.7851363340724856E-3</v>
      </c>
      <c r="C30" s="2"/>
      <c r="X30" s="1"/>
    </row>
    <row r="31" spans="1:24" x14ac:dyDescent="0.2">
      <c r="A31" s="2" t="s">
        <v>756</v>
      </c>
      <c r="B31" s="8">
        <v>3.8070676763621018E-2</v>
      </c>
      <c r="C31" s="2"/>
    </row>
    <row r="32" spans="1:24" x14ac:dyDescent="0.2">
      <c r="A32" s="2" t="s">
        <v>757</v>
      </c>
      <c r="B32" s="8">
        <v>1.6826726441585279E-2</v>
      </c>
      <c r="C32" s="2"/>
      <c r="E32" s="1"/>
    </row>
    <row r="33" spans="1:24" x14ac:dyDescent="0.2">
      <c r="A33" s="2" t="s">
        <v>758</v>
      </c>
      <c r="B33" s="8">
        <v>2.319227215754768E-2</v>
      </c>
      <c r="C33" s="2"/>
      <c r="E33" s="1"/>
    </row>
    <row r="34" spans="1:24" x14ac:dyDescent="0.2">
      <c r="A34" s="2" t="s">
        <v>759</v>
      </c>
      <c r="B34" s="8">
        <v>1.4162829369350115E-2</v>
      </c>
      <c r="C34" s="2"/>
    </row>
    <row r="35" spans="1:24" x14ac:dyDescent="0.2">
      <c r="A35" s="2" t="s">
        <v>760</v>
      </c>
      <c r="B35" s="8">
        <v>3.0755678786251774E-3</v>
      </c>
      <c r="C35" s="2"/>
      <c r="E35" s="1"/>
      <c r="X35" s="1"/>
    </row>
    <row r="36" spans="1:24" x14ac:dyDescent="0.2">
      <c r="A36" s="2" t="s">
        <v>761</v>
      </c>
      <c r="B36" s="8">
        <v>1.1203605154777331E-3</v>
      </c>
      <c r="C36" s="2"/>
      <c r="E36" s="1"/>
      <c r="X36" s="1"/>
    </row>
    <row r="37" spans="1:24" x14ac:dyDescent="0.2">
      <c r="A37" s="2" t="s">
        <v>762</v>
      </c>
      <c r="B37" s="8">
        <v>3.0376719435561174E-3</v>
      </c>
      <c r="C37" s="2"/>
      <c r="X37" s="1"/>
    </row>
    <row r="38" spans="1:24" x14ac:dyDescent="0.2">
      <c r="A38" s="2" t="s">
        <v>763</v>
      </c>
      <c r="B38" s="8">
        <v>2.2887312076515433E-2</v>
      </c>
      <c r="C38" s="2"/>
      <c r="X38" s="1"/>
    </row>
    <row r="39" spans="1:24" x14ac:dyDescent="0.2">
      <c r="A39" s="2" t="s">
        <v>764</v>
      </c>
      <c r="B39" s="8">
        <v>3.782203384716129E-2</v>
      </c>
      <c r="C39" s="2"/>
      <c r="E39" s="1"/>
      <c r="X39" s="1"/>
    </row>
    <row r="40" spans="1:24" x14ac:dyDescent="0.2">
      <c r="A40" s="2" t="s">
        <v>765</v>
      </c>
      <c r="B40" s="8">
        <v>3.2038518243967411E-2</v>
      </c>
      <c r="C40" s="2"/>
      <c r="E40" s="1"/>
      <c r="X40" s="1"/>
    </row>
    <row r="41" spans="1:24" x14ac:dyDescent="0.2">
      <c r="A41" s="2" t="s">
        <v>766</v>
      </c>
      <c r="B41" s="8">
        <v>2.8401110706785995E-2</v>
      </c>
      <c r="C41" s="2"/>
      <c r="E41" s="1"/>
      <c r="X41" s="1"/>
    </row>
    <row r="42" spans="1:24" x14ac:dyDescent="0.2">
      <c r="A42" s="2" t="s">
        <v>767</v>
      </c>
      <c r="B42" s="8">
        <v>1.2311002899158745E-2</v>
      </c>
      <c r="C42" s="2"/>
      <c r="X42" s="1"/>
    </row>
    <row r="43" spans="1:24" x14ac:dyDescent="0.2">
      <c r="A43" s="2" t="s">
        <v>768</v>
      </c>
      <c r="B43" s="8">
        <v>3.4148405097463468E-2</v>
      </c>
      <c r="C43" s="2"/>
    </row>
    <row r="44" spans="1:24" x14ac:dyDescent="0.2">
      <c r="A44" s="2" t="s">
        <v>769</v>
      </c>
      <c r="B44" s="8">
        <v>1.4888507581505337E-2</v>
      </c>
      <c r="C44" s="2"/>
      <c r="E44" s="1"/>
      <c r="X44" s="1"/>
    </row>
    <row r="45" spans="1:24" x14ac:dyDescent="0.2">
      <c r="A45" s="2" t="s">
        <v>770</v>
      </c>
      <c r="B45" s="8">
        <v>2.1038281155650099E-2</v>
      </c>
      <c r="C45" s="2"/>
      <c r="E45" s="1"/>
    </row>
    <row r="46" spans="1:24" x14ac:dyDescent="0.2">
      <c r="A46" s="2" t="s">
        <v>771</v>
      </c>
      <c r="B46" s="8">
        <v>1.1772436318274496E-2</v>
      </c>
      <c r="C46" s="2"/>
      <c r="E46" s="1"/>
    </row>
    <row r="47" spans="1:24" x14ac:dyDescent="0.2">
      <c r="A47" s="2" t="s">
        <v>772</v>
      </c>
      <c r="B47" s="8">
        <v>1.4532898013288352E-2</v>
      </c>
      <c r="C47" s="2"/>
      <c r="E47" s="1"/>
      <c r="X47" s="1"/>
    </row>
    <row r="48" spans="1:24" x14ac:dyDescent="0.2">
      <c r="A48" s="2" t="s">
        <v>773</v>
      </c>
      <c r="B48" s="8">
        <v>9.9581162142837899E-3</v>
      </c>
      <c r="C48" s="2"/>
      <c r="E48" s="1"/>
    </row>
    <row r="49" spans="1:24" x14ac:dyDescent="0.2">
      <c r="A49" s="2" t="s">
        <v>774</v>
      </c>
      <c r="B49" s="8">
        <v>1.1810267159212044E-2</v>
      </c>
      <c r="C49" s="2"/>
      <c r="E49" s="1"/>
      <c r="X49" s="1"/>
    </row>
    <row r="50" spans="1:24" x14ac:dyDescent="0.2">
      <c r="A50" s="2" t="s">
        <v>775</v>
      </c>
      <c r="B50" s="8">
        <v>1.2486570133165759E-2</v>
      </c>
      <c r="C50" s="2"/>
      <c r="E50" s="1"/>
    </row>
    <row r="51" spans="1:24" x14ac:dyDescent="0.2">
      <c r="A51" s="2" t="s">
        <v>776</v>
      </c>
      <c r="B51" s="8">
        <v>2.1366514519211444E-2</v>
      </c>
      <c r="C51" s="2"/>
      <c r="E51" s="1"/>
    </row>
    <row r="52" spans="1:24" x14ac:dyDescent="0.2">
      <c r="A52" s="2" t="s">
        <v>777</v>
      </c>
      <c r="B52" s="8">
        <v>8.5386650195240239E-3</v>
      </c>
      <c r="C52" s="2"/>
      <c r="E52" s="1"/>
      <c r="X52" s="1"/>
    </row>
    <row r="53" spans="1:24" x14ac:dyDescent="0.2">
      <c r="A53" s="2" t="s">
        <v>778</v>
      </c>
      <c r="B53" s="8">
        <v>4.8799082681252699E-3</v>
      </c>
      <c r="C53" s="2"/>
      <c r="X53" s="1"/>
    </row>
    <row r="54" spans="1:24" x14ac:dyDescent="0.2">
      <c r="A54" s="2" t="s">
        <v>779</v>
      </c>
      <c r="B54" s="8">
        <v>1.0768340653595223E-2</v>
      </c>
      <c r="C54" s="2"/>
      <c r="X54" s="1"/>
    </row>
    <row r="55" spans="1:24" x14ac:dyDescent="0.2">
      <c r="A55" s="2" t="s">
        <v>780</v>
      </c>
      <c r="B55" s="8">
        <v>1.3836560787085467E-2</v>
      </c>
      <c r="C55" s="2"/>
      <c r="X55" s="1"/>
    </row>
    <row r="56" spans="1:24" x14ac:dyDescent="0.2">
      <c r="A56" s="2" t="s">
        <v>781</v>
      </c>
      <c r="B56" s="8">
        <v>1.4548923445307883E-2</v>
      </c>
      <c r="C56" s="2"/>
      <c r="X56" s="1"/>
    </row>
    <row r="57" spans="1:24" x14ac:dyDescent="0.2">
      <c r="A57" s="2" t="s">
        <v>782</v>
      </c>
      <c r="B57" s="8">
        <v>1.4480668791060877E-2</v>
      </c>
      <c r="C57" s="2"/>
    </row>
    <row r="58" spans="1:24" x14ac:dyDescent="0.2">
      <c r="A58" s="2" t="s">
        <v>783</v>
      </c>
      <c r="B58" s="8">
        <v>1.0902253114695474E-2</v>
      </c>
      <c r="C58" s="2"/>
      <c r="X58" s="1"/>
    </row>
    <row r="59" spans="1:24" x14ac:dyDescent="0.2">
      <c r="A59" s="2" t="s">
        <v>784</v>
      </c>
      <c r="B59" s="8">
        <v>9.8229671411770962E-3</v>
      </c>
      <c r="C59" s="2"/>
      <c r="X59" s="1"/>
    </row>
    <row r="60" spans="1:24" x14ac:dyDescent="0.2">
      <c r="A60" s="2" t="s">
        <v>785</v>
      </c>
      <c r="B60" s="8">
        <v>4.2105744035039524E-3</v>
      </c>
      <c r="C60" s="2"/>
      <c r="E60" s="1"/>
      <c r="X60" s="1"/>
    </row>
    <row r="61" spans="1:24" x14ac:dyDescent="0.2">
      <c r="A61" s="2" t="s">
        <v>786</v>
      </c>
      <c r="B61" s="8">
        <v>3.3711645971484646E-3</v>
      </c>
      <c r="C61" s="2"/>
      <c r="E61" s="1"/>
      <c r="X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AAD64-D467-49A5-B6A5-A56DE70563C3}">
  <sheetPr codeName="Hoja3"/>
  <dimension ref="A1:H8"/>
  <sheetViews>
    <sheetView tabSelected="1" workbookViewId="0">
      <selection activeCell="F12" sqref="F12"/>
    </sheetView>
  </sheetViews>
  <sheetFormatPr baseColWidth="10" defaultRowHeight="14.25" x14ac:dyDescent="0.2"/>
  <cols>
    <col min="1" max="1" width="13.125" bestFit="1" customWidth="1"/>
    <col min="5" max="5" width="25.25" bestFit="1" customWidth="1"/>
    <col min="6" max="6" width="18.875" bestFit="1" customWidth="1"/>
  </cols>
  <sheetData>
    <row r="1" spans="1:8" ht="15" x14ac:dyDescent="0.25">
      <c r="A1" s="6" t="s">
        <v>728</v>
      </c>
      <c r="D1" s="6" t="s">
        <v>34</v>
      </c>
      <c r="E1" s="6" t="s">
        <v>729</v>
      </c>
      <c r="F1" s="6" t="s">
        <v>730</v>
      </c>
    </row>
    <row r="2" spans="1:8" x14ac:dyDescent="0.2">
      <c r="A2" s="7" t="s">
        <v>493</v>
      </c>
      <c r="D2" s="2" t="s">
        <v>493</v>
      </c>
      <c r="E2" s="9">
        <v>2.2957908559431226E-2</v>
      </c>
      <c r="F2" s="9">
        <v>7.8087954679337893E-3</v>
      </c>
      <c r="G2" s="17">
        <v>3.1026966100066194E-2</v>
      </c>
      <c r="H2" s="10">
        <f>+E2-G2</f>
        <v>-8.0690575406349684E-3</v>
      </c>
    </row>
    <row r="3" spans="1:8" x14ac:dyDescent="0.2">
      <c r="A3" s="7" t="s">
        <v>501</v>
      </c>
      <c r="D3" s="2" t="s">
        <v>501</v>
      </c>
      <c r="E3" s="9">
        <v>0.2940006387960688</v>
      </c>
      <c r="F3" s="9">
        <v>9.9999999993782451E-2</v>
      </c>
      <c r="G3" s="17">
        <v>0.29883105130801746</v>
      </c>
      <c r="H3" s="10">
        <f t="shared" ref="H3:H8" si="0">+E3-G3</f>
        <v>-4.8304125119486563E-3</v>
      </c>
    </row>
    <row r="4" spans="1:8" x14ac:dyDescent="0.2">
      <c r="A4" s="7" t="s">
        <v>544</v>
      </c>
      <c r="D4" s="2" t="s">
        <v>544</v>
      </c>
      <c r="E4" s="9">
        <v>7.4836516996305405E-2</v>
      </c>
      <c r="F4" s="9">
        <v>2.5454542309196193E-2</v>
      </c>
      <c r="G4" s="17">
        <v>7.3141096073199741E-2</v>
      </c>
      <c r="H4" s="10">
        <f t="shared" si="0"/>
        <v>1.6954209231056644E-3</v>
      </c>
    </row>
    <row r="5" spans="1:8" x14ac:dyDescent="0.2">
      <c r="A5" s="7" t="s">
        <v>565</v>
      </c>
      <c r="D5" s="2" t="s">
        <v>565</v>
      </c>
      <c r="E5" s="9">
        <v>0.22738293546132718</v>
      </c>
      <c r="F5" s="9">
        <v>7.7340966461270824E-2</v>
      </c>
      <c r="G5" s="17">
        <v>0.20767481214493186</v>
      </c>
      <c r="H5" s="10">
        <f t="shared" si="0"/>
        <v>1.9708123316395321E-2</v>
      </c>
    </row>
    <row r="6" spans="1:8" x14ac:dyDescent="0.2">
      <c r="A6" s="7" t="s">
        <v>601</v>
      </c>
      <c r="D6" s="2" t="s">
        <v>601</v>
      </c>
      <c r="E6" s="9">
        <v>0.29400063898516765</v>
      </c>
      <c r="F6" s="9">
        <v>0.10000000005810167</v>
      </c>
      <c r="G6" s="17">
        <v>0.29883105189525461</v>
      </c>
      <c r="H6" s="10">
        <f t="shared" si="0"/>
        <v>-4.8304129100869564E-3</v>
      </c>
    </row>
    <row r="7" spans="1:8" x14ac:dyDescent="0.2">
      <c r="A7" s="7" t="s">
        <v>652</v>
      </c>
      <c r="D7" s="2" t="s">
        <v>652</v>
      </c>
      <c r="E7" s="9">
        <v>7.9239622201047286E-2</v>
      </c>
      <c r="F7" s="9">
        <v>2.6952193886586914E-2</v>
      </c>
      <c r="G7" s="17">
        <v>8.2096403168517143E-2</v>
      </c>
      <c r="H7" s="10">
        <f t="shared" si="0"/>
        <v>-2.8567809674698574E-3</v>
      </c>
    </row>
    <row r="8" spans="1:8" x14ac:dyDescent="0.2">
      <c r="A8" s="7" t="s">
        <v>675</v>
      </c>
      <c r="D8" s="2" t="s">
        <v>675</v>
      </c>
      <c r="E8" s="9">
        <v>7.581739000652417E-3</v>
      </c>
      <c r="F8" s="9">
        <v>2.5788171859857873E-3</v>
      </c>
      <c r="G8" s="17">
        <v>8.3986193100128604E-3</v>
      </c>
      <c r="H8" s="10">
        <f t="shared" si="0"/>
        <v>-8.1688030936044338E-4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JPM_COMP_GBI_EMGLOBAL_DIV</vt:lpstr>
      <vt:lpstr>GBI_PORT</vt:lpstr>
      <vt:lpstr>Country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cp:lastPrinted>2017-11-16T12:49:51Z</cp:lastPrinted>
  <dcterms:created xsi:type="dcterms:W3CDTF">2017-11-15T21:34:09Z</dcterms:created>
  <dcterms:modified xsi:type="dcterms:W3CDTF">2018-04-23T15:36:38Z</dcterms:modified>
</cp:coreProperties>
</file>
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865" windowHeight="7815"/>
  </bookViews>
  <sheets>
    <sheet name="cartera ejemplo" sheetId="4" r:id="rId1"/>
    <sheet name="JPM_COMP_GBI_EMGLOBAL_DIV" sheetId="1" r:id="rId2"/>
    <sheet name="GBI_PORT" sheetId="2" r:id="rId3"/>
    <sheet name="Country Codes" sheetId="3" r:id="rId4"/>
  </sheets>
  <definedNames>
    <definedName name="_xlnm._FilterDatabase" localSheetId="1" hidden="1">JPM_COMP_GBI_EMGLOBAL_DIV!$A$2:$AO$220</definedName>
  </definedNames>
  <calcPr calcId="145621"/>
  <fileRecoveryPr autoRecover="0"/>
</workbook>
</file>

<file path=xl/calcChain.xml><?xml version="1.0" encoding="utf-8"?>
<calcChain xmlns="http://schemas.openxmlformats.org/spreadsheetml/2006/main">
  <c r="I60" i="4" l="1"/>
  <c r="G60" i="4"/>
  <c r="I59" i="4"/>
  <c r="G59" i="4"/>
  <c r="I58" i="4"/>
  <c r="G58" i="4"/>
  <c r="I57" i="4"/>
  <c r="I56" i="4"/>
  <c r="I55" i="4"/>
  <c r="G55" i="4"/>
  <c r="I54" i="4"/>
  <c r="I53" i="4"/>
  <c r="I52" i="4"/>
  <c r="G52" i="4"/>
  <c r="I51" i="4"/>
  <c r="I50" i="4"/>
  <c r="I49" i="4"/>
  <c r="I48" i="4"/>
  <c r="G48" i="4"/>
  <c r="I47" i="4"/>
  <c r="I46" i="4"/>
  <c r="I45" i="4"/>
  <c r="I44" i="4"/>
  <c r="G44" i="4"/>
  <c r="I43" i="4"/>
  <c r="I42" i="4"/>
  <c r="G42" i="4"/>
  <c r="I41" i="4"/>
  <c r="I40" i="4"/>
  <c r="G40" i="4"/>
  <c r="I39" i="4"/>
  <c r="G39" i="4"/>
  <c r="I38" i="4"/>
  <c r="G38" i="4"/>
  <c r="I37" i="4"/>
  <c r="I36" i="4"/>
  <c r="G36" i="4"/>
  <c r="I35" i="4"/>
  <c r="I34" i="4"/>
  <c r="I33" i="4"/>
  <c r="I32" i="4"/>
  <c r="I31" i="4"/>
  <c r="I30" i="4"/>
  <c r="I29" i="4"/>
  <c r="G29" i="4"/>
  <c r="I28" i="4"/>
  <c r="G28" i="4"/>
  <c r="I27" i="4"/>
  <c r="G27" i="4"/>
  <c r="I26" i="4"/>
  <c r="G26" i="4"/>
  <c r="I25" i="4"/>
  <c r="I24" i="4"/>
  <c r="G24" i="4"/>
  <c r="I23" i="4"/>
  <c r="I22" i="4"/>
  <c r="I21" i="4"/>
  <c r="I20" i="4"/>
  <c r="G20" i="4"/>
  <c r="I19" i="4"/>
  <c r="G19" i="4"/>
  <c r="I18" i="4"/>
  <c r="I17" i="4"/>
  <c r="G17" i="4"/>
  <c r="I16" i="4"/>
  <c r="I15" i="4"/>
  <c r="I14" i="4"/>
  <c r="I13" i="4"/>
  <c r="G13" i="4"/>
  <c r="I12" i="4"/>
  <c r="I11" i="4"/>
  <c r="G11" i="4"/>
  <c r="I10" i="4"/>
  <c r="I9" i="4"/>
  <c r="G9" i="4"/>
  <c r="I8" i="4"/>
  <c r="I7" i="4"/>
  <c r="I6" i="4"/>
  <c r="I5" i="4"/>
  <c r="G5" i="4"/>
  <c r="I4" i="4"/>
  <c r="I3" i="4"/>
  <c r="I2" i="4"/>
  <c r="G33" i="4" l="1"/>
  <c r="G49" i="4"/>
  <c r="J49" i="4" s="1"/>
  <c r="K49" i="4" s="1"/>
  <c r="G51" i="4"/>
  <c r="J39" i="4"/>
  <c r="K39" i="4" s="1"/>
  <c r="G22" i="4"/>
  <c r="J55" i="4"/>
  <c r="K55" i="4" s="1"/>
  <c r="G32" i="4"/>
  <c r="G30" i="4"/>
  <c r="J30" i="4" s="1"/>
  <c r="K30" i="4" s="1"/>
  <c r="G54" i="4"/>
  <c r="J54" i="4" s="1"/>
  <c r="K54" i="4" s="1"/>
  <c r="G56" i="4"/>
  <c r="J56" i="4" s="1"/>
  <c r="K56" i="4" s="1"/>
  <c r="G23" i="4"/>
  <c r="G3" i="4"/>
  <c r="J3" i="4" s="1"/>
  <c r="K3" i="4" s="1"/>
  <c r="G25" i="4"/>
  <c r="G57" i="4"/>
  <c r="J57" i="4" s="1"/>
  <c r="K57" i="4" s="1"/>
  <c r="G31" i="4"/>
  <c r="G46" i="4"/>
  <c r="J46" i="4" s="1"/>
  <c r="K46" i="4" s="1"/>
  <c r="J59" i="4"/>
  <c r="K59" i="4" s="1"/>
  <c r="G4" i="4"/>
  <c r="J4" i="4" s="1"/>
  <c r="K4" i="4" s="1"/>
  <c r="G8" i="4"/>
  <c r="G10" i="4"/>
  <c r="J10" i="4" s="1"/>
  <c r="K10" i="4" s="1"/>
  <c r="G12" i="4"/>
  <c r="G14" i="4"/>
  <c r="J14" i="4" s="1"/>
  <c r="K14" i="4" s="1"/>
  <c r="G16" i="4"/>
  <c r="G18" i="4"/>
  <c r="J18" i="4" s="1"/>
  <c r="K18" i="4" s="1"/>
  <c r="G35" i="4"/>
  <c r="G37" i="4"/>
  <c r="J37" i="4" s="1"/>
  <c r="K37" i="4" s="1"/>
  <c r="G50" i="4"/>
  <c r="G2" i="4"/>
  <c r="J2" i="4" s="1"/>
  <c r="K2" i="4" s="1"/>
  <c r="G6" i="4"/>
  <c r="G41" i="4"/>
  <c r="G43" i="4"/>
  <c r="G45" i="4"/>
  <c r="J45" i="4" s="1"/>
  <c r="K45" i="4" s="1"/>
  <c r="G47" i="4"/>
  <c r="J47" i="4" s="1"/>
  <c r="K47" i="4" s="1"/>
  <c r="J58" i="4"/>
  <c r="K58" i="4" s="1"/>
  <c r="G7" i="4"/>
  <c r="G15" i="4"/>
  <c r="G21" i="4"/>
  <c r="G34" i="4"/>
  <c r="J34" i="4" s="1"/>
  <c r="K34" i="4" s="1"/>
  <c r="G53" i="4"/>
  <c r="J60" i="4"/>
  <c r="K60" i="4" s="1"/>
  <c r="J28" i="4"/>
  <c r="K28" i="4" s="1"/>
  <c r="J24" i="4"/>
  <c r="K24" i="4" s="1"/>
  <c r="J40" i="4"/>
  <c r="K40" i="4" s="1"/>
  <c r="J48" i="4"/>
  <c r="K48" i="4" s="1"/>
  <c r="J32" i="4"/>
  <c r="K32" i="4" s="1"/>
  <c r="J36" i="4"/>
  <c r="K36" i="4" s="1"/>
  <c r="J44" i="4"/>
  <c r="K44" i="4" s="1"/>
  <c r="J20" i="4"/>
  <c r="K20" i="4" s="1"/>
  <c r="J52" i="4"/>
  <c r="K52" i="4" s="1"/>
  <c r="J5" i="4"/>
  <c r="K5" i="4" s="1"/>
  <c r="J11" i="4"/>
  <c r="K11" i="4" s="1"/>
  <c r="J19" i="4"/>
  <c r="K19" i="4" s="1"/>
  <c r="J38" i="4"/>
  <c r="K38" i="4" s="1"/>
  <c r="J51" i="4"/>
  <c r="K51" i="4" s="1"/>
  <c r="J29" i="4"/>
  <c r="K29" i="4" s="1"/>
  <c r="J42" i="4"/>
  <c r="K42" i="4" s="1"/>
  <c r="J33" i="4"/>
  <c r="K33" i="4" s="1"/>
  <c r="J27" i="4"/>
  <c r="K27" i="4" s="1"/>
  <c r="J8" i="4"/>
  <c r="K8" i="4" s="1"/>
  <c r="J16" i="4"/>
  <c r="K16" i="4" s="1"/>
  <c r="J31" i="4"/>
  <c r="K31" i="4" s="1"/>
  <c r="J50" i="4"/>
  <c r="K50" i="4" s="1"/>
  <c r="J26" i="4"/>
  <c r="K26" i="4" s="1"/>
  <c r="J41" i="4"/>
  <c r="K41" i="4" s="1"/>
  <c r="J9" i="4"/>
  <c r="K9" i="4" s="1"/>
  <c r="J13" i="4"/>
  <c r="K13" i="4" s="1"/>
  <c r="J17" i="4"/>
  <c r="K17" i="4" s="1"/>
  <c r="J53" i="4"/>
  <c r="K53" i="4" s="1"/>
  <c r="E2" i="2"/>
  <c r="F2" i="2"/>
  <c r="H2" i="2" s="1"/>
  <c r="J2" i="2" s="1"/>
  <c r="G2" i="2"/>
  <c r="K2" i="2"/>
  <c r="E3" i="2"/>
  <c r="F3" i="2"/>
  <c r="H3" i="2" s="1"/>
  <c r="G3" i="2"/>
  <c r="K3" i="2"/>
  <c r="E4" i="2"/>
  <c r="F4" i="2"/>
  <c r="H4" i="2" s="1"/>
  <c r="G4" i="2"/>
  <c r="K4" i="2"/>
  <c r="E5" i="2"/>
  <c r="F5" i="2"/>
  <c r="H5" i="2" s="1"/>
  <c r="J5" i="2" s="1"/>
  <c r="G5" i="2"/>
  <c r="K5" i="2"/>
  <c r="E6" i="2"/>
  <c r="F6" i="2"/>
  <c r="G6" i="2"/>
  <c r="K6" i="2"/>
  <c r="E7" i="2"/>
  <c r="F7" i="2"/>
  <c r="H7" i="2" s="1"/>
  <c r="J7" i="2" s="1"/>
  <c r="G7" i="2"/>
  <c r="K7" i="2"/>
  <c r="E8" i="2"/>
  <c r="F8" i="2"/>
  <c r="G8" i="2"/>
  <c r="K8" i="2"/>
  <c r="E9" i="2"/>
  <c r="F9" i="2"/>
  <c r="G9" i="2"/>
  <c r="K9" i="2"/>
  <c r="E10" i="2"/>
  <c r="F10" i="2"/>
  <c r="G10" i="2"/>
  <c r="K10" i="2"/>
  <c r="E11" i="2"/>
  <c r="F11" i="2"/>
  <c r="G11" i="2"/>
  <c r="K11" i="2"/>
  <c r="E12" i="2"/>
  <c r="F12" i="2"/>
  <c r="G12" i="2"/>
  <c r="K12" i="2"/>
  <c r="E13" i="2"/>
  <c r="F13" i="2"/>
  <c r="G13" i="2"/>
  <c r="K13" i="2"/>
  <c r="E14" i="2"/>
  <c r="F14" i="2"/>
  <c r="G14" i="2"/>
  <c r="K14" i="2"/>
  <c r="E15" i="2"/>
  <c r="F15" i="2"/>
  <c r="G15" i="2"/>
  <c r="K15" i="2"/>
  <c r="E16" i="2"/>
  <c r="F16" i="2"/>
  <c r="G16" i="2"/>
  <c r="K16" i="2"/>
  <c r="E17" i="2"/>
  <c r="F17" i="2"/>
  <c r="G17" i="2"/>
  <c r="K17" i="2"/>
  <c r="E18" i="2"/>
  <c r="F18" i="2"/>
  <c r="G18" i="2"/>
  <c r="K18" i="2"/>
  <c r="E19" i="2"/>
  <c r="F19" i="2"/>
  <c r="G19" i="2"/>
  <c r="K19" i="2"/>
  <c r="E20" i="2"/>
  <c r="F20" i="2"/>
  <c r="G20" i="2"/>
  <c r="K20" i="2"/>
  <c r="E21" i="2"/>
  <c r="F21" i="2"/>
  <c r="G21" i="2"/>
  <c r="K21" i="2"/>
  <c r="E22" i="2"/>
  <c r="F22" i="2"/>
  <c r="G22" i="2"/>
  <c r="K22" i="2"/>
  <c r="E23" i="2"/>
  <c r="F23" i="2"/>
  <c r="G23" i="2"/>
  <c r="K23" i="2"/>
  <c r="E24" i="2"/>
  <c r="F24" i="2"/>
  <c r="G24" i="2"/>
  <c r="K24" i="2"/>
  <c r="E25" i="2"/>
  <c r="F25" i="2"/>
  <c r="G25" i="2"/>
  <c r="K25" i="2"/>
  <c r="E26" i="2"/>
  <c r="F26" i="2"/>
  <c r="G26" i="2"/>
  <c r="K26" i="2"/>
  <c r="E27" i="2"/>
  <c r="F27" i="2"/>
  <c r="G27" i="2"/>
  <c r="K27" i="2"/>
  <c r="E28" i="2"/>
  <c r="F28" i="2"/>
  <c r="G28" i="2"/>
  <c r="K28" i="2"/>
  <c r="E29" i="2"/>
  <c r="F29" i="2"/>
  <c r="G29" i="2"/>
  <c r="K29" i="2"/>
  <c r="E30" i="2"/>
  <c r="F30" i="2"/>
  <c r="G30" i="2"/>
  <c r="K30" i="2"/>
  <c r="E31" i="2"/>
  <c r="F31" i="2"/>
  <c r="G31" i="2"/>
  <c r="K31" i="2"/>
  <c r="E32" i="2"/>
  <c r="F32" i="2"/>
  <c r="G32" i="2"/>
  <c r="K32" i="2"/>
  <c r="E33" i="2"/>
  <c r="F33" i="2"/>
  <c r="G33" i="2"/>
  <c r="K33" i="2"/>
  <c r="E34" i="2"/>
  <c r="F34" i="2"/>
  <c r="G34" i="2"/>
  <c r="K34" i="2"/>
  <c r="E35" i="2"/>
  <c r="F35" i="2"/>
  <c r="G35" i="2"/>
  <c r="K35" i="2"/>
  <c r="E36" i="2"/>
  <c r="F36" i="2"/>
  <c r="G36" i="2"/>
  <c r="K36" i="2"/>
  <c r="E37" i="2"/>
  <c r="F37" i="2"/>
  <c r="G37" i="2"/>
  <c r="K37" i="2"/>
  <c r="E38" i="2"/>
  <c r="F38" i="2"/>
  <c r="G38" i="2"/>
  <c r="K38" i="2"/>
  <c r="E39" i="2"/>
  <c r="F39" i="2"/>
  <c r="G39" i="2"/>
  <c r="K39" i="2"/>
  <c r="E40" i="2"/>
  <c r="F40" i="2"/>
  <c r="G40" i="2"/>
  <c r="K40" i="2"/>
  <c r="E41" i="2"/>
  <c r="F41" i="2"/>
  <c r="G41" i="2"/>
  <c r="K41" i="2"/>
  <c r="E42" i="2"/>
  <c r="F42" i="2"/>
  <c r="G42" i="2"/>
  <c r="K42" i="2"/>
  <c r="E43" i="2"/>
  <c r="F43" i="2"/>
  <c r="G43" i="2"/>
  <c r="K43" i="2"/>
  <c r="E44" i="2"/>
  <c r="F44" i="2"/>
  <c r="G44" i="2"/>
  <c r="K44" i="2"/>
  <c r="E45" i="2"/>
  <c r="F45" i="2"/>
  <c r="G45" i="2"/>
  <c r="K45" i="2"/>
  <c r="E46" i="2"/>
  <c r="F46" i="2"/>
  <c r="G46" i="2"/>
  <c r="K46" i="2"/>
  <c r="E47" i="2"/>
  <c r="F47" i="2"/>
  <c r="G47" i="2"/>
  <c r="K47" i="2"/>
  <c r="E48" i="2"/>
  <c r="F48" i="2"/>
  <c r="G48" i="2"/>
  <c r="K48" i="2"/>
  <c r="E49" i="2"/>
  <c r="F49" i="2"/>
  <c r="G49" i="2"/>
  <c r="K49" i="2"/>
  <c r="E50" i="2"/>
  <c r="F50" i="2"/>
  <c r="G50" i="2"/>
  <c r="K50" i="2"/>
  <c r="E51" i="2"/>
  <c r="F51" i="2"/>
  <c r="G51" i="2"/>
  <c r="K51" i="2"/>
  <c r="E52" i="2"/>
  <c r="F52" i="2"/>
  <c r="G52" i="2"/>
  <c r="K52" i="2"/>
  <c r="E53" i="2"/>
  <c r="F53" i="2"/>
  <c r="G53" i="2"/>
  <c r="K53" i="2"/>
  <c r="E54" i="2"/>
  <c r="F54" i="2"/>
  <c r="G54" i="2"/>
  <c r="K54" i="2"/>
  <c r="E55" i="2"/>
  <c r="F55" i="2"/>
  <c r="G55" i="2"/>
  <c r="K55" i="2"/>
  <c r="E56" i="2"/>
  <c r="F56" i="2"/>
  <c r="G56" i="2"/>
  <c r="K56" i="2"/>
  <c r="E57" i="2"/>
  <c r="F57" i="2"/>
  <c r="G57" i="2"/>
  <c r="K57" i="2"/>
  <c r="E58" i="2"/>
  <c r="F58" i="2"/>
  <c r="G58" i="2"/>
  <c r="K58" i="2"/>
  <c r="E59" i="2"/>
  <c r="F59" i="2"/>
  <c r="G59" i="2"/>
  <c r="K59" i="2"/>
  <c r="E60" i="2"/>
  <c r="F60" i="2"/>
  <c r="G60" i="2"/>
  <c r="K60" i="2"/>
  <c r="J21" i="4" l="1"/>
  <c r="K21" i="4" s="1"/>
  <c r="J23" i="4"/>
  <c r="K23" i="4" s="1"/>
  <c r="J12" i="4"/>
  <c r="K12" i="4" s="1"/>
  <c r="J35" i="4"/>
  <c r="K35" i="4" s="1"/>
  <c r="J25" i="4"/>
  <c r="K25" i="4" s="1"/>
  <c r="J6" i="4"/>
  <c r="K6" i="4" s="1"/>
  <c r="J22" i="4"/>
  <c r="K22" i="4" s="1"/>
  <c r="J15" i="4"/>
  <c r="K15" i="4" s="1"/>
  <c r="J43" i="4"/>
  <c r="K43" i="4" s="1"/>
  <c r="J7" i="4"/>
  <c r="K7" i="4" s="1"/>
  <c r="H35" i="2"/>
  <c r="J35" i="2" s="1"/>
  <c r="H33" i="2"/>
  <c r="J33" i="2" s="1"/>
  <c r="H31" i="2"/>
  <c r="J31" i="2" s="1"/>
  <c r="H29" i="2"/>
  <c r="J29" i="2" s="1"/>
  <c r="H27" i="2"/>
  <c r="J27" i="2" s="1"/>
  <c r="H25" i="2"/>
  <c r="J25" i="2" s="1"/>
  <c r="H23" i="2"/>
  <c r="J23" i="2" s="1"/>
  <c r="H21" i="2"/>
  <c r="J21" i="2" s="1"/>
  <c r="H19" i="2"/>
  <c r="J19" i="2" s="1"/>
  <c r="H17" i="2"/>
  <c r="J17" i="2" s="1"/>
  <c r="H15" i="2"/>
  <c r="J15" i="2" s="1"/>
  <c r="H13" i="2"/>
  <c r="J13" i="2" s="1"/>
  <c r="H11" i="2"/>
  <c r="J11" i="2" s="1"/>
  <c r="H9" i="2"/>
  <c r="J9" i="2" s="1"/>
  <c r="H53" i="2"/>
  <c r="H47" i="2"/>
  <c r="J47" i="2" s="1"/>
  <c r="H41" i="2"/>
  <c r="J41" i="2" s="1"/>
  <c r="H51" i="2"/>
  <c r="H45" i="2"/>
  <c r="J45" i="2" s="1"/>
  <c r="H39" i="2"/>
  <c r="J39" i="2" s="1"/>
  <c r="H55" i="2"/>
  <c r="J55" i="2" s="1"/>
  <c r="H49" i="2"/>
  <c r="H43" i="2"/>
  <c r="J43" i="2" s="1"/>
  <c r="H37" i="2"/>
  <c r="J37" i="2" s="1"/>
  <c r="H56" i="2"/>
  <c r="H50" i="2"/>
  <c r="H44" i="2"/>
  <c r="J44" i="2" s="1"/>
  <c r="H40" i="2"/>
  <c r="J40" i="2" s="1"/>
  <c r="H34" i="2"/>
  <c r="J34" i="2" s="1"/>
  <c r="L7" i="2"/>
  <c r="L5" i="2"/>
  <c r="H57" i="2"/>
  <c r="J57" i="2" s="1"/>
  <c r="H59" i="2"/>
  <c r="H60" i="2"/>
  <c r="J60" i="2" s="1"/>
  <c r="H54" i="2"/>
  <c r="H48" i="2"/>
  <c r="J48" i="2" s="1"/>
  <c r="H38" i="2"/>
  <c r="J38" i="2" s="1"/>
  <c r="H32" i="2"/>
  <c r="J32" i="2" s="1"/>
  <c r="H30" i="2"/>
  <c r="J30" i="2" s="1"/>
  <c r="H28" i="2"/>
  <c r="J28" i="2" s="1"/>
  <c r="H26" i="2"/>
  <c r="J26" i="2" s="1"/>
  <c r="H24" i="2"/>
  <c r="J24" i="2" s="1"/>
  <c r="H22" i="2"/>
  <c r="J22" i="2" s="1"/>
  <c r="H20" i="2"/>
  <c r="J20" i="2" s="1"/>
  <c r="H18" i="2"/>
  <c r="J18" i="2" s="1"/>
  <c r="H16" i="2"/>
  <c r="J16" i="2" s="1"/>
  <c r="H14" i="2"/>
  <c r="J14" i="2" s="1"/>
  <c r="H12" i="2"/>
  <c r="J12" i="2" s="1"/>
  <c r="H10" i="2"/>
  <c r="J10" i="2" s="1"/>
  <c r="H8" i="2"/>
  <c r="J8" i="2" s="1"/>
  <c r="H6" i="2"/>
  <c r="J6" i="2" s="1"/>
  <c r="H58" i="2"/>
  <c r="H52" i="2"/>
  <c r="L52" i="2" s="1"/>
  <c r="M52" i="2" s="1"/>
  <c r="N52" i="2" s="1"/>
  <c r="O52" i="2" s="1"/>
  <c r="H46" i="2"/>
  <c r="J46" i="2" s="1"/>
  <c r="H42" i="2"/>
  <c r="J42" i="2" s="1"/>
  <c r="H36" i="2"/>
  <c r="J36" i="2" s="1"/>
  <c r="L45" i="2"/>
  <c r="M45" i="2" s="1"/>
  <c r="N45" i="2" s="1"/>
  <c r="O45" i="2" s="1"/>
  <c r="L43" i="2"/>
  <c r="M43" i="2" s="1"/>
  <c r="N43" i="2" s="1"/>
  <c r="O43" i="2" s="1"/>
  <c r="L39" i="2"/>
  <c r="M39" i="2" s="1"/>
  <c r="N39" i="2" s="1"/>
  <c r="O39" i="2" s="1"/>
  <c r="L35" i="2"/>
  <c r="L31" i="2"/>
  <c r="M31" i="2" s="1"/>
  <c r="N31" i="2" s="1"/>
  <c r="O31" i="2" s="1"/>
  <c r="L29" i="2"/>
  <c r="L27" i="2"/>
  <c r="M27" i="2" s="1"/>
  <c r="N27" i="2" s="1"/>
  <c r="O27" i="2" s="1"/>
  <c r="L25" i="2"/>
  <c r="M25" i="2" s="1"/>
  <c r="N25" i="2" s="1"/>
  <c r="O25" i="2" s="1"/>
  <c r="L23" i="2"/>
  <c r="M23" i="2" s="1"/>
  <c r="N23" i="2" s="1"/>
  <c r="O23" i="2" s="1"/>
  <c r="L19" i="2"/>
  <c r="M19" i="2" s="1"/>
  <c r="N19" i="2" s="1"/>
  <c r="O19" i="2" s="1"/>
  <c r="L15" i="2"/>
  <c r="M15" i="2" s="1"/>
  <c r="N15" i="2" s="1"/>
  <c r="O15" i="2" s="1"/>
  <c r="L13" i="2"/>
  <c r="L11" i="2"/>
  <c r="M11" i="2" s="1"/>
  <c r="N11" i="2" s="1"/>
  <c r="O11" i="2" s="1"/>
  <c r="L9" i="2"/>
  <c r="M9" i="2" s="1"/>
  <c r="N9" i="2" s="1"/>
  <c r="O9" i="2" s="1"/>
  <c r="L60" i="2"/>
  <c r="M60" i="2" s="1"/>
  <c r="N60" i="2" s="1"/>
  <c r="O60" i="2" s="1"/>
  <c r="J59" i="2"/>
  <c r="L59" i="2"/>
  <c r="M59" i="2" s="1"/>
  <c r="N59" i="2" s="1"/>
  <c r="O59" i="2" s="1"/>
  <c r="L55" i="2"/>
  <c r="M55" i="2" s="1"/>
  <c r="N55" i="2" s="1"/>
  <c r="O55" i="2" s="1"/>
  <c r="J49" i="2"/>
  <c r="L49" i="2"/>
  <c r="M49" i="2" s="1"/>
  <c r="N49" i="2" s="1"/>
  <c r="O49" i="2" s="1"/>
  <c r="J3" i="2"/>
  <c r="L3" i="2"/>
  <c r="M3" i="2" s="1"/>
  <c r="N3" i="2" s="1"/>
  <c r="O3" i="2" s="1"/>
  <c r="J54" i="2"/>
  <c r="L54" i="2"/>
  <c r="M54" i="2" s="1"/>
  <c r="N54" i="2" s="1"/>
  <c r="O54" i="2" s="1"/>
  <c r="J53" i="2"/>
  <c r="L53" i="2"/>
  <c r="M53" i="2" s="1"/>
  <c r="N53" i="2" s="1"/>
  <c r="O53" i="2" s="1"/>
  <c r="M35" i="2"/>
  <c r="N35" i="2" s="1"/>
  <c r="O35" i="2" s="1"/>
  <c r="M29" i="2"/>
  <c r="N29" i="2" s="1"/>
  <c r="O29" i="2" s="1"/>
  <c r="M13" i="2"/>
  <c r="N13" i="2" s="1"/>
  <c r="O13" i="2" s="1"/>
  <c r="M7" i="2"/>
  <c r="N7" i="2" s="1"/>
  <c r="O7" i="2" s="1"/>
  <c r="M5" i="2"/>
  <c r="N5" i="2" s="1"/>
  <c r="O5" i="2" s="1"/>
  <c r="J56" i="2"/>
  <c r="L56" i="2"/>
  <c r="M56" i="2" s="1"/>
  <c r="N56" i="2" s="1"/>
  <c r="O56" i="2" s="1"/>
  <c r="J50" i="2"/>
  <c r="L50" i="2"/>
  <c r="M50" i="2" s="1"/>
  <c r="N50" i="2" s="1"/>
  <c r="O50" i="2" s="1"/>
  <c r="J51" i="2"/>
  <c r="L51" i="2"/>
  <c r="M51" i="2" s="1"/>
  <c r="N51" i="2" s="1"/>
  <c r="O51" i="2" s="1"/>
  <c r="L48" i="2"/>
  <c r="M48" i="2" s="1"/>
  <c r="N48" i="2" s="1"/>
  <c r="O48" i="2" s="1"/>
  <c r="L46" i="2"/>
  <c r="M46" i="2" s="1"/>
  <c r="N46" i="2" s="1"/>
  <c r="O46" i="2" s="1"/>
  <c r="L44" i="2"/>
  <c r="M44" i="2" s="1"/>
  <c r="N44" i="2" s="1"/>
  <c r="O44" i="2" s="1"/>
  <c r="L42" i="2"/>
  <c r="M42" i="2" s="1"/>
  <c r="N42" i="2" s="1"/>
  <c r="O42" i="2" s="1"/>
  <c r="L40" i="2"/>
  <c r="M40" i="2" s="1"/>
  <c r="N40" i="2" s="1"/>
  <c r="O40" i="2" s="1"/>
  <c r="L38" i="2"/>
  <c r="M38" i="2" s="1"/>
  <c r="N38" i="2" s="1"/>
  <c r="O38" i="2" s="1"/>
  <c r="L34" i="2"/>
  <c r="M34" i="2" s="1"/>
  <c r="N34" i="2" s="1"/>
  <c r="O34" i="2" s="1"/>
  <c r="L32" i="2"/>
  <c r="M32" i="2" s="1"/>
  <c r="N32" i="2" s="1"/>
  <c r="O32" i="2" s="1"/>
  <c r="L30" i="2"/>
  <c r="M30" i="2" s="1"/>
  <c r="N30" i="2" s="1"/>
  <c r="O30" i="2" s="1"/>
  <c r="L26" i="2"/>
  <c r="L24" i="2"/>
  <c r="M24" i="2" s="1"/>
  <c r="N24" i="2" s="1"/>
  <c r="O24" i="2" s="1"/>
  <c r="L22" i="2"/>
  <c r="M22" i="2" s="1"/>
  <c r="N22" i="2" s="1"/>
  <c r="O22" i="2" s="1"/>
  <c r="L20" i="2"/>
  <c r="M20" i="2" s="1"/>
  <c r="N20" i="2" s="1"/>
  <c r="O20" i="2" s="1"/>
  <c r="L18" i="2"/>
  <c r="M18" i="2" s="1"/>
  <c r="N18" i="2" s="1"/>
  <c r="O18" i="2" s="1"/>
  <c r="L16" i="2"/>
  <c r="M16" i="2" s="1"/>
  <c r="N16" i="2" s="1"/>
  <c r="O16" i="2" s="1"/>
  <c r="L14" i="2"/>
  <c r="M14" i="2" s="1"/>
  <c r="N14" i="2" s="1"/>
  <c r="O14" i="2" s="1"/>
  <c r="L10" i="2"/>
  <c r="L8" i="2"/>
  <c r="M8" i="2" s="1"/>
  <c r="N8" i="2" s="1"/>
  <c r="O8" i="2" s="1"/>
  <c r="L6" i="2"/>
  <c r="M6" i="2" s="1"/>
  <c r="N6" i="2" s="1"/>
  <c r="O6" i="2" s="1"/>
  <c r="L2" i="2"/>
  <c r="M2" i="2" s="1"/>
  <c r="N2" i="2" s="1"/>
  <c r="O2" i="2" s="1"/>
  <c r="J58" i="2"/>
  <c r="L58" i="2"/>
  <c r="M58" i="2" s="1"/>
  <c r="N58" i="2" s="1"/>
  <c r="O58" i="2" s="1"/>
  <c r="J4" i="2"/>
  <c r="L4" i="2"/>
  <c r="M4" i="2" s="1"/>
  <c r="N4" i="2" s="1"/>
  <c r="O4" i="2" s="1"/>
  <c r="M26" i="2"/>
  <c r="N26" i="2" s="1"/>
  <c r="O26" i="2" s="1"/>
  <c r="M10" i="2"/>
  <c r="N10" i="2" s="1"/>
  <c r="O10" i="2" s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D1" i="1"/>
  <c r="L17" i="2" l="1"/>
  <c r="M17" i="2" s="1"/>
  <c r="N17" i="2" s="1"/>
  <c r="O17" i="2" s="1"/>
  <c r="L33" i="2"/>
  <c r="M33" i="2" s="1"/>
  <c r="N33" i="2" s="1"/>
  <c r="O33" i="2" s="1"/>
  <c r="L36" i="2"/>
  <c r="M36" i="2" s="1"/>
  <c r="N36" i="2" s="1"/>
  <c r="O36" i="2" s="1"/>
  <c r="L21" i="2"/>
  <c r="M21" i="2" s="1"/>
  <c r="N21" i="2" s="1"/>
  <c r="O21" i="2" s="1"/>
  <c r="L37" i="2"/>
  <c r="M37" i="2" s="1"/>
  <c r="N37" i="2" s="1"/>
  <c r="O37" i="2" s="1"/>
  <c r="J52" i="2"/>
  <c r="L41" i="2"/>
  <c r="M41" i="2" s="1"/>
  <c r="N41" i="2" s="1"/>
  <c r="O41" i="2" s="1"/>
  <c r="L47" i="2"/>
  <c r="M47" i="2" s="1"/>
  <c r="N47" i="2" s="1"/>
  <c r="O47" i="2" s="1"/>
  <c r="L57" i="2"/>
  <c r="M57" i="2" s="1"/>
  <c r="N57" i="2" s="1"/>
  <c r="O57" i="2" s="1"/>
  <c r="L12" i="2"/>
  <c r="M12" i="2" s="1"/>
  <c r="N12" i="2" s="1"/>
  <c r="O12" i="2" s="1"/>
  <c r="L28" i="2"/>
  <c r="M28" i="2" s="1"/>
  <c r="N28" i="2" s="1"/>
  <c r="O28" i="2" s="1"/>
</calcChain>
</file>

<file path=xl/sharedStrings.xml><?xml version="1.0" encoding="utf-8"?>
<sst xmlns="http://schemas.openxmlformats.org/spreadsheetml/2006/main" count="2315" uniqueCount="860">
  <si>
    <t>BIG ID</t>
  </si>
  <si>
    <t>Local ID</t>
  </si>
  <si>
    <t>Bond Description</t>
  </si>
  <si>
    <t>Liquidity</t>
  </si>
  <si>
    <t>Price</t>
  </si>
  <si>
    <t>Accr Int</t>
  </si>
  <si>
    <t>Total Rtn</t>
  </si>
  <si>
    <t>1D Rtn</t>
  </si>
  <si>
    <t>MTD Rtn</t>
  </si>
  <si>
    <t>12M Rtn</t>
  </si>
  <si>
    <t>YTD Rtn</t>
  </si>
  <si>
    <t>Outs-Loc MM</t>
  </si>
  <si>
    <t>MVal-Loc MM</t>
  </si>
  <si>
    <t>MVal-USD MM</t>
  </si>
  <si>
    <t>MVal-EUR MM</t>
  </si>
  <si>
    <t>Weight % - Daily Stats</t>
  </si>
  <si>
    <t>Mac Dur</t>
  </si>
  <si>
    <t>Mod Dur</t>
  </si>
  <si>
    <t>Yield</t>
  </si>
  <si>
    <t>Convexity</t>
  </si>
  <si>
    <t>Coupon</t>
  </si>
  <si>
    <t>Freq</t>
  </si>
  <si>
    <t>ISIN</t>
  </si>
  <si>
    <t>Currency</t>
  </si>
  <si>
    <t>1D Rtn USD</t>
  </si>
  <si>
    <t>MTD Rtn USD</t>
  </si>
  <si>
    <t>12M Rtn USD</t>
  </si>
  <si>
    <t>YTD Rtn USD</t>
  </si>
  <si>
    <t>1D Rtn EUR</t>
  </si>
  <si>
    <t>MTD Rtn EUR</t>
  </si>
  <si>
    <t>12M Rtn EUR</t>
  </si>
  <si>
    <t>YTD Rtn EUR</t>
  </si>
  <si>
    <t>Inclusion(%)</t>
  </si>
  <si>
    <t>Inclusion Direction</t>
  </si>
  <si>
    <t>Country</t>
  </si>
  <si>
    <t>Weight % - FOM</t>
  </si>
  <si>
    <t>Weight % - Daily USD Rtrn</t>
  </si>
  <si>
    <t>12M USD Rtrn Beta</t>
  </si>
  <si>
    <t>XID0050</t>
  </si>
  <si>
    <t>FR69</t>
  </si>
  <si>
    <t>Indonesia 7.8750%  INDOG  Apr 2019</t>
  </si>
  <si>
    <t>Traded</t>
  </si>
  <si>
    <t>IDG000010901</t>
  </si>
  <si>
    <t>IDR</t>
  </si>
  <si>
    <t>-</t>
  </si>
  <si>
    <t>ID</t>
  </si>
  <si>
    <t>IDSUK0004</t>
  </si>
  <si>
    <t>EJ8415667</t>
  </si>
  <si>
    <t>Indonesia 8.2500%  INDOI  Sep 2020</t>
  </si>
  <si>
    <t>IDP000001604</t>
  </si>
  <si>
    <t>XID0011</t>
  </si>
  <si>
    <t>FR31</t>
  </si>
  <si>
    <t>Indonesia 11.0000%  INDOG  Nov 2020</t>
  </si>
  <si>
    <t>IDG000006206</t>
  </si>
  <si>
    <t>XID0014</t>
  </si>
  <si>
    <t>FR34</t>
  </si>
  <si>
    <t>Indonesia 12.8000%  INDOG  Jun 2021</t>
  </si>
  <si>
    <t>IDG000006503</t>
  </si>
  <si>
    <t>XID0033</t>
  </si>
  <si>
    <t>FR53</t>
  </si>
  <si>
    <t>Indonesia 8.2500%  INDOG  Jul 2021</t>
  </si>
  <si>
    <t>IDG000009101</t>
  </si>
  <si>
    <t>XID0040</t>
  </si>
  <si>
    <t>FR61</t>
  </si>
  <si>
    <t>Indonesia 7.0000%  INDOG  May 2022</t>
  </si>
  <si>
    <t>IDG000010000</t>
  </si>
  <si>
    <t>XID0044</t>
  </si>
  <si>
    <t>FR63</t>
  </si>
  <si>
    <t>Indonesia 5.6250%  INDOG  May 2023</t>
  </si>
  <si>
    <t>IDG000010208</t>
  </si>
  <si>
    <t>XID0048</t>
  </si>
  <si>
    <t>FR70</t>
  </si>
  <si>
    <t>Indonesia 8.3750%  INDOG  Mar 2024</t>
  </si>
  <si>
    <t>IDG000012006</t>
  </si>
  <si>
    <t>XID0019</t>
  </si>
  <si>
    <t>FR40</t>
  </si>
  <si>
    <t>Indonesia 11.0000%  IDGB  Sep 2025</t>
  </si>
  <si>
    <t>IDG000007204</t>
  </si>
  <si>
    <t>XID0036</t>
  </si>
  <si>
    <t>FR56</t>
  </si>
  <si>
    <t>Indonesia 8.3750%  IDGB  Sep 2026</t>
  </si>
  <si>
    <t>IDG000009507</t>
  </si>
  <si>
    <t>XID0038</t>
  </si>
  <si>
    <t>FR59</t>
  </si>
  <si>
    <t>Indonesia 7.0000%  INDOG  May 2027</t>
  </si>
  <si>
    <t>IDG000009804</t>
  </si>
  <si>
    <t>XID0043</t>
  </si>
  <si>
    <t>FR64</t>
  </si>
  <si>
    <t>Indonesia 6.1250%  INDOG  May 2028</t>
  </si>
  <si>
    <t>IDG000010307</t>
  </si>
  <si>
    <t>XID0049</t>
  </si>
  <si>
    <t>FR71</t>
  </si>
  <si>
    <t>Indonesia 9.0000%  INDOG  Mar 2029</t>
  </si>
  <si>
    <t>IDG000011107</t>
  </si>
  <si>
    <t>XID0032</t>
  </si>
  <si>
    <t>FR52</t>
  </si>
  <si>
    <t>Indonesia 10.5000%  IDGB  Aug 2030</t>
  </si>
  <si>
    <t>IDG000009002</t>
  </si>
  <si>
    <t>XID0051</t>
  </si>
  <si>
    <t>FR73</t>
  </si>
  <si>
    <t>Indonesia 8.7500%  INDOG  May 2031</t>
  </si>
  <si>
    <t>IDG000011701</t>
  </si>
  <si>
    <t>XID0034</t>
  </si>
  <si>
    <t>FR54</t>
  </si>
  <si>
    <t>Indonesia 9.5000%  INDOG  Jul 2031</t>
  </si>
  <si>
    <t>IDG000009200</t>
  </si>
  <si>
    <t>IDSUK0005</t>
  </si>
  <si>
    <t>IDP000002206</t>
  </si>
  <si>
    <t>Indonesia 8.8750%  INDOI  Nov 2031</t>
  </si>
  <si>
    <t>XID0039</t>
  </si>
  <si>
    <t>FR58</t>
  </si>
  <si>
    <t>Indonesia 8.2500%  INDOG  Jun 2032</t>
  </si>
  <si>
    <t>IDG000009705</t>
  </si>
  <si>
    <t>XID0053</t>
  </si>
  <si>
    <t>FR74</t>
  </si>
  <si>
    <t>Indonesia 7.5000%  INDOG  Aug 2032</t>
  </si>
  <si>
    <t>IDG000012204</t>
  </si>
  <si>
    <t>XID0045</t>
  </si>
  <si>
    <t>FR65</t>
  </si>
  <si>
    <t>Indonesia 6.6250%  INDOG  May 2033</t>
  </si>
  <si>
    <t>IDG000010406</t>
  </si>
  <si>
    <t>XID0047</t>
  </si>
  <si>
    <t>FR68</t>
  </si>
  <si>
    <t>Indonesia 8.3750%  INDOG  Mar 2034</t>
  </si>
  <si>
    <t>IDG000010802</t>
  </si>
  <si>
    <t>XID0052</t>
  </si>
  <si>
    <t>FR72</t>
  </si>
  <si>
    <t>Indonesia 8.2500%  INDOG  May 2036</t>
  </si>
  <si>
    <t>IDG000011602</t>
  </si>
  <si>
    <t>XID0054</t>
  </si>
  <si>
    <t>FR75</t>
  </si>
  <si>
    <t>Indonesia 7.5000%  INDOG  May 2038</t>
  </si>
  <si>
    <t>IDG000012303</t>
  </si>
  <si>
    <t>XMY0074</t>
  </si>
  <si>
    <t>MYBMH1500055</t>
  </si>
  <si>
    <t>Malaysia 3.7590%  MGS  Mar 2019</t>
  </si>
  <si>
    <t>MYR</t>
  </si>
  <si>
    <t>MY</t>
  </si>
  <si>
    <t>XMY0070</t>
  </si>
  <si>
    <t>MYBMJ1400047</t>
  </si>
  <si>
    <t>Malaysia 3.6540%  MGS  Oct 2019</t>
  </si>
  <si>
    <t>XMY0043</t>
  </si>
  <si>
    <t>MYBMO0900021</t>
  </si>
  <si>
    <t>Malaysia 4.3780%  MYGB  Nov 2019</t>
  </si>
  <si>
    <t>XMY0060</t>
  </si>
  <si>
    <t>MYBML1200062</t>
  </si>
  <si>
    <t>Malaysia 3.4920%  MGS  Mar 2020</t>
  </si>
  <si>
    <t>MYSUK0026</t>
  </si>
  <si>
    <t>MYBGH1600048</t>
  </si>
  <si>
    <t>Malaysia 3.2260%  MGII  Apr 2020</t>
  </si>
  <si>
    <t>XMY0072</t>
  </si>
  <si>
    <t>MYBMJ1500036</t>
  </si>
  <si>
    <t>Malaysia 3.6590%  MGS  Oct 2020</t>
  </si>
  <si>
    <t>XMY0050</t>
  </si>
  <si>
    <t>MYBMO1100019</t>
  </si>
  <si>
    <t>Malaysia 4.1600%  MGS  Jul 2021</t>
  </si>
  <si>
    <t>XMY0076</t>
  </si>
  <si>
    <t>MYBMJ1600042</t>
  </si>
  <si>
    <t>Malaysia 3.6200%  MGS  Nov 2021</t>
  </si>
  <si>
    <t>XMY0055</t>
  </si>
  <si>
    <t>MYBMO1200017</t>
  </si>
  <si>
    <t>Malaysia 3.4180%  MGS  Aug 2022</t>
  </si>
  <si>
    <t>XMY0063</t>
  </si>
  <si>
    <t>MYBMN1300033</t>
  </si>
  <si>
    <t>Malaysia 3.4800%  MGS  Mar 2023</t>
  </si>
  <si>
    <t>MYSUK0024</t>
  </si>
  <si>
    <t>JV4751766</t>
  </si>
  <si>
    <t>Malaysia 4.3900%  MGII  Jul 2023</t>
  </si>
  <si>
    <t>MYBGL1600016</t>
  </si>
  <si>
    <t>XMY0075</t>
  </si>
  <si>
    <t>MYBML1600014</t>
  </si>
  <si>
    <t>Malaysia 3.8000%  MGS  Aug 2023</t>
  </si>
  <si>
    <t>XMY0067</t>
  </si>
  <si>
    <t>MYBMO1400013</t>
  </si>
  <si>
    <t>Malaysia 4.1810%  MGS  Jul 2024</t>
  </si>
  <si>
    <t>XMY0079</t>
  </si>
  <si>
    <t>MYBML1700020</t>
  </si>
  <si>
    <t>Malaysia 4.0590%  MGS  Sep 2024</t>
  </si>
  <si>
    <t>XMY0071</t>
  </si>
  <si>
    <t>MYBMO1500010</t>
  </si>
  <si>
    <t>Malaysia 3.9550%  MGS  Sep 2025</t>
  </si>
  <si>
    <t>XMY0077</t>
  </si>
  <si>
    <t>MYBMO1600034</t>
  </si>
  <si>
    <t>Malaysia 3.9000%  MGS  Nov 2026</t>
  </si>
  <si>
    <t>XMY0080</t>
  </si>
  <si>
    <t>MYBMO1700040</t>
  </si>
  <si>
    <t>Malaysia 3.8990%  MGS  Nov 2027</t>
  </si>
  <si>
    <t>XMY0053</t>
  </si>
  <si>
    <t>MYBMX1100044</t>
  </si>
  <si>
    <t>Malaysia 4.2320%  MGS  Jun 2031</t>
  </si>
  <si>
    <t>XPX0001</t>
  </si>
  <si>
    <t>US718286BJ59</t>
  </si>
  <si>
    <t>Philippines 4.9500% PHILI Jan 2021</t>
  </si>
  <si>
    <t>PXP</t>
  </si>
  <si>
    <t>PH</t>
  </si>
  <si>
    <t>XPX0003</t>
  </si>
  <si>
    <t>US718286BX44</t>
  </si>
  <si>
    <t>Philippines Global 3.9000%  PHILI  Nov 2022</t>
  </si>
  <si>
    <t>XPX0002</t>
  </si>
  <si>
    <t>US718286BM88</t>
  </si>
  <si>
    <t>Philippines Global 6.2500%  PHILI</t>
  </si>
  <si>
    <t>XTH0063</t>
  </si>
  <si>
    <t>LB193A</t>
  </si>
  <si>
    <t>Thailand 3.4500%  THAIG  Mar 2019</t>
  </si>
  <si>
    <t>TH062303T302</t>
  </si>
  <si>
    <t>THB</t>
  </si>
  <si>
    <t>TH</t>
  </si>
  <si>
    <t>XTH0052</t>
  </si>
  <si>
    <t>LB196A</t>
  </si>
  <si>
    <t>Thailand 3.8750%  THGB  Jun 2019</t>
  </si>
  <si>
    <t>TH062303T609</t>
  </si>
  <si>
    <t>XTH0066</t>
  </si>
  <si>
    <t>LB206A</t>
  </si>
  <si>
    <t>Thailand 2.5500%  THAIG  Jun 2020</t>
  </si>
  <si>
    <t>TH062303U607</t>
  </si>
  <si>
    <t>XTH0060</t>
  </si>
  <si>
    <t>LB21DA</t>
  </si>
  <si>
    <t>Thailand 3.6500%  THAIG  Dec 2021</t>
  </si>
  <si>
    <t>TH0623031C01</t>
  </si>
  <si>
    <t>XTH0067</t>
  </si>
  <si>
    <t>LB226A</t>
  </si>
  <si>
    <t>Thailand 1.8750%  THAIG  Jun 2022</t>
  </si>
  <si>
    <t>TH0623032602</t>
  </si>
  <si>
    <t>XTH0071</t>
  </si>
  <si>
    <t>LB22DA</t>
  </si>
  <si>
    <t>Thailand 2.0000%  THAIG  Dec 2022</t>
  </si>
  <si>
    <t>TH0623032C00</t>
  </si>
  <si>
    <t>XTH0058</t>
  </si>
  <si>
    <t>LB236A</t>
  </si>
  <si>
    <t>Thailand 3.6250%  THAIG  Jun 2023</t>
  </si>
  <si>
    <t>TH0623033600</t>
  </si>
  <si>
    <t>XTH0061</t>
  </si>
  <si>
    <t>LB25DA</t>
  </si>
  <si>
    <t>Thailand 3.8500%  THAIG  Dec 2025</t>
  </si>
  <si>
    <t>TH0623035C07</t>
  </si>
  <si>
    <t>XTH0069</t>
  </si>
  <si>
    <t>LB26DA</t>
  </si>
  <si>
    <t>Thailand 2.1250%  THAIG  Dec 2026</t>
  </si>
  <si>
    <t>TH0623036C06</t>
  </si>
  <si>
    <t>XTH0055</t>
  </si>
  <si>
    <t>LB296A</t>
  </si>
  <si>
    <t>Thailand 4.8750%  THGB  Jun 2029</t>
  </si>
  <si>
    <t>TH0623039607</t>
  </si>
  <si>
    <t>XTH0070</t>
  </si>
  <si>
    <t>LB316A</t>
  </si>
  <si>
    <t>Thailand 3.6500%  THAIG  Jun 2031</t>
  </si>
  <si>
    <t>TH0623A3B608</t>
  </si>
  <si>
    <t>XTH0068</t>
  </si>
  <si>
    <t>LB366A</t>
  </si>
  <si>
    <t>Thailand 3.4000%  THAIG  Jun 2036</t>
  </si>
  <si>
    <t>TH062303G606</t>
  </si>
  <si>
    <t>XCZ0030</t>
  </si>
  <si>
    <t>CZ0001003834</t>
  </si>
  <si>
    <t>Czech 1.5000%  CZGB  Oct 2019</t>
  </si>
  <si>
    <t>CZK</t>
  </si>
  <si>
    <t>IN</t>
  </si>
  <si>
    <t>CZ</t>
  </si>
  <si>
    <t>XCZ0039</t>
  </si>
  <si>
    <t>CZ0001005011</t>
  </si>
  <si>
    <t>Czech 0.0000%  CZGB  Feb 2020</t>
  </si>
  <si>
    <t>XCZ0017</t>
  </si>
  <si>
    <t>CZ0001001317</t>
  </si>
  <si>
    <t>Czech 3.7500%  CZGB  Sep 2020</t>
  </si>
  <si>
    <t>XCZ0029</t>
  </si>
  <si>
    <t>CZ0001002851</t>
  </si>
  <si>
    <t>Czech 3.8500%  CZGB  Sep 2021</t>
  </si>
  <si>
    <t>XCZ0024</t>
  </si>
  <si>
    <t>CZ0001001945</t>
  </si>
  <si>
    <t>Czech 4.7000%  CZGB  Sep 2022</t>
  </si>
  <si>
    <t>XCZ0040</t>
  </si>
  <si>
    <t>CZ0001004600</t>
  </si>
  <si>
    <t>Czech 0.4500%  CZGB  Oct 2023</t>
  </si>
  <si>
    <t>XCZ0026</t>
  </si>
  <si>
    <t>CZ0001002547</t>
  </si>
  <si>
    <t>Czech 5.7000%  CZGB  May 2024</t>
  </si>
  <si>
    <t>XCZ0034</t>
  </si>
  <si>
    <t>CZ0001004253</t>
  </si>
  <si>
    <t>Czech 2.4000%  CZGB  Sep 2025</t>
  </si>
  <si>
    <t>XCZ0036</t>
  </si>
  <si>
    <t>CZ0001004469</t>
  </si>
  <si>
    <t>Czech 1.0000%  CZGB  Jun 2026</t>
  </si>
  <si>
    <t>XCZ0032</t>
  </si>
  <si>
    <t>CZ0001003859</t>
  </si>
  <si>
    <t>Czech 2.5000%  CZGB  Aug 2028</t>
  </si>
  <si>
    <t>XCZ0038</t>
  </si>
  <si>
    <t>CZ0001004477</t>
  </si>
  <si>
    <t>Czech 0.9500%  CZGB  May 2030</t>
  </si>
  <si>
    <t>HUF</t>
  </si>
  <si>
    <t>HU</t>
  </si>
  <si>
    <t>XHU0046</t>
  </si>
  <si>
    <t>HU0000402433</t>
  </si>
  <si>
    <t>Hungary 6.5000%  HGB  Jun 2019</t>
  </si>
  <si>
    <t>XHU0060</t>
  </si>
  <si>
    <t>HU0000403092</t>
  </si>
  <si>
    <t>Hungary 2.0000%  HGB  Oct 2019</t>
  </si>
  <si>
    <t>XHU0056</t>
  </si>
  <si>
    <t>HU0000402953</t>
  </si>
  <si>
    <t>Hungary 3.5000%  HGB  Jun 2020</t>
  </si>
  <si>
    <t>XHU0062</t>
  </si>
  <si>
    <t>HU0000403258</t>
  </si>
  <si>
    <t>Hungary 1.0000%  HGB  Sep 2020</t>
  </si>
  <si>
    <t>XHU0032</t>
  </si>
  <si>
    <t>HU0000402235</t>
  </si>
  <si>
    <t>Hungary 7.5000%  T-Bon  Nov 2020</t>
  </si>
  <si>
    <t>XHU0059</t>
  </si>
  <si>
    <t>HU0000403100</t>
  </si>
  <si>
    <t>Hungary 2.5000%  HGB  Oct 2021</t>
  </si>
  <si>
    <t>XHU0050</t>
  </si>
  <si>
    <t>HU0000402524</t>
  </si>
  <si>
    <t>Hungary 7.0000%  HGB  Jun 2022</t>
  </si>
  <si>
    <t>XHU0063</t>
  </si>
  <si>
    <t>HU0000403266</t>
  </si>
  <si>
    <t>Hungary 1.7500%  HGB  Oct 2022</t>
  </si>
  <si>
    <t>XHU0044</t>
  </si>
  <si>
    <t>HU0000402383</t>
  </si>
  <si>
    <t>Hungary 6.0000%  HGB  Nov 2023</t>
  </si>
  <si>
    <t>XHU0058</t>
  </si>
  <si>
    <t>HU0000403068</t>
  </si>
  <si>
    <t>Hungary 3.0000%  HGB  Jun 2024</t>
  </si>
  <si>
    <t>XHU0055</t>
  </si>
  <si>
    <t>HU0000402748</t>
  </si>
  <si>
    <t>Hungary 5.5000%  HGB  Jun 2025</t>
  </si>
  <si>
    <t>XHU0061</t>
  </si>
  <si>
    <t>HU0000403118</t>
  </si>
  <si>
    <t>Hungary 3.0000%  HGB  Oct 2027</t>
  </si>
  <si>
    <t>XPL0089</t>
  </si>
  <si>
    <t>PL0000109633</t>
  </si>
  <si>
    <t>Poland 0.0000%  POLGB  Apr 2019</t>
  </si>
  <si>
    <t>PLN</t>
  </si>
  <si>
    <t>PL</t>
  </si>
  <si>
    <t>XPL0079</t>
  </si>
  <si>
    <t>PL0000108148</t>
  </si>
  <si>
    <t>Poland 3.2500%  POLGB  Jul 2019</t>
  </si>
  <si>
    <t>XPL0059</t>
  </si>
  <si>
    <t>LPL0059</t>
  </si>
  <si>
    <t>Poland 5.5000%  POLGB  Oct 2019</t>
  </si>
  <si>
    <t>PL0000105441</t>
  </si>
  <si>
    <t>XPL0081</t>
  </si>
  <si>
    <t>PL0000108510</t>
  </si>
  <si>
    <t>Poland 1.5000%  POLGB  Apr 2020</t>
  </si>
  <si>
    <t>XPL0064</t>
  </si>
  <si>
    <t>PL0000106126</t>
  </si>
  <si>
    <t>Poland 5.2500%  POLGB  Oct 2020</t>
  </si>
  <si>
    <t>XPL0083</t>
  </si>
  <si>
    <t>PL0000108916</t>
  </si>
  <si>
    <t>Poland 2.0000%  POLGB  Apr 2021</t>
  </si>
  <si>
    <t>XPL0086</t>
  </si>
  <si>
    <t>PL0000109153</t>
  </si>
  <si>
    <t>Poland 1.7500%  POLGB  Jul 2021</t>
  </si>
  <si>
    <t>XPL0069</t>
  </si>
  <si>
    <t>PL0000106670</t>
  </si>
  <si>
    <t>Poland 5.7500%  POLGB  Oct 2021</t>
  </si>
  <si>
    <t>XPL0088</t>
  </si>
  <si>
    <t>PL0000109492</t>
  </si>
  <si>
    <t>Poland 2.2500%  POLGB  Apr 2022</t>
  </si>
  <si>
    <t>XPL0040</t>
  </si>
  <si>
    <t>LPL0040</t>
  </si>
  <si>
    <t>Poland 5.7500%  T-Bon  Sep 2022</t>
  </si>
  <si>
    <t>PL0000102646</t>
  </si>
  <si>
    <t>XPL0090</t>
  </si>
  <si>
    <t>PL0000110151</t>
  </si>
  <si>
    <t>Poland 2.5000%  POLGB  Jan 2023</t>
  </si>
  <si>
    <t>XPL0074</t>
  </si>
  <si>
    <t>PL0000107264</t>
  </si>
  <si>
    <t>Poland 4.0000%  POLGB  Oct 2023</t>
  </si>
  <si>
    <t>XPL0080</t>
  </si>
  <si>
    <t>PL0000108197</t>
  </si>
  <si>
    <t>Poland 3.2500%  POLGB  Jul 2025</t>
  </si>
  <si>
    <t>XPL0084</t>
  </si>
  <si>
    <t>PL0000108866</t>
  </si>
  <si>
    <t>Poland 2.5000%  POLGB  Jul 2026</t>
  </si>
  <si>
    <t>XPL0087</t>
  </si>
  <si>
    <t>PL0000109427</t>
  </si>
  <si>
    <t>Poland 2.5000%  POLGB  Jul 2027</t>
  </si>
  <si>
    <t>XRO0022</t>
  </si>
  <si>
    <t>RO1519DBN037</t>
  </si>
  <si>
    <t>Romania 2.5000%  ROMGB  Apr 2019</t>
  </si>
  <si>
    <t>RON</t>
  </si>
  <si>
    <t>RO</t>
  </si>
  <si>
    <t>XRO0017</t>
  </si>
  <si>
    <t>RO1419DBN014</t>
  </si>
  <si>
    <t>Romania 4.7500%  ROMGB  Jun 2019</t>
  </si>
  <si>
    <t>XRO0025</t>
  </si>
  <si>
    <t>RO1620DBN017</t>
  </si>
  <si>
    <t>Romania 2.2500%  ROMGB  Feb 2020</t>
  </si>
  <si>
    <t>XRO0019</t>
  </si>
  <si>
    <t>RO1320DBN022</t>
  </si>
  <si>
    <t>Romania 5.7500%  ROMGB  Apr 2020</t>
  </si>
  <si>
    <t>XRO0023</t>
  </si>
  <si>
    <t>RO1521DBN041</t>
  </si>
  <si>
    <t>Romania 3.2500%  ROMGB  Mar 2021</t>
  </si>
  <si>
    <t>XRO0016</t>
  </si>
  <si>
    <t>RO1121DBN032</t>
  </si>
  <si>
    <t>Romania 5.9500%  ROMGB  Jun 2021</t>
  </si>
  <si>
    <t>XRO0028</t>
  </si>
  <si>
    <t>RO1722DBN045</t>
  </si>
  <si>
    <t>Romania 3.4000%  ROMGB  Mar 2022</t>
  </si>
  <si>
    <t>XRO0026</t>
  </si>
  <si>
    <t>RO1522DBN056</t>
  </si>
  <si>
    <t>Romania 3.5000%  ROMGB  Dec 2022</t>
  </si>
  <si>
    <t>XRO0014</t>
  </si>
  <si>
    <t>RO1323DBN018</t>
  </si>
  <si>
    <t>Romania 5.8500%  ROMGB  Apr 2023</t>
  </si>
  <si>
    <t>XRO0027</t>
  </si>
  <si>
    <t>RO1624DBN027</t>
  </si>
  <si>
    <t>Romania 3.2500%  ROMGB  Apr 2024</t>
  </si>
  <si>
    <t>XRO0020</t>
  </si>
  <si>
    <t>RO1425DBN029</t>
  </si>
  <si>
    <t>Romania 4.7500%  ROMGB  Feb 2025</t>
  </si>
  <si>
    <t>XRO0024</t>
  </si>
  <si>
    <t>RO1227DBN011</t>
  </si>
  <si>
    <t>Romania 5.8000%  ROMGB  Jul 2027</t>
  </si>
  <si>
    <t>XRU0037</t>
  </si>
  <si>
    <t>RU000A0JS4M5</t>
  </si>
  <si>
    <t>Russia 7.5000%  RFLB  Feb 2019</t>
  </si>
  <si>
    <t>RUB</t>
  </si>
  <si>
    <t>RU</t>
  </si>
  <si>
    <t>XRU0047</t>
  </si>
  <si>
    <t>RU000A0JU9V1</t>
  </si>
  <si>
    <t>Russia 6.7000%  RFLB  May 2019</t>
  </si>
  <si>
    <t>XRU0041</t>
  </si>
  <si>
    <t>RU000A0JTG59</t>
  </si>
  <si>
    <t>Russia 6.8000%  RFLB  Dec 2019</t>
  </si>
  <si>
    <t>XRU0048</t>
  </si>
  <si>
    <t>RU000A0JTYA5</t>
  </si>
  <si>
    <t>Russia 6.4000%  RFLB  May 2020</t>
  </si>
  <si>
    <t>XRU0036</t>
  </si>
  <si>
    <t>RU000A0JREQ7</t>
  </si>
  <si>
    <t>Russia 7.6000%  RFLB  Apr 2021</t>
  </si>
  <si>
    <t>XRU0049</t>
  </si>
  <si>
    <t>RU000A0JVW30</t>
  </si>
  <si>
    <t>Russia 7.5000%  RFLB  Aug 2021</t>
  </si>
  <si>
    <t>XRU0040</t>
  </si>
  <si>
    <t>RU000A0JSMA2</t>
  </si>
  <si>
    <t>Russia 7.6000%  RFLB  Jul 2022</t>
  </si>
  <si>
    <t>XRU0052</t>
  </si>
  <si>
    <t>RU000A0JXB41</t>
  </si>
  <si>
    <t>Russia 7.4000%  RFLB  Dec 2022</t>
  </si>
  <si>
    <t>XRU0042</t>
  </si>
  <si>
    <t>RU000A0JTJL3</t>
  </si>
  <si>
    <t>Russia 7.0000%  RFLB  Jan 2023</t>
  </si>
  <si>
    <t>XRU0045</t>
  </si>
  <si>
    <t>SU26215RMFS2</t>
  </si>
  <si>
    <t>Russia 7.0000%  RFLB  Aug 2023</t>
  </si>
  <si>
    <t>RU000A0JU4L3</t>
  </si>
  <si>
    <t>XRU0054</t>
  </si>
  <si>
    <t>RU000A0JXQF2</t>
  </si>
  <si>
    <t>Russia 7.1000%  RFLB  Oct 2024</t>
  </si>
  <si>
    <t>XRU0051</t>
  </si>
  <si>
    <t>RU000A0JWM07</t>
  </si>
  <si>
    <t>Russia 7.7500%  RFLB  Sep 2026</t>
  </si>
  <si>
    <t>XRU0038</t>
  </si>
  <si>
    <t>RU000A0JS3W6</t>
  </si>
  <si>
    <t>Russia 8.1500%  RFLB  Feb 2027</t>
  </si>
  <si>
    <t>XRU0043</t>
  </si>
  <si>
    <t>RU000A0JTK38</t>
  </si>
  <si>
    <t>Russia 7.0500%  RFLB  Jan 2028</t>
  </si>
  <si>
    <t>XRU0050</t>
  </si>
  <si>
    <t>RU000A0JVW48</t>
  </si>
  <si>
    <t>Russia 8.5000%  RFLB  Sep 2031</t>
  </si>
  <si>
    <t>XRU0053</t>
  </si>
  <si>
    <t>RU000A0JXFM1</t>
  </si>
  <si>
    <t>Russia 7.7000%  RFLB  Mar 2033</t>
  </si>
  <si>
    <t>XTR0041</t>
  </si>
  <si>
    <t>TRT270319T13</t>
  </si>
  <si>
    <t>Turkey 10.4000%  TURKG  Mar 2019</t>
  </si>
  <si>
    <t>TRY</t>
  </si>
  <si>
    <t>TR</t>
  </si>
  <si>
    <t>XTR0045</t>
  </si>
  <si>
    <t>TRT100719T18</t>
  </si>
  <si>
    <t>Turkey 8.5000%  TURKG  Jul 2019</t>
  </si>
  <si>
    <t>XTR0013</t>
  </si>
  <si>
    <t>EI1037098</t>
  </si>
  <si>
    <t>Turkey 10.5000%  Bond  Jan 2020</t>
  </si>
  <si>
    <t>TRT150120T16</t>
  </si>
  <si>
    <t>XTR0048</t>
  </si>
  <si>
    <t>TRT050220T17</t>
  </si>
  <si>
    <t>Turkey 7.4000%  TURKG  Feb 2020</t>
  </si>
  <si>
    <t>XTR0050</t>
  </si>
  <si>
    <t>TRT080720T19</t>
  </si>
  <si>
    <t>Turkey 9.4000%  TURKG  Jul 2020</t>
  </si>
  <si>
    <t>XTR0051</t>
  </si>
  <si>
    <t>TRT170221T12</t>
  </si>
  <si>
    <t>Turkey 10.7000%  TURKG  Feb 2021</t>
  </si>
  <si>
    <t>XTR0054</t>
  </si>
  <si>
    <t>TRT220921T18</t>
  </si>
  <si>
    <t>Turkey 9.2000%  TURKG  Sep 2021</t>
  </si>
  <si>
    <t>XTR0028</t>
  </si>
  <si>
    <t>EI9341138</t>
  </si>
  <si>
    <t>Turkey 9.5000%  TURKG  Jan 2022</t>
  </si>
  <si>
    <t>TRT120122T17</t>
  </si>
  <si>
    <t>XTR0056</t>
  </si>
  <si>
    <t>TRT020322T17</t>
  </si>
  <si>
    <t>Turkey 11.0000%  TURKG  Mar 2022</t>
  </si>
  <si>
    <t>XTR0057</t>
  </si>
  <si>
    <t>TRT170822T15</t>
  </si>
  <si>
    <t>Turkey 10.7000%  TURKG  Aug 2022</t>
  </si>
  <si>
    <t>XTR0032</t>
  </si>
  <si>
    <t>EJ3484700</t>
  </si>
  <si>
    <t>Turkey 8.5000%  TURKG  Sep 2022</t>
  </si>
  <si>
    <t>TRT140922T17</t>
  </si>
  <si>
    <t>XTR0035</t>
  </si>
  <si>
    <t>TRT080323T10</t>
  </si>
  <si>
    <t>Turkey 7.1000%  TURKG  Mar 2023</t>
  </si>
  <si>
    <t>XTR0040</t>
  </si>
  <si>
    <t>EJ8700001</t>
  </si>
  <si>
    <t>Turkey 8.8000%  TURKG  Sep 2023</t>
  </si>
  <si>
    <t>TRT270923T11</t>
  </si>
  <si>
    <t>XTR0043</t>
  </si>
  <si>
    <t>TRT200324T13</t>
  </si>
  <si>
    <t>Turkey 10.4000%  TURKG  Mar 2024</t>
  </si>
  <si>
    <t>XTR0046</t>
  </si>
  <si>
    <t>TRT240724T15</t>
  </si>
  <si>
    <t>Turkey 9.0000%  TURKG  Jul 2024</t>
  </si>
  <si>
    <t>XTR0049</t>
  </si>
  <si>
    <t>TRT120325T12</t>
  </si>
  <si>
    <t>Turkey 8.0000%  TURKG  Mar 2025</t>
  </si>
  <si>
    <t>XTR0052</t>
  </si>
  <si>
    <t>TRT110226T13</t>
  </si>
  <si>
    <t>Turkey 10.6000%  TURKG  Feb 2026</t>
  </si>
  <si>
    <t>XTR0055</t>
  </si>
  <si>
    <t>TRT240227T17</t>
  </si>
  <si>
    <t>Turkey 11.0000%  TURKG  Feb 2027</t>
  </si>
  <si>
    <t>XTR0058</t>
  </si>
  <si>
    <t>TRT110827T16</t>
  </si>
  <si>
    <t>Turkey 10.5000%  TURKG  Aug 2027</t>
  </si>
  <si>
    <t>XAR0002</t>
  </si>
  <si>
    <t>ARARGE3202H4</t>
  </si>
  <si>
    <t>Argentina 18.2000%  ARGTE  Oct 2021</t>
  </si>
  <si>
    <t>ARS</t>
  </si>
  <si>
    <t>AR</t>
  </si>
  <si>
    <t>XAR0003</t>
  </si>
  <si>
    <t>ARARGE4502J2</t>
  </si>
  <si>
    <t>Argentina 16.0000%  ARGTE  Oct 2023</t>
  </si>
  <si>
    <t>XAR0004</t>
  </si>
  <si>
    <t>ARARGE4502K0</t>
  </si>
  <si>
    <t>Argentina 15.5000%  ARGTE  Oct 2026</t>
  </si>
  <si>
    <t>XBR0035</t>
  </si>
  <si>
    <t>BRSTNCLTN764</t>
  </si>
  <si>
    <t>Brazil 0.0000%  BLTN  Jan 2019</t>
  </si>
  <si>
    <t>BRL</t>
  </si>
  <si>
    <t>BR</t>
  </si>
  <si>
    <t>XBR0026</t>
  </si>
  <si>
    <t>BRSTNCNTF162</t>
  </si>
  <si>
    <t>Brazil 10.0000%  BNTNF  Jan 2019</t>
  </si>
  <si>
    <t>XBR0043</t>
  </si>
  <si>
    <t>BRSTNCLTN7G6</t>
  </si>
  <si>
    <t>Brazil 0.0000%  BLTN  Apr 2019</t>
  </si>
  <si>
    <t>XBR0037</t>
  </si>
  <si>
    <t>BRSTNCLTN798</t>
  </si>
  <si>
    <t>Brazil 0.0000%  BLTN  Jul 2019</t>
  </si>
  <si>
    <t>XBR0044</t>
  </si>
  <si>
    <t>BRSTNCLTN7H4</t>
  </si>
  <si>
    <t>Brazil 0.0000%  BLTN  Oct 2019</t>
  </si>
  <si>
    <t>XBR0038</t>
  </si>
  <si>
    <t>BRSTNCLTN7B7</t>
  </si>
  <si>
    <t>Brazil 0.0000%  BLTN  Jan 2020</t>
  </si>
  <si>
    <t>XBR0041</t>
  </si>
  <si>
    <t>BRSTNCLTN7F8</t>
  </si>
  <si>
    <t>Brazil 0.0000%  BLTN  Jul 2020</t>
  </si>
  <si>
    <t>XBR0012</t>
  </si>
  <si>
    <t>EI1383294</t>
  </si>
  <si>
    <t>Brazil 10.0000%  NTNF  Jan 2021</t>
  </si>
  <si>
    <t>BRSTNCNTF0N5</t>
  </si>
  <si>
    <t>XBR0045</t>
  </si>
  <si>
    <t>BRSTNCLTN7I2</t>
  </si>
  <si>
    <t>Brazil 0.0000%  BLTN  Jul 2021</t>
  </si>
  <si>
    <t>XBR0023</t>
  </si>
  <si>
    <t>BRSTNCNTF147</t>
  </si>
  <si>
    <t>Brazil 10.0000%  BNTNF  Jan 2023</t>
  </si>
  <si>
    <t>XBR0032</t>
  </si>
  <si>
    <t>BRSTNCNTF170</t>
  </si>
  <si>
    <t>Brazil 10.0000%  BNTNF  Jan 2025</t>
  </si>
  <si>
    <t>XBR0040</t>
  </si>
  <si>
    <t>BRSTNCNTF1P8</t>
  </si>
  <si>
    <t>Brazil 10.0000%  BNTNF  Jan 2027</t>
  </si>
  <si>
    <t>XBX0002</t>
  </si>
  <si>
    <t>US105756BL31</t>
  </si>
  <si>
    <t>Brazil 12.5000%  Bond  Jan 2022</t>
  </si>
  <si>
    <t>BXL</t>
  </si>
  <si>
    <t>XBX0004</t>
  </si>
  <si>
    <t>US105756BT66</t>
  </si>
  <si>
    <t>Brazil 8.5000% Bond Jan 2024</t>
  </si>
  <si>
    <t>XBX0003</t>
  </si>
  <si>
    <t>US105756BN96</t>
  </si>
  <si>
    <t>Brazil 10.2500%  Bond  Jan 2028</t>
  </si>
  <si>
    <t>XCE0007</t>
  </si>
  <si>
    <t>CL0002329671</t>
  </si>
  <si>
    <t>Chile Nominal 4.5000%  BTPCL  Feb 2021</t>
  </si>
  <si>
    <t>CLP</t>
  </si>
  <si>
    <t>CL</t>
  </si>
  <si>
    <t>XCE0005</t>
  </si>
  <si>
    <t>CL0002269331</t>
  </si>
  <si>
    <t>Chile Nominal 4.5000%  BTPCL  Mar 2021</t>
  </si>
  <si>
    <t>XCE0003</t>
  </si>
  <si>
    <t>CL0002172501</t>
  </si>
  <si>
    <t>Chile Nominal 4.5000%  BTPCL  Mar 2026</t>
  </si>
  <si>
    <t>XCE0006</t>
  </si>
  <si>
    <t>CL0002187822</t>
  </si>
  <si>
    <t>Chile Nominal 5.0000%  BTPCL  Mar 2035</t>
  </si>
  <si>
    <t>XCE0004</t>
  </si>
  <si>
    <t>CL0001974774</t>
  </si>
  <si>
    <t>Chile Nominal 6.0000%  BTPCL  Jan 2043</t>
  </si>
  <si>
    <t>XCG0001</t>
  </si>
  <si>
    <t>US168863AU21</t>
  </si>
  <si>
    <t>Chile 5.5000%  CHILE  Aug 20</t>
  </si>
  <si>
    <t>CGP</t>
  </si>
  <si>
    <t>XCO0036</t>
  </si>
  <si>
    <t>COL17CT03011</t>
  </si>
  <si>
    <t>Colombia 7.0000%  COLTE  Sep 2019</t>
  </si>
  <si>
    <t>COP</t>
  </si>
  <si>
    <t>CO</t>
  </si>
  <si>
    <t>XCO0018</t>
  </si>
  <si>
    <t>TFIT15240720</t>
  </si>
  <si>
    <t>Colombia 11.0000%  COLTE  Jul 2020</t>
  </si>
  <si>
    <t>COL17CT02302</t>
  </si>
  <si>
    <t>XCO0033</t>
  </si>
  <si>
    <t>COL17CT02864</t>
  </si>
  <si>
    <t>Colombia 7.0000%  COLTE  May 2022</t>
  </si>
  <si>
    <t>XCO0028</t>
  </si>
  <si>
    <t>TFIT16240724</t>
  </si>
  <si>
    <t>Colombia 10.0000%  COLTE  Jul 2024</t>
  </si>
  <si>
    <t>COL17CT02385</t>
  </si>
  <si>
    <t>XCO0032</t>
  </si>
  <si>
    <t>EI8220614</t>
  </si>
  <si>
    <t>Colombia 7.5000%  COLTE  Aug 2026</t>
  </si>
  <si>
    <t>COL17CT02625</t>
  </si>
  <si>
    <t>XCO0037</t>
  </si>
  <si>
    <t>COL17CT02914</t>
  </si>
  <si>
    <t>Colombia 6.0000%  COLTE  Apr 2028</t>
  </si>
  <si>
    <t>XCO0038</t>
  </si>
  <si>
    <t>COL17CT03342</t>
  </si>
  <si>
    <t>Colombia 7.7500%  COLTE  Sep 2030</t>
  </si>
  <si>
    <t>XCO0039</t>
  </si>
  <si>
    <t>COL17CT03490</t>
  </si>
  <si>
    <t>Colombia 7.0000%  COLTE  Jun 2032</t>
  </si>
  <si>
    <t>XCO0031</t>
  </si>
  <si>
    <t>XS0502258444</t>
  </si>
  <si>
    <t>Colombia 7.7500% TES G April 2021</t>
  </si>
  <si>
    <t>CXP</t>
  </si>
  <si>
    <t>XCO0034</t>
  </si>
  <si>
    <t>XS0833886095</t>
  </si>
  <si>
    <t>Colombia 4.3750%  TES G  Mar 2023</t>
  </si>
  <si>
    <t>XCO0021</t>
  </si>
  <si>
    <t>XS0306322065</t>
  </si>
  <si>
    <t>Colombia 9.8500%  TES G  Jun 2027</t>
  </si>
  <si>
    <t>MXN</t>
  </si>
  <si>
    <t>MX</t>
  </si>
  <si>
    <t>XMX0043</t>
  </si>
  <si>
    <t>MX0MGO0000V0</t>
  </si>
  <si>
    <t>Mexico 5.0000%  MBONO  Dec 2019</t>
  </si>
  <si>
    <t>XMX0030</t>
  </si>
  <si>
    <t>MX0MGO0000L1</t>
  </si>
  <si>
    <t>Mexico 8.0000%  Bonos  Jun 2020</t>
  </si>
  <si>
    <t>XMX0035</t>
  </si>
  <si>
    <t>MX0MGO0000N7</t>
  </si>
  <si>
    <t>Mexico 6.5000%  MBONO  Jun 2021</t>
  </si>
  <si>
    <t>XMX0038</t>
  </si>
  <si>
    <t>EJ0234298</t>
  </si>
  <si>
    <t>Mexico 6.5000%  Bonos  Jun 2022</t>
  </si>
  <si>
    <t>MX0MGO0000Q0</t>
  </si>
  <si>
    <t>XMX0013</t>
  </si>
  <si>
    <t>MX0MGO000003</t>
  </si>
  <si>
    <t>Mexico 8.0000%    Dec 2023</t>
  </si>
  <si>
    <t>XMX0019</t>
  </si>
  <si>
    <t>MX0MGO000078</t>
  </si>
  <si>
    <t>Mexico 10.0000%  MBONO  Dec 2024</t>
  </si>
  <si>
    <t>XMX0044</t>
  </si>
  <si>
    <t>MX0MGO0000Y4</t>
  </si>
  <si>
    <t>Mexico 5.7500%  MBONO  Mar 2026</t>
  </si>
  <si>
    <t>XMX0025</t>
  </si>
  <si>
    <t>MX0MGO0000D8</t>
  </si>
  <si>
    <t>Mexico 7.5000%  Bonos  Jun 2027</t>
  </si>
  <si>
    <t>XMX0033</t>
  </si>
  <si>
    <t>MX0MGO0000H9</t>
  </si>
  <si>
    <t>Mexico 8.5000%  MBONO  May 2029</t>
  </si>
  <si>
    <t>XMX0037</t>
  </si>
  <si>
    <t>MX0MGO0000P2</t>
  </si>
  <si>
    <t>Mexico 7.7500%  MBONO  May 2031</t>
  </si>
  <si>
    <t>XMX0042</t>
  </si>
  <si>
    <t>MX0MGO0000U2</t>
  </si>
  <si>
    <t>Mexico 7.7500%  MBONO  Nov 2034</t>
  </si>
  <si>
    <t>XMX0024</t>
  </si>
  <si>
    <t>MX0MGO0000B2</t>
  </si>
  <si>
    <t>Mexico 10.0000%  Bonos  Nov 2036</t>
  </si>
  <si>
    <t>XMX0034</t>
  </si>
  <si>
    <t>MX0MGO0000J5</t>
  </si>
  <si>
    <t>Mexico 8.5000%  MBONO  Nov 2038</t>
  </si>
  <si>
    <t>XMX0040</t>
  </si>
  <si>
    <t>MX0MGO0000R8</t>
  </si>
  <si>
    <t>Mexico 7.7500%  MBONO  Nov 2042</t>
  </si>
  <si>
    <t>XMX0045</t>
  </si>
  <si>
    <t>MX0MGO000102</t>
  </si>
  <si>
    <t>Mexico 8.0000%  MBONO  Nov 2047</t>
  </si>
  <si>
    <t>XPE0004</t>
  </si>
  <si>
    <t>PEP01000CY33</t>
  </si>
  <si>
    <t>Peru 7.84% 15 Y Aug 2020</t>
  </si>
  <si>
    <t>PEN</t>
  </si>
  <si>
    <t>PE</t>
  </si>
  <si>
    <t>XPE0009</t>
  </si>
  <si>
    <t>PEP01000C4W4</t>
  </si>
  <si>
    <t>Peru 5.7000%  PERUG  Aug 2024</t>
  </si>
  <si>
    <t>XPE0005</t>
  </si>
  <si>
    <t>PEP01000C0J9</t>
  </si>
  <si>
    <t>Peru 8.2% 20 Y Aug 2026</t>
  </si>
  <si>
    <t>XPE0010</t>
  </si>
  <si>
    <t>PEP01000C5D1</t>
  </si>
  <si>
    <t>Peru 6.3500%  PERUG  Aug 2028</t>
  </si>
  <si>
    <t>XPE0007</t>
  </si>
  <si>
    <t>PEP01000C4G7</t>
  </si>
  <si>
    <t>Peru 6.9500%    Aug 2031</t>
  </si>
  <si>
    <t>XPE0011</t>
  </si>
  <si>
    <t>PEP01000C5E9</t>
  </si>
  <si>
    <t>Peru 6.1500%  PERUG  Aug 2032</t>
  </si>
  <si>
    <t>XPE0006</t>
  </si>
  <si>
    <t>PEP01000C2Z1</t>
  </si>
  <si>
    <t>Peru 6.9% 30Y Aug 2037</t>
  </si>
  <si>
    <t>XUG0001</t>
  </si>
  <si>
    <t>USP96006AE41</t>
  </si>
  <si>
    <t>Uruguay Global 9.8750% URUGUA Jun 2022</t>
  </si>
  <si>
    <t>UGU</t>
  </si>
  <si>
    <t>UY</t>
  </si>
  <si>
    <t>XUG0002</t>
  </si>
  <si>
    <t>USP80557BV53</t>
  </si>
  <si>
    <t>Uruguay Global 8.5000%  URUGU  Mar 2028</t>
  </si>
  <si>
    <t>ZAR</t>
  </si>
  <si>
    <t>ZA</t>
  </si>
  <si>
    <t>XZA0035</t>
  </si>
  <si>
    <t>R207000</t>
  </si>
  <si>
    <t>South Africa 7.2500%  RSA  Jan 2020</t>
  </si>
  <si>
    <t>ZAG000024738</t>
  </si>
  <si>
    <t>XZA0041</t>
  </si>
  <si>
    <t>R208000</t>
  </si>
  <si>
    <t>South Africa 6.7500%  RSA  Mar 2021</t>
  </si>
  <si>
    <t>ZAG000030396</t>
  </si>
  <si>
    <t>XZA0046</t>
  </si>
  <si>
    <t>ZAG000096165</t>
  </si>
  <si>
    <t>South Africa 7.7500%  SAGB  Feb 2023</t>
  </si>
  <si>
    <t>XZA0027</t>
  </si>
  <si>
    <t>R186000</t>
  </si>
  <si>
    <t>ZA 10.50%  RSA   Dec 2026</t>
  </si>
  <si>
    <t>ZAG000016320</t>
  </si>
  <si>
    <t>XZA0048</t>
  </si>
  <si>
    <t>ZAG000106998</t>
  </si>
  <si>
    <t>South Africa 8.0000%  SAGB  Jan 2030</t>
  </si>
  <si>
    <t>XZA0044</t>
  </si>
  <si>
    <t>ZAG000077470</t>
  </si>
  <si>
    <t>South Africa 7.0000%  SAGB  Feb 203</t>
  </si>
  <si>
    <t>XZA0049</t>
  </si>
  <si>
    <t>ZAG000107004</t>
  </si>
  <si>
    <t>South Africa 8.2500%  SAGB  Mar 2032</t>
  </si>
  <si>
    <t>XZA0052</t>
  </si>
  <si>
    <t>ZAG000125972</t>
  </si>
  <si>
    <t>South Africa 8.8750%  SAGB  Feb 2035</t>
  </si>
  <si>
    <t>XZA0042</t>
  </si>
  <si>
    <t>R209000</t>
  </si>
  <si>
    <t>South Africa 6.2500%  RSA  Mar 2036</t>
  </si>
  <si>
    <t>ZAG000030404</t>
  </si>
  <si>
    <t>XZA0050</t>
  </si>
  <si>
    <t>ZAG000107012</t>
  </si>
  <si>
    <t>South Africa 8.5000%  SAGB  Jan 2037</t>
  </si>
  <si>
    <t>XZA0053</t>
  </si>
  <si>
    <t>ZAG000125980</t>
  </si>
  <si>
    <t>South Africa 9.0000%  SAGB  Jan 2040</t>
  </si>
  <si>
    <t>XZA0045</t>
  </si>
  <si>
    <t>ZAG000077488</t>
  </si>
  <si>
    <t>South Africa 6.5000%  SAGB  Feb 2041</t>
  </si>
  <si>
    <t>XZA0051</t>
  </si>
  <si>
    <t>ZAG000106972</t>
  </si>
  <si>
    <t>South Africa 8.7500%  SAGB  Jan 2044</t>
  </si>
  <si>
    <t>XZA0047</t>
  </si>
  <si>
    <t>ZAG000096173</t>
  </si>
  <si>
    <t>South Africa 8.7500%  SAGB  Feb 2048</t>
  </si>
  <si>
    <t>Disclaimer:</t>
  </si>
  <si>
    <t>http://www.jpmorgan.com/pages/jpmorgan/ib/girg</t>
  </si>
  <si>
    <t>Isin</t>
  </si>
  <si>
    <t>Weight</t>
  </si>
  <si>
    <t>Country Code</t>
  </si>
  <si>
    <t>Weight GBI_EM_Div_Latam</t>
  </si>
  <si>
    <t>Weight GBI_EM_Div</t>
  </si>
  <si>
    <t>ARARGE3202H4 Corp</t>
  </si>
  <si>
    <t>ARARGE4502J2 Corp</t>
  </si>
  <si>
    <t>ARARGE4502K0 Corp</t>
  </si>
  <si>
    <t>BRSTNCLTN764 Corp</t>
  </si>
  <si>
    <t>BRSTNCNTF162 Corp</t>
  </si>
  <si>
    <t>BRSTNCLTN7G6 Corp</t>
  </si>
  <si>
    <t>BRSTNCLTN798 Corp</t>
  </si>
  <si>
    <t>BRSTNCLTN7H4 Corp</t>
  </si>
  <si>
    <t>BRSTNCLTN7B7 Corp</t>
  </si>
  <si>
    <t>BRSTNCLTN7F8 Corp</t>
  </si>
  <si>
    <t>EI1383294 Corp</t>
  </si>
  <si>
    <t>BRSTNCLTN7I2 Corp</t>
  </si>
  <si>
    <t>BRSTNCNTF147 Corp</t>
  </si>
  <si>
    <t>BRSTNCNTF170 Corp</t>
  </si>
  <si>
    <t>BRSTNCNTF1P8 Corp</t>
  </si>
  <si>
    <t>US105756BL31 Corp</t>
  </si>
  <si>
    <t>US105756BT66 Corp</t>
  </si>
  <si>
    <t>US105756BN96 Corp</t>
  </si>
  <si>
    <t>CL0002329671 Corp</t>
  </si>
  <si>
    <t>CL0002269331 Corp</t>
  </si>
  <si>
    <t>CL0002172501 Corp</t>
  </si>
  <si>
    <t>CL0002187822 Corp</t>
  </si>
  <si>
    <t>CL0001974774 Corp</t>
  </si>
  <si>
    <t>US168863AU21 Corp</t>
  </si>
  <si>
    <t>COL17CT03011 Corp</t>
  </si>
  <si>
    <t>TFIT15240720 Corp</t>
  </si>
  <si>
    <t>COL17CT02864 Corp</t>
  </si>
  <si>
    <t>TFIT16240724 Corp</t>
  </si>
  <si>
    <t>EI8220614 Corp</t>
  </si>
  <si>
    <t>COL17CT02914 Corp</t>
  </si>
  <si>
    <t>COL17CT03342 Corp</t>
  </si>
  <si>
    <t>COL17CT03490 Corp</t>
  </si>
  <si>
    <t>XS0502258444 Corp</t>
  </si>
  <si>
    <t>XS0833886095 Corp</t>
  </si>
  <si>
    <t>XS0306322065 Corp</t>
  </si>
  <si>
    <t>MX0MGO0000V0 Corp</t>
  </si>
  <si>
    <t>MX0MGO0000L1 Corp</t>
  </si>
  <si>
    <t>MX0MGO0000N7 Corp</t>
  </si>
  <si>
    <t>EJ0234298 Corp</t>
  </si>
  <si>
    <t>MX0MGO000003 Corp</t>
  </si>
  <si>
    <t>MX0MGO000078 Corp</t>
  </si>
  <si>
    <t>MX0MGO0000Y4 Corp</t>
  </si>
  <si>
    <t>MX0MGO0000D8 Corp</t>
  </si>
  <si>
    <t>MX0MGO0000H9 Corp</t>
  </si>
  <si>
    <t>MX0MGO0000P2 Corp</t>
  </si>
  <si>
    <t>MX0MGO0000U2 Corp</t>
  </si>
  <si>
    <t>MX0MGO0000B2 Corp</t>
  </si>
  <si>
    <t>MX0MGO0000J5 Corp</t>
  </si>
  <si>
    <t>MX0MGO0000R8 Corp</t>
  </si>
  <si>
    <t>MX0MGO000102 Corp</t>
  </si>
  <si>
    <t>PEP01000CY33 Corp</t>
  </si>
  <si>
    <t>PEP01000C4W4 Corp</t>
  </si>
  <si>
    <t>PEP01000C0J9 Corp</t>
  </si>
  <si>
    <t>PEP01000C5D1 Corp</t>
  </si>
  <si>
    <t>PEP01000C4G7 Corp</t>
  </si>
  <si>
    <t>PEP01000C5E9 Corp</t>
  </si>
  <si>
    <t>PEP01000C2Z1 Corp</t>
  </si>
  <si>
    <t>USP96006AE41 Corp</t>
  </si>
  <si>
    <t>USP80557BV53 Corp</t>
  </si>
  <si>
    <t>GBI_EMGLOBAL_DIV</t>
  </si>
  <si>
    <t>Maturity</t>
  </si>
  <si>
    <t>Mat Sect</t>
  </si>
  <si>
    <t>Issue Dt</t>
  </si>
  <si>
    <t xml:space="preserve"> '1-3'</t>
  </si>
  <si>
    <t xml:space="preserve"> '3-5'</t>
  </si>
  <si>
    <t xml:space="preserve"> '5-7'</t>
  </si>
  <si>
    <t xml:space="preserve"> '7-10'</t>
  </si>
  <si>
    <t xml:space="preserve"> '10+'</t>
  </si>
  <si>
    <t>XMY0081</t>
  </si>
  <si>
    <t>MYBMX1700033</t>
  </si>
  <si>
    <t>Malaysia 4.7620%  MGS  Apr 2037</t>
  </si>
  <si>
    <t>FX</t>
  </si>
  <si>
    <t>CORTE_MIN Moneda local</t>
  </si>
  <si>
    <t>MMUSD</t>
  </si>
  <si>
    <t>MM local</t>
  </si>
  <si>
    <t>Nominal</t>
  </si>
  <si>
    <t>CRNCY</t>
  </si>
  <si>
    <t>UYU</t>
  </si>
  <si>
    <t>MMUSD cartera</t>
  </si>
  <si>
    <t>AUM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</si>
</sst>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$&quot;* #,##0.00_-;\-&quot;$&quot;* #,##0.00_-;_-&quot;$&quot;* &quot;-&quot;??_-;_-@_-"/>
    <numFmt numFmtId="165" formatCode="0.0000000000%"/>
    <numFmt numFmtId="166" formatCode="0.000"/>
    <numFmt numFmtId="167" formatCode="&quot;$&quot;#,##0"/>
    <numFmt numFmtId="169" formatCode="_-&quot;$&quot;* #,##0_-;\-&quot;$&quot;* #,##0_-;_-&quot;$&quot;* &quot;-&quot;??_-;_-@_-"/>
    <numFmt numFmtId="171" formatCode="0.0%"/>
    <numFmt numFmtId="177" formatCode="0.00000000%"/>
  </numFmts>
  <fonts count="2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sz val="11"/>
      <color rgb="FF59594F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5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/>
    </xf>
    <xf numFmtId="165" fontId="0" fillId="0" borderId="0" xfId="42" applyNumberFormat="1" applyFont="1"/>
    <xf numFmtId="9" fontId="0" fillId="0" borderId="0" xfId="42" applyFont="1" applyAlignment="1">
      <alignment horizontal="center"/>
    </xf>
    <xf numFmtId="0" fontId="18" fillId="33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166" fontId="0" fillId="0" borderId="0" xfId="42" applyNumberFormat="1" applyFont="1" applyAlignment="1">
      <alignment horizontal="center"/>
    </xf>
    <xf numFmtId="11" fontId="0" fillId="0" borderId="0" xfId="0" applyNumberFormat="1"/>
    <xf numFmtId="10" fontId="0" fillId="0" borderId="0" xfId="42" applyNumberFormat="1" applyFont="1" applyAlignment="1">
      <alignment horizontal="center"/>
    </xf>
    <xf numFmtId="10" fontId="0" fillId="0" borderId="0" xfId="0" applyNumberFormat="1"/>
    <xf numFmtId="0" fontId="0" fillId="0" borderId="0" xfId="0"/>
    <xf numFmtId="15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42" applyNumberFormat="1" applyFont="1" applyAlignment="1">
      <alignment horizontal="center"/>
    </xf>
    <xf numFmtId="164" fontId="0" fillId="0" borderId="0" xfId="43" applyFont="1"/>
    <xf numFmtId="166" fontId="0" fillId="0" borderId="0" xfId="0" applyNumberFormat="1"/>
    <xf numFmtId="2" fontId="0" fillId="0" borderId="0" xfId="0" applyNumberFormat="1"/>
    <xf numFmtId="167" fontId="0" fillId="0" borderId="0" xfId="0" applyNumberFormat="1"/>
    <xf numFmtId="169" fontId="0" fillId="0" borderId="0" xfId="43" applyNumberFormat="1" applyFont="1" applyAlignment="1">
      <alignment horizontal="center"/>
    </xf>
    <xf numFmtId="169" fontId="0" fillId="0" borderId="0" xfId="43" applyNumberFormat="1" applyFont="1"/>
    <xf numFmtId="1" fontId="0" fillId="0" borderId="0" xfId="0" applyNumberFormat="1"/>
    <xf numFmtId="177" fontId="0" fillId="0" borderId="0" xfId="42" applyNumberFormat="1" applyFont="1"/>
    <xf numFmtId="171" fontId="0" fillId="0" borderId="0" xfId="42" applyNumberFormat="1" applyFont="1" applyAlignment="1">
      <alignment horizontal="center"/>
    </xf>
    <xf numFmtId="2" fontId="0" fillId="0" borderId="0" xfId="42" applyNumberFormat="1" applyFont="1" applyAlignment="1">
      <alignment horizontal="center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oneda" xfId="43" builtinId="4"/>
    <cellStyle name="Neutral" xfId="8" builtinId="28" customBuiltin="1"/>
    <cellStyle name="Normal" xfId="0" builtinId="0"/>
    <cellStyle name="Notas" xfId="15" builtinId="10" customBuiltin="1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28575</xdr:rowOff>
        </xdr:from>
        <xdr:to>
          <xdr:col>10</xdr:col>
          <xdr:colOff>723900</xdr:colOff>
          <xdr:row>0</xdr:row>
          <xdr:rowOff>295275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Filtra Latam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65"/>
  <sheetViews>
    <sheetView tabSelected="1" topLeftCell="A18" workbookViewId="0">
      <selection activeCell="N26" sqref="N26"/>
    </sheetView>
  </sheetViews>
  <sheetFormatPr baseColWidth="10" defaultRowHeight="14.25" x14ac:dyDescent="0.2"/>
  <cols>
    <col min="1" max="1" width="19.875" style="11" bestFit="1" customWidth="1"/>
    <col min="2" max="2" width="19.875" style="11" customWidth="1"/>
    <col min="3" max="3" width="11.875" style="11" customWidth="1"/>
    <col min="4" max="5" width="12.75" style="11" bestFit="1" customWidth="1"/>
    <col min="6" max="6" width="13.5" style="11" bestFit="1" customWidth="1"/>
    <col min="7" max="7" width="11.875" style="11" bestFit="1" customWidth="1"/>
    <col min="8" max="8" width="24.625" style="11" bestFit="1" customWidth="1"/>
    <col min="9" max="9" width="14.875" style="11" bestFit="1" customWidth="1"/>
    <col min="10" max="10" width="11.875" style="11" bestFit="1" customWidth="1"/>
    <col min="11" max="11" width="14.375" style="11" bestFit="1" customWidth="1"/>
    <col min="12" max="12" width="11" style="11"/>
    <col min="13" max="13" width="12" style="11" bestFit="1" customWidth="1"/>
    <col min="14" max="14" width="14.625" style="11" bestFit="1" customWidth="1"/>
    <col min="15" max="16384" width="11" style="11"/>
  </cols>
  <sheetData>
    <row r="1" spans="1:22" ht="15" x14ac:dyDescent="0.25">
      <c r="A1" s="5" t="s">
        <v>775</v>
      </c>
      <c r="B1" s="5" t="s">
        <v>856</v>
      </c>
      <c r="C1" s="5" t="s">
        <v>776</v>
      </c>
      <c r="D1" s="5" t="s">
        <v>11</v>
      </c>
      <c r="E1" s="5" t="s">
        <v>12</v>
      </c>
      <c r="F1" s="5" t="s">
        <v>13</v>
      </c>
      <c r="G1" s="5" t="s">
        <v>851</v>
      </c>
      <c r="H1" s="5" t="s">
        <v>852</v>
      </c>
      <c r="I1" s="5" t="s">
        <v>858</v>
      </c>
      <c r="J1" s="5" t="s">
        <v>854</v>
      </c>
      <c r="K1" s="5" t="s">
        <v>855</v>
      </c>
    </row>
    <row r="2" spans="1:22" x14ac:dyDescent="0.2">
      <c r="A2" s="2" t="s">
        <v>780</v>
      </c>
      <c r="B2" s="2" t="s">
        <v>529</v>
      </c>
      <c r="C2" s="23">
        <v>1.3046123423255796E-2</v>
      </c>
      <c r="D2" s="13">
        <v>62500</v>
      </c>
      <c r="E2" s="13">
        <v>66002.080556000001</v>
      </c>
      <c r="F2" s="13">
        <v>3798.954201</v>
      </c>
      <c r="G2" s="24">
        <f>+E2/F2</f>
        <v>17.373750001678424</v>
      </c>
      <c r="H2" s="19">
        <v>1</v>
      </c>
      <c r="I2" s="20">
        <f>+$O$2*C2</f>
        <v>1630765.4279069745</v>
      </c>
      <c r="J2" s="21">
        <f>+I2*G2</f>
        <v>28332510.855835915</v>
      </c>
      <c r="K2" s="18">
        <f>+MROUND(D2*J2/E2,1000)</f>
        <v>26829000</v>
      </c>
      <c r="M2" s="22"/>
      <c r="N2" s="11" t="s">
        <v>859</v>
      </c>
      <c r="O2" s="11">
        <v>125000000</v>
      </c>
      <c r="V2" s="12"/>
    </row>
    <row r="3" spans="1:22" x14ac:dyDescent="0.2">
      <c r="A3" s="2" t="s">
        <v>781</v>
      </c>
      <c r="B3" s="2" t="s">
        <v>529</v>
      </c>
      <c r="C3" s="23">
        <v>5.4762054981603936E-3</v>
      </c>
      <c r="D3" s="13">
        <v>27279</v>
      </c>
      <c r="E3" s="13">
        <v>27704.854894</v>
      </c>
      <c r="F3" s="13">
        <v>1594.638745</v>
      </c>
      <c r="G3" s="24">
        <f t="shared" ref="G3:G60" si="0">+E3/F3</f>
        <v>17.373749998781072</v>
      </c>
      <c r="H3" s="19">
        <v>1</v>
      </c>
      <c r="I3" s="20">
        <f>+$O$2*C3</f>
        <v>684525.68727004924</v>
      </c>
      <c r="J3" s="21">
        <f>+I3*G3</f>
        <v>11892778.15837363</v>
      </c>
      <c r="K3" s="18">
        <f t="shared" ref="K3:K60" si="1">+MROUND(D3*J3/E3,1000)</f>
        <v>11710000</v>
      </c>
      <c r="M3" s="22"/>
      <c r="V3" s="12"/>
    </row>
    <row r="4" spans="1:22" x14ac:dyDescent="0.2">
      <c r="A4" s="2" t="s">
        <v>782</v>
      </c>
      <c r="B4" s="2" t="s">
        <v>529</v>
      </c>
      <c r="C4" s="23">
        <v>1.2504637178650005E-2</v>
      </c>
      <c r="D4" s="13">
        <v>60192</v>
      </c>
      <c r="E4" s="13">
        <v>63262.629337999999</v>
      </c>
      <c r="F4" s="13">
        <v>3641.2766000000001</v>
      </c>
      <c r="G4" s="24">
        <f t="shared" si="0"/>
        <v>17.373750002403003</v>
      </c>
      <c r="H4" s="19">
        <v>1</v>
      </c>
      <c r="I4" s="20">
        <f>+$O$2*C4</f>
        <v>1563079.6473312506</v>
      </c>
      <c r="J4" s="21">
        <f>+I4*G4</f>
        <v>27156555.026577402</v>
      </c>
      <c r="K4" s="18">
        <f t="shared" si="1"/>
        <v>25838000</v>
      </c>
      <c r="M4" s="22"/>
      <c r="V4" s="12"/>
    </row>
    <row r="5" spans="1:22" x14ac:dyDescent="0.2">
      <c r="A5" s="2" t="s">
        <v>783</v>
      </c>
      <c r="B5" s="2" t="s">
        <v>540</v>
      </c>
      <c r="C5" s="23">
        <v>3.1106550390417917E-2</v>
      </c>
      <c r="D5" s="13">
        <v>31487.904897</v>
      </c>
      <c r="E5" s="13">
        <v>29217.626797000001</v>
      </c>
      <c r="F5" s="13">
        <v>9058.044022</v>
      </c>
      <c r="G5" s="24">
        <f t="shared" si="0"/>
        <v>3.2255999999599032</v>
      </c>
      <c r="H5" s="19">
        <v>1000</v>
      </c>
      <c r="I5" s="20">
        <f>+$O$2*C5</f>
        <v>3888318.7988022398</v>
      </c>
      <c r="J5" s="21">
        <f>+I5*G5</f>
        <v>12542161.117260596</v>
      </c>
      <c r="K5" s="18">
        <f t="shared" si="1"/>
        <v>13517000</v>
      </c>
      <c r="M5" s="22"/>
    </row>
    <row r="6" spans="1:22" x14ac:dyDescent="0.2">
      <c r="A6" s="2" t="s">
        <v>784</v>
      </c>
      <c r="B6" s="2" t="s">
        <v>540</v>
      </c>
      <c r="C6" s="23">
        <v>3.6582924927029232E-3</v>
      </c>
      <c r="D6" s="13">
        <v>3210.0554860000002</v>
      </c>
      <c r="E6" s="13">
        <v>3436.1452319999999</v>
      </c>
      <c r="F6" s="13">
        <v>1065.273199</v>
      </c>
      <c r="G6" s="24">
        <f t="shared" si="0"/>
        <v>3.225600001225601</v>
      </c>
      <c r="H6" s="19">
        <v>1000</v>
      </c>
      <c r="I6" s="20">
        <f>+$O$2*C6</f>
        <v>457286.56158786541</v>
      </c>
      <c r="J6" s="21">
        <f>+I6*G6</f>
        <v>1475023.5336182695</v>
      </c>
      <c r="K6" s="18">
        <f t="shared" si="1"/>
        <v>1378000</v>
      </c>
      <c r="M6" s="22"/>
    </row>
    <row r="7" spans="1:22" x14ac:dyDescent="0.2">
      <c r="A7" s="2" t="s">
        <v>785</v>
      </c>
      <c r="B7" s="2" t="s">
        <v>540</v>
      </c>
      <c r="C7" s="23">
        <v>2.7129698946102017E-2</v>
      </c>
      <c r="D7" s="13">
        <v>28024.048043999999</v>
      </c>
      <c r="E7" s="13">
        <v>25482.266887000002</v>
      </c>
      <c r="F7" s="13">
        <v>7900.0083350000004</v>
      </c>
      <c r="G7" s="24">
        <f t="shared" si="0"/>
        <v>3.2256000002055694</v>
      </c>
      <c r="H7" s="19">
        <v>1000</v>
      </c>
      <c r="I7" s="20">
        <f>+$O$2*C7</f>
        <v>3391212.368262752</v>
      </c>
      <c r="J7" s="21">
        <f>+I7*G7</f>
        <v>10938694.615765462</v>
      </c>
      <c r="K7" s="18">
        <f t="shared" si="1"/>
        <v>12030000</v>
      </c>
      <c r="M7" s="22"/>
    </row>
    <row r="8" spans="1:22" x14ac:dyDescent="0.2">
      <c r="A8" s="2" t="s">
        <v>786</v>
      </c>
      <c r="B8" s="2" t="s">
        <v>540</v>
      </c>
      <c r="C8" s="23">
        <v>1.2676387391223303E-2</v>
      </c>
      <c r="D8" s="13">
        <v>13393.276268</v>
      </c>
      <c r="E8" s="13">
        <v>11906.622601999999</v>
      </c>
      <c r="F8" s="13">
        <v>3691.2892489999999</v>
      </c>
      <c r="G8" s="24">
        <f t="shared" si="0"/>
        <v>3.2256000001152985</v>
      </c>
      <c r="H8" s="19">
        <v>1000</v>
      </c>
      <c r="I8" s="20">
        <f>+$O$2*C8</f>
        <v>1584548.4239029128</v>
      </c>
      <c r="J8" s="21">
        <f>+I8*G8</f>
        <v>5111119.3963239314</v>
      </c>
      <c r="K8" s="18">
        <f t="shared" si="1"/>
        <v>5749000</v>
      </c>
      <c r="M8" s="22"/>
      <c r="V8" s="12"/>
    </row>
    <row r="9" spans="1:22" x14ac:dyDescent="0.2">
      <c r="A9" s="2" t="s">
        <v>787</v>
      </c>
      <c r="B9" s="2" t="s">
        <v>540</v>
      </c>
      <c r="C9" s="23">
        <v>1.6399056386886737E-2</v>
      </c>
      <c r="D9" s="13">
        <v>17776.382131999999</v>
      </c>
      <c r="E9" s="13">
        <v>15403.235117</v>
      </c>
      <c r="F9" s="13">
        <v>4775.3085060000003</v>
      </c>
      <c r="G9" s="24">
        <f t="shared" si="0"/>
        <v>3.2256000000097167</v>
      </c>
      <c r="H9" s="19">
        <v>1000</v>
      </c>
      <c r="I9" s="20">
        <f>+$O$2*C9</f>
        <v>2049882.048360842</v>
      </c>
      <c r="J9" s="21">
        <f>+I9*G9</f>
        <v>6612099.53521265</v>
      </c>
      <c r="K9" s="18">
        <f t="shared" si="1"/>
        <v>7631000</v>
      </c>
      <c r="M9" s="22"/>
      <c r="V9" s="12"/>
    </row>
    <row r="10" spans="1:22" x14ac:dyDescent="0.2">
      <c r="A10" s="2" t="s">
        <v>788</v>
      </c>
      <c r="B10" s="2" t="s">
        <v>540</v>
      </c>
      <c r="C10" s="23">
        <v>2.3739692869010738E-2</v>
      </c>
      <c r="D10" s="13">
        <v>26382.059195000002</v>
      </c>
      <c r="E10" s="13">
        <v>22298.116564</v>
      </c>
      <c r="F10" s="13">
        <v>6912.8585579999999</v>
      </c>
      <c r="G10" s="24">
        <f t="shared" si="0"/>
        <v>3.2255999999009384</v>
      </c>
      <c r="H10" s="19">
        <v>1000</v>
      </c>
      <c r="I10" s="20">
        <f>+$O$2*C10</f>
        <v>2967461.6086263424</v>
      </c>
      <c r="J10" s="21">
        <f>+I10*G10</f>
        <v>9571844.1644911692</v>
      </c>
      <c r="K10" s="18">
        <f t="shared" si="1"/>
        <v>11325000</v>
      </c>
      <c r="M10" s="22"/>
    </row>
    <row r="11" spans="1:22" x14ac:dyDescent="0.2">
      <c r="A11" s="2" t="s">
        <v>789</v>
      </c>
      <c r="B11" s="2" t="s">
        <v>540</v>
      </c>
      <c r="C11" s="23">
        <v>4.5427536191881203E-2</v>
      </c>
      <c r="D11" s="13">
        <v>53123.730973999998</v>
      </c>
      <c r="E11" s="13">
        <v>42668.980717999999</v>
      </c>
      <c r="F11" s="13">
        <v>13228.230629</v>
      </c>
      <c r="G11" s="24">
        <f t="shared" si="0"/>
        <v>3.2256000000829741</v>
      </c>
      <c r="H11" s="19">
        <v>1000</v>
      </c>
      <c r="I11" s="20">
        <f>+$O$2*C11</f>
        <v>5678442.0239851503</v>
      </c>
      <c r="J11" s="21">
        <f>+I11*G11</f>
        <v>18316382.593037665</v>
      </c>
      <c r="K11" s="18">
        <f t="shared" si="1"/>
        <v>22804000</v>
      </c>
      <c r="M11" s="22"/>
      <c r="V11" s="12"/>
    </row>
    <row r="12" spans="1:22" x14ac:dyDescent="0.2">
      <c r="A12" s="2" t="s">
        <v>790</v>
      </c>
      <c r="B12" s="2" t="s">
        <v>540</v>
      </c>
      <c r="C12" s="23">
        <v>3.2547067236178735E-2</v>
      </c>
      <c r="D12" s="13">
        <v>28671.693538</v>
      </c>
      <c r="E12" s="13">
        <v>30570.669259999999</v>
      </c>
      <c r="F12" s="13">
        <v>9477.5140319999991</v>
      </c>
      <c r="G12" s="24">
        <f t="shared" si="0"/>
        <v>3.2255999998291536</v>
      </c>
      <c r="H12" s="19">
        <v>1000</v>
      </c>
      <c r="I12" s="20">
        <f>+$O$2*C12</f>
        <v>4068383.4045223417</v>
      </c>
      <c r="J12" s="21">
        <f>+I12*G12</f>
        <v>13122977.508932197</v>
      </c>
      <c r="K12" s="18">
        <f t="shared" si="1"/>
        <v>12308000</v>
      </c>
      <c r="M12" s="22"/>
      <c r="V12" s="12"/>
    </row>
    <row r="13" spans="1:22" x14ac:dyDescent="0.2">
      <c r="A13" s="2" t="s">
        <v>791</v>
      </c>
      <c r="B13" s="2" t="s">
        <v>540</v>
      </c>
      <c r="C13" s="23">
        <v>1.7324403898085244E-2</v>
      </c>
      <c r="D13" s="13">
        <v>22509.879021000001</v>
      </c>
      <c r="E13" s="13">
        <v>16272.391545</v>
      </c>
      <c r="F13" s="13">
        <v>5044.764244</v>
      </c>
      <c r="G13" s="24">
        <f t="shared" si="0"/>
        <v>3.2255999999115121</v>
      </c>
      <c r="H13" s="19">
        <v>1000</v>
      </c>
      <c r="I13" s="20">
        <f>+$O$2*C13</f>
        <v>2165550.4872606555</v>
      </c>
      <c r="J13" s="21">
        <f>+I13*G13</f>
        <v>6985199.6515163453</v>
      </c>
      <c r="K13" s="18">
        <f t="shared" si="1"/>
        <v>9663000</v>
      </c>
      <c r="M13" s="22"/>
      <c r="V13" s="12"/>
    </row>
    <row r="14" spans="1:22" x14ac:dyDescent="0.2">
      <c r="A14" s="2" t="s">
        <v>792</v>
      </c>
      <c r="B14" s="2" t="s">
        <v>540</v>
      </c>
      <c r="C14" s="23">
        <v>4.0375543955426654E-2</v>
      </c>
      <c r="D14" s="13">
        <v>36096.156689000003</v>
      </c>
      <c r="E14" s="13">
        <v>37923.767187999998</v>
      </c>
      <c r="F14" s="13">
        <v>11757.120284000001</v>
      </c>
      <c r="G14" s="24">
        <f t="shared" si="0"/>
        <v>3.2255999999940119</v>
      </c>
      <c r="H14" s="19">
        <v>1000</v>
      </c>
      <c r="I14" s="20">
        <f>+$O$2*C14</f>
        <v>5046942.994428332</v>
      </c>
      <c r="J14" s="21">
        <f>+I14*G14</f>
        <v>16279419.322797807</v>
      </c>
      <c r="K14" s="18">
        <f t="shared" si="1"/>
        <v>15495000</v>
      </c>
      <c r="M14" s="22"/>
      <c r="V14" s="12"/>
    </row>
    <row r="15" spans="1:22" x14ac:dyDescent="0.2">
      <c r="A15" s="2" t="s">
        <v>793</v>
      </c>
      <c r="B15" s="2" t="s">
        <v>540</v>
      </c>
      <c r="C15" s="23">
        <v>2.1487793000748295E-2</v>
      </c>
      <c r="D15" s="13">
        <v>19413.568630999998</v>
      </c>
      <c r="E15" s="13">
        <v>20182.961748000002</v>
      </c>
      <c r="F15" s="13">
        <v>6257.1185969999997</v>
      </c>
      <c r="G15" s="24">
        <f t="shared" si="0"/>
        <v>3.2256000002424123</v>
      </c>
      <c r="H15" s="19">
        <v>1000</v>
      </c>
      <c r="I15" s="20">
        <f>+$O$2*C15</f>
        <v>2685974.1250935369</v>
      </c>
      <c r="J15" s="21">
        <f>+I15*G15</f>
        <v>8663878.1385528259</v>
      </c>
      <c r="K15" s="18">
        <f t="shared" si="1"/>
        <v>8334000</v>
      </c>
      <c r="M15" s="22"/>
    </row>
    <row r="16" spans="1:22" x14ac:dyDescent="0.2">
      <c r="A16" s="2" t="s">
        <v>794</v>
      </c>
      <c r="B16" s="2" t="s">
        <v>540</v>
      </c>
      <c r="C16" s="23">
        <v>2.3478092244709627E-2</v>
      </c>
      <c r="D16" s="13">
        <v>21322.495750999999</v>
      </c>
      <c r="E16" s="13">
        <v>22052.401454999999</v>
      </c>
      <c r="F16" s="13">
        <v>6836.6819990000004</v>
      </c>
      <c r="G16" s="24">
        <f t="shared" si="0"/>
        <v>3.2255999998574745</v>
      </c>
      <c r="H16" s="19">
        <v>1000</v>
      </c>
      <c r="I16" s="20">
        <f>+$O$2*C16</f>
        <v>2934761.5305887032</v>
      </c>
      <c r="J16" s="21">
        <f>+I16*G16</f>
        <v>9466366.7926486433</v>
      </c>
      <c r="K16" s="18">
        <f t="shared" si="1"/>
        <v>9153000</v>
      </c>
      <c r="M16" s="22"/>
    </row>
    <row r="17" spans="1:22" x14ac:dyDescent="0.2">
      <c r="A17" s="2" t="s">
        <v>795</v>
      </c>
      <c r="B17" s="2" t="s">
        <v>540</v>
      </c>
      <c r="C17" s="23">
        <v>8.0682881625659822E-4</v>
      </c>
      <c r="D17" s="13">
        <v>637.05894000000001</v>
      </c>
      <c r="E17" s="13">
        <v>757.83469700000001</v>
      </c>
      <c r="F17" s="13">
        <v>234.943793</v>
      </c>
      <c r="G17" s="24">
        <f t="shared" si="0"/>
        <v>3.2255999927608219</v>
      </c>
      <c r="H17" s="19">
        <v>250000</v>
      </c>
      <c r="I17" s="20">
        <f>+$O$2*C17</f>
        <v>100853.60203207478</v>
      </c>
      <c r="J17" s="21">
        <f>+I17*G17</f>
        <v>325313.37798456324</v>
      </c>
      <c r="K17" s="18">
        <f t="shared" si="1"/>
        <v>273000</v>
      </c>
      <c r="M17" s="22"/>
      <c r="V17" s="12"/>
    </row>
    <row r="18" spans="1:22" x14ac:dyDescent="0.2">
      <c r="A18" s="2" t="s">
        <v>796</v>
      </c>
      <c r="B18" s="2" t="s">
        <v>540</v>
      </c>
      <c r="C18" s="23">
        <v>1.0209655569056214E-3</v>
      </c>
      <c r="D18" s="13">
        <v>905.39871000000005</v>
      </c>
      <c r="E18" s="13">
        <v>958.96813399999996</v>
      </c>
      <c r="F18" s="13">
        <v>297.299149</v>
      </c>
      <c r="G18" s="24">
        <f t="shared" si="0"/>
        <v>3.2255999965879485</v>
      </c>
      <c r="H18" s="19">
        <v>350000</v>
      </c>
      <c r="I18" s="20">
        <f>+$O$2*C18</f>
        <v>127620.69461320268</v>
      </c>
      <c r="J18" s="21">
        <f>+I18*G18</f>
        <v>411653.31210889819</v>
      </c>
      <c r="K18" s="18">
        <f t="shared" si="1"/>
        <v>389000</v>
      </c>
      <c r="M18" s="22"/>
    </row>
    <row r="19" spans="1:22" x14ac:dyDescent="0.2">
      <c r="A19" s="2" t="s">
        <v>797</v>
      </c>
      <c r="B19" s="2" t="s">
        <v>540</v>
      </c>
      <c r="C19" s="23">
        <v>1.653141931481877E-3</v>
      </c>
      <c r="D19" s="13">
        <v>1369.5333949999999</v>
      </c>
      <c r="E19" s="13">
        <v>1552.75604</v>
      </c>
      <c r="F19" s="13">
        <v>481.38518099999999</v>
      </c>
      <c r="G19" s="24">
        <f t="shared" si="0"/>
        <v>3.2256000003456693</v>
      </c>
      <c r="H19" s="19">
        <v>250000</v>
      </c>
      <c r="I19" s="20">
        <f>+$O$2*C19</f>
        <v>206642.74143523461</v>
      </c>
      <c r="J19" s="21">
        <f>+I19*G19</f>
        <v>666546.82684492285</v>
      </c>
      <c r="K19" s="18">
        <f t="shared" si="1"/>
        <v>588000</v>
      </c>
      <c r="M19" s="22"/>
      <c r="V19" s="12"/>
    </row>
    <row r="20" spans="1:22" x14ac:dyDescent="0.2">
      <c r="A20" s="2" t="s">
        <v>798</v>
      </c>
      <c r="B20" s="2" t="s">
        <v>589</v>
      </c>
      <c r="C20" s="23">
        <v>5.608069573269636E-3</v>
      </c>
      <c r="D20" s="13">
        <v>1000000</v>
      </c>
      <c r="E20" s="13">
        <v>1035590.278082</v>
      </c>
      <c r="F20" s="13">
        <v>1633.0367859999999</v>
      </c>
      <c r="G20" s="24">
        <f t="shared" si="0"/>
        <v>634.15000014702673</v>
      </c>
      <c r="H20" s="19">
        <v>5000000</v>
      </c>
      <c r="I20" s="20">
        <f>+$O$2*C20</f>
        <v>701008.69665870455</v>
      </c>
      <c r="J20" s="21">
        <f>+I20*G20</f>
        <v>444544665.08918452</v>
      </c>
      <c r="K20" s="18">
        <f t="shared" si="1"/>
        <v>429267000</v>
      </c>
      <c r="M20" s="22"/>
      <c r="V20" s="12"/>
    </row>
    <row r="21" spans="1:22" x14ac:dyDescent="0.2">
      <c r="A21" s="2" t="s">
        <v>799</v>
      </c>
      <c r="B21" s="2" t="s">
        <v>589</v>
      </c>
      <c r="C21" s="23">
        <v>1.4385032874675099E-2</v>
      </c>
      <c r="D21" s="13">
        <v>2564600</v>
      </c>
      <c r="E21" s="13">
        <v>2656350.8169300002</v>
      </c>
      <c r="F21" s="13">
        <v>4188.8367369999996</v>
      </c>
      <c r="G21" s="24">
        <f t="shared" si="0"/>
        <v>634.150000038543</v>
      </c>
      <c r="H21" s="19">
        <v>5000000</v>
      </c>
      <c r="I21" s="20">
        <f>+$O$2*C21</f>
        <v>1798129.1093343874</v>
      </c>
      <c r="J21" s="21">
        <f>+I21*G21</f>
        <v>1140283574.7537069</v>
      </c>
      <c r="K21" s="18">
        <f t="shared" si="1"/>
        <v>1100898000</v>
      </c>
      <c r="M21" s="22"/>
    </row>
    <row r="22" spans="1:22" x14ac:dyDescent="0.2">
      <c r="A22" s="2" t="s">
        <v>800</v>
      </c>
      <c r="B22" s="2" t="s">
        <v>589</v>
      </c>
      <c r="C22" s="23">
        <v>1.9881781340392795E-2</v>
      </c>
      <c r="D22" s="13">
        <v>3629400</v>
      </c>
      <c r="E22" s="13">
        <v>3671384.4567120001</v>
      </c>
      <c r="F22" s="13">
        <v>5789.4574730000004</v>
      </c>
      <c r="G22" s="24">
        <f t="shared" si="0"/>
        <v>634.15000003610874</v>
      </c>
      <c r="H22" s="19">
        <v>5000000</v>
      </c>
      <c r="I22" s="20">
        <f>+$O$2*C22</f>
        <v>2485222.6675490993</v>
      </c>
      <c r="J22" s="21">
        <f>+I22*G22</f>
        <v>1576003954.7159996</v>
      </c>
      <c r="K22" s="18">
        <f t="shared" si="1"/>
        <v>1557981000</v>
      </c>
      <c r="M22" s="22"/>
      <c r="V22" s="12"/>
    </row>
    <row r="23" spans="1:22" x14ac:dyDescent="0.2">
      <c r="A23" s="2" t="s">
        <v>801</v>
      </c>
      <c r="B23" s="2" t="s">
        <v>589</v>
      </c>
      <c r="C23" s="23">
        <v>1.8752518827154355E-2</v>
      </c>
      <c r="D23" s="13">
        <v>3415200</v>
      </c>
      <c r="E23" s="13">
        <v>3462854.004896</v>
      </c>
      <c r="F23" s="13">
        <v>5460.6228890000002</v>
      </c>
      <c r="G23" s="24">
        <f t="shared" si="0"/>
        <v>634.14999997008579</v>
      </c>
      <c r="H23" s="19">
        <v>5000000</v>
      </c>
      <c r="I23" s="20">
        <f>+$O$2*C23</f>
        <v>2344064.8533942942</v>
      </c>
      <c r="J23" s="21">
        <f>+I23*G23</f>
        <v>1486488726.7098708</v>
      </c>
      <c r="K23" s="18">
        <f t="shared" si="1"/>
        <v>1466032000</v>
      </c>
      <c r="M23" s="22"/>
      <c r="V23" s="12"/>
    </row>
    <row r="24" spans="1:22" x14ac:dyDescent="0.2">
      <c r="A24" s="2" t="s">
        <v>802</v>
      </c>
      <c r="B24" s="2" t="s">
        <v>589</v>
      </c>
      <c r="C24" s="23">
        <v>1.1986721648360494E-2</v>
      </c>
      <c r="D24" s="13">
        <v>1966130</v>
      </c>
      <c r="E24" s="13">
        <v>2213476.8905870002</v>
      </c>
      <c r="F24" s="13">
        <v>3490.4626520000002</v>
      </c>
      <c r="G24" s="24">
        <f t="shared" si="0"/>
        <v>634.14999994877473</v>
      </c>
      <c r="H24" s="19">
        <v>5000000</v>
      </c>
      <c r="I24" s="20">
        <f>+$O$2*C24</f>
        <v>1498340.2060450618</v>
      </c>
      <c r="J24" s="21">
        <f>+I24*G24</f>
        <v>950172441.58672309</v>
      </c>
      <c r="K24" s="18">
        <f t="shared" si="1"/>
        <v>843995000</v>
      </c>
      <c r="M24" s="22"/>
    </row>
    <row r="25" spans="1:22" x14ac:dyDescent="0.2">
      <c r="A25" s="2" t="s">
        <v>803</v>
      </c>
      <c r="B25" s="2" t="s">
        <v>589</v>
      </c>
      <c r="C25" s="23">
        <v>2.526971809347345E-3</v>
      </c>
      <c r="D25" s="13">
        <v>434345</v>
      </c>
      <c r="E25" s="13">
        <v>466632.484398</v>
      </c>
      <c r="F25" s="13">
        <v>735.83928800000001</v>
      </c>
      <c r="G25" s="24">
        <f t="shared" si="0"/>
        <v>634.14999988149589</v>
      </c>
      <c r="H25" s="19">
        <v>50000000</v>
      </c>
      <c r="I25" s="20">
        <f>+$O$2*C25</f>
        <v>315871.47616841813</v>
      </c>
      <c r="J25" s="21">
        <f>+I25*G25</f>
        <v>200309896.5747703</v>
      </c>
      <c r="K25" s="18">
        <f t="shared" si="1"/>
        <v>186450000</v>
      </c>
      <c r="M25" s="22"/>
    </row>
    <row r="26" spans="1:22" x14ac:dyDescent="0.2">
      <c r="A26" s="2" t="s">
        <v>804</v>
      </c>
      <c r="B26" s="2" t="s">
        <v>610</v>
      </c>
      <c r="C26" s="23">
        <v>1.6775913129752254E-2</v>
      </c>
      <c r="D26" s="13">
        <v>13849626</v>
      </c>
      <c r="E26" s="13">
        <v>14542418.442283001</v>
      </c>
      <c r="F26" s="13">
        <v>4885.0469670000002</v>
      </c>
      <c r="G26" s="24">
        <f t="shared" si="0"/>
        <v>2976.925000009524</v>
      </c>
      <c r="H26" s="19">
        <v>500000</v>
      </c>
      <c r="I26" s="20">
        <f>+$O$2*C26</f>
        <v>2096989.1412190318</v>
      </c>
      <c r="J26" s="21">
        <f>+I26*G26</f>
        <v>6242579399.2434378</v>
      </c>
      <c r="K26" s="18">
        <f t="shared" si="1"/>
        <v>5945187000</v>
      </c>
      <c r="M26" s="22"/>
    </row>
    <row r="27" spans="1:22" x14ac:dyDescent="0.2">
      <c r="A27" s="2" t="s">
        <v>805</v>
      </c>
      <c r="B27" s="2" t="s">
        <v>610</v>
      </c>
      <c r="C27" s="23">
        <v>2.6416669192971837E-2</v>
      </c>
      <c r="D27" s="13">
        <v>19478743</v>
      </c>
      <c r="E27" s="13">
        <v>22899633.199671999</v>
      </c>
      <c r="F27" s="13">
        <v>7692.3782760000004</v>
      </c>
      <c r="G27" s="24">
        <f t="shared" si="0"/>
        <v>2976.92500005079</v>
      </c>
      <c r="H27" s="19">
        <v>500000</v>
      </c>
      <c r="I27" s="20">
        <f>+$O$2*C27</f>
        <v>3302083.6491214796</v>
      </c>
      <c r="J27" s="21">
        <f>+I27*G27</f>
        <v>9830055367.3286743</v>
      </c>
      <c r="K27" s="18">
        <f t="shared" si="1"/>
        <v>8361580000</v>
      </c>
      <c r="M27" s="22"/>
      <c r="V27" s="12"/>
    </row>
    <row r="28" spans="1:22" x14ac:dyDescent="0.2">
      <c r="A28" s="2" t="s">
        <v>806</v>
      </c>
      <c r="B28" s="2" t="s">
        <v>610</v>
      </c>
      <c r="C28" s="23">
        <v>3.5729754303416815E-2</v>
      </c>
      <c r="D28" s="13">
        <v>28499371</v>
      </c>
      <c r="E28" s="13">
        <v>30972802.128913999</v>
      </c>
      <c r="F28" s="13">
        <v>10404.293736</v>
      </c>
      <c r="G28" s="24">
        <f t="shared" si="0"/>
        <v>2976.9249998916025</v>
      </c>
      <c r="H28" s="19">
        <v>500000</v>
      </c>
      <c r="I28" s="20">
        <f>+$O$2*C28</f>
        <v>4466219.2879271023</v>
      </c>
      <c r="J28" s="21">
        <f>+I28*G28</f>
        <v>13295599853.228262</v>
      </c>
      <c r="K28" s="18">
        <f t="shared" si="1"/>
        <v>12233838000</v>
      </c>
      <c r="M28" s="22"/>
      <c r="V28" s="12"/>
    </row>
    <row r="29" spans="1:22" x14ac:dyDescent="0.2">
      <c r="A29" s="2" t="s">
        <v>807</v>
      </c>
      <c r="B29" s="2" t="s">
        <v>610</v>
      </c>
      <c r="C29" s="23">
        <v>3.8392142103901968E-2</v>
      </c>
      <c r="D29" s="13">
        <v>26889987</v>
      </c>
      <c r="E29" s="13">
        <v>33280727.614498001</v>
      </c>
      <c r="F29" s="13">
        <v>11179.565361999999</v>
      </c>
      <c r="G29" s="24">
        <f t="shared" si="0"/>
        <v>2976.9249999307804</v>
      </c>
      <c r="H29" s="19">
        <v>500000</v>
      </c>
      <c r="I29" s="20">
        <f>+$O$2*C29</f>
        <v>4799017.7629877459</v>
      </c>
      <c r="J29" s="21">
        <f>+I29*G29</f>
        <v>14286315953.750109</v>
      </c>
      <c r="K29" s="18">
        <f t="shared" si="1"/>
        <v>11542982000</v>
      </c>
      <c r="M29" s="22"/>
      <c r="V29" s="12"/>
    </row>
    <row r="30" spans="1:22" x14ac:dyDescent="0.2">
      <c r="A30" s="2" t="s">
        <v>808</v>
      </c>
      <c r="B30" s="2" t="s">
        <v>610</v>
      </c>
      <c r="C30" s="23">
        <v>3.5739468782439457E-2</v>
      </c>
      <c r="D30" s="13">
        <v>28711413</v>
      </c>
      <c r="E30" s="13">
        <v>30981223.252742</v>
      </c>
      <c r="F30" s="13">
        <v>10407.122535</v>
      </c>
      <c r="G30" s="24">
        <f t="shared" si="0"/>
        <v>2976.9250000227848</v>
      </c>
      <c r="H30" s="19">
        <v>500000</v>
      </c>
      <c r="I30" s="20">
        <f>+$O$2*C30</f>
        <v>4467433.5978049319</v>
      </c>
      <c r="J30" s="21">
        <f>+I30*G30</f>
        <v>13299214763.247236</v>
      </c>
      <c r="K30" s="18">
        <f t="shared" si="1"/>
        <v>12324860000</v>
      </c>
      <c r="M30" s="22"/>
      <c r="V30" s="12"/>
    </row>
    <row r="31" spans="1:22" x14ac:dyDescent="0.2">
      <c r="A31" s="2" t="s">
        <v>809</v>
      </c>
      <c r="B31" s="2" t="s">
        <v>610</v>
      </c>
      <c r="C31" s="23">
        <v>1.557496406166038E-2</v>
      </c>
      <c r="D31" s="13">
        <v>13804481</v>
      </c>
      <c r="E31" s="13">
        <v>13501360.126075</v>
      </c>
      <c r="F31" s="13">
        <v>4535.337681</v>
      </c>
      <c r="G31" s="24">
        <f t="shared" si="0"/>
        <v>2976.9250000141278</v>
      </c>
      <c r="H31" s="19">
        <v>100000</v>
      </c>
      <c r="I31" s="20">
        <f>+$O$2*C31</f>
        <v>1946870.5077075474</v>
      </c>
      <c r="J31" s="21">
        <f>+I31*G31</f>
        <v>5795687486.1847954</v>
      </c>
      <c r="K31" s="18">
        <f t="shared" si="1"/>
        <v>5925807000</v>
      </c>
      <c r="M31" s="22"/>
    </row>
    <row r="32" spans="1:22" x14ac:dyDescent="0.2">
      <c r="A32" s="2" t="s">
        <v>810</v>
      </c>
      <c r="B32" s="2" t="s">
        <v>610</v>
      </c>
      <c r="C32" s="23">
        <v>2.1553155935087599E-2</v>
      </c>
      <c r="D32" s="13">
        <v>17081086</v>
      </c>
      <c r="E32" s="13">
        <v>18683633.48852</v>
      </c>
      <c r="F32" s="13">
        <v>6276.1518980000001</v>
      </c>
      <c r="G32" s="24">
        <f t="shared" si="0"/>
        <v>2976.924999930905</v>
      </c>
      <c r="H32" s="19">
        <v>100000</v>
      </c>
      <c r="I32" s="20">
        <f>+$O$2*C32</f>
        <v>2694144.4918859499</v>
      </c>
      <c r="J32" s="21">
        <f>+I32*G32</f>
        <v>8020266091.3214293</v>
      </c>
      <c r="K32" s="18">
        <f t="shared" si="1"/>
        <v>7332345000</v>
      </c>
      <c r="M32" s="22"/>
    </row>
    <row r="33" spans="1:22" x14ac:dyDescent="0.2">
      <c r="A33" s="2" t="s">
        <v>811</v>
      </c>
      <c r="B33" s="2" t="s">
        <v>610</v>
      </c>
      <c r="C33" s="23">
        <v>1.0338053231242171E-2</v>
      </c>
      <c r="D33" s="13">
        <v>8718750</v>
      </c>
      <c r="E33" s="13">
        <v>8961675.873288</v>
      </c>
      <c r="F33" s="13">
        <v>3010.3801319999998</v>
      </c>
      <c r="G33" s="24">
        <f t="shared" si="0"/>
        <v>2976.9249996126405</v>
      </c>
      <c r="H33" s="19">
        <v>500000</v>
      </c>
      <c r="I33" s="20">
        <f>+$O$2*C33</f>
        <v>1292256.6539052713</v>
      </c>
      <c r="J33" s="21">
        <f>+I33*G33</f>
        <v>3846951138.9263821</v>
      </c>
      <c r="K33" s="18">
        <f t="shared" si="1"/>
        <v>3742671000</v>
      </c>
      <c r="M33" s="22"/>
    </row>
    <row r="34" spans="1:22" x14ac:dyDescent="0.2">
      <c r="A34" s="2" t="s">
        <v>812</v>
      </c>
      <c r="B34" s="2" t="s">
        <v>610</v>
      </c>
      <c r="C34" s="23">
        <v>3.158482305053278E-3</v>
      </c>
      <c r="D34" s="13">
        <v>2467611.0320000001</v>
      </c>
      <c r="E34" s="13">
        <v>2737971.4578120001</v>
      </c>
      <c r="F34" s="13">
        <v>919.73141999999996</v>
      </c>
      <c r="G34" s="24">
        <f t="shared" si="0"/>
        <v>2976.9250003571697</v>
      </c>
      <c r="H34" s="19">
        <v>5000000</v>
      </c>
      <c r="I34" s="20">
        <f>+$O$2*C34</f>
        <v>394810.28813165973</v>
      </c>
      <c r="J34" s="21">
        <f>+I34*G34</f>
        <v>1175320617.1373553</v>
      </c>
      <c r="K34" s="18">
        <f t="shared" si="1"/>
        <v>1059264000</v>
      </c>
      <c r="M34" s="22"/>
    </row>
    <row r="35" spans="1:22" x14ac:dyDescent="0.2">
      <c r="A35" s="2" t="s">
        <v>813</v>
      </c>
      <c r="B35" s="2" t="s">
        <v>610</v>
      </c>
      <c r="C35" s="23">
        <v>1.1241908514587069E-3</v>
      </c>
      <c r="D35" s="13">
        <v>1000000</v>
      </c>
      <c r="E35" s="13">
        <v>974519.45753400004</v>
      </c>
      <c r="F35" s="13">
        <v>327.35774600000002</v>
      </c>
      <c r="G35" s="24">
        <f t="shared" si="0"/>
        <v>2976.9249985427259</v>
      </c>
      <c r="H35" s="19">
        <v>5000000</v>
      </c>
      <c r="I35" s="20">
        <f>+$O$2*C35</f>
        <v>140523.85643233836</v>
      </c>
      <c r="J35" s="21">
        <f>+I35*G35</f>
        <v>418328981.10505712</v>
      </c>
      <c r="K35" s="18">
        <f t="shared" si="1"/>
        <v>429267000</v>
      </c>
      <c r="M35" s="22"/>
      <c r="V35" s="12"/>
    </row>
    <row r="36" spans="1:22" x14ac:dyDescent="0.2">
      <c r="A36" s="2" t="s">
        <v>814</v>
      </c>
      <c r="B36" s="2" t="s">
        <v>610</v>
      </c>
      <c r="C36" s="23">
        <v>2.8720182479474235E-3</v>
      </c>
      <c r="D36" s="13">
        <v>1924515</v>
      </c>
      <c r="E36" s="13">
        <v>2489646.3647889998</v>
      </c>
      <c r="F36" s="13">
        <v>836.31477600000005</v>
      </c>
      <c r="G36" s="24">
        <f t="shared" si="0"/>
        <v>2976.9250002931908</v>
      </c>
      <c r="H36" s="19">
        <v>5000000</v>
      </c>
      <c r="I36" s="20">
        <f>+$O$2*C36</f>
        <v>359002.28099342796</v>
      </c>
      <c r="J36" s="21">
        <f>+I36*G36</f>
        <v>1068722865.4516168</v>
      </c>
      <c r="K36" s="18">
        <f t="shared" si="1"/>
        <v>826131000</v>
      </c>
      <c r="M36" s="22"/>
      <c r="V36" s="12"/>
    </row>
    <row r="37" spans="1:22" x14ac:dyDescent="0.2">
      <c r="A37" s="2" t="s">
        <v>815</v>
      </c>
      <c r="B37" s="2" t="s">
        <v>646</v>
      </c>
      <c r="C37" s="23">
        <v>2.5544436572729541E-2</v>
      </c>
      <c r="D37" s="13">
        <v>140003.895984</v>
      </c>
      <c r="E37" s="13">
        <v>137912.57223200001</v>
      </c>
      <c r="F37" s="13">
        <v>7438.3892809999998</v>
      </c>
      <c r="G37" s="24">
        <f t="shared" si="0"/>
        <v>18.540650001240504</v>
      </c>
      <c r="H37" s="19">
        <v>100</v>
      </c>
      <c r="I37" s="20">
        <f>+$O$2*C37</f>
        <v>3193054.5715911929</v>
      </c>
      <c r="J37" s="21">
        <f>+I37*G37</f>
        <v>59201307.246733248</v>
      </c>
      <c r="K37" s="18">
        <f t="shared" si="1"/>
        <v>60099000</v>
      </c>
      <c r="M37" s="22"/>
      <c r="V37" s="12"/>
    </row>
    <row r="38" spans="1:22" x14ac:dyDescent="0.2">
      <c r="A38" s="2" t="s">
        <v>816</v>
      </c>
      <c r="B38" s="2" t="s">
        <v>646</v>
      </c>
      <c r="C38" s="23">
        <v>3.6829601032038653E-2</v>
      </c>
      <c r="D38" s="13">
        <v>187565.51336499999</v>
      </c>
      <c r="E38" s="13">
        <v>198840.36189</v>
      </c>
      <c r="F38" s="13">
        <v>10724.562617</v>
      </c>
      <c r="G38" s="24">
        <f t="shared" si="0"/>
        <v>18.54065000047731</v>
      </c>
      <c r="H38" s="19">
        <v>100</v>
      </c>
      <c r="I38" s="20">
        <f>+$O$2*C38</f>
        <v>4603700.1290048314</v>
      </c>
      <c r="J38" s="21">
        <f>+I38*G38</f>
        <v>85355592.799030825</v>
      </c>
      <c r="K38" s="18">
        <f t="shared" si="1"/>
        <v>80516000</v>
      </c>
      <c r="M38" s="22"/>
      <c r="V38" s="12"/>
    </row>
    <row r="39" spans="1:22" x14ac:dyDescent="0.2">
      <c r="A39" s="2" t="s">
        <v>817</v>
      </c>
      <c r="B39" s="2" t="s">
        <v>646</v>
      </c>
      <c r="C39" s="23">
        <v>3.4768717041252527E-2</v>
      </c>
      <c r="D39" s="13">
        <v>185429.335108</v>
      </c>
      <c r="E39" s="13">
        <v>187713.79773200001</v>
      </c>
      <c r="F39" s="13">
        <v>10124.445352999999</v>
      </c>
      <c r="G39" s="24">
        <f t="shared" si="0"/>
        <v>18.540649999792638</v>
      </c>
      <c r="H39" s="19">
        <v>100</v>
      </c>
      <c r="I39" s="20">
        <f>+$O$2*C39</f>
        <v>4346089.6301565655</v>
      </c>
      <c r="J39" s="21">
        <f>+I39*G39</f>
        <v>80579326.700461119</v>
      </c>
      <c r="K39" s="18">
        <f t="shared" si="1"/>
        <v>79599000</v>
      </c>
      <c r="M39" s="22"/>
      <c r="V39" s="12"/>
    </row>
    <row r="40" spans="1:22" x14ac:dyDescent="0.2">
      <c r="A40" s="2" t="s">
        <v>818</v>
      </c>
      <c r="B40" s="2" t="s">
        <v>646</v>
      </c>
      <c r="C40" s="23">
        <v>2.5211372104129392E-2</v>
      </c>
      <c r="D40" s="13">
        <v>135055.76605100001</v>
      </c>
      <c r="E40" s="13">
        <v>136114.381165</v>
      </c>
      <c r="F40" s="13">
        <v>7341.4028719999997</v>
      </c>
      <c r="G40" s="24">
        <f t="shared" si="0"/>
        <v>18.540650000851773</v>
      </c>
      <c r="H40" s="19">
        <v>100</v>
      </c>
      <c r="I40" s="20">
        <f>+$O$2*C40</f>
        <v>3151421.5130161741</v>
      </c>
      <c r="J40" s="21">
        <f>+I40*G40</f>
        <v>58429403.277987622</v>
      </c>
      <c r="K40" s="18">
        <f t="shared" si="1"/>
        <v>57975000</v>
      </c>
      <c r="M40" s="22"/>
      <c r="V40" s="12"/>
    </row>
    <row r="41" spans="1:22" x14ac:dyDescent="0.2">
      <c r="A41" s="2" t="s">
        <v>819</v>
      </c>
      <c r="B41" s="2" t="s">
        <v>646</v>
      </c>
      <c r="C41" s="23">
        <v>1.1340670373964244E-2</v>
      </c>
      <c r="D41" s="13">
        <v>56628.726863999997</v>
      </c>
      <c r="E41" s="13">
        <v>61227.462088</v>
      </c>
      <c r="F41" s="13">
        <v>3302.336331</v>
      </c>
      <c r="G41" s="24">
        <f t="shared" si="0"/>
        <v>18.540649997772743</v>
      </c>
      <c r="H41" s="19">
        <v>100</v>
      </c>
      <c r="I41" s="20">
        <f>+$O$2*C41</f>
        <v>1417583.7967455306</v>
      </c>
      <c r="J41" s="21">
        <f>+I41*G41</f>
        <v>26282925.017972697</v>
      </c>
      <c r="K41" s="18">
        <f t="shared" si="1"/>
        <v>24309000</v>
      </c>
      <c r="M41" s="22"/>
      <c r="V41" s="12"/>
    </row>
    <row r="42" spans="1:22" x14ac:dyDescent="0.2">
      <c r="A42" s="2" t="s">
        <v>820</v>
      </c>
      <c r="B42" s="2" t="s">
        <v>646</v>
      </c>
      <c r="C42" s="23">
        <v>3.6553199218553482E-2</v>
      </c>
      <c r="D42" s="13">
        <v>163663.58871000001</v>
      </c>
      <c r="E42" s="13">
        <v>197348.08841500001</v>
      </c>
      <c r="F42" s="13">
        <v>10644.076039</v>
      </c>
      <c r="G42" s="24">
        <f t="shared" si="0"/>
        <v>18.540650000236251</v>
      </c>
      <c r="H42" s="19">
        <v>100</v>
      </c>
      <c r="I42" s="20">
        <f>+$O$2*C42</f>
        <v>4569149.9023191854</v>
      </c>
      <c r="J42" s="21">
        <f>+I42*G42</f>
        <v>84715009.137513667</v>
      </c>
      <c r="K42" s="18">
        <f t="shared" si="1"/>
        <v>70255000</v>
      </c>
      <c r="M42" s="22"/>
      <c r="V42" s="12"/>
    </row>
    <row r="43" spans="1:22" x14ac:dyDescent="0.2">
      <c r="A43" s="2" t="s">
        <v>821</v>
      </c>
      <c r="B43" s="2" t="s">
        <v>646</v>
      </c>
      <c r="C43" s="23">
        <v>1.6370148541815416E-2</v>
      </c>
      <c r="D43" s="13">
        <v>95600.929300999996</v>
      </c>
      <c r="E43" s="13">
        <v>88381.252280999994</v>
      </c>
      <c r="F43" s="13">
        <v>4766.8907120000003</v>
      </c>
      <c r="G43" s="24">
        <f t="shared" si="0"/>
        <v>18.540650000326668</v>
      </c>
      <c r="H43" s="19">
        <v>100</v>
      </c>
      <c r="I43" s="20">
        <f>+$O$2*C43</f>
        <v>2046268.5677269271</v>
      </c>
      <c r="J43" s="21">
        <f>+I43*G43</f>
        <v>37939149.320894703</v>
      </c>
      <c r="K43" s="18">
        <f t="shared" si="1"/>
        <v>41038000</v>
      </c>
      <c r="M43" s="22"/>
    </row>
    <row r="44" spans="1:22" x14ac:dyDescent="0.2">
      <c r="A44" s="2" t="s">
        <v>822</v>
      </c>
      <c r="B44" s="2" t="s">
        <v>646</v>
      </c>
      <c r="C44" s="23">
        <v>1.7801317413228979E-2</v>
      </c>
      <c r="D44" s="13">
        <v>91277.589429</v>
      </c>
      <c r="E44" s="13">
        <v>96108.029888000005</v>
      </c>
      <c r="F44" s="13">
        <v>5183.6386469999998</v>
      </c>
      <c r="G44" s="24">
        <f t="shared" si="0"/>
        <v>18.540650001446757</v>
      </c>
      <c r="H44" s="19">
        <v>100</v>
      </c>
      <c r="I44" s="20">
        <f>+$O$2*C44</f>
        <v>2225164.6766536226</v>
      </c>
      <c r="J44" s="21">
        <f>+I44*G44</f>
        <v>41255999.465417258</v>
      </c>
      <c r="K44" s="18">
        <f t="shared" si="1"/>
        <v>39182000</v>
      </c>
      <c r="M44" s="22"/>
      <c r="V44" s="12"/>
    </row>
    <row r="45" spans="1:22" x14ac:dyDescent="0.2">
      <c r="A45" s="2" t="s">
        <v>823</v>
      </c>
      <c r="B45" s="2" t="s">
        <v>646</v>
      </c>
      <c r="C45" s="23">
        <v>1.2805716483674144E-2</v>
      </c>
      <c r="D45" s="13">
        <v>61016.954644999998</v>
      </c>
      <c r="E45" s="13">
        <v>69137.140461000003</v>
      </c>
      <c r="F45" s="13">
        <v>3728.949118</v>
      </c>
      <c r="G45" s="24">
        <f t="shared" si="0"/>
        <v>18.540649999022058</v>
      </c>
      <c r="H45" s="19">
        <v>100</v>
      </c>
      <c r="I45" s="20">
        <f>+$O$2*C45</f>
        <v>1600714.560459268</v>
      </c>
      <c r="J45" s="21">
        <f>+I45*G45</f>
        <v>29678288.413813721</v>
      </c>
      <c r="K45" s="18">
        <f t="shared" si="1"/>
        <v>26193000</v>
      </c>
      <c r="M45" s="22"/>
    </row>
    <row r="46" spans="1:22" x14ac:dyDescent="0.2">
      <c r="A46" s="2" t="s">
        <v>824</v>
      </c>
      <c r="B46" s="2" t="s">
        <v>646</v>
      </c>
      <c r="C46" s="23">
        <v>1.6207820199316721E-2</v>
      </c>
      <c r="D46" s="13">
        <v>81826.275223000004</v>
      </c>
      <c r="E46" s="13">
        <v>87504.853252999994</v>
      </c>
      <c r="F46" s="13">
        <v>4719.6216560000003</v>
      </c>
      <c r="G46" s="24">
        <f t="shared" si="0"/>
        <v>18.540649999297315</v>
      </c>
      <c r="H46" s="19">
        <v>100</v>
      </c>
      <c r="I46" s="20">
        <f>+$O$2*C46</f>
        <v>2025977.5249145902</v>
      </c>
      <c r="J46" s="21">
        <f>+I46*G46</f>
        <v>37562940.195884071</v>
      </c>
      <c r="K46" s="18">
        <f t="shared" si="1"/>
        <v>35125000</v>
      </c>
      <c r="M46" s="22"/>
    </row>
    <row r="47" spans="1:22" x14ac:dyDescent="0.2">
      <c r="A47" s="2" t="s">
        <v>825</v>
      </c>
      <c r="B47" s="2" t="s">
        <v>646</v>
      </c>
      <c r="C47" s="23">
        <v>1.0734794896057706E-2</v>
      </c>
      <c r="D47" s="13">
        <v>54301.665943</v>
      </c>
      <c r="E47" s="13">
        <v>57956.384060999997</v>
      </c>
      <c r="F47" s="13">
        <v>3125.9089650000001</v>
      </c>
      <c r="G47" s="24">
        <f t="shared" si="0"/>
        <v>18.540650002902435</v>
      </c>
      <c r="H47" s="19">
        <v>100</v>
      </c>
      <c r="I47" s="20">
        <f>+$O$2*C47</f>
        <v>1341849.3620072133</v>
      </c>
      <c r="J47" s="21">
        <f>+I47*G47</f>
        <v>24878759.37759367</v>
      </c>
      <c r="K47" s="18">
        <f t="shared" si="1"/>
        <v>23310000</v>
      </c>
      <c r="M47" s="22"/>
      <c r="V47" s="12"/>
    </row>
    <row r="48" spans="1:22" x14ac:dyDescent="0.2">
      <c r="A48" s="2" t="s">
        <v>826</v>
      </c>
      <c r="B48" s="2" t="s">
        <v>646</v>
      </c>
      <c r="C48" s="23">
        <v>1.2710443149618634E-2</v>
      </c>
      <c r="D48" s="13">
        <v>52892.366430000002</v>
      </c>
      <c r="E48" s="13">
        <v>68622.766600000003</v>
      </c>
      <c r="F48" s="13">
        <v>3701.2060849999998</v>
      </c>
      <c r="G48" s="24">
        <f t="shared" si="0"/>
        <v>18.540650000039111</v>
      </c>
      <c r="H48" s="19">
        <v>100</v>
      </c>
      <c r="I48" s="20">
        <f>+$O$2*C48</f>
        <v>1588805.3937023291</v>
      </c>
      <c r="J48" s="21">
        <f>+I48*G48</f>
        <v>29457484.722809229</v>
      </c>
      <c r="K48" s="18">
        <f t="shared" si="1"/>
        <v>22705000</v>
      </c>
      <c r="M48" s="22"/>
    </row>
    <row r="49" spans="1:22" x14ac:dyDescent="0.2">
      <c r="A49" s="2" t="s">
        <v>827</v>
      </c>
      <c r="B49" s="2" t="s">
        <v>646</v>
      </c>
      <c r="C49" s="23">
        <v>1.1948681046212691E-2</v>
      </c>
      <c r="D49" s="13">
        <v>56484.802556000002</v>
      </c>
      <c r="E49" s="13">
        <v>64510.067905999997</v>
      </c>
      <c r="F49" s="13">
        <v>3479.3854529999999</v>
      </c>
      <c r="G49" s="24">
        <f t="shared" si="0"/>
        <v>18.540650001964586</v>
      </c>
      <c r="H49" s="19">
        <v>100</v>
      </c>
      <c r="I49" s="20">
        <f>+$O$2*C49</f>
        <v>1493585.1307765862</v>
      </c>
      <c r="J49" s="21">
        <f>+I49*G49</f>
        <v>27692039.157867189</v>
      </c>
      <c r="K49" s="18">
        <f t="shared" si="1"/>
        <v>24247000</v>
      </c>
      <c r="M49" s="22"/>
      <c r="V49" s="12"/>
    </row>
    <row r="50" spans="1:22" x14ac:dyDescent="0.2">
      <c r="A50" s="2" t="s">
        <v>828</v>
      </c>
      <c r="B50" s="2" t="s">
        <v>646</v>
      </c>
      <c r="C50" s="23">
        <v>2.3878129590968727E-2</v>
      </c>
      <c r="D50" s="13">
        <v>121869.67701699999</v>
      </c>
      <c r="E50" s="13">
        <v>128916.300904</v>
      </c>
      <c r="F50" s="13">
        <v>6953.1705149999998</v>
      </c>
      <c r="G50" s="24">
        <f t="shared" si="0"/>
        <v>18.540649999290288</v>
      </c>
      <c r="H50" s="19">
        <v>100</v>
      </c>
      <c r="I50" s="20">
        <f>+$O$2*C50</f>
        <v>2984766.198871091</v>
      </c>
      <c r="J50" s="21">
        <f>+I50*G50</f>
        <v>55339505.422980972</v>
      </c>
      <c r="K50" s="18">
        <f t="shared" si="1"/>
        <v>52315000</v>
      </c>
      <c r="M50" s="22"/>
    </row>
    <row r="51" spans="1:22" x14ac:dyDescent="0.2">
      <c r="A51" s="2" t="s">
        <v>829</v>
      </c>
      <c r="B51" s="2" t="s">
        <v>646</v>
      </c>
      <c r="C51" s="23">
        <v>6.1260042316937926E-3</v>
      </c>
      <c r="D51" s="13">
        <v>30411.084475</v>
      </c>
      <c r="E51" s="13">
        <v>33073.855378</v>
      </c>
      <c r="F51" s="13">
        <v>1783.8563039999999</v>
      </c>
      <c r="G51" s="24">
        <f t="shared" si="0"/>
        <v>18.54064999733297</v>
      </c>
      <c r="H51" s="19">
        <v>100</v>
      </c>
      <c r="I51" s="20">
        <f>+$O$2*C51</f>
        <v>765750.52896172402</v>
      </c>
      <c r="J51" s="21">
        <f>+I51*G51</f>
        <v>14197512.542751908</v>
      </c>
      <c r="K51" s="18">
        <f t="shared" si="1"/>
        <v>13054000</v>
      </c>
      <c r="M51" s="22"/>
    </row>
    <row r="52" spans="1:22" x14ac:dyDescent="0.2">
      <c r="A52" s="2" t="s">
        <v>830</v>
      </c>
      <c r="B52" s="2" t="s">
        <v>697</v>
      </c>
      <c r="C52" s="23">
        <v>5.2731802222440362E-3</v>
      </c>
      <c r="D52" s="13">
        <v>4401</v>
      </c>
      <c r="E52" s="13">
        <v>4971.2427049999997</v>
      </c>
      <c r="F52" s="13">
        <v>1535.5189820000001</v>
      </c>
      <c r="G52" s="24">
        <f t="shared" si="0"/>
        <v>3.2375000005047152</v>
      </c>
      <c r="H52" s="19">
        <v>1000</v>
      </c>
      <c r="I52" s="20">
        <f>+$O$2*C52</f>
        <v>659147.52778050455</v>
      </c>
      <c r="J52" s="21">
        <f>+I52*G52</f>
        <v>2133990.1215220653</v>
      </c>
      <c r="K52" s="18">
        <f t="shared" si="1"/>
        <v>1889000</v>
      </c>
      <c r="M52" s="22"/>
      <c r="V52" s="12"/>
    </row>
    <row r="53" spans="1:22" x14ac:dyDescent="0.2">
      <c r="A53" s="2" t="s">
        <v>831</v>
      </c>
      <c r="B53" s="2" t="s">
        <v>697</v>
      </c>
      <c r="C53" s="23">
        <v>1.0955939306102032E-2</v>
      </c>
      <c r="D53" s="13">
        <v>9556</v>
      </c>
      <c r="E53" s="13">
        <v>10328.612155999999</v>
      </c>
      <c r="F53" s="13">
        <v>3190.3049129999999</v>
      </c>
      <c r="G53" s="24">
        <f t="shared" si="0"/>
        <v>3.2375000000509355</v>
      </c>
      <c r="H53" s="19">
        <v>1000</v>
      </c>
      <c r="I53" s="20">
        <f>+$O$2*C53</f>
        <v>1369492.413262754</v>
      </c>
      <c r="J53" s="21">
        <f>+I53*G53</f>
        <v>4433731.6880079219</v>
      </c>
      <c r="K53" s="18">
        <f t="shared" si="1"/>
        <v>4102000</v>
      </c>
      <c r="M53" s="22"/>
      <c r="V53" s="12"/>
    </row>
    <row r="54" spans="1:22" x14ac:dyDescent="0.2">
      <c r="A54" s="2" t="s">
        <v>832</v>
      </c>
      <c r="B54" s="2" t="s">
        <v>697</v>
      </c>
      <c r="C54" s="23">
        <v>1.4359823267277038E-2</v>
      </c>
      <c r="D54" s="13">
        <v>10841.999</v>
      </c>
      <c r="E54" s="13">
        <v>13537.592807999999</v>
      </c>
      <c r="F54" s="13">
        <v>4181.4958479999996</v>
      </c>
      <c r="G54" s="24">
        <f t="shared" si="0"/>
        <v>3.2375000000239149</v>
      </c>
      <c r="H54" s="19">
        <v>1000</v>
      </c>
      <c r="I54" s="20">
        <f>+$O$2*C54</f>
        <v>1794977.9084096297</v>
      </c>
      <c r="J54" s="21">
        <f>+I54*G54</f>
        <v>5811240.9785191026</v>
      </c>
      <c r="K54" s="18">
        <f t="shared" si="1"/>
        <v>4654000</v>
      </c>
      <c r="M54" s="22"/>
      <c r="V54" s="12"/>
    </row>
    <row r="55" spans="1:22" x14ac:dyDescent="0.2">
      <c r="A55" s="2" t="s">
        <v>833</v>
      </c>
      <c r="B55" s="2" t="s">
        <v>697</v>
      </c>
      <c r="C55" s="23">
        <v>1.5060205487477428E-2</v>
      </c>
      <c r="D55" s="13">
        <v>12872</v>
      </c>
      <c r="E55" s="13">
        <v>14197.871778999999</v>
      </c>
      <c r="F55" s="13">
        <v>4385.4430199999997</v>
      </c>
      <c r="G55" s="24">
        <f t="shared" si="0"/>
        <v>3.2375000003990477</v>
      </c>
      <c r="H55" s="19">
        <v>1000</v>
      </c>
      <c r="I55" s="20">
        <f>+$O$2*C55</f>
        <v>1882525.6859346787</v>
      </c>
      <c r="J55" s="21">
        <f>+I55*G55</f>
        <v>6094676.9089647401</v>
      </c>
      <c r="K55" s="18">
        <f t="shared" si="1"/>
        <v>5526000</v>
      </c>
      <c r="M55" s="22"/>
      <c r="V55" s="12"/>
    </row>
    <row r="56" spans="1:22" x14ac:dyDescent="0.2">
      <c r="A56" s="2" t="s">
        <v>834</v>
      </c>
      <c r="B56" s="2" t="s">
        <v>697</v>
      </c>
      <c r="C56" s="23">
        <v>1.5020338914283228E-2</v>
      </c>
      <c r="D56" s="13">
        <v>12238</v>
      </c>
      <c r="E56" s="13">
        <v>14160.287929</v>
      </c>
      <c r="F56" s="13">
        <v>4373.8341090000004</v>
      </c>
      <c r="G56" s="24">
        <f t="shared" si="0"/>
        <v>3.2375000002543532</v>
      </c>
      <c r="H56" s="19">
        <v>1000</v>
      </c>
      <c r="I56" s="20">
        <f>+$O$2*C56</f>
        <v>1877542.3642854036</v>
      </c>
      <c r="J56" s="21">
        <f>+I56*G56</f>
        <v>6078543.404851553</v>
      </c>
      <c r="K56" s="18">
        <f t="shared" si="1"/>
        <v>5253000</v>
      </c>
      <c r="M56" s="22"/>
      <c r="V56" s="12"/>
    </row>
    <row r="57" spans="1:22" x14ac:dyDescent="0.2">
      <c r="A57" s="2" t="s">
        <v>835</v>
      </c>
      <c r="B57" s="2" t="s">
        <v>697</v>
      </c>
      <c r="C57" s="23">
        <v>1.1453123819009285E-2</v>
      </c>
      <c r="D57" s="13">
        <v>10000</v>
      </c>
      <c r="E57" s="13">
        <v>10797.328332999999</v>
      </c>
      <c r="F57" s="13">
        <v>3335.0821110000002</v>
      </c>
      <c r="G57" s="24">
        <f t="shared" si="0"/>
        <v>3.237499999591464</v>
      </c>
      <c r="H57" s="19">
        <v>1000</v>
      </c>
      <c r="I57" s="20">
        <f>+$O$2*C57</f>
        <v>1431640.4773761607</v>
      </c>
      <c r="J57" s="21">
        <f>+I57*G57</f>
        <v>4634936.0449204436</v>
      </c>
      <c r="K57" s="18">
        <f t="shared" si="1"/>
        <v>4293000</v>
      </c>
      <c r="M57" s="22"/>
    </row>
    <row r="58" spans="1:22" x14ac:dyDescent="0.2">
      <c r="A58" s="2" t="s">
        <v>836</v>
      </c>
      <c r="B58" s="2" t="s">
        <v>697</v>
      </c>
      <c r="C58" s="23">
        <v>9.9737921521240933E-3</v>
      </c>
      <c r="D58" s="13">
        <v>8295</v>
      </c>
      <c r="E58" s="13">
        <v>9402.7018580000004</v>
      </c>
      <c r="F58" s="13">
        <v>2904.3094540000002</v>
      </c>
      <c r="G58" s="24">
        <f t="shared" si="0"/>
        <v>3.237500000232413</v>
      </c>
      <c r="H58" s="19">
        <v>1000</v>
      </c>
      <c r="I58" s="20">
        <f>+$O$2*C58</f>
        <v>1246724.0190155117</v>
      </c>
      <c r="J58" s="21">
        <f>+I58*G58</f>
        <v>4036269.011852474</v>
      </c>
      <c r="K58" s="18">
        <f t="shared" si="1"/>
        <v>3561000</v>
      </c>
      <c r="M58" s="22"/>
      <c r="V58" s="12"/>
    </row>
    <row r="59" spans="1:22" x14ac:dyDescent="0.2">
      <c r="A59" s="2" t="s">
        <v>837</v>
      </c>
      <c r="B59" s="2" t="s">
        <v>857</v>
      </c>
      <c r="C59" s="23">
        <v>4.603105429031416E-3</v>
      </c>
      <c r="D59" s="13">
        <v>35271.245999999999</v>
      </c>
      <c r="E59" s="13">
        <v>38965.345265999997</v>
      </c>
      <c r="F59" s="13">
        <v>1340.397154</v>
      </c>
      <c r="G59" s="24">
        <f t="shared" si="0"/>
        <v>29.06999999941808</v>
      </c>
      <c r="H59" s="19">
        <v>1000</v>
      </c>
      <c r="I59" s="20">
        <f>+$O$2*C59</f>
        <v>575388.17862892698</v>
      </c>
      <c r="J59" s="21">
        <f>+I59*G59</f>
        <v>16726534.352408078</v>
      </c>
      <c r="K59" s="18">
        <f t="shared" si="1"/>
        <v>15141000</v>
      </c>
      <c r="M59" s="22"/>
      <c r="V59" s="12"/>
    </row>
    <row r="60" spans="1:22" x14ac:dyDescent="0.2">
      <c r="A60" s="2" t="s">
        <v>838</v>
      </c>
      <c r="B60" s="2" t="s">
        <v>857</v>
      </c>
      <c r="C60" s="23">
        <v>3.795513880981444E-3</v>
      </c>
      <c r="D60" s="13">
        <v>31603</v>
      </c>
      <c r="E60" s="13">
        <v>32129.072668000001</v>
      </c>
      <c r="F60" s="13">
        <v>1105.231258</v>
      </c>
      <c r="G60" s="24">
        <f t="shared" si="0"/>
        <v>29.069999998136137</v>
      </c>
      <c r="H60" s="19">
        <v>1000</v>
      </c>
      <c r="I60" s="20">
        <f>+$O$2*C60</f>
        <v>474439.23512268049</v>
      </c>
      <c r="J60" s="21">
        <f>+I60*G60</f>
        <v>13791948.564132031</v>
      </c>
      <c r="K60" s="18">
        <f t="shared" si="1"/>
        <v>13566000</v>
      </c>
      <c r="M60" s="22"/>
      <c r="V60" s="12"/>
    </row>
    <row r="61" spans="1:22" x14ac:dyDescent="0.2">
      <c r="A61" s="2"/>
      <c r="B61" s="2"/>
      <c r="C61" s="7"/>
      <c r="D61" s="2"/>
      <c r="F61" s="12"/>
      <c r="V61" s="12"/>
    </row>
    <row r="65" spans="2:2" x14ac:dyDescent="0.2">
      <c r="B65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222"/>
  <sheetViews>
    <sheetView workbookViewId="0">
      <pane ySplit="2" topLeftCell="A156" activePane="bottomLeft" state="frozen"/>
      <selection pane="bottomLeft" sqref="A1:B1"/>
    </sheetView>
  </sheetViews>
  <sheetFormatPr baseColWidth="10" defaultRowHeight="14.25" x14ac:dyDescent="0.2"/>
  <cols>
    <col min="1" max="1" width="25" customWidth="1"/>
    <col min="2" max="2" width="15.625" customWidth="1"/>
    <col min="3" max="3" width="39.5" customWidth="1"/>
    <col min="14" max="14" width="12.5" customWidth="1"/>
    <col min="15" max="15" width="15.25" customWidth="1"/>
    <col min="16" max="16" width="15.875" customWidth="1"/>
    <col min="17" max="17" width="13.5" customWidth="1"/>
    <col min="18" max="18" width="20.25" customWidth="1"/>
    <col min="19" max="19" width="9.875" customWidth="1"/>
    <col min="26" max="26" width="15.625" customWidth="1"/>
    <col min="29" max="29" width="12.375" customWidth="1"/>
    <col min="30" max="30" width="12" customWidth="1"/>
    <col min="31" max="31" width="11.625" customWidth="1"/>
    <col min="32" max="32" width="10.5" customWidth="1"/>
    <col min="38" max="38" width="10.25" customWidth="1"/>
    <col min="39" max="39" width="15" customWidth="1"/>
    <col min="40" max="40" width="23.75" customWidth="1"/>
    <col min="41" max="41" width="17.375" customWidth="1"/>
    <col min="44" max="44" width="19.625" customWidth="1"/>
  </cols>
  <sheetData>
    <row r="1" spans="1:44" ht="24.75" customHeight="1" x14ac:dyDescent="0.2">
      <c r="A1" s="11" t="s">
        <v>839</v>
      </c>
      <c r="B1" s="11">
        <v>20171130</v>
      </c>
      <c r="C1" s="11"/>
      <c r="D1" s="11">
        <f>+COLUMN(D2)</f>
        <v>4</v>
      </c>
      <c r="E1" s="11">
        <f t="shared" ref="E1:AF1" si="0">+COLUMN(E2)</f>
        <v>5</v>
      </c>
      <c r="F1" s="11">
        <f t="shared" si="0"/>
        <v>6</v>
      </c>
      <c r="G1" s="11">
        <f t="shared" si="0"/>
        <v>7</v>
      </c>
      <c r="H1" s="11">
        <f t="shared" si="0"/>
        <v>8</v>
      </c>
      <c r="I1" s="11">
        <f t="shared" si="0"/>
        <v>9</v>
      </c>
      <c r="J1" s="11">
        <f t="shared" si="0"/>
        <v>10</v>
      </c>
      <c r="K1" s="11">
        <f t="shared" si="0"/>
        <v>11</v>
      </c>
      <c r="L1" s="11">
        <f t="shared" si="0"/>
        <v>12</v>
      </c>
      <c r="M1" s="11">
        <f t="shared" si="0"/>
        <v>13</v>
      </c>
      <c r="N1" s="11">
        <f t="shared" si="0"/>
        <v>14</v>
      </c>
      <c r="O1" s="11">
        <f t="shared" si="0"/>
        <v>15</v>
      </c>
      <c r="P1" s="11">
        <f t="shared" si="0"/>
        <v>16</v>
      </c>
      <c r="Q1" s="11">
        <f t="shared" si="0"/>
        <v>17</v>
      </c>
      <c r="R1" s="11">
        <f t="shared" si="0"/>
        <v>18</v>
      </c>
      <c r="S1" s="11">
        <f t="shared" si="0"/>
        <v>19</v>
      </c>
      <c r="T1" s="11">
        <f t="shared" si="0"/>
        <v>20</v>
      </c>
      <c r="U1" s="11">
        <f t="shared" si="0"/>
        <v>21</v>
      </c>
      <c r="V1" s="11">
        <f t="shared" si="0"/>
        <v>22</v>
      </c>
      <c r="W1" s="11">
        <f t="shared" si="0"/>
        <v>23</v>
      </c>
      <c r="X1" s="11">
        <f t="shared" si="0"/>
        <v>24</v>
      </c>
      <c r="Y1" s="11">
        <f t="shared" si="0"/>
        <v>25</v>
      </c>
      <c r="Z1" s="11">
        <f t="shared" si="0"/>
        <v>26</v>
      </c>
      <c r="AA1" s="11">
        <f t="shared" si="0"/>
        <v>27</v>
      </c>
      <c r="AB1" s="11">
        <f t="shared" si="0"/>
        <v>28</v>
      </c>
      <c r="AC1" s="11">
        <f t="shared" si="0"/>
        <v>29</v>
      </c>
      <c r="AD1" s="11">
        <f t="shared" si="0"/>
        <v>30</v>
      </c>
      <c r="AE1" s="11">
        <f t="shared" si="0"/>
        <v>31</v>
      </c>
      <c r="AF1" s="11">
        <f t="shared" si="0"/>
        <v>32</v>
      </c>
      <c r="AG1" s="11"/>
      <c r="AH1" s="11"/>
      <c r="AI1" s="11"/>
      <c r="AJ1" s="11"/>
      <c r="AK1" s="11"/>
      <c r="AL1" s="11"/>
      <c r="AM1" s="11"/>
      <c r="AN1" s="11"/>
      <c r="AO1" s="11"/>
    </row>
    <row r="2" spans="1:44" x14ac:dyDescent="0.2">
      <c r="A2" s="11" t="s">
        <v>0</v>
      </c>
      <c r="B2" s="11" t="s">
        <v>1</v>
      </c>
      <c r="C2" s="11" t="s">
        <v>2</v>
      </c>
      <c r="D2" s="11" t="s">
        <v>3</v>
      </c>
      <c r="E2" s="11" t="s">
        <v>840</v>
      </c>
      <c r="F2" s="11" t="s">
        <v>841</v>
      </c>
      <c r="G2" s="11" t="s">
        <v>4</v>
      </c>
      <c r="H2" s="11" t="s">
        <v>5</v>
      </c>
      <c r="I2" s="11" t="s">
        <v>6</v>
      </c>
      <c r="J2" s="11" t="s">
        <v>7</v>
      </c>
      <c r="K2" s="11" t="s">
        <v>8</v>
      </c>
      <c r="L2" s="11" t="s">
        <v>9</v>
      </c>
      <c r="M2" s="11" t="s">
        <v>10</v>
      </c>
      <c r="N2" s="11" t="s">
        <v>11</v>
      </c>
      <c r="O2" s="11" t="s">
        <v>12</v>
      </c>
      <c r="P2" s="11" t="s">
        <v>13</v>
      </c>
      <c r="Q2" s="11" t="s">
        <v>14</v>
      </c>
      <c r="R2" s="11" t="s">
        <v>15</v>
      </c>
      <c r="S2" s="11" t="s">
        <v>16</v>
      </c>
      <c r="T2" s="11" t="s">
        <v>17</v>
      </c>
      <c r="U2" s="11" t="s">
        <v>18</v>
      </c>
      <c r="V2" s="11" t="s">
        <v>19</v>
      </c>
      <c r="W2" s="11" t="s">
        <v>20</v>
      </c>
      <c r="X2" s="11" t="s">
        <v>842</v>
      </c>
      <c r="Y2" s="11" t="s">
        <v>21</v>
      </c>
      <c r="Z2" s="11" t="s">
        <v>22</v>
      </c>
      <c r="AA2" s="11" t="s">
        <v>23</v>
      </c>
      <c r="AB2" s="11" t="s">
        <v>24</v>
      </c>
      <c r="AC2" s="11" t="s">
        <v>25</v>
      </c>
      <c r="AD2" s="11" t="s">
        <v>26</v>
      </c>
      <c r="AE2" s="11" t="s">
        <v>27</v>
      </c>
      <c r="AF2" s="11" t="s">
        <v>28</v>
      </c>
      <c r="AG2" s="11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</row>
    <row r="3" spans="1:44" x14ac:dyDescent="0.2">
      <c r="A3" s="11" t="s">
        <v>38</v>
      </c>
      <c r="B3" s="11" t="s">
        <v>39</v>
      </c>
      <c r="C3" s="11" t="s">
        <v>40</v>
      </c>
      <c r="D3" s="11" t="s">
        <v>41</v>
      </c>
      <c r="E3" s="12">
        <v>43570</v>
      </c>
      <c r="F3" s="11" t="s">
        <v>843</v>
      </c>
      <c r="G3" s="11">
        <v>103.075</v>
      </c>
      <c r="H3" s="11">
        <v>1.1033649999999999</v>
      </c>
      <c r="I3" s="11">
        <v>139.86897300000001</v>
      </c>
      <c r="J3" s="11">
        <v>2.0801E-2</v>
      </c>
      <c r="K3" s="11">
        <v>0.72386200000000001</v>
      </c>
      <c r="L3" s="11">
        <v>11.010624999999999</v>
      </c>
      <c r="M3" s="11">
        <v>9.1152650000000008</v>
      </c>
      <c r="N3" s="11">
        <v>46583891.828056</v>
      </c>
      <c r="O3" s="11">
        <v>48530337.039006002</v>
      </c>
      <c r="P3" s="11">
        <v>3593.242784</v>
      </c>
      <c r="Q3" s="11">
        <v>3010.1723919999999</v>
      </c>
      <c r="R3" s="11">
        <v>0.41293200000000002</v>
      </c>
      <c r="S3" s="11">
        <v>1.3035810000000001</v>
      </c>
      <c r="T3" s="11">
        <v>1.2687360000000001</v>
      </c>
      <c r="U3" s="11">
        <v>5.4927320000000002</v>
      </c>
      <c r="V3" s="11">
        <v>2.2678500000000001</v>
      </c>
      <c r="W3" s="11">
        <v>7.875</v>
      </c>
      <c r="X3" s="12">
        <v>41515</v>
      </c>
      <c r="Y3" s="11">
        <v>2</v>
      </c>
      <c r="Z3" s="11" t="s">
        <v>42</v>
      </c>
      <c r="AA3" s="11" t="s">
        <v>43</v>
      </c>
      <c r="AB3" s="11">
        <v>7.6343999999999995E-2</v>
      </c>
      <c r="AC3" s="11">
        <v>1.1452230000000001</v>
      </c>
      <c r="AD3" s="11">
        <v>11.433922000000001</v>
      </c>
      <c r="AE3" s="11">
        <v>8.8446180000000005</v>
      </c>
      <c r="AF3" s="11">
        <v>-0.71591700000000003</v>
      </c>
      <c r="AG3" s="11">
        <v>-1.290837</v>
      </c>
      <c r="AH3" s="11">
        <v>-1.387934</v>
      </c>
      <c r="AI3" s="11">
        <v>-3.8251979999999999</v>
      </c>
      <c r="AJ3" s="11">
        <v>100</v>
      </c>
      <c r="AK3" s="11" t="s">
        <v>44</v>
      </c>
      <c r="AL3" s="11" t="s">
        <v>45</v>
      </c>
      <c r="AM3" s="11">
        <v>0.41293200000000002</v>
      </c>
      <c r="AN3" s="11">
        <v>0.41293200000000002</v>
      </c>
      <c r="AO3" s="11"/>
      <c r="AR3" s="3"/>
    </row>
    <row r="4" spans="1:44" x14ac:dyDescent="0.2">
      <c r="A4" s="11" t="s">
        <v>46</v>
      </c>
      <c r="B4" s="11" t="s">
        <v>47</v>
      </c>
      <c r="C4" s="11" t="s">
        <v>48</v>
      </c>
      <c r="D4" s="11" t="s">
        <v>41</v>
      </c>
      <c r="E4" s="12">
        <v>44089</v>
      </c>
      <c r="F4" s="11" t="s">
        <v>843</v>
      </c>
      <c r="G4" s="11">
        <v>105.5665</v>
      </c>
      <c r="H4" s="11">
        <v>1.8459939999999999</v>
      </c>
      <c r="I4" s="11">
        <v>110.385035</v>
      </c>
      <c r="J4" s="11">
        <v>-5.6571999999999997E-2</v>
      </c>
      <c r="K4" s="11">
        <v>0.38284000000000001</v>
      </c>
      <c r="L4" s="11">
        <v>10.385035</v>
      </c>
      <c r="M4" s="11">
        <v>9.8597490000000008</v>
      </c>
      <c r="N4" s="11">
        <v>28749479.237688001</v>
      </c>
      <c r="O4" s="11">
        <v>30880532.797812998</v>
      </c>
      <c r="P4" s="11">
        <v>2286.4306820000002</v>
      </c>
      <c r="Q4" s="11">
        <v>1915.4148299999999</v>
      </c>
      <c r="R4" s="11">
        <v>0.26275399999999999</v>
      </c>
      <c r="S4" s="11">
        <v>2.5023010000000001</v>
      </c>
      <c r="T4" s="11">
        <v>2.4291109999999998</v>
      </c>
      <c r="U4" s="11">
        <v>6.0261199999999997</v>
      </c>
      <c r="V4" s="11">
        <v>7.4840869999999997</v>
      </c>
      <c r="W4" s="11">
        <v>8.25</v>
      </c>
      <c r="X4" s="12">
        <v>41536</v>
      </c>
      <c r="Y4" s="11">
        <v>2</v>
      </c>
      <c r="Z4" s="11" t="s">
        <v>49</v>
      </c>
      <c r="AA4" s="11" t="s">
        <v>43</v>
      </c>
      <c r="AB4" s="11">
        <v>-1.073E-3</v>
      </c>
      <c r="AC4" s="11">
        <v>0.80277399999999999</v>
      </c>
      <c r="AD4" s="11">
        <v>10.805946</v>
      </c>
      <c r="AE4" s="11">
        <v>9.587256</v>
      </c>
      <c r="AF4" s="11">
        <v>-0.79272100000000001</v>
      </c>
      <c r="AG4" s="11">
        <v>-1.625038</v>
      </c>
      <c r="AH4" s="11">
        <v>-1.9436530000000001</v>
      </c>
      <c r="AI4" s="11">
        <v>-3.169006</v>
      </c>
      <c r="AJ4" s="11">
        <v>100</v>
      </c>
      <c r="AK4" s="11" t="s">
        <v>44</v>
      </c>
      <c r="AL4" s="11" t="s">
        <v>45</v>
      </c>
      <c r="AM4" s="11">
        <v>0.26275399999999999</v>
      </c>
      <c r="AN4" s="11">
        <v>0.26275399999999999</v>
      </c>
      <c r="AO4" s="11"/>
    </row>
    <row r="5" spans="1:44" x14ac:dyDescent="0.2">
      <c r="A5" s="11" t="s">
        <v>50</v>
      </c>
      <c r="B5" s="11" t="s">
        <v>51</v>
      </c>
      <c r="C5" s="11" t="s">
        <v>52</v>
      </c>
      <c r="D5" s="11" t="s">
        <v>41</v>
      </c>
      <c r="E5" s="12">
        <v>44150</v>
      </c>
      <c r="F5" s="11" t="s">
        <v>843</v>
      </c>
      <c r="G5" s="11">
        <v>113.438</v>
      </c>
      <c r="H5" s="11">
        <v>0.60773500000000003</v>
      </c>
      <c r="I5" s="11">
        <v>403.81174600000003</v>
      </c>
      <c r="J5" s="11">
        <v>5.9672999999999997E-2</v>
      </c>
      <c r="K5" s="11">
        <v>1.094611</v>
      </c>
      <c r="L5" s="11">
        <v>13.129616</v>
      </c>
      <c r="M5" s="11">
        <v>11.028438</v>
      </c>
      <c r="N5" s="11">
        <v>13283232.954112001</v>
      </c>
      <c r="O5" s="11">
        <v>15148960.628593</v>
      </c>
      <c r="P5" s="11">
        <v>1121.646722</v>
      </c>
      <c r="Q5" s="11">
        <v>939.63870499999996</v>
      </c>
      <c r="R5" s="11">
        <v>0.12889800000000001</v>
      </c>
      <c r="S5" s="11">
        <v>2.6030129999999998</v>
      </c>
      <c r="T5" s="11">
        <v>2.5278770000000002</v>
      </c>
      <c r="U5" s="11">
        <v>5.9445449999999997</v>
      </c>
      <c r="V5" s="11">
        <v>8.0997710000000005</v>
      </c>
      <c r="W5" s="11">
        <v>11</v>
      </c>
      <c r="X5" s="12">
        <v>38519</v>
      </c>
      <c r="Y5" s="11">
        <v>2</v>
      </c>
      <c r="Z5" s="11" t="s">
        <v>53</v>
      </c>
      <c r="AA5" s="11" t="s">
        <v>43</v>
      </c>
      <c r="AB5" s="11">
        <v>0.11523700000000001</v>
      </c>
      <c r="AC5" s="11">
        <v>1.517522</v>
      </c>
      <c r="AD5" s="11">
        <v>13.560993</v>
      </c>
      <c r="AE5" s="11">
        <v>10.753045</v>
      </c>
      <c r="AF5" s="11">
        <v>-0.67733200000000005</v>
      </c>
      <c r="AG5" s="11">
        <v>-0.92750500000000002</v>
      </c>
      <c r="AH5" s="11">
        <v>0.49439100000000002</v>
      </c>
      <c r="AI5" s="11">
        <v>-2.1389170000000002</v>
      </c>
      <c r="AJ5" s="11">
        <v>100</v>
      </c>
      <c r="AK5" s="11" t="s">
        <v>44</v>
      </c>
      <c r="AL5" s="11" t="s">
        <v>45</v>
      </c>
      <c r="AM5" s="11">
        <v>0.12889800000000001</v>
      </c>
      <c r="AN5" s="11">
        <v>0.12889800000000001</v>
      </c>
      <c r="AO5" s="11"/>
    </row>
    <row r="6" spans="1:44" x14ac:dyDescent="0.2">
      <c r="A6" s="11" t="s">
        <v>54</v>
      </c>
      <c r="B6" s="11" t="s">
        <v>55</v>
      </c>
      <c r="C6" s="11" t="s">
        <v>56</v>
      </c>
      <c r="D6" s="11" t="s">
        <v>41</v>
      </c>
      <c r="E6" s="12">
        <v>44362</v>
      </c>
      <c r="F6" s="11" t="s">
        <v>844</v>
      </c>
      <c r="G6" s="11">
        <v>121.375</v>
      </c>
      <c r="H6" s="11">
        <v>6.0502729999999998</v>
      </c>
      <c r="I6" s="11">
        <v>419.14140400000002</v>
      </c>
      <c r="J6" s="11">
        <v>0.125942</v>
      </c>
      <c r="K6" s="11">
        <v>1.2211190000000001</v>
      </c>
      <c r="L6" s="11">
        <v>13.902884</v>
      </c>
      <c r="M6" s="11">
        <v>11.802391</v>
      </c>
      <c r="N6" s="11">
        <v>12018070.714676</v>
      </c>
      <c r="O6" s="11">
        <v>15314059.444435</v>
      </c>
      <c r="P6" s="11">
        <v>1133.870831</v>
      </c>
      <c r="Q6" s="11">
        <v>949.87922500000002</v>
      </c>
      <c r="R6" s="11">
        <v>0.130303</v>
      </c>
      <c r="S6" s="11">
        <v>2.8651049999999998</v>
      </c>
      <c r="T6" s="11">
        <v>2.7818990000000001</v>
      </c>
      <c r="U6" s="11">
        <v>5.9819800000000001</v>
      </c>
      <c r="V6" s="11">
        <v>10.263725000000001</v>
      </c>
      <c r="W6" s="11">
        <v>12.8</v>
      </c>
      <c r="X6" s="12">
        <v>38743</v>
      </c>
      <c r="Y6" s="11">
        <v>2</v>
      </c>
      <c r="Z6" s="11" t="s">
        <v>57</v>
      </c>
      <c r="AA6" s="11" t="s">
        <v>43</v>
      </c>
      <c r="AB6" s="11">
        <v>0.18154300000000001</v>
      </c>
      <c r="AC6" s="11">
        <v>1.64456</v>
      </c>
      <c r="AD6" s="11">
        <v>14.337209</v>
      </c>
      <c r="AE6" s="11">
        <v>11.525079</v>
      </c>
      <c r="AF6" s="11">
        <v>-0.61155000000000004</v>
      </c>
      <c r="AG6" s="11">
        <v>-0.80352699999999999</v>
      </c>
      <c r="AH6" s="11">
        <v>1.1812940000000001</v>
      </c>
      <c r="AI6" s="11">
        <v>-1.4567509999999999</v>
      </c>
      <c r="AJ6" s="11">
        <v>100</v>
      </c>
      <c r="AK6" s="11" t="s">
        <v>44</v>
      </c>
      <c r="AL6" s="11" t="s">
        <v>45</v>
      </c>
      <c r="AM6" s="11">
        <v>0.130303</v>
      </c>
      <c r="AN6" s="11">
        <v>0.130303</v>
      </c>
      <c r="AO6" s="11"/>
    </row>
    <row r="7" spans="1:44" x14ac:dyDescent="0.2">
      <c r="A7" s="11" t="s">
        <v>58</v>
      </c>
      <c r="B7" s="11" t="s">
        <v>59</v>
      </c>
      <c r="C7" s="11" t="s">
        <v>60</v>
      </c>
      <c r="D7" s="11" t="s">
        <v>41</v>
      </c>
      <c r="E7" s="12">
        <v>44392</v>
      </c>
      <c r="F7" s="11" t="s">
        <v>844</v>
      </c>
      <c r="G7" s="11">
        <v>107.15</v>
      </c>
      <c r="H7" s="11">
        <v>3.2058420000000001</v>
      </c>
      <c r="I7" s="11">
        <v>186.31372400000001</v>
      </c>
      <c r="J7" s="11">
        <v>0.17946899999999999</v>
      </c>
      <c r="K7" s="11">
        <v>1.5508169999999999</v>
      </c>
      <c r="L7" s="11">
        <v>15.280716999999999</v>
      </c>
      <c r="M7" s="11">
        <v>11.608231999999999</v>
      </c>
      <c r="N7" s="11">
        <v>74679208.425399005</v>
      </c>
      <c r="O7" s="11">
        <v>82412869.549006999</v>
      </c>
      <c r="P7" s="11">
        <v>6101.9450280000001</v>
      </c>
      <c r="Q7" s="11">
        <v>5111.7910929999998</v>
      </c>
      <c r="R7" s="11">
        <v>0.70122899999999999</v>
      </c>
      <c r="S7" s="11">
        <v>3.1214490000000001</v>
      </c>
      <c r="T7" s="11">
        <v>3.0303110000000002</v>
      </c>
      <c r="U7" s="11">
        <v>6.0150860000000002</v>
      </c>
      <c r="V7" s="11">
        <v>11.603569999999999</v>
      </c>
      <c r="W7" s="11">
        <v>8.25</v>
      </c>
      <c r="X7" s="12">
        <v>40367</v>
      </c>
      <c r="Y7" s="11">
        <v>2</v>
      </c>
      <c r="Z7" s="11" t="s">
        <v>61</v>
      </c>
      <c r="AA7" s="11" t="s">
        <v>43</v>
      </c>
      <c r="AB7" s="11">
        <v>0.235099</v>
      </c>
      <c r="AC7" s="11">
        <v>1.975638</v>
      </c>
      <c r="AD7" s="11">
        <v>15.720295999999999</v>
      </c>
      <c r="AE7" s="11">
        <v>11.331402000000001</v>
      </c>
      <c r="AF7" s="11">
        <v>-0.55841799999999997</v>
      </c>
      <c r="AG7" s="11">
        <v>-0.48042299999999999</v>
      </c>
      <c r="AH7" s="11">
        <v>2.40524</v>
      </c>
      <c r="AI7" s="11">
        <v>-1.627883</v>
      </c>
      <c r="AJ7" s="11">
        <v>100</v>
      </c>
      <c r="AK7" s="11" t="s">
        <v>44</v>
      </c>
      <c r="AL7" s="11" t="s">
        <v>45</v>
      </c>
      <c r="AM7" s="11">
        <v>0.70122899999999999</v>
      </c>
      <c r="AN7" s="11">
        <v>0.70122899999999999</v>
      </c>
      <c r="AO7" s="11"/>
    </row>
    <row r="8" spans="1:44" x14ac:dyDescent="0.2">
      <c r="A8" s="11" t="s">
        <v>62</v>
      </c>
      <c r="B8" s="11" t="s">
        <v>63</v>
      </c>
      <c r="C8" s="11" t="s">
        <v>64</v>
      </c>
      <c r="D8" s="11" t="s">
        <v>41</v>
      </c>
      <c r="E8" s="12">
        <v>44696</v>
      </c>
      <c r="F8" s="11" t="s">
        <v>844</v>
      </c>
      <c r="G8" s="11">
        <v>103.5415</v>
      </c>
      <c r="H8" s="11">
        <v>0.38673999999999997</v>
      </c>
      <c r="I8" s="11">
        <v>151.81557799999999</v>
      </c>
      <c r="J8" s="11">
        <v>0.15906600000000001</v>
      </c>
      <c r="K8" s="11">
        <v>1.5139769999999999</v>
      </c>
      <c r="L8" s="11">
        <v>16.593516999999999</v>
      </c>
      <c r="M8" s="11">
        <v>12.356320999999999</v>
      </c>
      <c r="N8" s="11">
        <v>74567375.280507997</v>
      </c>
      <c r="O8" s="11">
        <v>77496560.990411997</v>
      </c>
      <c r="P8" s="11">
        <v>5737.9358060000004</v>
      </c>
      <c r="Q8" s="11">
        <v>4806.8491290000002</v>
      </c>
      <c r="R8" s="11">
        <v>0.65939800000000004</v>
      </c>
      <c r="S8" s="11">
        <v>3.8912439999999999</v>
      </c>
      <c r="T8" s="11">
        <v>3.7765919999999999</v>
      </c>
      <c r="U8" s="11">
        <v>6.0717090000000002</v>
      </c>
      <c r="V8" s="11">
        <v>17.304131000000002</v>
      </c>
      <c r="W8" s="11">
        <v>7</v>
      </c>
      <c r="X8" s="12">
        <v>40822</v>
      </c>
      <c r="Y8" s="11">
        <v>2</v>
      </c>
      <c r="Z8" s="11" t="s">
        <v>65</v>
      </c>
      <c r="AA8" s="11" t="s">
        <v>43</v>
      </c>
      <c r="AB8" s="11">
        <v>0.21468499999999999</v>
      </c>
      <c r="AC8" s="11">
        <v>1.9386429999999999</v>
      </c>
      <c r="AD8" s="11">
        <v>17.038101999999999</v>
      </c>
      <c r="AE8" s="11">
        <v>12.077634</v>
      </c>
      <c r="AF8" s="11">
        <v>-0.57867100000000005</v>
      </c>
      <c r="AG8" s="11">
        <v>-0.51652699999999996</v>
      </c>
      <c r="AH8" s="11">
        <v>3.5714160000000001</v>
      </c>
      <c r="AI8" s="11">
        <v>-0.96851399999999999</v>
      </c>
      <c r="AJ8" s="11">
        <v>100</v>
      </c>
      <c r="AK8" s="11" t="s">
        <v>44</v>
      </c>
      <c r="AL8" s="11" t="s">
        <v>45</v>
      </c>
      <c r="AM8" s="11">
        <v>0.65939800000000004</v>
      </c>
      <c r="AN8" s="11">
        <v>0.65939800000000004</v>
      </c>
      <c r="AO8" s="11"/>
    </row>
    <row r="9" spans="1:44" x14ac:dyDescent="0.2">
      <c r="A9" s="11" t="s">
        <v>66</v>
      </c>
      <c r="B9" s="11" t="s">
        <v>67</v>
      </c>
      <c r="C9" s="11" t="s">
        <v>68</v>
      </c>
      <c r="D9" s="11" t="s">
        <v>41</v>
      </c>
      <c r="E9" s="12">
        <v>45061</v>
      </c>
      <c r="F9" s="11" t="s">
        <v>845</v>
      </c>
      <c r="G9" s="11">
        <v>96.798500000000004</v>
      </c>
      <c r="H9" s="11">
        <v>0.31077300000000002</v>
      </c>
      <c r="I9" s="11">
        <v>136.16918000000001</v>
      </c>
      <c r="J9" s="11">
        <v>6.4514000000000002E-2</v>
      </c>
      <c r="K9" s="11">
        <v>1.693128</v>
      </c>
      <c r="L9" s="11">
        <v>16.737138000000002</v>
      </c>
      <c r="M9" s="11">
        <v>14.352289000000001</v>
      </c>
      <c r="N9" s="11">
        <v>26515698.156376</v>
      </c>
      <c r="O9" s="11">
        <v>25749201.837981999</v>
      </c>
      <c r="P9" s="11">
        <v>1906.500951</v>
      </c>
      <c r="Q9" s="11">
        <v>1597.135755</v>
      </c>
      <c r="R9" s="11">
        <v>0.21909300000000001</v>
      </c>
      <c r="S9" s="11">
        <v>4.7342300000000002</v>
      </c>
      <c r="T9" s="11">
        <v>4.5890139999999997</v>
      </c>
      <c r="U9" s="11">
        <v>6.3288669999999998</v>
      </c>
      <c r="V9" s="11">
        <v>25.196249999999999</v>
      </c>
      <c r="W9" s="11">
        <v>5.625</v>
      </c>
      <c r="X9" s="12">
        <v>41134</v>
      </c>
      <c r="Y9" s="11">
        <v>2</v>
      </c>
      <c r="Z9" s="11" t="s">
        <v>69</v>
      </c>
      <c r="AA9" s="11" t="s">
        <v>43</v>
      </c>
      <c r="AB9" s="11">
        <v>0.12008099999999999</v>
      </c>
      <c r="AC9" s="11">
        <v>2.1185429999999998</v>
      </c>
      <c r="AD9" s="11">
        <v>17.182271</v>
      </c>
      <c r="AE9" s="11">
        <v>14.068652</v>
      </c>
      <c r="AF9" s="11">
        <v>-0.67252599999999996</v>
      </c>
      <c r="AG9" s="11">
        <v>-0.34095900000000001</v>
      </c>
      <c r="AH9" s="11">
        <v>3.6989960000000002</v>
      </c>
      <c r="AI9" s="11">
        <v>0.79074299999999997</v>
      </c>
      <c r="AJ9" s="11">
        <v>100</v>
      </c>
      <c r="AK9" s="11" t="s">
        <v>44</v>
      </c>
      <c r="AL9" s="11" t="s">
        <v>45</v>
      </c>
      <c r="AM9" s="11">
        <v>0.21909300000000001</v>
      </c>
      <c r="AN9" s="11">
        <v>0.21909300000000001</v>
      </c>
      <c r="AO9" s="11"/>
    </row>
    <row r="10" spans="1:44" x14ac:dyDescent="0.2">
      <c r="A10" s="11" t="s">
        <v>70</v>
      </c>
      <c r="B10" s="11" t="s">
        <v>71</v>
      </c>
      <c r="C10" s="11" t="s">
        <v>72</v>
      </c>
      <c r="D10" s="11" t="s">
        <v>41</v>
      </c>
      <c r="E10" s="12">
        <v>45366</v>
      </c>
      <c r="F10" s="11" t="s">
        <v>845</v>
      </c>
      <c r="G10" s="11">
        <v>109.8635</v>
      </c>
      <c r="H10" s="11">
        <v>1.873964</v>
      </c>
      <c r="I10" s="11">
        <v>141.94108800000001</v>
      </c>
      <c r="J10" s="11">
        <v>0.18734100000000001</v>
      </c>
      <c r="K10" s="11">
        <v>1.924307</v>
      </c>
      <c r="L10" s="11">
        <v>16.906731000000001</v>
      </c>
      <c r="M10" s="11">
        <v>14.832876000000001</v>
      </c>
      <c r="N10" s="11">
        <v>99250522.590364993</v>
      </c>
      <c r="O10" s="11">
        <v>110900017.036956</v>
      </c>
      <c r="P10" s="11">
        <v>8211.1666690000002</v>
      </c>
      <c r="Q10" s="11">
        <v>6878.7523410000003</v>
      </c>
      <c r="R10" s="11">
        <v>0.94361899999999999</v>
      </c>
      <c r="S10" s="11">
        <v>4.9915019999999997</v>
      </c>
      <c r="T10" s="11">
        <v>4.8359579999999998</v>
      </c>
      <c r="U10" s="11">
        <v>6.4328089999999998</v>
      </c>
      <c r="V10" s="11">
        <v>29.355392999999999</v>
      </c>
      <c r="W10" s="11">
        <v>8.375</v>
      </c>
      <c r="X10" s="12">
        <v>41515</v>
      </c>
      <c r="Y10" s="11">
        <v>2</v>
      </c>
      <c r="Z10" s="11" t="s">
        <v>73</v>
      </c>
      <c r="AA10" s="11" t="s">
        <v>43</v>
      </c>
      <c r="AB10" s="11">
        <v>0.242975</v>
      </c>
      <c r="AC10" s="11">
        <v>2.350689</v>
      </c>
      <c r="AD10" s="11">
        <v>17.352509999999999</v>
      </c>
      <c r="AE10" s="11">
        <v>14.548047</v>
      </c>
      <c r="AF10" s="11">
        <v>-0.55060399999999998</v>
      </c>
      <c r="AG10" s="11">
        <v>-0.11440400000000001</v>
      </c>
      <c r="AH10" s="11">
        <v>3.8496480000000002</v>
      </c>
      <c r="AI10" s="11">
        <v>1.2143360000000001</v>
      </c>
      <c r="AJ10" s="11">
        <v>100</v>
      </c>
      <c r="AK10" s="11" t="s">
        <v>44</v>
      </c>
      <c r="AL10" s="11" t="s">
        <v>45</v>
      </c>
      <c r="AM10" s="11">
        <v>0.94361899999999999</v>
      </c>
      <c r="AN10" s="11">
        <v>0.94361899999999999</v>
      </c>
      <c r="AO10" s="11"/>
    </row>
    <row r="11" spans="1:44" x14ac:dyDescent="0.2">
      <c r="A11" s="11" t="s">
        <v>74</v>
      </c>
      <c r="B11" s="11" t="s">
        <v>75</v>
      </c>
      <c r="C11" s="11" t="s">
        <v>76</v>
      </c>
      <c r="D11" s="11" t="s">
        <v>41</v>
      </c>
      <c r="E11" s="12">
        <v>45915</v>
      </c>
      <c r="F11" s="11" t="s">
        <v>846</v>
      </c>
      <c r="G11" s="11">
        <v>126.325</v>
      </c>
      <c r="H11" s="11">
        <v>2.4613260000000001</v>
      </c>
      <c r="I11" s="11">
        <v>369.994801</v>
      </c>
      <c r="J11" s="11">
        <v>-1.5252E-2</v>
      </c>
      <c r="K11" s="11">
        <v>1.773128</v>
      </c>
      <c r="L11" s="11">
        <v>16.853601000000001</v>
      </c>
      <c r="M11" s="11">
        <v>15.297774</v>
      </c>
      <c r="N11" s="11">
        <v>19412759.597785</v>
      </c>
      <c r="O11" s="11">
        <v>25000979.854764</v>
      </c>
      <c r="P11" s="11">
        <v>1851.1017220000001</v>
      </c>
      <c r="Q11" s="11">
        <v>1550.7260799999999</v>
      </c>
      <c r="R11" s="11">
        <v>0.212727</v>
      </c>
      <c r="S11" s="11">
        <v>5.599901</v>
      </c>
      <c r="T11" s="11">
        <v>5.4208610000000004</v>
      </c>
      <c r="U11" s="11">
        <v>6.6055919999999997</v>
      </c>
      <c r="V11" s="11">
        <v>38.519618999999999</v>
      </c>
      <c r="W11" s="11">
        <v>11</v>
      </c>
      <c r="X11" s="12">
        <v>38981</v>
      </c>
      <c r="Y11" s="11">
        <v>2</v>
      </c>
      <c r="Z11" s="11" t="s">
        <v>77</v>
      </c>
      <c r="AA11" s="11" t="s">
        <v>43</v>
      </c>
      <c r="AB11" s="11">
        <v>4.027E-2</v>
      </c>
      <c r="AC11" s="11">
        <v>2.1988780000000001</v>
      </c>
      <c r="AD11" s="11">
        <v>17.299178000000001</v>
      </c>
      <c r="AE11" s="11">
        <v>15.011792</v>
      </c>
      <c r="AF11" s="11">
        <v>-0.75170499999999996</v>
      </c>
      <c r="AG11" s="11">
        <v>-0.26256000000000002</v>
      </c>
      <c r="AH11" s="11">
        <v>3.802451</v>
      </c>
      <c r="AI11" s="11">
        <v>1.624099</v>
      </c>
      <c r="AJ11" s="11">
        <v>100</v>
      </c>
      <c r="AK11" s="11" t="s">
        <v>44</v>
      </c>
      <c r="AL11" s="11" t="s">
        <v>45</v>
      </c>
      <c r="AM11" s="11">
        <v>0.212727</v>
      </c>
      <c r="AN11" s="11">
        <v>0.212727</v>
      </c>
      <c r="AO11" s="11"/>
    </row>
    <row r="12" spans="1:44" x14ac:dyDescent="0.2">
      <c r="A12" s="11" t="s">
        <v>78</v>
      </c>
      <c r="B12" s="11" t="s">
        <v>79</v>
      </c>
      <c r="C12" s="11" t="s">
        <v>80</v>
      </c>
      <c r="D12" s="11" t="s">
        <v>41</v>
      </c>
      <c r="E12" s="12">
        <v>46280</v>
      </c>
      <c r="F12" s="11" t="s">
        <v>846</v>
      </c>
      <c r="G12" s="11">
        <v>112.075</v>
      </c>
      <c r="H12" s="11">
        <v>1.873964</v>
      </c>
      <c r="I12" s="11">
        <v>190.11903899999999</v>
      </c>
      <c r="J12" s="11">
        <v>0.41754400000000003</v>
      </c>
      <c r="K12" s="11">
        <v>2.408881</v>
      </c>
      <c r="L12" s="11">
        <v>18.69641</v>
      </c>
      <c r="M12" s="11">
        <v>16.104032</v>
      </c>
      <c r="N12" s="11">
        <v>90645820.924603999</v>
      </c>
      <c r="O12" s="11">
        <v>103289973.93301</v>
      </c>
      <c r="P12" s="11">
        <v>7647.7101979999998</v>
      </c>
      <c r="Q12" s="11">
        <v>6406.7271490000003</v>
      </c>
      <c r="R12" s="11">
        <v>0.87886699999999995</v>
      </c>
      <c r="S12" s="11">
        <v>6.4317950000000002</v>
      </c>
      <c r="T12" s="11">
        <v>6.2282539999999997</v>
      </c>
      <c r="U12" s="11">
        <v>6.5360480000000001</v>
      </c>
      <c r="V12" s="11">
        <v>50.035167999999999</v>
      </c>
      <c r="W12" s="11">
        <v>8.375</v>
      </c>
      <c r="X12" s="12">
        <v>40444</v>
      </c>
      <c r="Y12" s="11">
        <v>2</v>
      </c>
      <c r="Z12" s="11" t="s">
        <v>81</v>
      </c>
      <c r="AA12" s="11" t="s">
        <v>43</v>
      </c>
      <c r="AB12" s="11">
        <v>0.47330699999999998</v>
      </c>
      <c r="AC12" s="11">
        <v>2.8372899999999999</v>
      </c>
      <c r="AD12" s="11">
        <v>19.149013</v>
      </c>
      <c r="AE12" s="11">
        <v>15.816050000000001</v>
      </c>
      <c r="AF12" s="11">
        <v>-0.32209599999999999</v>
      </c>
      <c r="AG12" s="11">
        <v>0.36047699999999999</v>
      </c>
      <c r="AH12" s="11">
        <v>5.4394410000000004</v>
      </c>
      <c r="AI12" s="11">
        <v>2.33474</v>
      </c>
      <c r="AJ12" s="11">
        <v>100</v>
      </c>
      <c r="AK12" s="11" t="s">
        <v>44</v>
      </c>
      <c r="AL12" s="11" t="s">
        <v>45</v>
      </c>
      <c r="AM12" s="11">
        <v>0.87886699999999995</v>
      </c>
      <c r="AN12" s="11">
        <v>0.87886699999999995</v>
      </c>
      <c r="AO12" s="11"/>
    </row>
    <row r="13" spans="1:44" x14ac:dyDescent="0.2">
      <c r="A13" s="11" t="s">
        <v>82</v>
      </c>
      <c r="B13" s="11" t="s">
        <v>83</v>
      </c>
      <c r="C13" s="11" t="s">
        <v>84</v>
      </c>
      <c r="D13" s="11" t="s">
        <v>41</v>
      </c>
      <c r="E13" s="12">
        <v>46522</v>
      </c>
      <c r="F13" s="11" t="s">
        <v>846</v>
      </c>
      <c r="G13" s="11">
        <v>103.251</v>
      </c>
      <c r="H13" s="11">
        <v>0.38673999999999997</v>
      </c>
      <c r="I13" s="11">
        <v>158.447633</v>
      </c>
      <c r="J13" s="11">
        <v>0.16145200000000001</v>
      </c>
      <c r="K13" s="11">
        <v>1.824003</v>
      </c>
      <c r="L13" s="11">
        <v>20.486113</v>
      </c>
      <c r="M13" s="11">
        <v>15.832568999999999</v>
      </c>
      <c r="N13" s="11">
        <v>84349126.526280001</v>
      </c>
      <c r="O13" s="11">
        <v>87417528.721187994</v>
      </c>
      <c r="P13" s="11">
        <v>6472.4958329999999</v>
      </c>
      <c r="Q13" s="11">
        <v>5422.2131470000004</v>
      </c>
      <c r="R13" s="11">
        <v>0.74381299999999995</v>
      </c>
      <c r="S13" s="11">
        <v>7.0849679999999999</v>
      </c>
      <c r="T13" s="11">
        <v>6.8610749999999996</v>
      </c>
      <c r="U13" s="11">
        <v>6.5264620000000004</v>
      </c>
      <c r="V13" s="11">
        <v>59.440316000000003</v>
      </c>
      <c r="W13" s="11">
        <v>7</v>
      </c>
      <c r="X13" s="12">
        <v>40801</v>
      </c>
      <c r="Y13" s="11">
        <v>2</v>
      </c>
      <c r="Z13" s="11" t="s">
        <v>85</v>
      </c>
      <c r="AA13" s="11" t="s">
        <v>43</v>
      </c>
      <c r="AB13" s="11">
        <v>0.21707199999999999</v>
      </c>
      <c r="AC13" s="11">
        <v>2.2499660000000001</v>
      </c>
      <c r="AD13" s="11">
        <v>20.945540999999999</v>
      </c>
      <c r="AE13" s="11">
        <v>15.545260000000001</v>
      </c>
      <c r="AF13" s="11">
        <v>-0.57630199999999998</v>
      </c>
      <c r="AG13" s="11">
        <v>-0.212702</v>
      </c>
      <c r="AH13" s="11">
        <v>7.0292560000000002</v>
      </c>
      <c r="AI13" s="11">
        <v>2.0954700000000002</v>
      </c>
      <c r="AJ13" s="11">
        <v>100</v>
      </c>
      <c r="AK13" s="11" t="s">
        <v>44</v>
      </c>
      <c r="AL13" s="11" t="s">
        <v>45</v>
      </c>
      <c r="AM13" s="11">
        <v>0.74381299999999995</v>
      </c>
      <c r="AN13" s="11">
        <v>0.74381299999999995</v>
      </c>
      <c r="AO13" s="11"/>
    </row>
    <row r="14" spans="1:44" x14ac:dyDescent="0.2">
      <c r="A14" s="11" t="s">
        <v>86</v>
      </c>
      <c r="B14" s="11" t="s">
        <v>87</v>
      </c>
      <c r="C14" s="11" t="s">
        <v>88</v>
      </c>
      <c r="D14" s="11" t="s">
        <v>41</v>
      </c>
      <c r="E14" s="12">
        <v>46888</v>
      </c>
      <c r="F14" s="11" t="s">
        <v>847</v>
      </c>
      <c r="G14" s="11">
        <v>95.125</v>
      </c>
      <c r="H14" s="11">
        <v>0.33839799999999998</v>
      </c>
      <c r="I14" s="11">
        <v>142.661494</v>
      </c>
      <c r="J14" s="11">
        <v>0.14381099999999999</v>
      </c>
      <c r="K14" s="11">
        <v>2.6376240000000002</v>
      </c>
      <c r="L14" s="11">
        <v>20.380534999999998</v>
      </c>
      <c r="M14" s="11">
        <v>18.872349</v>
      </c>
      <c r="N14" s="11">
        <v>22319146.19847</v>
      </c>
      <c r="O14" s="11">
        <v>21306615.318789002</v>
      </c>
      <c r="P14" s="11">
        <v>1577.5666610000001</v>
      </c>
      <c r="Q14" s="11">
        <v>1321.577164</v>
      </c>
      <c r="R14" s="11">
        <v>0.18129200000000001</v>
      </c>
      <c r="S14" s="11">
        <v>7.7645140000000001</v>
      </c>
      <c r="T14" s="11">
        <v>7.509925</v>
      </c>
      <c r="U14" s="11">
        <v>6.7800570000000002</v>
      </c>
      <c r="V14" s="11">
        <v>71.345381000000003</v>
      </c>
      <c r="W14" s="11">
        <v>6.125</v>
      </c>
      <c r="X14" s="12">
        <v>41134</v>
      </c>
      <c r="Y14" s="11">
        <v>2</v>
      </c>
      <c r="Z14" s="11" t="s">
        <v>89</v>
      </c>
      <c r="AA14" s="11" t="s">
        <v>43</v>
      </c>
      <c r="AB14" s="11">
        <v>0.19942199999999999</v>
      </c>
      <c r="AC14" s="11">
        <v>3.0669909999999998</v>
      </c>
      <c r="AD14" s="11">
        <v>20.839559999999999</v>
      </c>
      <c r="AE14" s="11">
        <v>18.577500000000001</v>
      </c>
      <c r="AF14" s="11">
        <v>-0.59381300000000004</v>
      </c>
      <c r="AG14" s="11">
        <v>0.58464499999999997</v>
      </c>
      <c r="AH14" s="11">
        <v>6.9354690000000003</v>
      </c>
      <c r="AI14" s="11">
        <v>4.77475</v>
      </c>
      <c r="AJ14" s="11">
        <v>100</v>
      </c>
      <c r="AK14" s="11" t="s">
        <v>44</v>
      </c>
      <c r="AL14" s="11" t="s">
        <v>45</v>
      </c>
      <c r="AM14" s="11">
        <v>0.18129200000000001</v>
      </c>
      <c r="AN14" s="11">
        <v>0.18129200000000001</v>
      </c>
      <c r="AO14" s="11"/>
    </row>
    <row r="15" spans="1:44" x14ac:dyDescent="0.2">
      <c r="A15" s="11" t="s">
        <v>90</v>
      </c>
      <c r="B15" s="11" t="s">
        <v>91</v>
      </c>
      <c r="C15" s="11" t="s">
        <v>92</v>
      </c>
      <c r="D15" s="11" t="s">
        <v>41</v>
      </c>
      <c r="E15" s="12">
        <v>47192</v>
      </c>
      <c r="F15" s="11" t="s">
        <v>847</v>
      </c>
      <c r="G15" s="11">
        <v>115.9235</v>
      </c>
      <c r="H15" s="11">
        <v>2.0138120000000002</v>
      </c>
      <c r="I15" s="11">
        <v>160.509287</v>
      </c>
      <c r="J15" s="11">
        <v>0.122311</v>
      </c>
      <c r="K15" s="11">
        <v>2.8712550000000001</v>
      </c>
      <c r="L15" s="11">
        <v>18.940742</v>
      </c>
      <c r="M15" s="11">
        <v>17.059650000000001</v>
      </c>
      <c r="N15" s="11">
        <v>69724043.657227993</v>
      </c>
      <c r="O15" s="11">
        <v>82230663.014900997</v>
      </c>
      <c r="P15" s="11">
        <v>6088.4542439999996</v>
      </c>
      <c r="Q15" s="11">
        <v>5100.4894389999999</v>
      </c>
      <c r="R15" s="11">
        <v>0.69967900000000005</v>
      </c>
      <c r="S15" s="11">
        <v>7.4887740000000003</v>
      </c>
      <c r="T15" s="11">
        <v>7.2378549999999997</v>
      </c>
      <c r="U15" s="11">
        <v>6.9334959999999999</v>
      </c>
      <c r="V15" s="11">
        <v>70.596577999999994</v>
      </c>
      <c r="W15" s="11">
        <v>9</v>
      </c>
      <c r="X15" s="12">
        <v>41529</v>
      </c>
      <c r="Y15" s="11">
        <v>2</v>
      </c>
      <c r="Z15" s="11" t="s">
        <v>93</v>
      </c>
      <c r="AA15" s="11" t="s">
        <v>43</v>
      </c>
      <c r="AB15" s="11">
        <v>0.17791000000000001</v>
      </c>
      <c r="AC15" s="11">
        <v>3.301599</v>
      </c>
      <c r="AD15" s="11">
        <v>19.394276999999999</v>
      </c>
      <c r="AE15" s="11">
        <v>16.769297999999999</v>
      </c>
      <c r="AF15" s="11">
        <v>-0.61515500000000001</v>
      </c>
      <c r="AG15" s="11">
        <v>0.81360299999999997</v>
      </c>
      <c r="AH15" s="11">
        <v>5.6564839999999998</v>
      </c>
      <c r="AI15" s="11">
        <v>3.1770269999999998</v>
      </c>
      <c r="AJ15" s="11">
        <v>100</v>
      </c>
      <c r="AK15" s="11" t="s">
        <v>44</v>
      </c>
      <c r="AL15" s="11" t="s">
        <v>45</v>
      </c>
      <c r="AM15" s="11">
        <v>0.69967900000000005</v>
      </c>
      <c r="AN15" s="11">
        <v>0.69967900000000005</v>
      </c>
      <c r="AO15" s="11"/>
    </row>
    <row r="16" spans="1:44" x14ac:dyDescent="0.2">
      <c r="A16" s="11" t="s">
        <v>94</v>
      </c>
      <c r="B16" s="11" t="s">
        <v>95</v>
      </c>
      <c r="C16" s="11" t="s">
        <v>96</v>
      </c>
      <c r="D16" s="11" t="s">
        <v>41</v>
      </c>
      <c r="E16" s="12">
        <v>47710</v>
      </c>
      <c r="F16" s="11" t="s">
        <v>847</v>
      </c>
      <c r="G16" s="11">
        <v>128.375</v>
      </c>
      <c r="H16" s="11">
        <v>3.1956519999999999</v>
      </c>
      <c r="I16" s="11">
        <v>280.515828</v>
      </c>
      <c r="J16" s="11">
        <v>2.1724E-2</v>
      </c>
      <c r="K16" s="11">
        <v>2.1315930000000001</v>
      </c>
      <c r="L16" s="11">
        <v>19.326422999999998</v>
      </c>
      <c r="M16" s="11">
        <v>17.290983000000001</v>
      </c>
      <c r="N16" s="11">
        <v>17544737.771000002</v>
      </c>
      <c r="O16" s="11">
        <v>23083725.907508001</v>
      </c>
      <c r="P16" s="11">
        <v>1709.146002</v>
      </c>
      <c r="Q16" s="11">
        <v>1431.8053130000001</v>
      </c>
      <c r="R16" s="11">
        <v>0.196413</v>
      </c>
      <c r="S16" s="11">
        <v>7.7541960000000003</v>
      </c>
      <c r="T16" s="11">
        <v>7.4894819999999998</v>
      </c>
      <c r="U16" s="11">
        <v>7.0689599999999997</v>
      </c>
      <c r="V16" s="11">
        <v>78.803448000000003</v>
      </c>
      <c r="W16" s="11">
        <v>10.5</v>
      </c>
      <c r="X16" s="12">
        <v>40045</v>
      </c>
      <c r="Y16" s="11">
        <v>2</v>
      </c>
      <c r="Z16" s="11" t="s">
        <v>97</v>
      </c>
      <c r="AA16" s="11" t="s">
        <v>43</v>
      </c>
      <c r="AB16" s="11">
        <v>7.7267000000000002E-2</v>
      </c>
      <c r="AC16" s="11">
        <v>2.5588419999999998</v>
      </c>
      <c r="AD16" s="11">
        <v>19.781428999999999</v>
      </c>
      <c r="AE16" s="11">
        <v>17.000057000000002</v>
      </c>
      <c r="AF16" s="11">
        <v>-0.715001</v>
      </c>
      <c r="AG16" s="11">
        <v>8.8734999999999994E-2</v>
      </c>
      <c r="AH16" s="11">
        <v>5.9990889999999997</v>
      </c>
      <c r="AI16" s="11">
        <v>3.380925</v>
      </c>
      <c r="AJ16" s="11">
        <v>100</v>
      </c>
      <c r="AK16" s="11" t="s">
        <v>44</v>
      </c>
      <c r="AL16" s="11" t="s">
        <v>45</v>
      </c>
      <c r="AM16" s="11">
        <v>0.196413</v>
      </c>
      <c r="AN16" s="11">
        <v>0.196413</v>
      </c>
      <c r="AO16" s="11"/>
    </row>
    <row r="17" spans="1:41" x14ac:dyDescent="0.2">
      <c r="A17" s="11" t="s">
        <v>98</v>
      </c>
      <c r="B17" s="11" t="s">
        <v>99</v>
      </c>
      <c r="C17" s="11" t="s">
        <v>100</v>
      </c>
      <c r="D17" s="11" t="s">
        <v>41</v>
      </c>
      <c r="E17" s="12">
        <v>47983</v>
      </c>
      <c r="F17" s="11" t="s">
        <v>847</v>
      </c>
      <c r="G17" s="11">
        <v>114.75</v>
      </c>
      <c r="H17" s="11">
        <v>0.48342499999999999</v>
      </c>
      <c r="I17" s="11">
        <v>129.683977</v>
      </c>
      <c r="J17" s="11">
        <v>-6.5858E-2</v>
      </c>
      <c r="K17" s="11">
        <v>2.5095149999999999</v>
      </c>
      <c r="L17" s="11">
        <v>20.300204000000001</v>
      </c>
      <c r="M17" s="11">
        <v>16.983487</v>
      </c>
      <c r="N17" s="11">
        <v>49436591.531162001</v>
      </c>
      <c r="O17" s="11">
        <v>56967477.829466</v>
      </c>
      <c r="P17" s="11">
        <v>4217.9385329999996</v>
      </c>
      <c r="Q17" s="11">
        <v>3533.4996510000001</v>
      </c>
      <c r="R17" s="11">
        <v>0.48472100000000001</v>
      </c>
      <c r="S17" s="11">
        <v>8.492839</v>
      </c>
      <c r="T17" s="11">
        <v>8.2043820000000007</v>
      </c>
      <c r="U17" s="11">
        <v>7.0317819999999998</v>
      </c>
      <c r="V17" s="11">
        <v>92.091309999999993</v>
      </c>
      <c r="W17" s="11">
        <v>8.75</v>
      </c>
      <c r="X17" s="12">
        <v>42222</v>
      </c>
      <c r="Y17" s="11">
        <v>2</v>
      </c>
      <c r="Z17" s="11" t="s">
        <v>101</v>
      </c>
      <c r="AA17" s="11" t="s">
        <v>43</v>
      </c>
      <c r="AB17" s="11">
        <v>-1.0364E-2</v>
      </c>
      <c r="AC17" s="11">
        <v>2.9383460000000001</v>
      </c>
      <c r="AD17" s="11">
        <v>20.758922999999999</v>
      </c>
      <c r="AE17" s="11">
        <v>16.693324</v>
      </c>
      <c r="AF17" s="11">
        <v>-0.80193800000000004</v>
      </c>
      <c r="AG17" s="11">
        <v>0.45909899999999998</v>
      </c>
      <c r="AH17" s="11">
        <v>6.8641100000000002</v>
      </c>
      <c r="AI17" s="11">
        <v>3.109896</v>
      </c>
      <c r="AJ17" s="11">
        <v>100</v>
      </c>
      <c r="AK17" s="11" t="s">
        <v>44</v>
      </c>
      <c r="AL17" s="11" t="s">
        <v>45</v>
      </c>
      <c r="AM17" s="11">
        <v>0.48472100000000001</v>
      </c>
      <c r="AN17" s="11">
        <v>0.48472100000000001</v>
      </c>
      <c r="AO17" s="11"/>
    </row>
    <row r="18" spans="1:41" x14ac:dyDescent="0.2">
      <c r="A18" s="11" t="s">
        <v>102</v>
      </c>
      <c r="B18" s="11" t="s">
        <v>103</v>
      </c>
      <c r="C18" s="11" t="s">
        <v>104</v>
      </c>
      <c r="D18" s="11" t="s">
        <v>41</v>
      </c>
      <c r="E18" s="12">
        <v>48044</v>
      </c>
      <c r="F18" s="11" t="s">
        <v>847</v>
      </c>
      <c r="G18" s="11">
        <v>119.621</v>
      </c>
      <c r="H18" s="11">
        <v>3.691576</v>
      </c>
      <c r="I18" s="11">
        <v>214.788903</v>
      </c>
      <c r="J18" s="11">
        <v>7.5436000000000003E-2</v>
      </c>
      <c r="K18" s="11">
        <v>1.686515</v>
      </c>
      <c r="L18" s="11">
        <v>18.522783</v>
      </c>
      <c r="M18" s="11">
        <v>16.537092000000001</v>
      </c>
      <c r="N18" s="11">
        <v>20229455.942256</v>
      </c>
      <c r="O18" s="11">
        <v>24945463.250771999</v>
      </c>
      <c r="P18" s="11">
        <v>1846.9912079999999</v>
      </c>
      <c r="Q18" s="11">
        <v>1547.282573</v>
      </c>
      <c r="R18" s="11">
        <v>0.212254</v>
      </c>
      <c r="S18" s="11">
        <v>8.1663420000000002</v>
      </c>
      <c r="T18" s="11">
        <v>7.8822720000000004</v>
      </c>
      <c r="U18" s="11">
        <v>7.2078139999999999</v>
      </c>
      <c r="V18" s="11">
        <v>88.303674999999998</v>
      </c>
      <c r="W18" s="11">
        <v>9.5</v>
      </c>
      <c r="X18" s="12">
        <v>40381</v>
      </c>
      <c r="Y18" s="11">
        <v>2</v>
      </c>
      <c r="Z18" s="11" t="s">
        <v>105</v>
      </c>
      <c r="AA18" s="11" t="s">
        <v>43</v>
      </c>
      <c r="AB18" s="11">
        <v>0.13100800000000001</v>
      </c>
      <c r="AC18" s="11">
        <v>2.1119029999999999</v>
      </c>
      <c r="AD18" s="11">
        <v>18.974724999999999</v>
      </c>
      <c r="AE18" s="11">
        <v>16.248035999999999</v>
      </c>
      <c r="AF18" s="11">
        <v>-0.66168499999999997</v>
      </c>
      <c r="AG18" s="11">
        <v>-0.34744000000000003</v>
      </c>
      <c r="AH18" s="11">
        <v>5.2852059999999996</v>
      </c>
      <c r="AI18" s="11">
        <v>2.7164410000000001</v>
      </c>
      <c r="AJ18" s="11">
        <v>100</v>
      </c>
      <c r="AK18" s="11" t="s">
        <v>44</v>
      </c>
      <c r="AL18" s="11" t="s">
        <v>45</v>
      </c>
      <c r="AM18" s="11">
        <v>0.212254</v>
      </c>
      <c r="AN18" s="11">
        <v>0.212254</v>
      </c>
      <c r="AO18" s="11"/>
    </row>
    <row r="19" spans="1:41" x14ac:dyDescent="0.2">
      <c r="A19" s="11" t="s">
        <v>106</v>
      </c>
      <c r="B19" s="11" t="s">
        <v>107</v>
      </c>
      <c r="C19" s="11" t="s">
        <v>108</v>
      </c>
      <c r="D19" s="11" t="s">
        <v>41</v>
      </c>
      <c r="E19" s="12">
        <v>48167</v>
      </c>
      <c r="F19" s="11" t="s">
        <v>847</v>
      </c>
      <c r="G19" s="11">
        <v>113.25</v>
      </c>
      <c r="H19" s="11">
        <v>0.49033100000000002</v>
      </c>
      <c r="I19" s="11">
        <v>115.490566</v>
      </c>
      <c r="J19" s="11">
        <v>2.1592E-2</v>
      </c>
      <c r="K19" s="11">
        <v>1.173713</v>
      </c>
      <c r="L19" s="11"/>
      <c r="M19" s="11">
        <v>15.463967999999999</v>
      </c>
      <c r="N19" s="11">
        <v>23928110.639759</v>
      </c>
      <c r="O19" s="11">
        <v>27215912.361365002</v>
      </c>
      <c r="P19" s="11">
        <v>2015.0979090000001</v>
      </c>
      <c r="Q19" s="11">
        <v>1688.1108400000001</v>
      </c>
      <c r="R19" s="11">
        <v>0.231573</v>
      </c>
      <c r="S19" s="11">
        <v>8.5862990000000003</v>
      </c>
      <c r="T19" s="11">
        <v>8.2825670000000002</v>
      </c>
      <c r="U19" s="11">
        <v>7.3342590000000003</v>
      </c>
      <c r="V19" s="11">
        <v>95.042721999999998</v>
      </c>
      <c r="W19" s="11">
        <v>8.875</v>
      </c>
      <c r="X19" s="12">
        <v>42397</v>
      </c>
      <c r="Y19" s="11">
        <v>2</v>
      </c>
      <c r="Z19" s="11" t="s">
        <v>107</v>
      </c>
      <c r="AA19" s="11" t="s">
        <v>43</v>
      </c>
      <c r="AB19" s="11">
        <v>7.7134999999999995E-2</v>
      </c>
      <c r="AC19" s="11">
        <v>1.5969549999999999</v>
      </c>
      <c r="AD19" s="11"/>
      <c r="AE19" s="11">
        <v>15.177573000000001</v>
      </c>
      <c r="AF19" s="11">
        <v>-0.71513199999999999</v>
      </c>
      <c r="AG19" s="11">
        <v>-0.84998499999999999</v>
      </c>
      <c r="AH19" s="11"/>
      <c r="AI19" s="11">
        <v>1.7705839999999999</v>
      </c>
      <c r="AJ19" s="11">
        <v>100</v>
      </c>
      <c r="AK19" s="11" t="s">
        <v>44</v>
      </c>
      <c r="AL19" s="11" t="s">
        <v>45</v>
      </c>
      <c r="AM19" s="11">
        <v>0.231573</v>
      </c>
      <c r="AN19" s="11">
        <v>0.231573</v>
      </c>
      <c r="AO19" s="11"/>
    </row>
    <row r="20" spans="1:41" x14ac:dyDescent="0.2">
      <c r="A20" s="11" t="s">
        <v>109</v>
      </c>
      <c r="B20" s="11" t="s">
        <v>110</v>
      </c>
      <c r="C20" s="11" t="s">
        <v>111</v>
      </c>
      <c r="D20" s="11" t="s">
        <v>41</v>
      </c>
      <c r="E20" s="12">
        <v>48380</v>
      </c>
      <c r="F20" s="11" t="s">
        <v>847</v>
      </c>
      <c r="G20" s="11">
        <v>109.125</v>
      </c>
      <c r="H20" s="11">
        <v>3.8995899999999999</v>
      </c>
      <c r="I20" s="11">
        <v>159.103219</v>
      </c>
      <c r="J20" s="11">
        <v>1.9975E-2</v>
      </c>
      <c r="K20" s="11">
        <v>1.4252830000000001</v>
      </c>
      <c r="L20" s="11">
        <v>19.653494999999999</v>
      </c>
      <c r="M20" s="11">
        <v>17.430613999999998</v>
      </c>
      <c r="N20" s="11">
        <v>31952327.111628</v>
      </c>
      <c r="O20" s="11">
        <v>36113986.765757002</v>
      </c>
      <c r="P20" s="11">
        <v>2673.9217210000002</v>
      </c>
      <c r="Q20" s="11">
        <v>2240.028249</v>
      </c>
      <c r="R20" s="11">
        <v>0.307284</v>
      </c>
      <c r="S20" s="11">
        <v>8.6775359999999999</v>
      </c>
      <c r="T20" s="11">
        <v>8.3752259999999996</v>
      </c>
      <c r="U20" s="11">
        <v>7.2191390000000002</v>
      </c>
      <c r="V20" s="11">
        <v>100.181009</v>
      </c>
      <c r="W20" s="11">
        <v>8.25</v>
      </c>
      <c r="X20" s="12">
        <v>40745</v>
      </c>
      <c r="Y20" s="11">
        <v>2</v>
      </c>
      <c r="Z20" s="11" t="s">
        <v>112</v>
      </c>
      <c r="AA20" s="11" t="s">
        <v>43</v>
      </c>
      <c r="AB20" s="11">
        <v>7.5517000000000001E-2</v>
      </c>
      <c r="AC20" s="11">
        <v>1.8495779999999999</v>
      </c>
      <c r="AD20" s="11">
        <v>20.109748</v>
      </c>
      <c r="AE20" s="11">
        <v>17.139341999999999</v>
      </c>
      <c r="AF20" s="11">
        <v>-0.71673699999999996</v>
      </c>
      <c r="AG20" s="11">
        <v>-0.60344600000000004</v>
      </c>
      <c r="AH20" s="11">
        <v>6.289631</v>
      </c>
      <c r="AI20" s="11">
        <v>3.503997</v>
      </c>
      <c r="AJ20" s="11">
        <v>100</v>
      </c>
      <c r="AK20" s="11" t="s">
        <v>44</v>
      </c>
      <c r="AL20" s="11" t="s">
        <v>45</v>
      </c>
      <c r="AM20" s="11">
        <v>0.307284</v>
      </c>
      <c r="AN20" s="11">
        <v>0.307284</v>
      </c>
      <c r="AO20" s="11"/>
    </row>
    <row r="21" spans="1:41" x14ac:dyDescent="0.2">
      <c r="A21" s="11" t="s">
        <v>113</v>
      </c>
      <c r="B21" s="11" t="s">
        <v>114</v>
      </c>
      <c r="C21" s="11" t="s">
        <v>115</v>
      </c>
      <c r="D21" s="11" t="s">
        <v>41</v>
      </c>
      <c r="E21" s="12">
        <v>48441</v>
      </c>
      <c r="F21" s="11" t="s">
        <v>847</v>
      </c>
      <c r="G21" s="11">
        <v>104.07550000000001</v>
      </c>
      <c r="H21" s="11">
        <v>2.2826089999999999</v>
      </c>
      <c r="I21" s="11">
        <v>106.480582</v>
      </c>
      <c r="J21" s="11">
        <v>-3.8779999999999999E-3</v>
      </c>
      <c r="K21" s="11">
        <v>2.6384400000000001</v>
      </c>
      <c r="L21" s="11"/>
      <c r="M21" s="11"/>
      <c r="N21" s="11">
        <v>32686324.281507999</v>
      </c>
      <c r="O21" s="11">
        <v>34764556.307939999</v>
      </c>
      <c r="P21" s="11">
        <v>2574.008315</v>
      </c>
      <c r="Q21" s="11">
        <v>2156.3276500000002</v>
      </c>
      <c r="R21" s="11">
        <v>0.29580200000000001</v>
      </c>
      <c r="S21" s="11">
        <v>9.0734370000000002</v>
      </c>
      <c r="T21" s="11">
        <v>8.7647849999999998</v>
      </c>
      <c r="U21" s="11">
        <v>7.0430120000000001</v>
      </c>
      <c r="V21" s="11">
        <v>107.18539800000001</v>
      </c>
      <c r="W21" s="11">
        <v>7.5</v>
      </c>
      <c r="X21" s="12">
        <v>42684</v>
      </c>
      <c r="Y21" s="11">
        <v>2</v>
      </c>
      <c r="Z21" s="11" t="s">
        <v>116</v>
      </c>
      <c r="AA21" s="11" t="s">
        <v>43</v>
      </c>
      <c r="AB21" s="11">
        <v>5.1650000000000001E-2</v>
      </c>
      <c r="AC21" s="11">
        <v>3.0678100000000001</v>
      </c>
      <c r="AD21" s="11"/>
      <c r="AE21" s="11"/>
      <c r="AF21" s="11">
        <v>-0.74041500000000005</v>
      </c>
      <c r="AG21" s="11">
        <v>0.58544499999999999</v>
      </c>
      <c r="AH21" s="11"/>
      <c r="AI21" s="11"/>
      <c r="AJ21" s="11">
        <v>100</v>
      </c>
      <c r="AK21" s="11" t="s">
        <v>44</v>
      </c>
      <c r="AL21" s="11" t="s">
        <v>45</v>
      </c>
      <c r="AM21" s="11">
        <v>0.29580200000000001</v>
      </c>
      <c r="AN21" s="11">
        <v>0.29580200000000001</v>
      </c>
      <c r="AO21" s="11"/>
    </row>
    <row r="22" spans="1:41" x14ac:dyDescent="0.2">
      <c r="A22" s="11" t="s">
        <v>117</v>
      </c>
      <c r="B22" s="11" t="s">
        <v>118</v>
      </c>
      <c r="C22" s="11" t="s">
        <v>119</v>
      </c>
      <c r="D22" s="11" t="s">
        <v>41</v>
      </c>
      <c r="E22" s="12">
        <v>48714</v>
      </c>
      <c r="F22" s="11" t="s">
        <v>847</v>
      </c>
      <c r="G22" s="11">
        <v>95.084000000000003</v>
      </c>
      <c r="H22" s="11">
        <v>0.36602200000000001</v>
      </c>
      <c r="I22" s="11">
        <v>140.22314</v>
      </c>
      <c r="J22" s="11">
        <v>2.4451000000000001E-2</v>
      </c>
      <c r="K22" s="11">
        <v>2.2859859999999999</v>
      </c>
      <c r="L22" s="11">
        <v>21.2881</v>
      </c>
      <c r="M22" s="11">
        <v>19.276678</v>
      </c>
      <c r="N22" s="11">
        <v>36017480.182397999</v>
      </c>
      <c r="O22" s="11">
        <v>34378692.793762997</v>
      </c>
      <c r="P22" s="11">
        <v>2545.4385309999998</v>
      </c>
      <c r="Q22" s="11">
        <v>2132.3938429999998</v>
      </c>
      <c r="R22" s="11">
        <v>0.29251899999999997</v>
      </c>
      <c r="S22" s="11">
        <v>9.7106429999999992</v>
      </c>
      <c r="T22" s="11">
        <v>9.3754310000000007</v>
      </c>
      <c r="U22" s="11">
        <v>7.1508609999999999</v>
      </c>
      <c r="V22" s="11">
        <v>120.54466600000001</v>
      </c>
      <c r="W22" s="11">
        <v>6.625</v>
      </c>
      <c r="X22" s="12">
        <v>41151</v>
      </c>
      <c r="Y22" s="11">
        <v>2</v>
      </c>
      <c r="Z22" s="11" t="s">
        <v>120</v>
      </c>
      <c r="AA22" s="11" t="s">
        <v>43</v>
      </c>
      <c r="AB22" s="11">
        <v>7.9994999999999997E-2</v>
      </c>
      <c r="AC22" s="11">
        <v>2.7138819999999999</v>
      </c>
      <c r="AD22" s="11">
        <v>21.750585999999998</v>
      </c>
      <c r="AE22" s="11">
        <v>18.980826</v>
      </c>
      <c r="AF22" s="11">
        <v>-0.71229399999999998</v>
      </c>
      <c r="AG22" s="11">
        <v>0.24004</v>
      </c>
      <c r="AH22" s="11">
        <v>7.7416700000000001</v>
      </c>
      <c r="AI22" s="11">
        <v>5.1311270000000002</v>
      </c>
      <c r="AJ22" s="11">
        <v>100</v>
      </c>
      <c r="AK22" s="11" t="s">
        <v>44</v>
      </c>
      <c r="AL22" s="11" t="s">
        <v>45</v>
      </c>
      <c r="AM22" s="11">
        <v>0.29251899999999997</v>
      </c>
      <c r="AN22" s="11">
        <v>0.29251899999999997</v>
      </c>
      <c r="AO22" s="11"/>
    </row>
    <row r="23" spans="1:41" x14ac:dyDescent="0.2">
      <c r="A23" s="11" t="s">
        <v>121</v>
      </c>
      <c r="B23" s="11" t="s">
        <v>122</v>
      </c>
      <c r="C23" s="11" t="s">
        <v>123</v>
      </c>
      <c r="D23" s="11" t="s">
        <v>41</v>
      </c>
      <c r="E23" s="12">
        <v>49018</v>
      </c>
      <c r="F23" s="11" t="s">
        <v>847</v>
      </c>
      <c r="G23" s="11">
        <v>109.85</v>
      </c>
      <c r="H23" s="11">
        <v>1.873964</v>
      </c>
      <c r="I23" s="11">
        <v>159.893325</v>
      </c>
      <c r="J23" s="11">
        <v>-0.15828400000000001</v>
      </c>
      <c r="K23" s="11">
        <v>2.246823</v>
      </c>
      <c r="L23" s="11">
        <v>19.952159000000002</v>
      </c>
      <c r="M23" s="11">
        <v>16.435314000000002</v>
      </c>
      <c r="N23" s="11">
        <v>68984415.746399999</v>
      </c>
      <c r="O23" s="11">
        <v>77072123.875099003</v>
      </c>
      <c r="P23" s="11">
        <v>5706.509986</v>
      </c>
      <c r="Q23" s="11">
        <v>4780.5227329999998</v>
      </c>
      <c r="R23" s="11">
        <v>0.65578599999999998</v>
      </c>
      <c r="S23" s="11">
        <v>9.3496050000000004</v>
      </c>
      <c r="T23" s="11">
        <v>9.0194170000000007</v>
      </c>
      <c r="U23" s="11">
        <v>7.3216999999999999</v>
      </c>
      <c r="V23" s="11">
        <v>117.062033</v>
      </c>
      <c r="W23" s="11">
        <v>8.375</v>
      </c>
      <c r="X23" s="12">
        <v>41487</v>
      </c>
      <c r="Y23" s="11">
        <v>2</v>
      </c>
      <c r="Z23" s="11" t="s">
        <v>124</v>
      </c>
      <c r="AA23" s="11" t="s">
        <v>43</v>
      </c>
      <c r="AB23" s="11">
        <v>-0.102841</v>
      </c>
      <c r="AC23" s="11">
        <v>2.6745540000000001</v>
      </c>
      <c r="AD23" s="11">
        <v>20.409551</v>
      </c>
      <c r="AE23" s="11">
        <v>16.146509999999999</v>
      </c>
      <c r="AF23" s="11">
        <v>-0.89368300000000001</v>
      </c>
      <c r="AG23" s="11">
        <v>0.20166100000000001</v>
      </c>
      <c r="AH23" s="11">
        <v>6.5549379999999999</v>
      </c>
      <c r="AI23" s="11">
        <v>2.6267330000000002</v>
      </c>
      <c r="AJ23" s="11">
        <v>100</v>
      </c>
      <c r="AK23" s="11" t="s">
        <v>44</v>
      </c>
      <c r="AL23" s="11" t="s">
        <v>45</v>
      </c>
      <c r="AM23" s="11">
        <v>0.65578599999999998</v>
      </c>
      <c r="AN23" s="11">
        <v>0.65578599999999998</v>
      </c>
      <c r="AO23" s="11"/>
    </row>
    <row r="24" spans="1:41" x14ac:dyDescent="0.2">
      <c r="A24" s="11" t="s">
        <v>125</v>
      </c>
      <c r="B24" s="11" t="s">
        <v>126</v>
      </c>
      <c r="C24" s="11" t="s">
        <v>127</v>
      </c>
      <c r="D24" s="11" t="s">
        <v>41</v>
      </c>
      <c r="E24" s="12">
        <v>49810</v>
      </c>
      <c r="F24" s="11" t="s">
        <v>847</v>
      </c>
      <c r="G24" s="11">
        <v>109.9585</v>
      </c>
      <c r="H24" s="11">
        <v>0.45580100000000001</v>
      </c>
      <c r="I24" s="11">
        <v>124.62895399999999</v>
      </c>
      <c r="J24" s="11">
        <v>0.12285799999999999</v>
      </c>
      <c r="K24" s="11">
        <v>2.1939299999999999</v>
      </c>
      <c r="L24" s="11">
        <v>20.451362</v>
      </c>
      <c r="M24" s="11">
        <v>16.36382</v>
      </c>
      <c r="N24" s="11">
        <v>66378835.541259997</v>
      </c>
      <c r="O24" s="11">
        <v>73291727.344501004</v>
      </c>
      <c r="P24" s="11">
        <v>5426.6050160000004</v>
      </c>
      <c r="Q24" s="11">
        <v>4546.0375439999998</v>
      </c>
      <c r="R24" s="11">
        <v>0.62361999999999995</v>
      </c>
      <c r="S24" s="11">
        <v>10.140819</v>
      </c>
      <c r="T24" s="11">
        <v>9.7857500000000002</v>
      </c>
      <c r="U24" s="11">
        <v>7.2568710000000003</v>
      </c>
      <c r="V24" s="11">
        <v>139.53505999999999</v>
      </c>
      <c r="W24" s="11">
        <v>8.25</v>
      </c>
      <c r="X24" s="12">
        <v>42194</v>
      </c>
      <c r="Y24" s="11">
        <v>2</v>
      </c>
      <c r="Z24" s="11" t="s">
        <v>128</v>
      </c>
      <c r="AA24" s="11" t="s">
        <v>43</v>
      </c>
      <c r="AB24" s="11">
        <v>0.178457</v>
      </c>
      <c r="AC24" s="11">
        <v>2.6214409999999999</v>
      </c>
      <c r="AD24" s="11">
        <v>20.910657</v>
      </c>
      <c r="AE24" s="11">
        <v>16.075194</v>
      </c>
      <c r="AF24" s="11">
        <v>-0.61461200000000005</v>
      </c>
      <c r="AG24" s="11">
        <v>0.14982599999999999</v>
      </c>
      <c r="AH24" s="11">
        <v>6.998386</v>
      </c>
      <c r="AI24" s="11">
        <v>2.5637180000000002</v>
      </c>
      <c r="AJ24" s="11">
        <v>100</v>
      </c>
      <c r="AK24" s="11" t="s">
        <v>44</v>
      </c>
      <c r="AL24" s="11" t="s">
        <v>45</v>
      </c>
      <c r="AM24" s="11">
        <v>0.62361999999999995</v>
      </c>
      <c r="AN24" s="11">
        <v>0.62361999999999995</v>
      </c>
      <c r="AO24" s="11"/>
    </row>
    <row r="25" spans="1:41" x14ac:dyDescent="0.2">
      <c r="A25" s="11" t="s">
        <v>129</v>
      </c>
      <c r="B25" s="11" t="s">
        <v>130</v>
      </c>
      <c r="C25" s="11" t="s">
        <v>131</v>
      </c>
      <c r="D25" s="11" t="s">
        <v>41</v>
      </c>
      <c r="E25" s="12">
        <v>50540</v>
      </c>
      <c r="F25" s="11" t="s">
        <v>847</v>
      </c>
      <c r="G25" s="11">
        <v>103.07250000000001</v>
      </c>
      <c r="H25" s="11">
        <v>0.41436499999999998</v>
      </c>
      <c r="I25" s="11">
        <v>102.540273</v>
      </c>
      <c r="J25" s="11">
        <v>-1.1011999999999999E-2</v>
      </c>
      <c r="K25" s="11">
        <v>1.78962</v>
      </c>
      <c r="L25" s="11"/>
      <c r="M25" s="11"/>
      <c r="N25" s="11">
        <v>19113207.464343999</v>
      </c>
      <c r="O25" s="11">
        <v>19779659.137157001</v>
      </c>
      <c r="P25" s="11">
        <v>1464.509043</v>
      </c>
      <c r="Q25" s="11">
        <v>1226.865245</v>
      </c>
      <c r="R25" s="11">
        <v>0.16830000000000001</v>
      </c>
      <c r="S25" s="11">
        <v>10.870994</v>
      </c>
      <c r="T25" s="11">
        <v>10.492989</v>
      </c>
      <c r="U25" s="11">
        <v>7.2049149999999997</v>
      </c>
      <c r="V25" s="11">
        <v>162.99964399999999</v>
      </c>
      <c r="W25" s="11">
        <v>7.5</v>
      </c>
      <c r="X25" s="12">
        <v>42957</v>
      </c>
      <c r="Y25" s="11">
        <v>2</v>
      </c>
      <c r="Z25" s="11" t="s">
        <v>132</v>
      </c>
      <c r="AA25" s="11" t="s">
        <v>43</v>
      </c>
      <c r="AB25" s="11">
        <v>4.4512000000000003E-2</v>
      </c>
      <c r="AC25" s="11">
        <v>2.2154389999999999</v>
      </c>
      <c r="AD25" s="11"/>
      <c r="AE25" s="11"/>
      <c r="AF25" s="11">
        <v>-0.74749600000000005</v>
      </c>
      <c r="AG25" s="11">
        <v>-0.246397</v>
      </c>
      <c r="AH25" s="11"/>
      <c r="AI25" s="11"/>
      <c r="AJ25" s="11">
        <v>100</v>
      </c>
      <c r="AK25" s="11" t="s">
        <v>44</v>
      </c>
      <c r="AL25" s="11" t="s">
        <v>45</v>
      </c>
      <c r="AM25" s="11">
        <v>0.16830000000000001</v>
      </c>
      <c r="AN25" s="11">
        <v>0.16830000000000001</v>
      </c>
      <c r="AO25" s="11"/>
    </row>
    <row r="26" spans="1:41" x14ac:dyDescent="0.2">
      <c r="A26" s="11" t="s">
        <v>133</v>
      </c>
      <c r="B26" s="11" t="s">
        <v>134</v>
      </c>
      <c r="C26" s="11" t="s">
        <v>135</v>
      </c>
      <c r="D26" s="11" t="s">
        <v>41</v>
      </c>
      <c r="E26" s="12">
        <v>43539</v>
      </c>
      <c r="F26" s="11" t="s">
        <v>843</v>
      </c>
      <c r="G26" s="11">
        <v>101.0431</v>
      </c>
      <c r="H26" s="11">
        <v>0.83418899999999996</v>
      </c>
      <c r="I26" s="11">
        <v>106.36812999999999</v>
      </c>
      <c r="J26" s="11">
        <v>1.6689999999999999E-3</v>
      </c>
      <c r="K26" s="11">
        <v>0.55397099999999999</v>
      </c>
      <c r="L26" s="11">
        <v>5.152406</v>
      </c>
      <c r="M26" s="11">
        <v>3.8743729999999998</v>
      </c>
      <c r="N26" s="11">
        <v>7177.8969999999999</v>
      </c>
      <c r="O26" s="11">
        <v>7312.646874</v>
      </c>
      <c r="P26" s="11">
        <v>1776.207645</v>
      </c>
      <c r="Q26" s="11">
        <v>1487.984958</v>
      </c>
      <c r="R26" s="11">
        <v>0.20412</v>
      </c>
      <c r="S26" s="11">
        <v>1.2464770000000001</v>
      </c>
      <c r="T26" s="11">
        <v>1.228491</v>
      </c>
      <c r="U26" s="11">
        <v>2.9281820000000001</v>
      </c>
      <c r="V26" s="11">
        <v>2.1359889999999999</v>
      </c>
      <c r="W26" s="11">
        <v>3.7589999999999999</v>
      </c>
      <c r="X26" s="12">
        <v>42262</v>
      </c>
      <c r="Y26" s="11">
        <v>2</v>
      </c>
      <c r="Z26" s="11" t="s">
        <v>134</v>
      </c>
      <c r="AA26" s="11" t="s">
        <v>136</v>
      </c>
      <c r="AB26" s="11">
        <v>-0.22908600000000001</v>
      </c>
      <c r="AC26" s="11">
        <v>3.3993769999999999</v>
      </c>
      <c r="AD26" s="11">
        <v>13.657567999999999</v>
      </c>
      <c r="AE26" s="11">
        <v>13.184464</v>
      </c>
      <c r="AF26" s="11">
        <v>-1.0189280000000001</v>
      </c>
      <c r="AG26" s="11">
        <v>0.909026</v>
      </c>
      <c r="AH26" s="11">
        <v>0.57985399999999998</v>
      </c>
      <c r="AI26" s="11">
        <v>9.4780000000000003E-3</v>
      </c>
      <c r="AJ26" s="11">
        <v>100</v>
      </c>
      <c r="AK26" s="11" t="s">
        <v>44</v>
      </c>
      <c r="AL26" s="11" t="s">
        <v>137</v>
      </c>
      <c r="AM26" s="11">
        <v>0.20412</v>
      </c>
      <c r="AN26" s="11">
        <v>0.20412</v>
      </c>
      <c r="AO26" s="11"/>
    </row>
    <row r="27" spans="1:41" x14ac:dyDescent="0.2">
      <c r="A27" s="11" t="s">
        <v>138</v>
      </c>
      <c r="B27" s="11" t="s">
        <v>139</v>
      </c>
      <c r="C27" s="11" t="s">
        <v>140</v>
      </c>
      <c r="D27" s="11" t="s">
        <v>41</v>
      </c>
      <c r="E27" s="12">
        <v>43769</v>
      </c>
      <c r="F27" s="11" t="s">
        <v>843</v>
      </c>
      <c r="G27" s="11">
        <v>100.90004999999999</v>
      </c>
      <c r="H27" s="11">
        <v>0.35038399999999997</v>
      </c>
      <c r="I27" s="11">
        <v>114.829499</v>
      </c>
      <c r="J27" s="8">
        <v>1.4541E-2</v>
      </c>
      <c r="K27" s="11">
        <v>0.481985</v>
      </c>
      <c r="L27" s="11">
        <v>6.0787829999999996</v>
      </c>
      <c r="M27" s="11">
        <v>4.1094629999999999</v>
      </c>
      <c r="N27" s="11">
        <v>11800</v>
      </c>
      <c r="O27" s="11">
        <v>11947.551160000001</v>
      </c>
      <c r="P27" s="11">
        <v>2902.0041679999999</v>
      </c>
      <c r="Q27" s="11">
        <v>2431.1000819999999</v>
      </c>
      <c r="R27" s="11">
        <v>0.33349499999999999</v>
      </c>
      <c r="S27" s="11">
        <v>1.847073</v>
      </c>
      <c r="T27" s="11">
        <v>1.8183229999999999</v>
      </c>
      <c r="U27" s="11">
        <v>3.1622530000000002</v>
      </c>
      <c r="V27" s="11">
        <v>4.258197</v>
      </c>
      <c r="W27" s="11">
        <v>3.6539999999999999</v>
      </c>
      <c r="X27" s="12">
        <v>41759</v>
      </c>
      <c r="Y27" s="11">
        <v>2</v>
      </c>
      <c r="Z27" s="11" t="s">
        <v>139</v>
      </c>
      <c r="AA27" s="11" t="s">
        <v>136</v>
      </c>
      <c r="AB27" s="11">
        <v>-0.21624299999999999</v>
      </c>
      <c r="AC27" s="11">
        <v>3.3253539999999999</v>
      </c>
      <c r="AD27" s="11">
        <v>14.658874000000001</v>
      </c>
      <c r="AE27" s="11">
        <v>13.440625000000001</v>
      </c>
      <c r="AF27" s="11">
        <v>-1.0061869999999999</v>
      </c>
      <c r="AG27" s="11">
        <v>0.83678600000000003</v>
      </c>
      <c r="AH27" s="11">
        <v>1.4659469999999999</v>
      </c>
      <c r="AI27" s="11">
        <v>0.235821</v>
      </c>
      <c r="AJ27" s="11">
        <v>100</v>
      </c>
      <c r="AK27" s="11" t="s">
        <v>44</v>
      </c>
      <c r="AL27" s="11" t="s">
        <v>137</v>
      </c>
      <c r="AM27" s="11">
        <v>0.33349499999999999</v>
      </c>
      <c r="AN27" s="11">
        <v>0.33349499999999999</v>
      </c>
      <c r="AO27" s="11"/>
    </row>
    <row r="28" spans="1:41" x14ac:dyDescent="0.2">
      <c r="A28" s="11" t="s">
        <v>141</v>
      </c>
      <c r="B28" s="11" t="s">
        <v>142</v>
      </c>
      <c r="C28" s="11" t="s">
        <v>143</v>
      </c>
      <c r="D28" s="11" t="s">
        <v>41</v>
      </c>
      <c r="E28" s="12">
        <v>43798</v>
      </c>
      <c r="F28" s="11" t="s">
        <v>843</v>
      </c>
      <c r="G28" s="11">
        <v>102.2497</v>
      </c>
      <c r="H28" s="11">
        <v>7.1967000000000003E-2</v>
      </c>
      <c r="I28" s="11">
        <v>144.855108</v>
      </c>
      <c r="J28" s="11">
        <v>1.0145E-2</v>
      </c>
      <c r="K28" s="11">
        <v>0.44387700000000002</v>
      </c>
      <c r="L28" s="11">
        <v>6.0376750000000001</v>
      </c>
      <c r="M28" s="11">
        <v>4.0966509999999996</v>
      </c>
      <c r="N28" s="11">
        <v>17119</v>
      </c>
      <c r="O28" s="11">
        <v>17516.446195</v>
      </c>
      <c r="P28" s="11">
        <v>4254.6626660000002</v>
      </c>
      <c r="Q28" s="11">
        <v>3564.2646110000001</v>
      </c>
      <c r="R28" s="11">
        <v>0.48894100000000001</v>
      </c>
      <c r="S28" s="11">
        <v>1.9168449999999999</v>
      </c>
      <c r="T28" s="11">
        <v>1.886674</v>
      </c>
      <c r="U28" s="11">
        <v>3.1983329999999999</v>
      </c>
      <c r="V28" s="11">
        <v>4.55471</v>
      </c>
      <c r="W28" s="11">
        <v>4.3780000000000001</v>
      </c>
      <c r="X28" s="12">
        <v>39962</v>
      </c>
      <c r="Y28" s="11">
        <v>2</v>
      </c>
      <c r="Z28" s="11" t="s">
        <v>142</v>
      </c>
      <c r="AA28" s="11" t="s">
        <v>136</v>
      </c>
      <c r="AB28" s="11">
        <v>-0.22062899999999999</v>
      </c>
      <c r="AC28" s="11">
        <v>3.286168</v>
      </c>
      <c r="AD28" s="11">
        <v>14.614440999999999</v>
      </c>
      <c r="AE28" s="11">
        <v>13.426664000000001</v>
      </c>
      <c r="AF28" s="11">
        <v>-1.0105390000000001</v>
      </c>
      <c r="AG28" s="11">
        <v>0.79854400000000003</v>
      </c>
      <c r="AH28" s="11">
        <v>1.4266270000000001</v>
      </c>
      <c r="AI28" s="11">
        <v>0.22348499999999999</v>
      </c>
      <c r="AJ28" s="11">
        <v>100</v>
      </c>
      <c r="AK28" s="11" t="s">
        <v>44</v>
      </c>
      <c r="AL28" s="11" t="s">
        <v>137</v>
      </c>
      <c r="AM28" s="11">
        <v>0.48894100000000001</v>
      </c>
      <c r="AN28" s="11">
        <v>0.48894100000000001</v>
      </c>
      <c r="AO28" s="11"/>
    </row>
    <row r="29" spans="1:41" x14ac:dyDescent="0.2">
      <c r="A29" s="11" t="s">
        <v>144</v>
      </c>
      <c r="B29" s="11" t="s">
        <v>145</v>
      </c>
      <c r="C29" s="11" t="s">
        <v>146</v>
      </c>
      <c r="D29" s="11" t="s">
        <v>41</v>
      </c>
      <c r="E29" s="12">
        <v>43921</v>
      </c>
      <c r="F29" s="11" t="s">
        <v>843</v>
      </c>
      <c r="G29" s="11">
        <v>100.46505000000001</v>
      </c>
      <c r="H29" s="11">
        <v>0.63143000000000005</v>
      </c>
      <c r="I29" s="11">
        <v>119.20703</v>
      </c>
      <c r="J29" s="11">
        <v>-3.79E-4</v>
      </c>
      <c r="K29" s="11">
        <v>0.55617700000000003</v>
      </c>
      <c r="L29" s="11">
        <v>6.2775800000000004</v>
      </c>
      <c r="M29" s="11">
        <v>4.2604959999999998</v>
      </c>
      <c r="N29" s="11">
        <v>11000</v>
      </c>
      <c r="O29" s="11">
        <v>11120.612815</v>
      </c>
      <c r="P29" s="11">
        <v>2701.1447210000001</v>
      </c>
      <c r="Q29" s="11">
        <v>2262.833811</v>
      </c>
      <c r="R29" s="11">
        <v>0.31041299999999999</v>
      </c>
      <c r="S29" s="11">
        <v>2.2337189999999998</v>
      </c>
      <c r="T29" s="11">
        <v>2.1976930000000001</v>
      </c>
      <c r="U29" s="11">
        <v>3.278537</v>
      </c>
      <c r="V29" s="11">
        <v>6.0264290000000003</v>
      </c>
      <c r="W29" s="11">
        <v>3.492</v>
      </c>
      <c r="X29" s="12">
        <v>41180</v>
      </c>
      <c r="Y29" s="11">
        <v>2</v>
      </c>
      <c r="Z29" s="11" t="s">
        <v>145</v>
      </c>
      <c r="AA29" s="11" t="s">
        <v>136</v>
      </c>
      <c r="AB29" s="11">
        <v>-0.231129</v>
      </c>
      <c r="AC29" s="11">
        <v>3.4016459999999999</v>
      </c>
      <c r="AD29" s="11">
        <v>14.873751</v>
      </c>
      <c r="AE29" s="11">
        <v>13.605193999999999</v>
      </c>
      <c r="AF29" s="11">
        <v>-1.0209550000000001</v>
      </c>
      <c r="AG29" s="11">
        <v>0.91124000000000005</v>
      </c>
      <c r="AH29" s="11">
        <v>1.6560999999999999</v>
      </c>
      <c r="AI29" s="11">
        <v>0.38123400000000002</v>
      </c>
      <c r="AJ29" s="11">
        <v>100</v>
      </c>
      <c r="AK29" s="11" t="s">
        <v>44</v>
      </c>
      <c r="AL29" s="11" t="s">
        <v>137</v>
      </c>
      <c r="AM29" s="11">
        <v>0.31041299999999999</v>
      </c>
      <c r="AN29" s="11">
        <v>0.31041299999999999</v>
      </c>
      <c r="AO29" s="11"/>
    </row>
    <row r="30" spans="1:41" x14ac:dyDescent="0.2">
      <c r="A30" s="11" t="s">
        <v>147</v>
      </c>
      <c r="B30" s="11" t="s">
        <v>148</v>
      </c>
      <c r="C30" s="11" t="s">
        <v>149</v>
      </c>
      <c r="D30" s="11" t="s">
        <v>41</v>
      </c>
      <c r="E30" s="12">
        <v>43936</v>
      </c>
      <c r="F30" s="11" t="s">
        <v>843</v>
      </c>
      <c r="G30" s="11">
        <v>99.484449999999995</v>
      </c>
      <c r="H30" s="11">
        <v>0.45075599999999999</v>
      </c>
      <c r="I30" s="11">
        <v>101.796066</v>
      </c>
      <c r="J30" s="11">
        <v>-1.9139999999999999E-3</v>
      </c>
      <c r="K30" s="11">
        <v>0.315639</v>
      </c>
      <c r="L30" s="11"/>
      <c r="M30" s="11"/>
      <c r="N30" s="11">
        <v>7000</v>
      </c>
      <c r="O30" s="11">
        <v>6995.4644319999998</v>
      </c>
      <c r="P30" s="11">
        <v>1699.1655169999999</v>
      </c>
      <c r="Q30" s="11">
        <v>1423.4443470000001</v>
      </c>
      <c r="R30" s="11">
        <v>0.195266</v>
      </c>
      <c r="S30" s="11">
        <v>2.280516</v>
      </c>
      <c r="T30" s="11">
        <v>2.2418209999999998</v>
      </c>
      <c r="U30" s="11">
        <v>3.4521359999999999</v>
      </c>
      <c r="V30" s="11">
        <v>6.2354710000000004</v>
      </c>
      <c r="W30" s="11">
        <v>3.226</v>
      </c>
      <c r="X30" s="12">
        <v>42650</v>
      </c>
      <c r="Y30" s="11">
        <v>2</v>
      </c>
      <c r="Z30" s="11" t="s">
        <v>148</v>
      </c>
      <c r="AA30" s="11" t="s">
        <v>136</v>
      </c>
      <c r="AB30" s="11">
        <v>-0.23266000000000001</v>
      </c>
      <c r="AC30" s="11">
        <v>3.1543009999999998</v>
      </c>
      <c r="AD30" s="11"/>
      <c r="AE30" s="11"/>
      <c r="AF30" s="11">
        <v>-1.0224740000000001</v>
      </c>
      <c r="AG30" s="11">
        <v>0.66985300000000003</v>
      </c>
      <c r="AH30" s="11"/>
      <c r="AI30" s="11"/>
      <c r="AJ30" s="11">
        <v>100</v>
      </c>
      <c r="AK30" s="11" t="s">
        <v>44</v>
      </c>
      <c r="AL30" s="11" t="s">
        <v>137</v>
      </c>
      <c r="AM30" s="11">
        <v>0.195266</v>
      </c>
      <c r="AN30" s="11">
        <v>0.195266</v>
      </c>
      <c r="AO30" s="11"/>
    </row>
    <row r="31" spans="1:41" x14ac:dyDescent="0.2">
      <c r="A31" s="11" t="s">
        <v>150</v>
      </c>
      <c r="B31" s="11" t="s">
        <v>151</v>
      </c>
      <c r="C31" s="11" t="s">
        <v>152</v>
      </c>
      <c r="D31" s="11" t="s">
        <v>41</v>
      </c>
      <c r="E31" s="12">
        <v>44119</v>
      </c>
      <c r="F31" s="11" t="s">
        <v>843</v>
      </c>
      <c r="G31" s="11">
        <v>100.77500000000001</v>
      </c>
      <c r="H31" s="11">
        <v>0.51125799999999999</v>
      </c>
      <c r="I31" s="11">
        <v>110.222746</v>
      </c>
      <c r="J31" s="11">
        <v>9.9050000000000006E-3</v>
      </c>
      <c r="K31" s="11">
        <v>0.50207400000000002</v>
      </c>
      <c r="L31" s="11">
        <v>6.500648</v>
      </c>
      <c r="M31" s="11">
        <v>4.4123060000000001</v>
      </c>
      <c r="N31" s="11">
        <v>11742.134</v>
      </c>
      <c r="O31" s="11">
        <v>11893.168083</v>
      </c>
      <c r="P31" s="11">
        <v>2888.794774</v>
      </c>
      <c r="Q31" s="11">
        <v>2420.0341570000001</v>
      </c>
      <c r="R31" s="11">
        <v>0.33197700000000002</v>
      </c>
      <c r="S31" s="11">
        <v>2.7281170000000001</v>
      </c>
      <c r="T31" s="11">
        <v>2.6829329999999998</v>
      </c>
      <c r="U31" s="11">
        <v>3.3682159999999999</v>
      </c>
      <c r="V31" s="11">
        <v>8.7336050000000007</v>
      </c>
      <c r="W31" s="11">
        <v>3.6589999999999998</v>
      </c>
      <c r="X31" s="12">
        <v>42109</v>
      </c>
      <c r="Y31" s="11">
        <v>2</v>
      </c>
      <c r="Z31" s="11" t="s">
        <v>151</v>
      </c>
      <c r="AA31" s="11" t="s">
        <v>136</v>
      </c>
      <c r="AB31" s="11">
        <v>-0.22086800000000001</v>
      </c>
      <c r="AC31" s="11">
        <v>3.346012</v>
      </c>
      <c r="AD31" s="11">
        <v>15.114860999999999</v>
      </c>
      <c r="AE31" s="11">
        <v>13.77061</v>
      </c>
      <c r="AF31" s="11">
        <v>-1.0107759999999999</v>
      </c>
      <c r="AG31" s="11">
        <v>0.85694599999999999</v>
      </c>
      <c r="AH31" s="11">
        <v>1.8694679999999999</v>
      </c>
      <c r="AI31" s="11">
        <v>0.52739499999999995</v>
      </c>
      <c r="AJ31" s="11">
        <v>100</v>
      </c>
      <c r="AK31" s="11" t="s">
        <v>44</v>
      </c>
      <c r="AL31" s="11" t="s">
        <v>137</v>
      </c>
      <c r="AM31" s="11">
        <v>0.33197700000000002</v>
      </c>
      <c r="AN31" s="11">
        <v>0.33197700000000002</v>
      </c>
      <c r="AO31" s="11"/>
    </row>
    <row r="32" spans="1:41" x14ac:dyDescent="0.2">
      <c r="A32" s="11" t="s">
        <v>153</v>
      </c>
      <c r="B32" s="11" t="s">
        <v>154</v>
      </c>
      <c r="C32" s="11" t="s">
        <v>155</v>
      </c>
      <c r="D32" s="11" t="s">
        <v>41</v>
      </c>
      <c r="E32" s="12">
        <v>44392</v>
      </c>
      <c r="F32" s="11" t="s">
        <v>844</v>
      </c>
      <c r="G32" s="11">
        <v>101.95</v>
      </c>
      <c r="H32" s="11">
        <v>1.6298079999999999</v>
      </c>
      <c r="I32" s="11">
        <v>132.22285099999999</v>
      </c>
      <c r="J32" s="11">
        <v>1.1013E-2</v>
      </c>
      <c r="K32" s="11">
        <v>0.38439800000000002</v>
      </c>
      <c r="L32" s="11">
        <v>6.9305459999999997</v>
      </c>
      <c r="M32" s="11">
        <v>4.1695390000000003</v>
      </c>
      <c r="N32" s="11">
        <v>13500</v>
      </c>
      <c r="O32" s="11">
        <v>13983.27411</v>
      </c>
      <c r="P32" s="11">
        <v>3396.4717289999999</v>
      </c>
      <c r="Q32" s="11">
        <v>2845.3310959999999</v>
      </c>
      <c r="R32" s="11">
        <v>0.39031900000000003</v>
      </c>
      <c r="S32" s="11">
        <v>3.3417020000000002</v>
      </c>
      <c r="T32" s="11">
        <v>3.2830159999999999</v>
      </c>
      <c r="U32" s="11">
        <v>3.575113</v>
      </c>
      <c r="V32" s="11">
        <v>12.980091</v>
      </c>
      <c r="W32" s="11">
        <v>4.16</v>
      </c>
      <c r="X32" s="12">
        <v>40557</v>
      </c>
      <c r="Y32" s="11">
        <v>2</v>
      </c>
      <c r="Z32" s="11" t="s">
        <v>154</v>
      </c>
      <c r="AA32" s="11" t="s">
        <v>136</v>
      </c>
      <c r="AB32" s="11">
        <v>-0.21976299999999999</v>
      </c>
      <c r="AC32" s="11">
        <v>3.225006</v>
      </c>
      <c r="AD32" s="11">
        <v>15.579530999999999</v>
      </c>
      <c r="AE32" s="11">
        <v>13.506084</v>
      </c>
      <c r="AF32" s="11">
        <v>-1.009679</v>
      </c>
      <c r="AG32" s="11">
        <v>0.73885500000000004</v>
      </c>
      <c r="AH32" s="11">
        <v>2.2806709999999999</v>
      </c>
      <c r="AI32" s="11">
        <v>0.29366100000000001</v>
      </c>
      <c r="AJ32" s="11">
        <v>100</v>
      </c>
      <c r="AK32" s="11" t="s">
        <v>44</v>
      </c>
      <c r="AL32" s="11" t="s">
        <v>137</v>
      </c>
      <c r="AM32" s="11">
        <v>0.39031900000000003</v>
      </c>
      <c r="AN32" s="11">
        <v>0.39031900000000003</v>
      </c>
      <c r="AO32" s="11"/>
    </row>
    <row r="33" spans="1:41" x14ac:dyDescent="0.2">
      <c r="A33" s="11" t="s">
        <v>156</v>
      </c>
      <c r="B33" s="11" t="s">
        <v>157</v>
      </c>
      <c r="C33" s="11" t="s">
        <v>158</v>
      </c>
      <c r="D33" s="11" t="s">
        <v>41</v>
      </c>
      <c r="E33" s="12">
        <v>44530</v>
      </c>
      <c r="F33" s="11" t="s">
        <v>844</v>
      </c>
      <c r="G33" s="11">
        <v>99.85</v>
      </c>
      <c r="H33" s="11">
        <v>4.9589000000000001E-2</v>
      </c>
      <c r="I33" s="11">
        <v>102.274247</v>
      </c>
      <c r="J33" s="11">
        <v>0.122308</v>
      </c>
      <c r="K33" s="11">
        <v>0.50215200000000004</v>
      </c>
      <c r="L33" s="11">
        <v>5.5567299999999999</v>
      </c>
      <c r="M33" s="11">
        <v>3.4370769999999999</v>
      </c>
      <c r="N33" s="11">
        <v>7000</v>
      </c>
      <c r="O33" s="11">
        <v>6992.9712330000002</v>
      </c>
      <c r="P33" s="11">
        <v>1698.5599299999999</v>
      </c>
      <c r="Q33" s="11">
        <v>1422.9370280000001</v>
      </c>
      <c r="R33" s="11">
        <v>0.19519700000000001</v>
      </c>
      <c r="S33" s="11">
        <v>3.7447379999999999</v>
      </c>
      <c r="T33" s="11">
        <v>3.6774749999999998</v>
      </c>
      <c r="U33" s="11">
        <v>3.6581079999999999</v>
      </c>
      <c r="V33" s="11">
        <v>15.857711999999999</v>
      </c>
      <c r="W33" s="11">
        <v>3.62</v>
      </c>
      <c r="X33" s="12">
        <v>42521</v>
      </c>
      <c r="Y33" s="11">
        <v>2</v>
      </c>
      <c r="Z33" s="11" t="s">
        <v>157</v>
      </c>
      <c r="AA33" s="11" t="s">
        <v>136</v>
      </c>
      <c r="AB33" s="11">
        <v>-0.108725</v>
      </c>
      <c r="AC33" s="11">
        <v>3.3460920000000001</v>
      </c>
      <c r="AD33" s="11">
        <v>14.094595</v>
      </c>
      <c r="AE33" s="11">
        <v>12.707974</v>
      </c>
      <c r="AF33" s="11">
        <v>-0.89952100000000002</v>
      </c>
      <c r="AG33" s="11">
        <v>0.85702400000000001</v>
      </c>
      <c r="AH33" s="11">
        <v>0.96659600000000001</v>
      </c>
      <c r="AI33" s="11">
        <v>-0.41154800000000002</v>
      </c>
      <c r="AJ33" s="11">
        <v>100</v>
      </c>
      <c r="AK33" s="11" t="s">
        <v>44</v>
      </c>
      <c r="AL33" s="11" t="s">
        <v>137</v>
      </c>
      <c r="AM33" s="11">
        <v>0.19519700000000001</v>
      </c>
      <c r="AN33" s="11">
        <v>0.19519700000000001</v>
      </c>
      <c r="AO33" s="11"/>
    </row>
    <row r="34" spans="1:41" x14ac:dyDescent="0.2">
      <c r="A34" s="11" t="s">
        <v>159</v>
      </c>
      <c r="B34" s="11" t="s">
        <v>160</v>
      </c>
      <c r="C34" s="11" t="s">
        <v>161</v>
      </c>
      <c r="D34" s="11" t="s">
        <v>41</v>
      </c>
      <c r="E34" s="12">
        <v>44788</v>
      </c>
      <c r="F34" s="11" t="s">
        <v>844</v>
      </c>
      <c r="G34" s="11">
        <v>98.348799999999997</v>
      </c>
      <c r="H34" s="11">
        <v>1.0488109999999999</v>
      </c>
      <c r="I34" s="11">
        <v>120.320768</v>
      </c>
      <c r="J34" s="11">
        <v>-3.2391999999999997E-2</v>
      </c>
      <c r="K34" s="11">
        <v>0.34576699999999999</v>
      </c>
      <c r="L34" s="11">
        <v>7.2386929999999996</v>
      </c>
      <c r="M34" s="11">
        <v>4.944096</v>
      </c>
      <c r="N34" s="11">
        <v>10500</v>
      </c>
      <c r="O34" s="11">
        <v>10436.749151</v>
      </c>
      <c r="P34" s="11">
        <v>2535.0374419999998</v>
      </c>
      <c r="Q34" s="11">
        <v>2123.6805250000002</v>
      </c>
      <c r="R34" s="11">
        <v>0.29132400000000003</v>
      </c>
      <c r="S34" s="11">
        <v>4.331461</v>
      </c>
      <c r="T34" s="11">
        <v>4.2506579999999996</v>
      </c>
      <c r="U34" s="11">
        <v>3.8018999999999998</v>
      </c>
      <c r="V34" s="11">
        <v>21.156389999999998</v>
      </c>
      <c r="W34" s="11">
        <v>3.4180000000000001</v>
      </c>
      <c r="X34" s="12">
        <v>40953</v>
      </c>
      <c r="Y34" s="11">
        <v>2</v>
      </c>
      <c r="Z34" s="11" t="s">
        <v>160</v>
      </c>
      <c r="AA34" s="11" t="s">
        <v>136</v>
      </c>
      <c r="AB34" s="11">
        <v>-0.263067</v>
      </c>
      <c r="AC34" s="11">
        <v>3.1852819999999999</v>
      </c>
      <c r="AD34" s="11">
        <v>15.912602</v>
      </c>
      <c r="AE34" s="11">
        <v>14.350064</v>
      </c>
      <c r="AF34" s="11">
        <v>-1.0526409999999999</v>
      </c>
      <c r="AG34" s="11">
        <v>0.70008700000000001</v>
      </c>
      <c r="AH34" s="11">
        <v>2.5754190000000001</v>
      </c>
      <c r="AI34" s="11">
        <v>1.039399</v>
      </c>
      <c r="AJ34" s="11">
        <v>100</v>
      </c>
      <c r="AK34" s="11" t="s">
        <v>44</v>
      </c>
      <c r="AL34" s="11" t="s">
        <v>137</v>
      </c>
      <c r="AM34" s="11">
        <v>0.29132400000000003</v>
      </c>
      <c r="AN34" s="11">
        <v>0.29132400000000003</v>
      </c>
      <c r="AO34" s="11"/>
    </row>
    <row r="35" spans="1:41" x14ac:dyDescent="0.2">
      <c r="A35" s="11" t="s">
        <v>162</v>
      </c>
      <c r="B35" s="11" t="s">
        <v>163</v>
      </c>
      <c r="C35" s="11" t="s">
        <v>164</v>
      </c>
      <c r="D35" s="11" t="s">
        <v>41</v>
      </c>
      <c r="E35" s="12">
        <v>45000</v>
      </c>
      <c r="F35" s="11" t="s">
        <v>845</v>
      </c>
      <c r="G35" s="11">
        <v>98.151949999999999</v>
      </c>
      <c r="H35" s="11">
        <v>0.77227400000000002</v>
      </c>
      <c r="I35" s="11">
        <v>115.59995600000001</v>
      </c>
      <c r="J35" s="11">
        <v>1.1618E-2</v>
      </c>
      <c r="K35" s="11">
        <v>0.66169999999999995</v>
      </c>
      <c r="L35" s="11">
        <v>7.5133179999999999</v>
      </c>
      <c r="M35" s="11">
        <v>5.5707440000000004</v>
      </c>
      <c r="N35" s="11">
        <v>11420</v>
      </c>
      <c r="O35" s="11">
        <v>11297.146377999999</v>
      </c>
      <c r="P35" s="11">
        <v>2744.0238949999998</v>
      </c>
      <c r="Q35" s="11">
        <v>2298.755044</v>
      </c>
      <c r="R35" s="11">
        <v>0.31534000000000001</v>
      </c>
      <c r="S35" s="11">
        <v>4.8220419999999997</v>
      </c>
      <c r="T35" s="11">
        <v>4.7304959999999996</v>
      </c>
      <c r="U35" s="11">
        <v>3.8704529999999999</v>
      </c>
      <c r="V35" s="11">
        <v>26.046752000000001</v>
      </c>
      <c r="W35" s="11">
        <v>3.48</v>
      </c>
      <c r="X35" s="12">
        <v>41348</v>
      </c>
      <c r="Y35" s="11">
        <v>2</v>
      </c>
      <c r="Z35" s="11" t="s">
        <v>163</v>
      </c>
      <c r="AA35" s="11" t="s">
        <v>136</v>
      </c>
      <c r="AB35" s="11">
        <v>-0.21915899999999999</v>
      </c>
      <c r="AC35" s="11">
        <v>3.5101550000000001</v>
      </c>
      <c r="AD35" s="11">
        <v>16.209440000000001</v>
      </c>
      <c r="AE35" s="11">
        <v>15.032876999999999</v>
      </c>
      <c r="AF35" s="11">
        <v>-1.00908</v>
      </c>
      <c r="AG35" s="11">
        <v>1.017136</v>
      </c>
      <c r="AH35" s="11">
        <v>2.8381020000000001</v>
      </c>
      <c r="AI35" s="11">
        <v>1.6427309999999999</v>
      </c>
      <c r="AJ35" s="11">
        <v>100</v>
      </c>
      <c r="AK35" s="11" t="s">
        <v>44</v>
      </c>
      <c r="AL35" s="11" t="s">
        <v>137</v>
      </c>
      <c r="AM35" s="11">
        <v>0.31534000000000001</v>
      </c>
      <c r="AN35" s="11">
        <v>0.31534000000000001</v>
      </c>
      <c r="AO35" s="11"/>
    </row>
    <row r="36" spans="1:41" x14ac:dyDescent="0.2">
      <c r="A36" s="11" t="s">
        <v>165</v>
      </c>
      <c r="B36" s="11" t="s">
        <v>166</v>
      </c>
      <c r="C36" s="11" t="s">
        <v>167</v>
      </c>
      <c r="D36" s="11" t="s">
        <v>41</v>
      </c>
      <c r="E36" s="12">
        <v>45114</v>
      </c>
      <c r="F36" s="11" t="s">
        <v>845</v>
      </c>
      <c r="G36" s="11">
        <v>101.84805</v>
      </c>
      <c r="H36" s="11">
        <v>1.8161369999999999</v>
      </c>
      <c r="I36" s="11">
        <v>101.950073</v>
      </c>
      <c r="J36" s="11">
        <v>1.0841E-2</v>
      </c>
      <c r="K36" s="11">
        <v>0.25238500000000003</v>
      </c>
      <c r="L36" s="11">
        <v>6.0040659999999999</v>
      </c>
      <c r="M36" s="11">
        <v>4.1203649999999996</v>
      </c>
      <c r="N36" s="11">
        <v>10500</v>
      </c>
      <c r="O36" s="11">
        <v>10884.739634</v>
      </c>
      <c r="P36" s="11">
        <v>2643.8522309999998</v>
      </c>
      <c r="Q36" s="11">
        <v>2214.838092</v>
      </c>
      <c r="R36" s="11">
        <v>0.30382900000000002</v>
      </c>
      <c r="S36" s="11">
        <v>4.9376340000000001</v>
      </c>
      <c r="T36" s="11">
        <v>4.840484</v>
      </c>
      <c r="U36" s="11">
        <v>4.0140779999999996</v>
      </c>
      <c r="V36" s="11">
        <v>27.842655000000001</v>
      </c>
      <c r="W36" s="11">
        <v>4.3899999999999997</v>
      </c>
      <c r="X36" s="12">
        <v>42376</v>
      </c>
      <c r="Y36" s="11">
        <v>2</v>
      </c>
      <c r="Z36" s="11" t="s">
        <v>168</v>
      </c>
      <c r="AA36" s="11" t="s">
        <v>136</v>
      </c>
      <c r="AB36" s="11">
        <v>-0.21993499999999999</v>
      </c>
      <c r="AC36" s="11">
        <v>3.0892569999999999</v>
      </c>
      <c r="AD36" s="11">
        <v>14.578113999999999</v>
      </c>
      <c r="AE36" s="11">
        <v>13.452503</v>
      </c>
      <c r="AF36" s="11">
        <v>-1.0098499999999999</v>
      </c>
      <c r="AG36" s="11">
        <v>0.606375</v>
      </c>
      <c r="AH36" s="11">
        <v>1.3944799999999999</v>
      </c>
      <c r="AI36" s="11">
        <v>0.24631700000000001</v>
      </c>
      <c r="AJ36" s="11">
        <v>100</v>
      </c>
      <c r="AK36" s="11" t="s">
        <v>44</v>
      </c>
      <c r="AL36" s="11" t="s">
        <v>137</v>
      </c>
      <c r="AM36" s="11">
        <v>0.30382900000000002</v>
      </c>
      <c r="AN36" s="11">
        <v>0.30382900000000002</v>
      </c>
      <c r="AO36" s="11"/>
    </row>
    <row r="37" spans="1:41" x14ac:dyDescent="0.2">
      <c r="A37" s="11" t="s">
        <v>169</v>
      </c>
      <c r="B37" s="11" t="s">
        <v>170</v>
      </c>
      <c r="C37" s="11" t="s">
        <v>171</v>
      </c>
      <c r="D37" s="11" t="s">
        <v>41</v>
      </c>
      <c r="E37" s="12">
        <v>45155</v>
      </c>
      <c r="F37" s="11" t="s">
        <v>845</v>
      </c>
      <c r="G37" s="11">
        <v>99.5</v>
      </c>
      <c r="H37" s="11">
        <v>1.145205</v>
      </c>
      <c r="I37" s="11">
        <v>105.463756</v>
      </c>
      <c r="J37" s="11">
        <v>1.0352999999999999E-2</v>
      </c>
      <c r="K37" s="11">
        <v>0.72175599999999995</v>
      </c>
      <c r="L37" s="11">
        <v>6.2317280000000004</v>
      </c>
      <c r="M37" s="11">
        <v>4.6771459999999996</v>
      </c>
      <c r="N37" s="11">
        <v>10000</v>
      </c>
      <c r="O37" s="11">
        <v>10064.520548</v>
      </c>
      <c r="P37" s="11">
        <v>2444.6248599999999</v>
      </c>
      <c r="Q37" s="11">
        <v>2047.939063</v>
      </c>
      <c r="R37" s="11">
        <v>0.28093400000000002</v>
      </c>
      <c r="S37" s="11">
        <v>5.1220160000000003</v>
      </c>
      <c r="T37" s="11">
        <v>5.0241600000000002</v>
      </c>
      <c r="U37" s="11">
        <v>3.895397</v>
      </c>
      <c r="V37" s="11">
        <v>29.561934999999998</v>
      </c>
      <c r="W37" s="11">
        <v>3.8</v>
      </c>
      <c r="X37" s="12">
        <v>42417</v>
      </c>
      <c r="Y37" s="11">
        <v>2</v>
      </c>
      <c r="Z37" s="11" t="s">
        <v>170</v>
      </c>
      <c r="AA37" s="11" t="s">
        <v>136</v>
      </c>
      <c r="AB37" s="11">
        <v>-0.22042200000000001</v>
      </c>
      <c r="AC37" s="11">
        <v>3.5719099999999999</v>
      </c>
      <c r="AD37" s="11">
        <v>14.82419</v>
      </c>
      <c r="AE37" s="11">
        <v>14.059188000000001</v>
      </c>
      <c r="AF37" s="11">
        <v>-1.0103329999999999</v>
      </c>
      <c r="AG37" s="11">
        <v>1.0774030000000001</v>
      </c>
      <c r="AH37" s="11">
        <v>1.612242</v>
      </c>
      <c r="AI37" s="11">
        <v>0.78238099999999999</v>
      </c>
      <c r="AJ37" s="11">
        <v>100</v>
      </c>
      <c r="AK37" s="11" t="s">
        <v>44</v>
      </c>
      <c r="AL37" s="11" t="s">
        <v>137</v>
      </c>
      <c r="AM37" s="11">
        <v>0.28093400000000002</v>
      </c>
      <c r="AN37" s="11">
        <v>0.28093400000000002</v>
      </c>
      <c r="AO37" s="11"/>
    </row>
    <row r="38" spans="1:41" x14ac:dyDescent="0.2">
      <c r="A38" s="11" t="s">
        <v>172</v>
      </c>
      <c r="B38" s="11" t="s">
        <v>173</v>
      </c>
      <c r="C38" s="11" t="s">
        <v>174</v>
      </c>
      <c r="D38" s="11" t="s">
        <v>41</v>
      </c>
      <c r="E38" s="12">
        <v>45488</v>
      </c>
      <c r="F38" s="11" t="s">
        <v>845</v>
      </c>
      <c r="G38" s="11">
        <v>101.0501</v>
      </c>
      <c r="H38" s="11">
        <v>1.638036</v>
      </c>
      <c r="I38" s="11">
        <v>118.663253</v>
      </c>
      <c r="J38" s="11">
        <v>1.1261999999999999E-2</v>
      </c>
      <c r="K38" s="11">
        <v>0.48763499999999999</v>
      </c>
      <c r="L38" s="11">
        <v>7.6749980000000004</v>
      </c>
      <c r="M38" s="11">
        <v>5.5244799999999996</v>
      </c>
      <c r="N38" s="11">
        <v>11020</v>
      </c>
      <c r="O38" s="11">
        <v>11316.232545000001</v>
      </c>
      <c r="P38" s="11">
        <v>2748.6598359999998</v>
      </c>
      <c r="Q38" s="11">
        <v>2302.6387169999998</v>
      </c>
      <c r="R38" s="11">
        <v>0.31587300000000001</v>
      </c>
      <c r="S38" s="11">
        <v>5.7589119999999996</v>
      </c>
      <c r="T38" s="11">
        <v>5.6461519999999998</v>
      </c>
      <c r="U38" s="11">
        <v>3.9942259999999998</v>
      </c>
      <c r="V38" s="11">
        <v>37.716948000000002</v>
      </c>
      <c r="W38" s="11">
        <v>4.181</v>
      </c>
      <c r="X38" s="12">
        <v>41649</v>
      </c>
      <c r="Y38" s="11">
        <v>2</v>
      </c>
      <c r="Z38" s="11" t="s">
        <v>173</v>
      </c>
      <c r="AA38" s="11" t="s">
        <v>136</v>
      </c>
      <c r="AB38" s="11">
        <v>-0.21951399999999999</v>
      </c>
      <c r="AC38" s="11">
        <v>3.3311649999999999</v>
      </c>
      <c r="AD38" s="11">
        <v>16.384198000000001</v>
      </c>
      <c r="AE38" s="11">
        <v>14.982467</v>
      </c>
      <c r="AF38" s="11">
        <v>-1.009433</v>
      </c>
      <c r="AG38" s="11">
        <v>0.84245599999999998</v>
      </c>
      <c r="AH38" s="11">
        <v>2.9927519999999999</v>
      </c>
      <c r="AI38" s="11">
        <v>1.5981879999999999</v>
      </c>
      <c r="AJ38" s="11">
        <v>100</v>
      </c>
      <c r="AK38" s="11" t="s">
        <v>44</v>
      </c>
      <c r="AL38" s="11" t="s">
        <v>137</v>
      </c>
      <c r="AM38" s="11">
        <v>0.31587300000000001</v>
      </c>
      <c r="AN38" s="11">
        <v>0.31587300000000001</v>
      </c>
      <c r="AO38" s="11"/>
    </row>
    <row r="39" spans="1:41" x14ac:dyDescent="0.2">
      <c r="A39" s="11" t="s">
        <v>175</v>
      </c>
      <c r="B39" s="11" t="s">
        <v>176</v>
      </c>
      <c r="C39" s="11" t="s">
        <v>177</v>
      </c>
      <c r="D39" s="11" t="s">
        <v>41</v>
      </c>
      <c r="E39" s="12">
        <v>45565</v>
      </c>
      <c r="F39" s="11" t="s">
        <v>845</v>
      </c>
      <c r="G39" s="11">
        <v>100.8502</v>
      </c>
      <c r="H39" s="11">
        <v>0.73395600000000005</v>
      </c>
      <c r="I39" s="11">
        <v>101.24275799999999</v>
      </c>
      <c r="J39" s="11">
        <v>-0.11530700000000001</v>
      </c>
      <c r="K39" s="11">
        <v>0.404893</v>
      </c>
      <c r="L39" s="11"/>
      <c r="M39" s="11"/>
      <c r="N39" s="11">
        <v>11000</v>
      </c>
      <c r="O39" s="11">
        <v>11174.257178</v>
      </c>
      <c r="P39" s="11">
        <v>2714.174685</v>
      </c>
      <c r="Q39" s="11">
        <v>2273.7494219999999</v>
      </c>
      <c r="R39" s="11">
        <v>0.31191000000000002</v>
      </c>
      <c r="S39" s="11">
        <v>5.9867879999999998</v>
      </c>
      <c r="T39" s="11">
        <v>5.8719400000000004</v>
      </c>
      <c r="U39" s="11">
        <v>3.9117600000000001</v>
      </c>
      <c r="V39" s="11">
        <v>40.364255999999997</v>
      </c>
      <c r="W39" s="11">
        <v>4.0590000000000002</v>
      </c>
      <c r="X39" s="12">
        <v>42825</v>
      </c>
      <c r="Y39" s="11">
        <v>2</v>
      </c>
      <c r="Z39" s="11" t="s">
        <v>176</v>
      </c>
      <c r="AA39" s="11" t="s">
        <v>136</v>
      </c>
      <c r="AB39" s="11">
        <v>-0.34579199999999999</v>
      </c>
      <c r="AC39" s="11">
        <v>3.2460800000000001</v>
      </c>
      <c r="AD39" s="11"/>
      <c r="AE39" s="11"/>
      <c r="AF39" s="11">
        <v>-1.134711</v>
      </c>
      <c r="AG39" s="11">
        <v>0.75942100000000001</v>
      </c>
      <c r="AH39" s="11"/>
      <c r="AI39" s="11"/>
      <c r="AJ39" s="11">
        <v>100</v>
      </c>
      <c r="AK39" s="11" t="s">
        <v>44</v>
      </c>
      <c r="AL39" s="11" t="s">
        <v>137</v>
      </c>
      <c r="AM39" s="11">
        <v>0.31191000000000002</v>
      </c>
      <c r="AN39" s="11">
        <v>0.31191000000000002</v>
      </c>
      <c r="AO39" s="11"/>
    </row>
    <row r="40" spans="1:41" x14ac:dyDescent="0.2">
      <c r="A40" s="11" t="s">
        <v>178</v>
      </c>
      <c r="B40" s="11" t="s">
        <v>179</v>
      </c>
      <c r="C40" s="11" t="s">
        <v>180</v>
      </c>
      <c r="D40" s="11" t="s">
        <v>41</v>
      </c>
      <c r="E40" s="12">
        <v>45915</v>
      </c>
      <c r="F40" s="11" t="s">
        <v>846</v>
      </c>
      <c r="G40" s="11">
        <v>98.8</v>
      </c>
      <c r="H40" s="11">
        <v>0.87768500000000005</v>
      </c>
      <c r="I40" s="11">
        <v>109.162589</v>
      </c>
      <c r="J40" s="11">
        <v>-8.9441000000000007E-2</v>
      </c>
      <c r="K40" s="11">
        <v>0.28365499999999999</v>
      </c>
      <c r="L40" s="11">
        <v>7.0907260000000001</v>
      </c>
      <c r="M40" s="11">
        <v>5.3475780000000004</v>
      </c>
      <c r="N40" s="11">
        <v>13672.2</v>
      </c>
      <c r="O40" s="11">
        <v>13628.132439000001</v>
      </c>
      <c r="P40" s="11">
        <v>3310.2094820000002</v>
      </c>
      <c r="Q40" s="11">
        <v>2773.0665009999998</v>
      </c>
      <c r="R40" s="11">
        <v>0.38040600000000002</v>
      </c>
      <c r="S40" s="11">
        <v>6.7037560000000003</v>
      </c>
      <c r="T40" s="11">
        <v>6.5680139999999998</v>
      </c>
      <c r="U40" s="11">
        <v>4.1334419999999996</v>
      </c>
      <c r="V40" s="11">
        <v>50.693362</v>
      </c>
      <c r="W40" s="11">
        <v>3.9550000000000001</v>
      </c>
      <c r="X40" s="12">
        <v>42076</v>
      </c>
      <c r="Y40" s="11">
        <v>2</v>
      </c>
      <c r="Z40" s="11" t="s">
        <v>179</v>
      </c>
      <c r="AA40" s="11" t="s">
        <v>136</v>
      </c>
      <c r="AB40" s="11">
        <v>-0.31998500000000002</v>
      </c>
      <c r="AC40" s="11">
        <v>3.1214119999999999</v>
      </c>
      <c r="AD40" s="11">
        <v>15.752667000000001</v>
      </c>
      <c r="AE40" s="11">
        <v>14.789709</v>
      </c>
      <c r="AF40" s="11">
        <v>-1.109108</v>
      </c>
      <c r="AG40" s="11">
        <v>0.63775499999999996</v>
      </c>
      <c r="AH40" s="11">
        <v>2.4338860000000002</v>
      </c>
      <c r="AI40" s="11">
        <v>1.4278679999999999</v>
      </c>
      <c r="AJ40" s="11">
        <v>100</v>
      </c>
      <c r="AK40" s="11" t="s">
        <v>44</v>
      </c>
      <c r="AL40" s="11" t="s">
        <v>137</v>
      </c>
      <c r="AM40" s="11">
        <v>0.38040600000000002</v>
      </c>
      <c r="AN40" s="11">
        <v>0.38040600000000002</v>
      </c>
      <c r="AO40" s="11"/>
    </row>
    <row r="41" spans="1:41" x14ac:dyDescent="0.2">
      <c r="A41" s="11" t="s">
        <v>181</v>
      </c>
      <c r="B41" s="11" t="s">
        <v>182</v>
      </c>
      <c r="C41" s="11" t="s">
        <v>183</v>
      </c>
      <c r="D41" s="11" t="s">
        <v>41</v>
      </c>
      <c r="E41" s="12">
        <v>46356</v>
      </c>
      <c r="F41" s="11" t="s">
        <v>846</v>
      </c>
      <c r="G41" s="11">
        <v>97.950599999999994</v>
      </c>
      <c r="H41" s="11">
        <v>5.3425E-2</v>
      </c>
      <c r="I41" s="11">
        <v>99.637884999999997</v>
      </c>
      <c r="J41" s="11">
        <v>-7.6545000000000002E-2</v>
      </c>
      <c r="K41" s="11">
        <v>-2.1611999999999999E-2</v>
      </c>
      <c r="L41" s="11">
        <v>5.836004</v>
      </c>
      <c r="M41" s="11">
        <v>3.9421210000000002</v>
      </c>
      <c r="N41" s="11">
        <v>9000</v>
      </c>
      <c r="O41" s="11">
        <v>8820.3622190000006</v>
      </c>
      <c r="P41" s="11">
        <v>2142.424634</v>
      </c>
      <c r="Q41" s="11">
        <v>1794.7764380000001</v>
      </c>
      <c r="R41" s="11">
        <v>0.24620500000000001</v>
      </c>
      <c r="S41" s="11">
        <v>7.6459279999999996</v>
      </c>
      <c r="T41" s="11">
        <v>7.4896529999999997</v>
      </c>
      <c r="U41" s="11">
        <v>4.1730980000000004</v>
      </c>
      <c r="V41" s="11">
        <v>65.748076999999995</v>
      </c>
      <c r="W41" s="11">
        <v>3.9</v>
      </c>
      <c r="X41" s="12">
        <v>42514</v>
      </c>
      <c r="Y41" s="11">
        <v>2</v>
      </c>
      <c r="Z41" s="11" t="s">
        <v>182</v>
      </c>
      <c r="AA41" s="11" t="s">
        <v>136</v>
      </c>
      <c r="AB41" s="11">
        <v>-0.30711899999999998</v>
      </c>
      <c r="AC41" s="11">
        <v>2.8075070000000002</v>
      </c>
      <c r="AD41" s="11">
        <v>14.396458000000001</v>
      </c>
      <c r="AE41" s="11">
        <v>13.258284</v>
      </c>
      <c r="AF41" s="11">
        <v>-1.096344</v>
      </c>
      <c r="AG41" s="11">
        <v>0.33141100000000001</v>
      </c>
      <c r="AH41" s="11">
        <v>1.2337260000000001</v>
      </c>
      <c r="AI41" s="11">
        <v>7.4704999999999994E-2</v>
      </c>
      <c r="AJ41" s="11">
        <v>100</v>
      </c>
      <c r="AK41" s="11" t="s">
        <v>44</v>
      </c>
      <c r="AL41" s="11" t="s">
        <v>137</v>
      </c>
      <c r="AM41" s="11">
        <v>0.24620500000000001</v>
      </c>
      <c r="AN41" s="11">
        <v>0.24620500000000001</v>
      </c>
      <c r="AO41" s="11"/>
    </row>
    <row r="42" spans="1:41" x14ac:dyDescent="0.2">
      <c r="A42" s="11" t="s">
        <v>184</v>
      </c>
      <c r="B42" s="11" t="s">
        <v>185</v>
      </c>
      <c r="C42" s="11" t="s">
        <v>186</v>
      </c>
      <c r="D42" s="11" t="s">
        <v>41</v>
      </c>
      <c r="E42" s="12">
        <v>46707</v>
      </c>
      <c r="F42" s="11" t="s">
        <v>846</v>
      </c>
      <c r="G42" s="11">
        <v>99.6</v>
      </c>
      <c r="H42" s="11">
        <v>0.202962</v>
      </c>
      <c r="I42" s="11">
        <v>100.452315</v>
      </c>
      <c r="J42" s="11">
        <v>3.5791999999999997E-2</v>
      </c>
      <c r="K42" s="11">
        <v>2.8549999999999999E-2</v>
      </c>
      <c r="L42" s="11"/>
      <c r="M42" s="11"/>
      <c r="N42" s="11">
        <v>8000</v>
      </c>
      <c r="O42" s="11">
        <v>7984.2369319999998</v>
      </c>
      <c r="P42" s="11">
        <v>1939.3337220000001</v>
      </c>
      <c r="Q42" s="11">
        <v>1624.640799</v>
      </c>
      <c r="R42" s="11">
        <v>0.22286600000000001</v>
      </c>
      <c r="S42" s="11">
        <v>8.3185280000000006</v>
      </c>
      <c r="T42" s="11">
        <v>8.1575939999999996</v>
      </c>
      <c r="U42" s="11">
        <v>3.94563</v>
      </c>
      <c r="V42" s="11">
        <v>78.465911000000006</v>
      </c>
      <c r="W42" s="11">
        <v>3.899</v>
      </c>
      <c r="X42" s="12">
        <v>42871</v>
      </c>
      <c r="Y42" s="11">
        <v>2</v>
      </c>
      <c r="Z42" s="11" t="s">
        <v>185</v>
      </c>
      <c r="AA42" s="11" t="s">
        <v>136</v>
      </c>
      <c r="AB42" s="11">
        <v>-0.19504099999999999</v>
      </c>
      <c r="AC42" s="11">
        <v>2.8590879999999999</v>
      </c>
      <c r="AD42" s="11"/>
      <c r="AE42" s="11"/>
      <c r="AF42" s="11">
        <v>-0.98515299999999995</v>
      </c>
      <c r="AG42" s="11">
        <v>0.381749</v>
      </c>
      <c r="AH42" s="11"/>
      <c r="AI42" s="11"/>
      <c r="AJ42" s="11">
        <v>100</v>
      </c>
      <c r="AK42" s="11" t="s">
        <v>44</v>
      </c>
      <c r="AL42" s="11" t="s">
        <v>137</v>
      </c>
      <c r="AM42" s="11">
        <v>0.22286600000000001</v>
      </c>
      <c r="AN42" s="11">
        <v>0.22286600000000001</v>
      </c>
      <c r="AO42" s="11"/>
    </row>
    <row r="43" spans="1:41" x14ac:dyDescent="0.2">
      <c r="A43" s="11" t="s">
        <v>187</v>
      </c>
      <c r="B43" s="11" t="s">
        <v>188</v>
      </c>
      <c r="C43" s="11" t="s">
        <v>189</v>
      </c>
      <c r="D43" s="11" t="s">
        <v>41</v>
      </c>
      <c r="E43" s="12">
        <v>48029</v>
      </c>
      <c r="F43" s="11" t="s">
        <v>847</v>
      </c>
      <c r="G43" s="11">
        <v>97.251149999999996</v>
      </c>
      <c r="H43" s="11">
        <v>1.831934</v>
      </c>
      <c r="I43" s="11">
        <v>103.520239</v>
      </c>
      <c r="J43" s="11">
        <v>1.1612000000000001E-2</v>
      </c>
      <c r="K43" s="11">
        <v>0.10374899999999999</v>
      </c>
      <c r="L43" s="11">
        <v>7.3955869999999999</v>
      </c>
      <c r="M43" s="11">
        <v>5.9001400000000004</v>
      </c>
      <c r="N43" s="11">
        <v>12750</v>
      </c>
      <c r="O43" s="11">
        <v>12633.093241</v>
      </c>
      <c r="P43" s="11">
        <v>3068.5191260000001</v>
      </c>
      <c r="Q43" s="11">
        <v>2570.5948950000002</v>
      </c>
      <c r="R43" s="11">
        <v>0.35263100000000003</v>
      </c>
      <c r="S43" s="11">
        <v>10.222257000000001</v>
      </c>
      <c r="T43" s="11">
        <v>9.9972589999999997</v>
      </c>
      <c r="U43" s="11">
        <v>4.5011830000000002</v>
      </c>
      <c r="V43" s="11">
        <v>124.889394</v>
      </c>
      <c r="W43" s="11">
        <v>4.2320000000000002</v>
      </c>
      <c r="X43" s="12">
        <v>40724</v>
      </c>
      <c r="Y43" s="11">
        <v>2</v>
      </c>
      <c r="Z43" s="11" t="s">
        <v>188</v>
      </c>
      <c r="AA43" s="11" t="s">
        <v>136</v>
      </c>
      <c r="AB43" s="11">
        <v>-0.219166</v>
      </c>
      <c r="AC43" s="11">
        <v>2.9364159999999999</v>
      </c>
      <c r="AD43" s="11">
        <v>16.082186</v>
      </c>
      <c r="AE43" s="11">
        <v>15.391797</v>
      </c>
      <c r="AF43" s="11">
        <v>-1.0090870000000001</v>
      </c>
      <c r="AG43" s="11">
        <v>0.45721499999999998</v>
      </c>
      <c r="AH43" s="11">
        <v>2.7254900000000002</v>
      </c>
      <c r="AI43" s="11">
        <v>1.9598709999999999</v>
      </c>
      <c r="AJ43" s="11">
        <v>100</v>
      </c>
      <c r="AK43" s="11" t="s">
        <v>44</v>
      </c>
      <c r="AL43" s="11" t="s">
        <v>137</v>
      </c>
      <c r="AM43" s="11">
        <v>0.35263100000000003</v>
      </c>
      <c r="AN43" s="11">
        <v>0.35263100000000003</v>
      </c>
      <c r="AO43" s="11"/>
    </row>
    <row r="44" spans="1:41" x14ac:dyDescent="0.2">
      <c r="A44" s="11" t="s">
        <v>848</v>
      </c>
      <c r="B44" s="11" t="s">
        <v>849</v>
      </c>
      <c r="C44" s="11" t="s">
        <v>850</v>
      </c>
      <c r="D44" s="11" t="s">
        <v>41</v>
      </c>
      <c r="E44" s="12">
        <v>50137</v>
      </c>
      <c r="F44" s="11" t="s">
        <v>847</v>
      </c>
      <c r="G44" s="11">
        <v>101.6519</v>
      </c>
      <c r="H44" s="11">
        <v>0.76974799999999999</v>
      </c>
      <c r="I44" s="11"/>
      <c r="J44" s="11"/>
      <c r="K44" s="11"/>
      <c r="L44" s="11"/>
      <c r="M44" s="11"/>
      <c r="N44" s="11">
        <v>5500</v>
      </c>
      <c r="O44" s="11">
        <v>5633.1906369999997</v>
      </c>
      <c r="P44" s="11">
        <v>1368.2755979999999</v>
      </c>
      <c r="Q44" s="11">
        <v>1146.247464</v>
      </c>
      <c r="R44" s="11">
        <v>0.15724099999999999</v>
      </c>
      <c r="S44" s="11">
        <v>12.816106</v>
      </c>
      <c r="T44" s="11">
        <v>12.526237999999999</v>
      </c>
      <c r="U44" s="11">
        <v>4.6281749999999997</v>
      </c>
      <c r="V44" s="11">
        <v>207.79603900000001</v>
      </c>
      <c r="W44" s="11">
        <v>4.7619999999999996</v>
      </c>
      <c r="X44" s="12">
        <v>42832</v>
      </c>
      <c r="Y44" s="11">
        <v>2</v>
      </c>
      <c r="Z44" s="11" t="s">
        <v>849</v>
      </c>
      <c r="AA44" s="11" t="s">
        <v>136</v>
      </c>
      <c r="AB44" s="11"/>
      <c r="AC44" s="11"/>
      <c r="AD44" s="11"/>
      <c r="AE44" s="11"/>
      <c r="AF44" s="11"/>
      <c r="AG44" s="11"/>
      <c r="AH44" s="11"/>
      <c r="AI44" s="11"/>
      <c r="AJ44" s="11">
        <v>100</v>
      </c>
      <c r="AK44" s="11" t="s">
        <v>44</v>
      </c>
      <c r="AL44" s="11" t="s">
        <v>137</v>
      </c>
      <c r="AM44" s="11">
        <v>0.15724099999999999</v>
      </c>
      <c r="AN44" s="11">
        <v>0.15724099999999999</v>
      </c>
      <c r="AO44" s="11"/>
    </row>
    <row r="45" spans="1:41" x14ac:dyDescent="0.2">
      <c r="A45" s="11" t="s">
        <v>190</v>
      </c>
      <c r="B45" s="11" t="s">
        <v>191</v>
      </c>
      <c r="C45" s="11" t="s">
        <v>192</v>
      </c>
      <c r="D45" s="11" t="s">
        <v>41</v>
      </c>
      <c r="E45" s="12">
        <v>44211</v>
      </c>
      <c r="F45" s="11" t="s">
        <v>844</v>
      </c>
      <c r="G45" s="11">
        <v>102.99</v>
      </c>
      <c r="H45" s="11">
        <v>1.925</v>
      </c>
      <c r="I45" s="11">
        <v>140.31304700000001</v>
      </c>
      <c r="J45" s="11">
        <v>1.3117999999999999E-2</v>
      </c>
      <c r="K45" s="11">
        <v>0.212695</v>
      </c>
      <c r="L45" s="11">
        <v>7.9805270000000004</v>
      </c>
      <c r="M45" s="11">
        <v>7.4582319999999998</v>
      </c>
      <c r="N45" s="11">
        <v>44109</v>
      </c>
      <c r="O45" s="11">
        <v>46276.957349999997</v>
      </c>
      <c r="P45" s="11">
        <v>912.58050400000002</v>
      </c>
      <c r="Q45" s="11">
        <v>764.49736399999995</v>
      </c>
      <c r="R45" s="11">
        <v>0.10487299999999999</v>
      </c>
      <c r="S45" s="11">
        <v>2.8736510000000002</v>
      </c>
      <c r="T45" s="11">
        <v>2.8184990000000001</v>
      </c>
      <c r="U45" s="11">
        <v>3.9135360000000001</v>
      </c>
      <c r="V45" s="11">
        <v>9.7733369999999997</v>
      </c>
      <c r="W45" s="11">
        <v>4.95</v>
      </c>
      <c r="X45" s="12">
        <v>40438</v>
      </c>
      <c r="Y45" s="11">
        <v>2</v>
      </c>
      <c r="Z45" s="11" t="s">
        <v>191</v>
      </c>
      <c r="AA45" s="11" t="s">
        <v>193</v>
      </c>
      <c r="AB45" s="11">
        <v>-0.105217</v>
      </c>
      <c r="AC45" s="11">
        <v>2.0209100000000002</v>
      </c>
      <c r="AD45" s="11">
        <v>6.4207609999999997</v>
      </c>
      <c r="AE45" s="11">
        <v>5.3444560000000001</v>
      </c>
      <c r="AF45" s="11">
        <v>-0.89604099999999998</v>
      </c>
      <c r="AG45" s="11">
        <v>-0.43624099999999999</v>
      </c>
      <c r="AH45" s="11">
        <v>-5.8242690000000001</v>
      </c>
      <c r="AI45" s="11">
        <v>-6.9179320000000004</v>
      </c>
      <c r="AJ45" s="11">
        <v>100</v>
      </c>
      <c r="AK45" s="11" t="s">
        <v>44</v>
      </c>
      <c r="AL45" s="11" t="s">
        <v>194</v>
      </c>
      <c r="AM45" s="11">
        <v>0.10487299999999999</v>
      </c>
      <c r="AN45" s="11">
        <v>0.10487299999999999</v>
      </c>
      <c r="AO45" s="11"/>
    </row>
    <row r="46" spans="1:41" x14ac:dyDescent="0.2">
      <c r="A46" s="11" t="s">
        <v>195</v>
      </c>
      <c r="B46" s="11" t="s">
        <v>196</v>
      </c>
      <c r="C46" s="11" t="s">
        <v>197</v>
      </c>
      <c r="D46" s="11" t="s">
        <v>41</v>
      </c>
      <c r="E46" s="12">
        <v>44891</v>
      </c>
      <c r="F46" s="11" t="s">
        <v>844</v>
      </c>
      <c r="G46" s="11">
        <v>99.155000000000001</v>
      </c>
      <c r="H46" s="11">
        <v>9.7500000000000003E-2</v>
      </c>
      <c r="I46" s="11">
        <v>117.740308</v>
      </c>
      <c r="J46" s="11">
        <v>7.1465000000000001E-2</v>
      </c>
      <c r="K46" s="11">
        <v>5.2283999999999997E-2</v>
      </c>
      <c r="L46" s="11">
        <v>8.8390640000000005</v>
      </c>
      <c r="M46" s="11">
        <v>8.3930609999999994</v>
      </c>
      <c r="N46" s="11">
        <v>30800</v>
      </c>
      <c r="O46" s="11">
        <v>30569.77</v>
      </c>
      <c r="P46" s="11">
        <v>602.83514100000002</v>
      </c>
      <c r="Q46" s="11">
        <v>505.01394099999999</v>
      </c>
      <c r="R46" s="11">
        <v>6.9277000000000005E-2</v>
      </c>
      <c r="S46" s="11">
        <v>4.5609539999999997</v>
      </c>
      <c r="T46" s="11">
        <v>4.4696249999999997</v>
      </c>
      <c r="U46" s="11">
        <v>4.0866769999999999</v>
      </c>
      <c r="V46" s="11">
        <v>23.2698</v>
      </c>
      <c r="W46" s="11">
        <v>3.9</v>
      </c>
      <c r="X46" s="12">
        <v>41239</v>
      </c>
      <c r="Y46" s="11">
        <v>2</v>
      </c>
      <c r="Z46" s="11" t="s">
        <v>196</v>
      </c>
      <c r="AA46" s="11" t="s">
        <v>193</v>
      </c>
      <c r="AB46" s="11">
        <v>-4.6940000000000003E-2</v>
      </c>
      <c r="AC46" s="11">
        <v>1.857605</v>
      </c>
      <c r="AD46" s="11">
        <v>7.266896</v>
      </c>
      <c r="AE46" s="11">
        <v>6.2608959999999998</v>
      </c>
      <c r="AF46" s="11">
        <v>-0.83822399999999997</v>
      </c>
      <c r="AG46" s="11">
        <v>-0.59561299999999995</v>
      </c>
      <c r="AH46" s="11">
        <v>-5.0754910000000004</v>
      </c>
      <c r="AI46" s="11">
        <v>-6.108168</v>
      </c>
      <c r="AJ46" s="11">
        <v>100</v>
      </c>
      <c r="AK46" s="11" t="s">
        <v>44</v>
      </c>
      <c r="AL46" s="11" t="s">
        <v>194</v>
      </c>
      <c r="AM46" s="11">
        <v>6.9277000000000005E-2</v>
      </c>
      <c r="AN46" s="11">
        <v>6.9277000000000005E-2</v>
      </c>
      <c r="AO46" s="11"/>
    </row>
    <row r="47" spans="1:41" x14ac:dyDescent="0.2">
      <c r="A47" s="11" t="s">
        <v>198</v>
      </c>
      <c r="B47" s="11" t="s">
        <v>199</v>
      </c>
      <c r="C47" s="11" t="s">
        <v>200</v>
      </c>
      <c r="D47" s="11" t="s">
        <v>41</v>
      </c>
      <c r="E47" s="12">
        <v>49688</v>
      </c>
      <c r="F47" s="11" t="s">
        <v>847</v>
      </c>
      <c r="G47" s="11">
        <v>112.8725</v>
      </c>
      <c r="H47" s="11">
        <v>2.4479169999999999</v>
      </c>
      <c r="I47" s="11">
        <v>179.60737800000001</v>
      </c>
      <c r="J47" s="11">
        <v>9.9791000000000005E-2</v>
      </c>
      <c r="K47" s="11">
        <v>0.46991699999999997</v>
      </c>
      <c r="L47" s="11">
        <v>12.471778</v>
      </c>
      <c r="M47" s="11">
        <v>11.826686</v>
      </c>
      <c r="N47" s="11">
        <v>54770</v>
      </c>
      <c r="O47" s="11">
        <v>63160.992208000003</v>
      </c>
      <c r="P47" s="11">
        <v>1245.5332719999999</v>
      </c>
      <c r="Q47" s="11">
        <v>1043.42236</v>
      </c>
      <c r="R47" s="11">
        <v>0.14313500000000001</v>
      </c>
      <c r="S47" s="11">
        <v>11.2888</v>
      </c>
      <c r="T47" s="11">
        <v>11.005701</v>
      </c>
      <c r="U47" s="11">
        <v>5.1445999999999996</v>
      </c>
      <c r="V47" s="11">
        <v>166.80450099999999</v>
      </c>
      <c r="W47" s="11">
        <v>6.25</v>
      </c>
      <c r="X47" s="12">
        <v>40557</v>
      </c>
      <c r="Y47" s="11">
        <v>2</v>
      </c>
      <c r="Z47" s="11" t="s">
        <v>199</v>
      </c>
      <c r="AA47" s="11" t="s">
        <v>193</v>
      </c>
      <c r="AB47" s="11">
        <v>-1.8647E-2</v>
      </c>
      <c r="AC47" s="11">
        <v>2.2827739999999999</v>
      </c>
      <c r="AD47" s="11">
        <v>10.847136000000001</v>
      </c>
      <c r="AE47" s="11">
        <v>9.6269790000000004</v>
      </c>
      <c r="AF47" s="11">
        <v>-0.81015499999999996</v>
      </c>
      <c r="AG47" s="11">
        <v>-0.18068400000000001</v>
      </c>
      <c r="AH47" s="11">
        <v>-1.907203</v>
      </c>
      <c r="AI47" s="11">
        <v>-3.1339060000000001</v>
      </c>
      <c r="AJ47" s="11">
        <v>100</v>
      </c>
      <c r="AK47" s="11" t="s">
        <v>44</v>
      </c>
      <c r="AL47" s="11" t="s">
        <v>194</v>
      </c>
      <c r="AM47" s="11">
        <v>0.14313500000000001</v>
      </c>
      <c r="AN47" s="11">
        <v>0.14313500000000001</v>
      </c>
      <c r="AO47" s="11"/>
    </row>
    <row r="48" spans="1:41" x14ac:dyDescent="0.2">
      <c r="A48" s="11" t="s">
        <v>201</v>
      </c>
      <c r="B48" s="11" t="s">
        <v>202</v>
      </c>
      <c r="C48" s="11" t="s">
        <v>203</v>
      </c>
      <c r="D48" s="11" t="s">
        <v>41</v>
      </c>
      <c r="E48" s="12">
        <v>43532</v>
      </c>
      <c r="F48" s="11" t="s">
        <v>843</v>
      </c>
      <c r="G48" s="11">
        <v>102.58438</v>
      </c>
      <c r="H48" s="11">
        <v>0.82232899999999998</v>
      </c>
      <c r="I48" s="11">
        <v>124.003699</v>
      </c>
      <c r="J48" s="11">
        <v>-1.627E-2</v>
      </c>
      <c r="K48" s="11">
        <v>0.104932</v>
      </c>
      <c r="L48" s="11">
        <v>2.0005540000000002</v>
      </c>
      <c r="M48" s="11">
        <v>1.8984099999999999</v>
      </c>
      <c r="N48" s="11">
        <v>54682</v>
      </c>
      <c r="O48" s="11">
        <v>56544.856487999998</v>
      </c>
      <c r="P48" s="11">
        <v>1731.556904</v>
      </c>
      <c r="Q48" s="11">
        <v>1450.57963</v>
      </c>
      <c r="R48" s="11">
        <v>0.198989</v>
      </c>
      <c r="S48" s="11">
        <v>1.232218</v>
      </c>
      <c r="T48" s="11">
        <v>1.2236670000000001</v>
      </c>
      <c r="U48" s="11">
        <v>1.39754</v>
      </c>
      <c r="V48" s="11">
        <v>2.1251159999999998</v>
      </c>
      <c r="W48" s="11">
        <v>3.45</v>
      </c>
      <c r="X48" s="12">
        <v>40851</v>
      </c>
      <c r="Y48" s="11">
        <v>2</v>
      </c>
      <c r="Z48" s="11" t="s">
        <v>204</v>
      </c>
      <c r="AA48" s="11" t="s">
        <v>205</v>
      </c>
      <c r="AB48" s="11">
        <v>5.1089000000000002E-2</v>
      </c>
      <c r="AC48" s="11">
        <v>1.866053</v>
      </c>
      <c r="AD48" s="11">
        <v>11.403952</v>
      </c>
      <c r="AE48" s="11">
        <v>11.648118</v>
      </c>
      <c r="AF48" s="11">
        <v>-0.74097199999999996</v>
      </c>
      <c r="AG48" s="11">
        <v>-0.58736900000000003</v>
      </c>
      <c r="AH48" s="11">
        <v>-1.414455</v>
      </c>
      <c r="AI48" s="11">
        <v>-1.348033</v>
      </c>
      <c r="AJ48" s="11">
        <v>100</v>
      </c>
      <c r="AK48" s="11" t="s">
        <v>44</v>
      </c>
      <c r="AL48" s="11" t="s">
        <v>206</v>
      </c>
      <c r="AM48" s="11">
        <v>0.198989</v>
      </c>
      <c r="AN48" s="11">
        <v>0.198989</v>
      </c>
      <c r="AO48" s="11"/>
    </row>
    <row r="49" spans="1:41" x14ac:dyDescent="0.2">
      <c r="A49" s="11" t="s">
        <v>207</v>
      </c>
      <c r="B49" s="11" t="s">
        <v>208</v>
      </c>
      <c r="C49" s="11" t="s">
        <v>209</v>
      </c>
      <c r="D49" s="11" t="s">
        <v>41</v>
      </c>
      <c r="E49" s="12">
        <v>43629</v>
      </c>
      <c r="F49" s="11" t="s">
        <v>843</v>
      </c>
      <c r="G49" s="11">
        <v>103.8091</v>
      </c>
      <c r="H49" s="11">
        <v>-9.5547999999999994E-2</v>
      </c>
      <c r="I49" s="11">
        <v>145.12616299999999</v>
      </c>
      <c r="J49" s="11">
        <v>4.8148000000000003E-2</v>
      </c>
      <c r="K49" s="11">
        <v>0.18218799999999999</v>
      </c>
      <c r="L49" s="11">
        <v>2.1408510000000001</v>
      </c>
      <c r="M49" s="11">
        <v>2.1565270000000001</v>
      </c>
      <c r="N49" s="11">
        <v>240085</v>
      </c>
      <c r="O49" s="11">
        <v>249000.68145100001</v>
      </c>
      <c r="P49" s="11">
        <v>7625.0763720000004</v>
      </c>
      <c r="Q49" s="11">
        <v>6387.7660820000001</v>
      </c>
      <c r="R49" s="11">
        <v>0.87626599999999999</v>
      </c>
      <c r="S49" s="11">
        <v>1.4948969999999999</v>
      </c>
      <c r="T49" s="11">
        <v>1.4848269999999999</v>
      </c>
      <c r="U49" s="11">
        <v>1.3563829999999999</v>
      </c>
      <c r="V49" s="11">
        <v>2.9645990000000002</v>
      </c>
      <c r="W49" s="11">
        <v>3.875</v>
      </c>
      <c r="X49" s="12">
        <v>39962</v>
      </c>
      <c r="Y49" s="11">
        <v>2</v>
      </c>
      <c r="Z49" s="11" t="s">
        <v>210</v>
      </c>
      <c r="AA49" s="11" t="s">
        <v>205</v>
      </c>
      <c r="AB49" s="11">
        <v>0.115551</v>
      </c>
      <c r="AC49" s="11">
        <v>1.9446680000000001</v>
      </c>
      <c r="AD49" s="11">
        <v>11.557183999999999</v>
      </c>
      <c r="AE49" s="11">
        <v>11.930932</v>
      </c>
      <c r="AF49" s="11">
        <v>-0.67701999999999996</v>
      </c>
      <c r="AG49" s="11">
        <v>-0.51064699999999996</v>
      </c>
      <c r="AH49" s="11">
        <v>-1.2788550000000001</v>
      </c>
      <c r="AI49" s="11">
        <v>-1.0981399999999999</v>
      </c>
      <c r="AJ49" s="11">
        <v>100</v>
      </c>
      <c r="AK49" s="11" t="s">
        <v>44</v>
      </c>
      <c r="AL49" s="11" t="s">
        <v>206</v>
      </c>
      <c r="AM49" s="11">
        <v>0.87626599999999999</v>
      </c>
      <c r="AN49" s="11">
        <v>0.87626599999999999</v>
      </c>
      <c r="AO49" s="11"/>
    </row>
    <row r="50" spans="1:41" x14ac:dyDescent="0.2">
      <c r="A50" s="11" t="s">
        <v>211</v>
      </c>
      <c r="B50" s="11" t="s">
        <v>212</v>
      </c>
      <c r="C50" s="11" t="s">
        <v>213</v>
      </c>
      <c r="D50" s="11" t="s">
        <v>41</v>
      </c>
      <c r="E50" s="12">
        <v>44008</v>
      </c>
      <c r="F50" s="11" t="s">
        <v>843</v>
      </c>
      <c r="G50" s="11">
        <v>102.546935</v>
      </c>
      <c r="H50" s="11">
        <v>1.124795</v>
      </c>
      <c r="I50" s="11">
        <v>106.459153</v>
      </c>
      <c r="J50" s="11">
        <v>1.4599000000000001E-2</v>
      </c>
      <c r="K50" s="11">
        <v>5.1540999999999997E-2</v>
      </c>
      <c r="L50" s="11">
        <v>2.460429</v>
      </c>
      <c r="M50" s="11">
        <v>2.7030919999999998</v>
      </c>
      <c r="N50" s="11">
        <v>188118.00200000001</v>
      </c>
      <c r="O50" s="11">
        <v>195025.18621300001</v>
      </c>
      <c r="P50" s="11">
        <v>5972.2002789999997</v>
      </c>
      <c r="Q50" s="11">
        <v>5003.0998399999999</v>
      </c>
      <c r="R50" s="11">
        <v>0.68631900000000001</v>
      </c>
      <c r="S50" s="11">
        <v>2.46875</v>
      </c>
      <c r="T50" s="11">
        <v>2.449954</v>
      </c>
      <c r="U50" s="11">
        <v>1.5343599999999999</v>
      </c>
      <c r="V50" s="11">
        <v>7.3755769999999998</v>
      </c>
      <c r="W50" s="11">
        <v>2.5499999999999998</v>
      </c>
      <c r="X50" s="12">
        <v>42181</v>
      </c>
      <c r="Y50" s="11">
        <v>2</v>
      </c>
      <c r="Z50" s="11" t="s">
        <v>214</v>
      </c>
      <c r="AA50" s="11" t="s">
        <v>205</v>
      </c>
      <c r="AB50" s="11">
        <v>8.1977999999999995E-2</v>
      </c>
      <c r="AC50" s="11">
        <v>1.8117220000000001</v>
      </c>
      <c r="AD50" s="11">
        <v>11.906222</v>
      </c>
      <c r="AE50" s="11">
        <v>12.529793</v>
      </c>
      <c r="AF50" s="11">
        <v>-0.71032700000000004</v>
      </c>
      <c r="AG50" s="11">
        <v>-0.64039100000000004</v>
      </c>
      <c r="AH50" s="11">
        <v>-0.96997699999999998</v>
      </c>
      <c r="AI50" s="11">
        <v>-0.56898800000000005</v>
      </c>
      <c r="AJ50" s="11">
        <v>100</v>
      </c>
      <c r="AK50" s="11" t="s">
        <v>44</v>
      </c>
      <c r="AL50" s="11" t="s">
        <v>206</v>
      </c>
      <c r="AM50" s="11">
        <v>0.68631900000000001</v>
      </c>
      <c r="AN50" s="11">
        <v>0.68631900000000001</v>
      </c>
      <c r="AO50" s="11"/>
    </row>
    <row r="51" spans="1:41" x14ac:dyDescent="0.2">
      <c r="A51" s="11" t="s">
        <v>215</v>
      </c>
      <c r="B51" s="11" t="s">
        <v>216</v>
      </c>
      <c r="C51" s="11" t="s">
        <v>217</v>
      </c>
      <c r="D51" s="11" t="s">
        <v>41</v>
      </c>
      <c r="E51" s="12">
        <v>44547</v>
      </c>
      <c r="F51" s="11" t="s">
        <v>844</v>
      </c>
      <c r="G51" s="11">
        <v>107.4766</v>
      </c>
      <c r="H51" s="11">
        <v>1.7</v>
      </c>
      <c r="I51" s="11">
        <v>136.999335</v>
      </c>
      <c r="J51" s="11">
        <v>2.8032999999999999E-2</v>
      </c>
      <c r="K51" s="11">
        <v>-0.105007</v>
      </c>
      <c r="L51" s="11">
        <v>3.0480809999999998</v>
      </c>
      <c r="M51" s="11">
        <v>3.5872190000000002</v>
      </c>
      <c r="N51" s="11">
        <v>306103.51</v>
      </c>
      <c r="O51" s="11">
        <v>334193.40469900001</v>
      </c>
      <c r="P51" s="11">
        <v>10233.908674</v>
      </c>
      <c r="Q51" s="11">
        <v>8573.2668790000007</v>
      </c>
      <c r="R51" s="11">
        <v>1.1760699999999999</v>
      </c>
      <c r="S51" s="11">
        <v>3.7401040000000001</v>
      </c>
      <c r="T51" s="11">
        <v>3.7080730000000002</v>
      </c>
      <c r="U51" s="11">
        <v>1.727608</v>
      </c>
      <c r="V51" s="11">
        <v>16.330748</v>
      </c>
      <c r="W51" s="11">
        <v>3.65</v>
      </c>
      <c r="X51" s="12">
        <v>40501</v>
      </c>
      <c r="Y51" s="11">
        <v>2</v>
      </c>
      <c r="Z51" s="11" t="s">
        <v>218</v>
      </c>
      <c r="AA51" s="11" t="s">
        <v>205</v>
      </c>
      <c r="AB51" s="11">
        <v>9.5422000000000007E-2</v>
      </c>
      <c r="AC51" s="11">
        <v>1.6524209999999999</v>
      </c>
      <c r="AD51" s="11">
        <v>12.54805</v>
      </c>
      <c r="AE51" s="11">
        <v>13.498513000000001</v>
      </c>
      <c r="AF51" s="11">
        <v>-0.69699</v>
      </c>
      <c r="AG51" s="11">
        <v>-0.79585499999999998</v>
      </c>
      <c r="AH51" s="11">
        <v>-0.40200000000000002</v>
      </c>
      <c r="AI51" s="11">
        <v>0.28697</v>
      </c>
      <c r="AJ51" s="11">
        <v>100</v>
      </c>
      <c r="AK51" s="11" t="s">
        <v>44</v>
      </c>
      <c r="AL51" s="11" t="s">
        <v>206</v>
      </c>
      <c r="AM51" s="11">
        <v>1.1760699999999999</v>
      </c>
      <c r="AN51" s="11">
        <v>1.1760699999999999</v>
      </c>
      <c r="AO51" s="11"/>
    </row>
    <row r="52" spans="1:41" x14ac:dyDescent="0.2">
      <c r="A52" s="11" t="s">
        <v>219</v>
      </c>
      <c r="B52" s="11" t="s">
        <v>220</v>
      </c>
      <c r="C52" s="11" t="s">
        <v>221</v>
      </c>
      <c r="D52" s="11" t="s">
        <v>41</v>
      </c>
      <c r="E52" s="12">
        <v>44729</v>
      </c>
      <c r="F52" s="11" t="s">
        <v>844</v>
      </c>
      <c r="G52" s="11">
        <v>100.065305</v>
      </c>
      <c r="H52" s="11">
        <v>0.87328799999999995</v>
      </c>
      <c r="I52" s="11">
        <v>102.21300100000001</v>
      </c>
      <c r="J52" s="11">
        <v>1.8869E-2</v>
      </c>
      <c r="K52" s="11">
        <v>-4.0257000000000001E-2</v>
      </c>
      <c r="L52" s="11">
        <v>3.097175</v>
      </c>
      <c r="M52" s="11">
        <v>3.8173859999999999</v>
      </c>
      <c r="N52" s="11">
        <v>202592</v>
      </c>
      <c r="O52" s="11">
        <v>204493.51366500001</v>
      </c>
      <c r="P52" s="11">
        <v>6262.1461520000003</v>
      </c>
      <c r="Q52" s="11">
        <v>5245.9966089999998</v>
      </c>
      <c r="R52" s="11">
        <v>0.71963900000000003</v>
      </c>
      <c r="S52" s="11">
        <v>4.3318000000000003</v>
      </c>
      <c r="T52" s="11">
        <v>4.2919010000000002</v>
      </c>
      <c r="U52" s="11">
        <v>1.859278</v>
      </c>
      <c r="V52" s="11">
        <v>21.143834999999999</v>
      </c>
      <c r="W52" s="11">
        <v>1.875</v>
      </c>
      <c r="X52" s="12">
        <v>42566</v>
      </c>
      <c r="Y52" s="11">
        <v>2</v>
      </c>
      <c r="Z52" s="11" t="s">
        <v>222</v>
      </c>
      <c r="AA52" s="11" t="s">
        <v>205</v>
      </c>
      <c r="AB52" s="11">
        <v>8.6251999999999995E-2</v>
      </c>
      <c r="AC52" s="11">
        <v>1.71831</v>
      </c>
      <c r="AD52" s="11">
        <v>12.60167</v>
      </c>
      <c r="AE52" s="11">
        <v>13.750703</v>
      </c>
      <c r="AF52" s="11">
        <v>-0.70608700000000002</v>
      </c>
      <c r="AG52" s="11">
        <v>-0.73155300000000001</v>
      </c>
      <c r="AH52" s="11">
        <v>-0.35454999999999998</v>
      </c>
      <c r="AI52" s="11">
        <v>0.50980499999999995</v>
      </c>
      <c r="AJ52" s="11">
        <v>100</v>
      </c>
      <c r="AK52" s="11" t="s">
        <v>44</v>
      </c>
      <c r="AL52" s="11" t="s">
        <v>206</v>
      </c>
      <c r="AM52" s="11">
        <v>0.71963900000000003</v>
      </c>
      <c r="AN52" s="11">
        <v>0.71963900000000003</v>
      </c>
      <c r="AO52" s="11"/>
    </row>
    <row r="53" spans="1:41" x14ac:dyDescent="0.2">
      <c r="A53" s="11" t="s">
        <v>223</v>
      </c>
      <c r="B53" s="11" t="s">
        <v>224</v>
      </c>
      <c r="C53" s="11" t="s">
        <v>225</v>
      </c>
      <c r="D53" s="11" t="s">
        <v>41</v>
      </c>
      <c r="E53" s="12">
        <v>44912</v>
      </c>
      <c r="F53" s="11" t="s">
        <v>845</v>
      </c>
      <c r="G53" s="11">
        <v>100.1947</v>
      </c>
      <c r="H53" s="11">
        <v>0.668493</v>
      </c>
      <c r="I53" s="11">
        <v>99.581378999999998</v>
      </c>
      <c r="J53" s="11">
        <v>-5.3759999999999997E-3</v>
      </c>
      <c r="K53" s="11">
        <v>-0.33472200000000002</v>
      </c>
      <c r="L53" s="11"/>
      <c r="M53" s="11"/>
      <c r="N53" s="11">
        <v>92064</v>
      </c>
      <c r="O53" s="11">
        <v>92858.690142000007</v>
      </c>
      <c r="P53" s="11">
        <v>2843.5850049999999</v>
      </c>
      <c r="Q53" s="11">
        <v>2382.1605140000001</v>
      </c>
      <c r="R53" s="11">
        <v>0.32678200000000002</v>
      </c>
      <c r="S53" s="11">
        <v>4.7837899999999998</v>
      </c>
      <c r="T53" s="11">
        <v>4.7373810000000001</v>
      </c>
      <c r="U53" s="11">
        <v>1.959255</v>
      </c>
      <c r="V53" s="11">
        <v>25.579198000000002</v>
      </c>
      <c r="W53" s="11">
        <v>2</v>
      </c>
      <c r="X53" s="12">
        <v>42951</v>
      </c>
      <c r="Y53" s="11">
        <v>2</v>
      </c>
      <c r="Z53" s="11" t="s">
        <v>226</v>
      </c>
      <c r="AA53" s="11" t="s">
        <v>205</v>
      </c>
      <c r="AB53" s="11">
        <v>6.1990999999999997E-2</v>
      </c>
      <c r="AC53" s="11">
        <v>1.4186650000000001</v>
      </c>
      <c r="AD53" s="11"/>
      <c r="AE53" s="11"/>
      <c r="AF53" s="11">
        <v>-0.73015600000000003</v>
      </c>
      <c r="AG53" s="11">
        <v>-1.023981</v>
      </c>
      <c r="AH53" s="11"/>
      <c r="AI53" s="11"/>
      <c r="AJ53" s="11">
        <v>100</v>
      </c>
      <c r="AK53" s="11" t="s">
        <v>44</v>
      </c>
      <c r="AL53" s="11" t="s">
        <v>206</v>
      </c>
      <c r="AM53" s="11">
        <v>0.32678200000000002</v>
      </c>
      <c r="AN53" s="11">
        <v>0.32678200000000002</v>
      </c>
      <c r="AO53" s="11"/>
    </row>
    <row r="54" spans="1:41" x14ac:dyDescent="0.2">
      <c r="A54" s="11" t="s">
        <v>227</v>
      </c>
      <c r="B54" s="11" t="s">
        <v>228</v>
      </c>
      <c r="C54" s="11" t="s">
        <v>229</v>
      </c>
      <c r="D54" s="11" t="s">
        <v>41</v>
      </c>
      <c r="E54" s="12">
        <v>45093</v>
      </c>
      <c r="F54" s="11" t="s">
        <v>845</v>
      </c>
      <c r="G54" s="11">
        <v>108.37994999999999</v>
      </c>
      <c r="H54" s="11">
        <v>1.698288</v>
      </c>
      <c r="I54" s="11">
        <v>133.37469100000001</v>
      </c>
      <c r="J54" s="11">
        <v>-1.9373000000000001E-2</v>
      </c>
      <c r="K54" s="11">
        <v>-0.34903699999999999</v>
      </c>
      <c r="L54" s="11">
        <v>3.6114380000000001</v>
      </c>
      <c r="M54" s="11">
        <v>4.5602150000000004</v>
      </c>
      <c r="N54" s="11">
        <v>197850</v>
      </c>
      <c r="O54" s="11">
        <v>217789.793233</v>
      </c>
      <c r="P54" s="11">
        <v>6669.3143030000001</v>
      </c>
      <c r="Q54" s="11">
        <v>5587.0941640000001</v>
      </c>
      <c r="R54" s="11">
        <v>0.76643099999999997</v>
      </c>
      <c r="S54" s="11">
        <v>5.0067579999999996</v>
      </c>
      <c r="T54" s="11">
        <v>4.9567300000000003</v>
      </c>
      <c r="U54" s="11">
        <v>2.018567</v>
      </c>
      <c r="V54" s="11">
        <v>28.747926</v>
      </c>
      <c r="W54" s="11">
        <v>3.625</v>
      </c>
      <c r="X54" s="12">
        <v>40406</v>
      </c>
      <c r="Y54" s="11">
        <v>2</v>
      </c>
      <c r="Z54" s="11" t="s">
        <v>230</v>
      </c>
      <c r="AA54" s="11" t="s">
        <v>205</v>
      </c>
      <c r="AB54" s="11">
        <v>4.7983999999999999E-2</v>
      </c>
      <c r="AC54" s="11">
        <v>1.4040969999999999</v>
      </c>
      <c r="AD54" s="11">
        <v>13.163342999999999</v>
      </c>
      <c r="AE54" s="11">
        <v>14.564605999999999</v>
      </c>
      <c r="AF54" s="11">
        <v>-0.74405299999999996</v>
      </c>
      <c r="AG54" s="11">
        <v>-1.038198</v>
      </c>
      <c r="AH54" s="11">
        <v>0.14249600000000001</v>
      </c>
      <c r="AI54" s="11">
        <v>1.2289680000000001</v>
      </c>
      <c r="AJ54" s="11">
        <v>100</v>
      </c>
      <c r="AK54" s="11" t="s">
        <v>44</v>
      </c>
      <c r="AL54" s="11" t="s">
        <v>206</v>
      </c>
      <c r="AM54" s="11">
        <v>0.76643099999999997</v>
      </c>
      <c r="AN54" s="11">
        <v>0.76643099999999997</v>
      </c>
      <c r="AO54" s="11"/>
    </row>
    <row r="55" spans="1:41" x14ac:dyDescent="0.2">
      <c r="A55" s="11" t="s">
        <v>231</v>
      </c>
      <c r="B55" s="11" t="s">
        <v>232</v>
      </c>
      <c r="C55" s="11" t="s">
        <v>233</v>
      </c>
      <c r="D55" s="11" t="s">
        <v>41</v>
      </c>
      <c r="E55" s="12">
        <v>46003</v>
      </c>
      <c r="F55" s="11" t="s">
        <v>846</v>
      </c>
      <c r="G55" s="11">
        <v>111.23005000000001</v>
      </c>
      <c r="H55" s="11">
        <v>-8.4384000000000001E-2</v>
      </c>
      <c r="I55" s="11">
        <v>142.63937000000001</v>
      </c>
      <c r="J55" s="11">
        <v>-4.6379999999999998E-3</v>
      </c>
      <c r="K55" s="11">
        <v>-0.240291</v>
      </c>
      <c r="L55" s="11">
        <v>3.9837400000000001</v>
      </c>
      <c r="M55" s="11">
        <v>4.7788089999999999</v>
      </c>
      <c r="N55" s="11">
        <v>205270.80300000001</v>
      </c>
      <c r="O55" s="11">
        <v>228149.601998</v>
      </c>
      <c r="P55" s="11">
        <v>6986.5597520000001</v>
      </c>
      <c r="Q55" s="11">
        <v>5852.8606449999997</v>
      </c>
      <c r="R55" s="11">
        <v>0.80288800000000005</v>
      </c>
      <c r="S55" s="11">
        <v>7.0458569999999998</v>
      </c>
      <c r="T55" s="11">
        <v>6.9654249999999998</v>
      </c>
      <c r="U55" s="11">
        <v>2.309456</v>
      </c>
      <c r="V55" s="11">
        <v>56.024127999999997</v>
      </c>
      <c r="W55" s="11">
        <v>3.85</v>
      </c>
      <c r="X55" s="12">
        <v>40508</v>
      </c>
      <c r="Y55" s="11">
        <v>2</v>
      </c>
      <c r="Z55" s="11" t="s">
        <v>234</v>
      </c>
      <c r="AA55" s="11" t="s">
        <v>205</v>
      </c>
      <c r="AB55" s="11">
        <v>6.2728999999999993E-2</v>
      </c>
      <c r="AC55" s="11">
        <v>1.514756</v>
      </c>
      <c r="AD55" s="11">
        <v>13.569967</v>
      </c>
      <c r="AE55" s="11">
        <v>14.804114999999999</v>
      </c>
      <c r="AF55" s="11">
        <v>-0.72942399999999996</v>
      </c>
      <c r="AG55" s="11">
        <v>-0.93020400000000003</v>
      </c>
      <c r="AH55" s="11">
        <v>0.50233300000000003</v>
      </c>
      <c r="AI55" s="11">
        <v>1.440596</v>
      </c>
      <c r="AJ55" s="11">
        <v>100</v>
      </c>
      <c r="AK55" s="11" t="s">
        <v>44</v>
      </c>
      <c r="AL55" s="11" t="s">
        <v>206</v>
      </c>
      <c r="AM55" s="11">
        <v>0.80288800000000005</v>
      </c>
      <c r="AN55" s="11">
        <v>0.80288800000000005</v>
      </c>
      <c r="AO55" s="11"/>
    </row>
    <row r="56" spans="1:41" x14ac:dyDescent="0.2">
      <c r="A56" s="11" t="s">
        <v>235</v>
      </c>
      <c r="B56" s="11" t="s">
        <v>236</v>
      </c>
      <c r="C56" s="11" t="s">
        <v>237</v>
      </c>
      <c r="D56" s="11" t="s">
        <v>41</v>
      </c>
      <c r="E56" s="12">
        <v>46373</v>
      </c>
      <c r="F56" s="11" t="s">
        <v>846</v>
      </c>
      <c r="G56" s="11">
        <v>97.794600000000003</v>
      </c>
      <c r="H56" s="11">
        <v>0.98972599999999999</v>
      </c>
      <c r="I56" s="11">
        <v>105.491226</v>
      </c>
      <c r="J56" s="11">
        <v>3.5985000000000003E-2</v>
      </c>
      <c r="K56" s="11">
        <v>-0.41782399999999997</v>
      </c>
      <c r="L56" s="11"/>
      <c r="M56" s="11">
        <v>4.5530609999999996</v>
      </c>
      <c r="N56" s="11">
        <v>148582</v>
      </c>
      <c r="O56" s="11">
        <v>146775.72729800001</v>
      </c>
      <c r="P56" s="11">
        <v>4494.6709529999998</v>
      </c>
      <c r="Q56" s="11">
        <v>3765.3270950000001</v>
      </c>
      <c r="R56" s="11">
        <v>0.51652299999999995</v>
      </c>
      <c r="S56" s="11">
        <v>8.1758369999999996</v>
      </c>
      <c r="T56" s="11">
        <v>8.0790030000000002</v>
      </c>
      <c r="U56" s="11">
        <v>2.3971979999999999</v>
      </c>
      <c r="V56" s="11">
        <v>73.809566000000004</v>
      </c>
      <c r="W56" s="11">
        <v>2.125</v>
      </c>
      <c r="X56" s="12">
        <v>42597</v>
      </c>
      <c r="Y56" s="11">
        <v>2</v>
      </c>
      <c r="Z56" s="11" t="s">
        <v>238</v>
      </c>
      <c r="AA56" s="11" t="s">
        <v>205</v>
      </c>
      <c r="AB56" s="11">
        <v>0.103379</v>
      </c>
      <c r="AC56" s="11">
        <v>1.3341000000000001</v>
      </c>
      <c r="AD56" s="11"/>
      <c r="AE56" s="11">
        <v>14.556767000000001</v>
      </c>
      <c r="AF56" s="11">
        <v>-0.68909600000000004</v>
      </c>
      <c r="AG56" s="11">
        <v>-1.106509</v>
      </c>
      <c r="AH56" s="11"/>
      <c r="AI56" s="11">
        <v>1.2220409999999999</v>
      </c>
      <c r="AJ56" s="11">
        <v>100</v>
      </c>
      <c r="AK56" s="11" t="s">
        <v>44</v>
      </c>
      <c r="AL56" s="11" t="s">
        <v>206</v>
      </c>
      <c r="AM56" s="11">
        <v>0.51652299999999995</v>
      </c>
      <c r="AN56" s="11">
        <v>0.51652299999999995</v>
      </c>
      <c r="AO56" s="11"/>
    </row>
    <row r="57" spans="1:41" x14ac:dyDescent="0.2">
      <c r="A57" s="11" t="s">
        <v>239</v>
      </c>
      <c r="B57" s="11" t="s">
        <v>240</v>
      </c>
      <c r="C57" s="11" t="s">
        <v>241</v>
      </c>
      <c r="D57" s="11" t="s">
        <v>41</v>
      </c>
      <c r="E57" s="12">
        <v>47291</v>
      </c>
      <c r="F57" s="11" t="s">
        <v>847</v>
      </c>
      <c r="G57" s="11">
        <v>122.46238</v>
      </c>
      <c r="H57" s="11">
        <v>2.203767</v>
      </c>
      <c r="I57" s="11">
        <v>135.425466</v>
      </c>
      <c r="J57" s="11">
        <v>-1.806E-2</v>
      </c>
      <c r="K57" s="11">
        <v>-0.310919</v>
      </c>
      <c r="L57" s="11">
        <v>5.7172710000000002</v>
      </c>
      <c r="M57" s="11">
        <v>7.1742939999999997</v>
      </c>
      <c r="N57" s="11">
        <v>223252</v>
      </c>
      <c r="O57" s="11">
        <v>278319.666776</v>
      </c>
      <c r="P57" s="11">
        <v>8522.903241</v>
      </c>
      <c r="Q57" s="11">
        <v>7139.9038629999995</v>
      </c>
      <c r="R57" s="11">
        <v>0.97944299999999995</v>
      </c>
      <c r="S57" s="11">
        <v>9.0911170000000006</v>
      </c>
      <c r="T57" s="11">
        <v>8.9739799999999992</v>
      </c>
      <c r="U57" s="11">
        <v>2.6106050000000001</v>
      </c>
      <c r="V57" s="11">
        <v>98.306618999999998</v>
      </c>
      <c r="W57" s="11">
        <v>4.875</v>
      </c>
      <c r="X57" s="12">
        <v>40137</v>
      </c>
      <c r="Y57" s="11">
        <v>2</v>
      </c>
      <c r="Z57" s="11" t="s">
        <v>242</v>
      </c>
      <c r="AA57" s="11" t="s">
        <v>205</v>
      </c>
      <c r="AB57" s="11">
        <v>4.9298000000000002E-2</v>
      </c>
      <c r="AC57" s="11">
        <v>1.4428859999999999</v>
      </c>
      <c r="AD57" s="11">
        <v>15.463312</v>
      </c>
      <c r="AE57" s="11">
        <v>17.428802000000001</v>
      </c>
      <c r="AF57" s="11">
        <v>-0.74274799999999996</v>
      </c>
      <c r="AG57" s="11">
        <v>-1.0003439999999999</v>
      </c>
      <c r="AH57" s="11">
        <v>2.1778249999999999</v>
      </c>
      <c r="AI57" s="11">
        <v>3.759763</v>
      </c>
      <c r="AJ57" s="11">
        <v>100</v>
      </c>
      <c r="AK57" s="11" t="s">
        <v>44</v>
      </c>
      <c r="AL57" s="11" t="s">
        <v>206</v>
      </c>
      <c r="AM57" s="11">
        <v>0.97944299999999995</v>
      </c>
      <c r="AN57" s="11">
        <v>0.97944299999999995</v>
      </c>
      <c r="AO57" s="11"/>
    </row>
    <row r="58" spans="1:41" x14ac:dyDescent="0.2">
      <c r="A58" s="11" t="s">
        <v>243</v>
      </c>
      <c r="B58" s="11" t="s">
        <v>244</v>
      </c>
      <c r="C58" s="11" t="s">
        <v>245</v>
      </c>
      <c r="D58" s="11" t="s">
        <v>41</v>
      </c>
      <c r="E58" s="12">
        <v>48019</v>
      </c>
      <c r="F58" s="11" t="s">
        <v>847</v>
      </c>
      <c r="G58" s="11">
        <v>109.67824</v>
      </c>
      <c r="H58" s="11">
        <v>1.67</v>
      </c>
      <c r="I58" s="11">
        <v>103.41215800000001</v>
      </c>
      <c r="J58" s="11">
        <v>-8.7999999999999995E-2</v>
      </c>
      <c r="K58" s="11">
        <v>-0.47238999999999998</v>
      </c>
      <c r="L58" s="11"/>
      <c r="M58" s="11"/>
      <c r="N58" s="11">
        <v>151178</v>
      </c>
      <c r="O58" s="11">
        <v>168334.04226700001</v>
      </c>
      <c r="P58" s="11">
        <v>5154.8450419999999</v>
      </c>
      <c r="Q58" s="11">
        <v>4318.3756739999999</v>
      </c>
      <c r="R58" s="11">
        <v>0.59238900000000005</v>
      </c>
      <c r="S58" s="11">
        <v>10.787969</v>
      </c>
      <c r="T58" s="11">
        <v>10.639695</v>
      </c>
      <c r="U58" s="11">
        <v>2.7871830000000002</v>
      </c>
      <c r="V58" s="11">
        <v>136.39443</v>
      </c>
      <c r="W58" s="11">
        <v>3.65</v>
      </c>
      <c r="X58" s="12">
        <v>40494</v>
      </c>
      <c r="Y58" s="11">
        <v>2</v>
      </c>
      <c r="Z58" s="11" t="s">
        <v>246</v>
      </c>
      <c r="AA58" s="11" t="s">
        <v>205</v>
      </c>
      <c r="AB58" s="11">
        <v>-2.0688999999999999E-2</v>
      </c>
      <c r="AC58" s="11">
        <v>1.2785740000000001</v>
      </c>
      <c r="AD58" s="11"/>
      <c r="AE58" s="11"/>
      <c r="AF58" s="11">
        <v>-0.81218199999999996</v>
      </c>
      <c r="AG58" s="11">
        <v>-1.160698</v>
      </c>
      <c r="AH58" s="11"/>
      <c r="AI58" s="11"/>
      <c r="AJ58" s="11">
        <v>100</v>
      </c>
      <c r="AK58" s="11" t="s">
        <v>44</v>
      </c>
      <c r="AL58" s="11" t="s">
        <v>206</v>
      </c>
      <c r="AM58" s="11">
        <v>0.59238900000000005</v>
      </c>
      <c r="AN58" s="11">
        <v>0.59238900000000005</v>
      </c>
      <c r="AO58" s="11"/>
    </row>
    <row r="59" spans="1:41" x14ac:dyDescent="0.2">
      <c r="A59" s="11" t="s">
        <v>247</v>
      </c>
      <c r="B59" s="11" t="s">
        <v>248</v>
      </c>
      <c r="C59" s="11" t="s">
        <v>249</v>
      </c>
      <c r="D59" s="11" t="s">
        <v>41</v>
      </c>
      <c r="E59" s="12">
        <v>49843</v>
      </c>
      <c r="F59" s="11" t="s">
        <v>847</v>
      </c>
      <c r="G59" s="11">
        <v>106.6246</v>
      </c>
      <c r="H59" s="11">
        <v>1.5835619999999999</v>
      </c>
      <c r="I59" s="11">
        <v>98.733317999999997</v>
      </c>
      <c r="J59" s="11">
        <v>1.3053E-2</v>
      </c>
      <c r="K59" s="11">
        <v>-1.2864960000000001</v>
      </c>
      <c r="L59" s="11">
        <v>5.3802729999999999</v>
      </c>
      <c r="M59" s="11">
        <v>8.5823520000000002</v>
      </c>
      <c r="N59" s="11">
        <v>112890</v>
      </c>
      <c r="O59" s="11">
        <v>122156.19368</v>
      </c>
      <c r="P59" s="11">
        <v>3740.7540439999998</v>
      </c>
      <c r="Q59" s="11">
        <v>3133.7472090000001</v>
      </c>
      <c r="R59" s="11">
        <v>0.42988399999999999</v>
      </c>
      <c r="S59" s="11">
        <v>13.865634</v>
      </c>
      <c r="T59" s="11">
        <v>13.665172</v>
      </c>
      <c r="U59" s="11">
        <v>2.9339110000000002</v>
      </c>
      <c r="V59" s="11">
        <v>231.468143</v>
      </c>
      <c r="W59" s="11">
        <v>3.4</v>
      </c>
      <c r="X59" s="12">
        <v>42328</v>
      </c>
      <c r="Y59" s="11">
        <v>2</v>
      </c>
      <c r="Z59" s="11" t="s">
        <v>250</v>
      </c>
      <c r="AA59" s="11" t="s">
        <v>205</v>
      </c>
      <c r="AB59" s="11">
        <v>8.0432000000000003E-2</v>
      </c>
      <c r="AC59" s="11">
        <v>0.45014599999999999</v>
      </c>
      <c r="AD59" s="11">
        <v>15.095245999999999</v>
      </c>
      <c r="AE59" s="11">
        <v>18.971584</v>
      </c>
      <c r="AF59" s="11">
        <v>-0.71186099999999997</v>
      </c>
      <c r="AG59" s="11">
        <v>-1.969174</v>
      </c>
      <c r="AH59" s="11">
        <v>1.852109</v>
      </c>
      <c r="AI59" s="11">
        <v>5.12296</v>
      </c>
      <c r="AJ59" s="11">
        <v>100</v>
      </c>
      <c r="AK59" s="11" t="s">
        <v>44</v>
      </c>
      <c r="AL59" s="11" t="s">
        <v>206</v>
      </c>
      <c r="AM59" s="11">
        <v>0.42988399999999999</v>
      </c>
      <c r="AN59" s="11">
        <v>0.42988399999999999</v>
      </c>
      <c r="AO59" s="11"/>
    </row>
    <row r="60" spans="1:41" x14ac:dyDescent="0.2">
      <c r="A60" s="11" t="s">
        <v>251</v>
      </c>
      <c r="B60" s="11" t="s">
        <v>252</v>
      </c>
      <c r="C60" s="11" t="s">
        <v>253</v>
      </c>
      <c r="D60" s="11" t="s">
        <v>41</v>
      </c>
      <c r="E60" s="12">
        <v>43767</v>
      </c>
      <c r="F60" s="11" t="s">
        <v>843</v>
      </c>
      <c r="G60" s="11">
        <v>102.3035</v>
      </c>
      <c r="H60" s="11">
        <v>0.14583299999999999</v>
      </c>
      <c r="I60" s="11">
        <v>108.650953</v>
      </c>
      <c r="J60" s="11">
        <v>2.8483999999999999E-2</v>
      </c>
      <c r="K60" s="11">
        <v>-1.6757999999999999E-2</v>
      </c>
      <c r="L60" s="11">
        <v>-1.788826</v>
      </c>
      <c r="M60" s="11">
        <v>-2.38056</v>
      </c>
      <c r="N60" s="11">
        <v>80624.570000000007</v>
      </c>
      <c r="O60" s="11">
        <v>82599.334468000001</v>
      </c>
      <c r="P60" s="11">
        <v>3875.6649670000002</v>
      </c>
      <c r="Q60" s="11">
        <v>3246.766329</v>
      </c>
      <c r="R60" s="11">
        <v>0.44538699999999998</v>
      </c>
      <c r="S60" s="11">
        <v>1.8861520000000001</v>
      </c>
      <c r="T60" s="11">
        <v>1.8808009999999999</v>
      </c>
      <c r="U60" s="11">
        <v>0.28451799999999999</v>
      </c>
      <c r="V60" s="11">
        <v>5.427181</v>
      </c>
      <c r="W60" s="11">
        <v>1.5</v>
      </c>
      <c r="X60" s="12">
        <v>41288</v>
      </c>
      <c r="Y60" s="11">
        <v>1</v>
      </c>
      <c r="Z60" s="11" t="s">
        <v>252</v>
      </c>
      <c r="AA60" s="11" t="s">
        <v>254</v>
      </c>
      <c r="AB60" s="11">
        <v>0.769347</v>
      </c>
      <c r="AC60" s="11">
        <v>3.3368470000000001</v>
      </c>
      <c r="AD60" s="11">
        <v>17.912579000000001</v>
      </c>
      <c r="AE60" s="11">
        <v>17.341156999999999</v>
      </c>
      <c r="AF60" s="11">
        <v>-2.8399000000000001E-2</v>
      </c>
      <c r="AG60" s="11">
        <v>0.84800200000000003</v>
      </c>
      <c r="AH60" s="11">
        <v>4.3452729999999997</v>
      </c>
      <c r="AI60" s="11">
        <v>3.6823199999999998</v>
      </c>
      <c r="AJ60" s="11">
        <v>100</v>
      </c>
      <c r="AK60" s="11" t="s">
        <v>255</v>
      </c>
      <c r="AL60" s="11" t="s">
        <v>256</v>
      </c>
      <c r="AM60" s="11">
        <v>0.44538699999999998</v>
      </c>
      <c r="AN60" s="11">
        <v>0.44538699999999998</v>
      </c>
      <c r="AO60" s="11"/>
    </row>
    <row r="61" spans="1:41" x14ac:dyDescent="0.2">
      <c r="A61" s="11" t="s">
        <v>257</v>
      </c>
      <c r="B61" s="11" t="s">
        <v>258</v>
      </c>
      <c r="C61" s="11" t="s">
        <v>259</v>
      </c>
      <c r="D61" s="11" t="s">
        <v>41</v>
      </c>
      <c r="E61" s="12">
        <v>43871</v>
      </c>
      <c r="F61" s="11" t="s">
        <v>843</v>
      </c>
      <c r="G61" s="11">
        <v>99</v>
      </c>
      <c r="H61" s="11">
        <v>0</v>
      </c>
      <c r="I61" s="11">
        <v>98.504521999999994</v>
      </c>
      <c r="J61" s="11">
        <v>5.5560000000000002E-3</v>
      </c>
      <c r="K61" s="11">
        <v>-0.147258</v>
      </c>
      <c r="L61" s="11"/>
      <c r="M61" s="11"/>
      <c r="N61" s="11">
        <v>40253.879999999997</v>
      </c>
      <c r="O61" s="11">
        <v>39851.341200000003</v>
      </c>
      <c r="P61" s="11">
        <v>1869.8751990000001</v>
      </c>
      <c r="Q61" s="11">
        <v>1566.4532119999999</v>
      </c>
      <c r="R61" s="11">
        <v>0.21488399999999999</v>
      </c>
      <c r="S61" s="11">
        <v>2.1848200000000002</v>
      </c>
      <c r="T61" s="11">
        <v>2.1747990000000001</v>
      </c>
      <c r="U61" s="11">
        <v>0.460754</v>
      </c>
      <c r="V61" s="11">
        <v>6.8945449999999999</v>
      </c>
      <c r="W61" s="11">
        <v>0</v>
      </c>
      <c r="X61" s="12">
        <v>42776</v>
      </c>
      <c r="Y61" s="11">
        <v>1</v>
      </c>
      <c r="Z61" s="11" t="s">
        <v>258</v>
      </c>
      <c r="AA61" s="11" t="s">
        <v>254</v>
      </c>
      <c r="AB61" s="11">
        <v>0.74624900000000005</v>
      </c>
      <c r="AC61" s="11">
        <v>3.2019700000000002</v>
      </c>
      <c r="AD61" s="11"/>
      <c r="AE61" s="11"/>
      <c r="AF61" s="11">
        <v>-5.1315E-2</v>
      </c>
      <c r="AG61" s="11">
        <v>0.71637300000000004</v>
      </c>
      <c r="AH61" s="11"/>
      <c r="AI61" s="11"/>
      <c r="AJ61" s="11">
        <v>100</v>
      </c>
      <c r="AK61" s="11" t="s">
        <v>255</v>
      </c>
      <c r="AL61" s="11" t="s">
        <v>256</v>
      </c>
      <c r="AM61" s="11">
        <v>0.21488399999999999</v>
      </c>
      <c r="AN61" s="11">
        <v>0.21488399999999999</v>
      </c>
      <c r="AO61" s="11"/>
    </row>
    <row r="62" spans="1:41" x14ac:dyDescent="0.2">
      <c r="A62" s="11" t="s">
        <v>260</v>
      </c>
      <c r="B62" s="11" t="s">
        <v>261</v>
      </c>
      <c r="C62" s="11" t="s">
        <v>262</v>
      </c>
      <c r="D62" s="11" t="s">
        <v>41</v>
      </c>
      <c r="E62" s="12">
        <v>44086</v>
      </c>
      <c r="F62" s="11" t="s">
        <v>843</v>
      </c>
      <c r="G62" s="11">
        <v>108.577</v>
      </c>
      <c r="H62" s="11">
        <v>0.85416700000000001</v>
      </c>
      <c r="I62" s="11">
        <v>170.87206</v>
      </c>
      <c r="J62" s="11">
        <v>-2.5670999999999999E-2</v>
      </c>
      <c r="K62" s="11">
        <v>-0.35910799999999998</v>
      </c>
      <c r="L62" s="11">
        <v>-2.5319790000000002</v>
      </c>
      <c r="M62" s="11">
        <v>-3.2532230000000002</v>
      </c>
      <c r="N62" s="11">
        <v>74318.34</v>
      </c>
      <c r="O62" s="11">
        <v>81327.426508999997</v>
      </c>
      <c r="P62" s="11">
        <v>3815.9854409999998</v>
      </c>
      <c r="Q62" s="11">
        <v>3196.7709150000001</v>
      </c>
      <c r="R62" s="11">
        <v>0.438529</v>
      </c>
      <c r="S62" s="11">
        <v>2.6701060000000001</v>
      </c>
      <c r="T62" s="11">
        <v>2.6537250000000001</v>
      </c>
      <c r="U62" s="11">
        <v>0.61728899999999998</v>
      </c>
      <c r="V62" s="11">
        <v>9.8372820000000001</v>
      </c>
      <c r="W62" s="11">
        <v>3.75</v>
      </c>
      <c r="X62" s="12">
        <v>38607</v>
      </c>
      <c r="Y62" s="11">
        <v>1</v>
      </c>
      <c r="Z62" s="11" t="s">
        <v>261</v>
      </c>
      <c r="AA62" s="11" t="s">
        <v>254</v>
      </c>
      <c r="AB62" s="11">
        <v>0.71479099999999995</v>
      </c>
      <c r="AC62" s="11">
        <v>2.9830139999999998</v>
      </c>
      <c r="AD62" s="11">
        <v>17.020347000000001</v>
      </c>
      <c r="AE62" s="11">
        <v>16.292193000000001</v>
      </c>
      <c r="AF62" s="11">
        <v>-8.2524E-2</v>
      </c>
      <c r="AG62" s="11">
        <v>0.502691</v>
      </c>
      <c r="AH62" s="11">
        <v>3.5557029999999998</v>
      </c>
      <c r="AI62" s="11">
        <v>2.755458</v>
      </c>
      <c r="AJ62" s="11">
        <v>100</v>
      </c>
      <c r="AK62" s="11" t="s">
        <v>255</v>
      </c>
      <c r="AL62" s="11" t="s">
        <v>256</v>
      </c>
      <c r="AM62" s="11">
        <v>0.438529</v>
      </c>
      <c r="AN62" s="11">
        <v>0.438529</v>
      </c>
      <c r="AO62" s="11"/>
    </row>
    <row r="63" spans="1:41" x14ac:dyDescent="0.2">
      <c r="A63" s="11" t="s">
        <v>263</v>
      </c>
      <c r="B63" s="11" t="s">
        <v>264</v>
      </c>
      <c r="C63" s="11" t="s">
        <v>265</v>
      </c>
      <c r="D63" s="11" t="s">
        <v>41</v>
      </c>
      <c r="E63" s="12">
        <v>44468</v>
      </c>
      <c r="F63" s="11" t="s">
        <v>844</v>
      </c>
      <c r="G63" s="11">
        <v>111.63</v>
      </c>
      <c r="H63" s="11">
        <v>0.69513899999999995</v>
      </c>
      <c r="I63" s="11">
        <v>140.09196299999999</v>
      </c>
      <c r="J63" s="11">
        <v>-3.5000000000000003E-2</v>
      </c>
      <c r="K63" s="11">
        <v>-0.55096400000000001</v>
      </c>
      <c r="L63" s="11">
        <v>-3.4469630000000002</v>
      </c>
      <c r="M63" s="11">
        <v>-3.9226709999999998</v>
      </c>
      <c r="N63" s="11">
        <v>73335</v>
      </c>
      <c r="O63" s="11">
        <v>82373.640604</v>
      </c>
      <c r="P63" s="11">
        <v>3865.0751260000002</v>
      </c>
      <c r="Q63" s="11">
        <v>3237.894886</v>
      </c>
      <c r="R63" s="11">
        <v>0.44417000000000001</v>
      </c>
      <c r="S63" s="11">
        <v>3.6153240000000002</v>
      </c>
      <c r="T63" s="11">
        <v>3.588454</v>
      </c>
      <c r="U63" s="11">
        <v>0.74878100000000003</v>
      </c>
      <c r="V63" s="11">
        <v>16.866087</v>
      </c>
      <c r="W63" s="11">
        <v>3.85</v>
      </c>
      <c r="X63" s="12">
        <v>40511</v>
      </c>
      <c r="Y63" s="11">
        <v>1</v>
      </c>
      <c r="Z63" s="11" t="s">
        <v>264</v>
      </c>
      <c r="AA63" s="11" t="s">
        <v>254</v>
      </c>
      <c r="AB63" s="11">
        <v>0.70539200000000002</v>
      </c>
      <c r="AC63" s="11">
        <v>2.7847219999999999</v>
      </c>
      <c r="AD63" s="11">
        <v>15.921815</v>
      </c>
      <c r="AE63" s="11">
        <v>15.487498</v>
      </c>
      <c r="AF63" s="11">
        <v>-9.1847999999999999E-2</v>
      </c>
      <c r="AG63" s="11">
        <v>0.30917499999999998</v>
      </c>
      <c r="AH63" s="11">
        <v>2.5835710000000001</v>
      </c>
      <c r="AI63" s="11">
        <v>2.044432</v>
      </c>
      <c r="AJ63" s="11">
        <v>100</v>
      </c>
      <c r="AK63" s="11" t="s">
        <v>255</v>
      </c>
      <c r="AL63" s="11" t="s">
        <v>256</v>
      </c>
      <c r="AM63" s="11">
        <v>0.44417000000000001</v>
      </c>
      <c r="AN63" s="11">
        <v>0.44417000000000001</v>
      </c>
      <c r="AO63" s="11"/>
    </row>
    <row r="64" spans="1:41" x14ac:dyDescent="0.2">
      <c r="A64" s="11" t="s">
        <v>266</v>
      </c>
      <c r="B64" s="11" t="s">
        <v>267</v>
      </c>
      <c r="C64" s="11" t="s">
        <v>268</v>
      </c>
      <c r="D64" s="11" t="s">
        <v>41</v>
      </c>
      <c r="E64" s="12">
        <v>44816</v>
      </c>
      <c r="F64" s="11" t="s">
        <v>844</v>
      </c>
      <c r="G64" s="11">
        <v>118.0545</v>
      </c>
      <c r="H64" s="11">
        <v>1.0705560000000001</v>
      </c>
      <c r="I64" s="11">
        <v>182.45626200000001</v>
      </c>
      <c r="J64" s="11">
        <v>-4.2355999999999998E-2</v>
      </c>
      <c r="K64" s="11">
        <v>-0.62859500000000001</v>
      </c>
      <c r="L64" s="11">
        <v>-3.7150660000000002</v>
      </c>
      <c r="M64" s="11">
        <v>-4.37331</v>
      </c>
      <c r="N64" s="11">
        <v>60618.31</v>
      </c>
      <c r="O64" s="11">
        <v>72211.595463999998</v>
      </c>
      <c r="P64" s="11">
        <v>3388.259149</v>
      </c>
      <c r="Q64" s="11">
        <v>2838.4511600000001</v>
      </c>
      <c r="R64" s="11">
        <v>0.38937500000000003</v>
      </c>
      <c r="S64" s="11">
        <v>4.3833510000000002</v>
      </c>
      <c r="T64" s="11">
        <v>4.3474919999999999</v>
      </c>
      <c r="U64" s="11">
        <v>0.82482100000000003</v>
      </c>
      <c r="V64" s="11">
        <v>24.214041000000002</v>
      </c>
      <c r="W64" s="11">
        <v>4.7</v>
      </c>
      <c r="X64" s="12">
        <v>39251</v>
      </c>
      <c r="Y64" s="11">
        <v>1</v>
      </c>
      <c r="Z64" s="11" t="s">
        <v>267</v>
      </c>
      <c r="AA64" s="11" t="s">
        <v>254</v>
      </c>
      <c r="AB64" s="11">
        <v>0.69798300000000002</v>
      </c>
      <c r="AC64" s="11">
        <v>2.7044869999999999</v>
      </c>
      <c r="AD64" s="11">
        <v>15.599930000000001</v>
      </c>
      <c r="AE64" s="11">
        <v>14.945817999999999</v>
      </c>
      <c r="AF64" s="11">
        <v>-9.9198999999999996E-2</v>
      </c>
      <c r="AG64" s="11">
        <v>0.23087199999999999</v>
      </c>
      <c r="AH64" s="11">
        <v>2.2987229999999998</v>
      </c>
      <c r="AI64" s="11">
        <v>1.5658049999999999</v>
      </c>
      <c r="AJ64" s="11">
        <v>100</v>
      </c>
      <c r="AK64" s="11" t="s">
        <v>255</v>
      </c>
      <c r="AL64" s="11" t="s">
        <v>256</v>
      </c>
      <c r="AM64" s="11">
        <v>0.38937500000000003</v>
      </c>
      <c r="AN64" s="11">
        <v>0.38937500000000003</v>
      </c>
      <c r="AO64" s="11"/>
    </row>
    <row r="65" spans="1:41" x14ac:dyDescent="0.2">
      <c r="A65" s="11" t="s">
        <v>269</v>
      </c>
      <c r="B65" s="11" t="s">
        <v>270</v>
      </c>
      <c r="C65" s="11" t="s">
        <v>271</v>
      </c>
      <c r="D65" s="11" t="s">
        <v>41</v>
      </c>
      <c r="E65" s="12">
        <v>45224</v>
      </c>
      <c r="F65" s="11" t="s">
        <v>845</v>
      </c>
      <c r="G65" s="11">
        <v>96.052999999999997</v>
      </c>
      <c r="H65" s="11">
        <v>4.8750000000000002E-2</v>
      </c>
      <c r="I65" s="11">
        <v>94.939019000000002</v>
      </c>
      <c r="J65" s="11">
        <v>-0.21210100000000001</v>
      </c>
      <c r="K65" s="11">
        <v>-1.1195459999999999</v>
      </c>
      <c r="L65" s="11"/>
      <c r="M65" s="11"/>
      <c r="N65" s="11">
        <v>39929.1</v>
      </c>
      <c r="O65" s="11">
        <v>38372.563859000002</v>
      </c>
      <c r="P65" s="11">
        <v>1800.4891009999999</v>
      </c>
      <c r="Q65" s="11">
        <v>1508.3262970000001</v>
      </c>
      <c r="R65" s="11">
        <v>0.20691000000000001</v>
      </c>
      <c r="S65" s="11">
        <v>5.8215380000000003</v>
      </c>
      <c r="T65" s="11">
        <v>5.7555610000000001</v>
      </c>
      <c r="U65" s="11">
        <v>1.146309</v>
      </c>
      <c r="V65" s="11">
        <v>39.057619000000003</v>
      </c>
      <c r="W65" s="11">
        <v>0.45</v>
      </c>
      <c r="X65" s="12">
        <v>42272</v>
      </c>
      <c r="Y65" s="11">
        <v>1</v>
      </c>
      <c r="Z65" s="11" t="s">
        <v>270</v>
      </c>
      <c r="AA65" s="11" t="s">
        <v>254</v>
      </c>
      <c r="AB65" s="11">
        <v>0.52698</v>
      </c>
      <c r="AC65" s="11">
        <v>2.1970689999999999</v>
      </c>
      <c r="AD65" s="11"/>
      <c r="AE65" s="11"/>
      <c r="AF65" s="11">
        <v>-0.26884799999999998</v>
      </c>
      <c r="AG65" s="11">
        <v>-0.26432499999999998</v>
      </c>
      <c r="AH65" s="11"/>
      <c r="AI65" s="11"/>
      <c r="AJ65" s="11">
        <v>100</v>
      </c>
      <c r="AK65" s="11" t="s">
        <v>255</v>
      </c>
      <c r="AL65" s="11" t="s">
        <v>256</v>
      </c>
      <c r="AM65" s="11">
        <v>0.20691000000000001</v>
      </c>
      <c r="AN65" s="11">
        <v>0.20691000000000001</v>
      </c>
      <c r="AO65" s="11"/>
    </row>
    <row r="66" spans="1:41" x14ac:dyDescent="0.2">
      <c r="A66" s="11" t="s">
        <v>272</v>
      </c>
      <c r="B66" s="11" t="s">
        <v>273</v>
      </c>
      <c r="C66" s="11" t="s">
        <v>274</v>
      </c>
      <c r="D66" s="11" t="s">
        <v>41</v>
      </c>
      <c r="E66" s="12">
        <v>45437</v>
      </c>
      <c r="F66" s="11" t="s">
        <v>845</v>
      </c>
      <c r="G66" s="11">
        <v>128.35849999999999</v>
      </c>
      <c r="H66" s="11">
        <v>2.9925000000000002</v>
      </c>
      <c r="I66" s="11">
        <v>187.865442</v>
      </c>
      <c r="J66" s="11">
        <v>-0.12643699999999999</v>
      </c>
      <c r="K66" s="11">
        <v>-1.216828</v>
      </c>
      <c r="L66" s="11">
        <v>-5.0226490000000004</v>
      </c>
      <c r="M66" s="11">
        <v>-5.5283280000000001</v>
      </c>
      <c r="N66" s="11">
        <v>74702.649999999994</v>
      </c>
      <c r="O66" s="11">
        <v>98122.677802000006</v>
      </c>
      <c r="P66" s="11">
        <v>4604.0398169999999</v>
      </c>
      <c r="Q66" s="11">
        <v>3856.9488289999999</v>
      </c>
      <c r="R66" s="11">
        <v>0.52909099999999998</v>
      </c>
      <c r="S66" s="11">
        <v>5.5818000000000003</v>
      </c>
      <c r="T66" s="11">
        <v>5.519387</v>
      </c>
      <c r="U66" s="11">
        <v>1.130803</v>
      </c>
      <c r="V66" s="11">
        <v>38.935727999999997</v>
      </c>
      <c r="W66" s="11">
        <v>5.7</v>
      </c>
      <c r="X66" s="12">
        <v>39958</v>
      </c>
      <c r="Y66" s="11">
        <v>1</v>
      </c>
      <c r="Z66" s="11" t="s">
        <v>273</v>
      </c>
      <c r="AA66" s="11" t="s">
        <v>254</v>
      </c>
      <c r="AB66" s="11">
        <v>0.61327799999999999</v>
      </c>
      <c r="AC66" s="11">
        <v>2.0965240000000001</v>
      </c>
      <c r="AD66" s="11">
        <v>14.030042</v>
      </c>
      <c r="AE66" s="11">
        <v>13.557456</v>
      </c>
      <c r="AF66" s="11">
        <v>-0.18323300000000001</v>
      </c>
      <c r="AG66" s="11">
        <v>-0.36244799999999999</v>
      </c>
      <c r="AH66" s="11">
        <v>0.90947</v>
      </c>
      <c r="AI66" s="11">
        <v>0.33905200000000002</v>
      </c>
      <c r="AJ66" s="11">
        <v>100</v>
      </c>
      <c r="AK66" s="11" t="s">
        <v>255</v>
      </c>
      <c r="AL66" s="11" t="s">
        <v>256</v>
      </c>
      <c r="AM66" s="11">
        <v>0.52909099999999998</v>
      </c>
      <c r="AN66" s="11">
        <v>0.52909099999999998</v>
      </c>
      <c r="AO66" s="11"/>
    </row>
    <row r="67" spans="1:41" x14ac:dyDescent="0.2">
      <c r="A67" s="11" t="s">
        <v>275</v>
      </c>
      <c r="B67" s="11" t="s">
        <v>276</v>
      </c>
      <c r="C67" s="11" t="s">
        <v>277</v>
      </c>
      <c r="D67" s="11" t="s">
        <v>41</v>
      </c>
      <c r="E67" s="12">
        <v>45917</v>
      </c>
      <c r="F67" s="11" t="s">
        <v>846</v>
      </c>
      <c r="G67" s="11">
        <v>106.8155</v>
      </c>
      <c r="H67" s="11">
        <v>0.51333300000000004</v>
      </c>
      <c r="I67" s="11">
        <v>107.094444</v>
      </c>
      <c r="J67" s="11">
        <v>-0.16222600000000001</v>
      </c>
      <c r="K67" s="11">
        <v>-1.5513619999999999</v>
      </c>
      <c r="L67" s="11">
        <v>-6.3619599999999998</v>
      </c>
      <c r="M67" s="11">
        <v>-7.3389509999999998</v>
      </c>
      <c r="N67" s="11">
        <v>62805.14</v>
      </c>
      <c r="O67" s="11">
        <v>67408.024034999995</v>
      </c>
      <c r="P67" s="11">
        <v>3162.869518</v>
      </c>
      <c r="Q67" s="11">
        <v>2649.6351829999999</v>
      </c>
      <c r="R67" s="11">
        <v>0.36347400000000002</v>
      </c>
      <c r="S67" s="11">
        <v>7.1849809999999996</v>
      </c>
      <c r="T67" s="11">
        <v>7.0811840000000004</v>
      </c>
      <c r="U67" s="11">
        <v>1.465816</v>
      </c>
      <c r="V67" s="11">
        <v>59.712778</v>
      </c>
      <c r="W67" s="11">
        <v>2.4</v>
      </c>
      <c r="X67" s="12">
        <v>41715</v>
      </c>
      <c r="Y67" s="11">
        <v>1</v>
      </c>
      <c r="Z67" s="11" t="s">
        <v>276</v>
      </c>
      <c r="AA67" s="11" t="s">
        <v>254</v>
      </c>
      <c r="AB67" s="11">
        <v>0.57722399999999996</v>
      </c>
      <c r="AC67" s="11">
        <v>1.750769</v>
      </c>
      <c r="AD67" s="11">
        <v>12.422063</v>
      </c>
      <c r="AE67" s="11">
        <v>11.381038999999999</v>
      </c>
      <c r="AF67" s="11">
        <v>-0.219001</v>
      </c>
      <c r="AG67" s="11">
        <v>-0.69987600000000005</v>
      </c>
      <c r="AH67" s="11">
        <v>-0.51349100000000003</v>
      </c>
      <c r="AI67" s="11">
        <v>-1.5840240000000001</v>
      </c>
      <c r="AJ67" s="11">
        <v>100</v>
      </c>
      <c r="AK67" s="11" t="s">
        <v>255</v>
      </c>
      <c r="AL67" s="11" t="s">
        <v>256</v>
      </c>
      <c r="AM67" s="11">
        <v>0.36347400000000002</v>
      </c>
      <c r="AN67" s="11">
        <v>0.36347400000000002</v>
      </c>
      <c r="AO67" s="11"/>
    </row>
    <row r="68" spans="1:41" x14ac:dyDescent="0.2">
      <c r="A68" s="11" t="s">
        <v>278</v>
      </c>
      <c r="B68" s="11" t="s">
        <v>279</v>
      </c>
      <c r="C68" s="11" t="s">
        <v>280</v>
      </c>
      <c r="D68" s="11" t="s">
        <v>41</v>
      </c>
      <c r="E68" s="12">
        <v>46199</v>
      </c>
      <c r="F68" s="11" t="s">
        <v>846</v>
      </c>
      <c r="G68" s="11">
        <v>95.076999999999998</v>
      </c>
      <c r="H68" s="11">
        <v>0.43888899999999997</v>
      </c>
      <c r="I68" s="11">
        <v>91.412388000000007</v>
      </c>
      <c r="J68" s="11">
        <v>-0.18470900000000001</v>
      </c>
      <c r="K68" s="11">
        <v>-1.8295600000000001</v>
      </c>
      <c r="L68" s="11">
        <v>-8.0168470000000003</v>
      </c>
      <c r="M68" s="11">
        <v>-8.9958989999999996</v>
      </c>
      <c r="N68" s="11">
        <v>47174.68</v>
      </c>
      <c r="O68" s="11">
        <v>45059.314932000001</v>
      </c>
      <c r="P68" s="11">
        <v>2114.239896</v>
      </c>
      <c r="Q68" s="11">
        <v>1771.165197</v>
      </c>
      <c r="R68" s="11">
        <v>0.24296599999999999</v>
      </c>
      <c r="S68" s="11">
        <v>8.1993390000000002</v>
      </c>
      <c r="T68" s="11">
        <v>8.0686579999999992</v>
      </c>
      <c r="U68" s="11">
        <v>1.6196120000000001</v>
      </c>
      <c r="V68" s="11">
        <v>74.908753000000004</v>
      </c>
      <c r="W68" s="11">
        <v>1</v>
      </c>
      <c r="X68" s="12">
        <v>42181</v>
      </c>
      <c r="Y68" s="11">
        <v>1</v>
      </c>
      <c r="Z68" s="11" t="s">
        <v>279</v>
      </c>
      <c r="AA68" s="11" t="s">
        <v>254</v>
      </c>
      <c r="AB68" s="11">
        <v>0.55457500000000004</v>
      </c>
      <c r="AC68" s="11">
        <v>1.4632400000000001</v>
      </c>
      <c r="AD68" s="11">
        <v>10.4352</v>
      </c>
      <c r="AE68" s="11">
        <v>9.3893439999999995</v>
      </c>
      <c r="AF68" s="11">
        <v>-0.24147199999999999</v>
      </c>
      <c r="AG68" s="11">
        <v>-0.98048000000000002</v>
      </c>
      <c r="AH68" s="11">
        <v>-2.2717399999999999</v>
      </c>
      <c r="AI68" s="11">
        <v>-3.34388</v>
      </c>
      <c r="AJ68" s="11">
        <v>100</v>
      </c>
      <c r="AK68" s="11" t="s">
        <v>255</v>
      </c>
      <c r="AL68" s="11" t="s">
        <v>256</v>
      </c>
      <c r="AM68" s="11">
        <v>0.24296599999999999</v>
      </c>
      <c r="AN68" s="11">
        <v>0.24296599999999999</v>
      </c>
      <c r="AO68" s="11"/>
    </row>
    <row r="69" spans="1:41" x14ac:dyDescent="0.2">
      <c r="A69" s="11" t="s">
        <v>281</v>
      </c>
      <c r="B69" s="11" t="s">
        <v>282</v>
      </c>
      <c r="C69" s="11" t="s">
        <v>283</v>
      </c>
      <c r="D69" s="11" t="s">
        <v>41</v>
      </c>
      <c r="E69" s="12">
        <v>46990</v>
      </c>
      <c r="F69" s="11" t="s">
        <v>847</v>
      </c>
      <c r="G69" s="11">
        <v>105.9735</v>
      </c>
      <c r="H69" s="11">
        <v>0.6875</v>
      </c>
      <c r="I69" s="11">
        <v>115.279856</v>
      </c>
      <c r="J69" s="11">
        <v>-0.119493</v>
      </c>
      <c r="K69" s="11">
        <v>-2.2690769999999998</v>
      </c>
      <c r="L69" s="11">
        <v>-9.5493710000000007</v>
      </c>
      <c r="M69" s="11">
        <v>-10.585226</v>
      </c>
      <c r="N69" s="11">
        <v>77391.149999999994</v>
      </c>
      <c r="O69" s="11">
        <v>82546.174501999994</v>
      </c>
      <c r="P69" s="11">
        <v>3873.1706340000001</v>
      </c>
      <c r="Q69" s="11">
        <v>3244.6767479999999</v>
      </c>
      <c r="R69" s="11">
        <v>0.44510100000000002</v>
      </c>
      <c r="S69" s="11">
        <v>9.5202760000000008</v>
      </c>
      <c r="T69" s="11">
        <v>9.3447619999999993</v>
      </c>
      <c r="U69" s="11">
        <v>1.8782030000000001</v>
      </c>
      <c r="V69" s="11">
        <v>103.336112</v>
      </c>
      <c r="W69" s="11">
        <v>2.5</v>
      </c>
      <c r="X69" s="12">
        <v>41330</v>
      </c>
      <c r="Y69" s="11">
        <v>1</v>
      </c>
      <c r="Z69" s="11" t="s">
        <v>282</v>
      </c>
      <c r="AA69" s="11" t="s">
        <v>254</v>
      </c>
      <c r="AB69" s="11">
        <v>0.62027399999999999</v>
      </c>
      <c r="AC69" s="11">
        <v>1.0089809999999999</v>
      </c>
      <c r="AD69" s="11">
        <v>8.5952490000000008</v>
      </c>
      <c r="AE69" s="11">
        <v>7.4789300000000001</v>
      </c>
      <c r="AF69" s="11">
        <v>-0.17629300000000001</v>
      </c>
      <c r="AG69" s="11">
        <v>-1.4237979999999999</v>
      </c>
      <c r="AH69" s="11">
        <v>-3.8999820000000001</v>
      </c>
      <c r="AI69" s="11">
        <v>-5.0319159999999998</v>
      </c>
      <c r="AJ69" s="11">
        <v>100</v>
      </c>
      <c r="AK69" s="11" t="s">
        <v>255</v>
      </c>
      <c r="AL69" s="11" t="s">
        <v>256</v>
      </c>
      <c r="AM69" s="11">
        <v>0.44510100000000002</v>
      </c>
      <c r="AN69" s="11">
        <v>0.44510100000000002</v>
      </c>
      <c r="AO69" s="11"/>
    </row>
    <row r="70" spans="1:41" x14ac:dyDescent="0.2">
      <c r="A70" s="11" t="s">
        <v>284</v>
      </c>
      <c r="B70" s="11" t="s">
        <v>285</v>
      </c>
      <c r="C70" s="11" t="s">
        <v>286</v>
      </c>
      <c r="D70" s="11" t="s">
        <v>41</v>
      </c>
      <c r="E70" s="12">
        <v>47618</v>
      </c>
      <c r="F70" s="11" t="s">
        <v>847</v>
      </c>
      <c r="G70" s="11">
        <v>88.135499999999993</v>
      </c>
      <c r="H70" s="11">
        <v>0.52513900000000002</v>
      </c>
      <c r="I70" s="11">
        <v>92.177982</v>
      </c>
      <c r="J70" s="11">
        <v>-0.14965600000000001</v>
      </c>
      <c r="K70" s="11">
        <v>-2.6439659999999998</v>
      </c>
      <c r="L70" s="11"/>
      <c r="M70" s="11"/>
      <c r="N70" s="11">
        <v>40544.089999999997</v>
      </c>
      <c r="O70" s="11">
        <v>35946.649226000001</v>
      </c>
      <c r="P70" s="11">
        <v>1686.6621259999999</v>
      </c>
      <c r="Q70" s="11">
        <v>1412.969863</v>
      </c>
      <c r="R70" s="11">
        <v>0.193829</v>
      </c>
      <c r="S70" s="11">
        <v>11.674989999999999</v>
      </c>
      <c r="T70" s="11">
        <v>11.441822</v>
      </c>
      <c r="U70" s="11">
        <v>2.0378569999999998</v>
      </c>
      <c r="V70" s="11">
        <v>147.830017</v>
      </c>
      <c r="W70" s="11">
        <v>0.95</v>
      </c>
      <c r="X70" s="12">
        <v>42139</v>
      </c>
      <c r="Y70" s="11">
        <v>1</v>
      </c>
      <c r="Z70" s="11" t="s">
        <v>285</v>
      </c>
      <c r="AA70" s="11" t="s">
        <v>254</v>
      </c>
      <c r="AB70" s="11">
        <v>0.58988799999999997</v>
      </c>
      <c r="AC70" s="11">
        <v>0.62151800000000001</v>
      </c>
      <c r="AD70" s="11"/>
      <c r="AE70" s="11"/>
      <c r="AF70" s="11">
        <v>-0.20643800000000001</v>
      </c>
      <c r="AG70" s="11">
        <v>-1.8019289999999999</v>
      </c>
      <c r="AH70" s="11"/>
      <c r="AI70" s="11"/>
      <c r="AJ70" s="11">
        <v>100</v>
      </c>
      <c r="AK70" s="11" t="s">
        <v>255</v>
      </c>
      <c r="AL70" s="11" t="s">
        <v>256</v>
      </c>
      <c r="AM70" s="11">
        <v>0.193829</v>
      </c>
      <c r="AN70" s="11">
        <v>0.193829</v>
      </c>
      <c r="AO70" s="11"/>
    </row>
    <row r="71" spans="1:41" x14ac:dyDescent="0.2">
      <c r="A71" s="11" t="s">
        <v>289</v>
      </c>
      <c r="B71" s="11" t="s">
        <v>290</v>
      </c>
      <c r="C71" s="11" t="s">
        <v>291</v>
      </c>
      <c r="D71" s="11" t="s">
        <v>41</v>
      </c>
      <c r="E71" s="12">
        <v>43640</v>
      </c>
      <c r="F71" s="11" t="s">
        <v>843</v>
      </c>
      <c r="G71" s="11">
        <v>110.1358</v>
      </c>
      <c r="H71" s="11">
        <v>2.9027400000000001</v>
      </c>
      <c r="I71" s="11">
        <v>230.31804099999999</v>
      </c>
      <c r="J71" s="11">
        <v>9.6000000000000002E-5</v>
      </c>
      <c r="K71" s="11">
        <v>-1.4648E-2</v>
      </c>
      <c r="L71" s="11">
        <v>2.6037050000000002</v>
      </c>
      <c r="M71" s="11">
        <v>1.724248</v>
      </c>
      <c r="N71" s="11">
        <v>730156.92</v>
      </c>
      <c r="O71" s="11">
        <v>825358.72007699998</v>
      </c>
      <c r="P71" s="11">
        <v>3159.410531</v>
      </c>
      <c r="Q71" s="11">
        <v>2646.7374810000001</v>
      </c>
      <c r="R71" s="11">
        <v>0.36307600000000001</v>
      </c>
      <c r="S71" s="11">
        <v>1.495536</v>
      </c>
      <c r="T71" s="11">
        <v>1.4958769999999999</v>
      </c>
      <c r="U71" s="11">
        <v>-2.2790999999999999E-2</v>
      </c>
      <c r="V71" s="11">
        <v>3.7880929999999999</v>
      </c>
      <c r="W71" s="11">
        <v>6.5</v>
      </c>
      <c r="X71" s="12">
        <v>39484</v>
      </c>
      <c r="Y71" s="11">
        <v>1</v>
      </c>
      <c r="Z71" s="11" t="s">
        <v>290</v>
      </c>
      <c r="AA71" s="11" t="s">
        <v>287</v>
      </c>
      <c r="AB71" s="11">
        <v>1.02755</v>
      </c>
      <c r="AC71" s="11">
        <v>2.3296890000000001</v>
      </c>
      <c r="AD71" s="11">
        <v>15.379415</v>
      </c>
      <c r="AE71" s="11">
        <v>14.026837</v>
      </c>
      <c r="AF71" s="11">
        <v>0.22775899999999999</v>
      </c>
      <c r="AG71" s="11">
        <v>-0.13489899999999999</v>
      </c>
      <c r="AH71" s="11">
        <v>2.1035810000000001</v>
      </c>
      <c r="AI71" s="11">
        <v>0.75379600000000002</v>
      </c>
      <c r="AJ71" s="11">
        <v>100</v>
      </c>
      <c r="AK71" s="11" t="s">
        <v>44</v>
      </c>
      <c r="AL71" s="11" t="s">
        <v>288</v>
      </c>
      <c r="AM71" s="11">
        <v>0.36307600000000001</v>
      </c>
      <c r="AN71" s="11">
        <v>0.36307600000000001</v>
      </c>
      <c r="AO71" s="11"/>
    </row>
    <row r="72" spans="1:41" x14ac:dyDescent="0.2">
      <c r="A72" s="11" t="s">
        <v>292</v>
      </c>
      <c r="B72" s="11" t="s">
        <v>293</v>
      </c>
      <c r="C72" s="11" t="s">
        <v>294</v>
      </c>
      <c r="D72" s="11" t="s">
        <v>41</v>
      </c>
      <c r="E72" s="12">
        <v>43768</v>
      </c>
      <c r="F72" s="11" t="s">
        <v>843</v>
      </c>
      <c r="G72" s="11">
        <v>103.7206</v>
      </c>
      <c r="H72" s="11">
        <v>0.19178100000000001</v>
      </c>
      <c r="I72" s="11">
        <v>106.155046</v>
      </c>
      <c r="J72" s="11">
        <v>1.73E-4</v>
      </c>
      <c r="K72" s="11">
        <v>-1.7482000000000001E-2</v>
      </c>
      <c r="L72" s="11">
        <v>3.3557760000000001</v>
      </c>
      <c r="M72" s="11">
        <v>2.1662119999999998</v>
      </c>
      <c r="N72" s="11">
        <v>323268.25</v>
      </c>
      <c r="O72" s="11">
        <v>335915.73501599999</v>
      </c>
      <c r="P72" s="11">
        <v>1285.8599360000001</v>
      </c>
      <c r="Q72" s="11">
        <v>1077.2052739999999</v>
      </c>
      <c r="R72" s="11">
        <v>0.14777000000000001</v>
      </c>
      <c r="S72" s="11">
        <v>1.884252</v>
      </c>
      <c r="T72" s="11">
        <v>1.88341</v>
      </c>
      <c r="U72" s="11">
        <v>4.4726000000000002E-2</v>
      </c>
      <c r="V72" s="11">
        <v>5.4486520000000001</v>
      </c>
      <c r="W72" s="11">
        <v>2</v>
      </c>
      <c r="X72" s="12">
        <v>42382</v>
      </c>
      <c r="Y72" s="11">
        <v>1</v>
      </c>
      <c r="Z72" s="11" t="s">
        <v>293</v>
      </c>
      <c r="AA72" s="11" t="s">
        <v>287</v>
      </c>
      <c r="AB72" s="11">
        <v>1.027628</v>
      </c>
      <c r="AC72" s="11">
        <v>2.3267880000000001</v>
      </c>
      <c r="AD72" s="11">
        <v>16.225131000000001</v>
      </c>
      <c r="AE72" s="11">
        <v>14.522252999999999</v>
      </c>
      <c r="AF72" s="11">
        <v>0.22783600000000001</v>
      </c>
      <c r="AG72" s="11">
        <v>-0.13772999999999999</v>
      </c>
      <c r="AH72" s="11">
        <v>2.8519869999999998</v>
      </c>
      <c r="AI72" s="11">
        <v>1.1915439999999999</v>
      </c>
      <c r="AJ72" s="11">
        <v>100</v>
      </c>
      <c r="AK72" s="11" t="s">
        <v>44</v>
      </c>
      <c r="AL72" s="11" t="s">
        <v>288</v>
      </c>
      <c r="AM72" s="11">
        <v>0.14777000000000001</v>
      </c>
      <c r="AN72" s="11">
        <v>0.14777000000000001</v>
      </c>
      <c r="AO72" s="11"/>
    </row>
    <row r="73" spans="1:41" x14ac:dyDescent="0.2">
      <c r="A73" s="11" t="s">
        <v>295</v>
      </c>
      <c r="B73" s="11" t="s">
        <v>296</v>
      </c>
      <c r="C73" s="11" t="s">
        <v>297</v>
      </c>
      <c r="D73" s="11" t="s">
        <v>41</v>
      </c>
      <c r="E73" s="12">
        <v>44006</v>
      </c>
      <c r="F73" s="11" t="s">
        <v>843</v>
      </c>
      <c r="G73" s="11">
        <v>108.06755</v>
      </c>
      <c r="H73" s="11">
        <v>1.5630139999999999</v>
      </c>
      <c r="I73" s="11">
        <v>111.882964</v>
      </c>
      <c r="J73" s="11">
        <v>9.0300000000000005E-4</v>
      </c>
      <c r="K73" s="11">
        <v>-2.9902000000000001E-2</v>
      </c>
      <c r="L73" s="11">
        <v>4.6859039999999998</v>
      </c>
      <c r="M73" s="11">
        <v>2.9438040000000001</v>
      </c>
      <c r="N73" s="11">
        <v>884888.95</v>
      </c>
      <c r="O73" s="11">
        <v>970108.743992</v>
      </c>
      <c r="P73" s="11">
        <v>3713.5026349999998</v>
      </c>
      <c r="Q73" s="11">
        <v>3110.917848</v>
      </c>
      <c r="R73" s="11">
        <v>0.42675200000000002</v>
      </c>
      <c r="S73" s="11">
        <v>2.4575819999999999</v>
      </c>
      <c r="T73" s="11">
        <v>2.4497059999999999</v>
      </c>
      <c r="U73" s="11">
        <v>0.32151999999999997</v>
      </c>
      <c r="V73" s="11">
        <v>8.5920229999999993</v>
      </c>
      <c r="W73" s="11">
        <v>3.5</v>
      </c>
      <c r="X73" s="12">
        <v>41906</v>
      </c>
      <c r="Y73" s="11">
        <v>1</v>
      </c>
      <c r="Z73" s="11" t="s">
        <v>296</v>
      </c>
      <c r="AA73" s="11" t="s">
        <v>287</v>
      </c>
      <c r="AB73" s="11">
        <v>1.028365</v>
      </c>
      <c r="AC73" s="11">
        <v>2.3140770000000002</v>
      </c>
      <c r="AD73" s="11">
        <v>17.720880000000001</v>
      </c>
      <c r="AE73" s="11">
        <v>15.393888</v>
      </c>
      <c r="AF73" s="11">
        <v>0.22856799999999999</v>
      </c>
      <c r="AG73" s="11">
        <v>-0.15013499999999999</v>
      </c>
      <c r="AH73" s="11">
        <v>4.1756320000000002</v>
      </c>
      <c r="AI73" s="11">
        <v>1.9617180000000001</v>
      </c>
      <c r="AJ73" s="11">
        <v>100</v>
      </c>
      <c r="AK73" s="11" t="s">
        <v>44</v>
      </c>
      <c r="AL73" s="11" t="s">
        <v>288</v>
      </c>
      <c r="AM73" s="11">
        <v>0.42675200000000002</v>
      </c>
      <c r="AN73" s="11">
        <v>0.42675200000000002</v>
      </c>
      <c r="AO73" s="11"/>
    </row>
    <row r="74" spans="1:41" x14ac:dyDescent="0.2">
      <c r="A74" s="11" t="s">
        <v>298</v>
      </c>
      <c r="B74" s="11" t="s">
        <v>299</v>
      </c>
      <c r="C74" s="11" t="s">
        <v>300</v>
      </c>
      <c r="D74" s="11" t="s">
        <v>41</v>
      </c>
      <c r="E74" s="12">
        <v>44097</v>
      </c>
      <c r="F74" s="11" t="s">
        <v>843</v>
      </c>
      <c r="G74" s="11">
        <v>101.14335</v>
      </c>
      <c r="H74" s="11">
        <v>0.19725999999999999</v>
      </c>
      <c r="I74" s="11">
        <v>100.787631</v>
      </c>
      <c r="J74" s="11">
        <v>-4.7558000000000003E-2</v>
      </c>
      <c r="K74" s="11">
        <v>-0.220248</v>
      </c>
      <c r="L74" s="11"/>
      <c r="M74" s="11"/>
      <c r="N74" s="11">
        <v>512596.96</v>
      </c>
      <c r="O74" s="11">
        <v>519468.88750999997</v>
      </c>
      <c r="P74" s="11">
        <v>1988.48747</v>
      </c>
      <c r="Q74" s="11">
        <v>1665.8184389999999</v>
      </c>
      <c r="R74" s="11">
        <v>0.228515</v>
      </c>
      <c r="S74" s="11">
        <v>2.7729029999999999</v>
      </c>
      <c r="T74" s="11">
        <v>2.7567270000000001</v>
      </c>
      <c r="U74" s="11">
        <v>0.58675299999999997</v>
      </c>
      <c r="V74" s="11">
        <v>10.38767</v>
      </c>
      <c r="W74" s="11">
        <v>1</v>
      </c>
      <c r="X74" s="12">
        <v>42746</v>
      </c>
      <c r="Y74" s="11">
        <v>1</v>
      </c>
      <c r="Z74" s="11" t="s">
        <v>299</v>
      </c>
      <c r="AA74" s="11" t="s">
        <v>287</v>
      </c>
      <c r="AB74" s="11">
        <v>0.97940700000000003</v>
      </c>
      <c r="AC74" s="11">
        <v>2.1192679999999999</v>
      </c>
      <c r="AD74" s="11"/>
      <c r="AE74" s="11"/>
      <c r="AF74" s="11">
        <v>0.17999699999999999</v>
      </c>
      <c r="AG74" s="11">
        <v>-0.340252</v>
      </c>
      <c r="AH74" s="11"/>
      <c r="AI74" s="11"/>
      <c r="AJ74" s="11">
        <v>100</v>
      </c>
      <c r="AK74" s="11" t="s">
        <v>44</v>
      </c>
      <c r="AL74" s="11" t="s">
        <v>288</v>
      </c>
      <c r="AM74" s="11">
        <v>0.228515</v>
      </c>
      <c r="AN74" s="11">
        <v>0.228515</v>
      </c>
      <c r="AO74" s="11"/>
    </row>
    <row r="75" spans="1:41" x14ac:dyDescent="0.2">
      <c r="A75" s="11" t="s">
        <v>301</v>
      </c>
      <c r="B75" s="11" t="s">
        <v>302</v>
      </c>
      <c r="C75" s="11" t="s">
        <v>303</v>
      </c>
      <c r="D75" s="11" t="s">
        <v>41</v>
      </c>
      <c r="E75" s="12">
        <v>44147</v>
      </c>
      <c r="F75" s="11" t="s">
        <v>843</v>
      </c>
      <c r="G75" s="11">
        <v>120.2067</v>
      </c>
      <c r="H75" s="11">
        <v>0.45205499999999998</v>
      </c>
      <c r="I75" s="11">
        <v>306.87185099999999</v>
      </c>
      <c r="J75" s="11">
        <v>1.5330000000000001E-3</v>
      </c>
      <c r="K75" s="11">
        <v>5.1846999999999997E-2</v>
      </c>
      <c r="L75" s="11">
        <v>4.7321270000000002</v>
      </c>
      <c r="M75" s="11">
        <v>2.80328</v>
      </c>
      <c r="N75" s="11">
        <v>816585.02</v>
      </c>
      <c r="O75" s="11">
        <v>985281.31697100005</v>
      </c>
      <c r="P75" s="11">
        <v>3771.5820920000001</v>
      </c>
      <c r="Q75" s="11">
        <v>3159.5728340000001</v>
      </c>
      <c r="R75" s="11">
        <v>0.43342599999999998</v>
      </c>
      <c r="S75" s="11">
        <v>2.754013</v>
      </c>
      <c r="T75" s="11">
        <v>2.7389299999999999</v>
      </c>
      <c r="U75" s="11">
        <v>0.55068799999999996</v>
      </c>
      <c r="V75" s="11">
        <v>10.497112</v>
      </c>
      <c r="W75" s="11">
        <v>7.5</v>
      </c>
      <c r="X75" s="12">
        <v>38028</v>
      </c>
      <c r="Y75" s="11">
        <v>1</v>
      </c>
      <c r="Z75" s="11" t="s">
        <v>302</v>
      </c>
      <c r="AA75" s="11" t="s">
        <v>287</v>
      </c>
      <c r="AB75" s="11">
        <v>1.029002</v>
      </c>
      <c r="AC75" s="11">
        <v>2.3977430000000002</v>
      </c>
      <c r="AD75" s="11">
        <v>17.772857999999999</v>
      </c>
      <c r="AE75" s="11">
        <v>15.236369</v>
      </c>
      <c r="AF75" s="11">
        <v>0.22919999999999999</v>
      </c>
      <c r="AG75" s="11">
        <v>-6.8484000000000003E-2</v>
      </c>
      <c r="AH75" s="11">
        <v>4.2216290000000001</v>
      </c>
      <c r="AI75" s="11">
        <v>1.822535</v>
      </c>
      <c r="AJ75" s="11">
        <v>100</v>
      </c>
      <c r="AK75" s="11" t="s">
        <v>44</v>
      </c>
      <c r="AL75" s="11" t="s">
        <v>288</v>
      </c>
      <c r="AM75" s="11">
        <v>0.43342599999999998</v>
      </c>
      <c r="AN75" s="11">
        <v>0.43342599999999998</v>
      </c>
      <c r="AO75" s="11"/>
    </row>
    <row r="76" spans="1:41" x14ac:dyDescent="0.2">
      <c r="A76" s="11" t="s">
        <v>304</v>
      </c>
      <c r="B76" s="11" t="s">
        <v>305</v>
      </c>
      <c r="C76" s="11" t="s">
        <v>306</v>
      </c>
      <c r="D76" s="11" t="s">
        <v>41</v>
      </c>
      <c r="E76" s="12">
        <v>44496</v>
      </c>
      <c r="F76" s="11" t="s">
        <v>844</v>
      </c>
      <c r="G76" s="11">
        <v>106.28215</v>
      </c>
      <c r="H76" s="11">
        <v>0.26027400000000001</v>
      </c>
      <c r="I76" s="11">
        <v>108.463525</v>
      </c>
      <c r="J76" s="11">
        <v>2.3E-3</v>
      </c>
      <c r="K76" s="11">
        <v>0.16150999999999999</v>
      </c>
      <c r="L76" s="11">
        <v>7.1896089999999999</v>
      </c>
      <c r="M76" s="11">
        <v>4.4447089999999996</v>
      </c>
      <c r="N76" s="11">
        <v>651950.9</v>
      </c>
      <c r="O76" s="11">
        <v>694604.29197100003</v>
      </c>
      <c r="P76" s="11">
        <v>2658.8925049999998</v>
      </c>
      <c r="Q76" s="11">
        <v>2227.4378029999998</v>
      </c>
      <c r="R76" s="11">
        <v>0.30555700000000002</v>
      </c>
      <c r="S76" s="11">
        <v>3.7567119999999998</v>
      </c>
      <c r="T76" s="11">
        <v>3.7249469999999998</v>
      </c>
      <c r="U76" s="11">
        <v>0.85277000000000003</v>
      </c>
      <c r="V76" s="11">
        <v>17.868383999999999</v>
      </c>
      <c r="W76" s="11">
        <v>2.5</v>
      </c>
      <c r="X76" s="12">
        <v>42382</v>
      </c>
      <c r="Y76" s="11">
        <v>1</v>
      </c>
      <c r="Z76" s="11" t="s">
        <v>305</v>
      </c>
      <c r="AA76" s="11" t="s">
        <v>287</v>
      </c>
      <c r="AB76" s="11">
        <v>1.0297769999999999</v>
      </c>
      <c r="AC76" s="11">
        <v>2.5099770000000001</v>
      </c>
      <c r="AD76" s="11">
        <v>20.536334</v>
      </c>
      <c r="AE76" s="11">
        <v>17.076312999999999</v>
      </c>
      <c r="AF76" s="11">
        <v>0.22996800000000001</v>
      </c>
      <c r="AG76" s="11">
        <v>4.1047E-2</v>
      </c>
      <c r="AH76" s="11">
        <v>6.6671329999999998</v>
      </c>
      <c r="AI76" s="11">
        <v>3.448305</v>
      </c>
      <c r="AJ76" s="11">
        <v>100</v>
      </c>
      <c r="AK76" s="11" t="s">
        <v>44</v>
      </c>
      <c r="AL76" s="11" t="s">
        <v>288</v>
      </c>
      <c r="AM76" s="11">
        <v>0.30555700000000002</v>
      </c>
      <c r="AN76" s="11">
        <v>0.30555700000000002</v>
      </c>
      <c r="AO76" s="11"/>
    </row>
    <row r="77" spans="1:41" x14ac:dyDescent="0.2">
      <c r="A77" s="11" t="s">
        <v>307</v>
      </c>
      <c r="B77" s="11" t="s">
        <v>308</v>
      </c>
      <c r="C77" s="11" t="s">
        <v>309</v>
      </c>
      <c r="D77" s="11" t="s">
        <v>41</v>
      </c>
      <c r="E77" s="12">
        <v>44736</v>
      </c>
      <c r="F77" s="11" t="s">
        <v>844</v>
      </c>
      <c r="G77" s="11">
        <v>127.02715000000001</v>
      </c>
      <c r="H77" s="11">
        <v>3.1260270000000001</v>
      </c>
      <c r="I77" s="11">
        <v>191.66203899999999</v>
      </c>
      <c r="J77" s="11">
        <v>-3.7530000000000001E-2</v>
      </c>
      <c r="K77" s="11">
        <v>0.67143799999999998</v>
      </c>
      <c r="L77" s="11">
        <v>8.3154339999999998</v>
      </c>
      <c r="M77" s="11">
        <v>5.3214079999999999</v>
      </c>
      <c r="N77" s="11">
        <v>971651.68</v>
      </c>
      <c r="O77" s="11">
        <v>1264635.5347539999</v>
      </c>
      <c r="P77" s="11">
        <v>4840.9288329999999</v>
      </c>
      <c r="Q77" s="11">
        <v>4055.3982019999999</v>
      </c>
      <c r="R77" s="11">
        <v>0.556315</v>
      </c>
      <c r="S77" s="11">
        <v>4.023199</v>
      </c>
      <c r="T77" s="11">
        <v>3.9868779999999999</v>
      </c>
      <c r="U77" s="11">
        <v>0.91102300000000003</v>
      </c>
      <c r="V77" s="11">
        <v>21.136161999999999</v>
      </c>
      <c r="W77" s="11">
        <v>7</v>
      </c>
      <c r="X77" s="12">
        <v>40562</v>
      </c>
      <c r="Y77" s="11">
        <v>1</v>
      </c>
      <c r="Z77" s="11" t="s">
        <v>308</v>
      </c>
      <c r="AA77" s="11" t="s">
        <v>287</v>
      </c>
      <c r="AB77" s="11">
        <v>0.989537</v>
      </c>
      <c r="AC77" s="11">
        <v>3.0318610000000001</v>
      </c>
      <c r="AD77" s="11">
        <v>21.802340000000001</v>
      </c>
      <c r="AE77" s="11">
        <v>18.05904</v>
      </c>
      <c r="AF77" s="11">
        <v>0.19004699999999999</v>
      </c>
      <c r="AG77" s="11">
        <v>0.55036200000000002</v>
      </c>
      <c r="AH77" s="11">
        <v>7.7874689999999998</v>
      </c>
      <c r="AI77" s="11">
        <v>4.3166390000000003</v>
      </c>
      <c r="AJ77" s="11">
        <v>100</v>
      </c>
      <c r="AK77" s="11" t="s">
        <v>44</v>
      </c>
      <c r="AL77" s="11" t="s">
        <v>288</v>
      </c>
      <c r="AM77" s="11">
        <v>0.556315</v>
      </c>
      <c r="AN77" s="11">
        <v>0.556315</v>
      </c>
      <c r="AO77" s="11"/>
    </row>
    <row r="78" spans="1:41" x14ac:dyDescent="0.2">
      <c r="A78" s="11" t="s">
        <v>310</v>
      </c>
      <c r="B78" s="11" t="s">
        <v>311</v>
      </c>
      <c r="C78" s="11" t="s">
        <v>312</v>
      </c>
      <c r="D78" s="11" t="s">
        <v>41</v>
      </c>
      <c r="E78" s="12">
        <v>44860</v>
      </c>
      <c r="F78" s="11" t="s">
        <v>844</v>
      </c>
      <c r="G78" s="11">
        <v>103.3563</v>
      </c>
      <c r="H78" s="11">
        <v>0.18698600000000001</v>
      </c>
      <c r="I78" s="11">
        <v>104.557044</v>
      </c>
      <c r="J78" s="11">
        <v>4.9819000000000002E-2</v>
      </c>
      <c r="K78" s="11">
        <v>0.90318900000000002</v>
      </c>
      <c r="L78" s="11"/>
      <c r="M78" s="11"/>
      <c r="N78" s="11">
        <v>606045.41</v>
      </c>
      <c r="O78" s="11">
        <v>627519.33399299998</v>
      </c>
      <c r="P78" s="11">
        <v>2402.0963780000002</v>
      </c>
      <c r="Q78" s="11">
        <v>2012.311618</v>
      </c>
      <c r="R78" s="11">
        <v>0.27604600000000001</v>
      </c>
      <c r="S78" s="11">
        <v>4.727582</v>
      </c>
      <c r="T78" s="11">
        <v>4.6788259999999999</v>
      </c>
      <c r="U78" s="11">
        <v>1.0420769999999999</v>
      </c>
      <c r="V78" s="11">
        <v>26.981698000000002</v>
      </c>
      <c r="W78" s="11">
        <v>1.75</v>
      </c>
      <c r="X78" s="12">
        <v>42746</v>
      </c>
      <c r="Y78" s="11">
        <v>1</v>
      </c>
      <c r="Z78" s="11" t="s">
        <v>311</v>
      </c>
      <c r="AA78" s="11" t="s">
        <v>287</v>
      </c>
      <c r="AB78" s="11">
        <v>1.0777840000000001</v>
      </c>
      <c r="AC78" s="11">
        <v>3.2690459999999999</v>
      </c>
      <c r="AD78" s="11"/>
      <c r="AE78" s="11"/>
      <c r="AF78" s="11">
        <v>0.27759600000000001</v>
      </c>
      <c r="AG78" s="11">
        <v>0.78183400000000003</v>
      </c>
      <c r="AH78" s="11"/>
      <c r="AI78" s="11"/>
      <c r="AJ78" s="11">
        <v>100</v>
      </c>
      <c r="AK78" s="11" t="s">
        <v>44</v>
      </c>
      <c r="AL78" s="11" t="s">
        <v>288</v>
      </c>
      <c r="AM78" s="11">
        <v>0.27604600000000001</v>
      </c>
      <c r="AN78" s="11">
        <v>0.27604600000000001</v>
      </c>
      <c r="AO78" s="11"/>
    </row>
    <row r="79" spans="1:41" x14ac:dyDescent="0.2">
      <c r="A79" s="11" t="s">
        <v>313</v>
      </c>
      <c r="B79" s="11" t="s">
        <v>314</v>
      </c>
      <c r="C79" s="11" t="s">
        <v>315</v>
      </c>
      <c r="D79" s="11" t="s">
        <v>41</v>
      </c>
      <c r="E79" s="12">
        <v>45254</v>
      </c>
      <c r="F79" s="11" t="s">
        <v>845</v>
      </c>
      <c r="G79" s="11">
        <v>127.61265</v>
      </c>
      <c r="H79" s="11">
        <v>0.164384</v>
      </c>
      <c r="I79" s="11">
        <v>246.57311200000001</v>
      </c>
      <c r="J79" s="11">
        <v>5.5709000000000002E-2</v>
      </c>
      <c r="K79" s="11">
        <v>1.0460689999999999</v>
      </c>
      <c r="L79" s="11">
        <v>11.226409</v>
      </c>
      <c r="M79" s="11">
        <v>7.5795360000000001</v>
      </c>
      <c r="N79" s="11">
        <v>998072.14</v>
      </c>
      <c r="O79" s="11">
        <v>1275306.9732969999</v>
      </c>
      <c r="P79" s="11">
        <v>4881.7782900000002</v>
      </c>
      <c r="Q79" s="11">
        <v>4089.6190750000001</v>
      </c>
      <c r="R79" s="11">
        <v>0.56100899999999998</v>
      </c>
      <c r="S79" s="11">
        <v>5.287636</v>
      </c>
      <c r="T79" s="11">
        <v>5.2257990000000003</v>
      </c>
      <c r="U79" s="11">
        <v>1.1832849999999999</v>
      </c>
      <c r="V79" s="11">
        <v>34.478582000000003</v>
      </c>
      <c r="W79" s="11">
        <v>6</v>
      </c>
      <c r="X79" s="12">
        <v>39092</v>
      </c>
      <c r="Y79" s="11">
        <v>1</v>
      </c>
      <c r="Z79" s="11" t="s">
        <v>314</v>
      </c>
      <c r="AA79" s="11" t="s">
        <v>287</v>
      </c>
      <c r="AB79" s="11">
        <v>1.083734</v>
      </c>
      <c r="AC79" s="11">
        <v>3.415276</v>
      </c>
      <c r="AD79" s="11">
        <v>25.075776000000001</v>
      </c>
      <c r="AE79" s="11">
        <v>20.590267999999998</v>
      </c>
      <c r="AF79" s="11">
        <v>0.283499</v>
      </c>
      <c r="AG79" s="11">
        <v>0.92454199999999997</v>
      </c>
      <c r="AH79" s="11">
        <v>10.684256</v>
      </c>
      <c r="AI79" s="11">
        <v>6.5532250000000003</v>
      </c>
      <c r="AJ79" s="11">
        <v>100</v>
      </c>
      <c r="AK79" s="11" t="s">
        <v>44</v>
      </c>
      <c r="AL79" s="11" t="s">
        <v>288</v>
      </c>
      <c r="AM79" s="11">
        <v>0.56100899999999998</v>
      </c>
      <c r="AN79" s="11">
        <v>0.56100899999999998</v>
      </c>
      <c r="AO79" s="11"/>
    </row>
    <row r="80" spans="1:41" x14ac:dyDescent="0.2">
      <c r="A80" s="11" t="s">
        <v>316</v>
      </c>
      <c r="B80" s="11" t="s">
        <v>317</v>
      </c>
      <c r="C80" s="11" t="s">
        <v>318</v>
      </c>
      <c r="D80" s="11" t="s">
        <v>41</v>
      </c>
      <c r="E80" s="12">
        <v>45469</v>
      </c>
      <c r="F80" s="11" t="s">
        <v>845</v>
      </c>
      <c r="G80" s="11">
        <v>109.498</v>
      </c>
      <c r="H80" s="11">
        <v>1.323288</v>
      </c>
      <c r="I80" s="11">
        <v>116.642432</v>
      </c>
      <c r="J80" s="11">
        <v>4.0800000000000003E-3</v>
      </c>
      <c r="K80" s="11">
        <v>1.8857120000000001</v>
      </c>
      <c r="L80" s="11">
        <v>13.351182</v>
      </c>
      <c r="M80" s="11">
        <v>9.5253270000000008</v>
      </c>
      <c r="N80" s="11">
        <v>803755.48</v>
      </c>
      <c r="O80" s="11">
        <v>890732.17266399995</v>
      </c>
      <c r="P80" s="11">
        <v>3409.6551450000002</v>
      </c>
      <c r="Q80" s="11">
        <v>2856.3752570000001</v>
      </c>
      <c r="R80" s="11">
        <v>0.39183400000000002</v>
      </c>
      <c r="S80" s="11">
        <v>6.0105919999999999</v>
      </c>
      <c r="T80" s="11">
        <v>5.9236190000000004</v>
      </c>
      <c r="U80" s="11">
        <v>1.4682500000000001</v>
      </c>
      <c r="V80" s="11">
        <v>42.957751999999999</v>
      </c>
      <c r="W80" s="11">
        <v>3</v>
      </c>
      <c r="X80" s="12">
        <v>42081</v>
      </c>
      <c r="Y80" s="11">
        <v>1</v>
      </c>
      <c r="Z80" s="11" t="s">
        <v>317</v>
      </c>
      <c r="AA80" s="11" t="s">
        <v>287</v>
      </c>
      <c r="AB80" s="11">
        <v>1.0315749999999999</v>
      </c>
      <c r="AC80" s="11">
        <v>4.2746060000000003</v>
      </c>
      <c r="AD80" s="11">
        <v>27.465115000000001</v>
      </c>
      <c r="AE80" s="11">
        <v>22.771383</v>
      </c>
      <c r="AF80" s="11">
        <v>0.23175200000000001</v>
      </c>
      <c r="AG80" s="11">
        <v>1.7631749999999999</v>
      </c>
      <c r="AH80" s="11">
        <v>12.798672</v>
      </c>
      <c r="AI80" s="11">
        <v>8.4804530000000007</v>
      </c>
      <c r="AJ80" s="11">
        <v>100</v>
      </c>
      <c r="AK80" s="11" t="s">
        <v>44</v>
      </c>
      <c r="AL80" s="11" t="s">
        <v>288</v>
      </c>
      <c r="AM80" s="11">
        <v>0.39183400000000002</v>
      </c>
      <c r="AN80" s="11">
        <v>0.39183400000000002</v>
      </c>
      <c r="AO80" s="11"/>
    </row>
    <row r="81" spans="1:41" x14ac:dyDescent="0.2">
      <c r="A81" s="11" t="s">
        <v>319</v>
      </c>
      <c r="B81" s="11" t="s">
        <v>320</v>
      </c>
      <c r="C81" s="11" t="s">
        <v>321</v>
      </c>
      <c r="D81" s="11" t="s">
        <v>41</v>
      </c>
      <c r="E81" s="12">
        <v>45832</v>
      </c>
      <c r="F81" s="11" t="s">
        <v>846</v>
      </c>
      <c r="G81" s="11">
        <v>126.23860000000001</v>
      </c>
      <c r="H81" s="11">
        <v>2.4561639999999998</v>
      </c>
      <c r="I81" s="11">
        <v>138.815629</v>
      </c>
      <c r="J81" s="11">
        <v>4.7580000000000001E-3</v>
      </c>
      <c r="K81" s="11">
        <v>2.3481679999999998</v>
      </c>
      <c r="L81" s="11">
        <v>13.174462999999999</v>
      </c>
      <c r="M81" s="11">
        <v>9.5385989999999996</v>
      </c>
      <c r="N81" s="11">
        <v>1137235.53</v>
      </c>
      <c r="O81" s="11">
        <v>1463562.5858199999</v>
      </c>
      <c r="P81" s="11">
        <v>5602.4064850000004</v>
      </c>
      <c r="Q81" s="11">
        <v>4693.3119589999997</v>
      </c>
      <c r="R81" s="11">
        <v>0.64382300000000003</v>
      </c>
      <c r="S81" s="11">
        <v>6.4120650000000001</v>
      </c>
      <c r="T81" s="11">
        <v>6.3013490000000001</v>
      </c>
      <c r="U81" s="11">
        <v>1.7570190000000001</v>
      </c>
      <c r="V81" s="11">
        <v>50.205773000000001</v>
      </c>
      <c r="W81" s="11">
        <v>5.5</v>
      </c>
      <c r="X81" s="12">
        <v>41654</v>
      </c>
      <c r="Y81" s="11">
        <v>1</v>
      </c>
      <c r="Z81" s="11" t="s">
        <v>320</v>
      </c>
      <c r="AA81" s="11" t="s">
        <v>287</v>
      </c>
      <c r="AB81" s="11">
        <v>1.03226</v>
      </c>
      <c r="AC81" s="11">
        <v>4.7479050000000003</v>
      </c>
      <c r="AD81" s="11">
        <v>27.266393000000001</v>
      </c>
      <c r="AE81" s="11">
        <v>22.786261</v>
      </c>
      <c r="AF81" s="11">
        <v>0.232432</v>
      </c>
      <c r="AG81" s="11">
        <v>2.2250749999999999</v>
      </c>
      <c r="AH81" s="11">
        <v>12.622814999999999</v>
      </c>
      <c r="AI81" s="11">
        <v>8.4935989999999997</v>
      </c>
      <c r="AJ81" s="11">
        <v>100</v>
      </c>
      <c r="AK81" s="11" t="s">
        <v>44</v>
      </c>
      <c r="AL81" s="11" t="s">
        <v>288</v>
      </c>
      <c r="AM81" s="11">
        <v>0.64382300000000003</v>
      </c>
      <c r="AN81" s="11">
        <v>0.64382300000000003</v>
      </c>
      <c r="AO81" s="11"/>
    </row>
    <row r="82" spans="1:41" x14ac:dyDescent="0.2">
      <c r="A82" s="11" t="s">
        <v>322</v>
      </c>
      <c r="B82" s="11" t="s">
        <v>323</v>
      </c>
      <c r="C82" s="11" t="s">
        <v>324</v>
      </c>
      <c r="D82" s="11" t="s">
        <v>41</v>
      </c>
      <c r="E82" s="12">
        <v>46687</v>
      </c>
      <c r="F82" s="11" t="s">
        <v>846</v>
      </c>
      <c r="G82" s="11">
        <v>108.48845</v>
      </c>
      <c r="H82" s="11">
        <v>0.31232900000000002</v>
      </c>
      <c r="I82" s="11">
        <v>112.784871</v>
      </c>
      <c r="J82" s="11">
        <v>9.1410000000000005E-2</v>
      </c>
      <c r="K82" s="11">
        <v>3.8921830000000002</v>
      </c>
      <c r="L82" s="11"/>
      <c r="M82" s="11">
        <v>12.673298000000001</v>
      </c>
      <c r="N82" s="11">
        <v>665087.88</v>
      </c>
      <c r="O82" s="11">
        <v>723620.79292599997</v>
      </c>
      <c r="P82" s="11">
        <v>2769.9654679999999</v>
      </c>
      <c r="Q82" s="11">
        <v>2320.487114</v>
      </c>
      <c r="R82" s="11">
        <v>0.31832199999999999</v>
      </c>
      <c r="S82" s="11">
        <v>8.7490570000000005</v>
      </c>
      <c r="T82" s="11">
        <v>8.5739490000000007</v>
      </c>
      <c r="U82" s="11">
        <v>2.0423209999999998</v>
      </c>
      <c r="V82" s="11">
        <v>87.716521999999998</v>
      </c>
      <c r="W82" s="11">
        <v>3</v>
      </c>
      <c r="X82" s="12">
        <v>42382</v>
      </c>
      <c r="Y82" s="11">
        <v>1</v>
      </c>
      <c r="Z82" s="11" t="s">
        <v>323</v>
      </c>
      <c r="AA82" s="11" t="s">
        <v>287</v>
      </c>
      <c r="AB82" s="11">
        <v>1.1198030000000001</v>
      </c>
      <c r="AC82" s="11">
        <v>6.3281219999999996</v>
      </c>
      <c r="AD82" s="11"/>
      <c r="AE82" s="11">
        <v>26.300072</v>
      </c>
      <c r="AF82" s="11">
        <v>0.31928099999999998</v>
      </c>
      <c r="AG82" s="11">
        <v>3.7672330000000001</v>
      </c>
      <c r="AH82" s="11"/>
      <c r="AI82" s="11">
        <v>11.598393</v>
      </c>
      <c r="AJ82" s="11">
        <v>100</v>
      </c>
      <c r="AK82" s="11" t="s">
        <v>44</v>
      </c>
      <c r="AL82" s="11" t="s">
        <v>288</v>
      </c>
      <c r="AM82" s="11">
        <v>0.31832199999999999</v>
      </c>
      <c r="AN82" s="11">
        <v>0.31832199999999999</v>
      </c>
      <c r="AO82" s="11"/>
    </row>
    <row r="83" spans="1:41" x14ac:dyDescent="0.2">
      <c r="A83" s="11" t="s">
        <v>325</v>
      </c>
      <c r="B83" s="11" t="s">
        <v>326</v>
      </c>
      <c r="C83" s="11" t="s">
        <v>327</v>
      </c>
      <c r="D83" s="11" t="s">
        <v>41</v>
      </c>
      <c r="E83" s="12">
        <v>43580</v>
      </c>
      <c r="F83" s="11" t="s">
        <v>843</v>
      </c>
      <c r="G83" s="11">
        <v>98.064999999999998</v>
      </c>
      <c r="H83" s="11">
        <v>0</v>
      </c>
      <c r="I83" s="11">
        <v>102.28422399999999</v>
      </c>
      <c r="J83" s="11">
        <v>5.0990000000000002E-3</v>
      </c>
      <c r="K83" s="11">
        <v>4.5908999999999998E-2</v>
      </c>
      <c r="L83" s="11"/>
      <c r="M83" s="11"/>
      <c r="N83" s="11">
        <v>15407.716123</v>
      </c>
      <c r="O83" s="11">
        <v>15109.576816000001</v>
      </c>
      <c r="P83" s="11">
        <v>4286.526374</v>
      </c>
      <c r="Q83" s="11">
        <v>3590.95784</v>
      </c>
      <c r="R83" s="11">
        <v>0.49260300000000001</v>
      </c>
      <c r="S83" s="11">
        <v>1.388109</v>
      </c>
      <c r="T83" s="11">
        <v>1.368719</v>
      </c>
      <c r="U83" s="11">
        <v>1.416642</v>
      </c>
      <c r="V83" s="11">
        <v>3.2229670000000001</v>
      </c>
      <c r="W83" s="11">
        <v>0</v>
      </c>
      <c r="X83" s="12">
        <v>42723</v>
      </c>
      <c r="Y83" s="11">
        <v>1</v>
      </c>
      <c r="Z83" s="11" t="s">
        <v>326</v>
      </c>
      <c r="AA83" s="11" t="s">
        <v>328</v>
      </c>
      <c r="AB83" s="11">
        <v>0.786721</v>
      </c>
      <c r="AC83" s="11">
        <v>3.2801089999999999</v>
      </c>
      <c r="AD83" s="11"/>
      <c r="AE83" s="11"/>
      <c r="AF83" s="11">
        <v>-1.1162999999999999E-2</v>
      </c>
      <c r="AG83" s="11">
        <v>0.79262999999999995</v>
      </c>
      <c r="AH83" s="11"/>
      <c r="AI83" s="11"/>
      <c r="AJ83" s="11">
        <v>100</v>
      </c>
      <c r="AK83" s="11" t="s">
        <v>44</v>
      </c>
      <c r="AL83" s="11" t="s">
        <v>329</v>
      </c>
      <c r="AM83" s="11">
        <v>0.49260300000000001</v>
      </c>
      <c r="AN83" s="11">
        <v>0.49260300000000001</v>
      </c>
      <c r="AO83" s="11"/>
    </row>
    <row r="84" spans="1:41" x14ac:dyDescent="0.2">
      <c r="A84" s="11" t="s">
        <v>330</v>
      </c>
      <c r="B84" s="11" t="s">
        <v>331</v>
      </c>
      <c r="C84" s="11" t="s">
        <v>332</v>
      </c>
      <c r="D84" s="11" t="s">
        <v>41</v>
      </c>
      <c r="E84" s="12">
        <v>43671</v>
      </c>
      <c r="F84" s="11" t="s">
        <v>843</v>
      </c>
      <c r="G84" s="11">
        <v>102.9015</v>
      </c>
      <c r="H84" s="11">
        <v>1.1753420000000001</v>
      </c>
      <c r="I84" s="11">
        <v>114.436831</v>
      </c>
      <c r="J84" s="11">
        <v>1.0003E-2</v>
      </c>
      <c r="K84" s="11">
        <v>0.10981</v>
      </c>
      <c r="L84" s="11">
        <v>3.196634</v>
      </c>
      <c r="M84" s="11">
        <v>3.3650730000000002</v>
      </c>
      <c r="N84" s="11">
        <v>16896.254955</v>
      </c>
      <c r="O84" s="11">
        <v>17585.088652999999</v>
      </c>
      <c r="P84" s="11">
        <v>4988.8191589999997</v>
      </c>
      <c r="Q84" s="11">
        <v>4179.2905739999997</v>
      </c>
      <c r="R84" s="11">
        <v>0.57330999999999999</v>
      </c>
      <c r="S84" s="11">
        <v>1.606986</v>
      </c>
      <c r="T84" s="11">
        <v>1.584144</v>
      </c>
      <c r="U84" s="11">
        <v>1.4419409999999999</v>
      </c>
      <c r="V84" s="11">
        <v>4.1002619999999999</v>
      </c>
      <c r="W84" s="11">
        <v>3.25</v>
      </c>
      <c r="X84" s="11">
        <v>41771</v>
      </c>
      <c r="Y84" s="11">
        <v>1</v>
      </c>
      <c r="Z84" s="11" t="s">
        <v>331</v>
      </c>
      <c r="AA84" s="11" t="s">
        <v>328</v>
      </c>
      <c r="AB84" s="11">
        <v>0.79166300000000001</v>
      </c>
      <c r="AC84" s="11">
        <v>3.3460760000000001</v>
      </c>
      <c r="AD84" s="11">
        <v>22.492756</v>
      </c>
      <c r="AE84" s="11">
        <v>22.408245000000001</v>
      </c>
      <c r="AF84" s="11">
        <v>-6.2599999999999999E-3</v>
      </c>
      <c r="AG84" s="11">
        <v>0.85700799999999999</v>
      </c>
      <c r="AH84" s="11">
        <v>8.3984439999999996</v>
      </c>
      <c r="AI84" s="11">
        <v>8.1595849999999999</v>
      </c>
      <c r="AJ84" s="11">
        <v>100</v>
      </c>
      <c r="AK84" s="11" t="s">
        <v>44</v>
      </c>
      <c r="AL84" s="11" t="s">
        <v>329</v>
      </c>
      <c r="AM84" s="11">
        <v>0.57330999999999999</v>
      </c>
      <c r="AN84" s="11">
        <v>0.57330999999999999</v>
      </c>
      <c r="AO84" s="11"/>
    </row>
    <row r="85" spans="1:41" x14ac:dyDescent="0.2">
      <c r="A85" s="11" t="s">
        <v>333</v>
      </c>
      <c r="B85" s="11" t="s">
        <v>334</v>
      </c>
      <c r="C85" s="11" t="s">
        <v>335</v>
      </c>
      <c r="D85" s="11" t="s">
        <v>41</v>
      </c>
      <c r="E85" s="12">
        <v>43763</v>
      </c>
      <c r="F85" s="11" t="s">
        <v>843</v>
      </c>
      <c r="G85" s="11">
        <v>107.4115</v>
      </c>
      <c r="H85" s="11">
        <v>0.60274000000000005</v>
      </c>
      <c r="I85" s="11">
        <v>174.08292599999999</v>
      </c>
      <c r="J85" s="11">
        <v>1.072E-2</v>
      </c>
      <c r="K85" s="11">
        <v>0.23982800000000001</v>
      </c>
      <c r="L85" s="11">
        <v>3.4272960000000001</v>
      </c>
      <c r="M85" s="11">
        <v>3.5760529999999999</v>
      </c>
      <c r="N85" s="11">
        <v>13812.368785999999</v>
      </c>
      <c r="O85" s="11">
        <v>14919.325132</v>
      </c>
      <c r="P85" s="11">
        <v>4232.5527339999999</v>
      </c>
      <c r="Q85" s="11">
        <v>3545.7424259999998</v>
      </c>
      <c r="R85" s="11">
        <v>0.48640099999999997</v>
      </c>
      <c r="S85" s="11">
        <v>1.839566</v>
      </c>
      <c r="T85" s="11">
        <v>1.812514</v>
      </c>
      <c r="U85" s="11">
        <v>1.4925269999999999</v>
      </c>
      <c r="V85" s="11">
        <v>5.1173700000000002</v>
      </c>
      <c r="W85" s="11">
        <v>5.5</v>
      </c>
      <c r="X85" s="12">
        <v>39746</v>
      </c>
      <c r="Y85" s="11">
        <v>1</v>
      </c>
      <c r="Z85" s="11" t="s">
        <v>336</v>
      </c>
      <c r="AA85" s="11" t="s">
        <v>328</v>
      </c>
      <c r="AB85" s="11">
        <v>0.79238699999999995</v>
      </c>
      <c r="AC85" s="11">
        <v>3.4802970000000002</v>
      </c>
      <c r="AD85" s="11">
        <v>22.766548</v>
      </c>
      <c r="AE85" s="11">
        <v>22.658093999999998</v>
      </c>
      <c r="AF85" s="11">
        <v>-5.5430000000000002E-3</v>
      </c>
      <c r="AG85" s="11">
        <v>0.98799700000000001</v>
      </c>
      <c r="AH85" s="11">
        <v>8.6407330000000009</v>
      </c>
      <c r="AI85" s="11">
        <v>8.3803509999999992</v>
      </c>
      <c r="AJ85" s="11">
        <v>100</v>
      </c>
      <c r="AK85" s="11" t="s">
        <v>44</v>
      </c>
      <c r="AL85" s="11" t="s">
        <v>329</v>
      </c>
      <c r="AM85" s="11">
        <v>0.48640099999999997</v>
      </c>
      <c r="AN85" s="11">
        <v>0.48640099999999997</v>
      </c>
      <c r="AO85" s="11"/>
    </row>
    <row r="86" spans="1:41" x14ac:dyDescent="0.2">
      <c r="A86" s="11" t="s">
        <v>337</v>
      </c>
      <c r="B86" s="11" t="s">
        <v>338</v>
      </c>
      <c r="C86" s="11" t="s">
        <v>339</v>
      </c>
      <c r="D86" s="11" t="s">
        <v>41</v>
      </c>
      <c r="E86" s="12">
        <v>43946</v>
      </c>
      <c r="F86" s="11" t="s">
        <v>843</v>
      </c>
      <c r="G86" s="11">
        <v>99.334999999999994</v>
      </c>
      <c r="H86" s="11">
        <v>0.91643799999999997</v>
      </c>
      <c r="I86" s="11">
        <v>106.83116699999999</v>
      </c>
      <c r="J86" s="11">
        <v>9.0900000000000009E-3</v>
      </c>
      <c r="K86" s="11">
        <v>0.31300899999999998</v>
      </c>
      <c r="L86" s="11">
        <v>3.904957</v>
      </c>
      <c r="M86" s="11">
        <v>4.0292870000000001</v>
      </c>
      <c r="N86" s="11">
        <v>21922.264533000001</v>
      </c>
      <c r="O86" s="11">
        <v>21977.385515000002</v>
      </c>
      <c r="P86" s="11">
        <v>6234.8961710000003</v>
      </c>
      <c r="Q86" s="11">
        <v>5223.1684439999999</v>
      </c>
      <c r="R86" s="11">
        <v>0.71650800000000003</v>
      </c>
      <c r="S86" s="11">
        <v>2.3448020000000001</v>
      </c>
      <c r="T86" s="11">
        <v>2.3038090000000002</v>
      </c>
      <c r="U86" s="11">
        <v>1.779342</v>
      </c>
      <c r="V86" s="11">
        <v>7.639875</v>
      </c>
      <c r="W86" s="11">
        <v>1.5</v>
      </c>
      <c r="X86" s="12">
        <v>42030</v>
      </c>
      <c r="Y86" s="11">
        <v>1</v>
      </c>
      <c r="Z86" s="11" t="s">
        <v>338</v>
      </c>
      <c r="AA86" s="11" t="s">
        <v>328</v>
      </c>
      <c r="AB86" s="11">
        <v>0.79074299999999997</v>
      </c>
      <c r="AC86" s="11">
        <v>3.5558429999999999</v>
      </c>
      <c r="AD86" s="11">
        <v>23.333524000000001</v>
      </c>
      <c r="AE86" s="11">
        <v>23.194828999999999</v>
      </c>
      <c r="AF86" s="11">
        <v>-7.1729999999999997E-3</v>
      </c>
      <c r="AG86" s="11">
        <v>1.0617239999999999</v>
      </c>
      <c r="AH86" s="11">
        <v>9.1424719999999997</v>
      </c>
      <c r="AI86" s="11">
        <v>8.8546080000000007</v>
      </c>
      <c r="AJ86" s="11">
        <v>100</v>
      </c>
      <c r="AK86" s="11" t="s">
        <v>44</v>
      </c>
      <c r="AL86" s="11" t="s">
        <v>329</v>
      </c>
      <c r="AM86" s="11">
        <v>0.71650800000000003</v>
      </c>
      <c r="AN86" s="11">
        <v>0.71650800000000003</v>
      </c>
      <c r="AO86" s="11"/>
    </row>
    <row r="87" spans="1:41" x14ac:dyDescent="0.2">
      <c r="A87" s="11" t="s">
        <v>340</v>
      </c>
      <c r="B87" s="11" t="s">
        <v>341</v>
      </c>
      <c r="C87" s="11" t="s">
        <v>342</v>
      </c>
      <c r="D87" s="11" t="s">
        <v>41</v>
      </c>
      <c r="E87" s="12">
        <v>44129</v>
      </c>
      <c r="F87" s="11" t="s">
        <v>843</v>
      </c>
      <c r="G87" s="11">
        <v>109.42</v>
      </c>
      <c r="H87" s="11">
        <v>0.57534200000000002</v>
      </c>
      <c r="I87" s="11">
        <v>163.77692500000001</v>
      </c>
      <c r="J87" s="11">
        <v>1.3088000000000001E-2</v>
      </c>
      <c r="K87" s="11">
        <v>0.557724</v>
      </c>
      <c r="L87" s="11">
        <v>4.3703859999999999</v>
      </c>
      <c r="M87" s="11">
        <v>4.367731</v>
      </c>
      <c r="N87" s="11">
        <v>13314.070908</v>
      </c>
      <c r="O87" s="11">
        <v>14644.857892</v>
      </c>
      <c r="P87" s="11">
        <v>4154.6874779999998</v>
      </c>
      <c r="Q87" s="11">
        <v>3480.5122550000001</v>
      </c>
      <c r="R87" s="11">
        <v>0.47745199999999999</v>
      </c>
      <c r="S87" s="11">
        <v>2.7501090000000001</v>
      </c>
      <c r="T87" s="11">
        <v>2.699716</v>
      </c>
      <c r="U87" s="11">
        <v>1.8666039999999999</v>
      </c>
      <c r="V87" s="11">
        <v>10.144475999999999</v>
      </c>
      <c r="W87" s="11">
        <v>5.25</v>
      </c>
      <c r="X87" s="12">
        <v>40284</v>
      </c>
      <c r="Y87" s="11">
        <v>1</v>
      </c>
      <c r="Z87" s="11" t="s">
        <v>341</v>
      </c>
      <c r="AA87" s="11" t="s">
        <v>328</v>
      </c>
      <c r="AB87" s="11">
        <v>0.79477299999999995</v>
      </c>
      <c r="AC87" s="11">
        <v>3.8084690000000001</v>
      </c>
      <c r="AD87" s="11">
        <v>23.885981000000001</v>
      </c>
      <c r="AE87" s="11">
        <v>23.595624999999998</v>
      </c>
      <c r="AF87" s="11">
        <v>-3.1749999999999999E-3</v>
      </c>
      <c r="AG87" s="11">
        <v>1.308265</v>
      </c>
      <c r="AH87" s="11">
        <v>9.6313619999999993</v>
      </c>
      <c r="AI87" s="11">
        <v>9.2087509999999995</v>
      </c>
      <c r="AJ87" s="11">
        <v>100</v>
      </c>
      <c r="AK87" s="11" t="s">
        <v>44</v>
      </c>
      <c r="AL87" s="11" t="s">
        <v>329</v>
      </c>
      <c r="AM87" s="11">
        <v>0.47745199999999999</v>
      </c>
      <c r="AN87" s="11">
        <v>0.47745199999999999</v>
      </c>
      <c r="AO87" s="11"/>
    </row>
    <row r="88" spans="1:41" x14ac:dyDescent="0.2">
      <c r="A88" s="11" t="s">
        <v>343</v>
      </c>
      <c r="B88" s="11" t="s">
        <v>344</v>
      </c>
      <c r="C88" s="11" t="s">
        <v>345</v>
      </c>
      <c r="D88" s="11" t="s">
        <v>41</v>
      </c>
      <c r="E88" s="12">
        <v>44311</v>
      </c>
      <c r="F88" s="11" t="s">
        <v>844</v>
      </c>
      <c r="G88" s="11">
        <v>99.474999999999994</v>
      </c>
      <c r="H88" s="11">
        <v>1.2219180000000001</v>
      </c>
      <c r="I88" s="11">
        <v>105.563196</v>
      </c>
      <c r="J88" s="11">
        <v>4.7600000000000002E-4</v>
      </c>
      <c r="K88" s="11">
        <v>0.52626499999999998</v>
      </c>
      <c r="L88" s="11">
        <v>4.8222800000000001</v>
      </c>
      <c r="M88" s="11">
        <v>4.5904069999999999</v>
      </c>
      <c r="N88" s="11">
        <v>19792.863595999999</v>
      </c>
      <c r="O88" s="11">
        <v>19930.803587999999</v>
      </c>
      <c r="P88" s="11">
        <v>5654.2890829999997</v>
      </c>
      <c r="Q88" s="11">
        <v>4736.7756410000002</v>
      </c>
      <c r="R88" s="11">
        <v>0.64978499999999995</v>
      </c>
      <c r="S88" s="11">
        <v>3.2726489999999999</v>
      </c>
      <c r="T88" s="11">
        <v>3.2035420000000001</v>
      </c>
      <c r="U88" s="11">
        <v>2.1572040000000001</v>
      </c>
      <c r="V88" s="11">
        <v>13.6462</v>
      </c>
      <c r="W88" s="11">
        <v>2</v>
      </c>
      <c r="X88" s="12">
        <v>42289</v>
      </c>
      <c r="Y88" s="11">
        <v>1</v>
      </c>
      <c r="Z88" s="11" t="s">
        <v>344</v>
      </c>
      <c r="AA88" s="11" t="s">
        <v>328</v>
      </c>
      <c r="AB88" s="11">
        <v>0.78206200000000003</v>
      </c>
      <c r="AC88" s="11">
        <v>3.7759939999999999</v>
      </c>
      <c r="AD88" s="11">
        <v>24.422371999999999</v>
      </c>
      <c r="AE88" s="11">
        <v>23.859324999999998</v>
      </c>
      <c r="AF88" s="11">
        <v>-1.5785E-2</v>
      </c>
      <c r="AG88" s="11">
        <v>1.276572</v>
      </c>
      <c r="AH88" s="11">
        <v>10.106033999999999</v>
      </c>
      <c r="AI88" s="11">
        <v>9.4417550000000006</v>
      </c>
      <c r="AJ88" s="11">
        <v>100</v>
      </c>
      <c r="AK88" s="11" t="s">
        <v>44</v>
      </c>
      <c r="AL88" s="11" t="s">
        <v>329</v>
      </c>
      <c r="AM88" s="11">
        <v>0.64978499999999995</v>
      </c>
      <c r="AN88" s="11">
        <v>0.64978499999999995</v>
      </c>
      <c r="AO88" s="11"/>
    </row>
    <row r="89" spans="1:41" x14ac:dyDescent="0.2">
      <c r="A89" s="11" t="s">
        <v>346</v>
      </c>
      <c r="B89" s="11" t="s">
        <v>347</v>
      </c>
      <c r="C89" s="11" t="s">
        <v>348</v>
      </c>
      <c r="D89" s="11" t="s">
        <v>41</v>
      </c>
      <c r="E89" s="12">
        <v>44402</v>
      </c>
      <c r="F89" s="11" t="s">
        <v>844</v>
      </c>
      <c r="G89" s="11">
        <v>98.344999999999999</v>
      </c>
      <c r="H89" s="11">
        <v>0.63287700000000002</v>
      </c>
      <c r="I89" s="11">
        <v>103.057582</v>
      </c>
      <c r="J89" s="11">
        <v>2.0008999999999999E-2</v>
      </c>
      <c r="K89" s="11">
        <v>0.63039500000000004</v>
      </c>
      <c r="L89" s="11">
        <v>5.2054470000000004</v>
      </c>
      <c r="M89" s="11">
        <v>4.7485460000000002</v>
      </c>
      <c r="N89" s="11">
        <v>22301.742269999999</v>
      </c>
      <c r="O89" s="11">
        <v>22073.790969000001</v>
      </c>
      <c r="P89" s="11">
        <v>6262.2460119999996</v>
      </c>
      <c r="Q89" s="11">
        <v>5246.0802649999996</v>
      </c>
      <c r="R89" s="11">
        <v>0.71965100000000004</v>
      </c>
      <c r="S89" s="11">
        <v>3.5352839999999999</v>
      </c>
      <c r="T89" s="11">
        <v>3.4583719999999998</v>
      </c>
      <c r="U89" s="11">
        <v>2.2239209999999998</v>
      </c>
      <c r="V89" s="11">
        <v>15.563192000000001</v>
      </c>
      <c r="W89" s="11">
        <v>1.75</v>
      </c>
      <c r="X89" s="12">
        <v>42458</v>
      </c>
      <c r="Y89" s="11">
        <v>1</v>
      </c>
      <c r="Z89" s="11" t="s">
        <v>347</v>
      </c>
      <c r="AA89" s="11" t="s">
        <v>328</v>
      </c>
      <c r="AB89" s="11">
        <v>0.80174800000000002</v>
      </c>
      <c r="AC89" s="11">
        <v>3.8834900000000001</v>
      </c>
      <c r="AD89" s="11">
        <v>24.877185000000001</v>
      </c>
      <c r="AE89" s="11">
        <v>24.046599000000001</v>
      </c>
      <c r="AF89" s="11">
        <v>3.7439999999999999E-3</v>
      </c>
      <c r="AG89" s="11">
        <v>1.3814789999999999</v>
      </c>
      <c r="AH89" s="11">
        <v>10.508514999999999</v>
      </c>
      <c r="AI89" s="11">
        <v>9.6072299999999995</v>
      </c>
      <c r="AJ89" s="11">
        <v>100</v>
      </c>
      <c r="AK89" s="11" t="s">
        <v>44</v>
      </c>
      <c r="AL89" s="11" t="s">
        <v>329</v>
      </c>
      <c r="AM89" s="11">
        <v>0.71965100000000004</v>
      </c>
      <c r="AN89" s="11">
        <v>0.71965100000000004</v>
      </c>
      <c r="AO89" s="11"/>
    </row>
    <row r="90" spans="1:41" x14ac:dyDescent="0.2">
      <c r="A90" s="11" t="s">
        <v>349</v>
      </c>
      <c r="B90" s="11" t="s">
        <v>350</v>
      </c>
      <c r="C90" s="11" t="s">
        <v>351</v>
      </c>
      <c r="D90" s="11" t="s">
        <v>41</v>
      </c>
      <c r="E90" s="12">
        <v>44494</v>
      </c>
      <c r="F90" s="11" t="s">
        <v>844</v>
      </c>
      <c r="G90" s="11">
        <v>112.97</v>
      </c>
      <c r="H90" s="11">
        <v>0.63013699999999995</v>
      </c>
      <c r="I90" s="11">
        <v>153.205375</v>
      </c>
      <c r="J90" s="11">
        <v>-3.741E-3</v>
      </c>
      <c r="K90" s="11">
        <v>0.757942</v>
      </c>
      <c r="L90" s="11">
        <v>5.2097559999999996</v>
      </c>
      <c r="M90" s="11">
        <v>4.7597300000000002</v>
      </c>
      <c r="N90" s="11">
        <v>11951.535711</v>
      </c>
      <c r="O90" s="11">
        <v>13576.960939000001</v>
      </c>
      <c r="P90" s="11">
        <v>3851.729394</v>
      </c>
      <c r="Q90" s="11">
        <v>3226.714747</v>
      </c>
      <c r="R90" s="11">
        <v>0.442637</v>
      </c>
      <c r="S90" s="11">
        <v>3.5965850000000001</v>
      </c>
      <c r="T90" s="11">
        <v>3.5181619999999998</v>
      </c>
      <c r="U90" s="11">
        <v>2.2290800000000002</v>
      </c>
      <c r="V90" s="11">
        <v>16.394318999999999</v>
      </c>
      <c r="W90" s="11">
        <v>5.75</v>
      </c>
      <c r="X90" s="12">
        <v>40749</v>
      </c>
      <c r="Y90" s="11">
        <v>1</v>
      </c>
      <c r="Z90" s="11" t="s">
        <v>350</v>
      </c>
      <c r="AA90" s="11" t="s">
        <v>328</v>
      </c>
      <c r="AB90" s="11">
        <v>0.77781199999999995</v>
      </c>
      <c r="AC90" s="11">
        <v>4.0151599999999998</v>
      </c>
      <c r="AD90" s="11">
        <v>24.882300000000001</v>
      </c>
      <c r="AE90" s="11">
        <v>24.059843999999998</v>
      </c>
      <c r="AF90" s="11">
        <v>-2.0001999999999999E-2</v>
      </c>
      <c r="AG90" s="11">
        <v>1.509978</v>
      </c>
      <c r="AH90" s="11">
        <v>10.513040999999999</v>
      </c>
      <c r="AI90" s="11">
        <v>9.6189330000000002</v>
      </c>
      <c r="AJ90" s="11">
        <v>100</v>
      </c>
      <c r="AK90" s="11" t="s">
        <v>44</v>
      </c>
      <c r="AL90" s="11" t="s">
        <v>329</v>
      </c>
      <c r="AM90" s="11">
        <v>0.442637</v>
      </c>
      <c r="AN90" s="11">
        <v>0.442637</v>
      </c>
      <c r="AO90" s="11"/>
    </row>
    <row r="91" spans="1:41" x14ac:dyDescent="0.2">
      <c r="A91" s="11" t="s">
        <v>352</v>
      </c>
      <c r="B91" s="11" t="s">
        <v>353</v>
      </c>
      <c r="C91" s="11" t="s">
        <v>354</v>
      </c>
      <c r="D91" s="11" t="s">
        <v>41</v>
      </c>
      <c r="E91" s="12">
        <v>44676</v>
      </c>
      <c r="F91" s="11" t="s">
        <v>844</v>
      </c>
      <c r="G91" s="11">
        <v>99</v>
      </c>
      <c r="H91" s="11">
        <v>1.3746579999999999</v>
      </c>
      <c r="I91" s="11">
        <v>104.503703</v>
      </c>
      <c r="J91" s="11">
        <v>-2.8729999999999999E-2</v>
      </c>
      <c r="K91" s="11">
        <v>0.716808</v>
      </c>
      <c r="L91" s="11"/>
      <c r="M91" s="11">
        <v>4.9887480000000002</v>
      </c>
      <c r="N91" s="11">
        <v>21205.941022999999</v>
      </c>
      <c r="O91" s="11">
        <v>21285.390679</v>
      </c>
      <c r="P91" s="11">
        <v>6038.5800099999997</v>
      </c>
      <c r="Q91" s="11">
        <v>5058.7082270000001</v>
      </c>
      <c r="R91" s="11">
        <v>0.69394699999999998</v>
      </c>
      <c r="S91" s="11">
        <v>4.1724069999999998</v>
      </c>
      <c r="T91" s="11">
        <v>4.0710360000000003</v>
      </c>
      <c r="U91" s="11">
        <v>2.4900600000000002</v>
      </c>
      <c r="V91" s="11">
        <v>21.123438</v>
      </c>
      <c r="W91" s="11">
        <v>2.25</v>
      </c>
      <c r="X91" s="12">
        <v>42668</v>
      </c>
      <c r="Y91" s="11">
        <v>1</v>
      </c>
      <c r="Z91" s="11" t="s">
        <v>353</v>
      </c>
      <c r="AA91" s="11" t="s">
        <v>328</v>
      </c>
      <c r="AB91" s="11">
        <v>0.75262799999999996</v>
      </c>
      <c r="AC91" s="11">
        <v>3.972696</v>
      </c>
      <c r="AD91" s="11"/>
      <c r="AE91" s="11">
        <v>24.331054000000002</v>
      </c>
      <c r="AF91" s="11">
        <v>-4.4986999999999999E-2</v>
      </c>
      <c r="AG91" s="11">
        <v>1.468537</v>
      </c>
      <c r="AH91" s="11"/>
      <c r="AI91" s="11">
        <v>9.8585729999999998</v>
      </c>
      <c r="AJ91" s="11">
        <v>100</v>
      </c>
      <c r="AK91" s="11" t="s">
        <v>44</v>
      </c>
      <c r="AL91" s="11" t="s">
        <v>329</v>
      </c>
      <c r="AM91" s="11">
        <v>0.69394699999999998</v>
      </c>
      <c r="AN91" s="11">
        <v>0.69394699999999998</v>
      </c>
      <c r="AO91" s="11"/>
    </row>
    <row r="92" spans="1:41" x14ac:dyDescent="0.2">
      <c r="A92" s="11" t="s">
        <v>355</v>
      </c>
      <c r="B92" s="11" t="s">
        <v>356</v>
      </c>
      <c r="C92" s="11" t="s">
        <v>357</v>
      </c>
      <c r="D92" s="11" t="s">
        <v>41</v>
      </c>
      <c r="E92" s="12">
        <v>44827</v>
      </c>
      <c r="F92" s="11" t="s">
        <v>844</v>
      </c>
      <c r="G92" s="11">
        <v>114.425</v>
      </c>
      <c r="H92" s="11">
        <v>1.134247</v>
      </c>
      <c r="I92" s="11">
        <v>248.85540800000001</v>
      </c>
      <c r="J92" s="11">
        <v>2.6641999999999999E-2</v>
      </c>
      <c r="K92" s="11">
        <v>0.69666399999999995</v>
      </c>
      <c r="L92" s="11">
        <v>5.7717140000000002</v>
      </c>
      <c r="M92" s="11">
        <v>5.3653579999999996</v>
      </c>
      <c r="N92" s="11">
        <v>16639.668448</v>
      </c>
      <c r="O92" s="11">
        <v>19228.675491000002</v>
      </c>
      <c r="P92" s="11">
        <v>5455.098156</v>
      </c>
      <c r="Q92" s="11">
        <v>4569.9071430000004</v>
      </c>
      <c r="R92" s="11">
        <v>0.62689399999999995</v>
      </c>
      <c r="S92" s="11">
        <v>4.3266600000000004</v>
      </c>
      <c r="T92" s="11">
        <v>4.2203369999999998</v>
      </c>
      <c r="U92" s="11">
        <v>2.519301</v>
      </c>
      <c r="V92" s="11">
        <v>23.080589</v>
      </c>
      <c r="W92" s="11">
        <v>5.75</v>
      </c>
      <c r="X92" s="12">
        <v>37368</v>
      </c>
      <c r="Y92" s="11">
        <v>1</v>
      </c>
      <c r="Z92" s="11" t="s">
        <v>358</v>
      </c>
      <c r="AA92" s="11" t="s">
        <v>328</v>
      </c>
      <c r="AB92" s="11">
        <v>0.80843200000000004</v>
      </c>
      <c r="AC92" s="11">
        <v>3.9519009999999999</v>
      </c>
      <c r="AD92" s="11">
        <v>25.549334999999999</v>
      </c>
      <c r="AE92" s="11">
        <v>24.777048000000001</v>
      </c>
      <c r="AF92" s="11">
        <v>1.0376E-2</v>
      </c>
      <c r="AG92" s="11">
        <v>1.448242</v>
      </c>
      <c r="AH92" s="11">
        <v>11.103325999999999</v>
      </c>
      <c r="AI92" s="11">
        <v>10.252651999999999</v>
      </c>
      <c r="AJ92" s="11">
        <v>100</v>
      </c>
      <c r="AK92" s="11" t="s">
        <v>44</v>
      </c>
      <c r="AL92" s="11" t="s">
        <v>329</v>
      </c>
      <c r="AM92" s="11">
        <v>0.62689399999999995</v>
      </c>
      <c r="AN92" s="11">
        <v>0.62689399999999995</v>
      </c>
      <c r="AO92" s="11"/>
    </row>
    <row r="93" spans="1:41" x14ac:dyDescent="0.2">
      <c r="A93" s="11" t="s">
        <v>359</v>
      </c>
      <c r="B93" s="11" t="s">
        <v>360</v>
      </c>
      <c r="C93" s="11" t="s">
        <v>361</v>
      </c>
      <c r="D93" s="11" t="s">
        <v>41</v>
      </c>
      <c r="E93" s="12">
        <v>44951</v>
      </c>
      <c r="F93" s="11" t="s">
        <v>845</v>
      </c>
      <c r="G93" s="11">
        <v>99.05</v>
      </c>
      <c r="H93" s="11">
        <v>2.1438359999999999</v>
      </c>
      <c r="I93" s="11">
        <v>100.730019</v>
      </c>
      <c r="J93" s="11">
        <v>-3.7701999999999999E-2</v>
      </c>
      <c r="K93" s="11">
        <v>0.68805700000000003</v>
      </c>
      <c r="L93" s="11"/>
      <c r="M93" s="11"/>
      <c r="N93" s="11">
        <v>5671.4789860000001</v>
      </c>
      <c r="O93" s="11">
        <v>5739.1871220000003</v>
      </c>
      <c r="P93" s="11">
        <v>1628.1843799999999</v>
      </c>
      <c r="Q93" s="11">
        <v>1363.9812179999999</v>
      </c>
      <c r="R93" s="11">
        <v>0.187109</v>
      </c>
      <c r="S93" s="11">
        <v>4.7862520000000002</v>
      </c>
      <c r="T93" s="11">
        <v>4.660514</v>
      </c>
      <c r="U93" s="11">
        <v>2.6979479999999998</v>
      </c>
      <c r="V93" s="11">
        <v>27.389610000000001</v>
      </c>
      <c r="W93" s="11">
        <v>2.5</v>
      </c>
      <c r="X93" s="12">
        <v>42954</v>
      </c>
      <c r="Y93" s="11">
        <v>1</v>
      </c>
      <c r="Z93" s="11" t="s">
        <v>360</v>
      </c>
      <c r="AA93" s="11" t="s">
        <v>328</v>
      </c>
      <c r="AB93" s="11">
        <v>0.74358599999999997</v>
      </c>
      <c r="AC93" s="11">
        <v>3.9430160000000001</v>
      </c>
      <c r="AD93" s="11"/>
      <c r="AE93" s="11"/>
      <c r="AF93" s="11">
        <v>-5.3956999999999998E-2</v>
      </c>
      <c r="AG93" s="11">
        <v>1.4395720000000001</v>
      </c>
      <c r="AH93" s="11"/>
      <c r="AI93" s="11"/>
      <c r="AJ93" s="11">
        <v>100</v>
      </c>
      <c r="AK93" s="11" t="s">
        <v>44</v>
      </c>
      <c r="AL93" s="11" t="s">
        <v>329</v>
      </c>
      <c r="AM93" s="11">
        <v>0.187109</v>
      </c>
      <c r="AN93" s="11">
        <v>0.187109</v>
      </c>
      <c r="AO93" s="11"/>
    </row>
    <row r="94" spans="1:41" x14ac:dyDescent="0.2">
      <c r="A94" s="11" t="s">
        <v>362</v>
      </c>
      <c r="B94" s="11" t="s">
        <v>363</v>
      </c>
      <c r="C94" s="11" t="s">
        <v>364</v>
      </c>
      <c r="D94" s="11" t="s">
        <v>41</v>
      </c>
      <c r="E94" s="12">
        <v>45224</v>
      </c>
      <c r="F94" s="11" t="s">
        <v>845</v>
      </c>
      <c r="G94" s="11">
        <v>106.47</v>
      </c>
      <c r="H94" s="11">
        <v>0.43835600000000002</v>
      </c>
      <c r="I94" s="11">
        <v>125.44323</v>
      </c>
      <c r="J94" s="11">
        <v>5.7086999999999999E-2</v>
      </c>
      <c r="K94" s="11">
        <v>0.810477</v>
      </c>
      <c r="L94" s="11">
        <v>6.1894720000000003</v>
      </c>
      <c r="M94" s="11">
        <v>5.6183779999999999</v>
      </c>
      <c r="N94" s="11">
        <v>19784.420073000001</v>
      </c>
      <c r="O94" s="11">
        <v>21151.198277</v>
      </c>
      <c r="P94" s="11">
        <v>6000.5101640000003</v>
      </c>
      <c r="Q94" s="11">
        <v>5026.81592</v>
      </c>
      <c r="R94" s="11">
        <v>0.68957199999999996</v>
      </c>
      <c r="S94" s="11">
        <v>5.3621080000000001</v>
      </c>
      <c r="T94" s="11">
        <v>5.216507</v>
      </c>
      <c r="U94" s="11">
        <v>2.7911670000000002</v>
      </c>
      <c r="V94" s="11">
        <v>33.874564999999997</v>
      </c>
      <c r="W94" s="11">
        <v>4</v>
      </c>
      <c r="X94" s="12">
        <v>41207</v>
      </c>
      <c r="Y94" s="11">
        <v>1</v>
      </c>
      <c r="Z94" s="11" t="s">
        <v>363</v>
      </c>
      <c r="AA94" s="11" t="s">
        <v>328</v>
      </c>
      <c r="AB94" s="11">
        <v>0.83911599999999997</v>
      </c>
      <c r="AC94" s="11">
        <v>4.0693929999999998</v>
      </c>
      <c r="AD94" s="11">
        <v>26.045207000000001</v>
      </c>
      <c r="AE94" s="11">
        <v>25.076681000000001</v>
      </c>
      <c r="AF94" s="11">
        <v>4.0816999999999999E-2</v>
      </c>
      <c r="AG94" s="11">
        <v>1.562905</v>
      </c>
      <c r="AH94" s="11">
        <v>11.542142</v>
      </c>
      <c r="AI94" s="11">
        <v>10.517408</v>
      </c>
      <c r="AJ94" s="11">
        <v>100</v>
      </c>
      <c r="AK94" s="11" t="s">
        <v>44</v>
      </c>
      <c r="AL94" s="11" t="s">
        <v>329</v>
      </c>
      <c r="AM94" s="11">
        <v>0.68957199999999996</v>
      </c>
      <c r="AN94" s="11">
        <v>0.68957199999999996</v>
      </c>
      <c r="AO94" s="11"/>
    </row>
    <row r="95" spans="1:41" x14ac:dyDescent="0.2">
      <c r="A95" s="11" t="s">
        <v>365</v>
      </c>
      <c r="B95" s="11" t="s">
        <v>366</v>
      </c>
      <c r="C95" s="11" t="s">
        <v>367</v>
      </c>
      <c r="D95" s="11" t="s">
        <v>41</v>
      </c>
      <c r="E95" s="12">
        <v>45863</v>
      </c>
      <c r="F95" s="11" t="s">
        <v>846</v>
      </c>
      <c r="G95" s="11">
        <v>100.85</v>
      </c>
      <c r="H95" s="11">
        <v>1.1753420000000001</v>
      </c>
      <c r="I95" s="11">
        <v>112.911911</v>
      </c>
      <c r="J95" s="11">
        <v>8.7329999999999994E-3</v>
      </c>
      <c r="K95" s="11">
        <v>1.063043</v>
      </c>
      <c r="L95" s="11">
        <v>6.3973170000000001</v>
      </c>
      <c r="M95" s="11">
        <v>5.8509520000000004</v>
      </c>
      <c r="N95" s="11">
        <v>20996.935750000001</v>
      </c>
      <c r="O95" s="11">
        <v>21422.195606000001</v>
      </c>
      <c r="P95" s="11">
        <v>6077.39102</v>
      </c>
      <c r="Q95" s="11">
        <v>5091.2214290000002</v>
      </c>
      <c r="R95" s="11">
        <v>0.698407</v>
      </c>
      <c r="S95" s="11">
        <v>6.8155409999999996</v>
      </c>
      <c r="T95" s="11">
        <v>6.6093859999999998</v>
      </c>
      <c r="U95" s="11">
        <v>3.1191309999999999</v>
      </c>
      <c r="V95" s="11">
        <v>53.391387999999999</v>
      </c>
      <c r="W95" s="11">
        <v>3.25</v>
      </c>
      <c r="X95" s="12">
        <v>41799</v>
      </c>
      <c r="Y95" s="11">
        <v>1</v>
      </c>
      <c r="Z95" s="11" t="s">
        <v>366</v>
      </c>
      <c r="AA95" s="11" t="s">
        <v>328</v>
      </c>
      <c r="AB95" s="11">
        <v>0.79038299999999995</v>
      </c>
      <c r="AC95" s="11">
        <v>4.3301239999999996</v>
      </c>
      <c r="AD95" s="11">
        <v>26.291916000000001</v>
      </c>
      <c r="AE95" s="11">
        <v>25.352104000000001</v>
      </c>
      <c r="AF95" s="11">
        <v>-7.5300000000000002E-3</v>
      </c>
      <c r="AG95" s="11">
        <v>1.817356</v>
      </c>
      <c r="AH95" s="11">
        <v>11.760464000000001</v>
      </c>
      <c r="AI95" s="11">
        <v>10.760770000000001</v>
      </c>
      <c r="AJ95" s="11">
        <v>100</v>
      </c>
      <c r="AK95" s="11" t="s">
        <v>44</v>
      </c>
      <c r="AL95" s="11" t="s">
        <v>329</v>
      </c>
      <c r="AM95" s="11">
        <v>0.698407</v>
      </c>
      <c r="AN95" s="11">
        <v>0.698407</v>
      </c>
      <c r="AO95" s="11"/>
    </row>
    <row r="96" spans="1:41" x14ac:dyDescent="0.2">
      <c r="A96" s="11" t="s">
        <v>368</v>
      </c>
      <c r="B96" s="11" t="s">
        <v>369</v>
      </c>
      <c r="C96" s="11" t="s">
        <v>370</v>
      </c>
      <c r="D96" s="11" t="s">
        <v>41</v>
      </c>
      <c r="E96" s="12">
        <v>46228</v>
      </c>
      <c r="F96" s="11" t="s">
        <v>846</v>
      </c>
      <c r="G96" s="11">
        <v>94.495000000000005</v>
      </c>
      <c r="H96" s="11">
        <v>0.90410999999999997</v>
      </c>
      <c r="I96" s="11">
        <v>105.209411</v>
      </c>
      <c r="J96" s="11">
        <v>-1.9030999999999999E-2</v>
      </c>
      <c r="K96" s="11">
        <v>1.1844349999999999</v>
      </c>
      <c r="L96" s="11">
        <v>6.3065709999999999</v>
      </c>
      <c r="M96" s="11">
        <v>6.223986</v>
      </c>
      <c r="N96" s="11">
        <v>27279.548724</v>
      </c>
      <c r="O96" s="11">
        <v>26024.446582</v>
      </c>
      <c r="P96" s="11">
        <v>7383.0311730000003</v>
      </c>
      <c r="Q96" s="11">
        <v>6184.9972129999996</v>
      </c>
      <c r="R96" s="11">
        <v>0.84845000000000004</v>
      </c>
      <c r="S96" s="11">
        <v>7.7795880000000004</v>
      </c>
      <c r="T96" s="11">
        <v>7.5356310000000004</v>
      </c>
      <c r="U96" s="11">
        <v>3.2373859999999999</v>
      </c>
      <c r="V96" s="11">
        <v>68.051247000000004</v>
      </c>
      <c r="W96" s="11">
        <v>2.5</v>
      </c>
      <c r="X96" s="12">
        <v>42261</v>
      </c>
      <c r="Y96" s="11">
        <v>1</v>
      </c>
      <c r="Z96" s="11" t="s">
        <v>369</v>
      </c>
      <c r="AA96" s="11" t="s">
        <v>328</v>
      </c>
      <c r="AB96" s="11">
        <v>0.76240300000000005</v>
      </c>
      <c r="AC96" s="11">
        <v>4.4554410000000004</v>
      </c>
      <c r="AD96" s="11">
        <v>26.184201999999999</v>
      </c>
      <c r="AE96" s="11">
        <v>25.793862000000001</v>
      </c>
      <c r="AF96" s="11">
        <v>-3.5289000000000001E-2</v>
      </c>
      <c r="AG96" s="11">
        <v>1.939654</v>
      </c>
      <c r="AH96" s="11">
        <v>11.665143</v>
      </c>
      <c r="AI96" s="11">
        <v>11.151107</v>
      </c>
      <c r="AJ96" s="11">
        <v>100</v>
      </c>
      <c r="AK96" s="11" t="s">
        <v>44</v>
      </c>
      <c r="AL96" s="11" t="s">
        <v>329</v>
      </c>
      <c r="AM96" s="11">
        <v>0.84845000000000004</v>
      </c>
      <c r="AN96" s="11">
        <v>0.84845000000000004</v>
      </c>
      <c r="AO96" s="11"/>
    </row>
    <row r="97" spans="1:41" x14ac:dyDescent="0.2">
      <c r="A97" s="11" t="s">
        <v>371</v>
      </c>
      <c r="B97" s="11" t="s">
        <v>372</v>
      </c>
      <c r="C97" s="11" t="s">
        <v>373</v>
      </c>
      <c r="D97" s="11" t="s">
        <v>41</v>
      </c>
      <c r="E97" s="12">
        <v>46593</v>
      </c>
      <c r="F97" s="11" t="s">
        <v>846</v>
      </c>
      <c r="G97" s="11">
        <v>93.23</v>
      </c>
      <c r="H97" s="11">
        <v>0.90410999999999997</v>
      </c>
      <c r="I97" s="11">
        <v>106.692402</v>
      </c>
      <c r="J97" s="11">
        <v>-9.8901000000000003E-2</v>
      </c>
      <c r="K97" s="11">
        <v>1.097253</v>
      </c>
      <c r="L97" s="11">
        <v>6.6924020000000004</v>
      </c>
      <c r="M97" s="11">
        <v>6.2686590000000004</v>
      </c>
      <c r="N97" s="11">
        <v>22952.708979999999</v>
      </c>
      <c r="O97" s="11">
        <v>21606.328224000001</v>
      </c>
      <c r="P97" s="11">
        <v>6129.6287060000004</v>
      </c>
      <c r="Q97" s="11">
        <v>5134.9825799999999</v>
      </c>
      <c r="R97" s="11">
        <v>0.70441100000000001</v>
      </c>
      <c r="S97" s="11">
        <v>8.5643989999999999</v>
      </c>
      <c r="T97" s="11">
        <v>8.2884320000000002</v>
      </c>
      <c r="U97" s="11">
        <v>3.3295460000000001</v>
      </c>
      <c r="V97" s="11">
        <v>82.160334000000006</v>
      </c>
      <c r="W97" s="11">
        <v>2.5</v>
      </c>
      <c r="X97" s="12">
        <v>42653</v>
      </c>
      <c r="Y97" s="11">
        <v>1</v>
      </c>
      <c r="Z97" s="11" t="s">
        <v>372</v>
      </c>
      <c r="AA97" s="11" t="s">
        <v>328</v>
      </c>
      <c r="AB97" s="11">
        <v>0.68190899999999999</v>
      </c>
      <c r="AC97" s="11">
        <v>4.3654400000000004</v>
      </c>
      <c r="AD97" s="11">
        <v>26.642177</v>
      </c>
      <c r="AE97" s="11">
        <v>25.846765999999999</v>
      </c>
      <c r="AF97" s="11">
        <v>-0.115146</v>
      </c>
      <c r="AG97" s="11">
        <v>1.8518209999999999</v>
      </c>
      <c r="AH97" s="11">
        <v>12.070423</v>
      </c>
      <c r="AI97" s="11">
        <v>11.197851999999999</v>
      </c>
      <c r="AJ97" s="11">
        <v>100</v>
      </c>
      <c r="AK97" s="11" t="s">
        <v>44</v>
      </c>
      <c r="AL97" s="11" t="s">
        <v>329</v>
      </c>
      <c r="AM97" s="11">
        <v>0.70441100000000001</v>
      </c>
      <c r="AN97" s="11">
        <v>0.70441100000000001</v>
      </c>
      <c r="AO97" s="11"/>
    </row>
    <row r="98" spans="1:41" x14ac:dyDescent="0.2">
      <c r="A98" s="11" t="s">
        <v>374</v>
      </c>
      <c r="B98" s="11" t="s">
        <v>375</v>
      </c>
      <c r="C98" s="11" t="s">
        <v>376</v>
      </c>
      <c r="D98" s="11" t="s">
        <v>41</v>
      </c>
      <c r="E98" s="12">
        <v>43584</v>
      </c>
      <c r="F98" s="11" t="s">
        <v>843</v>
      </c>
      <c r="G98" s="11">
        <v>99.415499999999994</v>
      </c>
      <c r="H98" s="11">
        <v>1.5136989999999999</v>
      </c>
      <c r="I98" s="11">
        <v>101.522327</v>
      </c>
      <c r="J98" s="11">
        <v>7.7819999999999999E-3</v>
      </c>
      <c r="K98" s="11">
        <v>-0.89348000000000005</v>
      </c>
      <c r="L98" s="11">
        <v>-0.28913699999999998</v>
      </c>
      <c r="M98" s="11">
        <v>-0.55051000000000005</v>
      </c>
      <c r="N98" s="11">
        <v>8386.57</v>
      </c>
      <c r="O98" s="11">
        <v>8464.4978940000001</v>
      </c>
      <c r="P98" s="11">
        <v>2177.5028349999998</v>
      </c>
      <c r="Q98" s="11">
        <v>1824.1625489999999</v>
      </c>
      <c r="R98" s="11">
        <v>0.25023600000000001</v>
      </c>
      <c r="S98" s="11">
        <v>1.3698030000000001</v>
      </c>
      <c r="T98" s="11">
        <v>1.330864</v>
      </c>
      <c r="U98" s="11">
        <v>2.925783</v>
      </c>
      <c r="V98" s="11">
        <v>3.0867309999999999</v>
      </c>
      <c r="W98" s="11">
        <v>2.5</v>
      </c>
      <c r="X98" s="12">
        <v>42275</v>
      </c>
      <c r="Y98" s="11">
        <v>1</v>
      </c>
      <c r="Z98" s="11" t="s">
        <v>375</v>
      </c>
      <c r="AA98" s="11" t="s">
        <v>377</v>
      </c>
      <c r="AB98" s="11">
        <v>1.0767439999999999</v>
      </c>
      <c r="AC98" s="11">
        <v>0.73184400000000005</v>
      </c>
      <c r="AD98" s="11">
        <v>9.5504890000000007</v>
      </c>
      <c r="AE98" s="11">
        <v>10.180491999999999</v>
      </c>
      <c r="AF98" s="11">
        <v>0.27656399999999998</v>
      </c>
      <c r="AG98" s="11">
        <v>-1.6942600000000001</v>
      </c>
      <c r="AH98" s="11">
        <v>-3.0546540000000002</v>
      </c>
      <c r="AI98" s="11">
        <v>-2.6448239999999998</v>
      </c>
      <c r="AJ98" s="11">
        <v>100</v>
      </c>
      <c r="AK98" s="11" t="s">
        <v>44</v>
      </c>
      <c r="AL98" s="11" t="s">
        <v>378</v>
      </c>
      <c r="AM98" s="11">
        <v>0.25023600000000001</v>
      </c>
      <c r="AN98" s="11">
        <v>0.25023600000000001</v>
      </c>
      <c r="AO98" s="11"/>
    </row>
    <row r="99" spans="1:41" x14ac:dyDescent="0.2">
      <c r="A99" s="11" t="s">
        <v>379</v>
      </c>
      <c r="B99" s="11" t="s">
        <v>380</v>
      </c>
      <c r="C99" s="11" t="s">
        <v>381</v>
      </c>
      <c r="D99" s="11" t="s">
        <v>41</v>
      </c>
      <c r="E99" s="12">
        <v>43640</v>
      </c>
      <c r="F99" s="11" t="s">
        <v>843</v>
      </c>
      <c r="G99" s="11">
        <v>102.7135</v>
      </c>
      <c r="H99" s="11">
        <v>2.1472600000000002</v>
      </c>
      <c r="I99" s="11">
        <v>110.89387499999999</v>
      </c>
      <c r="J99" s="11">
        <v>8.1279999999999998E-3</v>
      </c>
      <c r="K99" s="11">
        <v>-1.033199</v>
      </c>
      <c r="L99" s="11">
        <v>-0.48521399999999998</v>
      </c>
      <c r="M99" s="11">
        <v>-0.72988299999999995</v>
      </c>
      <c r="N99" s="11">
        <v>8657.2199999999993</v>
      </c>
      <c r="O99" s="11">
        <v>9078.0267110000004</v>
      </c>
      <c r="P99" s="11">
        <v>2335.3339019999999</v>
      </c>
      <c r="Q99" s="11">
        <v>1956.3825939999999</v>
      </c>
      <c r="R99" s="11">
        <v>0.268374</v>
      </c>
      <c r="S99" s="11">
        <v>1.5028589999999999</v>
      </c>
      <c r="T99" s="11">
        <v>1.460129</v>
      </c>
      <c r="U99" s="11">
        <v>2.9264749999999999</v>
      </c>
      <c r="V99" s="11">
        <v>3.59097</v>
      </c>
      <c r="W99" s="11">
        <v>4.75</v>
      </c>
      <c r="X99" s="12">
        <v>41696</v>
      </c>
      <c r="Y99" s="11">
        <v>1</v>
      </c>
      <c r="Z99" s="11" t="s">
        <v>380</v>
      </c>
      <c r="AA99" s="11" t="s">
        <v>377</v>
      </c>
      <c r="AB99" s="11">
        <v>1.077094</v>
      </c>
      <c r="AC99" s="11">
        <v>0.58983399999999997</v>
      </c>
      <c r="AD99" s="11">
        <v>9.3350629999999999</v>
      </c>
      <c r="AE99" s="11">
        <v>9.9817640000000001</v>
      </c>
      <c r="AF99" s="11">
        <v>0.27691100000000002</v>
      </c>
      <c r="AG99" s="11">
        <v>-1.8328500000000001</v>
      </c>
      <c r="AH99" s="11">
        <v>-3.2452930000000002</v>
      </c>
      <c r="AI99" s="11">
        <v>-2.8204189999999998</v>
      </c>
      <c r="AJ99" s="11">
        <v>100</v>
      </c>
      <c r="AK99" s="11" t="s">
        <v>44</v>
      </c>
      <c r="AL99" s="11" t="s">
        <v>378</v>
      </c>
      <c r="AM99" s="11">
        <v>0.268374</v>
      </c>
      <c r="AN99" s="11">
        <v>0.268374</v>
      </c>
      <c r="AO99" s="11"/>
    </row>
    <row r="100" spans="1:41" x14ac:dyDescent="0.2">
      <c r="A100" s="11" t="s">
        <v>382</v>
      </c>
      <c r="B100" s="11" t="s">
        <v>383</v>
      </c>
      <c r="C100" s="11" t="s">
        <v>384</v>
      </c>
      <c r="D100" s="11" t="s">
        <v>41</v>
      </c>
      <c r="E100" s="12">
        <v>43887</v>
      </c>
      <c r="F100" s="11" t="s">
        <v>843</v>
      </c>
      <c r="G100" s="11">
        <v>97.855000000000004</v>
      </c>
      <c r="H100" s="11">
        <v>1.744521</v>
      </c>
      <c r="I100" s="11">
        <v>98.917930999999996</v>
      </c>
      <c r="J100" s="11">
        <v>9.2069999999999999E-3</v>
      </c>
      <c r="K100" s="11">
        <v>-1.5936999999999999</v>
      </c>
      <c r="L100" s="11">
        <v>-0.88121000000000005</v>
      </c>
      <c r="M100" s="11">
        <v>-1.06663</v>
      </c>
      <c r="N100" s="11">
        <v>8860.3700000000008</v>
      </c>
      <c r="O100" s="11">
        <v>8824.8860390000009</v>
      </c>
      <c r="P100" s="11">
        <v>2270.2131429999999</v>
      </c>
      <c r="Q100" s="11">
        <v>1901.8288869999999</v>
      </c>
      <c r="R100" s="11">
        <v>0.26089099999999998</v>
      </c>
      <c r="S100" s="11">
        <v>2.1580530000000002</v>
      </c>
      <c r="T100" s="11">
        <v>2.0899269999999999</v>
      </c>
      <c r="U100" s="11">
        <v>3.2597670000000001</v>
      </c>
      <c r="V100" s="11">
        <v>6.4918469999999999</v>
      </c>
      <c r="W100" s="11">
        <v>2.25</v>
      </c>
      <c r="X100" s="12">
        <v>42450</v>
      </c>
      <c r="Y100" s="11">
        <v>1</v>
      </c>
      <c r="Z100" s="11" t="s">
        <v>383</v>
      </c>
      <c r="AA100" s="11" t="s">
        <v>377</v>
      </c>
      <c r="AB100" s="11">
        <v>1.078184</v>
      </c>
      <c r="AC100" s="11">
        <v>2.0140000000000002E-2</v>
      </c>
      <c r="AD100" s="11">
        <v>8.8999900000000007</v>
      </c>
      <c r="AE100" s="11">
        <v>9.6086799999999997</v>
      </c>
      <c r="AF100" s="11">
        <v>0.27799200000000002</v>
      </c>
      <c r="AG100" s="11">
        <v>-2.3888229999999999</v>
      </c>
      <c r="AH100" s="11">
        <v>-3.630306</v>
      </c>
      <c r="AI100" s="11">
        <v>-3.1500750000000002</v>
      </c>
      <c r="AJ100" s="11">
        <v>100</v>
      </c>
      <c r="AK100" s="11" t="s">
        <v>44</v>
      </c>
      <c r="AL100" s="11" t="s">
        <v>378</v>
      </c>
      <c r="AM100" s="11">
        <v>0.26089099999999998</v>
      </c>
      <c r="AN100" s="11">
        <v>0.26089099999999998</v>
      </c>
      <c r="AO100" s="11"/>
    </row>
    <row r="101" spans="1:41" x14ac:dyDescent="0.2">
      <c r="A101" s="11" t="s">
        <v>385</v>
      </c>
      <c r="B101" s="11" t="s">
        <v>386</v>
      </c>
      <c r="C101" s="11" t="s">
        <v>387</v>
      </c>
      <c r="D101" s="11" t="s">
        <v>41</v>
      </c>
      <c r="E101" s="12">
        <v>43950</v>
      </c>
      <c r="F101" s="11" t="s">
        <v>843</v>
      </c>
      <c r="G101" s="11">
        <v>105.441</v>
      </c>
      <c r="H101" s="11">
        <v>3.4815070000000001</v>
      </c>
      <c r="I101" s="11">
        <v>108.540691</v>
      </c>
      <c r="J101" s="11">
        <v>5.2192000000000002E-2</v>
      </c>
      <c r="K101" s="11">
        <v>-1.812565</v>
      </c>
      <c r="L101" s="11">
        <v>-1.1073029999999999</v>
      </c>
      <c r="M101" s="11">
        <v>-1.3841349999999999</v>
      </c>
      <c r="N101" s="11">
        <v>8730.75</v>
      </c>
      <c r="O101" s="11">
        <v>9509.7517669999997</v>
      </c>
      <c r="P101" s="11">
        <v>2446.3957209999999</v>
      </c>
      <c r="Q101" s="11">
        <v>2049.4225689999998</v>
      </c>
      <c r="R101" s="11">
        <v>0.28113700000000003</v>
      </c>
      <c r="S101" s="11">
        <v>2.2393670000000001</v>
      </c>
      <c r="T101" s="11">
        <v>2.166925</v>
      </c>
      <c r="U101" s="11">
        <v>3.3430780000000002</v>
      </c>
      <c r="V101" s="11">
        <v>7.0128510000000004</v>
      </c>
      <c r="W101" s="11">
        <v>5.75</v>
      </c>
      <c r="X101" s="12">
        <v>41353</v>
      </c>
      <c r="Y101" s="11">
        <v>1</v>
      </c>
      <c r="Z101" s="11" t="s">
        <v>386</v>
      </c>
      <c r="AA101" s="11" t="s">
        <v>377</v>
      </c>
      <c r="AB101" s="11">
        <v>1.121629</v>
      </c>
      <c r="AC101" s="11">
        <v>-0.20231399999999999</v>
      </c>
      <c r="AD101" s="11">
        <v>8.6515850000000007</v>
      </c>
      <c r="AE101" s="11">
        <v>9.2569160000000004</v>
      </c>
      <c r="AF101" s="11">
        <v>0.32109300000000002</v>
      </c>
      <c r="AG101" s="11">
        <v>-2.6059190000000001</v>
      </c>
      <c r="AH101" s="11">
        <v>-3.8501280000000002</v>
      </c>
      <c r="AI101" s="11">
        <v>-3.460893</v>
      </c>
      <c r="AJ101" s="11">
        <v>100</v>
      </c>
      <c r="AK101" s="11" t="s">
        <v>44</v>
      </c>
      <c r="AL101" s="11" t="s">
        <v>378</v>
      </c>
      <c r="AM101" s="11">
        <v>0.28113700000000003</v>
      </c>
      <c r="AN101" s="11">
        <v>0.28113700000000003</v>
      </c>
      <c r="AO101" s="11"/>
    </row>
    <row r="102" spans="1:41" x14ac:dyDescent="0.2">
      <c r="A102" s="11" t="s">
        <v>388</v>
      </c>
      <c r="B102" s="11" t="s">
        <v>389</v>
      </c>
      <c r="C102" s="11" t="s">
        <v>390</v>
      </c>
      <c r="D102" s="11" t="s">
        <v>41</v>
      </c>
      <c r="E102" s="12">
        <v>44277</v>
      </c>
      <c r="F102" s="11" t="s">
        <v>844</v>
      </c>
      <c r="G102" s="11">
        <v>99.02</v>
      </c>
      <c r="H102" s="11">
        <v>2.3061639999999999</v>
      </c>
      <c r="I102" s="11">
        <v>100.786804</v>
      </c>
      <c r="J102" s="11">
        <v>3.9919000000000003E-2</v>
      </c>
      <c r="K102" s="11">
        <v>-1.816184</v>
      </c>
      <c r="L102" s="11">
        <v>-0.90070499999999998</v>
      </c>
      <c r="M102" s="11">
        <v>-1.4754229999999999</v>
      </c>
      <c r="N102" s="11">
        <v>8804.35</v>
      </c>
      <c r="O102" s="11">
        <v>8921.110154</v>
      </c>
      <c r="P102" s="11">
        <v>2294.9669180000001</v>
      </c>
      <c r="Q102" s="11">
        <v>1922.5659029999999</v>
      </c>
      <c r="R102" s="11">
        <v>0.263735</v>
      </c>
      <c r="S102" s="11">
        <v>3.1041240000000001</v>
      </c>
      <c r="T102" s="11">
        <v>2.9972270000000001</v>
      </c>
      <c r="U102" s="11">
        <v>3.566535</v>
      </c>
      <c r="V102" s="11">
        <v>12.253193</v>
      </c>
      <c r="W102" s="11">
        <v>3.25</v>
      </c>
      <c r="X102" s="12">
        <v>42303</v>
      </c>
      <c r="Y102" s="11">
        <v>1</v>
      </c>
      <c r="Z102" s="11" t="s">
        <v>389</v>
      </c>
      <c r="AA102" s="11" t="s">
        <v>377</v>
      </c>
      <c r="AB102" s="11">
        <v>1.1092249999999999</v>
      </c>
      <c r="AC102" s="11">
        <v>-0.20599200000000001</v>
      </c>
      <c r="AD102" s="11">
        <v>8.8785710000000009</v>
      </c>
      <c r="AE102" s="11">
        <v>9.1557770000000005</v>
      </c>
      <c r="AF102" s="11">
        <v>0.30878800000000001</v>
      </c>
      <c r="AG102" s="11">
        <v>-2.6095090000000001</v>
      </c>
      <c r="AH102" s="11">
        <v>-3.6492599999999999</v>
      </c>
      <c r="AI102" s="11">
        <v>-3.5502590000000001</v>
      </c>
      <c r="AJ102" s="11">
        <v>100</v>
      </c>
      <c r="AK102" s="11" t="s">
        <v>44</v>
      </c>
      <c r="AL102" s="11" t="s">
        <v>378</v>
      </c>
      <c r="AM102" s="11">
        <v>0.263735</v>
      </c>
      <c r="AN102" s="11">
        <v>0.263735</v>
      </c>
      <c r="AO102" s="11"/>
    </row>
    <row r="103" spans="1:41" x14ac:dyDescent="0.2">
      <c r="A103" s="11" t="s">
        <v>391</v>
      </c>
      <c r="B103" s="11" t="s">
        <v>392</v>
      </c>
      <c r="C103" s="11" t="s">
        <v>393</v>
      </c>
      <c r="D103" s="11" t="s">
        <v>41</v>
      </c>
      <c r="E103" s="12">
        <v>44358</v>
      </c>
      <c r="F103" s="11" t="s">
        <v>844</v>
      </c>
      <c r="G103" s="11">
        <v>107.42100000000001</v>
      </c>
      <c r="H103" s="11">
        <v>2.9016440000000001</v>
      </c>
      <c r="I103" s="11">
        <v>118.800206</v>
      </c>
      <c r="J103" s="11">
        <v>4.0674000000000002E-2</v>
      </c>
      <c r="K103" s="11">
        <v>-1.9584459999999999</v>
      </c>
      <c r="L103" s="11">
        <v>-1.2935810000000001</v>
      </c>
      <c r="M103" s="11">
        <v>-1.87097</v>
      </c>
      <c r="N103" s="11">
        <v>8809.24</v>
      </c>
      <c r="O103" s="11">
        <v>9718.5864700000002</v>
      </c>
      <c r="P103" s="11">
        <v>2500.1187140000002</v>
      </c>
      <c r="Q103" s="11">
        <v>2094.4280079999999</v>
      </c>
      <c r="R103" s="11">
        <v>0.28731099999999998</v>
      </c>
      <c r="S103" s="11">
        <v>3.2013760000000002</v>
      </c>
      <c r="T103" s="11">
        <v>3.088479</v>
      </c>
      <c r="U103" s="11">
        <v>3.6554190000000002</v>
      </c>
      <c r="V103" s="11">
        <v>13.109045</v>
      </c>
      <c r="W103" s="11">
        <v>5.95</v>
      </c>
      <c r="X103" s="12">
        <v>40693</v>
      </c>
      <c r="Y103" s="11">
        <v>1</v>
      </c>
      <c r="Z103" s="11" t="s">
        <v>392</v>
      </c>
      <c r="AA103" s="11" t="s">
        <v>377</v>
      </c>
      <c r="AB103" s="11">
        <v>1.109988</v>
      </c>
      <c r="AC103" s="11">
        <v>-0.35058800000000001</v>
      </c>
      <c r="AD103" s="11">
        <v>8.4469250000000002</v>
      </c>
      <c r="AE103" s="11">
        <v>8.7175499999999992</v>
      </c>
      <c r="AF103" s="11">
        <v>0.30954399999999999</v>
      </c>
      <c r="AG103" s="11">
        <v>-2.7506219999999999</v>
      </c>
      <c r="AH103" s="11">
        <v>-4.0312390000000002</v>
      </c>
      <c r="AI103" s="11">
        <v>-3.9374750000000001</v>
      </c>
      <c r="AJ103" s="11">
        <v>100</v>
      </c>
      <c r="AK103" s="11" t="s">
        <v>44</v>
      </c>
      <c r="AL103" s="11" t="s">
        <v>378</v>
      </c>
      <c r="AM103" s="11">
        <v>0.28731099999999998</v>
      </c>
      <c r="AN103" s="11">
        <v>0.28731099999999998</v>
      </c>
      <c r="AO103" s="11"/>
    </row>
    <row r="104" spans="1:41" x14ac:dyDescent="0.2">
      <c r="A104" s="11" t="s">
        <v>394</v>
      </c>
      <c r="B104" s="11" t="s">
        <v>395</v>
      </c>
      <c r="C104" s="11" t="s">
        <v>396</v>
      </c>
      <c r="D104" s="11" t="s">
        <v>41</v>
      </c>
      <c r="E104" s="12">
        <v>44628</v>
      </c>
      <c r="F104" s="11" t="s">
        <v>844</v>
      </c>
      <c r="G104" s="11">
        <v>98.6755</v>
      </c>
      <c r="H104" s="11">
        <v>2.5430139999999999</v>
      </c>
      <c r="I104" s="11">
        <v>97.993989999999997</v>
      </c>
      <c r="J104" s="11">
        <v>8.6402000000000007E-2</v>
      </c>
      <c r="K104" s="11">
        <v>-2.090735</v>
      </c>
      <c r="L104" s="11"/>
      <c r="M104" s="11"/>
      <c r="N104" s="11">
        <v>4029</v>
      </c>
      <c r="O104" s="11">
        <v>4078.0939170000001</v>
      </c>
      <c r="P104" s="11">
        <v>1049.09484</v>
      </c>
      <c r="Q104" s="11">
        <v>878.85971400000005</v>
      </c>
      <c r="R104" s="11">
        <v>0.120561</v>
      </c>
      <c r="S104" s="11">
        <v>3.9309479999999999</v>
      </c>
      <c r="T104" s="11">
        <v>3.7892600000000001</v>
      </c>
      <c r="U104" s="11">
        <v>3.7391909999999999</v>
      </c>
      <c r="V104" s="11">
        <v>18.820824999999999</v>
      </c>
      <c r="W104" s="11">
        <v>3.4</v>
      </c>
      <c r="X104" s="12">
        <v>42802</v>
      </c>
      <c r="Y104" s="11">
        <v>1</v>
      </c>
      <c r="Z104" s="11" t="s">
        <v>395</v>
      </c>
      <c r="AA104" s="11" t="s">
        <v>377</v>
      </c>
      <c r="AB104" s="11">
        <v>1.1562049999999999</v>
      </c>
      <c r="AC104" s="11">
        <v>-0.485045</v>
      </c>
      <c r="AD104" s="11"/>
      <c r="AE104" s="11"/>
      <c r="AF104" s="11">
        <v>0.35539500000000002</v>
      </c>
      <c r="AG104" s="11">
        <v>-2.8818410000000001</v>
      </c>
      <c r="AH104" s="11"/>
      <c r="AI104" s="11"/>
      <c r="AJ104" s="11">
        <v>100</v>
      </c>
      <c r="AK104" s="11" t="s">
        <v>44</v>
      </c>
      <c r="AL104" s="11" t="s">
        <v>378</v>
      </c>
      <c r="AM104" s="11">
        <v>0.120561</v>
      </c>
      <c r="AN104" s="11">
        <v>0.120561</v>
      </c>
      <c r="AO104" s="11"/>
    </row>
    <row r="105" spans="1:41" x14ac:dyDescent="0.2">
      <c r="A105" s="11" t="s">
        <v>397</v>
      </c>
      <c r="B105" s="11" t="s">
        <v>398</v>
      </c>
      <c r="C105" s="11" t="s">
        <v>399</v>
      </c>
      <c r="D105" s="11" t="s">
        <v>41</v>
      </c>
      <c r="E105" s="12">
        <v>44914</v>
      </c>
      <c r="F105" s="11" t="s">
        <v>845</v>
      </c>
      <c r="G105" s="11">
        <v>98.085499999999996</v>
      </c>
      <c r="H105" s="11">
        <v>3.3753419999999998</v>
      </c>
      <c r="I105" s="11">
        <v>98.906087999999997</v>
      </c>
      <c r="J105" s="11">
        <v>-3.3437000000000001E-2</v>
      </c>
      <c r="K105" s="11">
        <v>-1.7684299999999999</v>
      </c>
      <c r="L105" s="11">
        <v>-1.093912</v>
      </c>
      <c r="M105" s="11">
        <v>-1.260051</v>
      </c>
      <c r="N105" s="11">
        <v>8736.7999999999993</v>
      </c>
      <c r="O105" s="11">
        <v>8864.4308849999998</v>
      </c>
      <c r="P105" s="11">
        <v>2280.3861040000002</v>
      </c>
      <c r="Q105" s="11">
        <v>1910.351097</v>
      </c>
      <c r="R105" s="11">
        <v>0.26206000000000002</v>
      </c>
      <c r="S105" s="11">
        <v>4.5442720000000003</v>
      </c>
      <c r="T105" s="11">
        <v>4.37263</v>
      </c>
      <c r="U105" s="11">
        <v>3.9253809999999998</v>
      </c>
      <c r="V105" s="11">
        <v>24.798559000000001</v>
      </c>
      <c r="W105" s="11">
        <v>3.5</v>
      </c>
      <c r="X105" s="12">
        <v>42312</v>
      </c>
      <c r="Y105" s="11">
        <v>1</v>
      </c>
      <c r="Z105" s="11" t="s">
        <v>398</v>
      </c>
      <c r="AA105" s="11" t="s">
        <v>377</v>
      </c>
      <c r="AB105" s="11">
        <v>1.035085</v>
      </c>
      <c r="AC105" s="11">
        <v>-0.15745500000000001</v>
      </c>
      <c r="AD105" s="11">
        <v>8.6662970000000001</v>
      </c>
      <c r="AE105" s="11">
        <v>9.3943890000000003</v>
      </c>
      <c r="AF105" s="11">
        <v>0.235234</v>
      </c>
      <c r="AG105" s="11">
        <v>-2.562141</v>
      </c>
      <c r="AH105" s="11">
        <v>-3.8371089999999999</v>
      </c>
      <c r="AI105" s="11">
        <v>-3.3394219999999999</v>
      </c>
      <c r="AJ105" s="11">
        <v>100</v>
      </c>
      <c r="AK105" s="11" t="s">
        <v>44</v>
      </c>
      <c r="AL105" s="11" t="s">
        <v>378</v>
      </c>
      <c r="AM105" s="11">
        <v>0.26206000000000002</v>
      </c>
      <c r="AN105" s="11">
        <v>0.26206000000000002</v>
      </c>
      <c r="AO105" s="11"/>
    </row>
    <row r="106" spans="1:41" x14ac:dyDescent="0.2">
      <c r="A106" s="11" t="s">
        <v>400</v>
      </c>
      <c r="B106" s="11" t="s">
        <v>401</v>
      </c>
      <c r="C106" s="11" t="s">
        <v>402</v>
      </c>
      <c r="D106" s="11" t="s">
        <v>41</v>
      </c>
      <c r="E106" s="12">
        <v>45042</v>
      </c>
      <c r="F106" s="11" t="s">
        <v>845</v>
      </c>
      <c r="G106" s="11">
        <v>108.78700000000001</v>
      </c>
      <c r="H106" s="11">
        <v>3.5901369999999999</v>
      </c>
      <c r="I106" s="11">
        <v>128.25384600000001</v>
      </c>
      <c r="J106" s="11">
        <v>-3.4263000000000002E-2</v>
      </c>
      <c r="K106" s="11">
        <v>-1.8105420000000001</v>
      </c>
      <c r="L106" s="11">
        <v>-0.62034400000000001</v>
      </c>
      <c r="M106" s="11">
        <v>-1.5997870000000001</v>
      </c>
      <c r="N106" s="11">
        <v>8792.52</v>
      </c>
      <c r="O106" s="11">
        <v>9880.7822450000003</v>
      </c>
      <c r="P106" s="11">
        <v>2541.8437829999998</v>
      </c>
      <c r="Q106" s="11">
        <v>2129.3824100000002</v>
      </c>
      <c r="R106" s="11">
        <v>0.29210599999999998</v>
      </c>
      <c r="S106" s="11">
        <v>4.6549189999999996</v>
      </c>
      <c r="T106" s="11">
        <v>4.4758740000000001</v>
      </c>
      <c r="U106" s="11">
        <v>4.000229</v>
      </c>
      <c r="V106" s="11">
        <v>26.362597999999998</v>
      </c>
      <c r="W106" s="11">
        <v>5.85</v>
      </c>
      <c r="X106" s="12">
        <v>41302</v>
      </c>
      <c r="Y106" s="11">
        <v>1</v>
      </c>
      <c r="Z106" s="11" t="s">
        <v>401</v>
      </c>
      <c r="AA106" s="11" t="s">
        <v>377</v>
      </c>
      <c r="AB106" s="11">
        <v>1.0342499999999999</v>
      </c>
      <c r="AC106" s="11">
        <v>-0.20025699999999999</v>
      </c>
      <c r="AD106" s="11">
        <v>9.186598</v>
      </c>
      <c r="AE106" s="11">
        <v>9.0179939999999998</v>
      </c>
      <c r="AF106" s="11">
        <v>0.234406</v>
      </c>
      <c r="AG106" s="11">
        <v>-2.6039119999999998</v>
      </c>
      <c r="AH106" s="11">
        <v>-3.3766750000000001</v>
      </c>
      <c r="AI106" s="11">
        <v>-3.6720030000000001</v>
      </c>
      <c r="AJ106" s="11">
        <v>100</v>
      </c>
      <c r="AK106" s="11" t="s">
        <v>44</v>
      </c>
      <c r="AL106" s="11" t="s">
        <v>378</v>
      </c>
      <c r="AM106" s="11">
        <v>0.29210599999999998</v>
      </c>
      <c r="AN106" s="11">
        <v>0.29210599999999998</v>
      </c>
      <c r="AO106" s="11"/>
    </row>
    <row r="107" spans="1:41" x14ac:dyDescent="0.2">
      <c r="A107" s="11" t="s">
        <v>403</v>
      </c>
      <c r="B107" s="11" t="s">
        <v>404</v>
      </c>
      <c r="C107" s="11" t="s">
        <v>405</v>
      </c>
      <c r="D107" s="11" t="s">
        <v>41</v>
      </c>
      <c r="E107" s="12">
        <v>45411</v>
      </c>
      <c r="F107" s="11" t="s">
        <v>845</v>
      </c>
      <c r="G107" s="11">
        <v>94.950500000000005</v>
      </c>
      <c r="H107" s="11">
        <v>1.967808</v>
      </c>
      <c r="I107" s="11">
        <v>97.639870999999999</v>
      </c>
      <c r="J107" s="11">
        <v>-4.4478999999999998E-2</v>
      </c>
      <c r="K107" s="11">
        <v>-1.495657</v>
      </c>
      <c r="L107" s="11"/>
      <c r="M107" s="11"/>
      <c r="N107" s="11">
        <v>4975.07</v>
      </c>
      <c r="O107" s="11">
        <v>4821.7536769999997</v>
      </c>
      <c r="P107" s="11">
        <v>1240.4022580000001</v>
      </c>
      <c r="Q107" s="11">
        <v>1039.123949</v>
      </c>
      <c r="R107" s="11">
        <v>0.14254600000000001</v>
      </c>
      <c r="S107" s="11">
        <v>5.7459530000000001</v>
      </c>
      <c r="T107" s="11">
        <v>5.5163589999999996</v>
      </c>
      <c r="U107" s="11">
        <v>4.1620530000000002</v>
      </c>
      <c r="V107" s="11">
        <v>37.980629999999998</v>
      </c>
      <c r="W107" s="11">
        <v>3.25</v>
      </c>
      <c r="X107" s="12">
        <v>42611</v>
      </c>
      <c r="Y107" s="11">
        <v>1</v>
      </c>
      <c r="Z107" s="11" t="s">
        <v>404</v>
      </c>
      <c r="AA107" s="11" t="s">
        <v>377</v>
      </c>
      <c r="AB107" s="11">
        <v>1.0239240000000001</v>
      </c>
      <c r="AC107" s="11">
        <v>0.119792</v>
      </c>
      <c r="AD107" s="11"/>
      <c r="AE107" s="11"/>
      <c r="AF107" s="11">
        <v>0.224162</v>
      </c>
      <c r="AG107" s="11">
        <v>-2.2915709999999998</v>
      </c>
      <c r="AH107" s="11"/>
      <c r="AI107" s="11"/>
      <c r="AJ107" s="11">
        <v>100</v>
      </c>
      <c r="AK107" s="11" t="s">
        <v>44</v>
      </c>
      <c r="AL107" s="11" t="s">
        <v>378</v>
      </c>
      <c r="AM107" s="11">
        <v>0.14254600000000001</v>
      </c>
      <c r="AN107" s="11">
        <v>0.14254600000000001</v>
      </c>
      <c r="AO107" s="11"/>
    </row>
    <row r="108" spans="1:41" x14ac:dyDescent="0.2">
      <c r="A108" s="11" t="s">
        <v>406</v>
      </c>
      <c r="B108" s="11" t="s">
        <v>407</v>
      </c>
      <c r="C108" s="11" t="s">
        <v>408</v>
      </c>
      <c r="D108" s="11" t="s">
        <v>41</v>
      </c>
      <c r="E108" s="12">
        <v>45712</v>
      </c>
      <c r="F108" s="11" t="s">
        <v>846</v>
      </c>
      <c r="G108" s="11">
        <v>103.075</v>
      </c>
      <c r="H108" s="11">
        <v>3.708904</v>
      </c>
      <c r="I108" s="11">
        <v>98.317610999999999</v>
      </c>
      <c r="J108" s="11">
        <v>-4.7302999999999998E-2</v>
      </c>
      <c r="K108" s="11">
        <v>-1.1216470000000001</v>
      </c>
      <c r="L108" s="11">
        <v>-1.1032500000000001</v>
      </c>
      <c r="M108" s="11">
        <v>-1.057299</v>
      </c>
      <c r="N108" s="11">
        <v>9101.15</v>
      </c>
      <c r="O108" s="11">
        <v>9718.5632889999997</v>
      </c>
      <c r="P108" s="11">
        <v>2500.1127499999998</v>
      </c>
      <c r="Q108" s="11">
        <v>2094.4230130000001</v>
      </c>
      <c r="R108" s="11">
        <v>0.28731000000000001</v>
      </c>
      <c r="S108" s="11">
        <v>6.0802849999999999</v>
      </c>
      <c r="T108" s="11">
        <v>5.8327390000000001</v>
      </c>
      <c r="U108" s="11">
        <v>4.2440680000000004</v>
      </c>
      <c r="V108" s="11">
        <v>43.790379999999999</v>
      </c>
      <c r="W108" s="11">
        <v>4.75</v>
      </c>
      <c r="X108" s="12">
        <v>41850</v>
      </c>
      <c r="Y108" s="11">
        <v>1</v>
      </c>
      <c r="Z108" s="11" t="s">
        <v>407</v>
      </c>
      <c r="AA108" s="11" t="s">
        <v>377</v>
      </c>
      <c r="AB108" s="11">
        <v>1.0210710000000001</v>
      </c>
      <c r="AC108" s="11">
        <v>0.49993500000000002</v>
      </c>
      <c r="AD108" s="11">
        <v>8.6560389999999998</v>
      </c>
      <c r="AE108" s="11">
        <v>9.6190189999999998</v>
      </c>
      <c r="AF108" s="11">
        <v>0.221331</v>
      </c>
      <c r="AG108" s="11">
        <v>-1.9205829999999999</v>
      </c>
      <c r="AH108" s="11">
        <v>-3.846187</v>
      </c>
      <c r="AI108" s="11">
        <v>-3.1409400000000001</v>
      </c>
      <c r="AJ108" s="11">
        <v>100</v>
      </c>
      <c r="AK108" s="11" t="s">
        <v>44</v>
      </c>
      <c r="AL108" s="11" t="s">
        <v>378</v>
      </c>
      <c r="AM108" s="11">
        <v>0.28731000000000001</v>
      </c>
      <c r="AN108" s="11">
        <v>0.28731000000000001</v>
      </c>
      <c r="AO108" s="11"/>
    </row>
    <row r="109" spans="1:41" x14ac:dyDescent="0.2">
      <c r="A109" s="11" t="s">
        <v>409</v>
      </c>
      <c r="B109" s="11" t="s">
        <v>410</v>
      </c>
      <c r="C109" s="11" t="s">
        <v>411</v>
      </c>
      <c r="D109" s="11" t="s">
        <v>41</v>
      </c>
      <c r="E109" s="12">
        <v>46594</v>
      </c>
      <c r="F109" s="11" t="s">
        <v>846</v>
      </c>
      <c r="G109" s="11">
        <v>110.05800000000001</v>
      </c>
      <c r="H109" s="11">
        <v>2.1134249999999999</v>
      </c>
      <c r="I109" s="11">
        <v>97.028741999999994</v>
      </c>
      <c r="J109" s="11">
        <v>0.231596</v>
      </c>
      <c r="K109" s="11">
        <v>-1.048602</v>
      </c>
      <c r="L109" s="11">
        <v>-1.7355</v>
      </c>
      <c r="M109" s="11">
        <v>-2.2568199999999998</v>
      </c>
      <c r="N109" s="11">
        <v>7382.68</v>
      </c>
      <c r="O109" s="11">
        <v>8281.2573339999999</v>
      </c>
      <c r="P109" s="11">
        <v>2130.3639680000001</v>
      </c>
      <c r="Q109" s="11">
        <v>1784.6728390000001</v>
      </c>
      <c r="R109" s="11">
        <v>0.24481900000000001</v>
      </c>
      <c r="S109" s="11">
        <v>7.6128210000000003</v>
      </c>
      <c r="T109" s="11">
        <v>7.2858239999999999</v>
      </c>
      <c r="U109" s="11">
        <v>4.4881320000000002</v>
      </c>
      <c r="V109" s="11">
        <v>68.428380000000004</v>
      </c>
      <c r="W109" s="11">
        <v>5.8</v>
      </c>
      <c r="X109" s="12">
        <v>40966</v>
      </c>
      <c r="Y109" s="11">
        <v>1</v>
      </c>
      <c r="Z109" s="11" t="s">
        <v>410</v>
      </c>
      <c r="AA109" s="11" t="s">
        <v>377</v>
      </c>
      <c r="AB109" s="11">
        <v>1.3029500000000001</v>
      </c>
      <c r="AC109" s="11">
        <v>0.57417799999999997</v>
      </c>
      <c r="AD109" s="11">
        <v>7.9613969999999998</v>
      </c>
      <c r="AE109" s="11">
        <v>8.2900650000000002</v>
      </c>
      <c r="AF109" s="11">
        <v>0.50097899999999995</v>
      </c>
      <c r="AG109" s="11">
        <v>-1.8481289999999999</v>
      </c>
      <c r="AH109" s="11">
        <v>-4.4609019999999999</v>
      </c>
      <c r="AI109" s="11">
        <v>-4.3151999999999999</v>
      </c>
      <c r="AJ109" s="11">
        <v>100</v>
      </c>
      <c r="AK109" s="11" t="s">
        <v>44</v>
      </c>
      <c r="AL109" s="11" t="s">
        <v>378</v>
      </c>
      <c r="AM109" s="11">
        <v>0.24481900000000001</v>
      </c>
      <c r="AN109" s="11">
        <v>0.24481900000000001</v>
      </c>
      <c r="AO109" s="11"/>
    </row>
    <row r="110" spans="1:41" x14ac:dyDescent="0.2">
      <c r="A110" s="11" t="s">
        <v>412</v>
      </c>
      <c r="B110" s="11" t="s">
        <v>413</v>
      </c>
      <c r="C110" s="11" t="s">
        <v>414</v>
      </c>
      <c r="D110" s="11" t="s">
        <v>41</v>
      </c>
      <c r="E110" s="12">
        <v>43523</v>
      </c>
      <c r="F110" s="11" t="s">
        <v>843</v>
      </c>
      <c r="G110" s="11">
        <v>100.29</v>
      </c>
      <c r="H110" s="11">
        <v>1.9109590000000001</v>
      </c>
      <c r="I110" s="11">
        <v>149.63535300000001</v>
      </c>
      <c r="J110" s="11">
        <v>6.0401000000000003E-2</v>
      </c>
      <c r="K110" s="11">
        <v>0.61505399999999999</v>
      </c>
      <c r="L110" s="11">
        <v>10.363474999999999</v>
      </c>
      <c r="M110" s="11">
        <v>8.3860960000000002</v>
      </c>
      <c r="N110" s="11">
        <v>149999.976</v>
      </c>
      <c r="O110" s="11">
        <v>153301.41382799999</v>
      </c>
      <c r="P110" s="11">
        <v>2626.542117</v>
      </c>
      <c r="Q110" s="11">
        <v>2200.3368660000001</v>
      </c>
      <c r="R110" s="11">
        <v>0.30183900000000002</v>
      </c>
      <c r="S110" s="11">
        <v>1.1899949999999999</v>
      </c>
      <c r="T110" s="11">
        <v>1.1482969999999999</v>
      </c>
      <c r="U110" s="11">
        <v>7.2626189999999999</v>
      </c>
      <c r="V110" s="11">
        <v>1.9118599999999999</v>
      </c>
      <c r="W110" s="11">
        <v>7.5</v>
      </c>
      <c r="X110" s="12">
        <v>40975</v>
      </c>
      <c r="Y110" s="11">
        <v>2</v>
      </c>
      <c r="Z110" s="11" t="s">
        <v>413</v>
      </c>
      <c r="AA110" s="11" t="s">
        <v>415</v>
      </c>
      <c r="AB110" s="11">
        <v>0.21254999999999999</v>
      </c>
      <c r="AC110" s="11">
        <v>0.57954300000000003</v>
      </c>
      <c r="AD110" s="11">
        <v>21.741834999999998</v>
      </c>
      <c r="AE110" s="11">
        <v>13.358212</v>
      </c>
      <c r="AF110" s="11">
        <v>-0.580789</v>
      </c>
      <c r="AG110" s="11">
        <v>-1.8428929999999999</v>
      </c>
      <c r="AH110" s="11">
        <v>7.7339260000000003</v>
      </c>
      <c r="AI110" s="11">
        <v>0.16300100000000001</v>
      </c>
      <c r="AJ110" s="11">
        <v>100</v>
      </c>
      <c r="AK110" s="11" t="s">
        <v>44</v>
      </c>
      <c r="AL110" s="11" t="s">
        <v>416</v>
      </c>
      <c r="AM110" s="11">
        <v>0.30183900000000002</v>
      </c>
      <c r="AN110" s="11">
        <v>0.30183900000000002</v>
      </c>
      <c r="AO110" s="11"/>
    </row>
    <row r="111" spans="1:41" x14ac:dyDescent="0.2">
      <c r="A111" s="11" t="s">
        <v>417</v>
      </c>
      <c r="B111" s="11" t="s">
        <v>418</v>
      </c>
      <c r="C111" s="11" t="s">
        <v>419</v>
      </c>
      <c r="D111" s="11" t="s">
        <v>41</v>
      </c>
      <c r="E111" s="12">
        <v>43600</v>
      </c>
      <c r="F111" s="11" t="s">
        <v>843</v>
      </c>
      <c r="G111" s="11">
        <v>99.25</v>
      </c>
      <c r="H111" s="11">
        <v>0.29369899999999999</v>
      </c>
      <c r="I111" s="11">
        <v>133.24385899999999</v>
      </c>
      <c r="J111" s="11">
        <v>5.5391999999999997E-2</v>
      </c>
      <c r="K111" s="11">
        <v>0.67300099999999996</v>
      </c>
      <c r="L111" s="11">
        <v>10.662915</v>
      </c>
      <c r="M111" s="11">
        <v>8.8407359999999997</v>
      </c>
      <c r="N111" s="11">
        <v>250000.318</v>
      </c>
      <c r="O111" s="11">
        <v>248859.56312400001</v>
      </c>
      <c r="P111" s="11">
        <v>4263.7579619999997</v>
      </c>
      <c r="Q111" s="11">
        <v>3571.8840260000002</v>
      </c>
      <c r="R111" s="11">
        <v>0.48998700000000001</v>
      </c>
      <c r="S111" s="11">
        <v>1.405948</v>
      </c>
      <c r="T111" s="11">
        <v>1.356638</v>
      </c>
      <c r="U111" s="11">
        <v>7.2693919999999999</v>
      </c>
      <c r="V111" s="11">
        <v>2.5307759999999999</v>
      </c>
      <c r="W111" s="11">
        <v>6.7</v>
      </c>
      <c r="X111" s="12">
        <v>41591</v>
      </c>
      <c r="Y111" s="11">
        <v>2</v>
      </c>
      <c r="Z111" s="11" t="s">
        <v>418</v>
      </c>
      <c r="AA111" s="11" t="s">
        <v>415</v>
      </c>
      <c r="AB111" s="11">
        <v>0.207534</v>
      </c>
      <c r="AC111" s="11">
        <v>0.63746899999999995</v>
      </c>
      <c r="AD111" s="11">
        <v>22.072147000000001</v>
      </c>
      <c r="AE111" s="11">
        <v>13.833708</v>
      </c>
      <c r="AF111" s="11">
        <v>-0.58576499999999998</v>
      </c>
      <c r="AG111" s="11">
        <v>-1.786362</v>
      </c>
      <c r="AH111" s="11">
        <v>8.0262309999999992</v>
      </c>
      <c r="AI111" s="11">
        <v>0.583148</v>
      </c>
      <c r="AJ111" s="11">
        <v>100</v>
      </c>
      <c r="AK111" s="11" t="s">
        <v>44</v>
      </c>
      <c r="AL111" s="11" t="s">
        <v>416</v>
      </c>
      <c r="AM111" s="11">
        <v>0.48998700000000001</v>
      </c>
      <c r="AN111" s="11">
        <v>0.48998700000000001</v>
      </c>
      <c r="AO111" s="11"/>
    </row>
    <row r="112" spans="1:41" x14ac:dyDescent="0.2">
      <c r="A112" s="11" t="s">
        <v>420</v>
      </c>
      <c r="B112" s="11" t="s">
        <v>421</v>
      </c>
      <c r="C112" s="11" t="s">
        <v>422</v>
      </c>
      <c r="D112" s="11" t="s">
        <v>41</v>
      </c>
      <c r="E112" s="12">
        <v>43810</v>
      </c>
      <c r="F112" s="11" t="s">
        <v>843</v>
      </c>
      <c r="G112" s="11">
        <v>99.22</v>
      </c>
      <c r="H112" s="11">
        <v>3.1671230000000001</v>
      </c>
      <c r="I112" s="11">
        <v>137.755866</v>
      </c>
      <c r="J112" s="11">
        <v>5.4656999999999997E-2</v>
      </c>
      <c r="K112" s="11">
        <v>0.64370899999999998</v>
      </c>
      <c r="L112" s="11">
        <v>11.503450000000001</v>
      </c>
      <c r="M112" s="11">
        <v>9.2884580000000003</v>
      </c>
      <c r="N112" s="11">
        <v>150000</v>
      </c>
      <c r="O112" s="11">
        <v>153580.684932</v>
      </c>
      <c r="P112" s="11">
        <v>2631.3269209999999</v>
      </c>
      <c r="Q112" s="11">
        <v>2204.3452470000002</v>
      </c>
      <c r="R112" s="11">
        <v>0.30238900000000002</v>
      </c>
      <c r="S112" s="11">
        <v>1.8721680000000001</v>
      </c>
      <c r="T112" s="11">
        <v>1.806743</v>
      </c>
      <c r="U112" s="11">
        <v>7.2422719999999998</v>
      </c>
      <c r="V112" s="11">
        <v>4.3395359999999998</v>
      </c>
      <c r="W112" s="11">
        <v>6.8</v>
      </c>
      <c r="X112" s="12">
        <v>41262</v>
      </c>
      <c r="Y112" s="11">
        <v>2</v>
      </c>
      <c r="Z112" s="11" t="s">
        <v>421</v>
      </c>
      <c r="AA112" s="11" t="s">
        <v>415</v>
      </c>
      <c r="AB112" s="11">
        <v>0.20679700000000001</v>
      </c>
      <c r="AC112" s="11">
        <v>0.60818799999999995</v>
      </c>
      <c r="AD112" s="11">
        <v>22.99934</v>
      </c>
      <c r="AE112" s="11">
        <v>14.301969</v>
      </c>
      <c r="AF112" s="11">
        <v>-0.58649600000000002</v>
      </c>
      <c r="AG112" s="11">
        <v>-1.8149379999999999</v>
      </c>
      <c r="AH112" s="11">
        <v>8.8467389999999995</v>
      </c>
      <c r="AI112" s="11">
        <v>0.99690199999999995</v>
      </c>
      <c r="AJ112" s="11">
        <v>100</v>
      </c>
      <c r="AK112" s="11" t="s">
        <v>44</v>
      </c>
      <c r="AL112" s="11" t="s">
        <v>416</v>
      </c>
      <c r="AM112" s="11">
        <v>0.30238900000000002</v>
      </c>
      <c r="AN112" s="11">
        <v>0.30238900000000002</v>
      </c>
      <c r="AO112" s="11"/>
    </row>
    <row r="113" spans="1:41" x14ac:dyDescent="0.2">
      <c r="A113" s="11" t="s">
        <v>423</v>
      </c>
      <c r="B113" s="11" t="s">
        <v>424</v>
      </c>
      <c r="C113" s="11" t="s">
        <v>425</v>
      </c>
      <c r="D113" s="11" t="s">
        <v>41</v>
      </c>
      <c r="E113" s="12">
        <v>43978</v>
      </c>
      <c r="F113" s="11" t="s">
        <v>843</v>
      </c>
      <c r="G113" s="11">
        <v>98.15</v>
      </c>
      <c r="H113" s="11">
        <v>3.5068000000000002E-2</v>
      </c>
      <c r="I113" s="11">
        <v>128.901352</v>
      </c>
      <c r="J113" s="11">
        <v>5.1457000000000003E-2</v>
      </c>
      <c r="K113" s="11">
        <v>0.60167700000000002</v>
      </c>
      <c r="L113" s="11">
        <v>12.267025</v>
      </c>
      <c r="M113" s="11">
        <v>9.7225260000000002</v>
      </c>
      <c r="N113" s="11">
        <v>201598.73199999999</v>
      </c>
      <c r="O113" s="11">
        <v>197939.85309600001</v>
      </c>
      <c r="P113" s="11">
        <v>3391.3409390000002</v>
      </c>
      <c r="Q113" s="11">
        <v>2841.0328720000002</v>
      </c>
      <c r="R113" s="11">
        <v>0.38972899999999999</v>
      </c>
      <c r="S113" s="11">
        <v>2.3400370000000001</v>
      </c>
      <c r="T113" s="11">
        <v>2.2582469999999999</v>
      </c>
      <c r="U113" s="11">
        <v>7.2437009999999997</v>
      </c>
      <c r="V113" s="11">
        <v>6.3842869999999996</v>
      </c>
      <c r="W113" s="11">
        <v>6.4</v>
      </c>
      <c r="X113" s="12">
        <v>41570</v>
      </c>
      <c r="Y113" s="11">
        <v>2</v>
      </c>
      <c r="Z113" s="11" t="s">
        <v>424</v>
      </c>
      <c r="AA113" s="11" t="s">
        <v>415</v>
      </c>
      <c r="AB113" s="11">
        <v>0.203593</v>
      </c>
      <c r="AC113" s="11">
        <v>0.56616999999999995</v>
      </c>
      <c r="AD113" s="11">
        <v>23.841639000000001</v>
      </c>
      <c r="AE113" s="11">
        <v>14.755948999999999</v>
      </c>
      <c r="AF113" s="11">
        <v>-0.58967499999999995</v>
      </c>
      <c r="AG113" s="11">
        <v>-1.855944</v>
      </c>
      <c r="AH113" s="11">
        <v>9.5921210000000006</v>
      </c>
      <c r="AI113" s="11">
        <v>1.3980379999999999</v>
      </c>
      <c r="AJ113" s="11">
        <v>100</v>
      </c>
      <c r="AK113" s="11" t="s">
        <v>44</v>
      </c>
      <c r="AL113" s="11" t="s">
        <v>416</v>
      </c>
      <c r="AM113" s="11">
        <v>0.38972899999999999</v>
      </c>
      <c r="AN113" s="11">
        <v>0.38972899999999999</v>
      </c>
      <c r="AO113" s="11"/>
    </row>
    <row r="114" spans="1:41" x14ac:dyDescent="0.2">
      <c r="A114" s="11" t="s">
        <v>426</v>
      </c>
      <c r="B114" s="11" t="s">
        <v>427</v>
      </c>
      <c r="C114" s="11" t="s">
        <v>428</v>
      </c>
      <c r="D114" s="11" t="s">
        <v>41</v>
      </c>
      <c r="E114" s="12">
        <v>44300</v>
      </c>
      <c r="F114" s="11" t="s">
        <v>844</v>
      </c>
      <c r="G114" s="11">
        <v>101.2</v>
      </c>
      <c r="H114" s="11">
        <v>0.91616399999999998</v>
      </c>
      <c r="I114" s="11">
        <v>165.749505</v>
      </c>
      <c r="J114" s="11">
        <v>6.1259000000000001E-2</v>
      </c>
      <c r="K114" s="11">
        <v>0.83146299999999995</v>
      </c>
      <c r="L114" s="11">
        <v>13.293773</v>
      </c>
      <c r="M114" s="11">
        <v>10.296733</v>
      </c>
      <c r="N114" s="11">
        <v>150000</v>
      </c>
      <c r="O114" s="11">
        <v>153174.246575</v>
      </c>
      <c r="P114" s="11">
        <v>2624.3633359999999</v>
      </c>
      <c r="Q114" s="11">
        <v>2198.5116330000001</v>
      </c>
      <c r="R114" s="11">
        <v>0.301589</v>
      </c>
      <c r="S114" s="11">
        <v>3.0170520000000001</v>
      </c>
      <c r="T114" s="11">
        <v>2.9120650000000001</v>
      </c>
      <c r="U114" s="11">
        <v>7.2104800000000004</v>
      </c>
      <c r="V114" s="11">
        <v>10.507294</v>
      </c>
      <c r="W114" s="11">
        <v>7.6</v>
      </c>
      <c r="X114" s="12">
        <v>40646</v>
      </c>
      <c r="Y114" s="11">
        <v>2</v>
      </c>
      <c r="Z114" s="11" t="s">
        <v>427</v>
      </c>
      <c r="AA114" s="11" t="s">
        <v>415</v>
      </c>
      <c r="AB114" s="11">
        <v>0.21340899999999999</v>
      </c>
      <c r="AC114" s="11">
        <v>0.795875</v>
      </c>
      <c r="AD114" s="11">
        <v>24.974243999999999</v>
      </c>
      <c r="AE114" s="11">
        <v>15.356498</v>
      </c>
      <c r="AF114" s="11">
        <v>-0.57993700000000004</v>
      </c>
      <c r="AG114" s="11">
        <v>-1.6317710000000001</v>
      </c>
      <c r="AH114" s="11">
        <v>10.594405999999999</v>
      </c>
      <c r="AI114" s="11">
        <v>1.9286810000000001</v>
      </c>
      <c r="AJ114" s="11">
        <v>100</v>
      </c>
      <c r="AK114" s="11" t="s">
        <v>44</v>
      </c>
      <c r="AL114" s="11" t="s">
        <v>416</v>
      </c>
      <c r="AM114" s="11">
        <v>0.301589</v>
      </c>
      <c r="AN114" s="11">
        <v>0.301589</v>
      </c>
      <c r="AO114" s="11"/>
    </row>
    <row r="115" spans="1:41" x14ac:dyDescent="0.2">
      <c r="A115" s="11" t="s">
        <v>429</v>
      </c>
      <c r="B115" s="11" t="s">
        <v>430</v>
      </c>
      <c r="C115" s="11" t="s">
        <v>431</v>
      </c>
      <c r="D115" s="11" t="s">
        <v>41</v>
      </c>
      <c r="E115" s="12">
        <v>44426</v>
      </c>
      <c r="F115" s="11" t="s">
        <v>844</v>
      </c>
      <c r="G115" s="11">
        <v>100.84</v>
      </c>
      <c r="H115" s="11">
        <v>2.0547949999999999</v>
      </c>
      <c r="I115" s="11">
        <v>116.843031</v>
      </c>
      <c r="J115" s="11">
        <v>5.9992999999999998E-2</v>
      </c>
      <c r="K115" s="11">
        <v>0.837839</v>
      </c>
      <c r="L115" s="11">
        <v>13.677735</v>
      </c>
      <c r="M115" s="11">
        <v>10.185513</v>
      </c>
      <c r="N115" s="11">
        <v>290000</v>
      </c>
      <c r="O115" s="11">
        <v>298394.90411</v>
      </c>
      <c r="P115" s="11">
        <v>5112.4563269999999</v>
      </c>
      <c r="Q115" s="11">
        <v>4282.8653160000003</v>
      </c>
      <c r="R115" s="11">
        <v>0.58751799999999998</v>
      </c>
      <c r="S115" s="11">
        <v>3.2538710000000002</v>
      </c>
      <c r="T115" s="11">
        <v>3.1399590000000002</v>
      </c>
      <c r="U115" s="11">
        <v>7.2555870000000002</v>
      </c>
      <c r="V115" s="11">
        <v>12.289110000000001</v>
      </c>
      <c r="W115" s="11">
        <v>7.5</v>
      </c>
      <c r="X115" s="12">
        <v>42404</v>
      </c>
      <c r="Y115" s="11">
        <v>2</v>
      </c>
      <c r="Z115" s="11" t="s">
        <v>430</v>
      </c>
      <c r="AA115" s="11" t="s">
        <v>415</v>
      </c>
      <c r="AB115" s="11">
        <v>0.212142</v>
      </c>
      <c r="AC115" s="11">
        <v>0.80224899999999999</v>
      </c>
      <c r="AD115" s="11">
        <v>25.397791999999999</v>
      </c>
      <c r="AE115" s="11">
        <v>15.240175000000001</v>
      </c>
      <c r="AF115" s="11">
        <v>-0.58119399999999999</v>
      </c>
      <c r="AG115" s="11">
        <v>-1.625551</v>
      </c>
      <c r="AH115" s="11">
        <v>10.969219000000001</v>
      </c>
      <c r="AI115" s="11">
        <v>1.8258989999999999</v>
      </c>
      <c r="AJ115" s="11">
        <v>100</v>
      </c>
      <c r="AK115" s="11" t="s">
        <v>44</v>
      </c>
      <c r="AL115" s="11" t="s">
        <v>416</v>
      </c>
      <c r="AM115" s="11">
        <v>0.58751799999999998</v>
      </c>
      <c r="AN115" s="11">
        <v>0.58751799999999998</v>
      </c>
      <c r="AO115" s="11"/>
    </row>
    <row r="116" spans="1:41" x14ac:dyDescent="0.2">
      <c r="A116" s="11" t="s">
        <v>432</v>
      </c>
      <c r="B116" s="11" t="s">
        <v>433</v>
      </c>
      <c r="C116" s="11" t="s">
        <v>434</v>
      </c>
      <c r="D116" s="11" t="s">
        <v>41</v>
      </c>
      <c r="E116" s="12">
        <v>44762</v>
      </c>
      <c r="F116" s="11" t="s">
        <v>844</v>
      </c>
      <c r="G116" s="11">
        <v>101.345</v>
      </c>
      <c r="H116" s="11">
        <v>2.6652049999999998</v>
      </c>
      <c r="I116" s="11">
        <v>144.51009500000001</v>
      </c>
      <c r="J116" s="11">
        <v>8.4232000000000001E-2</v>
      </c>
      <c r="K116" s="11">
        <v>0.71360199999999996</v>
      </c>
      <c r="L116" s="11">
        <v>14.497115000000001</v>
      </c>
      <c r="M116" s="11">
        <v>10.790817000000001</v>
      </c>
      <c r="N116" s="11">
        <v>146118</v>
      </c>
      <c r="O116" s="11">
        <v>151977.63204200001</v>
      </c>
      <c r="P116" s="11">
        <v>2603.8615129999998</v>
      </c>
      <c r="Q116" s="11">
        <v>2181.3366120000001</v>
      </c>
      <c r="R116" s="11">
        <v>0.29923300000000003</v>
      </c>
      <c r="S116" s="11">
        <v>3.902685</v>
      </c>
      <c r="T116" s="11">
        <v>3.7657530000000001</v>
      </c>
      <c r="U116" s="11">
        <v>7.2725010000000001</v>
      </c>
      <c r="V116" s="11">
        <v>17.741278000000001</v>
      </c>
      <c r="W116" s="11">
        <v>7.6</v>
      </c>
      <c r="X116" s="12">
        <v>41122</v>
      </c>
      <c r="Y116" s="11">
        <v>2</v>
      </c>
      <c r="Z116" s="11" t="s">
        <v>433</v>
      </c>
      <c r="AA116" s="11" t="s">
        <v>415</v>
      </c>
      <c r="AB116" s="11">
        <v>0.23641699999999999</v>
      </c>
      <c r="AC116" s="11">
        <v>0.67805599999999999</v>
      </c>
      <c r="AD116" s="11">
        <v>26.301649000000001</v>
      </c>
      <c r="AE116" s="11">
        <v>15.873248</v>
      </c>
      <c r="AF116" s="11">
        <v>-0.55711100000000002</v>
      </c>
      <c r="AG116" s="11">
        <v>-1.746753</v>
      </c>
      <c r="AH116" s="11">
        <v>11.769076999999999</v>
      </c>
      <c r="AI116" s="11">
        <v>2.3852790000000001</v>
      </c>
      <c r="AJ116" s="11">
        <v>100</v>
      </c>
      <c r="AK116" s="11" t="s">
        <v>44</v>
      </c>
      <c r="AL116" s="11" t="s">
        <v>416</v>
      </c>
      <c r="AM116" s="11">
        <v>0.29923300000000003</v>
      </c>
      <c r="AN116" s="11">
        <v>0.29923300000000003</v>
      </c>
      <c r="AO116" s="11"/>
    </row>
    <row r="117" spans="1:41" x14ac:dyDescent="0.2">
      <c r="A117" s="11" t="s">
        <v>435</v>
      </c>
      <c r="B117" s="11" t="s">
        <v>436</v>
      </c>
      <c r="C117" s="11" t="s">
        <v>437</v>
      </c>
      <c r="D117" s="11" t="s">
        <v>41</v>
      </c>
      <c r="E117" s="12">
        <v>44902</v>
      </c>
      <c r="F117" s="11" t="s">
        <v>845</v>
      </c>
      <c r="G117" s="11">
        <v>100.2</v>
      </c>
      <c r="H117" s="11">
        <v>3.4465750000000002</v>
      </c>
      <c r="I117" s="11">
        <v>105.913628</v>
      </c>
      <c r="J117" s="11">
        <v>1.0449999999999999E-2</v>
      </c>
      <c r="K117" s="11">
        <v>0.56037700000000001</v>
      </c>
      <c r="L117" s="11"/>
      <c r="M117" s="11"/>
      <c r="N117" s="11">
        <v>350000</v>
      </c>
      <c r="O117" s="11">
        <v>362763.013699</v>
      </c>
      <c r="P117" s="11">
        <v>6215.2873229999996</v>
      </c>
      <c r="Q117" s="11">
        <v>5206.7414950000002</v>
      </c>
      <c r="R117" s="11">
        <v>0.71425399999999994</v>
      </c>
      <c r="S117" s="11">
        <v>4.146782</v>
      </c>
      <c r="T117" s="11">
        <v>3.9993349999999999</v>
      </c>
      <c r="U117" s="11">
        <v>7.3735939999999998</v>
      </c>
      <c r="V117" s="11">
        <v>20.170217000000001</v>
      </c>
      <c r="W117" s="11">
        <v>7.4</v>
      </c>
      <c r="X117" s="12">
        <v>42767</v>
      </c>
      <c r="Y117" s="11">
        <v>2</v>
      </c>
      <c r="Z117" s="11" t="s">
        <v>436</v>
      </c>
      <c r="AA117" s="11" t="s">
        <v>415</v>
      </c>
      <c r="AB117" s="11">
        <v>0.162523</v>
      </c>
      <c r="AC117" s="11">
        <v>0.52488500000000005</v>
      </c>
      <c r="AD117" s="11"/>
      <c r="AE117" s="11"/>
      <c r="AF117" s="11">
        <v>-0.63041899999999995</v>
      </c>
      <c r="AG117" s="11">
        <v>-1.8962349999999999</v>
      </c>
      <c r="AH117" s="11"/>
      <c r="AI117" s="11"/>
      <c r="AJ117" s="11">
        <v>100</v>
      </c>
      <c r="AK117" s="11" t="s">
        <v>44</v>
      </c>
      <c r="AL117" s="11" t="s">
        <v>416</v>
      </c>
      <c r="AM117" s="11">
        <v>0.71425399999999994</v>
      </c>
      <c r="AN117" s="11">
        <v>0.71425399999999994</v>
      </c>
      <c r="AO117" s="11"/>
    </row>
    <row r="118" spans="1:41" x14ac:dyDescent="0.2">
      <c r="A118" s="11" t="s">
        <v>438</v>
      </c>
      <c r="B118" s="11" t="s">
        <v>439</v>
      </c>
      <c r="C118" s="11" t="s">
        <v>440</v>
      </c>
      <c r="D118" s="11" t="s">
        <v>41</v>
      </c>
      <c r="E118" s="12">
        <v>44951</v>
      </c>
      <c r="F118" s="11" t="s">
        <v>845</v>
      </c>
      <c r="G118" s="11">
        <v>98.5</v>
      </c>
      <c r="H118" s="11">
        <v>2.3205480000000001</v>
      </c>
      <c r="I118" s="11">
        <v>141.68230700000001</v>
      </c>
      <c r="J118" s="11">
        <v>7.4790000000000004E-3</v>
      </c>
      <c r="K118" s="11">
        <v>0.39725899999999997</v>
      </c>
      <c r="L118" s="11">
        <v>14.745108999999999</v>
      </c>
      <c r="M118" s="11">
        <v>11.261347000000001</v>
      </c>
      <c r="N118" s="11">
        <v>150000</v>
      </c>
      <c r="O118" s="11">
        <v>151230.821918</v>
      </c>
      <c r="P118" s="11">
        <v>2591.0662739999998</v>
      </c>
      <c r="Q118" s="11">
        <v>2170.6176380000002</v>
      </c>
      <c r="R118" s="11">
        <v>0.297763</v>
      </c>
      <c r="S118" s="11">
        <v>4.3133999999999997</v>
      </c>
      <c r="T118" s="11">
        <v>4.1600419999999998</v>
      </c>
      <c r="U118" s="11">
        <v>7.3728790000000002</v>
      </c>
      <c r="V118" s="11">
        <v>21.503319999999999</v>
      </c>
      <c r="W118" s="11">
        <v>7</v>
      </c>
      <c r="X118" s="12">
        <v>41290</v>
      </c>
      <c r="Y118" s="11">
        <v>2</v>
      </c>
      <c r="Z118" s="11" t="s">
        <v>439</v>
      </c>
      <c r="AA118" s="11" t="s">
        <v>415</v>
      </c>
      <c r="AB118" s="11">
        <v>0.159548</v>
      </c>
      <c r="AC118" s="11">
        <v>0.36182399999999998</v>
      </c>
      <c r="AD118" s="11">
        <v>26.575210999999999</v>
      </c>
      <c r="AE118" s="11">
        <v>16.365362999999999</v>
      </c>
      <c r="AF118" s="11">
        <v>-0.63337200000000005</v>
      </c>
      <c r="AG118" s="11">
        <v>-2.0553680000000001</v>
      </c>
      <c r="AH118" s="11">
        <v>12.011162000000001</v>
      </c>
      <c r="AI118" s="11">
        <v>2.8201109999999998</v>
      </c>
      <c r="AJ118" s="11">
        <v>100</v>
      </c>
      <c r="AK118" s="11" t="s">
        <v>44</v>
      </c>
      <c r="AL118" s="11" t="s">
        <v>416</v>
      </c>
      <c r="AM118" s="11">
        <v>0.297763</v>
      </c>
      <c r="AN118" s="11">
        <v>0.297763</v>
      </c>
      <c r="AO118" s="11"/>
    </row>
    <row r="119" spans="1:41" x14ac:dyDescent="0.2">
      <c r="A119" s="11" t="s">
        <v>441</v>
      </c>
      <c r="B119" s="11" t="s">
        <v>442</v>
      </c>
      <c r="C119" s="11" t="s">
        <v>443</v>
      </c>
      <c r="D119" s="11" t="s">
        <v>41</v>
      </c>
      <c r="E119" s="12">
        <v>45154</v>
      </c>
      <c r="F119" s="11" t="s">
        <v>845</v>
      </c>
      <c r="G119" s="11">
        <v>98.45</v>
      </c>
      <c r="H119" s="11">
        <v>1.917808</v>
      </c>
      <c r="I119" s="11">
        <v>144.348771</v>
      </c>
      <c r="J119" s="11">
        <v>5.74E-2</v>
      </c>
      <c r="K119" s="11">
        <v>0.39855699999999999</v>
      </c>
      <c r="L119" s="11">
        <v>15.226027</v>
      </c>
      <c r="M119" s="11">
        <v>11.634363</v>
      </c>
      <c r="N119" s="11">
        <v>249999.99900000001</v>
      </c>
      <c r="O119" s="11">
        <v>250919.51954400001</v>
      </c>
      <c r="P119" s="11">
        <v>4299.0515850000002</v>
      </c>
      <c r="Q119" s="11">
        <v>3601.4506029999998</v>
      </c>
      <c r="R119" s="11">
        <v>0.49404300000000001</v>
      </c>
      <c r="S119" s="11">
        <v>4.7109899999999998</v>
      </c>
      <c r="T119" s="11">
        <v>4.5438960000000002</v>
      </c>
      <c r="U119" s="11">
        <v>7.3546690000000003</v>
      </c>
      <c r="V119" s="11">
        <v>25.624828999999998</v>
      </c>
      <c r="W119" s="11">
        <v>7</v>
      </c>
      <c r="X119" s="12">
        <v>41521</v>
      </c>
      <c r="Y119" s="11">
        <v>2</v>
      </c>
      <c r="Z119" s="11" t="s">
        <v>444</v>
      </c>
      <c r="AA119" s="11" t="s">
        <v>415</v>
      </c>
      <c r="AB119" s="11">
        <v>0.20954500000000001</v>
      </c>
      <c r="AC119" s="11">
        <v>0.363122</v>
      </c>
      <c r="AD119" s="11">
        <v>27.105712</v>
      </c>
      <c r="AE119" s="11">
        <v>16.755490000000002</v>
      </c>
      <c r="AF119" s="11">
        <v>-0.58377100000000004</v>
      </c>
      <c r="AG119" s="11">
        <v>-2.0541019999999999</v>
      </c>
      <c r="AH119" s="11">
        <v>12.480622</v>
      </c>
      <c r="AI119" s="11">
        <v>3.1648260000000001</v>
      </c>
      <c r="AJ119" s="11">
        <v>100</v>
      </c>
      <c r="AK119" s="11" t="s">
        <v>44</v>
      </c>
      <c r="AL119" s="11" t="s">
        <v>416</v>
      </c>
      <c r="AM119" s="11">
        <v>0.49404300000000001</v>
      </c>
      <c r="AN119" s="11">
        <v>0.49404300000000001</v>
      </c>
      <c r="AO119" s="11"/>
    </row>
    <row r="120" spans="1:41" x14ac:dyDescent="0.2">
      <c r="A120" s="11" t="s">
        <v>445</v>
      </c>
      <c r="B120" s="11" t="s">
        <v>446</v>
      </c>
      <c r="C120" s="11" t="s">
        <v>447</v>
      </c>
      <c r="D120" s="11" t="s">
        <v>41</v>
      </c>
      <c r="E120" s="12">
        <v>45581</v>
      </c>
      <c r="F120" s="11" t="s">
        <v>845</v>
      </c>
      <c r="G120" s="11">
        <v>98.3005</v>
      </c>
      <c r="H120" s="11">
        <v>0.71972599999999998</v>
      </c>
      <c r="I120" s="11">
        <v>104.599136</v>
      </c>
      <c r="J120" s="11">
        <v>0.100519</v>
      </c>
      <c r="K120" s="11">
        <v>0.46530700000000003</v>
      </c>
      <c r="L120" s="11"/>
      <c r="M120" s="11"/>
      <c r="N120" s="11">
        <v>233807.535</v>
      </c>
      <c r="O120" s="11">
        <v>231516.749626</v>
      </c>
      <c r="P120" s="11">
        <v>3966.6202579999999</v>
      </c>
      <c r="Q120" s="11">
        <v>3322.962434</v>
      </c>
      <c r="R120" s="11">
        <v>0.45584000000000002</v>
      </c>
      <c r="S120" s="11">
        <v>5.5118429999999998</v>
      </c>
      <c r="T120" s="11">
        <v>5.3141980000000002</v>
      </c>
      <c r="U120" s="11">
        <v>7.4383559999999997</v>
      </c>
      <c r="V120" s="11">
        <v>35.054555999999998</v>
      </c>
      <c r="W120" s="11">
        <v>7.1</v>
      </c>
      <c r="X120" s="12">
        <v>42858</v>
      </c>
      <c r="Y120" s="11">
        <v>2</v>
      </c>
      <c r="Z120" s="11" t="s">
        <v>446</v>
      </c>
      <c r="AA120" s="11" t="s">
        <v>415</v>
      </c>
      <c r="AB120" s="11">
        <v>0.25272899999999998</v>
      </c>
      <c r="AC120" s="11">
        <v>0.42984800000000001</v>
      </c>
      <c r="AD120" s="11"/>
      <c r="AE120" s="11"/>
      <c r="AF120" s="11">
        <v>-0.54092799999999996</v>
      </c>
      <c r="AG120" s="11">
        <v>-1.9889829999999999</v>
      </c>
      <c r="AH120" s="11"/>
      <c r="AI120" s="11"/>
      <c r="AJ120" s="11">
        <v>100</v>
      </c>
      <c r="AK120" s="11" t="s">
        <v>44</v>
      </c>
      <c r="AL120" s="11" t="s">
        <v>416</v>
      </c>
      <c r="AM120" s="11">
        <v>0.45584000000000002</v>
      </c>
      <c r="AN120" s="11">
        <v>0.45584000000000002</v>
      </c>
      <c r="AO120" s="11"/>
    </row>
    <row r="121" spans="1:41" x14ac:dyDescent="0.2">
      <c r="A121" s="11" t="s">
        <v>448</v>
      </c>
      <c r="B121" s="11" t="s">
        <v>449</v>
      </c>
      <c r="C121" s="11" t="s">
        <v>450</v>
      </c>
      <c r="D121" s="11" t="s">
        <v>41</v>
      </c>
      <c r="E121" s="12">
        <v>46281</v>
      </c>
      <c r="F121" s="11" t="s">
        <v>846</v>
      </c>
      <c r="G121" s="11">
        <v>101.8</v>
      </c>
      <c r="H121" s="11">
        <v>1.3801369999999999</v>
      </c>
      <c r="I121" s="11">
        <v>117.285714</v>
      </c>
      <c r="J121" s="11">
        <v>6.1823999999999997E-2</v>
      </c>
      <c r="K121" s="11">
        <v>0.58740999999999999</v>
      </c>
      <c r="L121" s="11">
        <v>17.285713999999999</v>
      </c>
      <c r="M121" s="11">
        <v>12.856638999999999</v>
      </c>
      <c r="N121" s="11">
        <v>350000</v>
      </c>
      <c r="O121" s="11">
        <v>361130.479452</v>
      </c>
      <c r="P121" s="11">
        <v>6187.3168050000004</v>
      </c>
      <c r="Q121" s="11">
        <v>5183.3097129999996</v>
      </c>
      <c r="R121" s="11">
        <v>0.71104000000000001</v>
      </c>
      <c r="S121" s="11">
        <v>6.4771599999999996</v>
      </c>
      <c r="T121" s="11">
        <v>6.2434459999999996</v>
      </c>
      <c r="U121" s="11">
        <v>7.4867150000000002</v>
      </c>
      <c r="V121" s="11">
        <v>50.260547000000003</v>
      </c>
      <c r="W121" s="11">
        <v>7.75</v>
      </c>
      <c r="X121" s="12">
        <v>42550</v>
      </c>
      <c r="Y121" s="11">
        <v>2</v>
      </c>
      <c r="Z121" s="11" t="s">
        <v>449</v>
      </c>
      <c r="AA121" s="11" t="s">
        <v>415</v>
      </c>
      <c r="AB121" s="11">
        <v>0.213975</v>
      </c>
      <c r="AC121" s="11">
        <v>0.55190799999999995</v>
      </c>
      <c r="AD121" s="11">
        <v>29.377749999999999</v>
      </c>
      <c r="AE121" s="11">
        <v>18.033836999999998</v>
      </c>
      <c r="AF121" s="11">
        <v>-0.57937499999999997</v>
      </c>
      <c r="AG121" s="11">
        <v>-1.8698619999999999</v>
      </c>
      <c r="AH121" s="11">
        <v>14.491234</v>
      </c>
      <c r="AI121" s="11">
        <v>4.2943699999999998</v>
      </c>
      <c r="AJ121" s="11">
        <v>100</v>
      </c>
      <c r="AK121" s="11" t="s">
        <v>44</v>
      </c>
      <c r="AL121" s="11" t="s">
        <v>416</v>
      </c>
      <c r="AM121" s="11">
        <v>0.71104000000000001</v>
      </c>
      <c r="AN121" s="11">
        <v>0.71104000000000001</v>
      </c>
      <c r="AO121" s="11"/>
    </row>
    <row r="122" spans="1:41" x14ac:dyDescent="0.2">
      <c r="A122" s="11" t="s">
        <v>451</v>
      </c>
      <c r="B122" s="11" t="s">
        <v>452</v>
      </c>
      <c r="C122" s="11" t="s">
        <v>453</v>
      </c>
      <c r="D122" s="11" t="s">
        <v>41</v>
      </c>
      <c r="E122" s="12">
        <v>46421</v>
      </c>
      <c r="F122" s="11" t="s">
        <v>846</v>
      </c>
      <c r="G122" s="11">
        <v>104.6</v>
      </c>
      <c r="H122" s="11">
        <v>2.3891779999999998</v>
      </c>
      <c r="I122" s="11">
        <v>163.43856400000001</v>
      </c>
      <c r="J122" s="11">
        <v>1.5892E-2</v>
      </c>
      <c r="K122" s="11">
        <v>0.68809699999999996</v>
      </c>
      <c r="L122" s="11">
        <v>16.517319000000001</v>
      </c>
      <c r="M122" s="11">
        <v>12.311977000000001</v>
      </c>
      <c r="N122" s="11">
        <v>349999.70299999998</v>
      </c>
      <c r="O122" s="11">
        <v>374461.80553000001</v>
      </c>
      <c r="P122" s="11">
        <v>6415.7249359999996</v>
      </c>
      <c r="Q122" s="11">
        <v>5374.6543819999997</v>
      </c>
      <c r="R122" s="11">
        <v>0.73728800000000005</v>
      </c>
      <c r="S122" s="11">
        <v>6.5554300000000003</v>
      </c>
      <c r="T122" s="11">
        <v>6.3194080000000001</v>
      </c>
      <c r="U122" s="11">
        <v>7.4697649999999998</v>
      </c>
      <c r="V122" s="11">
        <v>52.482705000000003</v>
      </c>
      <c r="W122" s="11">
        <v>8.15</v>
      </c>
      <c r="X122" s="12">
        <v>40961</v>
      </c>
      <c r="Y122" s="11">
        <v>2</v>
      </c>
      <c r="Z122" s="11" t="s">
        <v>452</v>
      </c>
      <c r="AA122" s="11" t="s">
        <v>415</v>
      </c>
      <c r="AB122" s="11">
        <v>0.16797400000000001</v>
      </c>
      <c r="AC122" s="11">
        <v>0.65256000000000003</v>
      </c>
      <c r="AD122" s="11">
        <v>28.530134</v>
      </c>
      <c r="AE122" s="11">
        <v>17.464189999999999</v>
      </c>
      <c r="AF122" s="11">
        <v>-0.62501200000000001</v>
      </c>
      <c r="AG122" s="11">
        <v>-1.7716350000000001</v>
      </c>
      <c r="AH122" s="11">
        <v>13.741147</v>
      </c>
      <c r="AI122" s="11">
        <v>3.791032</v>
      </c>
      <c r="AJ122" s="11">
        <v>100</v>
      </c>
      <c r="AK122" s="11" t="s">
        <v>44</v>
      </c>
      <c r="AL122" s="11" t="s">
        <v>416</v>
      </c>
      <c r="AM122" s="11">
        <v>0.73728800000000005</v>
      </c>
      <c r="AN122" s="11">
        <v>0.73728800000000005</v>
      </c>
      <c r="AO122" s="11"/>
    </row>
    <row r="123" spans="1:41" x14ac:dyDescent="0.2">
      <c r="A123" s="11" t="s">
        <v>454</v>
      </c>
      <c r="B123" s="11" t="s">
        <v>455</v>
      </c>
      <c r="C123" s="11" t="s">
        <v>456</v>
      </c>
      <c r="D123" s="11" t="s">
        <v>41</v>
      </c>
      <c r="E123" s="12">
        <v>46771</v>
      </c>
      <c r="F123" s="11" t="s">
        <v>847</v>
      </c>
      <c r="G123" s="11">
        <v>96.9</v>
      </c>
      <c r="H123" s="11">
        <v>2.3371230000000001</v>
      </c>
      <c r="I123" s="11">
        <v>137.53660300000001</v>
      </c>
      <c r="J123" s="11">
        <v>-4.2393E-2</v>
      </c>
      <c r="K123" s="11">
        <v>0.30568400000000001</v>
      </c>
      <c r="L123" s="11">
        <v>17.567025999999998</v>
      </c>
      <c r="M123" s="11">
        <v>12.99741</v>
      </c>
      <c r="N123" s="11">
        <v>241072.408</v>
      </c>
      <c r="O123" s="11">
        <v>239233.32274</v>
      </c>
      <c r="P123" s="11">
        <v>4098.8297640000001</v>
      </c>
      <c r="Q123" s="11">
        <v>3433.718492</v>
      </c>
      <c r="R123" s="11">
        <v>0.47103299999999998</v>
      </c>
      <c r="S123" s="11">
        <v>7.1909689999999999</v>
      </c>
      <c r="T123" s="11">
        <v>6.9306939999999999</v>
      </c>
      <c r="U123" s="11">
        <v>7.5108030000000001</v>
      </c>
      <c r="V123" s="11">
        <v>63.197605000000003</v>
      </c>
      <c r="W123" s="11">
        <v>7.05</v>
      </c>
      <c r="X123" s="12">
        <v>41297</v>
      </c>
      <c r="Y123" s="11">
        <v>2</v>
      </c>
      <c r="Z123" s="11" t="s">
        <v>455</v>
      </c>
      <c r="AA123" s="11" t="s">
        <v>415</v>
      </c>
      <c r="AB123" s="11">
        <v>0.109599</v>
      </c>
      <c r="AC123" s="11">
        <v>0.27028099999999999</v>
      </c>
      <c r="AD123" s="11">
        <v>29.688065000000002</v>
      </c>
      <c r="AE123" s="11">
        <v>18.181066000000001</v>
      </c>
      <c r="AF123" s="11">
        <v>-0.68292399999999998</v>
      </c>
      <c r="AG123" s="11">
        <v>-2.1447059999999998</v>
      </c>
      <c r="AH123" s="11">
        <v>14.765844</v>
      </c>
      <c r="AI123" s="11">
        <v>4.424461</v>
      </c>
      <c r="AJ123" s="11">
        <v>100</v>
      </c>
      <c r="AK123" s="11" t="s">
        <v>44</v>
      </c>
      <c r="AL123" s="11" t="s">
        <v>416</v>
      </c>
      <c r="AM123" s="11">
        <v>0.47103299999999998</v>
      </c>
      <c r="AN123" s="11">
        <v>0.47103299999999998</v>
      </c>
      <c r="AO123" s="11"/>
    </row>
    <row r="124" spans="1:41" x14ac:dyDescent="0.2">
      <c r="A124" s="11" t="s">
        <v>457</v>
      </c>
      <c r="B124" s="11" t="s">
        <v>458</v>
      </c>
      <c r="C124" s="11" t="s">
        <v>459</v>
      </c>
      <c r="D124" s="11" t="s">
        <v>41</v>
      </c>
      <c r="E124" s="12">
        <v>48108</v>
      </c>
      <c r="F124" s="11" t="s">
        <v>847</v>
      </c>
      <c r="G124" s="11">
        <v>107.75</v>
      </c>
      <c r="H124" s="11">
        <v>1.3506849999999999</v>
      </c>
      <c r="I124" s="11">
        <v>118.926678</v>
      </c>
      <c r="J124" s="11">
        <v>-2.7639E-2</v>
      </c>
      <c r="K124" s="11">
        <v>0.14283599999999999</v>
      </c>
      <c r="L124" s="11">
        <v>18.869871</v>
      </c>
      <c r="M124" s="11">
        <v>14.97517</v>
      </c>
      <c r="N124" s="11">
        <v>249999.91500000001</v>
      </c>
      <c r="O124" s="11">
        <v>272751.61959299998</v>
      </c>
      <c r="P124" s="11">
        <v>4673.1050839999998</v>
      </c>
      <c r="Q124" s="11">
        <v>3914.8069730000002</v>
      </c>
      <c r="R124" s="11">
        <v>0.53702799999999995</v>
      </c>
      <c r="S124" s="11">
        <v>8.4759480000000007</v>
      </c>
      <c r="T124" s="11">
        <v>8.1654300000000006</v>
      </c>
      <c r="U124" s="11">
        <v>7.6056549999999996</v>
      </c>
      <c r="V124" s="11">
        <v>93.229479999999995</v>
      </c>
      <c r="W124" s="11">
        <v>8.5</v>
      </c>
      <c r="X124" s="12">
        <v>42418</v>
      </c>
      <c r="Y124" s="11">
        <v>2</v>
      </c>
      <c r="Z124" s="11" t="s">
        <v>458</v>
      </c>
      <c r="AA124" s="11" t="s">
        <v>415</v>
      </c>
      <c r="AB124" s="11">
        <v>0.124376</v>
      </c>
      <c r="AC124" s="11">
        <v>0.107491</v>
      </c>
      <c r="AD124" s="11">
        <v>31.125230999999999</v>
      </c>
      <c r="AE124" s="11">
        <v>20.249554</v>
      </c>
      <c r="AF124" s="11">
        <v>-0.668265</v>
      </c>
      <c r="AG124" s="11">
        <v>-2.3035760000000001</v>
      </c>
      <c r="AH124" s="11">
        <v>16.037645999999999</v>
      </c>
      <c r="AI124" s="11">
        <v>6.2521719999999998</v>
      </c>
      <c r="AJ124" s="11">
        <v>100</v>
      </c>
      <c r="AK124" s="11" t="s">
        <v>44</v>
      </c>
      <c r="AL124" s="11" t="s">
        <v>416</v>
      </c>
      <c r="AM124" s="11">
        <v>0.53702799999999995</v>
      </c>
      <c r="AN124" s="11">
        <v>0.53702799999999995</v>
      </c>
      <c r="AO124" s="11"/>
    </row>
    <row r="125" spans="1:41" x14ac:dyDescent="0.2">
      <c r="A125" s="11" t="s">
        <v>460</v>
      </c>
      <c r="B125" s="11" t="s">
        <v>461</v>
      </c>
      <c r="C125" s="11" t="s">
        <v>462</v>
      </c>
      <c r="D125" s="11" t="s">
        <v>41</v>
      </c>
      <c r="E125" s="12">
        <v>48661</v>
      </c>
      <c r="F125" s="11" t="s">
        <v>847</v>
      </c>
      <c r="G125" s="11">
        <v>99.965000000000003</v>
      </c>
      <c r="H125" s="11">
        <v>1.07589</v>
      </c>
      <c r="I125" s="11">
        <v>105.270067</v>
      </c>
      <c r="J125" s="11">
        <v>6.2727000000000005E-2</v>
      </c>
      <c r="K125" s="11">
        <v>0.211919</v>
      </c>
      <c r="L125" s="11"/>
      <c r="M125" s="11"/>
      <c r="N125" s="11">
        <v>265740.84299999999</v>
      </c>
      <c r="O125" s="11">
        <v>268506.91395299998</v>
      </c>
      <c r="P125" s="11">
        <v>4600.379739</v>
      </c>
      <c r="Q125" s="11">
        <v>3853.8826669999999</v>
      </c>
      <c r="R125" s="11">
        <v>0.528671</v>
      </c>
      <c r="S125" s="11">
        <v>9.1407740000000004</v>
      </c>
      <c r="T125" s="11">
        <v>8.8008769999999998</v>
      </c>
      <c r="U125" s="11">
        <v>7.7241799999999996</v>
      </c>
      <c r="V125" s="11">
        <v>109.72966</v>
      </c>
      <c r="W125" s="11">
        <v>7.7</v>
      </c>
      <c r="X125" s="12">
        <v>42809</v>
      </c>
      <c r="Y125" s="11">
        <v>2</v>
      </c>
      <c r="Z125" s="11" t="s">
        <v>461</v>
      </c>
      <c r="AA125" s="11" t="s">
        <v>415</v>
      </c>
      <c r="AB125" s="11">
        <v>0.21487999999999999</v>
      </c>
      <c r="AC125" s="11">
        <v>0.17654900000000001</v>
      </c>
      <c r="AD125" s="11"/>
      <c r="AE125" s="11"/>
      <c r="AF125" s="11">
        <v>-0.57847700000000002</v>
      </c>
      <c r="AG125" s="11">
        <v>-2.2361810000000002</v>
      </c>
      <c r="AH125" s="11"/>
      <c r="AI125" s="11"/>
      <c r="AJ125" s="11">
        <v>100</v>
      </c>
      <c r="AK125" s="11" t="s">
        <v>44</v>
      </c>
      <c r="AL125" s="11" t="s">
        <v>416</v>
      </c>
      <c r="AM125" s="11">
        <v>0.528671</v>
      </c>
      <c r="AN125" s="11">
        <v>0.528671</v>
      </c>
      <c r="AO125" s="11"/>
    </row>
    <row r="126" spans="1:41" x14ac:dyDescent="0.2">
      <c r="A126" s="11" t="s">
        <v>463</v>
      </c>
      <c r="B126" s="11" t="s">
        <v>464</v>
      </c>
      <c r="C126" s="11" t="s">
        <v>465</v>
      </c>
      <c r="D126" s="11" t="s">
        <v>41</v>
      </c>
      <c r="E126" s="12">
        <v>43551</v>
      </c>
      <c r="F126" s="11" t="s">
        <v>843</v>
      </c>
      <c r="G126" s="11">
        <v>96.275000000000006</v>
      </c>
      <c r="H126" s="11">
        <v>1.852055</v>
      </c>
      <c r="I126" s="11">
        <v>126.313249</v>
      </c>
      <c r="J126" s="11">
        <v>6.1744E-2</v>
      </c>
      <c r="K126" s="11">
        <v>-0.44102599999999997</v>
      </c>
      <c r="L126" s="11">
        <v>7.2254069999999997</v>
      </c>
      <c r="M126" s="11">
        <v>5.8330640000000002</v>
      </c>
      <c r="N126" s="11">
        <v>7936.0590000000002</v>
      </c>
      <c r="O126" s="11">
        <v>7787.4209629999996</v>
      </c>
      <c r="P126" s="11">
        <v>1980.045758</v>
      </c>
      <c r="Q126" s="11">
        <v>1658.746551</v>
      </c>
      <c r="R126" s="11">
        <v>0.227545</v>
      </c>
      <c r="S126" s="11">
        <v>1.24533</v>
      </c>
      <c r="T126" s="11">
        <v>1.1661349999999999</v>
      </c>
      <c r="U126" s="11">
        <v>13.582426999999999</v>
      </c>
      <c r="V126" s="11">
        <v>1.9563740000000001</v>
      </c>
      <c r="W126" s="11">
        <v>10.4</v>
      </c>
      <c r="X126" s="12">
        <v>41731</v>
      </c>
      <c r="Y126" s="11">
        <v>2</v>
      </c>
      <c r="Z126" s="11" t="s">
        <v>464</v>
      </c>
      <c r="AA126" s="11" t="s">
        <v>466</v>
      </c>
      <c r="AB126" s="11">
        <v>-0.181227</v>
      </c>
      <c r="AC126" s="11">
        <v>-3.8938649999999999</v>
      </c>
      <c r="AD126" s="11">
        <v>-5.9277980000000001</v>
      </c>
      <c r="AE126" s="11">
        <v>-5.3437279999999996</v>
      </c>
      <c r="AF126" s="11">
        <v>-0.97144799999999998</v>
      </c>
      <c r="AG126" s="11">
        <v>-6.2085600000000003</v>
      </c>
      <c r="AH126" s="11">
        <v>-16.751973</v>
      </c>
      <c r="AI126" s="11">
        <v>-16.361981</v>
      </c>
      <c r="AJ126" s="11">
        <v>100</v>
      </c>
      <c r="AK126" s="11" t="s">
        <v>44</v>
      </c>
      <c r="AL126" s="11" t="s">
        <v>467</v>
      </c>
      <c r="AM126" s="11">
        <v>0.227545</v>
      </c>
      <c r="AN126" s="11">
        <v>0.227545</v>
      </c>
      <c r="AO126" s="11"/>
    </row>
    <row r="127" spans="1:41" x14ac:dyDescent="0.2">
      <c r="A127" s="11" t="s">
        <v>468</v>
      </c>
      <c r="B127" s="11" t="s">
        <v>469</v>
      </c>
      <c r="C127" s="11" t="s">
        <v>470</v>
      </c>
      <c r="D127" s="11" t="s">
        <v>41</v>
      </c>
      <c r="E127" s="12">
        <v>43656</v>
      </c>
      <c r="F127" s="11" t="s">
        <v>843</v>
      </c>
      <c r="G127" s="11">
        <v>92.784999999999997</v>
      </c>
      <c r="H127" s="11">
        <v>3.3068490000000001</v>
      </c>
      <c r="I127" s="11">
        <v>125.079218</v>
      </c>
      <c r="J127" s="11">
        <v>0.21385799999999999</v>
      </c>
      <c r="K127" s="11">
        <v>-0.83621100000000004</v>
      </c>
      <c r="L127" s="11">
        <v>6.3502980000000004</v>
      </c>
      <c r="M127" s="11">
        <v>4.928159</v>
      </c>
      <c r="N127" s="11">
        <v>15670.921200000001</v>
      </c>
      <c r="O127" s="11">
        <v>15058.477986</v>
      </c>
      <c r="P127" s="11">
        <v>3828.7997519999999</v>
      </c>
      <c r="Q127" s="11">
        <v>3207.505866</v>
      </c>
      <c r="R127" s="11">
        <v>0.440002</v>
      </c>
      <c r="S127" s="11">
        <v>1.483439</v>
      </c>
      <c r="T127" s="11">
        <v>1.3885339999999999</v>
      </c>
      <c r="U127" s="11">
        <v>13.669795000000001</v>
      </c>
      <c r="V127" s="11">
        <v>2.6951100000000001</v>
      </c>
      <c r="W127" s="11">
        <v>8.5</v>
      </c>
      <c r="X127" s="12">
        <v>41836</v>
      </c>
      <c r="Y127" s="11">
        <v>2</v>
      </c>
      <c r="Z127" s="11" t="s">
        <v>469</v>
      </c>
      <c r="AA127" s="11" t="s">
        <v>466</v>
      </c>
      <c r="AB127" s="11">
        <v>-2.9481E-2</v>
      </c>
      <c r="AC127" s="11">
        <v>-4.2753439999999996</v>
      </c>
      <c r="AD127" s="11">
        <v>-6.6955580000000001</v>
      </c>
      <c r="AE127" s="11">
        <v>-6.1530670000000001</v>
      </c>
      <c r="AF127" s="11">
        <v>-0.82090399999999997</v>
      </c>
      <c r="AG127" s="11">
        <v>-6.580851</v>
      </c>
      <c r="AH127" s="11">
        <v>-17.431391999999999</v>
      </c>
      <c r="AI127" s="11">
        <v>-17.077110999999999</v>
      </c>
      <c r="AJ127" s="11">
        <v>100</v>
      </c>
      <c r="AK127" s="11" t="s">
        <v>44</v>
      </c>
      <c r="AL127" s="11" t="s">
        <v>467</v>
      </c>
      <c r="AM127" s="11">
        <v>0.440002</v>
      </c>
      <c r="AN127" s="11">
        <v>0.440002</v>
      </c>
      <c r="AO127" s="11"/>
    </row>
    <row r="128" spans="1:41" x14ac:dyDescent="0.2">
      <c r="A128" s="11" t="s">
        <v>471</v>
      </c>
      <c r="B128" s="11" t="s">
        <v>472</v>
      </c>
      <c r="C128" s="11" t="s">
        <v>473</v>
      </c>
      <c r="D128" s="11" t="s">
        <v>41</v>
      </c>
      <c r="E128" s="12">
        <v>43845</v>
      </c>
      <c r="F128" s="11" t="s">
        <v>843</v>
      </c>
      <c r="G128" s="11">
        <v>94.4</v>
      </c>
      <c r="H128" s="11">
        <v>3.883562</v>
      </c>
      <c r="I128" s="11">
        <v>206.08455900000001</v>
      </c>
      <c r="J128" s="11">
        <v>8.7988999999999998E-2</v>
      </c>
      <c r="K128" s="11">
        <v>-1.408102</v>
      </c>
      <c r="L128" s="11">
        <v>5.4660859999999998</v>
      </c>
      <c r="M128" s="11">
        <v>3.5363340000000001</v>
      </c>
      <c r="N128" s="11">
        <v>11626.3722</v>
      </c>
      <c r="O128" s="11">
        <v>11426.812688</v>
      </c>
      <c r="P128" s="11">
        <v>2905.4050240000001</v>
      </c>
      <c r="Q128" s="11">
        <v>2433.9490860000001</v>
      </c>
      <c r="R128" s="11">
        <v>0.33388600000000002</v>
      </c>
      <c r="S128" s="11">
        <v>1.881008</v>
      </c>
      <c r="T128" s="11">
        <v>1.760886</v>
      </c>
      <c r="U128" s="11">
        <v>13.643418</v>
      </c>
      <c r="V128" s="11">
        <v>4.2044589999999999</v>
      </c>
      <c r="W128" s="11">
        <v>10.5</v>
      </c>
      <c r="X128" s="12">
        <v>40205</v>
      </c>
      <c r="Y128" s="11">
        <v>2</v>
      </c>
      <c r="Z128" s="11" t="s">
        <v>474</v>
      </c>
      <c r="AA128" s="11" t="s">
        <v>466</v>
      </c>
      <c r="AB128" s="11">
        <v>-0.15504499999999999</v>
      </c>
      <c r="AC128" s="11">
        <v>-4.8274020000000002</v>
      </c>
      <c r="AD128" s="11">
        <v>-7.4713060000000002</v>
      </c>
      <c r="AE128" s="11">
        <v>-7.3979049999999997</v>
      </c>
      <c r="AF128" s="11">
        <v>-0.94547400000000004</v>
      </c>
      <c r="AG128" s="11">
        <v>-7.1196130000000002</v>
      </c>
      <c r="AH128" s="11">
        <v>-18.11788</v>
      </c>
      <c r="AI128" s="11">
        <v>-18.177046000000001</v>
      </c>
      <c r="AJ128" s="11">
        <v>100</v>
      </c>
      <c r="AK128" s="11" t="s">
        <v>44</v>
      </c>
      <c r="AL128" s="11" t="s">
        <v>467</v>
      </c>
      <c r="AM128" s="11">
        <v>0.33388600000000002</v>
      </c>
      <c r="AN128" s="11">
        <v>0.33388600000000002</v>
      </c>
      <c r="AO128" s="11"/>
    </row>
    <row r="129" spans="1:41" x14ac:dyDescent="0.2">
      <c r="A129" s="11" t="s">
        <v>475</v>
      </c>
      <c r="B129" s="11" t="s">
        <v>476</v>
      </c>
      <c r="C129" s="11" t="s">
        <v>477</v>
      </c>
      <c r="D129" s="11" t="s">
        <v>41</v>
      </c>
      <c r="E129" s="12">
        <v>43866</v>
      </c>
      <c r="F129" s="11" t="s">
        <v>843</v>
      </c>
      <c r="G129" s="11">
        <v>88.275000000000006</v>
      </c>
      <c r="H129" s="11">
        <v>2.3112330000000001</v>
      </c>
      <c r="I129" s="11">
        <v>115.387525</v>
      </c>
      <c r="J129" s="11">
        <v>3.9595999999999999E-2</v>
      </c>
      <c r="K129" s="11">
        <v>-1.7615449999999999</v>
      </c>
      <c r="L129" s="11">
        <v>5.1447039999999999</v>
      </c>
      <c r="M129" s="11">
        <v>3.8941919999999999</v>
      </c>
      <c r="N129" s="11">
        <v>13443.7</v>
      </c>
      <c r="O129" s="11">
        <v>12178.141389</v>
      </c>
      <c r="P129" s="11">
        <v>3096.4394130000001</v>
      </c>
      <c r="Q129" s="11">
        <v>2593.9845970000001</v>
      </c>
      <c r="R129" s="11">
        <v>0.35583999999999999</v>
      </c>
      <c r="S129" s="11">
        <v>1.998016</v>
      </c>
      <c r="T129" s="11">
        <v>1.8688929999999999</v>
      </c>
      <c r="U129" s="11">
        <v>13.818125999999999</v>
      </c>
      <c r="V129" s="11">
        <v>4.5889730000000002</v>
      </c>
      <c r="W129" s="11">
        <v>7.4</v>
      </c>
      <c r="X129" s="12">
        <v>42046</v>
      </c>
      <c r="Y129" s="11">
        <v>2</v>
      </c>
      <c r="Z129" s="11" t="s">
        <v>476</v>
      </c>
      <c r="AA129" s="11" t="s">
        <v>466</v>
      </c>
      <c r="AB129" s="11">
        <v>-0.203321</v>
      </c>
      <c r="AC129" s="11">
        <v>-5.1685869999999996</v>
      </c>
      <c r="AD129" s="11">
        <v>-7.7532639999999997</v>
      </c>
      <c r="AE129" s="11">
        <v>-7.0778400000000001</v>
      </c>
      <c r="AF129" s="11">
        <v>-0.993367</v>
      </c>
      <c r="AG129" s="11">
        <v>-7.4525810000000003</v>
      </c>
      <c r="AH129" s="11">
        <v>-18.367395999999999</v>
      </c>
      <c r="AI129" s="11">
        <v>-17.894238000000001</v>
      </c>
      <c r="AJ129" s="11">
        <v>100</v>
      </c>
      <c r="AK129" s="11" t="s">
        <v>44</v>
      </c>
      <c r="AL129" s="11" t="s">
        <v>467</v>
      </c>
      <c r="AM129" s="11">
        <v>0.35583999999999999</v>
      </c>
      <c r="AN129" s="11">
        <v>0.35583999999999999</v>
      </c>
      <c r="AO129" s="11"/>
    </row>
    <row r="130" spans="1:41" x14ac:dyDescent="0.2">
      <c r="A130" s="11" t="s">
        <v>478</v>
      </c>
      <c r="B130" s="11" t="s">
        <v>479</v>
      </c>
      <c r="C130" s="11" t="s">
        <v>480</v>
      </c>
      <c r="D130" s="11" t="s">
        <v>41</v>
      </c>
      <c r="E130" s="12">
        <v>44020</v>
      </c>
      <c r="F130" s="11" t="s">
        <v>843</v>
      </c>
      <c r="G130" s="11">
        <v>90.65</v>
      </c>
      <c r="H130" s="11">
        <v>3.6569859999999998</v>
      </c>
      <c r="I130" s="11">
        <v>112.886273</v>
      </c>
      <c r="J130" s="11">
        <v>-2.4133000000000002E-2</v>
      </c>
      <c r="K130" s="11">
        <v>-2.3381980000000002</v>
      </c>
      <c r="L130" s="11">
        <v>4.5655130000000002</v>
      </c>
      <c r="M130" s="11">
        <v>3.0799089999999998</v>
      </c>
      <c r="N130" s="11">
        <v>14883.0488</v>
      </c>
      <c r="O130" s="11">
        <v>14035.754793</v>
      </c>
      <c r="P130" s="11">
        <v>3568.7600379999999</v>
      </c>
      <c r="Q130" s="11">
        <v>2989.6624259999999</v>
      </c>
      <c r="R130" s="11">
        <v>0.41011799999999998</v>
      </c>
      <c r="S130" s="11">
        <v>2.2693650000000001</v>
      </c>
      <c r="T130" s="11">
        <v>2.122716</v>
      </c>
      <c r="U130" s="11">
        <v>13.817105</v>
      </c>
      <c r="V130" s="11">
        <v>5.9594440000000004</v>
      </c>
      <c r="W130" s="11">
        <v>9.4</v>
      </c>
      <c r="X130" s="12">
        <v>42200</v>
      </c>
      <c r="Y130" s="11">
        <v>2</v>
      </c>
      <c r="Z130" s="11" t="s">
        <v>479</v>
      </c>
      <c r="AA130" s="11" t="s">
        <v>466</v>
      </c>
      <c r="AB130" s="11">
        <v>-0.26689499999999999</v>
      </c>
      <c r="AC130" s="11">
        <v>-5.7252400000000003</v>
      </c>
      <c r="AD130" s="11">
        <v>-8.2614059999999991</v>
      </c>
      <c r="AE130" s="11">
        <v>-7.8061280000000002</v>
      </c>
      <c r="AF130" s="11">
        <v>-1.056438</v>
      </c>
      <c r="AG130" s="11">
        <v>-7.9958270000000002</v>
      </c>
      <c r="AH130" s="11">
        <v>-18.817070000000001</v>
      </c>
      <c r="AI130" s="11">
        <v>-18.537751</v>
      </c>
      <c r="AJ130" s="11">
        <v>100</v>
      </c>
      <c r="AK130" s="11" t="s">
        <v>44</v>
      </c>
      <c r="AL130" s="11" t="s">
        <v>467</v>
      </c>
      <c r="AM130" s="11">
        <v>0.41011799999999998</v>
      </c>
      <c r="AN130" s="11">
        <v>0.41011799999999998</v>
      </c>
      <c r="AO130" s="11"/>
    </row>
    <row r="131" spans="1:41" x14ac:dyDescent="0.2">
      <c r="A131" s="11" t="s">
        <v>481</v>
      </c>
      <c r="B131" s="11" t="s">
        <v>482</v>
      </c>
      <c r="C131" s="11" t="s">
        <v>483</v>
      </c>
      <c r="D131" s="11" t="s">
        <v>41</v>
      </c>
      <c r="E131" s="12">
        <v>44244</v>
      </c>
      <c r="F131" s="11" t="s">
        <v>844</v>
      </c>
      <c r="G131" s="11">
        <v>92.45</v>
      </c>
      <c r="H131" s="11">
        <v>2.9315069999999999</v>
      </c>
      <c r="I131" s="11">
        <v>102.330355</v>
      </c>
      <c r="J131" s="11">
        <v>-6.5097000000000002E-2</v>
      </c>
      <c r="K131" s="11">
        <v>-3.0656270000000001</v>
      </c>
      <c r="L131" s="11">
        <v>3.650366</v>
      </c>
      <c r="M131" s="11">
        <v>2.0362360000000002</v>
      </c>
      <c r="N131" s="11">
        <v>16073.5046</v>
      </c>
      <c r="O131" s="11">
        <v>15331.150890999999</v>
      </c>
      <c r="P131" s="11">
        <v>3898.1301290000001</v>
      </c>
      <c r="Q131" s="11">
        <v>3265.5861009999999</v>
      </c>
      <c r="R131" s="11">
        <v>0.44796900000000001</v>
      </c>
      <c r="S131" s="11">
        <v>2.707274</v>
      </c>
      <c r="T131" s="11">
        <v>2.5337529999999999</v>
      </c>
      <c r="U131" s="11">
        <v>13.696740999999999</v>
      </c>
      <c r="V131" s="11">
        <v>8.38767</v>
      </c>
      <c r="W131" s="11">
        <v>10.7</v>
      </c>
      <c r="X131" s="12">
        <v>42424</v>
      </c>
      <c r="Y131" s="11">
        <v>2</v>
      </c>
      <c r="Z131" s="11" t="s">
        <v>482</v>
      </c>
      <c r="AA131" s="11" t="s">
        <v>466</v>
      </c>
      <c r="AB131" s="11">
        <v>-0.307759</v>
      </c>
      <c r="AC131" s="11">
        <v>-6.4274420000000001</v>
      </c>
      <c r="AD131" s="11">
        <v>-9.0642940000000003</v>
      </c>
      <c r="AE131" s="11">
        <v>-8.7395809999999994</v>
      </c>
      <c r="AF131" s="11">
        <v>-1.0969789999999999</v>
      </c>
      <c r="AG131" s="11">
        <v>-8.6811159999999994</v>
      </c>
      <c r="AH131" s="11">
        <v>-19.527574999999999</v>
      </c>
      <c r="AI131" s="11">
        <v>-19.362548</v>
      </c>
      <c r="AJ131" s="11">
        <v>100</v>
      </c>
      <c r="AK131" s="11" t="s">
        <v>44</v>
      </c>
      <c r="AL131" s="11" t="s">
        <v>467</v>
      </c>
      <c r="AM131" s="11">
        <v>0.44796900000000001</v>
      </c>
      <c r="AN131" s="11">
        <v>0.44796900000000001</v>
      </c>
      <c r="AO131" s="11"/>
    </row>
    <row r="132" spans="1:41" x14ac:dyDescent="0.2">
      <c r="A132" s="11" t="s">
        <v>484</v>
      </c>
      <c r="B132" s="11" t="s">
        <v>485</v>
      </c>
      <c r="C132" s="11" t="s">
        <v>486</v>
      </c>
      <c r="D132" s="11" t="s">
        <v>41</v>
      </c>
      <c r="E132" s="12">
        <v>44461</v>
      </c>
      <c r="F132" s="11" t="s">
        <v>844</v>
      </c>
      <c r="G132" s="11">
        <v>87.575000000000003</v>
      </c>
      <c r="H132" s="11">
        <v>1.6383559999999999</v>
      </c>
      <c r="I132" s="11">
        <v>101.822597</v>
      </c>
      <c r="J132" s="11">
        <v>-0.111402</v>
      </c>
      <c r="K132" s="11">
        <v>-3.4347449999999999</v>
      </c>
      <c r="L132" s="11">
        <v>1.822597</v>
      </c>
      <c r="M132" s="11">
        <v>1.8418669999999999</v>
      </c>
      <c r="N132" s="11">
        <v>15391.698125999999</v>
      </c>
      <c r="O132" s="11">
        <v>13731.450468999999</v>
      </c>
      <c r="P132" s="11">
        <v>3491.3869920000002</v>
      </c>
      <c r="Q132" s="11">
        <v>2924.8445940000001</v>
      </c>
      <c r="R132" s="11">
        <v>0.401227</v>
      </c>
      <c r="S132" s="11">
        <v>3.2051270000000001</v>
      </c>
      <c r="T132" s="11">
        <v>3.0025680000000001</v>
      </c>
      <c r="U132" s="11">
        <v>13.492421</v>
      </c>
      <c r="V132" s="11">
        <v>11.494621</v>
      </c>
      <c r="W132" s="11">
        <v>9.1999999999999993</v>
      </c>
      <c r="X132" s="12">
        <v>42641</v>
      </c>
      <c r="Y132" s="11">
        <v>2</v>
      </c>
      <c r="Z132" s="11" t="s">
        <v>485</v>
      </c>
      <c r="AA132" s="11" t="s">
        <v>466</v>
      </c>
      <c r="AB132" s="11">
        <v>-0.35395100000000002</v>
      </c>
      <c r="AC132" s="11">
        <v>-6.7837579999999997</v>
      </c>
      <c r="AD132" s="11">
        <v>-10.667852</v>
      </c>
      <c r="AE132" s="11">
        <v>-8.9134229999999999</v>
      </c>
      <c r="AF132" s="11">
        <v>-1.142806</v>
      </c>
      <c r="AG132" s="11">
        <v>-9.0288500000000003</v>
      </c>
      <c r="AH132" s="11">
        <v>-20.946624</v>
      </c>
      <c r="AI132" s="11">
        <v>-19.516154</v>
      </c>
      <c r="AJ132" s="11">
        <v>100</v>
      </c>
      <c r="AK132" s="11" t="s">
        <v>44</v>
      </c>
      <c r="AL132" s="11" t="s">
        <v>467</v>
      </c>
      <c r="AM132" s="11">
        <v>0.401227</v>
      </c>
      <c r="AN132" s="11">
        <v>0.401227</v>
      </c>
      <c r="AO132" s="11"/>
    </row>
    <row r="133" spans="1:41" x14ac:dyDescent="0.2">
      <c r="A133" s="11" t="s">
        <v>487</v>
      </c>
      <c r="B133" s="11" t="s">
        <v>488</v>
      </c>
      <c r="C133" s="11" t="s">
        <v>489</v>
      </c>
      <c r="D133" s="11" t="s">
        <v>41</v>
      </c>
      <c r="E133" s="12">
        <v>44573</v>
      </c>
      <c r="F133" s="11" t="s">
        <v>844</v>
      </c>
      <c r="G133" s="11">
        <v>88.6</v>
      </c>
      <c r="H133" s="11">
        <v>3.5136989999999999</v>
      </c>
      <c r="I133" s="11">
        <v>151.25523899999999</v>
      </c>
      <c r="J133" s="11">
        <v>3.0530000000000002E-2</v>
      </c>
      <c r="K133" s="11">
        <v>-3.0537899999999998</v>
      </c>
      <c r="L133" s="11">
        <v>3.7426780000000002</v>
      </c>
      <c r="M133" s="11">
        <v>2.8335300000000001</v>
      </c>
      <c r="N133" s="11">
        <v>10585.5316</v>
      </c>
      <c r="O133" s="11">
        <v>9750.7246759999998</v>
      </c>
      <c r="P133" s="11">
        <v>2479.2394199999999</v>
      </c>
      <c r="Q133" s="11">
        <v>2076.936768</v>
      </c>
      <c r="R133" s="11">
        <v>0.284912</v>
      </c>
      <c r="S133" s="11">
        <v>3.3313950000000001</v>
      </c>
      <c r="T133" s="11">
        <v>3.1251739999999999</v>
      </c>
      <c r="U133" s="11">
        <v>13.197419999999999</v>
      </c>
      <c r="V133" s="11">
        <v>12.749763</v>
      </c>
      <c r="W133" s="11">
        <v>9.5</v>
      </c>
      <c r="X133" s="12">
        <v>40933</v>
      </c>
      <c r="Y133" s="11">
        <v>2</v>
      </c>
      <c r="Z133" s="11" t="s">
        <v>490</v>
      </c>
      <c r="AA133" s="11" t="s">
        <v>466</v>
      </c>
      <c r="AB133" s="11">
        <v>-0.212364</v>
      </c>
      <c r="AC133" s="11">
        <v>-6.4160149999999998</v>
      </c>
      <c r="AD133" s="11">
        <v>-8.9833049999999997</v>
      </c>
      <c r="AE133" s="11">
        <v>-8.0264869999999995</v>
      </c>
      <c r="AF133" s="11">
        <v>-1.0023390000000001</v>
      </c>
      <c r="AG133" s="11">
        <v>-8.6699649999999995</v>
      </c>
      <c r="AH133" s="11">
        <v>-19.455905000000001</v>
      </c>
      <c r="AI133" s="11">
        <v>-18.73246</v>
      </c>
      <c r="AJ133" s="11">
        <v>100</v>
      </c>
      <c r="AK133" s="11" t="s">
        <v>44</v>
      </c>
      <c r="AL133" s="11" t="s">
        <v>467</v>
      </c>
      <c r="AM133" s="11">
        <v>0.284912</v>
      </c>
      <c r="AN133" s="11">
        <v>0.284912</v>
      </c>
      <c r="AO133" s="11"/>
    </row>
    <row r="134" spans="1:41" x14ac:dyDescent="0.2">
      <c r="A134" s="11" t="s">
        <v>491</v>
      </c>
      <c r="B134" s="11" t="s">
        <v>492</v>
      </c>
      <c r="C134" s="11" t="s">
        <v>493</v>
      </c>
      <c r="D134" s="11" t="s">
        <v>41</v>
      </c>
      <c r="E134" s="12">
        <v>44622</v>
      </c>
      <c r="F134" s="11" t="s">
        <v>844</v>
      </c>
      <c r="G134" s="11">
        <v>92.9</v>
      </c>
      <c r="H134" s="11">
        <v>2.5917810000000001</v>
      </c>
      <c r="I134" s="11">
        <v>96.314856000000006</v>
      </c>
      <c r="J134" s="11">
        <v>-1.0052999999999999E-2</v>
      </c>
      <c r="K134" s="11">
        <v>-3.2134290000000001</v>
      </c>
      <c r="L134" s="11"/>
      <c r="M134" s="11"/>
      <c r="N134" s="11">
        <v>16836.204699999998</v>
      </c>
      <c r="O134" s="11">
        <v>16077.191691</v>
      </c>
      <c r="P134" s="11">
        <v>4087.8200059999999</v>
      </c>
      <c r="Q134" s="11">
        <v>3424.4952709999998</v>
      </c>
      <c r="R134" s="11">
        <v>0.46976800000000002</v>
      </c>
      <c r="S134" s="11">
        <v>3.388544</v>
      </c>
      <c r="T134" s="11">
        <v>3.1778909999999998</v>
      </c>
      <c r="U134" s="11">
        <v>13.257396999999999</v>
      </c>
      <c r="V134" s="11">
        <v>13.193216</v>
      </c>
      <c r="W134" s="11">
        <v>11</v>
      </c>
      <c r="X134" s="12">
        <v>42802</v>
      </c>
      <c r="Y134" s="11">
        <v>2</v>
      </c>
      <c r="Z134" s="11" t="s">
        <v>492</v>
      </c>
      <c r="AA134" s="11" t="s">
        <v>466</v>
      </c>
      <c r="AB134" s="11">
        <v>-0.25284899999999999</v>
      </c>
      <c r="AC134" s="11">
        <v>-6.5701179999999999</v>
      </c>
      <c r="AD134" s="11"/>
      <c r="AE134" s="11"/>
      <c r="AF134" s="11">
        <v>-1.0425040000000001</v>
      </c>
      <c r="AG134" s="11">
        <v>-8.8203560000000003</v>
      </c>
      <c r="AH134" s="11"/>
      <c r="AI134" s="11"/>
      <c r="AJ134" s="11">
        <v>100</v>
      </c>
      <c r="AK134" s="11" t="s">
        <v>44</v>
      </c>
      <c r="AL134" s="11" t="s">
        <v>467</v>
      </c>
      <c r="AM134" s="11">
        <v>0.46976800000000002</v>
      </c>
      <c r="AN134" s="11">
        <v>0.46976800000000002</v>
      </c>
      <c r="AO134" s="11"/>
    </row>
    <row r="135" spans="1:41" x14ac:dyDescent="0.2">
      <c r="A135" s="11" t="s">
        <v>494</v>
      </c>
      <c r="B135" s="11" t="s">
        <v>495</v>
      </c>
      <c r="C135" s="11" t="s">
        <v>496</v>
      </c>
      <c r="D135" s="11" t="s">
        <v>41</v>
      </c>
      <c r="E135" s="12">
        <v>44790</v>
      </c>
      <c r="F135" s="11" t="s">
        <v>844</v>
      </c>
      <c r="G135" s="11">
        <v>91.5</v>
      </c>
      <c r="H135" s="11">
        <v>2.9315069999999999</v>
      </c>
      <c r="I135" s="11">
        <v>93.859350000000006</v>
      </c>
      <c r="J135" s="11">
        <v>1.3727E-2</v>
      </c>
      <c r="K135" s="11">
        <v>-3.6154660000000001</v>
      </c>
      <c r="L135" s="11"/>
      <c r="M135" s="11"/>
      <c r="N135" s="11">
        <v>12427.2765</v>
      </c>
      <c r="O135" s="11">
        <v>11735.264459</v>
      </c>
      <c r="P135" s="11">
        <v>2983.832609</v>
      </c>
      <c r="Q135" s="11">
        <v>2499.6503379999999</v>
      </c>
      <c r="R135" s="11">
        <v>0.34289900000000001</v>
      </c>
      <c r="S135" s="11">
        <v>3.6641439999999998</v>
      </c>
      <c r="T135" s="11">
        <v>3.4372829999999999</v>
      </c>
      <c r="U135" s="11">
        <v>13.200024000000001</v>
      </c>
      <c r="V135" s="11">
        <v>15.539151</v>
      </c>
      <c r="W135" s="11">
        <v>10.7</v>
      </c>
      <c r="X135" s="12">
        <v>42970</v>
      </c>
      <c r="Y135" s="11">
        <v>2</v>
      </c>
      <c r="Z135" s="11" t="s">
        <v>495</v>
      </c>
      <c r="AA135" s="11" t="s">
        <v>466</v>
      </c>
      <c r="AB135" s="11">
        <v>-0.229126</v>
      </c>
      <c r="AC135" s="11">
        <v>-6.9582119999999996</v>
      </c>
      <c r="AD135" s="11"/>
      <c r="AE135" s="11"/>
      <c r="AF135" s="11">
        <v>-1.0189680000000001</v>
      </c>
      <c r="AG135" s="11">
        <v>-9.1991029999999991</v>
      </c>
      <c r="AH135" s="11"/>
      <c r="AI135" s="11"/>
      <c r="AJ135" s="11">
        <v>100</v>
      </c>
      <c r="AK135" s="11" t="s">
        <v>44</v>
      </c>
      <c r="AL135" s="11" t="s">
        <v>467</v>
      </c>
      <c r="AM135" s="11">
        <v>0.34289900000000001</v>
      </c>
      <c r="AN135" s="11">
        <v>0.34289900000000001</v>
      </c>
      <c r="AO135" s="11"/>
    </row>
    <row r="136" spans="1:41" x14ac:dyDescent="0.2">
      <c r="A136" s="11" t="s">
        <v>497</v>
      </c>
      <c r="B136" s="11" t="s">
        <v>498</v>
      </c>
      <c r="C136" s="11" t="s">
        <v>499</v>
      </c>
      <c r="D136" s="11" t="s">
        <v>41</v>
      </c>
      <c r="E136" s="12">
        <v>44818</v>
      </c>
      <c r="F136" s="11" t="s">
        <v>844</v>
      </c>
      <c r="G136" s="11">
        <v>84.3</v>
      </c>
      <c r="H136" s="11">
        <v>1.676712</v>
      </c>
      <c r="I136" s="11">
        <v>117.65186799999999</v>
      </c>
      <c r="J136" s="11">
        <v>-5.9810000000000002E-3</v>
      </c>
      <c r="K136" s="11">
        <v>-3.6402899999999998</v>
      </c>
      <c r="L136" s="11">
        <v>3.2355170000000002</v>
      </c>
      <c r="M136" s="11">
        <v>2.5266790000000001</v>
      </c>
      <c r="N136" s="11">
        <v>10770.964400000001</v>
      </c>
      <c r="O136" s="11">
        <v>9260.5210769999994</v>
      </c>
      <c r="P136" s="11">
        <v>2354.5992390000001</v>
      </c>
      <c r="Q136" s="11">
        <v>1972.5217720000001</v>
      </c>
      <c r="R136" s="11">
        <v>0.270588</v>
      </c>
      <c r="S136" s="11">
        <v>3.8818009999999998</v>
      </c>
      <c r="T136" s="11">
        <v>3.6444549999999998</v>
      </c>
      <c r="U136" s="11">
        <v>13.025028000000001</v>
      </c>
      <c r="V136" s="11">
        <v>16.941413000000001</v>
      </c>
      <c r="W136" s="11">
        <v>8.5</v>
      </c>
      <c r="X136" s="12">
        <v>41178</v>
      </c>
      <c r="Y136" s="11">
        <v>2</v>
      </c>
      <c r="Z136" s="11" t="s">
        <v>500</v>
      </c>
      <c r="AA136" s="11" t="s">
        <v>466</v>
      </c>
      <c r="AB136" s="11">
        <v>-0.24878700000000001</v>
      </c>
      <c r="AC136" s="11">
        <v>-6.9821739999999997</v>
      </c>
      <c r="AD136" s="11">
        <v>-9.4282540000000008</v>
      </c>
      <c r="AE136" s="11">
        <v>-8.3009330000000006</v>
      </c>
      <c r="AF136" s="11">
        <v>-1.038473</v>
      </c>
      <c r="AG136" s="11">
        <v>-9.2224880000000002</v>
      </c>
      <c r="AH136" s="11">
        <v>-19.849657000000001</v>
      </c>
      <c r="AI136" s="11">
        <v>-18.974958999999998</v>
      </c>
      <c r="AJ136" s="11">
        <v>100</v>
      </c>
      <c r="AK136" s="11" t="s">
        <v>44</v>
      </c>
      <c r="AL136" s="11" t="s">
        <v>467</v>
      </c>
      <c r="AM136" s="11">
        <v>0.270588</v>
      </c>
      <c r="AN136" s="11">
        <v>0.270588</v>
      </c>
      <c r="AO136" s="11"/>
    </row>
    <row r="137" spans="1:41" x14ac:dyDescent="0.2">
      <c r="A137" s="11" t="s">
        <v>501</v>
      </c>
      <c r="B137" s="11" t="s">
        <v>502</v>
      </c>
      <c r="C137" s="11" t="s">
        <v>503</v>
      </c>
      <c r="D137" s="11" t="s">
        <v>41</v>
      </c>
      <c r="E137" s="12">
        <v>44993</v>
      </c>
      <c r="F137" s="11" t="s">
        <v>845</v>
      </c>
      <c r="G137" s="11">
        <v>78.349999999999994</v>
      </c>
      <c r="H137" s="11">
        <v>1.5367120000000001</v>
      </c>
      <c r="I137" s="11">
        <v>106.782999</v>
      </c>
      <c r="J137" s="11">
        <v>4.1813000000000003E-2</v>
      </c>
      <c r="K137" s="11">
        <v>-3.7903880000000001</v>
      </c>
      <c r="L137" s="11">
        <v>3.059593</v>
      </c>
      <c r="M137" s="11">
        <v>2.409125</v>
      </c>
      <c r="N137" s="11">
        <v>16985.313900000001</v>
      </c>
      <c r="O137" s="11">
        <v>13569.008852999999</v>
      </c>
      <c r="P137" s="11">
        <v>3450.0842510000002</v>
      </c>
      <c r="Q137" s="11">
        <v>2890.2439899999999</v>
      </c>
      <c r="R137" s="11">
        <v>0.39648</v>
      </c>
      <c r="S137" s="11">
        <v>4.2857479999999999</v>
      </c>
      <c r="T137" s="11">
        <v>4.0259980000000004</v>
      </c>
      <c r="U137" s="11">
        <v>12.903591</v>
      </c>
      <c r="V137" s="11">
        <v>20.468240999999999</v>
      </c>
      <c r="W137" s="11">
        <v>7.1</v>
      </c>
      <c r="X137" s="12">
        <v>41353</v>
      </c>
      <c r="Y137" s="11">
        <v>2</v>
      </c>
      <c r="Z137" s="11" t="s">
        <v>502</v>
      </c>
      <c r="AA137" s="11" t="s">
        <v>466</v>
      </c>
      <c r="AB137" s="11">
        <v>-0.20110900000000001</v>
      </c>
      <c r="AC137" s="11">
        <v>-7.1270670000000003</v>
      </c>
      <c r="AD137" s="11">
        <v>-9.5825969999999998</v>
      </c>
      <c r="AE137" s="11">
        <v>-8.406072</v>
      </c>
      <c r="AF137" s="11">
        <v>-0.99117299999999997</v>
      </c>
      <c r="AG137" s="11">
        <v>-9.3638910000000006</v>
      </c>
      <c r="AH137" s="11">
        <v>-19.986241</v>
      </c>
      <c r="AI137" s="11">
        <v>-19.06786</v>
      </c>
      <c r="AJ137" s="11">
        <v>100</v>
      </c>
      <c r="AK137" s="11" t="s">
        <v>44</v>
      </c>
      <c r="AL137" s="11" t="s">
        <v>467</v>
      </c>
      <c r="AM137" s="11">
        <v>0.39648</v>
      </c>
      <c r="AN137" s="11">
        <v>0.39648</v>
      </c>
      <c r="AO137" s="11"/>
    </row>
    <row r="138" spans="1:41" x14ac:dyDescent="0.2">
      <c r="A138" s="11" t="s">
        <v>504</v>
      </c>
      <c r="B138" s="11" t="s">
        <v>505</v>
      </c>
      <c r="C138" s="11" t="s">
        <v>506</v>
      </c>
      <c r="D138" s="11" t="s">
        <v>41</v>
      </c>
      <c r="E138" s="12">
        <v>45196</v>
      </c>
      <c r="F138" s="11" t="s">
        <v>845</v>
      </c>
      <c r="G138" s="11">
        <v>84.15</v>
      </c>
      <c r="H138" s="11">
        <v>1.3983559999999999</v>
      </c>
      <c r="I138" s="11">
        <v>121.95477099999999</v>
      </c>
      <c r="J138" s="11">
        <v>0.11402900000000001</v>
      </c>
      <c r="K138" s="11">
        <v>-3.4987560000000002</v>
      </c>
      <c r="L138" s="11">
        <v>3.3329970000000002</v>
      </c>
      <c r="M138" s="11">
        <v>2.7493840000000001</v>
      </c>
      <c r="N138" s="11">
        <v>12934.8982</v>
      </c>
      <c r="O138" s="11">
        <v>11065.592782</v>
      </c>
      <c r="P138" s="11">
        <v>2813.5605030000002</v>
      </c>
      <c r="Q138" s="11">
        <v>2357.008045</v>
      </c>
      <c r="R138" s="11">
        <v>0.32333099999999998</v>
      </c>
      <c r="S138" s="11">
        <v>4.4892729999999998</v>
      </c>
      <c r="T138" s="11">
        <v>4.2200939999999996</v>
      </c>
      <c r="U138" s="11">
        <v>12.757004</v>
      </c>
      <c r="V138" s="11">
        <v>23.021363999999998</v>
      </c>
      <c r="W138" s="11">
        <v>8.8000000000000007</v>
      </c>
      <c r="X138" s="12">
        <v>41556</v>
      </c>
      <c r="Y138" s="11">
        <v>2</v>
      </c>
      <c r="Z138" s="11" t="s">
        <v>507</v>
      </c>
      <c r="AA138" s="11" t="s">
        <v>466</v>
      </c>
      <c r="AB138" s="11">
        <v>-0.12906799999999999</v>
      </c>
      <c r="AC138" s="11">
        <v>-6.8455490000000001</v>
      </c>
      <c r="AD138" s="11">
        <v>-9.3427310000000006</v>
      </c>
      <c r="AE138" s="11">
        <v>-8.1017469999999996</v>
      </c>
      <c r="AF138" s="11">
        <v>-0.91970300000000005</v>
      </c>
      <c r="AG138" s="11">
        <v>-9.0891529999999996</v>
      </c>
      <c r="AH138" s="11">
        <v>-19.773975</v>
      </c>
      <c r="AI138" s="11">
        <v>-18.798959</v>
      </c>
      <c r="AJ138" s="11">
        <v>100</v>
      </c>
      <c r="AK138" s="11" t="s">
        <v>44</v>
      </c>
      <c r="AL138" s="11" t="s">
        <v>467</v>
      </c>
      <c r="AM138" s="11">
        <v>0.32333099999999998</v>
      </c>
      <c r="AN138" s="11">
        <v>0.32333099999999998</v>
      </c>
      <c r="AO138" s="11"/>
    </row>
    <row r="139" spans="1:41" x14ac:dyDescent="0.2">
      <c r="A139" s="11" t="s">
        <v>508</v>
      </c>
      <c r="B139" s="11" t="s">
        <v>509</v>
      </c>
      <c r="C139" s="11" t="s">
        <v>510</v>
      </c>
      <c r="D139" s="11" t="s">
        <v>41</v>
      </c>
      <c r="E139" s="12">
        <v>45371</v>
      </c>
      <c r="F139" s="11" t="s">
        <v>845</v>
      </c>
      <c r="G139" s="11">
        <v>90.9</v>
      </c>
      <c r="H139" s="11">
        <v>1.852055</v>
      </c>
      <c r="I139" s="11">
        <v>115.72386400000001</v>
      </c>
      <c r="J139" s="11">
        <v>0.20062099999999999</v>
      </c>
      <c r="K139" s="11">
        <v>-3.1461209999999999</v>
      </c>
      <c r="L139" s="11">
        <v>3.9637609999999999</v>
      </c>
      <c r="M139" s="11">
        <v>3.3018719999999999</v>
      </c>
      <c r="N139" s="11">
        <v>7585.9885000000004</v>
      </c>
      <c r="O139" s="11">
        <v>7036.16021</v>
      </c>
      <c r="P139" s="11">
        <v>1789.0286450000001</v>
      </c>
      <c r="Q139" s="11">
        <v>1498.7255130000001</v>
      </c>
      <c r="R139" s="11">
        <v>0.205593</v>
      </c>
      <c r="S139" s="11">
        <v>4.6033949999999999</v>
      </c>
      <c r="T139" s="11">
        <v>4.3315039999999998</v>
      </c>
      <c r="U139" s="11">
        <v>12.554103</v>
      </c>
      <c r="V139" s="11">
        <v>24.913322000000001</v>
      </c>
      <c r="W139" s="11">
        <v>10.4</v>
      </c>
      <c r="X139" s="12">
        <v>41731</v>
      </c>
      <c r="Y139" s="11">
        <v>2</v>
      </c>
      <c r="Z139" s="11" t="s">
        <v>509</v>
      </c>
      <c r="AA139" s="11" t="s">
        <v>466</v>
      </c>
      <c r="AB139" s="11">
        <v>-4.2686000000000002E-2</v>
      </c>
      <c r="AC139" s="11">
        <v>-6.5051430000000003</v>
      </c>
      <c r="AD139" s="11">
        <v>-8.7893419999999995</v>
      </c>
      <c r="AE139" s="11">
        <v>-7.6076059999999996</v>
      </c>
      <c r="AF139" s="11">
        <v>-0.834005</v>
      </c>
      <c r="AG139" s="11">
        <v>-8.7569459999999992</v>
      </c>
      <c r="AH139" s="11">
        <v>-19.284261000000001</v>
      </c>
      <c r="AI139" s="11">
        <v>-18.362338000000001</v>
      </c>
      <c r="AJ139" s="11">
        <v>100</v>
      </c>
      <c r="AK139" s="11" t="s">
        <v>44</v>
      </c>
      <c r="AL139" s="11" t="s">
        <v>467</v>
      </c>
      <c r="AM139" s="11">
        <v>0.205593</v>
      </c>
      <c r="AN139" s="11">
        <v>0.205593</v>
      </c>
      <c r="AO139" s="11"/>
    </row>
    <row r="140" spans="1:41" x14ac:dyDescent="0.2">
      <c r="A140" s="11" t="s">
        <v>511</v>
      </c>
      <c r="B140" s="11" t="s">
        <v>512</v>
      </c>
      <c r="C140" s="11" t="s">
        <v>513</v>
      </c>
      <c r="D140" s="11" t="s">
        <v>41</v>
      </c>
      <c r="E140" s="12">
        <v>45497</v>
      </c>
      <c r="F140" s="11" t="s">
        <v>845</v>
      </c>
      <c r="G140" s="11">
        <v>85.15</v>
      </c>
      <c r="H140" s="11">
        <v>2.983562</v>
      </c>
      <c r="I140" s="11">
        <v>110.204475</v>
      </c>
      <c r="J140" s="11">
        <v>0.22652800000000001</v>
      </c>
      <c r="K140" s="11">
        <v>-2.878193</v>
      </c>
      <c r="L140" s="11">
        <v>4.1795770000000001</v>
      </c>
      <c r="M140" s="11">
        <v>3.6918850000000001</v>
      </c>
      <c r="N140" s="11">
        <v>12672.823200000001</v>
      </c>
      <c r="O140" s="11">
        <v>11169.010447000001</v>
      </c>
      <c r="P140" s="11">
        <v>2839.855693</v>
      </c>
      <c r="Q140" s="11">
        <v>2379.0363520000001</v>
      </c>
      <c r="R140" s="11">
        <v>0.326353</v>
      </c>
      <c r="S140" s="11">
        <v>4.8341339999999997</v>
      </c>
      <c r="T140" s="11">
        <v>4.5527579999999999</v>
      </c>
      <c r="U140" s="11">
        <v>12.360683999999999</v>
      </c>
      <c r="V140" s="11">
        <v>27.684100999999998</v>
      </c>
      <c r="W140" s="11">
        <v>9</v>
      </c>
      <c r="X140" s="12">
        <v>41857</v>
      </c>
      <c r="Y140" s="11">
        <v>2</v>
      </c>
      <c r="Z140" s="11" t="s">
        <v>512</v>
      </c>
      <c r="AA140" s="11" t="s">
        <v>466</v>
      </c>
      <c r="AB140" s="11">
        <v>-1.6843E-2</v>
      </c>
      <c r="AC140" s="11">
        <v>-6.2465080000000004</v>
      </c>
      <c r="AD140" s="11">
        <v>-8.6</v>
      </c>
      <c r="AE140" s="11">
        <v>-7.2587809999999999</v>
      </c>
      <c r="AF140" s="11">
        <v>-0.80836600000000003</v>
      </c>
      <c r="AG140" s="11">
        <v>-8.5045400000000004</v>
      </c>
      <c r="AH140" s="11">
        <v>-19.116703999999999</v>
      </c>
      <c r="AI140" s="11">
        <v>-18.054117000000002</v>
      </c>
      <c r="AJ140" s="11">
        <v>100</v>
      </c>
      <c r="AK140" s="11" t="s">
        <v>44</v>
      </c>
      <c r="AL140" s="11" t="s">
        <v>467</v>
      </c>
      <c r="AM140" s="11">
        <v>0.326353</v>
      </c>
      <c r="AN140" s="11">
        <v>0.326353</v>
      </c>
      <c r="AO140" s="11"/>
    </row>
    <row r="141" spans="1:41" x14ac:dyDescent="0.2">
      <c r="A141" s="11" t="s">
        <v>514</v>
      </c>
      <c r="B141" s="11" t="s">
        <v>515</v>
      </c>
      <c r="C141" s="11" t="s">
        <v>516</v>
      </c>
      <c r="D141" s="11" t="s">
        <v>41</v>
      </c>
      <c r="E141" s="12">
        <v>45728</v>
      </c>
      <c r="F141" s="11" t="s">
        <v>846</v>
      </c>
      <c r="G141" s="11">
        <v>78.95</v>
      </c>
      <c r="H141" s="11">
        <v>1.578082</v>
      </c>
      <c r="I141" s="11">
        <v>107.012827</v>
      </c>
      <c r="J141" s="11">
        <v>0.14410700000000001</v>
      </c>
      <c r="K141" s="11">
        <v>-3.9179590000000002</v>
      </c>
      <c r="L141" s="11">
        <v>3.0811929999999998</v>
      </c>
      <c r="M141" s="11">
        <v>2.5614780000000001</v>
      </c>
      <c r="N141" s="11">
        <v>14765.8087</v>
      </c>
      <c r="O141" s="11">
        <v>11890.622566</v>
      </c>
      <c r="P141" s="11">
        <v>3023.3342819999998</v>
      </c>
      <c r="Q141" s="11">
        <v>2532.7421319999999</v>
      </c>
      <c r="R141" s="11">
        <v>0.34743800000000002</v>
      </c>
      <c r="S141" s="11">
        <v>5.3161810000000003</v>
      </c>
      <c r="T141" s="11">
        <v>5.003349</v>
      </c>
      <c r="U141" s="11">
        <v>12.504917000000001</v>
      </c>
      <c r="V141" s="11">
        <v>32.996625000000002</v>
      </c>
      <c r="W141" s="11">
        <v>8</v>
      </c>
      <c r="X141" s="12">
        <v>42088</v>
      </c>
      <c r="Y141" s="11">
        <v>2</v>
      </c>
      <c r="Z141" s="11" t="s">
        <v>515</v>
      </c>
      <c r="AA141" s="11" t="s">
        <v>466</v>
      </c>
      <c r="AB141" s="11">
        <v>-9.9062999999999998E-2</v>
      </c>
      <c r="AC141" s="11">
        <v>-7.2502139999999997</v>
      </c>
      <c r="AD141" s="11">
        <v>-9.5636460000000003</v>
      </c>
      <c r="AE141" s="11">
        <v>-8.2698090000000004</v>
      </c>
      <c r="AF141" s="11">
        <v>-0.88993500000000003</v>
      </c>
      <c r="AG141" s="11">
        <v>-9.4840719999999994</v>
      </c>
      <c r="AH141" s="11">
        <v>-19.969470999999999</v>
      </c>
      <c r="AI141" s="11">
        <v>-18.947458000000001</v>
      </c>
      <c r="AJ141" s="11">
        <v>100</v>
      </c>
      <c r="AK141" s="11" t="s">
        <v>44</v>
      </c>
      <c r="AL141" s="11" t="s">
        <v>467</v>
      </c>
      <c r="AM141" s="11">
        <v>0.34743800000000002</v>
      </c>
      <c r="AN141" s="11">
        <v>0.34743800000000002</v>
      </c>
      <c r="AO141" s="11"/>
    </row>
    <row r="142" spans="1:41" x14ac:dyDescent="0.2">
      <c r="A142" s="11" t="s">
        <v>517</v>
      </c>
      <c r="B142" s="11" t="s">
        <v>518</v>
      </c>
      <c r="C142" s="11" t="s">
        <v>519</v>
      </c>
      <c r="D142" s="11" t="s">
        <v>41</v>
      </c>
      <c r="E142" s="12">
        <v>46064</v>
      </c>
      <c r="F142" s="11" t="s">
        <v>846</v>
      </c>
      <c r="G142" s="11">
        <v>90.775000000000006</v>
      </c>
      <c r="H142" s="11">
        <v>2.9041100000000002</v>
      </c>
      <c r="I142" s="11">
        <v>100.909796</v>
      </c>
      <c r="J142" s="11">
        <v>0.14677200000000001</v>
      </c>
      <c r="K142" s="11">
        <v>-3.6753070000000001</v>
      </c>
      <c r="L142" s="11">
        <v>2.9359220000000001</v>
      </c>
      <c r="M142" s="11">
        <v>2.4743719999999998</v>
      </c>
      <c r="N142" s="11">
        <v>21772.5808</v>
      </c>
      <c r="O142" s="11">
        <v>20396.359828000001</v>
      </c>
      <c r="P142" s="11">
        <v>5186.0206280000002</v>
      </c>
      <c r="Q142" s="11">
        <v>4344.4924419999998</v>
      </c>
      <c r="R142" s="11">
        <v>0.59597199999999995</v>
      </c>
      <c r="S142" s="11">
        <v>5.3691110000000002</v>
      </c>
      <c r="T142" s="11">
        <v>5.0544549999999999</v>
      </c>
      <c r="U142" s="11">
        <v>12.450635</v>
      </c>
      <c r="V142" s="11">
        <v>35.712273000000003</v>
      </c>
      <c r="W142" s="11">
        <v>10.6</v>
      </c>
      <c r="X142" s="12">
        <v>42424</v>
      </c>
      <c r="Y142" s="11">
        <v>2</v>
      </c>
      <c r="Z142" s="11" t="s">
        <v>518</v>
      </c>
      <c r="AA142" s="11" t="s">
        <v>466</v>
      </c>
      <c r="AB142" s="11">
        <v>-9.6404000000000004E-2</v>
      </c>
      <c r="AC142" s="11">
        <v>-7.0159770000000004</v>
      </c>
      <c r="AD142" s="11">
        <v>-9.6910969999999992</v>
      </c>
      <c r="AE142" s="11">
        <v>-8.3477150000000009</v>
      </c>
      <c r="AF142" s="11">
        <v>-0.887297</v>
      </c>
      <c r="AG142" s="11">
        <v>-9.2554770000000008</v>
      </c>
      <c r="AH142" s="11">
        <v>-20.082256999999998</v>
      </c>
      <c r="AI142" s="11">
        <v>-19.016296000000001</v>
      </c>
      <c r="AJ142" s="11">
        <v>100</v>
      </c>
      <c r="AK142" s="11" t="s">
        <v>44</v>
      </c>
      <c r="AL142" s="11" t="s">
        <v>467</v>
      </c>
      <c r="AM142" s="11">
        <v>0.59597199999999995</v>
      </c>
      <c r="AN142" s="11">
        <v>0.59597199999999995</v>
      </c>
      <c r="AO142" s="11"/>
    </row>
    <row r="143" spans="1:41" x14ac:dyDescent="0.2">
      <c r="A143" s="11" t="s">
        <v>520</v>
      </c>
      <c r="B143" s="11" t="s">
        <v>521</v>
      </c>
      <c r="C143" s="11" t="s">
        <v>522</v>
      </c>
      <c r="D143" s="11" t="s">
        <v>41</v>
      </c>
      <c r="E143" s="12">
        <v>46442</v>
      </c>
      <c r="F143" s="11" t="s">
        <v>846</v>
      </c>
      <c r="G143" s="11">
        <v>92.224999999999994</v>
      </c>
      <c r="H143" s="11">
        <v>2.5917810000000001</v>
      </c>
      <c r="I143" s="11">
        <v>93.344295000000002</v>
      </c>
      <c r="J143" s="11">
        <v>0.14849499999999999</v>
      </c>
      <c r="K143" s="11">
        <v>-4.2143699999999997</v>
      </c>
      <c r="L143" s="11"/>
      <c r="M143" s="11"/>
      <c r="N143" s="11">
        <v>16108.411599999999</v>
      </c>
      <c r="O143" s="11">
        <v>15273.477321</v>
      </c>
      <c r="P143" s="11">
        <v>3883.4659280000001</v>
      </c>
      <c r="Q143" s="11">
        <v>3253.3014389999998</v>
      </c>
      <c r="R143" s="11">
        <v>0.44628400000000001</v>
      </c>
      <c r="S143" s="11">
        <v>5.7221349999999997</v>
      </c>
      <c r="T143" s="11">
        <v>5.3864169999999998</v>
      </c>
      <c r="U143" s="11">
        <v>12.465366</v>
      </c>
      <c r="V143" s="11">
        <v>41.473807999999998</v>
      </c>
      <c r="W143" s="11">
        <v>11</v>
      </c>
      <c r="X143" s="12">
        <v>42802</v>
      </c>
      <c r="Y143" s="11">
        <v>2</v>
      </c>
      <c r="Z143" s="11" t="s">
        <v>521</v>
      </c>
      <c r="AA143" s="11" t="s">
        <v>466</v>
      </c>
      <c r="AB143" s="11">
        <v>-9.4686000000000006E-2</v>
      </c>
      <c r="AC143" s="11">
        <v>-7.5363439999999997</v>
      </c>
      <c r="AD143" s="11"/>
      <c r="AE143" s="11"/>
      <c r="AF143" s="11">
        <v>-0.88559200000000005</v>
      </c>
      <c r="AG143" s="11">
        <v>-9.7633109999999999</v>
      </c>
      <c r="AH143" s="11"/>
      <c r="AI143" s="11"/>
      <c r="AJ143" s="11">
        <v>100</v>
      </c>
      <c r="AK143" s="11" t="s">
        <v>44</v>
      </c>
      <c r="AL143" s="11" t="s">
        <v>467</v>
      </c>
      <c r="AM143" s="11">
        <v>0.44628400000000001</v>
      </c>
      <c r="AN143" s="11">
        <v>0.44628400000000001</v>
      </c>
      <c r="AO143" s="11"/>
    </row>
    <row r="144" spans="1:41" x14ac:dyDescent="0.2">
      <c r="A144" s="11" t="s">
        <v>523</v>
      </c>
      <c r="B144" s="11" t="s">
        <v>524</v>
      </c>
      <c r="C144" s="11" t="s">
        <v>525</v>
      </c>
      <c r="D144" s="11" t="s">
        <v>41</v>
      </c>
      <c r="E144" s="12">
        <v>46610</v>
      </c>
      <c r="F144" s="11" t="s">
        <v>846</v>
      </c>
      <c r="G144" s="11">
        <v>89.6</v>
      </c>
      <c r="H144" s="11">
        <v>2.8767119999999999</v>
      </c>
      <c r="I144" s="11">
        <v>96.075008999999994</v>
      </c>
      <c r="J144" s="11">
        <v>0.14779200000000001</v>
      </c>
      <c r="K144" s="11">
        <v>-4.0036449999999997</v>
      </c>
      <c r="L144" s="11"/>
      <c r="M144" s="11"/>
      <c r="N144" s="11">
        <v>12846.779399999999</v>
      </c>
      <c r="O144" s="11">
        <v>11880.279229</v>
      </c>
      <c r="P144" s="11">
        <v>3020.7043640000002</v>
      </c>
      <c r="Q144" s="11">
        <v>2530.5389660000001</v>
      </c>
      <c r="R144" s="11">
        <v>0.347136</v>
      </c>
      <c r="S144" s="11">
        <v>5.9132670000000003</v>
      </c>
      <c r="T144" s="11">
        <v>5.5681390000000004</v>
      </c>
      <c r="U144" s="11">
        <v>12.39653</v>
      </c>
      <c r="V144" s="11">
        <v>44.709397000000003</v>
      </c>
      <c r="W144" s="11">
        <v>10.5</v>
      </c>
      <c r="X144" s="12">
        <v>42970</v>
      </c>
      <c r="Y144" s="11">
        <v>2</v>
      </c>
      <c r="Z144" s="11" t="s">
        <v>524</v>
      </c>
      <c r="AA144" s="11" t="s">
        <v>466</v>
      </c>
      <c r="AB144" s="11">
        <v>-9.5387E-2</v>
      </c>
      <c r="AC144" s="11">
        <v>-7.3329279999999999</v>
      </c>
      <c r="AD144" s="11"/>
      <c r="AE144" s="11"/>
      <c r="AF144" s="11">
        <v>-0.88628899999999999</v>
      </c>
      <c r="AG144" s="11">
        <v>-9.5647939999999991</v>
      </c>
      <c r="AH144" s="11"/>
      <c r="AI144" s="11"/>
      <c r="AJ144" s="11">
        <v>100</v>
      </c>
      <c r="AK144" s="11" t="s">
        <v>44</v>
      </c>
      <c r="AL144" s="11" t="s">
        <v>467</v>
      </c>
      <c r="AM144" s="11">
        <v>0.347136</v>
      </c>
      <c r="AN144" s="11">
        <v>0.347136</v>
      </c>
      <c r="AO144" s="11"/>
    </row>
    <row r="145" spans="1:41" x14ac:dyDescent="0.2">
      <c r="A145" s="11" t="s">
        <v>526</v>
      </c>
      <c r="B145" s="11" t="s">
        <v>527</v>
      </c>
      <c r="C145" s="11" t="s">
        <v>528</v>
      </c>
      <c r="D145" s="11" t="s">
        <v>41</v>
      </c>
      <c r="E145" s="12">
        <v>44472</v>
      </c>
      <c r="F145" s="11" t="s">
        <v>844</v>
      </c>
      <c r="G145" s="11">
        <v>102.51944</v>
      </c>
      <c r="H145" s="11">
        <v>3.0838890000000001</v>
      </c>
      <c r="I145" s="11">
        <v>116.688953</v>
      </c>
      <c r="J145" s="11">
        <v>0.23585400000000001</v>
      </c>
      <c r="K145" s="11">
        <v>1.0556570000000001</v>
      </c>
      <c r="L145" s="11">
        <v>20.567079</v>
      </c>
      <c r="M145" s="11">
        <v>17.288936</v>
      </c>
      <c r="N145" s="11">
        <v>62500</v>
      </c>
      <c r="O145" s="11">
        <v>66002.080556000001</v>
      </c>
      <c r="P145" s="11">
        <v>3798.954201</v>
      </c>
      <c r="Q145" s="11">
        <v>3182.5033100000001</v>
      </c>
      <c r="R145" s="11">
        <v>0.43657200000000002</v>
      </c>
      <c r="S145" s="11">
        <v>2.853539</v>
      </c>
      <c r="T145" s="11">
        <v>2.6272890000000002</v>
      </c>
      <c r="U145" s="11">
        <v>17.223078000000001</v>
      </c>
      <c r="V145" s="11">
        <v>9.4671540000000007</v>
      </c>
      <c r="W145" s="11">
        <v>18.2</v>
      </c>
      <c r="X145" s="12">
        <v>42646</v>
      </c>
      <c r="Y145" s="11">
        <v>2</v>
      </c>
      <c r="Z145" s="11" t="s">
        <v>527</v>
      </c>
      <c r="AA145" s="11" t="s">
        <v>529</v>
      </c>
      <c r="AB145" s="11">
        <v>0.47384100000000001</v>
      </c>
      <c r="AC145" s="11">
        <v>2.8137159999999999</v>
      </c>
      <c r="AD145" s="11">
        <v>7.8589149999999997</v>
      </c>
      <c r="AE145" s="11">
        <v>6.8334359999999998</v>
      </c>
      <c r="AF145" s="11">
        <v>-0.32156600000000002</v>
      </c>
      <c r="AG145" s="11">
        <v>0.33746999999999999</v>
      </c>
      <c r="AH145" s="11">
        <v>-4.5515920000000003</v>
      </c>
      <c r="AI145" s="11">
        <v>-5.6022730000000003</v>
      </c>
      <c r="AJ145" s="11">
        <v>100</v>
      </c>
      <c r="AK145" s="11" t="s">
        <v>44</v>
      </c>
      <c r="AL145" s="11" t="s">
        <v>530</v>
      </c>
      <c r="AM145" s="11">
        <v>0.43657200000000002</v>
      </c>
      <c r="AN145" s="11">
        <v>0.43657200000000002</v>
      </c>
      <c r="AO145" s="11"/>
    </row>
    <row r="146" spans="1:41" x14ac:dyDescent="0.2">
      <c r="A146" s="11" t="s">
        <v>531</v>
      </c>
      <c r="B146" s="11" t="s">
        <v>532</v>
      </c>
      <c r="C146" s="11" t="s">
        <v>533</v>
      </c>
      <c r="D146" s="11" t="s">
        <v>41</v>
      </c>
      <c r="E146" s="12">
        <v>45216</v>
      </c>
      <c r="F146" s="11" t="s">
        <v>845</v>
      </c>
      <c r="G146" s="11">
        <v>99.472219999999993</v>
      </c>
      <c r="H146" s="11">
        <v>2.088889</v>
      </c>
      <c r="I146" s="11">
        <v>116.049396</v>
      </c>
      <c r="J146" s="11">
        <v>0.26394699999999999</v>
      </c>
      <c r="K146" s="11">
        <v>-0.69172</v>
      </c>
      <c r="L146" s="11">
        <v>18.819551000000001</v>
      </c>
      <c r="M146" s="11">
        <v>18.442896999999999</v>
      </c>
      <c r="N146" s="11">
        <v>27279</v>
      </c>
      <c r="O146" s="11">
        <v>27704.854894</v>
      </c>
      <c r="P146" s="11">
        <v>1594.638745</v>
      </c>
      <c r="Q146" s="11">
        <v>1335.8789850000001</v>
      </c>
      <c r="R146" s="11">
        <v>0.183254</v>
      </c>
      <c r="S146" s="11">
        <v>3.9341119999999998</v>
      </c>
      <c r="T146" s="11">
        <v>3.640666</v>
      </c>
      <c r="U146" s="11">
        <v>16.120453000000001</v>
      </c>
      <c r="V146" s="11">
        <v>18.513451</v>
      </c>
      <c r="W146" s="11">
        <v>16</v>
      </c>
      <c r="X146" s="12">
        <v>42660</v>
      </c>
      <c r="Y146" s="11">
        <v>2</v>
      </c>
      <c r="Z146" s="11" t="s">
        <v>532</v>
      </c>
      <c r="AA146" s="11" t="s">
        <v>529</v>
      </c>
      <c r="AB146" s="11">
        <v>0.50200100000000003</v>
      </c>
      <c r="AC146" s="11">
        <v>1.0359400000000001</v>
      </c>
      <c r="AD146" s="11">
        <v>6.2955819999999996</v>
      </c>
      <c r="AE146" s="11">
        <v>7.8845299999999998</v>
      </c>
      <c r="AF146" s="11">
        <v>-0.29362899999999997</v>
      </c>
      <c r="AG146" s="11">
        <v>-1.397489</v>
      </c>
      <c r="AH146" s="11">
        <v>-5.9350440000000004</v>
      </c>
      <c r="AI146" s="11">
        <v>-4.6735300000000004</v>
      </c>
      <c r="AJ146" s="11">
        <v>100</v>
      </c>
      <c r="AK146" s="11" t="s">
        <v>44</v>
      </c>
      <c r="AL146" s="11" t="s">
        <v>530</v>
      </c>
      <c r="AM146" s="11">
        <v>0.183254</v>
      </c>
      <c r="AN146" s="11">
        <v>0.183254</v>
      </c>
      <c r="AO146" s="11"/>
    </row>
    <row r="147" spans="1:41" x14ac:dyDescent="0.2">
      <c r="A147" s="11" t="s">
        <v>534</v>
      </c>
      <c r="B147" s="11" t="s">
        <v>535</v>
      </c>
      <c r="C147" s="11" t="s">
        <v>536</v>
      </c>
      <c r="D147" s="11" t="s">
        <v>41</v>
      </c>
      <c r="E147" s="12">
        <v>46312</v>
      </c>
      <c r="F147" s="11" t="s">
        <v>846</v>
      </c>
      <c r="G147" s="11">
        <v>103.07778</v>
      </c>
      <c r="H147" s="11">
        <v>2.0236109999999998</v>
      </c>
      <c r="I147" s="11">
        <v>119.127183</v>
      </c>
      <c r="J147" s="11">
        <v>0.42706100000000002</v>
      </c>
      <c r="K147" s="11">
        <v>-0.62269699999999994</v>
      </c>
      <c r="L147" s="11">
        <v>21.645578</v>
      </c>
      <c r="M147" s="11">
        <v>20.977184000000001</v>
      </c>
      <c r="N147" s="11">
        <v>60192</v>
      </c>
      <c r="O147" s="11">
        <v>63262.629337999999</v>
      </c>
      <c r="P147" s="11">
        <v>3641.2766000000001</v>
      </c>
      <c r="Q147" s="11">
        <v>3050.4118290000001</v>
      </c>
      <c r="R147" s="11">
        <v>0.41845199999999999</v>
      </c>
      <c r="S147" s="11">
        <v>5.0696519999999996</v>
      </c>
      <c r="T147" s="11">
        <v>4.7194390000000004</v>
      </c>
      <c r="U147" s="11">
        <v>14.841274</v>
      </c>
      <c r="V147" s="11">
        <v>32.962529000000004</v>
      </c>
      <c r="W147" s="11">
        <v>15.5</v>
      </c>
      <c r="X147" s="12">
        <v>42660</v>
      </c>
      <c r="Y147" s="11">
        <v>2</v>
      </c>
      <c r="Z147" s="11" t="s">
        <v>535</v>
      </c>
      <c r="AA147" s="11" t="s">
        <v>529</v>
      </c>
      <c r="AB147" s="11">
        <v>0.66550200000000004</v>
      </c>
      <c r="AC147" s="11">
        <v>1.106163</v>
      </c>
      <c r="AD147" s="11">
        <v>8.8237369999999995</v>
      </c>
      <c r="AE147" s="11">
        <v>10.192902</v>
      </c>
      <c r="AF147" s="11">
        <v>-0.13142200000000001</v>
      </c>
      <c r="AG147" s="11">
        <v>-1.328956</v>
      </c>
      <c r="AH147" s="11">
        <v>-3.6977850000000001</v>
      </c>
      <c r="AI147" s="11">
        <v>-2.633858</v>
      </c>
      <c r="AJ147" s="11">
        <v>100</v>
      </c>
      <c r="AK147" s="11" t="s">
        <v>44</v>
      </c>
      <c r="AL147" s="11" t="s">
        <v>530</v>
      </c>
      <c r="AM147" s="11">
        <v>0.41845199999999999</v>
      </c>
      <c r="AN147" s="11">
        <v>0.41845199999999999</v>
      </c>
      <c r="AO147" s="11"/>
    </row>
    <row r="148" spans="1:41" x14ac:dyDescent="0.2">
      <c r="A148" s="11" t="s">
        <v>537</v>
      </c>
      <c r="B148" s="11" t="s">
        <v>538</v>
      </c>
      <c r="C148" s="11" t="s">
        <v>539</v>
      </c>
      <c r="D148" s="11" t="s">
        <v>41</v>
      </c>
      <c r="E148" s="12">
        <v>43466</v>
      </c>
      <c r="F148" s="11" t="s">
        <v>843</v>
      </c>
      <c r="G148" s="11">
        <v>92.789998999999995</v>
      </c>
      <c r="H148" s="11">
        <v>0</v>
      </c>
      <c r="I148" s="11">
        <v>144.984374</v>
      </c>
      <c r="J148" s="11">
        <v>3.2340000000000001E-2</v>
      </c>
      <c r="K148" s="11">
        <v>0.58536600000000005</v>
      </c>
      <c r="L148" s="11">
        <v>16.878699000000001</v>
      </c>
      <c r="M148" s="11">
        <v>14.287473</v>
      </c>
      <c r="N148" s="11">
        <v>31487.904897</v>
      </c>
      <c r="O148" s="11">
        <v>29217.626797000001</v>
      </c>
      <c r="P148" s="11">
        <v>9058.044022</v>
      </c>
      <c r="Q148" s="11">
        <v>7588.2081109999999</v>
      </c>
      <c r="R148" s="11">
        <v>1.0409409999999999</v>
      </c>
      <c r="S148" s="11">
        <v>1.107143</v>
      </c>
      <c r="T148" s="11">
        <v>1.0697410000000001</v>
      </c>
      <c r="U148" s="11">
        <v>6.9926089999999999</v>
      </c>
      <c r="V148" s="11">
        <v>2.0379339999999999</v>
      </c>
      <c r="W148" s="11">
        <v>0</v>
      </c>
      <c r="X148" s="12">
        <v>42013</v>
      </c>
      <c r="Y148" s="11">
        <v>2</v>
      </c>
      <c r="Z148" s="11" t="s">
        <v>538</v>
      </c>
      <c r="AA148" s="11" t="s">
        <v>540</v>
      </c>
      <c r="AB148" s="11">
        <v>0.29129100000000002</v>
      </c>
      <c r="AC148" s="11">
        <v>2.0120089999999999</v>
      </c>
      <c r="AD148" s="11">
        <v>22.899097000000001</v>
      </c>
      <c r="AE148" s="11">
        <v>15.318526</v>
      </c>
      <c r="AF148" s="11">
        <v>-0.50267099999999998</v>
      </c>
      <c r="AG148" s="11">
        <v>-0.44492799999999999</v>
      </c>
      <c r="AH148" s="11">
        <v>8.7580310000000008</v>
      </c>
      <c r="AI148" s="11">
        <v>1.8951290000000001</v>
      </c>
      <c r="AJ148" s="11">
        <v>100</v>
      </c>
      <c r="AK148" s="11" t="s">
        <v>44</v>
      </c>
      <c r="AL148" s="11" t="s">
        <v>541</v>
      </c>
      <c r="AM148" s="11">
        <v>1.0409409999999999</v>
      </c>
      <c r="AN148" s="11">
        <v>1.0409409999999999</v>
      </c>
      <c r="AO148" s="11"/>
    </row>
    <row r="149" spans="1:41" x14ac:dyDescent="0.2">
      <c r="A149" s="11" t="s">
        <v>542</v>
      </c>
      <c r="B149" s="11" t="s">
        <v>543</v>
      </c>
      <c r="C149" s="11" t="s">
        <v>544</v>
      </c>
      <c r="D149" s="11" t="s">
        <v>41</v>
      </c>
      <c r="E149" s="12">
        <v>43466</v>
      </c>
      <c r="F149" s="11" t="s">
        <v>843</v>
      </c>
      <c r="G149" s="11">
        <v>102.916246</v>
      </c>
      <c r="H149" s="11">
        <v>4.1269270000000002</v>
      </c>
      <c r="I149" s="11">
        <v>162.13790599999999</v>
      </c>
      <c r="J149" s="11">
        <v>2.8670000000000001E-2</v>
      </c>
      <c r="K149" s="11">
        <v>0.56497399999999998</v>
      </c>
      <c r="L149" s="11">
        <v>16.165310000000002</v>
      </c>
      <c r="M149" s="11">
        <v>13.751578</v>
      </c>
      <c r="N149" s="11">
        <v>3210.0554860000002</v>
      </c>
      <c r="O149" s="11">
        <v>3436.1452319999999</v>
      </c>
      <c r="P149" s="11">
        <v>1065.273199</v>
      </c>
      <c r="Q149" s="11">
        <v>892.41283299999998</v>
      </c>
      <c r="R149" s="11">
        <v>0.12242</v>
      </c>
      <c r="S149" s="11">
        <v>1.037177</v>
      </c>
      <c r="T149" s="11">
        <v>1.0031399999999999</v>
      </c>
      <c r="U149" s="11">
        <v>6.7861320000000003</v>
      </c>
      <c r="V149" s="11">
        <v>1.9018390000000001</v>
      </c>
      <c r="W149" s="11">
        <v>10</v>
      </c>
      <c r="X149" s="12">
        <v>41278</v>
      </c>
      <c r="Y149" s="11">
        <v>2</v>
      </c>
      <c r="Z149" s="11" t="s">
        <v>543</v>
      </c>
      <c r="AA149" s="11" t="s">
        <v>540</v>
      </c>
      <c r="AB149" s="11">
        <v>0.28761100000000001</v>
      </c>
      <c r="AC149" s="11">
        <v>1.991328</v>
      </c>
      <c r="AD149" s="11">
        <v>22.148962000000001</v>
      </c>
      <c r="AE149" s="11">
        <v>14.777796</v>
      </c>
      <c r="AF149" s="11">
        <v>-0.50632200000000005</v>
      </c>
      <c r="AG149" s="11">
        <v>-0.46511000000000002</v>
      </c>
      <c r="AH149" s="11">
        <v>8.0942080000000001</v>
      </c>
      <c r="AI149" s="11">
        <v>1.417341</v>
      </c>
      <c r="AJ149" s="11">
        <v>100</v>
      </c>
      <c r="AK149" s="11" t="s">
        <v>44</v>
      </c>
      <c r="AL149" s="11" t="s">
        <v>541</v>
      </c>
      <c r="AM149" s="11">
        <v>0.12242</v>
      </c>
      <c r="AN149" s="11">
        <v>0.12242</v>
      </c>
      <c r="AO149" s="11"/>
    </row>
    <row r="150" spans="1:41" x14ac:dyDescent="0.2">
      <c r="A150" s="11" t="s">
        <v>545</v>
      </c>
      <c r="B150" s="11" t="s">
        <v>546</v>
      </c>
      <c r="C150" s="11" t="s">
        <v>547</v>
      </c>
      <c r="D150" s="11" t="s">
        <v>41</v>
      </c>
      <c r="E150" s="12">
        <v>43556</v>
      </c>
      <c r="F150" s="11" t="s">
        <v>843</v>
      </c>
      <c r="G150" s="11">
        <v>90.93</v>
      </c>
      <c r="H150" s="11">
        <v>0</v>
      </c>
      <c r="I150" s="11">
        <v>112.57892699999999</v>
      </c>
      <c r="J150" s="11">
        <v>2.1999999999999999E-2</v>
      </c>
      <c r="K150" s="11">
        <v>0.63080999999999998</v>
      </c>
      <c r="L150" s="11"/>
      <c r="M150" s="11"/>
      <c r="N150" s="11">
        <v>28024.048043999999</v>
      </c>
      <c r="O150" s="11">
        <v>25482.266887000002</v>
      </c>
      <c r="P150" s="11">
        <v>7900.0083350000004</v>
      </c>
      <c r="Q150" s="11">
        <v>6618.0852269999996</v>
      </c>
      <c r="R150" s="11">
        <v>0.90786100000000003</v>
      </c>
      <c r="S150" s="11">
        <v>1.361111</v>
      </c>
      <c r="T150" s="11">
        <v>1.31359</v>
      </c>
      <c r="U150" s="11">
        <v>7.2352509999999999</v>
      </c>
      <c r="V150" s="11">
        <v>2.7946979999999999</v>
      </c>
      <c r="W150" s="11">
        <v>0</v>
      </c>
      <c r="X150" s="12">
        <v>42741</v>
      </c>
      <c r="Y150" s="11">
        <v>2</v>
      </c>
      <c r="Z150" s="11" t="s">
        <v>546</v>
      </c>
      <c r="AA150" s="11" t="s">
        <v>540</v>
      </c>
      <c r="AB150" s="11">
        <v>0.28092299999999998</v>
      </c>
      <c r="AC150" s="11">
        <v>2.0580970000000001</v>
      </c>
      <c r="AD150" s="11"/>
      <c r="AE150" s="11"/>
      <c r="AF150" s="11">
        <v>-0.512957</v>
      </c>
      <c r="AG150" s="11">
        <v>-0.399949</v>
      </c>
      <c r="AH150" s="11"/>
      <c r="AI150" s="11"/>
      <c r="AJ150" s="11">
        <v>100</v>
      </c>
      <c r="AK150" s="11" t="s">
        <v>44</v>
      </c>
      <c r="AL150" s="11" t="s">
        <v>541</v>
      </c>
      <c r="AM150" s="11">
        <v>0.90786100000000003</v>
      </c>
      <c r="AN150" s="11">
        <v>0.90786100000000003</v>
      </c>
      <c r="AO150" s="11"/>
    </row>
    <row r="151" spans="1:41" x14ac:dyDescent="0.2">
      <c r="A151" s="11" t="s">
        <v>548</v>
      </c>
      <c r="B151" s="11" t="s">
        <v>549</v>
      </c>
      <c r="C151" s="11" t="s">
        <v>550</v>
      </c>
      <c r="D151" s="11" t="s">
        <v>41</v>
      </c>
      <c r="E151" s="12">
        <v>43647</v>
      </c>
      <c r="F151" s="11" t="s">
        <v>843</v>
      </c>
      <c r="G151" s="11">
        <v>88.9</v>
      </c>
      <c r="H151" s="11">
        <v>0</v>
      </c>
      <c r="I151" s="11">
        <v>142.88011399999999</v>
      </c>
      <c r="J151" s="11">
        <v>1.125E-2</v>
      </c>
      <c r="K151" s="11">
        <v>0.62252300000000005</v>
      </c>
      <c r="L151" s="11">
        <v>18.249534000000001</v>
      </c>
      <c r="M151" s="11">
        <v>15.364652</v>
      </c>
      <c r="N151" s="11">
        <v>13393.276268</v>
      </c>
      <c r="O151" s="11">
        <v>11906.622601999999</v>
      </c>
      <c r="P151" s="11">
        <v>3691.2892489999999</v>
      </c>
      <c r="Q151" s="11">
        <v>3092.3089970000001</v>
      </c>
      <c r="R151" s="11">
        <v>0.42419899999999999</v>
      </c>
      <c r="S151" s="11">
        <v>1.619048</v>
      </c>
      <c r="T151" s="11">
        <v>1.560244</v>
      </c>
      <c r="U151" s="11">
        <v>7.5376839999999996</v>
      </c>
      <c r="V151" s="11">
        <v>3.6667529999999999</v>
      </c>
      <c r="W151" s="11">
        <v>0</v>
      </c>
      <c r="X151" s="12">
        <v>42188</v>
      </c>
      <c r="Y151" s="11">
        <v>2</v>
      </c>
      <c r="Z151" s="11" t="s">
        <v>549</v>
      </c>
      <c r="AA151" s="11" t="s">
        <v>540</v>
      </c>
      <c r="AB151" s="11">
        <v>0.270146</v>
      </c>
      <c r="AC151" s="11">
        <v>2.0496940000000001</v>
      </c>
      <c r="AD151" s="11">
        <v>24.340544000000001</v>
      </c>
      <c r="AE151" s="11">
        <v>16.405422999999999</v>
      </c>
      <c r="AF151" s="11">
        <v>-0.52364900000000003</v>
      </c>
      <c r="AG151" s="11">
        <v>-0.40815099999999999</v>
      </c>
      <c r="AH151" s="11">
        <v>10.033621</v>
      </c>
      <c r="AI151" s="11">
        <v>2.8555079999999999</v>
      </c>
      <c r="AJ151" s="11">
        <v>100</v>
      </c>
      <c r="AK151" s="11" t="s">
        <v>44</v>
      </c>
      <c r="AL151" s="11" t="s">
        <v>541</v>
      </c>
      <c r="AM151" s="11">
        <v>0.42419899999999999</v>
      </c>
      <c r="AN151" s="11">
        <v>0.42419899999999999</v>
      </c>
      <c r="AO151" s="11"/>
    </row>
    <row r="152" spans="1:41" x14ac:dyDescent="0.2">
      <c r="A152" s="11" t="s">
        <v>551</v>
      </c>
      <c r="B152" s="11" t="s">
        <v>552</v>
      </c>
      <c r="C152" s="11" t="s">
        <v>553</v>
      </c>
      <c r="D152" s="11" t="s">
        <v>41</v>
      </c>
      <c r="E152" s="12">
        <v>43739</v>
      </c>
      <c r="F152" s="11" t="s">
        <v>843</v>
      </c>
      <c r="G152" s="11">
        <v>86.65</v>
      </c>
      <c r="H152" s="11">
        <v>0</v>
      </c>
      <c r="I152" s="11">
        <v>103.57398999999999</v>
      </c>
      <c r="J152" s="11">
        <v>1.1542E-2</v>
      </c>
      <c r="K152" s="11">
        <v>0.58038400000000001</v>
      </c>
      <c r="L152" s="11"/>
      <c r="M152" s="11"/>
      <c r="N152" s="11">
        <v>17776.382131999999</v>
      </c>
      <c r="O152" s="11">
        <v>15403.235117</v>
      </c>
      <c r="P152" s="11">
        <v>4775.3085060000003</v>
      </c>
      <c r="Q152" s="11">
        <v>4000.425992</v>
      </c>
      <c r="R152" s="11">
        <v>0.54877399999999998</v>
      </c>
      <c r="S152" s="11">
        <v>1.880952</v>
      </c>
      <c r="T152" s="11">
        <v>1.8093399999999999</v>
      </c>
      <c r="U152" s="11">
        <v>7.9158080000000002</v>
      </c>
      <c r="V152" s="11">
        <v>4.6531149999999997</v>
      </c>
      <c r="W152" s="11">
        <v>0</v>
      </c>
      <c r="X152" s="12">
        <v>42923</v>
      </c>
      <c r="Y152" s="11">
        <v>2</v>
      </c>
      <c r="Z152" s="11" t="s">
        <v>552</v>
      </c>
      <c r="AA152" s="11" t="s">
        <v>540</v>
      </c>
      <c r="AB152" s="11">
        <v>0.27043800000000001</v>
      </c>
      <c r="AC152" s="11">
        <v>2.0069560000000002</v>
      </c>
      <c r="AD152" s="11"/>
      <c r="AE152" s="11"/>
      <c r="AF152" s="11">
        <v>-0.52335900000000002</v>
      </c>
      <c r="AG152" s="11">
        <v>-0.44985900000000001</v>
      </c>
      <c r="AH152" s="11"/>
      <c r="AI152" s="11"/>
      <c r="AJ152" s="11">
        <v>100</v>
      </c>
      <c r="AK152" s="11" t="s">
        <v>44</v>
      </c>
      <c r="AL152" s="11" t="s">
        <v>541</v>
      </c>
      <c r="AM152" s="11">
        <v>0.54877399999999998</v>
      </c>
      <c r="AN152" s="11">
        <v>0.54877399999999998</v>
      </c>
      <c r="AO152" s="11"/>
    </row>
    <row r="153" spans="1:41" x14ac:dyDescent="0.2">
      <c r="A153" s="11" t="s">
        <v>554</v>
      </c>
      <c r="B153" s="11" t="s">
        <v>555</v>
      </c>
      <c r="C153" s="11" t="s">
        <v>556</v>
      </c>
      <c r="D153" s="11" t="s">
        <v>41</v>
      </c>
      <c r="E153" s="12">
        <v>43831</v>
      </c>
      <c r="F153" s="11" t="s">
        <v>843</v>
      </c>
      <c r="G153" s="11">
        <v>84.52</v>
      </c>
      <c r="H153" s="11">
        <v>0</v>
      </c>
      <c r="I153" s="11">
        <v>150.76702299999999</v>
      </c>
      <c r="J153" s="11">
        <v>-1.183E-2</v>
      </c>
      <c r="K153" s="11">
        <v>0.52331099999999997</v>
      </c>
      <c r="L153" s="11">
        <v>19.226970999999999</v>
      </c>
      <c r="M153" s="11">
        <v>16.114851999999999</v>
      </c>
      <c r="N153" s="11">
        <v>26382.059195000002</v>
      </c>
      <c r="O153" s="11">
        <v>22298.116564</v>
      </c>
      <c r="P153" s="11">
        <v>6912.8585579999999</v>
      </c>
      <c r="Q153" s="11">
        <v>5791.1188389999998</v>
      </c>
      <c r="R153" s="11">
        <v>0.79441899999999999</v>
      </c>
      <c r="S153" s="11">
        <v>2.1428569999999998</v>
      </c>
      <c r="T153" s="11">
        <v>2.0588090000000001</v>
      </c>
      <c r="U153" s="11">
        <v>8.1647049999999997</v>
      </c>
      <c r="V153" s="11">
        <v>5.7563440000000003</v>
      </c>
      <c r="W153" s="11">
        <v>0</v>
      </c>
      <c r="X153" s="12">
        <v>42377</v>
      </c>
      <c r="Y153" s="11">
        <v>2</v>
      </c>
      <c r="Z153" s="11" t="s">
        <v>555</v>
      </c>
      <c r="AA153" s="11" t="s">
        <v>540</v>
      </c>
      <c r="AB153" s="11">
        <v>0.247006</v>
      </c>
      <c r="AC153" s="11">
        <v>1.949074</v>
      </c>
      <c r="AD153" s="11">
        <v>25.368328000000002</v>
      </c>
      <c r="AE153" s="11">
        <v>17.162391</v>
      </c>
      <c r="AF153" s="11">
        <v>-0.54660500000000001</v>
      </c>
      <c r="AG153" s="11">
        <v>-0.50634699999999999</v>
      </c>
      <c r="AH153" s="11">
        <v>10.943146</v>
      </c>
      <c r="AI153" s="11">
        <v>3.5243630000000001</v>
      </c>
      <c r="AJ153" s="11">
        <v>100</v>
      </c>
      <c r="AK153" s="11" t="s">
        <v>44</v>
      </c>
      <c r="AL153" s="11" t="s">
        <v>541</v>
      </c>
      <c r="AM153" s="11">
        <v>0.79441899999999999</v>
      </c>
      <c r="AN153" s="11">
        <v>0.79441899999999999</v>
      </c>
      <c r="AO153" s="11"/>
    </row>
    <row r="154" spans="1:41" x14ac:dyDescent="0.2">
      <c r="A154" s="11" t="s">
        <v>557</v>
      </c>
      <c r="B154" s="11" t="s">
        <v>558</v>
      </c>
      <c r="C154" s="11" t="s">
        <v>559</v>
      </c>
      <c r="D154" s="11" t="s">
        <v>41</v>
      </c>
      <c r="E154" s="12">
        <v>44013</v>
      </c>
      <c r="F154" s="11" t="s">
        <v>843</v>
      </c>
      <c r="G154" s="11">
        <v>80.319999999999993</v>
      </c>
      <c r="H154" s="11">
        <v>0</v>
      </c>
      <c r="I154" s="11">
        <v>125.755441</v>
      </c>
      <c r="J154" s="11">
        <v>-4.9775E-2</v>
      </c>
      <c r="K154" s="11">
        <v>0.42510599999999998</v>
      </c>
      <c r="L154" s="11">
        <v>20.041846</v>
      </c>
      <c r="M154" s="11">
        <v>16.693301999999999</v>
      </c>
      <c r="N154" s="11">
        <v>53123.730973999998</v>
      </c>
      <c r="O154" s="11">
        <v>42668.980717999999</v>
      </c>
      <c r="P154" s="11">
        <v>13228.230629</v>
      </c>
      <c r="Q154" s="11">
        <v>11081.704473</v>
      </c>
      <c r="R154" s="11">
        <v>1.5201750000000001</v>
      </c>
      <c r="S154" s="11">
        <v>2.6587299999999998</v>
      </c>
      <c r="T154" s="11">
        <v>2.5492159999999999</v>
      </c>
      <c r="U154" s="11">
        <v>8.5919550000000005</v>
      </c>
      <c r="V154" s="11">
        <v>8.2491529999999997</v>
      </c>
      <c r="W154" s="11">
        <v>0</v>
      </c>
      <c r="X154" s="12">
        <v>42559</v>
      </c>
      <c r="Y154" s="11">
        <v>2</v>
      </c>
      <c r="Z154" s="11" t="s">
        <v>558</v>
      </c>
      <c r="AA154" s="11" t="s">
        <v>540</v>
      </c>
      <c r="AB154" s="11">
        <v>0.20896200000000001</v>
      </c>
      <c r="AC154" s="11">
        <v>1.849477</v>
      </c>
      <c r="AD154" s="11">
        <v>26.225176999999999</v>
      </c>
      <c r="AE154" s="11">
        <v>17.74606</v>
      </c>
      <c r="AF154" s="11">
        <v>-0.58434799999999998</v>
      </c>
      <c r="AG154" s="11">
        <v>-0.60354600000000003</v>
      </c>
      <c r="AH154" s="11">
        <v>11.701404</v>
      </c>
      <c r="AI154" s="11">
        <v>4.0400910000000003</v>
      </c>
      <c r="AJ154" s="11">
        <v>100</v>
      </c>
      <c r="AK154" s="11" t="s">
        <v>44</v>
      </c>
      <c r="AL154" s="11" t="s">
        <v>541</v>
      </c>
      <c r="AM154" s="11">
        <v>1.5201750000000001</v>
      </c>
      <c r="AN154" s="11">
        <v>1.5201750000000001</v>
      </c>
      <c r="AO154" s="11"/>
    </row>
    <row r="155" spans="1:41" x14ac:dyDescent="0.2">
      <c r="A155" s="11" t="s">
        <v>560</v>
      </c>
      <c r="B155" s="11" t="s">
        <v>561</v>
      </c>
      <c r="C155" s="11" t="s">
        <v>562</v>
      </c>
      <c r="D155" s="11" t="s">
        <v>41</v>
      </c>
      <c r="E155" s="12">
        <v>44197</v>
      </c>
      <c r="F155" s="11" t="s">
        <v>844</v>
      </c>
      <c r="G155" s="11">
        <v>102.496246</v>
      </c>
      <c r="H155" s="11">
        <v>4.1269270000000002</v>
      </c>
      <c r="I155" s="11">
        <v>275.79135600000001</v>
      </c>
      <c r="J155" s="11">
        <v>-5.5729000000000001E-2</v>
      </c>
      <c r="K155" s="11">
        <v>0.424923</v>
      </c>
      <c r="L155" s="11">
        <v>19.231628000000001</v>
      </c>
      <c r="M155" s="11">
        <v>16.026882000000001</v>
      </c>
      <c r="N155" s="11">
        <v>28671.693538</v>
      </c>
      <c r="O155" s="11">
        <v>30570.669259999999</v>
      </c>
      <c r="P155" s="11">
        <v>9477.5140319999991</v>
      </c>
      <c r="Q155" s="11">
        <v>7939.6113189999996</v>
      </c>
      <c r="R155" s="11">
        <v>1.0891459999999999</v>
      </c>
      <c r="S155" s="11">
        <v>2.7196020000000001</v>
      </c>
      <c r="T155" s="11">
        <v>2.6063710000000002</v>
      </c>
      <c r="U155" s="11">
        <v>8.688796</v>
      </c>
      <c r="V155" s="11">
        <v>9.2821180000000005</v>
      </c>
      <c r="W155" s="11">
        <v>10</v>
      </c>
      <c r="X155" s="12">
        <v>40214</v>
      </c>
      <c r="Y155" s="11">
        <v>2</v>
      </c>
      <c r="Z155" s="11" t="s">
        <v>563</v>
      </c>
      <c r="AA155" s="11" t="s">
        <v>540</v>
      </c>
      <c r="AB155" s="11">
        <v>0.20299300000000001</v>
      </c>
      <c r="AC155" s="11">
        <v>1.8492900000000001</v>
      </c>
      <c r="AD155" s="11">
        <v>25.373225000000001</v>
      </c>
      <c r="AE155" s="11">
        <v>17.073626999999998</v>
      </c>
      <c r="AF155" s="11">
        <v>-0.59026999999999996</v>
      </c>
      <c r="AG155" s="11">
        <v>-0.60372700000000001</v>
      </c>
      <c r="AH155" s="11">
        <v>10.947479</v>
      </c>
      <c r="AI155" s="11">
        <v>3.4459309999999999</v>
      </c>
      <c r="AJ155" s="11">
        <v>100</v>
      </c>
      <c r="AK155" s="11" t="s">
        <v>44</v>
      </c>
      <c r="AL155" s="11" t="s">
        <v>541</v>
      </c>
      <c r="AM155" s="11">
        <v>1.0891459999999999</v>
      </c>
      <c r="AN155" s="11">
        <v>1.0891459999999999</v>
      </c>
      <c r="AO155" s="11"/>
    </row>
    <row r="156" spans="1:41" x14ac:dyDescent="0.2">
      <c r="A156" s="11" t="s">
        <v>564</v>
      </c>
      <c r="B156" s="11" t="s">
        <v>565</v>
      </c>
      <c r="C156" s="11" t="s">
        <v>566</v>
      </c>
      <c r="D156" s="11" t="s">
        <v>41</v>
      </c>
      <c r="E156" s="12">
        <v>44378</v>
      </c>
      <c r="F156" s="11" t="s">
        <v>844</v>
      </c>
      <c r="G156" s="11">
        <v>72.290000000000006</v>
      </c>
      <c r="H156" s="11">
        <v>0</v>
      </c>
      <c r="I156" s="11">
        <v>103.182987</v>
      </c>
      <c r="J156" s="11">
        <v>-0.13814100000000001</v>
      </c>
      <c r="K156" s="11">
        <v>0.36096</v>
      </c>
      <c r="L156" s="11"/>
      <c r="M156" s="11"/>
      <c r="N156" s="11">
        <v>22509.879021000001</v>
      </c>
      <c r="O156" s="11">
        <v>16272.391545</v>
      </c>
      <c r="P156" s="11">
        <v>5044.764244</v>
      </c>
      <c r="Q156" s="11">
        <v>4226.1575300000004</v>
      </c>
      <c r="R156" s="11">
        <v>0.579739</v>
      </c>
      <c r="S156" s="11">
        <v>3.6944439999999998</v>
      </c>
      <c r="T156" s="11">
        <v>3.5323060000000002</v>
      </c>
      <c r="U156" s="11">
        <v>9.1802890000000001</v>
      </c>
      <c r="V156" s="11">
        <v>14.549393</v>
      </c>
      <c r="W156" s="11">
        <v>0</v>
      </c>
      <c r="X156" s="12">
        <v>42923</v>
      </c>
      <c r="Y156" s="11">
        <v>2</v>
      </c>
      <c r="Z156" s="11" t="s">
        <v>565</v>
      </c>
      <c r="AA156" s="11" t="s">
        <v>540</v>
      </c>
      <c r="AB156" s="11">
        <v>0.120368</v>
      </c>
      <c r="AC156" s="11">
        <v>1.7844199999999999</v>
      </c>
      <c r="AD156" s="11"/>
      <c r="AE156" s="11"/>
      <c r="AF156" s="11">
        <v>-0.67224099999999998</v>
      </c>
      <c r="AG156" s="11">
        <v>-0.66703500000000004</v>
      </c>
      <c r="AH156" s="11"/>
      <c r="AI156" s="11"/>
      <c r="AJ156" s="11">
        <v>100</v>
      </c>
      <c r="AK156" s="11" t="s">
        <v>44</v>
      </c>
      <c r="AL156" s="11" t="s">
        <v>541</v>
      </c>
      <c r="AM156" s="11">
        <v>0.579739</v>
      </c>
      <c r="AN156" s="11">
        <v>0.579739</v>
      </c>
      <c r="AO156" s="11"/>
    </row>
    <row r="157" spans="1:41" x14ac:dyDescent="0.2">
      <c r="A157" s="11" t="s">
        <v>567</v>
      </c>
      <c r="B157" s="11" t="s">
        <v>568</v>
      </c>
      <c r="C157" s="11" t="s">
        <v>569</v>
      </c>
      <c r="D157" s="11" t="s">
        <v>41</v>
      </c>
      <c r="E157" s="12">
        <v>44927</v>
      </c>
      <c r="F157" s="11" t="s">
        <v>845</v>
      </c>
      <c r="G157" s="11">
        <v>100.936245</v>
      </c>
      <c r="H157" s="11">
        <v>4.1269270000000002</v>
      </c>
      <c r="I157" s="11">
        <v>189.16918100000001</v>
      </c>
      <c r="J157" s="11">
        <v>-0.218165</v>
      </c>
      <c r="K157" s="11">
        <v>-0.189834</v>
      </c>
      <c r="L157" s="11">
        <v>20.363258999999999</v>
      </c>
      <c r="M157" s="11">
        <v>17.056470999999998</v>
      </c>
      <c r="N157" s="11">
        <v>36096.156689000003</v>
      </c>
      <c r="O157" s="11">
        <v>37923.767187999998</v>
      </c>
      <c r="P157" s="11">
        <v>11757.120284000001</v>
      </c>
      <c r="Q157" s="11">
        <v>9849.3091089999998</v>
      </c>
      <c r="R157" s="11">
        <v>1.351116</v>
      </c>
      <c r="S157" s="11">
        <v>4.096698</v>
      </c>
      <c r="T157" s="11">
        <v>3.912534</v>
      </c>
      <c r="U157" s="11">
        <v>9.4140969999999999</v>
      </c>
      <c r="V157" s="11">
        <v>19.951217</v>
      </c>
      <c r="W157" s="11">
        <v>10</v>
      </c>
      <c r="X157" s="12">
        <v>40977</v>
      </c>
      <c r="Y157" s="11">
        <v>2</v>
      </c>
      <c r="Z157" s="11" t="s">
        <v>568</v>
      </c>
      <c r="AA157" s="11" t="s">
        <v>540</v>
      </c>
      <c r="AB157" s="11">
        <v>4.0135999999999998E-2</v>
      </c>
      <c r="AC157" s="11">
        <v>1.225814</v>
      </c>
      <c r="AD157" s="11">
        <v>26.563146</v>
      </c>
      <c r="AE157" s="11">
        <v>18.112504999999999</v>
      </c>
      <c r="AF157" s="11">
        <v>-0.75183699999999998</v>
      </c>
      <c r="AG157" s="11">
        <v>-1.2121869999999999</v>
      </c>
      <c r="AH157" s="11">
        <v>12.000484999999999</v>
      </c>
      <c r="AI157" s="11">
        <v>4.3638810000000001</v>
      </c>
      <c r="AJ157" s="11">
        <v>100</v>
      </c>
      <c r="AK157" s="11" t="s">
        <v>44</v>
      </c>
      <c r="AL157" s="11" t="s">
        <v>541</v>
      </c>
      <c r="AM157" s="11">
        <v>1.351116</v>
      </c>
      <c r="AN157" s="11">
        <v>1.351116</v>
      </c>
      <c r="AO157" s="11"/>
    </row>
    <row r="158" spans="1:41" x14ac:dyDescent="0.2">
      <c r="A158" s="11" t="s">
        <v>570</v>
      </c>
      <c r="B158" s="11" t="s">
        <v>571</v>
      </c>
      <c r="C158" s="11" t="s">
        <v>572</v>
      </c>
      <c r="D158" s="11" t="s">
        <v>41</v>
      </c>
      <c r="E158" s="12">
        <v>45658</v>
      </c>
      <c r="F158" s="11" t="s">
        <v>846</v>
      </c>
      <c r="G158" s="11">
        <v>99.836245000000005</v>
      </c>
      <c r="H158" s="11">
        <v>4.1269270000000002</v>
      </c>
      <c r="I158" s="11">
        <v>184.38994500000001</v>
      </c>
      <c r="J158" s="11">
        <v>-0.30671700000000002</v>
      </c>
      <c r="K158" s="11">
        <v>-0.697882</v>
      </c>
      <c r="L158" s="11">
        <v>20.949632000000001</v>
      </c>
      <c r="M158" s="11">
        <v>17.339859000000001</v>
      </c>
      <c r="N158" s="11">
        <v>19413.568630999998</v>
      </c>
      <c r="O158" s="11">
        <v>20182.961748000002</v>
      </c>
      <c r="P158" s="11">
        <v>6257.1185969999997</v>
      </c>
      <c r="Q158" s="11">
        <v>5241.7848679999997</v>
      </c>
      <c r="R158" s="11">
        <v>0.71906199999999998</v>
      </c>
      <c r="S158" s="11">
        <v>5.2330579999999998</v>
      </c>
      <c r="T158" s="11">
        <v>4.9914800000000001</v>
      </c>
      <c r="U158" s="11">
        <v>9.6796050000000005</v>
      </c>
      <c r="V158" s="11">
        <v>32.654479000000002</v>
      </c>
      <c r="W158" s="11">
        <v>10</v>
      </c>
      <c r="X158" s="12">
        <v>41649</v>
      </c>
      <c r="Y158" s="11">
        <v>2</v>
      </c>
      <c r="Z158" s="11" t="s">
        <v>571</v>
      </c>
      <c r="AA158" s="11" t="s">
        <v>540</v>
      </c>
      <c r="AB158" s="11">
        <v>-4.8645000000000001E-2</v>
      </c>
      <c r="AC158" s="11">
        <v>0.710561</v>
      </c>
      <c r="AD158" s="11">
        <v>27.179722999999999</v>
      </c>
      <c r="AE158" s="11">
        <v>18.398448999999999</v>
      </c>
      <c r="AF158" s="11">
        <v>-0.839916</v>
      </c>
      <c r="AG158" s="11">
        <v>-1.715031</v>
      </c>
      <c r="AH158" s="11">
        <v>12.546117000000001</v>
      </c>
      <c r="AI158" s="11">
        <v>4.6165409999999998</v>
      </c>
      <c r="AJ158" s="11">
        <v>100</v>
      </c>
      <c r="AK158" s="11" t="s">
        <v>44</v>
      </c>
      <c r="AL158" s="11" t="s">
        <v>541</v>
      </c>
      <c r="AM158" s="11">
        <v>0.71906199999999998</v>
      </c>
      <c r="AN158" s="11">
        <v>0.71906199999999998</v>
      </c>
      <c r="AO158" s="11"/>
    </row>
    <row r="159" spans="1:41" x14ac:dyDescent="0.2">
      <c r="A159" s="11" t="s">
        <v>573</v>
      </c>
      <c r="B159" s="11" t="s">
        <v>574</v>
      </c>
      <c r="C159" s="11" t="s">
        <v>575</v>
      </c>
      <c r="D159" s="11" t="s">
        <v>41</v>
      </c>
      <c r="E159" s="12">
        <v>46388</v>
      </c>
      <c r="F159" s="11" t="s">
        <v>846</v>
      </c>
      <c r="G159" s="11">
        <v>99.296244999999999</v>
      </c>
      <c r="H159" s="11">
        <v>4.1269270000000002</v>
      </c>
      <c r="I159" s="11">
        <v>163.89717200000001</v>
      </c>
      <c r="J159" s="11">
        <v>-0.36602800000000002</v>
      </c>
      <c r="K159" s="11">
        <v>-1.0061199999999999</v>
      </c>
      <c r="L159" s="11">
        <v>22.060749000000001</v>
      </c>
      <c r="M159" s="11">
        <v>17.588978999999998</v>
      </c>
      <c r="N159" s="11">
        <v>21322.495750999999</v>
      </c>
      <c r="O159" s="11">
        <v>22052.401454999999</v>
      </c>
      <c r="P159" s="11">
        <v>6836.6819990000004</v>
      </c>
      <c r="Q159" s="11">
        <v>5727.3033420000002</v>
      </c>
      <c r="R159" s="11">
        <v>0.78566400000000003</v>
      </c>
      <c r="S159" s="11">
        <v>6.1666600000000003</v>
      </c>
      <c r="T159" s="11">
        <v>5.8795500000000001</v>
      </c>
      <c r="U159" s="11">
        <v>9.7663820000000001</v>
      </c>
      <c r="V159" s="11">
        <v>46.330402999999997</v>
      </c>
      <c r="W159" s="11">
        <v>10</v>
      </c>
      <c r="X159" s="12">
        <v>42384</v>
      </c>
      <c r="Y159" s="11">
        <v>2</v>
      </c>
      <c r="Z159" s="11" t="s">
        <v>574</v>
      </c>
      <c r="AA159" s="11" t="s">
        <v>540</v>
      </c>
      <c r="AB159" s="11">
        <v>-0.108109</v>
      </c>
      <c r="AC159" s="11">
        <v>0.397951</v>
      </c>
      <c r="AD159" s="11">
        <v>28.348072999999999</v>
      </c>
      <c r="AE159" s="11">
        <v>18.649818</v>
      </c>
      <c r="AF159" s="11">
        <v>-0.89890899999999996</v>
      </c>
      <c r="AG159" s="11">
        <v>-2.0201120000000001</v>
      </c>
      <c r="AH159" s="11">
        <v>13.580033999999999</v>
      </c>
      <c r="AI159" s="11">
        <v>4.8386490000000002</v>
      </c>
      <c r="AJ159" s="11">
        <v>100</v>
      </c>
      <c r="AK159" s="11" t="s">
        <v>44</v>
      </c>
      <c r="AL159" s="11" t="s">
        <v>541</v>
      </c>
      <c r="AM159" s="11">
        <v>0.78566400000000003</v>
      </c>
      <c r="AN159" s="11">
        <v>0.78566400000000003</v>
      </c>
      <c r="AO159" s="11"/>
    </row>
    <row r="160" spans="1:41" x14ac:dyDescent="0.2">
      <c r="A160" s="11" t="s">
        <v>576</v>
      </c>
      <c r="B160" s="11" t="s">
        <v>577</v>
      </c>
      <c r="C160" s="11" t="s">
        <v>578</v>
      </c>
      <c r="D160" s="11" t="s">
        <v>41</v>
      </c>
      <c r="E160" s="12">
        <v>44566</v>
      </c>
      <c r="F160" s="11" t="s">
        <v>844</v>
      </c>
      <c r="G160" s="11">
        <v>113.75</v>
      </c>
      <c r="H160" s="11">
        <v>5.2083329999999997</v>
      </c>
      <c r="I160" s="11">
        <v>374.58554400000003</v>
      </c>
      <c r="J160" s="11">
        <v>2.9248E-2</v>
      </c>
      <c r="K160" s="11">
        <v>1.303318</v>
      </c>
      <c r="L160" s="11">
        <v>17.085101999999999</v>
      </c>
      <c r="M160" s="11">
        <v>21.639900000000001</v>
      </c>
      <c r="N160" s="11">
        <v>637.05894000000001</v>
      </c>
      <c r="O160" s="11">
        <v>757.83469700000001</v>
      </c>
      <c r="P160" s="11">
        <v>234.943793</v>
      </c>
      <c r="Q160" s="11">
        <v>196.81979799999999</v>
      </c>
      <c r="R160" s="11">
        <v>2.6998999999999999E-2</v>
      </c>
      <c r="S160" s="11">
        <v>3.2277110000000002</v>
      </c>
      <c r="T160" s="11">
        <v>3.0969630000000001</v>
      </c>
      <c r="U160" s="11">
        <v>8.443638</v>
      </c>
      <c r="V160" s="11">
        <v>12.696603</v>
      </c>
      <c r="W160" s="11">
        <v>12.5</v>
      </c>
      <c r="X160" s="12">
        <v>38973</v>
      </c>
      <c r="Y160" s="11">
        <v>2</v>
      </c>
      <c r="Z160" s="11" t="s">
        <v>577</v>
      </c>
      <c r="AA160" s="11" t="s">
        <v>579</v>
      </c>
      <c r="AB160" s="11">
        <v>0.28819099999999997</v>
      </c>
      <c r="AC160" s="11">
        <v>2.7401439999999999</v>
      </c>
      <c r="AD160" s="11">
        <v>23.116132</v>
      </c>
      <c r="AE160" s="11">
        <v>22.737283999999999</v>
      </c>
      <c r="AF160" s="11">
        <v>-0.50574699999999995</v>
      </c>
      <c r="AG160" s="11">
        <v>0.26567000000000002</v>
      </c>
      <c r="AH160" s="11">
        <v>8.9500930000000007</v>
      </c>
      <c r="AI160" s="11">
        <v>8.4503229999999991</v>
      </c>
      <c r="AJ160" s="11">
        <v>100</v>
      </c>
      <c r="AK160" s="11" t="s">
        <v>44</v>
      </c>
      <c r="AL160" s="11" t="s">
        <v>541</v>
      </c>
      <c r="AM160" s="11">
        <v>2.6998999999999999E-2</v>
      </c>
      <c r="AN160" s="11">
        <v>2.6998999999999999E-2</v>
      </c>
      <c r="AO160" s="11"/>
    </row>
    <row r="161" spans="1:41" x14ac:dyDescent="0.2">
      <c r="A161" s="11" t="s">
        <v>580</v>
      </c>
      <c r="B161" s="11" t="s">
        <v>581</v>
      </c>
      <c r="C161" s="11" t="s">
        <v>582</v>
      </c>
      <c r="D161" s="11" t="s">
        <v>41</v>
      </c>
      <c r="E161" s="12">
        <v>45296</v>
      </c>
      <c r="F161" s="11" t="s">
        <v>845</v>
      </c>
      <c r="G161" s="11">
        <v>102.375</v>
      </c>
      <c r="H161" s="11">
        <v>3.5416669999999999</v>
      </c>
      <c r="I161" s="11">
        <v>162.838112</v>
      </c>
      <c r="J161" s="11">
        <v>2.2327E-2</v>
      </c>
      <c r="K161" s="11">
        <v>1.306268</v>
      </c>
      <c r="L161" s="11">
        <v>19.835488000000002</v>
      </c>
      <c r="M161" s="11">
        <v>23.552311</v>
      </c>
      <c r="N161" s="11">
        <v>905.39871000000005</v>
      </c>
      <c r="O161" s="11">
        <v>958.96813399999996</v>
      </c>
      <c r="P161" s="11">
        <v>297.299149</v>
      </c>
      <c r="Q161" s="11">
        <v>249.056839</v>
      </c>
      <c r="R161" s="11">
        <v>3.4165000000000001E-2</v>
      </c>
      <c r="S161" s="11">
        <v>4.7281089999999999</v>
      </c>
      <c r="T161" s="11">
        <v>4.5463259999999996</v>
      </c>
      <c r="U161" s="11">
        <v>7.9969010000000003</v>
      </c>
      <c r="V161" s="11">
        <v>26.580666000000001</v>
      </c>
      <c r="W161" s="11">
        <v>8.5</v>
      </c>
      <c r="X161" s="12">
        <v>41026</v>
      </c>
      <c r="Y161" s="11">
        <v>2</v>
      </c>
      <c r="Z161" s="11" t="s">
        <v>581</v>
      </c>
      <c r="AA161" s="11" t="s">
        <v>579</v>
      </c>
      <c r="AB161" s="11">
        <v>0.28125099999999997</v>
      </c>
      <c r="AC161" s="11">
        <v>2.7431359999999998</v>
      </c>
      <c r="AD161" s="11">
        <v>26.008189999999999</v>
      </c>
      <c r="AE161" s="11">
        <v>24.666948000000001</v>
      </c>
      <c r="AF161" s="11">
        <v>-0.51263099999999995</v>
      </c>
      <c r="AG161" s="11">
        <v>0.26859</v>
      </c>
      <c r="AH161" s="11">
        <v>11.509384000000001</v>
      </c>
      <c r="AI161" s="11">
        <v>10.155367999999999</v>
      </c>
      <c r="AJ161" s="11">
        <v>100</v>
      </c>
      <c r="AK161" s="11" t="s">
        <v>44</v>
      </c>
      <c r="AL161" s="11" t="s">
        <v>541</v>
      </c>
      <c r="AM161" s="11">
        <v>3.4165000000000001E-2</v>
      </c>
      <c r="AN161" s="11">
        <v>3.4165000000000001E-2</v>
      </c>
      <c r="AO161" s="11"/>
    </row>
    <row r="162" spans="1:41" x14ac:dyDescent="0.2">
      <c r="A162" s="11" t="s">
        <v>583</v>
      </c>
      <c r="B162" s="11" t="s">
        <v>584</v>
      </c>
      <c r="C162" s="11" t="s">
        <v>585</v>
      </c>
      <c r="D162" s="11" t="s">
        <v>41</v>
      </c>
      <c r="E162" s="12">
        <v>46762</v>
      </c>
      <c r="F162" s="11" t="s">
        <v>847</v>
      </c>
      <c r="G162" s="11">
        <v>109.25</v>
      </c>
      <c r="H162" s="11">
        <v>4.1284720000000004</v>
      </c>
      <c r="I162" s="11">
        <v>323.19965400000001</v>
      </c>
      <c r="J162" s="11">
        <v>2.5156999999999999E-2</v>
      </c>
      <c r="K162" s="11">
        <v>1.3339719999999999</v>
      </c>
      <c r="L162" s="11">
        <v>25.329491999999998</v>
      </c>
      <c r="M162" s="11">
        <v>30.193417</v>
      </c>
      <c r="N162" s="11">
        <v>1369.5333949999999</v>
      </c>
      <c r="O162" s="11">
        <v>1552.75604</v>
      </c>
      <c r="P162" s="11">
        <v>481.38518099999999</v>
      </c>
      <c r="Q162" s="11">
        <v>403.27149300000002</v>
      </c>
      <c r="R162" s="11">
        <v>5.5320000000000001E-2</v>
      </c>
      <c r="S162" s="11">
        <v>6.4434449999999996</v>
      </c>
      <c r="T162" s="11">
        <v>6.1706009999999996</v>
      </c>
      <c r="U162" s="11">
        <v>8.8433309999999992</v>
      </c>
      <c r="V162" s="11">
        <v>53.263316000000003</v>
      </c>
      <c r="W162" s="11">
        <v>10.25</v>
      </c>
      <c r="X162" s="12">
        <v>39127</v>
      </c>
      <c r="Y162" s="11">
        <v>2</v>
      </c>
      <c r="Z162" s="11" t="s">
        <v>584</v>
      </c>
      <c r="AA162" s="11" t="s">
        <v>579</v>
      </c>
      <c r="AB162" s="11">
        <v>0.28408800000000001</v>
      </c>
      <c r="AC162" s="11">
        <v>2.7712330000000001</v>
      </c>
      <c r="AD162" s="11">
        <v>31.785188999999999</v>
      </c>
      <c r="AE162" s="11">
        <v>31.367967</v>
      </c>
      <c r="AF162" s="11">
        <v>-0.50981699999999996</v>
      </c>
      <c r="AG162" s="11">
        <v>0.29601</v>
      </c>
      <c r="AH162" s="11">
        <v>16.621666999999999</v>
      </c>
      <c r="AI162" s="11">
        <v>16.076371000000002</v>
      </c>
      <c r="AJ162" s="11">
        <v>100</v>
      </c>
      <c r="AK162" s="11" t="s">
        <v>44</v>
      </c>
      <c r="AL162" s="11" t="s">
        <v>541</v>
      </c>
      <c r="AM162" s="11">
        <v>5.5320000000000001E-2</v>
      </c>
      <c r="AN162" s="11">
        <v>5.5320000000000001E-2</v>
      </c>
      <c r="AO162" s="11"/>
    </row>
    <row r="163" spans="1:41" x14ac:dyDescent="0.2">
      <c r="A163" s="11" t="s">
        <v>586</v>
      </c>
      <c r="B163" s="11" t="s">
        <v>587</v>
      </c>
      <c r="C163" s="11" t="s">
        <v>588</v>
      </c>
      <c r="D163" s="11" t="s">
        <v>41</v>
      </c>
      <c r="E163" s="12">
        <v>44255</v>
      </c>
      <c r="F163" s="11" t="s">
        <v>844</v>
      </c>
      <c r="G163" s="11">
        <v>102.43711</v>
      </c>
      <c r="H163" s="11">
        <v>1.121918</v>
      </c>
      <c r="I163" s="11">
        <v>102.565168</v>
      </c>
      <c r="J163" s="11">
        <v>0.20968100000000001</v>
      </c>
      <c r="K163" s="11">
        <v>4.8230000000000002E-2</v>
      </c>
      <c r="L163" s="11"/>
      <c r="M163" s="11"/>
      <c r="N163" s="11">
        <v>1000000</v>
      </c>
      <c r="O163" s="11">
        <v>1035590.278082</v>
      </c>
      <c r="P163" s="11">
        <v>1633.0367859999999</v>
      </c>
      <c r="Q163" s="11">
        <v>1368.046231</v>
      </c>
      <c r="R163" s="11">
        <v>0.187667</v>
      </c>
      <c r="S163" s="11">
        <v>3.0215649999999998</v>
      </c>
      <c r="T163" s="11">
        <v>2.9668100000000002</v>
      </c>
      <c r="U163" s="11">
        <v>3.6911990000000001</v>
      </c>
      <c r="V163" s="11">
        <v>10.669677</v>
      </c>
      <c r="W163" s="11">
        <v>4.5</v>
      </c>
      <c r="X163" s="12">
        <v>42614</v>
      </c>
      <c r="Y163" s="11">
        <v>2</v>
      </c>
      <c r="Z163" s="11" t="s">
        <v>587</v>
      </c>
      <c r="AA163" s="11" t="s">
        <v>589</v>
      </c>
      <c r="AB163" s="11">
        <v>0.38745600000000002</v>
      </c>
      <c r="AC163" s="11">
        <v>0.31722400000000001</v>
      </c>
      <c r="AD163" s="11"/>
      <c r="AE163" s="11"/>
      <c r="AF163" s="11">
        <v>-0.40726699999999999</v>
      </c>
      <c r="AG163" s="11">
        <v>-2.098894</v>
      </c>
      <c r="AH163" s="11"/>
      <c r="AI163" s="11"/>
      <c r="AJ163" s="11">
        <v>100</v>
      </c>
      <c r="AK163" s="11" t="s">
        <v>44</v>
      </c>
      <c r="AL163" s="11" t="s">
        <v>590</v>
      </c>
      <c r="AM163" s="11">
        <v>0.187667</v>
      </c>
      <c r="AN163" s="11">
        <v>0.187667</v>
      </c>
      <c r="AO163" s="11"/>
    </row>
    <row r="164" spans="1:41" x14ac:dyDescent="0.2">
      <c r="A164" s="11" t="s">
        <v>591</v>
      </c>
      <c r="B164" s="11" t="s">
        <v>592</v>
      </c>
      <c r="C164" s="11" t="s">
        <v>593</v>
      </c>
      <c r="D164" s="11" t="s">
        <v>41</v>
      </c>
      <c r="E164" s="12">
        <v>44256</v>
      </c>
      <c r="F164" s="11" t="s">
        <v>844</v>
      </c>
      <c r="G164" s="11">
        <v>102.45567</v>
      </c>
      <c r="H164" s="11">
        <v>1.121918</v>
      </c>
      <c r="I164" s="11">
        <v>100.94377299999999</v>
      </c>
      <c r="J164" s="11">
        <v>0.26839099999999999</v>
      </c>
      <c r="K164" s="11">
        <v>0.135576</v>
      </c>
      <c r="L164" s="11">
        <v>-1.0489999999999999E-2</v>
      </c>
      <c r="M164" s="11">
        <v>-2.2358470000000001</v>
      </c>
      <c r="N164" s="11">
        <v>2564600</v>
      </c>
      <c r="O164" s="11">
        <v>2656350.8169300002</v>
      </c>
      <c r="P164" s="11">
        <v>4188.8367369999996</v>
      </c>
      <c r="Q164" s="11">
        <v>3509.1201620000002</v>
      </c>
      <c r="R164" s="11">
        <v>0.481377</v>
      </c>
      <c r="S164" s="11">
        <v>3.0274420000000002</v>
      </c>
      <c r="T164" s="11">
        <v>2.9725820000000001</v>
      </c>
      <c r="U164" s="11">
        <v>3.691106</v>
      </c>
      <c r="V164" s="11">
        <v>10.710633</v>
      </c>
      <c r="W164" s="11">
        <v>4.5</v>
      </c>
      <c r="X164" s="12">
        <v>42488</v>
      </c>
      <c r="Y164" s="11">
        <v>2</v>
      </c>
      <c r="Z164" s="11" t="s">
        <v>592</v>
      </c>
      <c r="AA164" s="11" t="s">
        <v>589</v>
      </c>
      <c r="AB164" s="11">
        <v>0.44626900000000003</v>
      </c>
      <c r="AC164" s="11">
        <v>0.404804</v>
      </c>
      <c r="AD164" s="11">
        <v>7.0099830000000001</v>
      </c>
      <c r="AE164" s="11">
        <v>3.2578469999999999</v>
      </c>
      <c r="AF164" s="11">
        <v>-0.34892000000000001</v>
      </c>
      <c r="AG164" s="11">
        <v>-2.013423</v>
      </c>
      <c r="AH164" s="11">
        <v>-5.3028440000000003</v>
      </c>
      <c r="AI164" s="11">
        <v>-8.7616540000000001</v>
      </c>
      <c r="AJ164" s="11">
        <v>100</v>
      </c>
      <c r="AK164" s="11" t="s">
        <v>44</v>
      </c>
      <c r="AL164" s="11" t="s">
        <v>590</v>
      </c>
      <c r="AM164" s="11">
        <v>0.481377</v>
      </c>
      <c r="AN164" s="11">
        <v>0.481377</v>
      </c>
      <c r="AO164" s="11"/>
    </row>
    <row r="165" spans="1:41" x14ac:dyDescent="0.2">
      <c r="A165" s="11" t="s">
        <v>594</v>
      </c>
      <c r="B165" s="11" t="s">
        <v>595</v>
      </c>
      <c r="C165" s="11" t="s">
        <v>596</v>
      </c>
      <c r="D165" s="11" t="s">
        <v>41</v>
      </c>
      <c r="E165" s="12">
        <v>46082</v>
      </c>
      <c r="F165" s="11" t="s">
        <v>846</v>
      </c>
      <c r="G165" s="11">
        <v>100.03487</v>
      </c>
      <c r="H165" s="11">
        <v>1.121918</v>
      </c>
      <c r="I165" s="11">
        <v>99.530663000000004</v>
      </c>
      <c r="J165" s="11">
        <v>0.40944999999999998</v>
      </c>
      <c r="K165" s="11">
        <v>-0.25175500000000001</v>
      </c>
      <c r="L165" s="11">
        <v>-4.8889339999999999</v>
      </c>
      <c r="M165" s="11">
        <v>-7.7081480000000004</v>
      </c>
      <c r="N165" s="11">
        <v>3629400</v>
      </c>
      <c r="O165" s="11">
        <v>3671384.4567120001</v>
      </c>
      <c r="P165" s="11">
        <v>5789.4574730000004</v>
      </c>
      <c r="Q165" s="11">
        <v>4850.0104490000003</v>
      </c>
      <c r="R165" s="11">
        <v>0.66531799999999996</v>
      </c>
      <c r="S165" s="11">
        <v>6.9048350000000003</v>
      </c>
      <c r="T165" s="11">
        <v>6.7531220000000003</v>
      </c>
      <c r="U165" s="11">
        <v>4.4931039999999998</v>
      </c>
      <c r="V165" s="11">
        <v>54.446773</v>
      </c>
      <c r="W165" s="11">
        <v>4.5</v>
      </c>
      <c r="X165" s="12">
        <v>42064</v>
      </c>
      <c r="Y165" s="11">
        <v>2</v>
      </c>
      <c r="Z165" s="11" t="s">
        <v>595</v>
      </c>
      <c r="AA165" s="11" t="s">
        <v>589</v>
      </c>
      <c r="AB165" s="11">
        <v>0.58757899999999996</v>
      </c>
      <c r="AC165" s="11">
        <v>1.6431999999999999E-2</v>
      </c>
      <c r="AD165" s="11">
        <v>1.789013</v>
      </c>
      <c r="AE165" s="11">
        <v>-2.5219610000000001</v>
      </c>
      <c r="AF165" s="11">
        <v>-0.208729</v>
      </c>
      <c r="AG165" s="11">
        <v>-2.392442</v>
      </c>
      <c r="AH165" s="11">
        <v>-9.923076</v>
      </c>
      <c r="AI165" s="11">
        <v>-13.868676000000001</v>
      </c>
      <c r="AJ165" s="11">
        <v>100</v>
      </c>
      <c r="AK165" s="11" t="s">
        <v>44</v>
      </c>
      <c r="AL165" s="11" t="s">
        <v>590</v>
      </c>
      <c r="AM165" s="11">
        <v>0.66531799999999996</v>
      </c>
      <c r="AN165" s="11">
        <v>0.66531799999999996</v>
      </c>
      <c r="AO165" s="11"/>
    </row>
    <row r="166" spans="1:41" x14ac:dyDescent="0.2">
      <c r="A166" s="11" t="s">
        <v>597</v>
      </c>
      <c r="B166" s="11" t="s">
        <v>598</v>
      </c>
      <c r="C166" s="11" t="s">
        <v>599</v>
      </c>
      <c r="D166" s="11" t="s">
        <v>41</v>
      </c>
      <c r="E166" s="12">
        <v>49369</v>
      </c>
      <c r="F166" s="11" t="s">
        <v>847</v>
      </c>
      <c r="G166" s="11">
        <v>100.148775</v>
      </c>
      <c r="H166" s="11">
        <v>1.246575</v>
      </c>
      <c r="I166" s="11">
        <v>95.248282000000003</v>
      </c>
      <c r="J166" s="11">
        <v>0.191217</v>
      </c>
      <c r="K166" s="11">
        <v>-1.2919240000000001</v>
      </c>
      <c r="L166" s="11">
        <v>-3.603999</v>
      </c>
      <c r="M166" s="11">
        <v>-6.6139580000000002</v>
      </c>
      <c r="N166" s="11">
        <v>3415200</v>
      </c>
      <c r="O166" s="11">
        <v>3462854.004896</v>
      </c>
      <c r="P166" s="11">
        <v>5460.6228890000002</v>
      </c>
      <c r="Q166" s="11">
        <v>4574.5353850000001</v>
      </c>
      <c r="R166" s="11">
        <v>0.627529</v>
      </c>
      <c r="S166" s="11">
        <v>11.619265</v>
      </c>
      <c r="T166" s="11">
        <v>11.336739</v>
      </c>
      <c r="U166" s="11">
        <v>4.9842579999999996</v>
      </c>
      <c r="V166" s="11">
        <v>169.566272</v>
      </c>
      <c r="W166" s="11">
        <v>5</v>
      </c>
      <c r="X166" s="12">
        <v>42064</v>
      </c>
      <c r="Y166" s="11">
        <v>2</v>
      </c>
      <c r="Z166" s="11" t="s">
        <v>598</v>
      </c>
      <c r="AA166" s="11" t="s">
        <v>589</v>
      </c>
      <c r="AB166" s="11">
        <v>0.36895899999999998</v>
      </c>
      <c r="AC166" s="11">
        <v>-1.0265340000000001</v>
      </c>
      <c r="AD166" s="11">
        <v>3.1641659999999998</v>
      </c>
      <c r="AE166" s="11">
        <v>-1.366285</v>
      </c>
      <c r="AF166" s="11">
        <v>-0.425618</v>
      </c>
      <c r="AG166" s="11">
        <v>-3.410288</v>
      </c>
      <c r="AH166" s="11">
        <v>-8.7061519999999994</v>
      </c>
      <c r="AI166" s="11">
        <v>-12.847524</v>
      </c>
      <c r="AJ166" s="11">
        <v>100</v>
      </c>
      <c r="AK166" s="11" t="s">
        <v>44</v>
      </c>
      <c r="AL166" s="11" t="s">
        <v>590</v>
      </c>
      <c r="AM166" s="11">
        <v>0.627529</v>
      </c>
      <c r="AN166" s="11">
        <v>0.627529</v>
      </c>
      <c r="AO166" s="11"/>
    </row>
    <row r="167" spans="1:41" x14ac:dyDescent="0.2">
      <c r="A167" s="11" t="s">
        <v>600</v>
      </c>
      <c r="B167" s="11" t="s">
        <v>601</v>
      </c>
      <c r="C167" s="11" t="s">
        <v>602</v>
      </c>
      <c r="D167" s="11" t="s">
        <v>41</v>
      </c>
      <c r="E167" s="12">
        <v>52232</v>
      </c>
      <c r="F167" s="11" t="s">
        <v>847</v>
      </c>
      <c r="G167" s="11">
        <v>110.065325</v>
      </c>
      <c r="H167" s="11">
        <v>2.5150679999999999</v>
      </c>
      <c r="I167" s="11">
        <v>97.593011000000004</v>
      </c>
      <c r="J167" s="11">
        <v>-0.81382900000000002</v>
      </c>
      <c r="K167" s="11">
        <v>-2.1746150000000002</v>
      </c>
      <c r="L167" s="11">
        <v>-6.9485489999999999</v>
      </c>
      <c r="M167" s="11">
        <v>-9.2826649999999997</v>
      </c>
      <c r="N167" s="11">
        <v>1966130</v>
      </c>
      <c r="O167" s="11">
        <v>2213476.8905870002</v>
      </c>
      <c r="P167" s="11">
        <v>3490.4626520000002</v>
      </c>
      <c r="Q167" s="11">
        <v>2924.0702449999999</v>
      </c>
      <c r="R167" s="11">
        <v>0.40111999999999998</v>
      </c>
      <c r="S167" s="11">
        <v>13.525423999999999</v>
      </c>
      <c r="T167" s="11">
        <v>13.178376</v>
      </c>
      <c r="U167" s="11">
        <v>5.2669350000000001</v>
      </c>
      <c r="V167" s="11">
        <v>256.18883199999999</v>
      </c>
      <c r="W167" s="11">
        <v>6</v>
      </c>
      <c r="X167" s="12">
        <v>41275</v>
      </c>
      <c r="Y167" s="11">
        <v>2</v>
      </c>
      <c r="Z167" s="11" t="s">
        <v>601</v>
      </c>
      <c r="AA167" s="11" t="s">
        <v>589</v>
      </c>
      <c r="AB167" s="11">
        <v>-0.63787000000000005</v>
      </c>
      <c r="AC167" s="11">
        <v>-1.9115979999999999</v>
      </c>
      <c r="AD167" s="11">
        <v>-0.41521200000000003</v>
      </c>
      <c r="AE167" s="11">
        <v>-4.1849559999999997</v>
      </c>
      <c r="AF167" s="11">
        <v>-1.4244760000000001</v>
      </c>
      <c r="AG167" s="11">
        <v>-4.2740359999999997</v>
      </c>
      <c r="AH167" s="11">
        <v>-11.873678</v>
      </c>
      <c r="AI167" s="11">
        <v>-15.338094</v>
      </c>
      <c r="AJ167" s="11">
        <v>100</v>
      </c>
      <c r="AK167" s="11" t="s">
        <v>44</v>
      </c>
      <c r="AL167" s="11" t="s">
        <v>590</v>
      </c>
      <c r="AM167" s="11">
        <v>0.40111999999999998</v>
      </c>
      <c r="AN167" s="11">
        <v>0.40111999999999998</v>
      </c>
      <c r="AO167" s="11"/>
    </row>
    <row r="168" spans="1:41" x14ac:dyDescent="0.2">
      <c r="A168" s="11" t="s">
        <v>603</v>
      </c>
      <c r="B168" s="11" t="s">
        <v>604</v>
      </c>
      <c r="C168" s="11" t="s">
        <v>605</v>
      </c>
      <c r="D168" s="11" t="s">
        <v>41</v>
      </c>
      <c r="E168" s="12">
        <v>44048</v>
      </c>
      <c r="F168" s="11" t="s">
        <v>843</v>
      </c>
      <c r="G168" s="11">
        <v>105.60026999999999</v>
      </c>
      <c r="H168" s="11">
        <v>1.8333330000000001</v>
      </c>
      <c r="I168" s="11">
        <v>145.707908</v>
      </c>
      <c r="J168" s="11">
        <v>3.9480000000000001E-3</v>
      </c>
      <c r="K168" s="11">
        <v>0.252216</v>
      </c>
      <c r="L168" s="11">
        <v>6.7054929999999997</v>
      </c>
      <c r="M168" s="11">
        <v>5.0806870000000002</v>
      </c>
      <c r="N168" s="11">
        <v>434345</v>
      </c>
      <c r="O168" s="11">
        <v>466632.484398</v>
      </c>
      <c r="P168" s="11">
        <v>735.83928800000001</v>
      </c>
      <c r="Q168" s="11">
        <v>616.43569400000001</v>
      </c>
      <c r="R168" s="11">
        <v>8.4561999999999998E-2</v>
      </c>
      <c r="S168" s="11">
        <v>2.4818829999999998</v>
      </c>
      <c r="T168" s="11">
        <v>2.441608</v>
      </c>
      <c r="U168" s="11">
        <v>3.2990080000000002</v>
      </c>
      <c r="V168" s="11">
        <v>7.4647379999999997</v>
      </c>
      <c r="W168" s="11">
        <v>5.5</v>
      </c>
      <c r="X168" s="12">
        <v>40395</v>
      </c>
      <c r="Y168" s="11">
        <v>2</v>
      </c>
      <c r="Z168" s="11" t="s">
        <v>604</v>
      </c>
      <c r="AA168" s="11" t="s">
        <v>606</v>
      </c>
      <c r="AB168" s="11">
        <v>0.18135799999999999</v>
      </c>
      <c r="AC168" s="11">
        <v>0.52175800000000006</v>
      </c>
      <c r="AD168" s="11">
        <v>14.197509</v>
      </c>
      <c r="AE168" s="11">
        <v>10.985521</v>
      </c>
      <c r="AF168" s="11">
        <v>-0.611734</v>
      </c>
      <c r="AG168" s="11">
        <v>-1.8992869999999999</v>
      </c>
      <c r="AH168" s="11">
        <v>1.0576680000000001</v>
      </c>
      <c r="AI168" s="11">
        <v>-1.9335020000000001</v>
      </c>
      <c r="AJ168" s="11">
        <v>100</v>
      </c>
      <c r="AK168" s="11" t="s">
        <v>44</v>
      </c>
      <c r="AL168" s="11" t="s">
        <v>590</v>
      </c>
      <c r="AM168" s="11">
        <v>8.4561999999999998E-2</v>
      </c>
      <c r="AN168" s="11">
        <v>8.4561999999999998E-2</v>
      </c>
      <c r="AO168" s="11"/>
    </row>
    <row r="169" spans="1:41" x14ac:dyDescent="0.2">
      <c r="A169" s="11" t="s">
        <v>607</v>
      </c>
      <c r="B169" s="11" t="s">
        <v>608</v>
      </c>
      <c r="C169" s="11" t="s">
        <v>609</v>
      </c>
      <c r="D169" s="11" t="s">
        <v>41</v>
      </c>
      <c r="E169" s="12">
        <v>43719</v>
      </c>
      <c r="F169" s="11" t="s">
        <v>843</v>
      </c>
      <c r="G169" s="11">
        <v>103.468</v>
      </c>
      <c r="H169" s="11">
        <v>1.5342469999999999</v>
      </c>
      <c r="I169" s="11">
        <v>124.197063</v>
      </c>
      <c r="J169" s="11">
        <v>-5.3669000000000001E-2</v>
      </c>
      <c r="K169" s="11">
        <v>0.69436100000000001</v>
      </c>
      <c r="L169" s="11">
        <v>10.096946000000001</v>
      </c>
      <c r="M169" s="11">
        <v>8.2200900000000008</v>
      </c>
      <c r="N169" s="11">
        <v>13849626</v>
      </c>
      <c r="O169" s="11">
        <v>14542418.442283001</v>
      </c>
      <c r="P169" s="11">
        <v>4885.0469670000002</v>
      </c>
      <c r="Q169" s="11">
        <v>4092.3573489999999</v>
      </c>
      <c r="R169" s="11">
        <v>0.56138500000000002</v>
      </c>
      <c r="S169" s="11">
        <v>1.7161109999999999</v>
      </c>
      <c r="T169" s="11">
        <v>1.63592</v>
      </c>
      <c r="U169" s="11">
        <v>4.9019060000000003</v>
      </c>
      <c r="V169" s="11">
        <v>4.290254</v>
      </c>
      <c r="W169" s="11">
        <v>7</v>
      </c>
      <c r="X169" s="12">
        <v>41654</v>
      </c>
      <c r="Y169" s="11">
        <v>1</v>
      </c>
      <c r="Z169" s="11" t="s">
        <v>608</v>
      </c>
      <c r="AA169" s="11" t="s">
        <v>610</v>
      </c>
      <c r="AB169" s="11">
        <v>-8.2206000000000001E-2</v>
      </c>
      <c r="AC169" s="11">
        <v>2.9295149999999999</v>
      </c>
      <c r="AD169" s="11">
        <v>17.348476000000002</v>
      </c>
      <c r="AE169" s="11">
        <v>9.1316410000000001</v>
      </c>
      <c r="AF169" s="11">
        <v>-0.87321199999999999</v>
      </c>
      <c r="AG169" s="11">
        <v>0.45047999999999999</v>
      </c>
      <c r="AH169" s="11">
        <v>3.8460770000000002</v>
      </c>
      <c r="AI169" s="11">
        <v>-3.5715859999999999</v>
      </c>
      <c r="AJ169" s="11">
        <v>100</v>
      </c>
      <c r="AK169" s="11" t="s">
        <v>44</v>
      </c>
      <c r="AL169" s="11" t="s">
        <v>611</v>
      </c>
      <c r="AM169" s="11">
        <v>0.56138500000000002</v>
      </c>
      <c r="AN169" s="11">
        <v>0.56138500000000002</v>
      </c>
      <c r="AO169" s="11"/>
    </row>
    <row r="170" spans="1:41" x14ac:dyDescent="0.2">
      <c r="A170" s="11" t="s">
        <v>612</v>
      </c>
      <c r="B170" s="11" t="s">
        <v>613</v>
      </c>
      <c r="C170" s="11" t="s">
        <v>614</v>
      </c>
      <c r="D170" s="11" t="s">
        <v>41</v>
      </c>
      <c r="E170" s="12">
        <v>44036</v>
      </c>
      <c r="F170" s="11" t="s">
        <v>843</v>
      </c>
      <c r="G170" s="11">
        <v>113.67449999999999</v>
      </c>
      <c r="H170" s="11">
        <v>3.8876710000000001</v>
      </c>
      <c r="I170" s="11">
        <v>287.69995</v>
      </c>
      <c r="J170" s="11">
        <v>-7.6923000000000005E-2</v>
      </c>
      <c r="K170" s="11">
        <v>0.78847999999999996</v>
      </c>
      <c r="L170" s="11">
        <v>10.672155999999999</v>
      </c>
      <c r="M170" s="11">
        <v>8.6177299999999999</v>
      </c>
      <c r="N170" s="11">
        <v>19478743</v>
      </c>
      <c r="O170" s="11">
        <v>22899633.199671999</v>
      </c>
      <c r="P170" s="11">
        <v>7692.3782760000004</v>
      </c>
      <c r="Q170" s="11">
        <v>6444.1470019999997</v>
      </c>
      <c r="R170" s="11">
        <v>0.88400000000000001</v>
      </c>
      <c r="S170" s="11">
        <v>2.379553</v>
      </c>
      <c r="T170" s="11">
        <v>2.259897</v>
      </c>
      <c r="U170" s="11">
        <v>5.2947629999999997</v>
      </c>
      <c r="V170" s="11">
        <v>7.5924440000000004</v>
      </c>
      <c r="W170" s="11">
        <v>11</v>
      </c>
      <c r="X170" s="12">
        <v>38562</v>
      </c>
      <c r="Y170" s="11">
        <v>1</v>
      </c>
      <c r="Z170" s="11" t="s">
        <v>615</v>
      </c>
      <c r="AA170" s="11" t="s">
        <v>610</v>
      </c>
      <c r="AB170" s="11">
        <v>-0.10545400000000001</v>
      </c>
      <c r="AC170" s="11">
        <v>3.025722</v>
      </c>
      <c r="AD170" s="11">
        <v>17.961572</v>
      </c>
      <c r="AE170" s="11">
        <v>9.5326299999999993</v>
      </c>
      <c r="AF170" s="11">
        <v>-0.89627599999999996</v>
      </c>
      <c r="AG170" s="11">
        <v>0.54437000000000002</v>
      </c>
      <c r="AH170" s="11">
        <v>4.3886289999999999</v>
      </c>
      <c r="AI170" s="11">
        <v>-3.217273</v>
      </c>
      <c r="AJ170" s="11">
        <v>100</v>
      </c>
      <c r="AK170" s="11" t="s">
        <v>44</v>
      </c>
      <c r="AL170" s="11" t="s">
        <v>611</v>
      </c>
      <c r="AM170" s="11">
        <v>0.88400000000000001</v>
      </c>
      <c r="AN170" s="11">
        <v>0.88400000000000001</v>
      </c>
      <c r="AO170" s="11"/>
    </row>
    <row r="171" spans="1:41" x14ac:dyDescent="0.2">
      <c r="A171" s="11" t="s">
        <v>616</v>
      </c>
      <c r="B171" s="11" t="s">
        <v>617</v>
      </c>
      <c r="C171" s="11" t="s">
        <v>618</v>
      </c>
      <c r="D171" s="11" t="s">
        <v>41</v>
      </c>
      <c r="E171" s="12">
        <v>44685</v>
      </c>
      <c r="F171" s="11" t="s">
        <v>844</v>
      </c>
      <c r="G171" s="11">
        <v>104.6515</v>
      </c>
      <c r="H171" s="11">
        <v>4.0273969999999997</v>
      </c>
      <c r="I171" s="11">
        <v>142.95514900000001</v>
      </c>
      <c r="J171" s="11">
        <v>8.8207999999999995E-2</v>
      </c>
      <c r="K171" s="11">
        <v>1.0765290000000001</v>
      </c>
      <c r="L171" s="11">
        <v>11.857718999999999</v>
      </c>
      <c r="M171" s="11">
        <v>9.2920680000000004</v>
      </c>
      <c r="N171" s="11">
        <v>28499371</v>
      </c>
      <c r="O171" s="11">
        <v>30972802.128913999</v>
      </c>
      <c r="P171" s="11">
        <v>10404.293736</v>
      </c>
      <c r="Q171" s="11">
        <v>8716.0038000000004</v>
      </c>
      <c r="R171" s="11">
        <v>1.195651</v>
      </c>
      <c r="S171" s="11">
        <v>3.829494</v>
      </c>
      <c r="T171" s="11">
        <v>3.6208520000000002</v>
      </c>
      <c r="U171" s="11">
        <v>5.7622270000000002</v>
      </c>
      <c r="V171" s="11">
        <v>17.841601000000001</v>
      </c>
      <c r="W171" s="11">
        <v>7</v>
      </c>
      <c r="X171" s="12">
        <v>41038</v>
      </c>
      <c r="Y171" s="11">
        <v>1</v>
      </c>
      <c r="Z171" s="11" t="s">
        <v>617</v>
      </c>
      <c r="AA171" s="11" t="s">
        <v>610</v>
      </c>
      <c r="AB171" s="11">
        <v>5.9630000000000002E-2</v>
      </c>
      <c r="AC171" s="11">
        <v>3.320166</v>
      </c>
      <c r="AD171" s="11">
        <v>19.225221000000001</v>
      </c>
      <c r="AE171" s="11">
        <v>10.212649000000001</v>
      </c>
      <c r="AF171" s="11">
        <v>-0.73249799999999998</v>
      </c>
      <c r="AG171" s="11">
        <v>0.83172199999999996</v>
      </c>
      <c r="AH171" s="11">
        <v>5.5068799999999998</v>
      </c>
      <c r="AI171" s="11">
        <v>-2.6164100000000001</v>
      </c>
      <c r="AJ171" s="11">
        <v>100</v>
      </c>
      <c r="AK171" s="11" t="s">
        <v>44</v>
      </c>
      <c r="AL171" s="11" t="s">
        <v>611</v>
      </c>
      <c r="AM171" s="11">
        <v>1.195651</v>
      </c>
      <c r="AN171" s="11">
        <v>1.195651</v>
      </c>
      <c r="AO171" s="11"/>
    </row>
    <row r="172" spans="1:41" x14ac:dyDescent="0.2">
      <c r="A172" s="11" t="s">
        <v>619</v>
      </c>
      <c r="B172" s="11" t="s">
        <v>620</v>
      </c>
      <c r="C172" s="11" t="s">
        <v>621</v>
      </c>
      <c r="D172" s="11" t="s">
        <v>41</v>
      </c>
      <c r="E172" s="12">
        <v>45497</v>
      </c>
      <c r="F172" s="11" t="s">
        <v>845</v>
      </c>
      <c r="G172" s="11">
        <v>120.232</v>
      </c>
      <c r="H172" s="11">
        <v>3.5342470000000001</v>
      </c>
      <c r="I172" s="11">
        <v>234.71790999999999</v>
      </c>
      <c r="J172" s="11">
        <v>6.5087999999999993E-2</v>
      </c>
      <c r="K172" s="11">
        <v>0.89261999999999997</v>
      </c>
      <c r="L172" s="11">
        <v>12.799787</v>
      </c>
      <c r="M172" s="11">
        <v>9.4868260000000006</v>
      </c>
      <c r="N172" s="11">
        <v>26889987</v>
      </c>
      <c r="O172" s="11">
        <v>33280727.614498001</v>
      </c>
      <c r="P172" s="11">
        <v>11179.565361999999</v>
      </c>
      <c r="Q172" s="11">
        <v>9365.4732019999992</v>
      </c>
      <c r="R172" s="11">
        <v>1.2847440000000001</v>
      </c>
      <c r="S172" s="11">
        <v>5.1650070000000001</v>
      </c>
      <c r="T172" s="11">
        <v>4.864471</v>
      </c>
      <c r="U172" s="11">
        <v>6.178191</v>
      </c>
      <c r="V172" s="11">
        <v>32.158589999999997</v>
      </c>
      <c r="W172" s="11">
        <v>10</v>
      </c>
      <c r="X172" s="12">
        <v>39891</v>
      </c>
      <c r="Y172" s="11">
        <v>1</v>
      </c>
      <c r="Z172" s="11" t="s">
        <v>622</v>
      </c>
      <c r="AA172" s="11" t="s">
        <v>610</v>
      </c>
      <c r="AB172" s="11">
        <v>3.6516E-2</v>
      </c>
      <c r="AC172" s="11">
        <v>3.132174</v>
      </c>
      <c r="AD172" s="11">
        <v>20.229337999999998</v>
      </c>
      <c r="AE172" s="11">
        <v>10.409046</v>
      </c>
      <c r="AF172" s="11">
        <v>-0.75542900000000002</v>
      </c>
      <c r="AG172" s="11">
        <v>0.64825900000000003</v>
      </c>
      <c r="AH172" s="11">
        <v>6.3954610000000001</v>
      </c>
      <c r="AI172" s="11">
        <v>-2.4428740000000002</v>
      </c>
      <c r="AJ172" s="11">
        <v>100</v>
      </c>
      <c r="AK172" s="11" t="s">
        <v>44</v>
      </c>
      <c r="AL172" s="11" t="s">
        <v>611</v>
      </c>
      <c r="AM172" s="11">
        <v>1.2847440000000001</v>
      </c>
      <c r="AN172" s="11">
        <v>1.2847440000000001</v>
      </c>
      <c r="AO172" s="11"/>
    </row>
    <row r="173" spans="1:41" x14ac:dyDescent="0.2">
      <c r="A173" s="11" t="s">
        <v>623</v>
      </c>
      <c r="B173" s="11" t="s">
        <v>624</v>
      </c>
      <c r="C173" s="11" t="s">
        <v>625</v>
      </c>
      <c r="D173" s="11" t="s">
        <v>41</v>
      </c>
      <c r="E173" s="12">
        <v>46260</v>
      </c>
      <c r="F173" s="11" t="s">
        <v>846</v>
      </c>
      <c r="G173" s="11">
        <v>105.93300000000001</v>
      </c>
      <c r="H173" s="11">
        <v>1.9726030000000001</v>
      </c>
      <c r="I173" s="11">
        <v>124.29758</v>
      </c>
      <c r="J173" s="11">
        <v>1.7212000000000002E-2</v>
      </c>
      <c r="K173" s="11">
        <v>0.61062399999999994</v>
      </c>
      <c r="L173" s="11">
        <v>12.989592</v>
      </c>
      <c r="M173" s="11">
        <v>9.5139429999999994</v>
      </c>
      <c r="N173" s="11">
        <v>28711413</v>
      </c>
      <c r="O173" s="11">
        <v>30981223.252742</v>
      </c>
      <c r="P173" s="11">
        <v>10407.122535</v>
      </c>
      <c r="Q173" s="11">
        <v>8718.3735739999993</v>
      </c>
      <c r="R173" s="11">
        <v>1.1959759999999999</v>
      </c>
      <c r="S173" s="11">
        <v>6.6653690000000001</v>
      </c>
      <c r="T173" s="11">
        <v>6.2542099999999996</v>
      </c>
      <c r="U173" s="11">
        <v>6.5741129999999997</v>
      </c>
      <c r="V173" s="11">
        <v>51.967742000000001</v>
      </c>
      <c r="W173" s="11">
        <v>7.5</v>
      </c>
      <c r="X173" s="12">
        <v>40806</v>
      </c>
      <c r="Y173" s="11">
        <v>1</v>
      </c>
      <c r="Z173" s="11" t="s">
        <v>626</v>
      </c>
      <c r="AA173" s="11" t="s">
        <v>610</v>
      </c>
      <c r="AB173" s="11">
        <v>-1.1346E-2</v>
      </c>
      <c r="AC173" s="11">
        <v>2.8439190000000001</v>
      </c>
      <c r="AD173" s="11">
        <v>20.431645</v>
      </c>
      <c r="AE173" s="11">
        <v>10.436393000000001</v>
      </c>
      <c r="AF173" s="11">
        <v>-0.80291299999999999</v>
      </c>
      <c r="AG173" s="11">
        <v>0.36694599999999999</v>
      </c>
      <c r="AH173" s="11">
        <v>6.5744889999999998</v>
      </c>
      <c r="AI173" s="11">
        <v>-2.4187110000000001</v>
      </c>
      <c r="AJ173" s="11">
        <v>100</v>
      </c>
      <c r="AK173" s="11" t="s">
        <v>44</v>
      </c>
      <c r="AL173" s="11" t="s">
        <v>611</v>
      </c>
      <c r="AM173" s="11">
        <v>1.1959759999999999</v>
      </c>
      <c r="AN173" s="11">
        <v>1.1959759999999999</v>
      </c>
      <c r="AO173" s="11"/>
    </row>
    <row r="174" spans="1:41" x14ac:dyDescent="0.2">
      <c r="A174" s="11" t="s">
        <v>627</v>
      </c>
      <c r="B174" s="11" t="s">
        <v>628</v>
      </c>
      <c r="C174" s="11" t="s">
        <v>629</v>
      </c>
      <c r="D174" s="11" t="s">
        <v>41</v>
      </c>
      <c r="E174" s="12">
        <v>46871</v>
      </c>
      <c r="F174" s="11" t="s">
        <v>847</v>
      </c>
      <c r="G174" s="11">
        <v>94.253500000000003</v>
      </c>
      <c r="H174" s="11">
        <v>3.5506850000000001</v>
      </c>
      <c r="I174" s="11">
        <v>126.724818</v>
      </c>
      <c r="J174" s="11">
        <v>9.0084999999999998E-2</v>
      </c>
      <c r="K174" s="11">
        <v>0.140435</v>
      </c>
      <c r="L174" s="11">
        <v>14.687806999999999</v>
      </c>
      <c r="M174" s="11">
        <v>9.7126070000000002</v>
      </c>
      <c r="N174" s="11">
        <v>13804481</v>
      </c>
      <c r="O174" s="11">
        <v>13501360.126075</v>
      </c>
      <c r="P174" s="11">
        <v>4535.337681</v>
      </c>
      <c r="Q174" s="11">
        <v>3799.3948909999999</v>
      </c>
      <c r="R174" s="11">
        <v>0.52119599999999999</v>
      </c>
      <c r="S174" s="11">
        <v>7.6799809999999997</v>
      </c>
      <c r="T174" s="11">
        <v>7.1926649999999999</v>
      </c>
      <c r="U174" s="11">
        <v>6.7751859999999997</v>
      </c>
      <c r="V174" s="11">
        <v>69.576464000000001</v>
      </c>
      <c r="W174" s="11">
        <v>6</v>
      </c>
      <c r="X174" s="12">
        <v>41027</v>
      </c>
      <c r="Y174" s="11">
        <v>1</v>
      </c>
      <c r="Z174" s="11" t="s">
        <v>628</v>
      </c>
      <c r="AA174" s="11" t="s">
        <v>610</v>
      </c>
      <c r="AB174" s="11">
        <v>6.1505999999999998E-2</v>
      </c>
      <c r="AC174" s="11">
        <v>2.3632930000000001</v>
      </c>
      <c r="AD174" s="11">
        <v>22.241713000000001</v>
      </c>
      <c r="AE174" s="11">
        <v>10.63673</v>
      </c>
      <c r="AF174" s="11">
        <v>-0.73063699999999998</v>
      </c>
      <c r="AG174" s="11">
        <v>-0.102105</v>
      </c>
      <c r="AH174" s="11">
        <v>8.1762870000000003</v>
      </c>
      <c r="AI174" s="11">
        <v>-2.2416930000000002</v>
      </c>
      <c r="AJ174" s="11">
        <v>100</v>
      </c>
      <c r="AK174" s="11" t="s">
        <v>44</v>
      </c>
      <c r="AL174" s="11" t="s">
        <v>611</v>
      </c>
      <c r="AM174" s="11">
        <v>0.52119599999999999</v>
      </c>
      <c r="AN174" s="11">
        <v>0.52119599999999999</v>
      </c>
      <c r="AO174" s="11"/>
    </row>
    <row r="175" spans="1:41" x14ac:dyDescent="0.2">
      <c r="A175" s="11" t="s">
        <v>630</v>
      </c>
      <c r="B175" s="11" t="s">
        <v>631</v>
      </c>
      <c r="C175" s="11" t="s">
        <v>632</v>
      </c>
      <c r="D175" s="11" t="s">
        <v>41</v>
      </c>
      <c r="E175" s="12">
        <v>47744</v>
      </c>
      <c r="F175" s="11" t="s">
        <v>847</v>
      </c>
      <c r="G175" s="11">
        <v>107.83199999999999</v>
      </c>
      <c r="H175" s="11">
        <v>1.55</v>
      </c>
      <c r="I175" s="11">
        <v>127.87900500000001</v>
      </c>
      <c r="J175" s="11">
        <v>1.8522E-2</v>
      </c>
      <c r="K175" s="11">
        <v>-5.5719999999999999E-2</v>
      </c>
      <c r="L175" s="11">
        <v>15.233992000000001</v>
      </c>
      <c r="M175" s="11">
        <v>10.645465</v>
      </c>
      <c r="N175" s="11">
        <v>17081086</v>
      </c>
      <c r="O175" s="11">
        <v>18683633.48852</v>
      </c>
      <c r="P175" s="11">
        <v>6276.1518980000001</v>
      </c>
      <c r="Q175" s="11">
        <v>5257.7296619999997</v>
      </c>
      <c r="R175" s="11">
        <v>0.72124900000000003</v>
      </c>
      <c r="S175" s="11">
        <v>8.6117170000000005</v>
      </c>
      <c r="T175" s="11">
        <v>8.0630670000000002</v>
      </c>
      <c r="U175" s="11">
        <v>6.8044859999999998</v>
      </c>
      <c r="V175" s="11">
        <v>89.711544000000004</v>
      </c>
      <c r="W175" s="11">
        <v>7.75</v>
      </c>
      <c r="X175" s="12">
        <v>42018</v>
      </c>
      <c r="Y175" s="11">
        <v>1</v>
      </c>
      <c r="Z175" s="11" t="s">
        <v>631</v>
      </c>
      <c r="AA175" s="11" t="s">
        <v>610</v>
      </c>
      <c r="AB175" s="11">
        <v>-1.0036E-2</v>
      </c>
      <c r="AC175" s="11">
        <v>2.1627830000000001</v>
      </c>
      <c r="AD175" s="11">
        <v>22.823872000000001</v>
      </c>
      <c r="AE175" s="11">
        <v>11.577445000000001</v>
      </c>
      <c r="AF175" s="11">
        <v>-0.80161300000000002</v>
      </c>
      <c r="AG175" s="11">
        <v>-0.29778500000000002</v>
      </c>
      <c r="AH175" s="11">
        <v>8.6914610000000003</v>
      </c>
      <c r="AI175" s="11">
        <v>-1.41048</v>
      </c>
      <c r="AJ175" s="11">
        <v>100</v>
      </c>
      <c r="AK175" s="11" t="s">
        <v>44</v>
      </c>
      <c r="AL175" s="11" t="s">
        <v>611</v>
      </c>
      <c r="AM175" s="11">
        <v>0.72124900000000003</v>
      </c>
      <c r="AN175" s="11">
        <v>0.72124900000000003</v>
      </c>
      <c r="AO175" s="11"/>
    </row>
    <row r="176" spans="1:41" x14ac:dyDescent="0.2">
      <c r="A176" s="11" t="s">
        <v>633</v>
      </c>
      <c r="B176" s="11" t="s">
        <v>634</v>
      </c>
      <c r="C176" s="11" t="s">
        <v>635</v>
      </c>
      <c r="D176" s="11" t="s">
        <v>41</v>
      </c>
      <c r="E176" s="12">
        <v>48395</v>
      </c>
      <c r="F176" s="11" t="s">
        <v>847</v>
      </c>
      <c r="G176" s="11">
        <v>99.852000000000004</v>
      </c>
      <c r="H176" s="11">
        <v>2.934247</v>
      </c>
      <c r="I176" s="11">
        <v>104.333067</v>
      </c>
      <c r="J176" s="11">
        <v>4.6459E-2</v>
      </c>
      <c r="K176" s="11">
        <v>0.268343</v>
      </c>
      <c r="L176" s="11"/>
      <c r="M176" s="11"/>
      <c r="N176" s="11">
        <v>8718750</v>
      </c>
      <c r="O176" s="11">
        <v>8961675.873288</v>
      </c>
      <c r="P176" s="11">
        <v>3010.3801319999998</v>
      </c>
      <c r="Q176" s="11">
        <v>2521.8900319999998</v>
      </c>
      <c r="R176" s="11">
        <v>0.34594999999999998</v>
      </c>
      <c r="S176" s="11">
        <v>9.3295530000000007</v>
      </c>
      <c r="T176" s="11">
        <v>8.7188420000000004</v>
      </c>
      <c r="U176" s="11">
        <v>7.0045010000000003</v>
      </c>
      <c r="V176" s="11">
        <v>107.727148</v>
      </c>
      <c r="W176" s="11">
        <v>7</v>
      </c>
      <c r="X176" s="12">
        <v>42746</v>
      </c>
      <c r="Y176" s="11">
        <v>1</v>
      </c>
      <c r="Z176" s="11" t="s">
        <v>634</v>
      </c>
      <c r="AA176" s="11" t="s">
        <v>610</v>
      </c>
      <c r="AB176" s="11">
        <v>1.7892999999999999E-2</v>
      </c>
      <c r="AC176" s="11">
        <v>2.49404</v>
      </c>
      <c r="AD176" s="11"/>
      <c r="AE176" s="11"/>
      <c r="AF176" s="11">
        <v>-0.77390499999999995</v>
      </c>
      <c r="AG176" s="11">
        <v>2.5493999999999999E-2</v>
      </c>
      <c r="AH176" s="11"/>
      <c r="AI176" s="11"/>
      <c r="AJ176" s="11">
        <v>100</v>
      </c>
      <c r="AK176" s="11" t="s">
        <v>44</v>
      </c>
      <c r="AL176" s="11" t="s">
        <v>611</v>
      </c>
      <c r="AM176" s="11">
        <v>0.34594999999999998</v>
      </c>
      <c r="AN176" s="11">
        <v>0.34594999999999998</v>
      </c>
      <c r="AO176" s="11"/>
    </row>
    <row r="177" spans="1:41" x14ac:dyDescent="0.2">
      <c r="A177" s="11" t="s">
        <v>636</v>
      </c>
      <c r="B177" s="11" t="s">
        <v>637</v>
      </c>
      <c r="C177" s="11" t="s">
        <v>638</v>
      </c>
      <c r="D177" s="11" t="s">
        <v>41</v>
      </c>
      <c r="E177" s="12">
        <v>44300</v>
      </c>
      <c r="F177" s="11" t="s">
        <v>844</v>
      </c>
      <c r="G177" s="11">
        <v>105.98787</v>
      </c>
      <c r="H177" s="11">
        <v>4.9684929999999996</v>
      </c>
      <c r="I177" s="11">
        <v>166.66029599999999</v>
      </c>
      <c r="J177" s="11">
        <v>-1.5626999999999999E-2</v>
      </c>
      <c r="K177" s="11">
        <v>0.59563699999999997</v>
      </c>
      <c r="L177" s="11">
        <v>10.025482</v>
      </c>
      <c r="M177" s="11">
        <v>8.642754</v>
      </c>
      <c r="N177" s="11">
        <v>2467611.0320000001</v>
      </c>
      <c r="O177" s="11">
        <v>2737971.4578120001</v>
      </c>
      <c r="P177" s="11">
        <v>919.73141999999996</v>
      </c>
      <c r="Q177" s="11">
        <v>770.48791200000005</v>
      </c>
      <c r="R177" s="11">
        <v>0.105695</v>
      </c>
      <c r="S177" s="11">
        <v>2.9630540000000001</v>
      </c>
      <c r="T177" s="11">
        <v>2.8028010000000001</v>
      </c>
      <c r="U177" s="11">
        <v>5.7175750000000001</v>
      </c>
      <c r="V177" s="11">
        <v>11.203072000000001</v>
      </c>
      <c r="W177" s="11">
        <v>7.75</v>
      </c>
      <c r="X177" s="12">
        <v>40282</v>
      </c>
      <c r="Y177" s="11">
        <v>1</v>
      </c>
      <c r="Z177" s="11" t="s">
        <v>637</v>
      </c>
      <c r="AA177" s="11" t="s">
        <v>639</v>
      </c>
      <c r="AB177" s="11">
        <v>-4.4176E-2</v>
      </c>
      <c r="AC177" s="11">
        <v>2.8285990000000001</v>
      </c>
      <c r="AD177" s="11">
        <v>17.272303999999998</v>
      </c>
      <c r="AE177" s="11">
        <v>9.5578649999999996</v>
      </c>
      <c r="AF177" s="11">
        <v>-0.83548199999999995</v>
      </c>
      <c r="AG177" s="11">
        <v>0.351995</v>
      </c>
      <c r="AH177" s="11">
        <v>3.77867</v>
      </c>
      <c r="AI177" s="11">
        <v>-3.1949749999999999</v>
      </c>
      <c r="AJ177" s="11">
        <v>100</v>
      </c>
      <c r="AK177" s="11" t="s">
        <v>44</v>
      </c>
      <c r="AL177" s="11" t="s">
        <v>611</v>
      </c>
      <c r="AM177" s="11">
        <v>0.105695</v>
      </c>
      <c r="AN177" s="11">
        <v>0.105695</v>
      </c>
      <c r="AO177" s="11"/>
    </row>
    <row r="178" spans="1:41" x14ac:dyDescent="0.2">
      <c r="A178" s="11" t="s">
        <v>640</v>
      </c>
      <c r="B178" s="11" t="s">
        <v>641</v>
      </c>
      <c r="C178" s="11" t="s">
        <v>642</v>
      </c>
      <c r="D178" s="11" t="s">
        <v>41</v>
      </c>
      <c r="E178" s="12">
        <v>45006</v>
      </c>
      <c r="F178" s="11" t="s">
        <v>845</v>
      </c>
      <c r="G178" s="11">
        <v>94.359480000000005</v>
      </c>
      <c r="H178" s="11">
        <v>3.0924659999999999</v>
      </c>
      <c r="I178" s="11">
        <v>122.50399899999999</v>
      </c>
      <c r="J178" s="11">
        <v>1.0729000000000001E-2</v>
      </c>
      <c r="K178" s="11">
        <v>1.173036</v>
      </c>
      <c r="L178" s="11">
        <v>15.350541</v>
      </c>
      <c r="M178" s="11">
        <v>12.684441</v>
      </c>
      <c r="N178" s="11">
        <v>1000000</v>
      </c>
      <c r="O178" s="11">
        <v>974519.45753400004</v>
      </c>
      <c r="P178" s="11">
        <v>327.35774600000002</v>
      </c>
      <c r="Q178" s="11">
        <v>274.23786999999999</v>
      </c>
      <c r="R178" s="11">
        <v>3.7620000000000001E-2</v>
      </c>
      <c r="S178" s="11">
        <v>4.6763399999999997</v>
      </c>
      <c r="T178" s="11">
        <v>4.4271820000000002</v>
      </c>
      <c r="U178" s="11">
        <v>5.6278959999999998</v>
      </c>
      <c r="V178" s="11">
        <v>25.521801</v>
      </c>
      <c r="W178" s="11">
        <v>4.375</v>
      </c>
      <c r="X178" s="12">
        <v>41173</v>
      </c>
      <c r="Y178" s="11">
        <v>1</v>
      </c>
      <c r="Z178" s="11" t="s">
        <v>641</v>
      </c>
      <c r="AA178" s="11" t="s">
        <v>639</v>
      </c>
      <c r="AB178" s="11">
        <v>-1.7828E-2</v>
      </c>
      <c r="AC178" s="11">
        <v>3.4188149999999999</v>
      </c>
      <c r="AD178" s="11">
        <v>22.948098000000002</v>
      </c>
      <c r="AE178" s="11">
        <v>13.633596000000001</v>
      </c>
      <c r="AF178" s="11">
        <v>-0.80934300000000003</v>
      </c>
      <c r="AG178" s="11">
        <v>0.92799600000000004</v>
      </c>
      <c r="AH178" s="11">
        <v>8.8013929999999991</v>
      </c>
      <c r="AI178" s="11">
        <v>0.406329</v>
      </c>
      <c r="AJ178" s="11">
        <v>100</v>
      </c>
      <c r="AK178" s="11" t="s">
        <v>44</v>
      </c>
      <c r="AL178" s="11" t="s">
        <v>611</v>
      </c>
      <c r="AM178" s="11">
        <v>3.7620000000000001E-2</v>
      </c>
      <c r="AN178" s="11">
        <v>3.7620000000000001E-2</v>
      </c>
      <c r="AO178" s="11"/>
    </row>
    <row r="179" spans="1:41" x14ac:dyDescent="0.2">
      <c r="A179" s="11" t="s">
        <v>643</v>
      </c>
      <c r="B179" s="11" t="s">
        <v>644</v>
      </c>
      <c r="C179" s="11" t="s">
        <v>645</v>
      </c>
      <c r="D179" s="11" t="s">
        <v>41</v>
      </c>
      <c r="E179" s="12">
        <v>46566</v>
      </c>
      <c r="F179" s="11" t="s">
        <v>846</v>
      </c>
      <c r="G179" s="11">
        <v>125.07405</v>
      </c>
      <c r="H179" s="11">
        <v>4.2908220000000004</v>
      </c>
      <c r="I179" s="11">
        <v>269.74571800000001</v>
      </c>
      <c r="J179" s="11">
        <v>-1.6861000000000001E-2</v>
      </c>
      <c r="K179" s="11">
        <v>0.25351800000000002</v>
      </c>
      <c r="L179" s="11">
        <v>15.621658</v>
      </c>
      <c r="M179" s="11">
        <v>12.74263</v>
      </c>
      <c r="N179" s="11">
        <v>1924515</v>
      </c>
      <c r="O179" s="11">
        <v>2489646.3647889998</v>
      </c>
      <c r="P179" s="11">
        <v>836.31477600000005</v>
      </c>
      <c r="Q179" s="11">
        <v>700.607168</v>
      </c>
      <c r="R179" s="11">
        <v>9.6107999999999999E-2</v>
      </c>
      <c r="S179" s="11">
        <v>6.7266019999999997</v>
      </c>
      <c r="T179" s="11">
        <v>6.3297270000000001</v>
      </c>
      <c r="U179" s="11">
        <v>6.2700129999999996</v>
      </c>
      <c r="V179" s="11">
        <v>55.515059999999998</v>
      </c>
      <c r="W179" s="11">
        <v>9.85</v>
      </c>
      <c r="X179" s="12">
        <v>39261</v>
      </c>
      <c r="Y179" s="11">
        <v>1</v>
      </c>
      <c r="Z179" s="11" t="s">
        <v>644</v>
      </c>
      <c r="AA179" s="11" t="s">
        <v>639</v>
      </c>
      <c r="AB179" s="11">
        <v>-4.5408999999999998E-2</v>
      </c>
      <c r="AC179" s="11">
        <v>2.478885</v>
      </c>
      <c r="AD179" s="11">
        <v>23.237072000000001</v>
      </c>
      <c r="AE179" s="11">
        <v>13.692275</v>
      </c>
      <c r="AF179" s="11">
        <v>-0.83670599999999995</v>
      </c>
      <c r="AG179" s="11">
        <v>1.0704E-2</v>
      </c>
      <c r="AH179" s="11">
        <v>9.0571169999999999</v>
      </c>
      <c r="AI179" s="11">
        <v>0.45817799999999997</v>
      </c>
      <c r="AJ179" s="11">
        <v>100</v>
      </c>
      <c r="AK179" s="11" t="s">
        <v>44</v>
      </c>
      <c r="AL179" s="11" t="s">
        <v>611</v>
      </c>
      <c r="AM179" s="11">
        <v>9.6107999999999999E-2</v>
      </c>
      <c r="AN179" s="11">
        <v>9.6107999999999999E-2</v>
      </c>
      <c r="AO179" s="11"/>
    </row>
    <row r="180" spans="1:41" x14ac:dyDescent="0.2">
      <c r="A180" s="11" t="s">
        <v>648</v>
      </c>
      <c r="B180" s="11" t="s">
        <v>649</v>
      </c>
      <c r="C180" s="11" t="s">
        <v>650</v>
      </c>
      <c r="D180" s="11" t="s">
        <v>41</v>
      </c>
      <c r="E180" s="12">
        <v>43810</v>
      </c>
      <c r="F180" s="11" t="s">
        <v>843</v>
      </c>
      <c r="G180" s="11">
        <v>96.117350000000002</v>
      </c>
      <c r="H180" s="11">
        <v>2.3888889999999998</v>
      </c>
      <c r="I180" s="11">
        <v>109.31922400000001</v>
      </c>
      <c r="J180" s="11">
        <v>1.5500999999999999E-2</v>
      </c>
      <c r="K180" s="11">
        <v>0.338285</v>
      </c>
      <c r="L180" s="11">
        <v>6.3700650000000003</v>
      </c>
      <c r="M180" s="11">
        <v>6.2404159999999997</v>
      </c>
      <c r="N180" s="11">
        <v>140003.895984</v>
      </c>
      <c r="O180" s="11">
        <v>137912.57223200001</v>
      </c>
      <c r="P180" s="11">
        <v>7438.3892809999998</v>
      </c>
      <c r="Q180" s="11">
        <v>6231.3724400000001</v>
      </c>
      <c r="R180" s="11">
        <v>0.85481200000000002</v>
      </c>
      <c r="S180" s="11">
        <v>1.9071020000000001</v>
      </c>
      <c r="T180" s="11">
        <v>1.8424640000000001</v>
      </c>
      <c r="U180" s="11">
        <v>7.0164169999999997</v>
      </c>
      <c r="V180" s="11">
        <v>4.4404599999999999</v>
      </c>
      <c r="W180" s="11">
        <v>5</v>
      </c>
      <c r="X180" s="12">
        <v>41950</v>
      </c>
      <c r="Y180" s="11">
        <v>2</v>
      </c>
      <c r="Z180" s="11" t="s">
        <v>649</v>
      </c>
      <c r="AA180" s="11" t="s">
        <v>646</v>
      </c>
      <c r="AB180" s="11">
        <v>0.38016100000000003</v>
      </c>
      <c r="AC180" s="11">
        <v>3.5290819999999998</v>
      </c>
      <c r="AD180" s="11">
        <v>18.904827000000001</v>
      </c>
      <c r="AE180" s="11">
        <v>18.049364000000001</v>
      </c>
      <c r="AF180" s="11">
        <v>-0.41450399999999998</v>
      </c>
      <c r="AG180" s="11">
        <v>1.0356069999999999</v>
      </c>
      <c r="AH180" s="11">
        <v>5.2233510000000001</v>
      </c>
      <c r="AI180" s="11">
        <v>4.30809</v>
      </c>
      <c r="AJ180" s="11">
        <v>100</v>
      </c>
      <c r="AK180" s="11" t="s">
        <v>44</v>
      </c>
      <c r="AL180" s="11" t="s">
        <v>647</v>
      </c>
      <c r="AM180" s="11">
        <v>0.85481200000000002</v>
      </c>
      <c r="AN180" s="11">
        <v>0.85481200000000002</v>
      </c>
      <c r="AO180" s="11"/>
    </row>
    <row r="181" spans="1:41" x14ac:dyDescent="0.2">
      <c r="A181" s="11" t="s">
        <v>651</v>
      </c>
      <c r="B181" s="11" t="s">
        <v>652</v>
      </c>
      <c r="C181" s="11" t="s">
        <v>653</v>
      </c>
      <c r="D181" s="11" t="s">
        <v>41</v>
      </c>
      <c r="E181" s="12">
        <v>43993</v>
      </c>
      <c r="F181" s="11" t="s">
        <v>843</v>
      </c>
      <c r="G181" s="11">
        <v>102.18893</v>
      </c>
      <c r="H181" s="11">
        <v>3.822222</v>
      </c>
      <c r="I181" s="11">
        <v>173.93726000000001</v>
      </c>
      <c r="J181" s="11">
        <v>2.3647999999999999E-2</v>
      </c>
      <c r="K181" s="11">
        <v>0.31713599999999997</v>
      </c>
      <c r="L181" s="11">
        <v>6.5712549999999998</v>
      </c>
      <c r="M181" s="11">
        <v>6.4552160000000001</v>
      </c>
      <c r="N181" s="11">
        <v>187565.51336499999</v>
      </c>
      <c r="O181" s="11">
        <v>198840.36189</v>
      </c>
      <c r="P181" s="11">
        <v>10724.562617</v>
      </c>
      <c r="Q181" s="11">
        <v>8984.3031059999994</v>
      </c>
      <c r="R181" s="11">
        <v>1.232456</v>
      </c>
      <c r="S181" s="11">
        <v>2.255754</v>
      </c>
      <c r="T181" s="11">
        <v>2.1789420000000002</v>
      </c>
      <c r="U181" s="11">
        <v>7.0504220000000002</v>
      </c>
      <c r="V181" s="11">
        <v>6.2037440000000004</v>
      </c>
      <c r="W181" s="11">
        <v>8</v>
      </c>
      <c r="X181" s="12">
        <v>40232</v>
      </c>
      <c r="Y181" s="11">
        <v>2</v>
      </c>
      <c r="Z181" s="11" t="s">
        <v>652</v>
      </c>
      <c r="AA181" s="11" t="s">
        <v>646</v>
      </c>
      <c r="AB181" s="11">
        <v>0.38833899999999999</v>
      </c>
      <c r="AC181" s="11">
        <v>3.5072610000000002</v>
      </c>
      <c r="AD181" s="11">
        <v>19.129726000000002</v>
      </c>
      <c r="AE181" s="11">
        <v>18.288039000000001</v>
      </c>
      <c r="AF181" s="11">
        <v>-0.40639199999999998</v>
      </c>
      <c r="AG181" s="11">
        <v>1.0143120000000001</v>
      </c>
      <c r="AH181" s="11">
        <v>5.4223720000000002</v>
      </c>
      <c r="AI181" s="11">
        <v>4.5189830000000004</v>
      </c>
      <c r="AJ181" s="11">
        <v>100</v>
      </c>
      <c r="AK181" s="11" t="s">
        <v>44</v>
      </c>
      <c r="AL181" s="11" t="s">
        <v>647</v>
      </c>
      <c r="AM181" s="11">
        <v>1.232456</v>
      </c>
      <c r="AN181" s="11">
        <v>1.232456</v>
      </c>
      <c r="AO181" s="11"/>
    </row>
    <row r="182" spans="1:41" x14ac:dyDescent="0.2">
      <c r="A182" s="11" t="s">
        <v>654</v>
      </c>
      <c r="B182" s="11" t="s">
        <v>655</v>
      </c>
      <c r="C182" s="11" t="s">
        <v>656</v>
      </c>
      <c r="D182" s="11" t="s">
        <v>41</v>
      </c>
      <c r="E182" s="12">
        <v>44357</v>
      </c>
      <c r="F182" s="11" t="s">
        <v>844</v>
      </c>
      <c r="G182" s="11">
        <v>98.126429999999999</v>
      </c>
      <c r="H182" s="11">
        <v>3.105556</v>
      </c>
      <c r="I182" s="11">
        <v>161.77930000000001</v>
      </c>
      <c r="J182" s="11">
        <v>-1.7203E-2</v>
      </c>
      <c r="K182" s="11">
        <v>0.29491200000000001</v>
      </c>
      <c r="L182" s="11">
        <v>7.1744599999999998</v>
      </c>
      <c r="M182" s="11">
        <v>6.7621960000000003</v>
      </c>
      <c r="N182" s="11">
        <v>185429.335108</v>
      </c>
      <c r="O182" s="11">
        <v>187713.79773200001</v>
      </c>
      <c r="P182" s="11">
        <v>10124.445352999999</v>
      </c>
      <c r="Q182" s="11">
        <v>8481.5660160000007</v>
      </c>
      <c r="R182" s="11">
        <v>1.1634910000000001</v>
      </c>
      <c r="S182" s="11">
        <v>3.107926</v>
      </c>
      <c r="T182" s="11">
        <v>3.001363</v>
      </c>
      <c r="U182" s="11">
        <v>7.1009690000000001</v>
      </c>
      <c r="V182" s="11">
        <v>11.291683000000001</v>
      </c>
      <c r="W182" s="11">
        <v>6.5</v>
      </c>
      <c r="X182" s="12">
        <v>40577</v>
      </c>
      <c r="Y182" s="11">
        <v>2</v>
      </c>
      <c r="Z182" s="11" t="s">
        <v>655</v>
      </c>
      <c r="AA182" s="11" t="s">
        <v>646</v>
      </c>
      <c r="AB182" s="11">
        <v>0.34733799999999998</v>
      </c>
      <c r="AC182" s="11">
        <v>3.4843299999999999</v>
      </c>
      <c r="AD182" s="11">
        <v>19.804013000000001</v>
      </c>
      <c r="AE182" s="11">
        <v>18.629141000000001</v>
      </c>
      <c r="AF182" s="11">
        <v>-0.44706800000000002</v>
      </c>
      <c r="AG182" s="11">
        <v>0.99193299999999995</v>
      </c>
      <c r="AH182" s="11">
        <v>6.0190739999999998</v>
      </c>
      <c r="AI182" s="11">
        <v>4.820379</v>
      </c>
      <c r="AJ182" s="11">
        <v>100</v>
      </c>
      <c r="AK182" s="11" t="s">
        <v>44</v>
      </c>
      <c r="AL182" s="11" t="s">
        <v>647</v>
      </c>
      <c r="AM182" s="11">
        <v>1.1634910000000001</v>
      </c>
      <c r="AN182" s="11">
        <v>1.1634910000000001</v>
      </c>
      <c r="AO182" s="11"/>
    </row>
    <row r="183" spans="1:41" x14ac:dyDescent="0.2">
      <c r="A183" s="11" t="s">
        <v>657</v>
      </c>
      <c r="B183" s="11" t="s">
        <v>658</v>
      </c>
      <c r="C183" s="11" t="s">
        <v>659</v>
      </c>
      <c r="D183" s="11" t="s">
        <v>41</v>
      </c>
      <c r="E183" s="12">
        <v>44721</v>
      </c>
      <c r="F183" s="11" t="s">
        <v>844</v>
      </c>
      <c r="G183" s="11">
        <v>97.678280000000001</v>
      </c>
      <c r="H183" s="11">
        <v>3.105556</v>
      </c>
      <c r="I183" s="11">
        <v>138.18038999999999</v>
      </c>
      <c r="J183" s="11">
        <v>1.9403E-2</v>
      </c>
      <c r="K183" s="11">
        <v>0.257575</v>
      </c>
      <c r="L183" s="11">
        <v>7.5932380000000004</v>
      </c>
      <c r="M183" s="11">
        <v>7.3163999999999998</v>
      </c>
      <c r="N183" s="11">
        <v>135055.76605100001</v>
      </c>
      <c r="O183" s="11">
        <v>136114.381165</v>
      </c>
      <c r="P183" s="11">
        <v>7341.4028719999997</v>
      </c>
      <c r="Q183" s="11">
        <v>6150.123877</v>
      </c>
      <c r="R183" s="11">
        <v>0.84366600000000003</v>
      </c>
      <c r="S183" s="11">
        <v>3.865316</v>
      </c>
      <c r="T183" s="11">
        <v>3.7327880000000002</v>
      </c>
      <c r="U183" s="11">
        <v>7.1007199999999999</v>
      </c>
      <c r="V183" s="11">
        <v>17.334357000000001</v>
      </c>
      <c r="W183" s="11">
        <v>6.5</v>
      </c>
      <c r="X183" s="12">
        <v>40954</v>
      </c>
      <c r="Y183" s="11">
        <v>2</v>
      </c>
      <c r="Z183" s="11" t="s">
        <v>660</v>
      </c>
      <c r="AA183" s="11" t="s">
        <v>646</v>
      </c>
      <c r="AB183" s="11">
        <v>0.38407799999999997</v>
      </c>
      <c r="AC183" s="11">
        <v>3.4458060000000001</v>
      </c>
      <c r="AD183" s="11">
        <v>20.272141000000001</v>
      </c>
      <c r="AE183" s="11">
        <v>19.244945999999999</v>
      </c>
      <c r="AF183" s="11">
        <v>-0.41061799999999998</v>
      </c>
      <c r="AG183" s="11">
        <v>0.95433599999999996</v>
      </c>
      <c r="AH183" s="11">
        <v>6.433338</v>
      </c>
      <c r="AI183" s="11">
        <v>5.364503</v>
      </c>
      <c r="AJ183" s="11">
        <v>100</v>
      </c>
      <c r="AK183" s="11" t="s">
        <v>44</v>
      </c>
      <c r="AL183" s="11" t="s">
        <v>647</v>
      </c>
      <c r="AM183" s="11">
        <v>0.84366600000000003</v>
      </c>
      <c r="AN183" s="11">
        <v>0.84366600000000003</v>
      </c>
      <c r="AO183" s="11"/>
    </row>
    <row r="184" spans="1:41" x14ac:dyDescent="0.2">
      <c r="A184" s="11" t="s">
        <v>661</v>
      </c>
      <c r="B184" s="11" t="s">
        <v>662</v>
      </c>
      <c r="C184" s="11" t="s">
        <v>663</v>
      </c>
      <c r="D184" s="11" t="s">
        <v>41</v>
      </c>
      <c r="E184" s="12">
        <v>45267</v>
      </c>
      <c r="F184" s="11" t="s">
        <v>845</v>
      </c>
      <c r="G184" s="11">
        <v>104.29863</v>
      </c>
      <c r="H184" s="11">
        <v>3.822222</v>
      </c>
      <c r="I184" s="11">
        <v>148.80913000000001</v>
      </c>
      <c r="J184" s="11">
        <v>-1.7742000000000001E-2</v>
      </c>
      <c r="K184" s="11">
        <v>0.22201299999999999</v>
      </c>
      <c r="L184" s="11">
        <v>8.2733220000000003</v>
      </c>
      <c r="M184" s="11">
        <v>7.5470090000000001</v>
      </c>
      <c r="N184" s="11">
        <v>56628.726863999997</v>
      </c>
      <c r="O184" s="11">
        <v>61227.462088</v>
      </c>
      <c r="P184" s="11">
        <v>3302.336331</v>
      </c>
      <c r="Q184" s="11">
        <v>2766.470914</v>
      </c>
      <c r="R184" s="11">
        <v>0.37950099999999998</v>
      </c>
      <c r="S184" s="11">
        <v>4.7494639999999997</v>
      </c>
      <c r="T184" s="11">
        <v>4.5862299999999996</v>
      </c>
      <c r="U184" s="11">
        <v>7.1184560000000001</v>
      </c>
      <c r="V184" s="11">
        <v>26.870336000000002</v>
      </c>
      <c r="W184" s="11">
        <v>8</v>
      </c>
      <c r="X184" s="12">
        <v>37924</v>
      </c>
      <c r="Y184" s="11">
        <v>2</v>
      </c>
      <c r="Z184" s="11" t="s">
        <v>662</v>
      </c>
      <c r="AA184" s="11" t="s">
        <v>646</v>
      </c>
      <c r="AB184" s="11">
        <v>0.34679700000000002</v>
      </c>
      <c r="AC184" s="11">
        <v>3.4091130000000001</v>
      </c>
      <c r="AD184" s="11">
        <v>21.032366</v>
      </c>
      <c r="AE184" s="11">
        <v>19.501187999999999</v>
      </c>
      <c r="AF184" s="11">
        <v>-0.447604</v>
      </c>
      <c r="AG184" s="11">
        <v>0.91852699999999998</v>
      </c>
      <c r="AH184" s="11">
        <v>7.10609</v>
      </c>
      <c r="AI184" s="11">
        <v>5.5909170000000001</v>
      </c>
      <c r="AJ184" s="11">
        <v>100</v>
      </c>
      <c r="AK184" s="11" t="s">
        <v>44</v>
      </c>
      <c r="AL184" s="11" t="s">
        <v>647</v>
      </c>
      <c r="AM184" s="11">
        <v>0.37950099999999998</v>
      </c>
      <c r="AN184" s="11">
        <v>0.37950099999999998</v>
      </c>
      <c r="AO184" s="11"/>
    </row>
    <row r="185" spans="1:41" x14ac:dyDescent="0.2">
      <c r="A185" s="11" t="s">
        <v>664</v>
      </c>
      <c r="B185" s="11" t="s">
        <v>665</v>
      </c>
      <c r="C185" s="11" t="s">
        <v>666</v>
      </c>
      <c r="D185" s="11" t="s">
        <v>41</v>
      </c>
      <c r="E185" s="12">
        <v>45631</v>
      </c>
      <c r="F185" s="11" t="s">
        <v>846</v>
      </c>
      <c r="G185" s="11">
        <v>115.80377</v>
      </c>
      <c r="H185" s="11">
        <v>4.7777779999999996</v>
      </c>
      <c r="I185" s="11">
        <v>329.341027</v>
      </c>
      <c r="J185" s="11">
        <v>-3.0793999999999998E-2</v>
      </c>
      <c r="K185" s="11">
        <v>0.324042</v>
      </c>
      <c r="L185" s="11">
        <v>8.8120600000000007</v>
      </c>
      <c r="M185" s="11">
        <v>8.0035340000000001</v>
      </c>
      <c r="N185" s="11">
        <v>163663.58871000001</v>
      </c>
      <c r="O185" s="11">
        <v>197348.08841500001</v>
      </c>
      <c r="P185" s="11">
        <v>10644.076039</v>
      </c>
      <c r="Q185" s="11">
        <v>8916.8769699999993</v>
      </c>
      <c r="R185" s="11">
        <v>1.223206</v>
      </c>
      <c r="S185" s="11">
        <v>5.1358670000000002</v>
      </c>
      <c r="T185" s="11">
        <v>4.9591120000000002</v>
      </c>
      <c r="U185" s="11">
        <v>7.1285080000000001</v>
      </c>
      <c r="V185" s="11">
        <v>32.541212000000002</v>
      </c>
      <c r="W185" s="11">
        <v>10</v>
      </c>
      <c r="X185" s="12">
        <v>38372</v>
      </c>
      <c r="Y185" s="11">
        <v>2</v>
      </c>
      <c r="Z185" s="11" t="s">
        <v>665</v>
      </c>
      <c r="AA185" s="11" t="s">
        <v>646</v>
      </c>
      <c r="AB185" s="11">
        <v>0.33369799999999999</v>
      </c>
      <c r="AC185" s="11">
        <v>3.514386</v>
      </c>
      <c r="AD185" s="11">
        <v>21.634588999999998</v>
      </c>
      <c r="AE185" s="11">
        <v>20.008457</v>
      </c>
      <c r="AF185" s="11">
        <v>-0.46060000000000001</v>
      </c>
      <c r="AG185" s="11">
        <v>1.0212650000000001</v>
      </c>
      <c r="AH185" s="11">
        <v>7.6390200000000004</v>
      </c>
      <c r="AI185" s="11">
        <v>6.0391389999999996</v>
      </c>
      <c r="AJ185" s="11">
        <v>100</v>
      </c>
      <c r="AK185" s="11" t="s">
        <v>44</v>
      </c>
      <c r="AL185" s="11" t="s">
        <v>647</v>
      </c>
      <c r="AM185" s="11">
        <v>1.223206</v>
      </c>
      <c r="AN185" s="11">
        <v>1.223206</v>
      </c>
      <c r="AO185" s="11"/>
    </row>
    <row r="186" spans="1:41" x14ac:dyDescent="0.2">
      <c r="A186" s="11" t="s">
        <v>667</v>
      </c>
      <c r="B186" s="11" t="s">
        <v>668</v>
      </c>
      <c r="C186" s="11" t="s">
        <v>669</v>
      </c>
      <c r="D186" s="11" t="s">
        <v>41</v>
      </c>
      <c r="E186" s="12">
        <v>46086</v>
      </c>
      <c r="F186" s="11" t="s">
        <v>846</v>
      </c>
      <c r="G186" s="11">
        <v>91.154359999999997</v>
      </c>
      <c r="H186" s="11">
        <v>1.29375</v>
      </c>
      <c r="I186" s="11">
        <v>106.589202</v>
      </c>
      <c r="J186" s="11">
        <v>6.8300000000000001E-3</v>
      </c>
      <c r="K186" s="11">
        <v>0.43213099999999999</v>
      </c>
      <c r="L186" s="11">
        <v>9.5772840000000006</v>
      </c>
      <c r="M186" s="11">
        <v>8.3863299999999992</v>
      </c>
      <c r="N186" s="11">
        <v>95600.929300999996</v>
      </c>
      <c r="O186" s="11">
        <v>88381.252280999994</v>
      </c>
      <c r="P186" s="11">
        <v>4766.8907120000003</v>
      </c>
      <c r="Q186" s="11">
        <v>3993.3741409999998</v>
      </c>
      <c r="R186" s="11">
        <v>0.54780600000000002</v>
      </c>
      <c r="S186" s="11">
        <v>6.528054</v>
      </c>
      <c r="T186" s="11">
        <v>6.3021029999999998</v>
      </c>
      <c r="U186" s="11">
        <v>7.1706510000000003</v>
      </c>
      <c r="V186" s="11">
        <v>49.269908999999998</v>
      </c>
      <c r="W186" s="11">
        <v>5.75</v>
      </c>
      <c r="X186" s="12">
        <v>42293</v>
      </c>
      <c r="Y186" s="11">
        <v>2</v>
      </c>
      <c r="Z186" s="11" t="s">
        <v>668</v>
      </c>
      <c r="AA186" s="11" t="s">
        <v>646</v>
      </c>
      <c r="AB186" s="11">
        <v>0.37145899999999998</v>
      </c>
      <c r="AC186" s="11">
        <v>3.625912</v>
      </c>
      <c r="AD186" s="11">
        <v>22.489988</v>
      </c>
      <c r="AE186" s="11">
        <v>20.433802</v>
      </c>
      <c r="AF186" s="11">
        <v>-0.42313800000000001</v>
      </c>
      <c r="AG186" s="11">
        <v>1.1301049999999999</v>
      </c>
      <c r="AH186" s="11">
        <v>8.3959949999999992</v>
      </c>
      <c r="AI186" s="11">
        <v>6.4149729999999998</v>
      </c>
      <c r="AJ186" s="11">
        <v>100</v>
      </c>
      <c r="AK186" s="11" t="s">
        <v>44</v>
      </c>
      <c r="AL186" s="11" t="s">
        <v>647</v>
      </c>
      <c r="AM186" s="11">
        <v>0.54780600000000002</v>
      </c>
      <c r="AN186" s="11">
        <v>0.54780600000000002</v>
      </c>
      <c r="AO186" s="11"/>
    </row>
    <row r="187" spans="1:41" x14ac:dyDescent="0.2">
      <c r="A187" s="11" t="s">
        <v>670</v>
      </c>
      <c r="B187" s="11" t="s">
        <v>671</v>
      </c>
      <c r="C187" s="11" t="s">
        <v>672</v>
      </c>
      <c r="D187" s="11" t="s">
        <v>41</v>
      </c>
      <c r="E187" s="12">
        <v>46541</v>
      </c>
      <c r="F187" s="11" t="s">
        <v>846</v>
      </c>
      <c r="G187" s="11">
        <v>101.70869999999999</v>
      </c>
      <c r="H187" s="11">
        <v>3.5833330000000001</v>
      </c>
      <c r="I187" s="11">
        <v>235.17662899999999</v>
      </c>
      <c r="J187" s="11">
        <v>6.607E-3</v>
      </c>
      <c r="K187" s="11">
        <v>0.43551600000000001</v>
      </c>
      <c r="L187" s="11">
        <v>9.7871810000000004</v>
      </c>
      <c r="M187" s="11">
        <v>9.0835530000000002</v>
      </c>
      <c r="N187" s="11">
        <v>91277.589429</v>
      </c>
      <c r="O187" s="11">
        <v>96108.029888000005</v>
      </c>
      <c r="P187" s="11">
        <v>5183.6386469999998</v>
      </c>
      <c r="Q187" s="11">
        <v>4342.4969819999997</v>
      </c>
      <c r="R187" s="11">
        <v>0.59569799999999995</v>
      </c>
      <c r="S187" s="11">
        <v>6.7600800000000003</v>
      </c>
      <c r="T187" s="11">
        <v>6.5236020000000003</v>
      </c>
      <c r="U187" s="11">
        <v>7.2499190000000002</v>
      </c>
      <c r="V187" s="11">
        <v>56.252893999999998</v>
      </c>
      <c r="W187" s="11">
        <v>7.5</v>
      </c>
      <c r="X187" s="12">
        <v>39100</v>
      </c>
      <c r="Y187" s="11">
        <v>2</v>
      </c>
      <c r="Z187" s="11" t="s">
        <v>671</v>
      </c>
      <c r="AA187" s="11" t="s">
        <v>646</v>
      </c>
      <c r="AB187" s="11">
        <v>0.37123600000000001</v>
      </c>
      <c r="AC187" s="11">
        <v>3.6294050000000002</v>
      </c>
      <c r="AD187" s="11">
        <v>22.724620000000002</v>
      </c>
      <c r="AE187" s="11">
        <v>21.208524000000001</v>
      </c>
      <c r="AF187" s="11">
        <v>-0.42335899999999999</v>
      </c>
      <c r="AG187" s="11">
        <v>1.1335139999999999</v>
      </c>
      <c r="AH187" s="11">
        <v>8.6036289999999997</v>
      </c>
      <c r="AI187" s="11">
        <v>7.0995150000000002</v>
      </c>
      <c r="AJ187" s="11">
        <v>100</v>
      </c>
      <c r="AK187" s="11" t="s">
        <v>44</v>
      </c>
      <c r="AL187" s="11" t="s">
        <v>647</v>
      </c>
      <c r="AM187" s="11">
        <v>0.59569799999999995</v>
      </c>
      <c r="AN187" s="11">
        <v>0.59569799999999995</v>
      </c>
      <c r="AO187" s="11"/>
    </row>
    <row r="188" spans="1:41" x14ac:dyDescent="0.2">
      <c r="A188" s="11" t="s">
        <v>673</v>
      </c>
      <c r="B188" s="11" t="s">
        <v>674</v>
      </c>
      <c r="C188" s="11" t="s">
        <v>675</v>
      </c>
      <c r="D188" s="11" t="s">
        <v>41</v>
      </c>
      <c r="E188" s="12">
        <v>47269</v>
      </c>
      <c r="F188" s="11" t="s">
        <v>847</v>
      </c>
      <c r="G188" s="11">
        <v>109.24697</v>
      </c>
      <c r="H188" s="11">
        <v>4.0611110000000004</v>
      </c>
      <c r="I188" s="11">
        <v>162.99755999999999</v>
      </c>
      <c r="J188" s="11">
        <v>-3.8290999999999999E-2</v>
      </c>
      <c r="K188" s="11">
        <v>0.41844700000000001</v>
      </c>
      <c r="L188" s="11">
        <v>10.118074999999999</v>
      </c>
      <c r="M188" s="11">
        <v>9.8303220000000007</v>
      </c>
      <c r="N188" s="11">
        <v>61016.954644999998</v>
      </c>
      <c r="O188" s="11">
        <v>69137.140461000003</v>
      </c>
      <c r="P188" s="11">
        <v>3728.949118</v>
      </c>
      <c r="Q188" s="11">
        <v>3123.8578520000001</v>
      </c>
      <c r="R188" s="11">
        <v>0.42852699999999999</v>
      </c>
      <c r="S188" s="11">
        <v>7.469557</v>
      </c>
      <c r="T188" s="11">
        <v>7.2062520000000001</v>
      </c>
      <c r="U188" s="11">
        <v>7.3076629999999998</v>
      </c>
      <c r="V188" s="11">
        <v>71.646852999999993</v>
      </c>
      <c r="W188" s="11">
        <v>8.5</v>
      </c>
      <c r="X188" s="12">
        <v>39828</v>
      </c>
      <c r="Y188" s="11">
        <v>2</v>
      </c>
      <c r="Z188" s="11" t="s">
        <v>674</v>
      </c>
      <c r="AA188" s="11" t="s">
        <v>646</v>
      </c>
      <c r="AB188" s="11">
        <v>0.32617400000000002</v>
      </c>
      <c r="AC188" s="11">
        <v>3.611793</v>
      </c>
      <c r="AD188" s="11">
        <v>23.094507</v>
      </c>
      <c r="AE188" s="11">
        <v>22.038298000000001</v>
      </c>
      <c r="AF188" s="11">
        <v>-0.46806399999999998</v>
      </c>
      <c r="AG188" s="11">
        <v>1.1163259999999999</v>
      </c>
      <c r="AH188" s="11">
        <v>8.9309560000000001</v>
      </c>
      <c r="AI188" s="11">
        <v>7.8327010000000001</v>
      </c>
      <c r="AJ188" s="11">
        <v>100</v>
      </c>
      <c r="AK188" s="11" t="s">
        <v>44</v>
      </c>
      <c r="AL188" s="11" t="s">
        <v>647</v>
      </c>
      <c r="AM188" s="11">
        <v>0.42852699999999999</v>
      </c>
      <c r="AN188" s="11">
        <v>0.42852699999999999</v>
      </c>
      <c r="AO188" s="11"/>
    </row>
    <row r="189" spans="1:41" x14ac:dyDescent="0.2">
      <c r="A189" s="11" t="s">
        <v>676</v>
      </c>
      <c r="B189" s="11" t="s">
        <v>677</v>
      </c>
      <c r="C189" s="11" t="s">
        <v>678</v>
      </c>
      <c r="D189" s="11" t="s">
        <v>41</v>
      </c>
      <c r="E189" s="12">
        <v>47997</v>
      </c>
      <c r="F189" s="11" t="s">
        <v>847</v>
      </c>
      <c r="G189" s="11">
        <v>103.23702</v>
      </c>
      <c r="H189" s="11">
        <v>3.7027779999999999</v>
      </c>
      <c r="I189" s="11">
        <v>156.38602299999999</v>
      </c>
      <c r="J189" s="11">
        <v>9.3653E-2</v>
      </c>
      <c r="K189" s="11">
        <v>0.42109099999999999</v>
      </c>
      <c r="L189" s="11">
        <v>10.774737999999999</v>
      </c>
      <c r="M189" s="11">
        <v>10.114158</v>
      </c>
      <c r="N189" s="11">
        <v>81826.275223000004</v>
      </c>
      <c r="O189" s="11">
        <v>87504.853252999994</v>
      </c>
      <c r="P189" s="11">
        <v>4719.6216560000003</v>
      </c>
      <c r="Q189" s="11">
        <v>3953.7753670000002</v>
      </c>
      <c r="R189" s="11">
        <v>0.54237400000000002</v>
      </c>
      <c r="S189" s="11">
        <v>8.3924129999999995</v>
      </c>
      <c r="T189" s="11">
        <v>8.0941480000000006</v>
      </c>
      <c r="U189" s="11">
        <v>7.3698920000000001</v>
      </c>
      <c r="V189" s="11">
        <v>92.066399000000004</v>
      </c>
      <c r="W189" s="11">
        <v>7.75</v>
      </c>
      <c r="X189" s="12">
        <v>40795</v>
      </c>
      <c r="Y189" s="11">
        <v>2</v>
      </c>
      <c r="Z189" s="11" t="s">
        <v>677</v>
      </c>
      <c r="AA189" s="11" t="s">
        <v>646</v>
      </c>
      <c r="AB189" s="11">
        <v>0.45859899999999998</v>
      </c>
      <c r="AC189" s="11">
        <v>3.614522</v>
      </c>
      <c r="AD189" s="11">
        <v>23.828551999999998</v>
      </c>
      <c r="AE189" s="11">
        <v>22.353684000000001</v>
      </c>
      <c r="AF189" s="11">
        <v>-0.33668799999999999</v>
      </c>
      <c r="AG189" s="11">
        <v>1.118989</v>
      </c>
      <c r="AH189" s="11">
        <v>9.5805399999999992</v>
      </c>
      <c r="AI189" s="11">
        <v>8.1113750000000007</v>
      </c>
      <c r="AJ189" s="11">
        <v>100</v>
      </c>
      <c r="AK189" s="11" t="s">
        <v>44</v>
      </c>
      <c r="AL189" s="11" t="s">
        <v>647</v>
      </c>
      <c r="AM189" s="11">
        <v>0.54237400000000002</v>
      </c>
      <c r="AN189" s="11">
        <v>0.54237400000000002</v>
      </c>
      <c r="AO189" s="11"/>
    </row>
    <row r="190" spans="1:41" x14ac:dyDescent="0.2">
      <c r="A190" s="11" t="s">
        <v>679</v>
      </c>
      <c r="B190" s="11" t="s">
        <v>680</v>
      </c>
      <c r="C190" s="11" t="s">
        <v>681</v>
      </c>
      <c r="D190" s="11" t="s">
        <v>41</v>
      </c>
      <c r="E190" s="12">
        <v>49271</v>
      </c>
      <c r="F190" s="11" t="s">
        <v>847</v>
      </c>
      <c r="G190" s="11">
        <v>103.02762</v>
      </c>
      <c r="H190" s="11">
        <v>3.7027779999999999</v>
      </c>
      <c r="I190" s="11">
        <v>117.431865</v>
      </c>
      <c r="J190" s="11">
        <v>0.13111999999999999</v>
      </c>
      <c r="K190" s="11">
        <v>0.28418300000000002</v>
      </c>
      <c r="L190" s="11">
        <v>10.677473000000001</v>
      </c>
      <c r="M190" s="11">
        <v>10.881288</v>
      </c>
      <c r="N190" s="11">
        <v>54301.665943</v>
      </c>
      <c r="O190" s="11">
        <v>57956.384060999997</v>
      </c>
      <c r="P190" s="11">
        <v>3125.9089650000001</v>
      </c>
      <c r="Q190" s="11">
        <v>2618.6721670000002</v>
      </c>
      <c r="R190" s="11">
        <v>0.35922599999999999</v>
      </c>
      <c r="S190" s="11">
        <v>9.4988890000000001</v>
      </c>
      <c r="T190" s="11">
        <v>9.1584289999999999</v>
      </c>
      <c r="U190" s="11">
        <v>7.4349030000000003</v>
      </c>
      <c r="V190" s="11">
        <v>123.7924</v>
      </c>
      <c r="W190" s="11">
        <v>7.75</v>
      </c>
      <c r="X190" s="12">
        <v>41740</v>
      </c>
      <c r="Y190" s="11">
        <v>2</v>
      </c>
      <c r="Z190" s="11" t="s">
        <v>680</v>
      </c>
      <c r="AA190" s="11" t="s">
        <v>646</v>
      </c>
      <c r="AB190" s="11">
        <v>0.49620300000000001</v>
      </c>
      <c r="AC190" s="11">
        <v>3.4732599999999998</v>
      </c>
      <c r="AD190" s="11">
        <v>23.719823999999999</v>
      </c>
      <c r="AE190" s="11">
        <v>23.206083</v>
      </c>
      <c r="AF190" s="11">
        <v>-0.29938199999999998</v>
      </c>
      <c r="AG190" s="11">
        <v>0.98112900000000003</v>
      </c>
      <c r="AH190" s="11">
        <v>9.4843229999999998</v>
      </c>
      <c r="AI190" s="11">
        <v>8.8645519999999998</v>
      </c>
      <c r="AJ190" s="11">
        <v>100</v>
      </c>
      <c r="AK190" s="11" t="s">
        <v>44</v>
      </c>
      <c r="AL190" s="11" t="s">
        <v>647</v>
      </c>
      <c r="AM190" s="11">
        <v>0.35922599999999999</v>
      </c>
      <c r="AN190" s="11">
        <v>0.35922599999999999</v>
      </c>
      <c r="AO190" s="11"/>
    </row>
    <row r="191" spans="1:41" x14ac:dyDescent="0.2">
      <c r="A191" s="11" t="s">
        <v>682</v>
      </c>
      <c r="B191" s="11" t="s">
        <v>683</v>
      </c>
      <c r="C191" s="11" t="s">
        <v>684</v>
      </c>
      <c r="D191" s="11" t="s">
        <v>41</v>
      </c>
      <c r="E191" s="12">
        <v>49999</v>
      </c>
      <c r="F191" s="11" t="s">
        <v>847</v>
      </c>
      <c r="G191" s="11">
        <v>124.96262</v>
      </c>
      <c r="H191" s="11">
        <v>4.7777779999999996</v>
      </c>
      <c r="I191" s="11">
        <v>243.23348100000001</v>
      </c>
      <c r="J191" s="11">
        <v>2.0480999999999999E-2</v>
      </c>
      <c r="K191" s="11">
        <v>0.169406</v>
      </c>
      <c r="L191" s="11">
        <v>9.7856349999999992</v>
      </c>
      <c r="M191" s="11">
        <v>10.18308</v>
      </c>
      <c r="N191" s="11">
        <v>52892.366430000002</v>
      </c>
      <c r="O191" s="11">
        <v>68622.766600000003</v>
      </c>
      <c r="P191" s="11">
        <v>3701.2060849999998</v>
      </c>
      <c r="Q191" s="11">
        <v>3100.616642</v>
      </c>
      <c r="R191" s="11">
        <v>0.42533900000000002</v>
      </c>
      <c r="S191" s="11">
        <v>9.4794169999999998</v>
      </c>
      <c r="T191" s="11">
        <v>9.135745</v>
      </c>
      <c r="U191" s="11">
        <v>7.5236879999999999</v>
      </c>
      <c r="V191" s="11">
        <v>129.20219900000001</v>
      </c>
      <c r="W191" s="11">
        <v>10</v>
      </c>
      <c r="X191" s="12">
        <v>39016</v>
      </c>
      <c r="Y191" s="11">
        <v>2</v>
      </c>
      <c r="Z191" s="11" t="s">
        <v>683</v>
      </c>
      <c r="AA191" s="11" t="s">
        <v>646</v>
      </c>
      <c r="AB191" s="11">
        <v>0.38516</v>
      </c>
      <c r="AC191" s="11">
        <v>3.3548330000000002</v>
      </c>
      <c r="AD191" s="11">
        <v>22.722892000000002</v>
      </c>
      <c r="AE191" s="11">
        <v>22.430266</v>
      </c>
      <c r="AF191" s="11">
        <v>-0.40954499999999999</v>
      </c>
      <c r="AG191" s="11">
        <v>0.86555400000000005</v>
      </c>
      <c r="AH191" s="11">
        <v>8.6021000000000001</v>
      </c>
      <c r="AI191" s="11">
        <v>8.1790430000000001</v>
      </c>
      <c r="AJ191" s="11">
        <v>100</v>
      </c>
      <c r="AK191" s="11" t="s">
        <v>44</v>
      </c>
      <c r="AL191" s="11" t="s">
        <v>647</v>
      </c>
      <c r="AM191" s="11">
        <v>0.42533900000000002</v>
      </c>
      <c r="AN191" s="11">
        <v>0.42533900000000002</v>
      </c>
      <c r="AO191" s="11"/>
    </row>
    <row r="192" spans="1:41" x14ac:dyDescent="0.2">
      <c r="A192" s="11" t="s">
        <v>685</v>
      </c>
      <c r="B192" s="11" t="s">
        <v>686</v>
      </c>
      <c r="C192" s="11" t="s">
        <v>687</v>
      </c>
      <c r="D192" s="11" t="s">
        <v>41</v>
      </c>
      <c r="E192" s="12">
        <v>50727</v>
      </c>
      <c r="F192" s="11" t="s">
        <v>847</v>
      </c>
      <c r="G192" s="11">
        <v>110.14672</v>
      </c>
      <c r="H192" s="11">
        <v>4.0611110000000004</v>
      </c>
      <c r="I192" s="11">
        <v>159.28179</v>
      </c>
      <c r="J192" s="11">
        <v>7.0197999999999997E-2</v>
      </c>
      <c r="K192" s="11">
        <v>0.223719</v>
      </c>
      <c r="L192" s="11">
        <v>10.160557000000001</v>
      </c>
      <c r="M192" s="11">
        <v>11.054017</v>
      </c>
      <c r="N192" s="11">
        <v>56484.802556000002</v>
      </c>
      <c r="O192" s="11">
        <v>64510.067905999997</v>
      </c>
      <c r="P192" s="11">
        <v>3479.3854529999999</v>
      </c>
      <c r="Q192" s="11">
        <v>2914.790528</v>
      </c>
      <c r="R192" s="11">
        <v>0.39984700000000001</v>
      </c>
      <c r="S192" s="11">
        <v>10.233523999999999</v>
      </c>
      <c r="T192" s="11">
        <v>9.8619810000000001</v>
      </c>
      <c r="U192" s="11">
        <v>7.5348449999999998</v>
      </c>
      <c r="V192" s="11">
        <v>152.367312</v>
      </c>
      <c r="W192" s="11">
        <v>8.5</v>
      </c>
      <c r="X192" s="12">
        <v>39842</v>
      </c>
      <c r="Y192" s="11">
        <v>2</v>
      </c>
      <c r="Z192" s="11" t="s">
        <v>686</v>
      </c>
      <c r="AA192" s="11" t="s">
        <v>646</v>
      </c>
      <c r="AB192" s="11">
        <v>0.435058</v>
      </c>
      <c r="AC192" s="11">
        <v>3.410873</v>
      </c>
      <c r="AD192" s="11">
        <v>23.141994</v>
      </c>
      <c r="AE192" s="11">
        <v>23.398011</v>
      </c>
      <c r="AF192" s="11">
        <v>-0.36004199999999997</v>
      </c>
      <c r="AG192" s="11">
        <v>0.92024499999999998</v>
      </c>
      <c r="AH192" s="11">
        <v>8.9729799999999997</v>
      </c>
      <c r="AI192" s="11">
        <v>9.0341389999999997</v>
      </c>
      <c r="AJ192" s="11">
        <v>100</v>
      </c>
      <c r="AK192" s="11" t="s">
        <v>44</v>
      </c>
      <c r="AL192" s="11" t="s">
        <v>647</v>
      </c>
      <c r="AM192" s="11">
        <v>0.39984700000000001</v>
      </c>
      <c r="AN192" s="11">
        <v>0.39984700000000001</v>
      </c>
      <c r="AO192" s="11"/>
    </row>
    <row r="193" spans="1:41" x14ac:dyDescent="0.2">
      <c r="A193" s="11" t="s">
        <v>688</v>
      </c>
      <c r="B193" s="11" t="s">
        <v>689</v>
      </c>
      <c r="C193" s="11" t="s">
        <v>690</v>
      </c>
      <c r="D193" s="11" t="s">
        <v>41</v>
      </c>
      <c r="E193" s="12">
        <v>52183</v>
      </c>
      <c r="F193" s="11" t="s">
        <v>847</v>
      </c>
      <c r="G193" s="11">
        <v>102.07932</v>
      </c>
      <c r="H193" s="11">
        <v>3.7027779999999999</v>
      </c>
      <c r="I193" s="11">
        <v>127.120784</v>
      </c>
      <c r="J193" s="11">
        <v>-2.2537999999999999E-2</v>
      </c>
      <c r="K193" s="11">
        <v>0.34236499999999997</v>
      </c>
      <c r="L193" s="11">
        <v>10.338818</v>
      </c>
      <c r="M193" s="11">
        <v>9.9449740000000002</v>
      </c>
      <c r="N193" s="11">
        <v>121869.67701699999</v>
      </c>
      <c r="O193" s="11">
        <v>128916.300904</v>
      </c>
      <c r="P193" s="11">
        <v>6953.1705149999998</v>
      </c>
      <c r="Q193" s="11">
        <v>5824.8894319999999</v>
      </c>
      <c r="R193" s="11">
        <v>0.79905099999999996</v>
      </c>
      <c r="S193" s="11">
        <v>11.126773999999999</v>
      </c>
      <c r="T193" s="11">
        <v>10.721299999999999</v>
      </c>
      <c r="U193" s="11">
        <v>7.5639070000000004</v>
      </c>
      <c r="V193" s="11">
        <v>187.30853200000001</v>
      </c>
      <c r="W193" s="11">
        <v>7.75</v>
      </c>
      <c r="X193" s="12">
        <v>41019</v>
      </c>
      <c r="Y193" s="11">
        <v>2</v>
      </c>
      <c r="Z193" s="11" t="s">
        <v>689</v>
      </c>
      <c r="AA193" s="11" t="s">
        <v>646</v>
      </c>
      <c r="AB193" s="11">
        <v>0.34198400000000001</v>
      </c>
      <c r="AC193" s="11">
        <v>3.5332919999999999</v>
      </c>
      <c r="AD193" s="11">
        <v>23.341262</v>
      </c>
      <c r="AE193" s="11">
        <v>22.165693999999998</v>
      </c>
      <c r="AF193" s="11">
        <v>-0.45237899999999998</v>
      </c>
      <c r="AG193" s="11">
        <v>1.0397149999999999</v>
      </c>
      <c r="AH193" s="11">
        <v>9.1493190000000002</v>
      </c>
      <c r="AI193" s="11">
        <v>7.9452680000000004</v>
      </c>
      <c r="AJ193" s="11">
        <v>100</v>
      </c>
      <c r="AK193" s="11" t="s">
        <v>44</v>
      </c>
      <c r="AL193" s="11" t="s">
        <v>647</v>
      </c>
      <c r="AM193" s="11">
        <v>0.79905099999999996</v>
      </c>
      <c r="AN193" s="11">
        <v>0.79905099999999996</v>
      </c>
      <c r="AO193" s="11"/>
    </row>
    <row r="194" spans="1:41" x14ac:dyDescent="0.2">
      <c r="A194" s="11" t="s">
        <v>691</v>
      </c>
      <c r="B194" s="11" t="s">
        <v>692</v>
      </c>
      <c r="C194" s="11" t="s">
        <v>693</v>
      </c>
      <c r="D194" s="11" t="s">
        <v>41</v>
      </c>
      <c r="E194" s="12">
        <v>54003</v>
      </c>
      <c r="F194" s="11" t="s">
        <v>847</v>
      </c>
      <c r="G194" s="11">
        <v>104.9337</v>
      </c>
      <c r="H194" s="11">
        <v>3.822222</v>
      </c>
      <c r="I194" s="11">
        <v>105.46720500000001</v>
      </c>
      <c r="J194" s="11">
        <v>2.0697E-2</v>
      </c>
      <c r="K194" s="11">
        <v>0.35783700000000002</v>
      </c>
      <c r="L194" s="11"/>
      <c r="M194" s="11"/>
      <c r="N194" s="11">
        <v>30411.084475</v>
      </c>
      <c r="O194" s="11">
        <v>33073.855378</v>
      </c>
      <c r="P194" s="11">
        <v>1783.8563039999999</v>
      </c>
      <c r="Q194" s="11">
        <v>1494.39248</v>
      </c>
      <c r="R194" s="11">
        <v>0.20499899999999999</v>
      </c>
      <c r="S194" s="11">
        <v>11.697222</v>
      </c>
      <c r="T194" s="11">
        <v>11.269983999999999</v>
      </c>
      <c r="U194" s="11">
        <v>7.5818789999999998</v>
      </c>
      <c r="V194" s="11">
        <v>217.545142</v>
      </c>
      <c r="W194" s="11">
        <v>8</v>
      </c>
      <c r="X194" s="12">
        <v>42804</v>
      </c>
      <c r="Y194" s="11">
        <v>2</v>
      </c>
      <c r="Z194" s="11" t="s">
        <v>692</v>
      </c>
      <c r="AA194" s="11" t="s">
        <v>646</v>
      </c>
      <c r="AB194" s="11">
        <v>0.38537700000000003</v>
      </c>
      <c r="AC194" s="11">
        <v>3.5492560000000002</v>
      </c>
      <c r="AD194" s="11"/>
      <c r="AE194" s="11"/>
      <c r="AF194" s="11">
        <v>-0.40933000000000003</v>
      </c>
      <c r="AG194" s="11">
        <v>1.0552950000000001</v>
      </c>
      <c r="AH194" s="11"/>
      <c r="AI194" s="11"/>
      <c r="AJ194" s="11">
        <v>100</v>
      </c>
      <c r="AK194" s="11" t="s">
        <v>44</v>
      </c>
      <c r="AL194" s="11" t="s">
        <v>647</v>
      </c>
      <c r="AM194" s="11">
        <v>0.20499899999999999</v>
      </c>
      <c r="AN194" s="11">
        <v>0.20499899999999999</v>
      </c>
      <c r="AO194" s="11"/>
    </row>
    <row r="195" spans="1:41" x14ac:dyDescent="0.2">
      <c r="A195" s="11" t="s">
        <v>694</v>
      </c>
      <c r="B195" s="11" t="s">
        <v>695</v>
      </c>
      <c r="C195" s="11" t="s">
        <v>696</v>
      </c>
      <c r="D195" s="11" t="s">
        <v>41</v>
      </c>
      <c r="E195" s="12">
        <v>44055</v>
      </c>
      <c r="F195" s="11" t="s">
        <v>843</v>
      </c>
      <c r="G195" s="11">
        <v>110.47445</v>
      </c>
      <c r="H195" s="11">
        <v>2.4826670000000002</v>
      </c>
      <c r="I195" s="11">
        <v>216.656971</v>
      </c>
      <c r="J195" s="11">
        <v>6.7830000000000001E-2</v>
      </c>
      <c r="K195" s="11">
        <v>0.31848500000000002</v>
      </c>
      <c r="L195" s="11">
        <v>9.2657410000000002</v>
      </c>
      <c r="M195" s="11">
        <v>8.1448319999999992</v>
      </c>
      <c r="N195" s="11">
        <v>4401</v>
      </c>
      <c r="O195" s="11">
        <v>4971.2427049999997</v>
      </c>
      <c r="P195" s="11">
        <v>1535.5189820000001</v>
      </c>
      <c r="Q195" s="11">
        <v>1286.352502</v>
      </c>
      <c r="R195" s="11">
        <v>0.17646000000000001</v>
      </c>
      <c r="S195" s="11">
        <v>2.438663</v>
      </c>
      <c r="T195" s="11">
        <v>2.3943859999999999</v>
      </c>
      <c r="U195" s="11">
        <v>3.6984189999999999</v>
      </c>
      <c r="V195" s="11">
        <v>7.2979849999999997</v>
      </c>
      <c r="W195" s="11">
        <v>7.84</v>
      </c>
      <c r="X195" s="12">
        <v>38551</v>
      </c>
      <c r="Y195" s="11">
        <v>2</v>
      </c>
      <c r="Z195" s="11" t="s">
        <v>695</v>
      </c>
      <c r="AA195" s="11" t="s">
        <v>697</v>
      </c>
      <c r="AB195" s="11">
        <v>3.6921000000000002E-2</v>
      </c>
      <c r="AC195" s="11">
        <v>0.63454600000000005</v>
      </c>
      <c r="AD195" s="11">
        <v>15.374497</v>
      </c>
      <c r="AE195" s="11">
        <v>11.997961999999999</v>
      </c>
      <c r="AF195" s="11">
        <v>-0.75502800000000003</v>
      </c>
      <c r="AG195" s="11">
        <v>-1.7892140000000001</v>
      </c>
      <c r="AH195" s="11">
        <v>2.0992289999999998</v>
      </c>
      <c r="AI195" s="11">
        <v>-1.0389120000000001</v>
      </c>
      <c r="AJ195" s="11">
        <v>100</v>
      </c>
      <c r="AK195" s="11" t="s">
        <v>44</v>
      </c>
      <c r="AL195" s="11" t="s">
        <v>698</v>
      </c>
      <c r="AM195" s="11">
        <v>0.17646000000000001</v>
      </c>
      <c r="AN195" s="11">
        <v>0.17646000000000001</v>
      </c>
      <c r="AO195" s="11"/>
    </row>
    <row r="196" spans="1:41" x14ac:dyDescent="0.2">
      <c r="A196" s="11" t="s">
        <v>699</v>
      </c>
      <c r="B196" s="11" t="s">
        <v>700</v>
      </c>
      <c r="C196" s="11" t="s">
        <v>701</v>
      </c>
      <c r="D196" s="11" t="s">
        <v>41</v>
      </c>
      <c r="E196" s="12">
        <v>45516</v>
      </c>
      <c r="F196" s="11" t="s">
        <v>845</v>
      </c>
      <c r="G196" s="11">
        <v>106.2801</v>
      </c>
      <c r="H196" s="11">
        <v>1.8049999999999999</v>
      </c>
      <c r="I196" s="11">
        <v>124.530243</v>
      </c>
      <c r="J196" s="11">
        <v>0.36551600000000001</v>
      </c>
      <c r="K196" s="11">
        <v>0.43417</v>
      </c>
      <c r="L196" s="11">
        <v>12.94055</v>
      </c>
      <c r="M196" s="11">
        <v>12.819654999999999</v>
      </c>
      <c r="N196" s="11">
        <v>9556</v>
      </c>
      <c r="O196" s="11">
        <v>10328.612155999999</v>
      </c>
      <c r="P196" s="11">
        <v>3190.3049129999999</v>
      </c>
      <c r="Q196" s="11">
        <v>2672.6186760000001</v>
      </c>
      <c r="R196" s="11">
        <v>0.36662699999999998</v>
      </c>
      <c r="S196" s="11">
        <v>5.6029999999999998</v>
      </c>
      <c r="T196" s="11">
        <v>5.4773250000000004</v>
      </c>
      <c r="U196" s="11">
        <v>4.5889059999999997</v>
      </c>
      <c r="V196" s="11">
        <v>36.342300000000002</v>
      </c>
      <c r="W196" s="11">
        <v>5.7</v>
      </c>
      <c r="X196" s="12">
        <v>41950</v>
      </c>
      <c r="Y196" s="11">
        <v>2</v>
      </c>
      <c r="Z196" s="11" t="s">
        <v>700</v>
      </c>
      <c r="AA196" s="11" t="s">
        <v>697</v>
      </c>
      <c r="AB196" s="11">
        <v>0.33451500000000001</v>
      </c>
      <c r="AC196" s="11">
        <v>0.75059500000000001</v>
      </c>
      <c r="AD196" s="11">
        <v>19.254754999999999</v>
      </c>
      <c r="AE196" s="11">
        <v>16.839345999999999</v>
      </c>
      <c r="AF196" s="11">
        <v>-0.45978999999999998</v>
      </c>
      <c r="AG196" s="11">
        <v>-1.6759599999999999</v>
      </c>
      <c r="AH196" s="11">
        <v>5.5330159999999999</v>
      </c>
      <c r="AI196" s="11">
        <v>3.2389209999999999</v>
      </c>
      <c r="AJ196" s="11">
        <v>100</v>
      </c>
      <c r="AK196" s="11" t="s">
        <v>44</v>
      </c>
      <c r="AL196" s="11" t="s">
        <v>698</v>
      </c>
      <c r="AM196" s="11">
        <v>0.36662699999999998</v>
      </c>
      <c r="AN196" s="11">
        <v>0.36662699999999998</v>
      </c>
      <c r="AO196" s="11"/>
    </row>
    <row r="197" spans="1:41" x14ac:dyDescent="0.2">
      <c r="A197" s="11" t="s">
        <v>702</v>
      </c>
      <c r="B197" s="11" t="s">
        <v>703</v>
      </c>
      <c r="C197" s="11" t="s">
        <v>704</v>
      </c>
      <c r="D197" s="11" t="s">
        <v>41</v>
      </c>
      <c r="E197" s="12">
        <v>46246</v>
      </c>
      <c r="F197" s="11" t="s">
        <v>846</v>
      </c>
      <c r="G197" s="11">
        <v>122.26585</v>
      </c>
      <c r="H197" s="11">
        <v>2.5966670000000001</v>
      </c>
      <c r="I197" s="11">
        <v>238.88682600000001</v>
      </c>
      <c r="J197" s="11">
        <v>0.26151600000000003</v>
      </c>
      <c r="K197" s="11">
        <v>0.96483099999999999</v>
      </c>
      <c r="L197" s="11">
        <v>15.768649999999999</v>
      </c>
      <c r="M197" s="11">
        <v>15.296605</v>
      </c>
      <c r="N197" s="11">
        <v>10841.999</v>
      </c>
      <c r="O197" s="11">
        <v>13537.592807999999</v>
      </c>
      <c r="P197" s="11">
        <v>4181.4958479999996</v>
      </c>
      <c r="Q197" s="11">
        <v>3502.970468</v>
      </c>
      <c r="R197" s="11">
        <v>0.48053299999999999</v>
      </c>
      <c r="S197" s="11">
        <v>6.4989340000000002</v>
      </c>
      <c r="T197" s="11">
        <v>6.3404420000000004</v>
      </c>
      <c r="U197" s="11">
        <v>4.9993829999999999</v>
      </c>
      <c r="V197" s="11">
        <v>51.315483</v>
      </c>
      <c r="W197" s="11">
        <v>8.1999999999999993</v>
      </c>
      <c r="X197" s="12">
        <v>38840</v>
      </c>
      <c r="Y197" s="11">
        <v>2</v>
      </c>
      <c r="Z197" s="11" t="s">
        <v>703</v>
      </c>
      <c r="AA197" s="11" t="s">
        <v>697</v>
      </c>
      <c r="AB197" s="11">
        <v>0.230548</v>
      </c>
      <c r="AC197" s="11">
        <v>1.282929</v>
      </c>
      <c r="AD197" s="11">
        <v>22.240967000000001</v>
      </c>
      <c r="AE197" s="11">
        <v>19.404547000000001</v>
      </c>
      <c r="AF197" s="11">
        <v>-0.56293400000000005</v>
      </c>
      <c r="AG197" s="11">
        <v>-1.1564479999999999</v>
      </c>
      <c r="AH197" s="11">
        <v>8.1756259999999994</v>
      </c>
      <c r="AI197" s="11">
        <v>5.5055259999999997</v>
      </c>
      <c r="AJ197" s="11">
        <v>100</v>
      </c>
      <c r="AK197" s="11" t="s">
        <v>44</v>
      </c>
      <c r="AL197" s="11" t="s">
        <v>698</v>
      </c>
      <c r="AM197" s="11">
        <v>0.48053299999999999</v>
      </c>
      <c r="AN197" s="11">
        <v>0.48053299999999999</v>
      </c>
      <c r="AO197" s="11"/>
    </row>
    <row r="198" spans="1:41" x14ac:dyDescent="0.2">
      <c r="A198" s="11" t="s">
        <v>705</v>
      </c>
      <c r="B198" s="11" t="s">
        <v>706</v>
      </c>
      <c r="C198" s="11" t="s">
        <v>707</v>
      </c>
      <c r="D198" s="11" t="s">
        <v>41</v>
      </c>
      <c r="E198" s="12">
        <v>46977</v>
      </c>
      <c r="F198" s="11" t="s">
        <v>847</v>
      </c>
      <c r="G198" s="11">
        <v>108.28959999999999</v>
      </c>
      <c r="H198" s="11">
        <v>2.0108329999999999</v>
      </c>
      <c r="I198" s="11">
        <v>111.556363</v>
      </c>
      <c r="J198" s="11">
        <v>0.35708600000000001</v>
      </c>
      <c r="K198" s="11">
        <v>0.75784399999999996</v>
      </c>
      <c r="L198" s="11">
        <v>16.269034999999999</v>
      </c>
      <c r="M198" s="11">
        <v>15.840312000000001</v>
      </c>
      <c r="N198" s="11">
        <v>12872</v>
      </c>
      <c r="O198" s="11">
        <v>14197.871778999999</v>
      </c>
      <c r="P198" s="11">
        <v>4385.4430199999997</v>
      </c>
      <c r="Q198" s="11">
        <v>3673.8234229999998</v>
      </c>
      <c r="R198" s="11">
        <v>0.50397099999999995</v>
      </c>
      <c r="S198" s="11">
        <v>7.9054089999999997</v>
      </c>
      <c r="T198" s="11">
        <v>7.700774</v>
      </c>
      <c r="U198" s="11">
        <v>5.3146639999999996</v>
      </c>
      <c r="V198" s="11">
        <v>75.482286000000002</v>
      </c>
      <c r="W198" s="11">
        <v>6.35</v>
      </c>
      <c r="X198" s="12">
        <v>42650</v>
      </c>
      <c r="Y198" s="11">
        <v>2</v>
      </c>
      <c r="Z198" s="11" t="s">
        <v>706</v>
      </c>
      <c r="AA198" s="11" t="s">
        <v>697</v>
      </c>
      <c r="AB198" s="11">
        <v>0.32608700000000002</v>
      </c>
      <c r="AC198" s="11">
        <v>1.0752900000000001</v>
      </c>
      <c r="AD198" s="11">
        <v>22.769327000000001</v>
      </c>
      <c r="AE198" s="11">
        <v>19.967625999999999</v>
      </c>
      <c r="AF198" s="11">
        <v>-0.46815000000000001</v>
      </c>
      <c r="AG198" s="11">
        <v>-1.359086</v>
      </c>
      <c r="AH198" s="11">
        <v>8.6431930000000001</v>
      </c>
      <c r="AI198" s="11">
        <v>6.0030609999999998</v>
      </c>
      <c r="AJ198" s="11">
        <v>100</v>
      </c>
      <c r="AK198" s="11" t="s">
        <v>44</v>
      </c>
      <c r="AL198" s="11" t="s">
        <v>698</v>
      </c>
      <c r="AM198" s="11">
        <v>0.50397099999999995</v>
      </c>
      <c r="AN198" s="11">
        <v>0.50397099999999995</v>
      </c>
      <c r="AO198" s="11"/>
    </row>
    <row r="199" spans="1:41" x14ac:dyDescent="0.2">
      <c r="A199" s="11" t="s">
        <v>708</v>
      </c>
      <c r="B199" s="11" t="s">
        <v>709</v>
      </c>
      <c r="C199" s="11" t="s">
        <v>710</v>
      </c>
      <c r="D199" s="11" t="s">
        <v>41</v>
      </c>
      <c r="E199" s="12">
        <v>48072</v>
      </c>
      <c r="F199" s="11" t="s">
        <v>847</v>
      </c>
      <c r="G199" s="11">
        <v>113.5067</v>
      </c>
      <c r="H199" s="11">
        <v>2.2008329999999998</v>
      </c>
      <c r="I199" s="11">
        <v>186.57553799999999</v>
      </c>
      <c r="J199" s="11">
        <v>0.36816399999999999</v>
      </c>
      <c r="K199" s="11">
        <v>1.6876340000000001</v>
      </c>
      <c r="L199" s="11">
        <v>17.02178</v>
      </c>
      <c r="M199" s="11">
        <v>17.589836999999999</v>
      </c>
      <c r="N199" s="11">
        <v>12238</v>
      </c>
      <c r="O199" s="11">
        <v>14160.287929</v>
      </c>
      <c r="P199" s="11">
        <v>4373.8341090000004</v>
      </c>
      <c r="Q199" s="11">
        <v>3664.0982739999999</v>
      </c>
      <c r="R199" s="11">
        <v>0.50263599999999997</v>
      </c>
      <c r="S199" s="11">
        <v>9.1897880000000001</v>
      </c>
      <c r="T199" s="11">
        <v>8.9428450000000002</v>
      </c>
      <c r="U199" s="11">
        <v>5.5226990000000002</v>
      </c>
      <c r="V199" s="11">
        <v>106.51237999999999</v>
      </c>
      <c r="W199" s="11">
        <v>6.95</v>
      </c>
      <c r="X199" s="12">
        <v>39562</v>
      </c>
      <c r="Y199" s="11">
        <v>2</v>
      </c>
      <c r="Z199" s="11" t="s">
        <v>709</v>
      </c>
      <c r="AA199" s="11" t="s">
        <v>697</v>
      </c>
      <c r="AB199" s="11">
        <v>0.33716200000000002</v>
      </c>
      <c r="AC199" s="11">
        <v>2.0080079999999998</v>
      </c>
      <c r="AD199" s="11">
        <v>23.564156000000001</v>
      </c>
      <c r="AE199" s="11">
        <v>21.779485999999999</v>
      </c>
      <c r="AF199" s="11">
        <v>-0.45716299999999999</v>
      </c>
      <c r="AG199" s="11">
        <v>-0.44883200000000001</v>
      </c>
      <c r="AH199" s="11">
        <v>9.3465659999999993</v>
      </c>
      <c r="AI199" s="11">
        <v>7.6040150000000004</v>
      </c>
      <c r="AJ199" s="11">
        <v>100</v>
      </c>
      <c r="AK199" s="11" t="s">
        <v>44</v>
      </c>
      <c r="AL199" s="11" t="s">
        <v>698</v>
      </c>
      <c r="AM199" s="11">
        <v>0.50263599999999997</v>
      </c>
      <c r="AN199" s="11">
        <v>0.50263599999999997</v>
      </c>
      <c r="AO199" s="11"/>
    </row>
    <row r="200" spans="1:41" x14ac:dyDescent="0.2">
      <c r="A200" s="11" t="s">
        <v>711</v>
      </c>
      <c r="B200" s="11" t="s">
        <v>712</v>
      </c>
      <c r="C200" s="11" t="s">
        <v>713</v>
      </c>
      <c r="D200" s="11" t="s">
        <v>41</v>
      </c>
      <c r="E200" s="12">
        <v>48438</v>
      </c>
      <c r="F200" s="11" t="s">
        <v>847</v>
      </c>
      <c r="G200" s="11">
        <v>105.64995</v>
      </c>
      <c r="H200" s="11">
        <v>2.3233329999999999</v>
      </c>
      <c r="I200" s="11">
        <v>104.76531199999999</v>
      </c>
      <c r="J200" s="11">
        <v>0.48807499999999998</v>
      </c>
      <c r="K200" s="11">
        <v>1.8255049999999999</v>
      </c>
      <c r="L200" s="11"/>
      <c r="M200" s="11"/>
      <c r="N200" s="11">
        <v>10000</v>
      </c>
      <c r="O200" s="11">
        <v>10797.328332999999</v>
      </c>
      <c r="P200" s="11">
        <v>3335.0821110000002</v>
      </c>
      <c r="Q200" s="11">
        <v>2793.9030830000002</v>
      </c>
      <c r="R200" s="11">
        <v>0.38326399999999999</v>
      </c>
      <c r="S200" s="11">
        <v>9.8175120000000007</v>
      </c>
      <c r="T200" s="11">
        <v>9.5513309999999993</v>
      </c>
      <c r="U200" s="11">
        <v>5.5736990000000004</v>
      </c>
      <c r="V200" s="11">
        <v>121.81729199999999</v>
      </c>
      <c r="W200" s="11">
        <v>6.15</v>
      </c>
      <c r="X200" s="12">
        <v>42937</v>
      </c>
      <c r="Y200" s="11">
        <v>2</v>
      </c>
      <c r="Z200" s="11" t="s">
        <v>712</v>
      </c>
      <c r="AA200" s="11" t="s">
        <v>697</v>
      </c>
      <c r="AB200" s="11">
        <v>0.457036</v>
      </c>
      <c r="AC200" s="11">
        <v>2.1463139999999998</v>
      </c>
      <c r="AD200" s="11"/>
      <c r="AE200" s="11"/>
      <c r="AF200" s="11">
        <v>-0.33823799999999998</v>
      </c>
      <c r="AG200" s="11">
        <v>-0.313857</v>
      </c>
      <c r="AH200" s="11"/>
      <c r="AI200" s="11"/>
      <c r="AJ200" s="11">
        <v>100</v>
      </c>
      <c r="AK200" s="11" t="s">
        <v>44</v>
      </c>
      <c r="AL200" s="11" t="s">
        <v>698</v>
      </c>
      <c r="AM200" s="11">
        <v>0.38326399999999999</v>
      </c>
      <c r="AN200" s="11">
        <v>0.38326399999999999</v>
      </c>
      <c r="AO200" s="11"/>
    </row>
    <row r="201" spans="1:41" x14ac:dyDescent="0.2">
      <c r="A201" s="11" t="s">
        <v>714</v>
      </c>
      <c r="B201" s="11" t="s">
        <v>715</v>
      </c>
      <c r="C201" s="11" t="s">
        <v>716</v>
      </c>
      <c r="D201" s="11" t="s">
        <v>41</v>
      </c>
      <c r="E201" s="12">
        <v>50264</v>
      </c>
      <c r="F201" s="11" t="s">
        <v>847</v>
      </c>
      <c r="G201" s="11">
        <v>111.16885000000001</v>
      </c>
      <c r="H201" s="11">
        <v>2.1850000000000001</v>
      </c>
      <c r="I201" s="11">
        <v>217.61253199999999</v>
      </c>
      <c r="J201" s="11">
        <v>0.23249700000000001</v>
      </c>
      <c r="K201" s="11">
        <v>1.8929819999999999</v>
      </c>
      <c r="L201" s="11">
        <v>16.647746000000001</v>
      </c>
      <c r="M201" s="11">
        <v>17.698802000000001</v>
      </c>
      <c r="N201" s="11">
        <v>8295</v>
      </c>
      <c r="O201" s="11">
        <v>9402.7018580000004</v>
      </c>
      <c r="P201" s="11">
        <v>2904.3094540000002</v>
      </c>
      <c r="Q201" s="11">
        <v>2433.031293</v>
      </c>
      <c r="R201" s="11">
        <v>0.33376</v>
      </c>
      <c r="S201" s="11">
        <v>11.296715000000001</v>
      </c>
      <c r="T201" s="11">
        <v>10.971719</v>
      </c>
      <c r="U201" s="11">
        <v>5.9242439999999998</v>
      </c>
      <c r="V201" s="11">
        <v>172.66056699999999</v>
      </c>
      <c r="W201" s="11">
        <v>6.9</v>
      </c>
      <c r="X201" s="12">
        <v>39289</v>
      </c>
      <c r="Y201" s="11">
        <v>2</v>
      </c>
      <c r="Z201" s="11" t="s">
        <v>715</v>
      </c>
      <c r="AA201" s="11" t="s">
        <v>697</v>
      </c>
      <c r="AB201" s="11">
        <v>0.20153799999999999</v>
      </c>
      <c r="AC201" s="11">
        <v>2.2140029999999999</v>
      </c>
      <c r="AD201" s="11">
        <v>23.169211000000001</v>
      </c>
      <c r="AE201" s="11">
        <v>21.892333000000001</v>
      </c>
      <c r="AF201" s="11">
        <v>-0.59171399999999996</v>
      </c>
      <c r="AG201" s="11">
        <v>-0.24779799999999999</v>
      </c>
      <c r="AH201" s="11">
        <v>8.9970649999999992</v>
      </c>
      <c r="AI201" s="11">
        <v>7.7037269999999998</v>
      </c>
      <c r="AJ201" s="11">
        <v>100</v>
      </c>
      <c r="AK201" s="11" t="s">
        <v>44</v>
      </c>
      <c r="AL201" s="11" t="s">
        <v>698</v>
      </c>
      <c r="AM201" s="11">
        <v>0.33376</v>
      </c>
      <c r="AN201" s="11">
        <v>0.33376</v>
      </c>
      <c r="AO201" s="11"/>
    </row>
    <row r="202" spans="1:41" x14ac:dyDescent="0.2">
      <c r="A202" s="11" t="s">
        <v>717</v>
      </c>
      <c r="B202" s="11" t="s">
        <v>718</v>
      </c>
      <c r="C202" s="11" t="s">
        <v>719</v>
      </c>
      <c r="D202" s="11" t="s">
        <v>41</v>
      </c>
      <c r="E202" s="12">
        <v>44732</v>
      </c>
      <c r="F202" s="11" t="s">
        <v>844</v>
      </c>
      <c r="G202" s="11">
        <v>105.94736</v>
      </c>
      <c r="H202" s="11">
        <v>4.5260420000000003</v>
      </c>
      <c r="I202" s="11">
        <v>106.49211099999999</v>
      </c>
      <c r="J202" s="11">
        <v>5.7554000000000001E-2</v>
      </c>
      <c r="K202" s="11">
        <v>0.224527</v>
      </c>
      <c r="L202" s="11"/>
      <c r="M202" s="11"/>
      <c r="N202" s="11">
        <v>35271.245999999999</v>
      </c>
      <c r="O202" s="11">
        <v>38965.345265999997</v>
      </c>
      <c r="P202" s="11">
        <v>1340.397154</v>
      </c>
      <c r="Q202" s="11">
        <v>1122.892816</v>
      </c>
      <c r="R202" s="11">
        <v>0.15403700000000001</v>
      </c>
      <c r="S202" s="11">
        <v>3.6384699999999999</v>
      </c>
      <c r="T202" s="11">
        <v>3.493938</v>
      </c>
      <c r="U202" s="11">
        <v>8.2733129999999999</v>
      </c>
      <c r="V202" s="11">
        <v>15.849233999999999</v>
      </c>
      <c r="W202" s="11">
        <v>9.875</v>
      </c>
      <c r="X202" s="12">
        <v>42906</v>
      </c>
      <c r="Y202" s="11">
        <v>2</v>
      </c>
      <c r="Z202" s="11" t="s">
        <v>718</v>
      </c>
      <c r="AA202" s="11" t="s">
        <v>720</v>
      </c>
      <c r="AB202" s="11">
        <v>0.52221799999999996</v>
      </c>
      <c r="AC202" s="11">
        <v>0.603773</v>
      </c>
      <c r="AD202" s="11"/>
      <c r="AE202" s="11"/>
      <c r="AF202" s="11">
        <v>-0.27357300000000001</v>
      </c>
      <c r="AG202" s="11">
        <v>-1.8192459999999999</v>
      </c>
      <c r="AH202" s="11"/>
      <c r="AI202" s="11"/>
      <c r="AJ202" s="11">
        <v>100</v>
      </c>
      <c r="AK202" s="11" t="s">
        <v>44</v>
      </c>
      <c r="AL202" s="11" t="s">
        <v>721</v>
      </c>
      <c r="AM202" s="11">
        <v>0.15403700000000001</v>
      </c>
      <c r="AN202" s="11">
        <v>0.15403700000000001</v>
      </c>
      <c r="AO202" s="11"/>
    </row>
    <row r="203" spans="1:41" x14ac:dyDescent="0.2">
      <c r="A203" s="11" t="s">
        <v>722</v>
      </c>
      <c r="B203" s="11" t="s">
        <v>723</v>
      </c>
      <c r="C203" s="11" t="s">
        <v>724</v>
      </c>
      <c r="D203" s="11" t="s">
        <v>41</v>
      </c>
      <c r="E203" s="12">
        <v>46827</v>
      </c>
      <c r="F203" s="11" t="s">
        <v>847</v>
      </c>
      <c r="G203" s="11">
        <v>99.775739999999999</v>
      </c>
      <c r="H203" s="11">
        <v>1.888889</v>
      </c>
      <c r="I203" s="11">
        <v>97.799868000000004</v>
      </c>
      <c r="J203" s="11">
        <v>9.0062000000000003E-2</v>
      </c>
      <c r="K203" s="11">
        <v>-1.4088E-2</v>
      </c>
      <c r="L203" s="11"/>
      <c r="M203" s="11"/>
      <c r="N203" s="11">
        <v>31603</v>
      </c>
      <c r="O203" s="11">
        <v>32129.072668000001</v>
      </c>
      <c r="P203" s="11">
        <v>1105.231258</v>
      </c>
      <c r="Q203" s="11">
        <v>925.88695499999994</v>
      </c>
      <c r="R203" s="11">
        <v>0.12701200000000001</v>
      </c>
      <c r="S203" s="11">
        <v>6.9218109999999999</v>
      </c>
      <c r="T203" s="11">
        <v>6.6387989999999997</v>
      </c>
      <c r="U203" s="11">
        <v>8.5259850000000004</v>
      </c>
      <c r="V203" s="11">
        <v>59.379601999999998</v>
      </c>
      <c r="W203" s="11">
        <v>8.5</v>
      </c>
      <c r="X203" s="12">
        <v>42993</v>
      </c>
      <c r="Y203" s="11">
        <v>2</v>
      </c>
      <c r="Z203" s="11" t="s">
        <v>723</v>
      </c>
      <c r="AA203" s="11" t="s">
        <v>720</v>
      </c>
      <c r="AB203" s="11">
        <v>0.55487600000000004</v>
      </c>
      <c r="AC203" s="11">
        <v>0.36425600000000002</v>
      </c>
      <c r="AD203" s="11"/>
      <c r="AE203" s="11"/>
      <c r="AF203" s="11">
        <v>-0.241173</v>
      </c>
      <c r="AG203" s="11">
        <v>-2.0529950000000001</v>
      </c>
      <c r="AH203" s="11"/>
      <c r="AI203" s="11"/>
      <c r="AJ203" s="11">
        <v>100</v>
      </c>
      <c r="AK203" s="11" t="s">
        <v>44</v>
      </c>
      <c r="AL203" s="11" t="s">
        <v>721</v>
      </c>
      <c r="AM203" s="11">
        <v>0.12701200000000001</v>
      </c>
      <c r="AN203" s="11">
        <v>0.12701200000000001</v>
      </c>
      <c r="AO203" s="11"/>
    </row>
    <row r="204" spans="1:41" x14ac:dyDescent="0.2">
      <c r="A204" s="11" t="s">
        <v>727</v>
      </c>
      <c r="B204" s="11" t="s">
        <v>728</v>
      </c>
      <c r="C204" s="11" t="s">
        <v>729</v>
      </c>
      <c r="D204" s="11" t="s">
        <v>41</v>
      </c>
      <c r="E204" s="12">
        <v>43845</v>
      </c>
      <c r="F204" s="11" t="s">
        <v>843</v>
      </c>
      <c r="G204" s="11">
        <v>98.370890000000003</v>
      </c>
      <c r="H204" s="11">
        <v>2.840411</v>
      </c>
      <c r="I204" s="11">
        <v>257.28617100000002</v>
      </c>
      <c r="J204" s="11">
        <v>2.689E-3</v>
      </c>
      <c r="K204" s="11">
        <v>3.738E-3</v>
      </c>
      <c r="L204" s="11">
        <v>8.6747979999999991</v>
      </c>
      <c r="M204" s="11">
        <v>7.4505220000000003</v>
      </c>
      <c r="N204" s="11">
        <v>43914.631294999999</v>
      </c>
      <c r="O204" s="11">
        <v>44446.569645000003</v>
      </c>
      <c r="P204" s="11">
        <v>3206.5340169999999</v>
      </c>
      <c r="Q204" s="11">
        <v>2686.2143059999999</v>
      </c>
      <c r="R204" s="11">
        <v>0.36849199999999999</v>
      </c>
      <c r="S204" s="11">
        <v>1.9415020000000001</v>
      </c>
      <c r="T204" s="11">
        <v>1.866085</v>
      </c>
      <c r="U204" s="11">
        <v>8.0829280000000008</v>
      </c>
      <c r="V204" s="11">
        <v>4.5918460000000003</v>
      </c>
      <c r="W204" s="11">
        <v>7.25</v>
      </c>
      <c r="X204" s="12">
        <v>38527</v>
      </c>
      <c r="Y204" s="11">
        <v>2</v>
      </c>
      <c r="Z204" s="11" t="s">
        <v>730</v>
      </c>
      <c r="AA204" s="11" t="s">
        <v>725</v>
      </c>
      <c r="AB204" s="11">
        <v>0.33636199999999999</v>
      </c>
      <c r="AC204" s="11">
        <v>2.0238330000000002</v>
      </c>
      <c r="AD204" s="11">
        <v>10.899450999999999</v>
      </c>
      <c r="AE204" s="11">
        <v>6.0067370000000002</v>
      </c>
      <c r="AF204" s="11">
        <v>-0.457957</v>
      </c>
      <c r="AG204" s="11">
        <v>-0.433388</v>
      </c>
      <c r="AH204" s="11">
        <v>-1.8609070000000001</v>
      </c>
      <c r="AI204" s="11">
        <v>-6.3327419999999996</v>
      </c>
      <c r="AJ204" s="11">
        <v>100</v>
      </c>
      <c r="AK204" s="11" t="s">
        <v>44</v>
      </c>
      <c r="AL204" s="11" t="s">
        <v>726</v>
      </c>
      <c r="AM204" s="11">
        <v>0.36849199999999999</v>
      </c>
      <c r="AN204" s="11">
        <v>0.36849199999999999</v>
      </c>
      <c r="AO204" s="11"/>
    </row>
    <row r="205" spans="1:41" x14ac:dyDescent="0.2">
      <c r="A205" s="11" t="s">
        <v>731</v>
      </c>
      <c r="B205" s="11" t="s">
        <v>732</v>
      </c>
      <c r="C205" s="11" t="s">
        <v>733</v>
      </c>
      <c r="D205" s="11" t="s">
        <v>41</v>
      </c>
      <c r="E205" s="12">
        <v>44286</v>
      </c>
      <c r="F205" s="11" t="s">
        <v>844</v>
      </c>
      <c r="G205" s="11">
        <v>95.468090000000004</v>
      </c>
      <c r="H205" s="11">
        <v>1.220548</v>
      </c>
      <c r="I205" s="11">
        <v>255.24329599999999</v>
      </c>
      <c r="J205" s="11">
        <v>-6.4159999999999998E-3</v>
      </c>
      <c r="K205" s="11">
        <v>-0.25816299999999998</v>
      </c>
      <c r="L205" s="11">
        <v>8.7676060000000007</v>
      </c>
      <c r="M205" s="11">
        <v>7.2709039999999998</v>
      </c>
      <c r="N205" s="11">
        <v>41379.593198000002</v>
      </c>
      <c r="O205" s="11">
        <v>40009.36505</v>
      </c>
      <c r="P205" s="11">
        <v>2886.4182559999999</v>
      </c>
      <c r="Q205" s="11">
        <v>2418.0432740000001</v>
      </c>
      <c r="R205" s="11">
        <v>0.331704</v>
      </c>
      <c r="S205" s="11">
        <v>2.9841929999999999</v>
      </c>
      <c r="T205" s="11">
        <v>2.864859</v>
      </c>
      <c r="U205" s="11">
        <v>8.3309060000000006</v>
      </c>
      <c r="V205" s="11">
        <v>10.158668</v>
      </c>
      <c r="W205" s="11">
        <v>6.75</v>
      </c>
      <c r="X205" s="12">
        <v>38961</v>
      </c>
      <c r="Y205" s="11">
        <v>2</v>
      </c>
      <c r="Z205" s="11" t="s">
        <v>734</v>
      </c>
      <c r="AA205" s="11" t="s">
        <v>725</v>
      </c>
      <c r="AB205" s="11">
        <v>0.32722699999999999</v>
      </c>
      <c r="AC205" s="11">
        <v>1.756642</v>
      </c>
      <c r="AD205" s="11">
        <v>10.994159</v>
      </c>
      <c r="AE205" s="11">
        <v>5.8295329999999996</v>
      </c>
      <c r="AF205" s="11">
        <v>-0.46701999999999999</v>
      </c>
      <c r="AG205" s="11">
        <v>-0.69414399999999998</v>
      </c>
      <c r="AH205" s="11">
        <v>-1.7770969999999999</v>
      </c>
      <c r="AI205" s="11">
        <v>-6.4893190000000001</v>
      </c>
      <c r="AJ205" s="11">
        <v>100</v>
      </c>
      <c r="AK205" s="11" t="s">
        <v>44</v>
      </c>
      <c r="AL205" s="11" t="s">
        <v>726</v>
      </c>
      <c r="AM205" s="11">
        <v>0.331704</v>
      </c>
      <c r="AN205" s="11">
        <v>0.331704</v>
      </c>
      <c r="AO205" s="11"/>
    </row>
    <row r="206" spans="1:41" x14ac:dyDescent="0.2">
      <c r="A206" s="11" t="s">
        <v>735</v>
      </c>
      <c r="B206" s="11" t="s">
        <v>736</v>
      </c>
      <c r="C206" s="11" t="s">
        <v>737</v>
      </c>
      <c r="D206" s="11" t="s">
        <v>41</v>
      </c>
      <c r="E206" s="12">
        <v>44985</v>
      </c>
      <c r="F206" s="11" t="s">
        <v>845</v>
      </c>
      <c r="G206" s="11">
        <v>96.260289999999998</v>
      </c>
      <c r="H206" s="11">
        <v>2.0383559999999998</v>
      </c>
      <c r="I206" s="11">
        <v>131.57870199999999</v>
      </c>
      <c r="J206" s="11">
        <v>-1.7951999999999999E-2</v>
      </c>
      <c r="K206" s="11">
        <v>-0.463306</v>
      </c>
      <c r="L206" s="11">
        <v>9.0016090000000002</v>
      </c>
      <c r="M206" s="11">
        <v>7.5291090000000001</v>
      </c>
      <c r="N206" s="11">
        <v>57414.142040999999</v>
      </c>
      <c r="O206" s="11">
        <v>56437.324332999997</v>
      </c>
      <c r="P206" s="11">
        <v>4071.5898160000002</v>
      </c>
      <c r="Q206" s="11">
        <v>3410.8987310000002</v>
      </c>
      <c r="R206" s="11">
        <v>0.46790300000000001</v>
      </c>
      <c r="S206" s="11">
        <v>4.2931239999999997</v>
      </c>
      <c r="T206" s="11">
        <v>4.1151429999999998</v>
      </c>
      <c r="U206" s="11">
        <v>8.6500400000000006</v>
      </c>
      <c r="V206" s="11">
        <v>21.221193</v>
      </c>
      <c r="W206" s="11">
        <v>7.75</v>
      </c>
      <c r="X206" s="12">
        <v>41082</v>
      </c>
      <c r="Y206" s="11">
        <v>2</v>
      </c>
      <c r="Z206" s="11" t="s">
        <v>736</v>
      </c>
      <c r="AA206" s="11" t="s">
        <v>725</v>
      </c>
      <c r="AB206" s="11">
        <v>0.31565199999999999</v>
      </c>
      <c r="AC206" s="11">
        <v>1.547355</v>
      </c>
      <c r="AD206" s="11">
        <v>11.232951999999999</v>
      </c>
      <c r="AE206" s="11">
        <v>6.0842679999999998</v>
      </c>
      <c r="AF206" s="11">
        <v>-0.47850300000000001</v>
      </c>
      <c r="AG206" s="11">
        <v>-0.89839000000000002</v>
      </c>
      <c r="AH206" s="11">
        <v>-1.5657799999999999</v>
      </c>
      <c r="AI206" s="11">
        <v>-6.2642360000000004</v>
      </c>
      <c r="AJ206" s="11">
        <v>100</v>
      </c>
      <c r="AK206" s="11" t="s">
        <v>44</v>
      </c>
      <c r="AL206" s="11" t="s">
        <v>726</v>
      </c>
      <c r="AM206" s="11">
        <v>0.46790300000000001</v>
      </c>
      <c r="AN206" s="11">
        <v>0.46790300000000001</v>
      </c>
      <c r="AO206" s="11"/>
    </row>
    <row r="207" spans="1:41" x14ac:dyDescent="0.2">
      <c r="A207" s="11" t="s">
        <v>738</v>
      </c>
      <c r="B207" s="11" t="s">
        <v>739</v>
      </c>
      <c r="C207" s="11" t="s">
        <v>740</v>
      </c>
      <c r="D207" s="11" t="s">
        <v>41</v>
      </c>
      <c r="E207" s="12">
        <v>46377</v>
      </c>
      <c r="F207" s="11" t="s">
        <v>846</v>
      </c>
      <c r="G207" s="11">
        <v>106.96271</v>
      </c>
      <c r="H207" s="11">
        <v>4.8041099999999997</v>
      </c>
      <c r="I207" s="11">
        <v>609.31731400000001</v>
      </c>
      <c r="J207" s="11">
        <v>-3.1576E-2</v>
      </c>
      <c r="K207" s="11">
        <v>-0.75303100000000001</v>
      </c>
      <c r="L207" s="11">
        <v>7.1116029999999997</v>
      </c>
      <c r="M207" s="11">
        <v>5.4351370000000001</v>
      </c>
      <c r="N207" s="11">
        <v>152765.32754100001</v>
      </c>
      <c r="O207" s="11">
        <v>170740.94802700001</v>
      </c>
      <c r="P207" s="11">
        <v>12317.860801000001</v>
      </c>
      <c r="Q207" s="11">
        <v>10319.059061</v>
      </c>
      <c r="R207" s="11">
        <v>1.415556</v>
      </c>
      <c r="S207" s="11">
        <v>5.8990549999999997</v>
      </c>
      <c r="T207" s="11">
        <v>5.6360599999999996</v>
      </c>
      <c r="U207" s="11">
        <v>9.3325940000000003</v>
      </c>
      <c r="V207" s="11">
        <v>44.287863999999999</v>
      </c>
      <c r="W207" s="11">
        <v>10.5</v>
      </c>
      <c r="X207" s="12">
        <v>35937</v>
      </c>
      <c r="Y207" s="11">
        <v>2</v>
      </c>
      <c r="Z207" s="11" t="s">
        <v>741</v>
      </c>
      <c r="AA207" s="11" t="s">
        <v>725</v>
      </c>
      <c r="AB207" s="11">
        <v>0.301983</v>
      </c>
      <c r="AC207" s="11">
        <v>1.2517780000000001</v>
      </c>
      <c r="AD207" s="11">
        <v>9.3042560000000005</v>
      </c>
      <c r="AE207" s="11">
        <v>4.0184329999999999</v>
      </c>
      <c r="AF207" s="11">
        <v>-0.492064</v>
      </c>
      <c r="AG207" s="11">
        <v>-1.186849</v>
      </c>
      <c r="AH207" s="11">
        <v>-3.2725550000000001</v>
      </c>
      <c r="AI207" s="11">
        <v>-8.0896019999999993</v>
      </c>
      <c r="AJ207" s="11">
        <v>100</v>
      </c>
      <c r="AK207" s="11" t="s">
        <v>44</v>
      </c>
      <c r="AL207" s="11" t="s">
        <v>726</v>
      </c>
      <c r="AM207" s="11">
        <v>1.415556</v>
      </c>
      <c r="AN207" s="11">
        <v>1.415556</v>
      </c>
      <c r="AO207" s="11"/>
    </row>
    <row r="208" spans="1:41" x14ac:dyDescent="0.2">
      <c r="A208" s="11" t="s">
        <v>742</v>
      </c>
      <c r="B208" s="11" t="s">
        <v>743</v>
      </c>
      <c r="C208" s="11" t="s">
        <v>744</v>
      </c>
      <c r="D208" s="11" t="s">
        <v>41</v>
      </c>
      <c r="E208" s="12">
        <v>47514</v>
      </c>
      <c r="F208" s="11" t="s">
        <v>847</v>
      </c>
      <c r="G208" s="11">
        <v>87.257720000000006</v>
      </c>
      <c r="H208" s="11">
        <v>2.7835619999999999</v>
      </c>
      <c r="I208" s="11">
        <v>119.996106</v>
      </c>
      <c r="J208" s="11">
        <v>-9.5329999999999998E-3</v>
      </c>
      <c r="K208" s="11">
        <v>-0.79570700000000005</v>
      </c>
      <c r="L208" s="11">
        <v>6.46035</v>
      </c>
      <c r="M208" s="11">
        <v>4.782057</v>
      </c>
      <c r="N208" s="11">
        <v>81522.398772</v>
      </c>
      <c r="O208" s="11">
        <v>73403.812680999996</v>
      </c>
      <c r="P208" s="11">
        <v>5295.6127820000002</v>
      </c>
      <c r="Q208" s="11">
        <v>4436.3012339999996</v>
      </c>
      <c r="R208" s="11">
        <v>0.60856600000000005</v>
      </c>
      <c r="S208" s="11">
        <v>7.4459379999999999</v>
      </c>
      <c r="T208" s="11">
        <v>7.0979919999999996</v>
      </c>
      <c r="U208" s="11">
        <v>9.8040540000000007</v>
      </c>
      <c r="V208" s="11">
        <v>71.662109999999998</v>
      </c>
      <c r="W208" s="11">
        <v>8</v>
      </c>
      <c r="X208" s="12">
        <v>41551</v>
      </c>
      <c r="Y208" s="11">
        <v>2</v>
      </c>
      <c r="Z208" s="11" t="s">
        <v>743</v>
      </c>
      <c r="AA208" s="11" t="s">
        <v>725</v>
      </c>
      <c r="AB208" s="11">
        <v>0.32409900000000003</v>
      </c>
      <c r="AC208" s="11">
        <v>1.2082390000000001</v>
      </c>
      <c r="AD208" s="11">
        <v>8.6396719999999991</v>
      </c>
      <c r="AE208" s="11">
        <v>3.3741279999999998</v>
      </c>
      <c r="AF208" s="11">
        <v>-0.47012300000000001</v>
      </c>
      <c r="AG208" s="11">
        <v>-1.229339</v>
      </c>
      <c r="AH208" s="11">
        <v>-3.860671</v>
      </c>
      <c r="AI208" s="11">
        <v>-8.6589080000000003</v>
      </c>
      <c r="AJ208" s="11">
        <v>100</v>
      </c>
      <c r="AK208" s="11" t="s">
        <v>44</v>
      </c>
      <c r="AL208" s="11" t="s">
        <v>726</v>
      </c>
      <c r="AM208" s="11">
        <v>0.60856600000000005</v>
      </c>
      <c r="AN208" s="11">
        <v>0.60856600000000005</v>
      </c>
      <c r="AO208" s="11"/>
    </row>
    <row r="209" spans="1:41" x14ac:dyDescent="0.2">
      <c r="A209" s="11" t="s">
        <v>745</v>
      </c>
      <c r="B209" s="11" t="s">
        <v>746</v>
      </c>
      <c r="C209" s="11" t="s">
        <v>747</v>
      </c>
      <c r="D209" s="11" t="s">
        <v>41</v>
      </c>
      <c r="E209" s="12">
        <v>47907</v>
      </c>
      <c r="F209" s="11" t="s">
        <v>847</v>
      </c>
      <c r="G209" s="11">
        <v>78.934004999999999</v>
      </c>
      <c r="H209" s="11">
        <v>1.8410960000000001</v>
      </c>
      <c r="I209" s="11">
        <v>176.68113199999999</v>
      </c>
      <c r="J209" s="11">
        <v>-1.1785E-2</v>
      </c>
      <c r="K209" s="11">
        <v>-0.78132500000000005</v>
      </c>
      <c r="L209" s="11">
        <v>5.7332840000000003</v>
      </c>
      <c r="M209" s="11">
        <v>3.9945659999999998</v>
      </c>
      <c r="N209" s="11">
        <v>81596.770652000007</v>
      </c>
      <c r="O209" s="11">
        <v>65909.873817999993</v>
      </c>
      <c r="P209" s="11">
        <v>4754.9733120000001</v>
      </c>
      <c r="Q209" s="11">
        <v>3983.3905599999998</v>
      </c>
      <c r="R209" s="11">
        <v>0.54643699999999995</v>
      </c>
      <c r="S209" s="11">
        <v>8.0508260000000007</v>
      </c>
      <c r="T209" s="11">
        <v>7.6718029999999997</v>
      </c>
      <c r="U209" s="11">
        <v>9.8809389999999997</v>
      </c>
      <c r="V209" s="11">
        <v>83.672186999999994</v>
      </c>
      <c r="W209" s="11">
        <v>7</v>
      </c>
      <c r="X209" s="12">
        <v>40326</v>
      </c>
      <c r="Y209" s="11">
        <v>2</v>
      </c>
      <c r="Z209" s="11" t="s">
        <v>746</v>
      </c>
      <c r="AA209" s="11" t="s">
        <v>725</v>
      </c>
      <c r="AB209" s="11">
        <v>0.32184000000000001</v>
      </c>
      <c r="AC209" s="11">
        <v>1.222912</v>
      </c>
      <c r="AD209" s="11">
        <v>7.8977219999999999</v>
      </c>
      <c r="AE209" s="11">
        <v>2.5972179999999998</v>
      </c>
      <c r="AF209" s="11">
        <v>-0.47236400000000001</v>
      </c>
      <c r="AG209" s="11">
        <v>-1.21502</v>
      </c>
      <c r="AH209" s="11">
        <v>-4.5172499999999998</v>
      </c>
      <c r="AI209" s="11">
        <v>-9.345383</v>
      </c>
      <c r="AJ209" s="11">
        <v>100</v>
      </c>
      <c r="AK209" s="11" t="s">
        <v>44</v>
      </c>
      <c r="AL209" s="11" t="s">
        <v>726</v>
      </c>
      <c r="AM209" s="11">
        <v>0.54643699999999995</v>
      </c>
      <c r="AN209" s="11">
        <v>0.54643699999999995</v>
      </c>
      <c r="AO209" s="11"/>
    </row>
    <row r="210" spans="1:41" x14ac:dyDescent="0.2">
      <c r="A210" s="11" t="s">
        <v>748</v>
      </c>
      <c r="B210" s="11" t="s">
        <v>749</v>
      </c>
      <c r="C210" s="11" t="s">
        <v>750</v>
      </c>
      <c r="D210" s="11" t="s">
        <v>41</v>
      </c>
      <c r="E210" s="12">
        <v>48304</v>
      </c>
      <c r="F210" s="11" t="s">
        <v>847</v>
      </c>
      <c r="G210" s="11">
        <v>86.802080000000004</v>
      </c>
      <c r="H210" s="11">
        <v>1.491781</v>
      </c>
      <c r="I210" s="11">
        <v>111.63192600000001</v>
      </c>
      <c r="J210" s="11">
        <v>-1.1804E-2</v>
      </c>
      <c r="K210" s="11">
        <v>-0.82345800000000002</v>
      </c>
      <c r="L210" s="11">
        <v>5.6698579999999996</v>
      </c>
      <c r="M210" s="11">
        <v>4.2562740000000003</v>
      </c>
      <c r="N210" s="11">
        <v>65560.962700000004</v>
      </c>
      <c r="O210" s="11">
        <v>57886.305160000004</v>
      </c>
      <c r="P210" s="11">
        <v>4176.1244589999997</v>
      </c>
      <c r="Q210" s="11">
        <v>3498.470687</v>
      </c>
      <c r="R210" s="11">
        <v>0.47991600000000001</v>
      </c>
      <c r="S210" s="11">
        <v>8.0954840000000008</v>
      </c>
      <c r="T210" s="11">
        <v>7.7102510000000004</v>
      </c>
      <c r="U210" s="11">
        <v>9.9927600000000005</v>
      </c>
      <c r="V210" s="11">
        <v>87.156014999999996</v>
      </c>
      <c r="W210" s="11">
        <v>8.25</v>
      </c>
      <c r="X210" s="12">
        <v>41474</v>
      </c>
      <c r="Y210" s="11">
        <v>2</v>
      </c>
      <c r="Z210" s="11" t="s">
        <v>749</v>
      </c>
      <c r="AA210" s="11" t="s">
        <v>725</v>
      </c>
      <c r="AB210" s="11">
        <v>0.32182100000000002</v>
      </c>
      <c r="AC210" s="11">
        <v>1.1799280000000001</v>
      </c>
      <c r="AD210" s="11">
        <v>7.8329969999999998</v>
      </c>
      <c r="AE210" s="11">
        <v>2.85541</v>
      </c>
      <c r="AF210" s="11">
        <v>-0.472383</v>
      </c>
      <c r="AG210" s="11">
        <v>-1.2569680000000001</v>
      </c>
      <c r="AH210" s="11">
        <v>-4.5745269999999998</v>
      </c>
      <c r="AI210" s="11">
        <v>-9.1172459999999997</v>
      </c>
      <c r="AJ210" s="11">
        <v>100</v>
      </c>
      <c r="AK210" s="11" t="s">
        <v>44</v>
      </c>
      <c r="AL210" s="11" t="s">
        <v>726</v>
      </c>
      <c r="AM210" s="11">
        <v>0.47991600000000001</v>
      </c>
      <c r="AN210" s="11">
        <v>0.47991600000000001</v>
      </c>
      <c r="AO210" s="11"/>
    </row>
    <row r="211" spans="1:41" x14ac:dyDescent="0.2">
      <c r="A211" s="11" t="s">
        <v>751</v>
      </c>
      <c r="B211" s="11" t="s">
        <v>752</v>
      </c>
      <c r="C211" s="11" t="s">
        <v>753</v>
      </c>
      <c r="D211" s="11" t="s">
        <v>41</v>
      </c>
      <c r="E211" s="12">
        <v>49368</v>
      </c>
      <c r="F211" s="11" t="s">
        <v>847</v>
      </c>
      <c r="G211" s="11">
        <v>89.520124999999993</v>
      </c>
      <c r="H211" s="11">
        <v>2.334247</v>
      </c>
      <c r="I211" s="11">
        <v>112.987644</v>
      </c>
      <c r="J211" s="11">
        <v>0.108242</v>
      </c>
      <c r="K211" s="11">
        <v>-1.122749</v>
      </c>
      <c r="L211" s="11">
        <v>5.3567780000000003</v>
      </c>
      <c r="M211" s="11">
        <v>3.522939</v>
      </c>
      <c r="N211" s="11">
        <v>48950.458025</v>
      </c>
      <c r="O211" s="11">
        <v>44963.135602000002</v>
      </c>
      <c r="P211" s="11">
        <v>3243.8009269999998</v>
      </c>
      <c r="Q211" s="11">
        <v>2717.4339679999998</v>
      </c>
      <c r="R211" s="11">
        <v>0.37277399999999999</v>
      </c>
      <c r="S211" s="11">
        <v>8.4770380000000003</v>
      </c>
      <c r="T211" s="11">
        <v>8.0668930000000003</v>
      </c>
      <c r="U211" s="11">
        <v>10.168597</v>
      </c>
      <c r="V211" s="11">
        <v>101.986425</v>
      </c>
      <c r="W211" s="11">
        <v>8.875</v>
      </c>
      <c r="X211" s="12">
        <v>42202</v>
      </c>
      <c r="Y211" s="11">
        <v>2</v>
      </c>
      <c r="Z211" s="11" t="s">
        <v>752</v>
      </c>
      <c r="AA211" s="11" t="s">
        <v>725</v>
      </c>
      <c r="AB211" s="11">
        <v>0.44226700000000002</v>
      </c>
      <c r="AC211" s="11">
        <v>0.87459100000000001</v>
      </c>
      <c r="AD211" s="11">
        <v>7.513509</v>
      </c>
      <c r="AE211" s="11">
        <v>2.131929</v>
      </c>
      <c r="AF211" s="11">
        <v>-0.35288999999999998</v>
      </c>
      <c r="AG211" s="11">
        <v>-1.5549519999999999</v>
      </c>
      <c r="AH211" s="11">
        <v>-4.8572550000000003</v>
      </c>
      <c r="AI211" s="11">
        <v>-9.7565120000000007</v>
      </c>
      <c r="AJ211" s="11">
        <v>100</v>
      </c>
      <c r="AK211" s="11" t="s">
        <v>44</v>
      </c>
      <c r="AL211" s="11" t="s">
        <v>726</v>
      </c>
      <c r="AM211" s="11">
        <v>0.37277399999999999</v>
      </c>
      <c r="AN211" s="11">
        <v>0.37277399999999999</v>
      </c>
      <c r="AO211" s="11"/>
    </row>
    <row r="212" spans="1:41" x14ac:dyDescent="0.2">
      <c r="A212" s="11" t="s">
        <v>754</v>
      </c>
      <c r="B212" s="11" t="s">
        <v>755</v>
      </c>
      <c r="C212" s="11" t="s">
        <v>756</v>
      </c>
      <c r="D212" s="11" t="s">
        <v>41</v>
      </c>
      <c r="E212" s="12">
        <v>49765</v>
      </c>
      <c r="F212" s="11" t="s">
        <v>847</v>
      </c>
      <c r="G212" s="11">
        <v>68.157655000000005</v>
      </c>
      <c r="H212" s="11">
        <v>1.1301369999999999</v>
      </c>
      <c r="I212" s="11">
        <v>230.03557499999999</v>
      </c>
      <c r="J212" s="11">
        <v>0.16201399999999999</v>
      </c>
      <c r="K212" s="11">
        <v>-1.0653280000000001</v>
      </c>
      <c r="L212" s="11">
        <v>5.2006290000000002</v>
      </c>
      <c r="M212" s="11">
        <v>3.1938330000000001</v>
      </c>
      <c r="N212" s="11">
        <v>74739.164353999993</v>
      </c>
      <c r="O212" s="11">
        <v>51785.116730000002</v>
      </c>
      <c r="P212" s="11">
        <v>3735.9629709999999</v>
      </c>
      <c r="Q212" s="11">
        <v>3129.733577</v>
      </c>
      <c r="R212" s="11">
        <v>0.42933300000000002</v>
      </c>
      <c r="S212" s="11">
        <v>9.4360060000000008</v>
      </c>
      <c r="T212" s="11">
        <v>8.9828899999999994</v>
      </c>
      <c r="U212" s="11">
        <v>10.08841</v>
      </c>
      <c r="V212" s="11">
        <v>124.071043</v>
      </c>
      <c r="W212" s="11">
        <v>6.25</v>
      </c>
      <c r="X212" s="12">
        <v>38919</v>
      </c>
      <c r="Y212" s="11">
        <v>2</v>
      </c>
      <c r="Z212" s="11" t="s">
        <v>757</v>
      </c>
      <c r="AA212" s="11" t="s">
        <v>725</v>
      </c>
      <c r="AB212" s="11">
        <v>0.49621900000000002</v>
      </c>
      <c r="AC212" s="11">
        <v>0.933172</v>
      </c>
      <c r="AD212" s="11">
        <v>7.3541629999999998</v>
      </c>
      <c r="AE212" s="11">
        <v>1.8072440000000001</v>
      </c>
      <c r="AF212" s="11">
        <v>-0.29936600000000002</v>
      </c>
      <c r="AG212" s="11">
        <v>-1.497781</v>
      </c>
      <c r="AH212" s="11">
        <v>-4.9982660000000001</v>
      </c>
      <c r="AI212" s="11">
        <v>-10.043402</v>
      </c>
      <c r="AJ212" s="11">
        <v>100</v>
      </c>
      <c r="AK212" s="11" t="s">
        <v>44</v>
      </c>
      <c r="AL212" s="11" t="s">
        <v>726</v>
      </c>
      <c r="AM212" s="11">
        <v>0.42933300000000002</v>
      </c>
      <c r="AN212" s="11">
        <v>0.42933300000000002</v>
      </c>
      <c r="AO212" s="11"/>
    </row>
    <row r="213" spans="1:41" x14ac:dyDescent="0.2">
      <c r="A213" s="11" t="s">
        <v>758</v>
      </c>
      <c r="B213" s="11" t="s">
        <v>759</v>
      </c>
      <c r="C213" s="11" t="s">
        <v>760</v>
      </c>
      <c r="D213" s="11" t="s">
        <v>41</v>
      </c>
      <c r="E213" s="12">
        <v>50071</v>
      </c>
      <c r="F213" s="11" t="s">
        <v>847</v>
      </c>
      <c r="G213" s="11">
        <v>85.428934999999996</v>
      </c>
      <c r="H213" s="11">
        <v>2.9575339999999999</v>
      </c>
      <c r="I213" s="11">
        <v>109.519918</v>
      </c>
      <c r="J213" s="11">
        <v>0.19422800000000001</v>
      </c>
      <c r="K213" s="11">
        <v>-1.19112</v>
      </c>
      <c r="L213" s="11">
        <v>5.1699190000000002</v>
      </c>
      <c r="M213" s="11">
        <v>3.3675269999999999</v>
      </c>
      <c r="N213" s="11">
        <v>80309.022008</v>
      </c>
      <c r="O213" s="11">
        <v>70982.309039999993</v>
      </c>
      <c r="P213" s="11">
        <v>5120.9168749999999</v>
      </c>
      <c r="Q213" s="11">
        <v>4289.9529830000001</v>
      </c>
      <c r="R213" s="11">
        <v>0.58848999999999996</v>
      </c>
      <c r="S213" s="11">
        <v>8.7673830000000006</v>
      </c>
      <c r="T213" s="11">
        <v>8.3404779999999992</v>
      </c>
      <c r="U213" s="11">
        <v>10.236947000000001</v>
      </c>
      <c r="V213" s="11">
        <v>113.062263</v>
      </c>
      <c r="W213" s="11">
        <v>8.5</v>
      </c>
      <c r="X213" s="12">
        <v>41474</v>
      </c>
      <c r="Y213" s="11">
        <v>2</v>
      </c>
      <c r="Z213" s="11" t="s">
        <v>759</v>
      </c>
      <c r="AA213" s="11" t="s">
        <v>725</v>
      </c>
      <c r="AB213" s="11">
        <v>0.52854000000000001</v>
      </c>
      <c r="AC213" s="11">
        <v>0.80483899999999997</v>
      </c>
      <c r="AD213" s="11">
        <v>7.3228249999999999</v>
      </c>
      <c r="AE213" s="11">
        <v>1.978604</v>
      </c>
      <c r="AF213" s="11">
        <v>-0.26729999999999998</v>
      </c>
      <c r="AG213" s="11">
        <v>-1.6230230000000001</v>
      </c>
      <c r="AH213" s="11">
        <v>-5.0259980000000004</v>
      </c>
      <c r="AI213" s="11">
        <v>-9.8919890000000006</v>
      </c>
      <c r="AJ213" s="11">
        <v>100</v>
      </c>
      <c r="AK213" s="11" t="s">
        <v>44</v>
      </c>
      <c r="AL213" s="11" t="s">
        <v>726</v>
      </c>
      <c r="AM213" s="11">
        <v>0.58848999999999996</v>
      </c>
      <c r="AN213" s="11">
        <v>0.58848999999999996</v>
      </c>
      <c r="AO213" s="11"/>
    </row>
    <row r="214" spans="1:41" x14ac:dyDescent="0.2">
      <c r="A214" s="11" t="s">
        <v>761</v>
      </c>
      <c r="B214" s="11" t="s">
        <v>762</v>
      </c>
      <c r="C214" s="11" t="s">
        <v>763</v>
      </c>
      <c r="D214" s="11" t="s">
        <v>41</v>
      </c>
      <c r="E214" s="12">
        <v>51166</v>
      </c>
      <c r="F214" s="11" t="s">
        <v>847</v>
      </c>
      <c r="G214" s="11">
        <v>88.416079999999994</v>
      </c>
      <c r="H214" s="11">
        <v>3.131507</v>
      </c>
      <c r="I214" s="11">
        <v>104.269153</v>
      </c>
      <c r="J214" s="11">
        <v>0.24141699999999999</v>
      </c>
      <c r="K214" s="11">
        <v>-1.189999</v>
      </c>
      <c r="L214" s="11">
        <v>4.7140139999999997</v>
      </c>
      <c r="M214" s="11">
        <v>2.4305539999999999</v>
      </c>
      <c r="N214" s="11">
        <v>40717.286230999998</v>
      </c>
      <c r="O214" s="11">
        <v>37275.692974999998</v>
      </c>
      <c r="P214" s="11">
        <v>2689.2014049999998</v>
      </c>
      <c r="Q214" s="11">
        <v>2252.8285209999999</v>
      </c>
      <c r="R214" s="11">
        <v>0.30903999999999998</v>
      </c>
      <c r="S214" s="11">
        <v>8.9877520000000004</v>
      </c>
      <c r="T214" s="11">
        <v>8.5463989999999992</v>
      </c>
      <c r="U214" s="11">
        <v>10.3284</v>
      </c>
      <c r="V214" s="11">
        <v>124.434873</v>
      </c>
      <c r="W214" s="11">
        <v>9</v>
      </c>
      <c r="X214" s="12">
        <v>42258</v>
      </c>
      <c r="Y214" s="11">
        <v>2</v>
      </c>
      <c r="Z214" s="11" t="s">
        <v>762</v>
      </c>
      <c r="AA214" s="11" t="s">
        <v>725</v>
      </c>
      <c r="AB214" s="11">
        <v>0.57588600000000001</v>
      </c>
      <c r="AC214" s="11">
        <v>0.80598199999999998</v>
      </c>
      <c r="AD214" s="11">
        <v>6.8575869999999997</v>
      </c>
      <c r="AE214" s="11">
        <v>1.0542210000000001</v>
      </c>
      <c r="AF214" s="11">
        <v>-0.220329</v>
      </c>
      <c r="AG214" s="11">
        <v>-1.621907</v>
      </c>
      <c r="AH214" s="11">
        <v>-5.4377050000000002</v>
      </c>
      <c r="AI214" s="11">
        <v>-10.708771</v>
      </c>
      <c r="AJ214" s="11">
        <v>100</v>
      </c>
      <c r="AK214" s="11" t="s">
        <v>44</v>
      </c>
      <c r="AL214" s="11" t="s">
        <v>726</v>
      </c>
      <c r="AM214" s="11">
        <v>0.30903999999999998</v>
      </c>
      <c r="AN214" s="11">
        <v>0.30903999999999998</v>
      </c>
      <c r="AO214" s="11"/>
    </row>
    <row r="215" spans="1:41" x14ac:dyDescent="0.2">
      <c r="A215" s="11" t="s">
        <v>764</v>
      </c>
      <c r="B215" s="11" t="s">
        <v>765</v>
      </c>
      <c r="C215" s="11" t="s">
        <v>766</v>
      </c>
      <c r="D215" s="11" t="s">
        <v>41</v>
      </c>
      <c r="E215" s="12">
        <v>51560</v>
      </c>
      <c r="F215" s="11" t="s">
        <v>847</v>
      </c>
      <c r="G215" s="11">
        <v>66.892430000000004</v>
      </c>
      <c r="H215" s="11">
        <v>1.709589</v>
      </c>
      <c r="I215" s="11">
        <v>166.748773</v>
      </c>
      <c r="J215" s="11">
        <v>0.26001099999999999</v>
      </c>
      <c r="K215" s="11">
        <v>-1.5313969999999999</v>
      </c>
      <c r="L215" s="11">
        <v>4.1052960000000001</v>
      </c>
      <c r="M215" s="11">
        <v>1.8707510000000001</v>
      </c>
      <c r="N215" s="11">
        <v>69331.145246</v>
      </c>
      <c r="O215" s="11">
        <v>47562.565462999999</v>
      </c>
      <c r="P215" s="11">
        <v>3431.3330660000001</v>
      </c>
      <c r="Q215" s="11">
        <v>2874.5355330000002</v>
      </c>
      <c r="R215" s="11">
        <v>0.39432499999999998</v>
      </c>
      <c r="S215" s="11">
        <v>9.7563209999999998</v>
      </c>
      <c r="T215" s="11">
        <v>9.2803149999999999</v>
      </c>
      <c r="U215" s="11">
        <v>10.258391</v>
      </c>
      <c r="V215" s="11">
        <v>145.489577</v>
      </c>
      <c r="W215" s="11">
        <v>6.5</v>
      </c>
      <c r="X215" s="12">
        <v>40333</v>
      </c>
      <c r="Y215" s="11">
        <v>2</v>
      </c>
      <c r="Z215" s="11" t="s">
        <v>765</v>
      </c>
      <c r="AA215" s="11" t="s">
        <v>725</v>
      </c>
      <c r="AB215" s="11">
        <v>0.59454300000000004</v>
      </c>
      <c r="AC215" s="11">
        <v>0.45768799999999998</v>
      </c>
      <c r="AD215" s="11">
        <v>6.236408</v>
      </c>
      <c r="AE215" s="11">
        <v>0.50194099999999997</v>
      </c>
      <c r="AF215" s="11">
        <v>-0.20182</v>
      </c>
      <c r="AG215" s="11">
        <v>-1.961813</v>
      </c>
      <c r="AH215" s="11">
        <v>-5.9874090000000004</v>
      </c>
      <c r="AI215" s="11">
        <v>-11.196764999999999</v>
      </c>
      <c r="AJ215" s="11">
        <v>100</v>
      </c>
      <c r="AK215" s="11" t="s">
        <v>44</v>
      </c>
      <c r="AL215" s="11" t="s">
        <v>726</v>
      </c>
      <c r="AM215" s="11">
        <v>0.39432499999999998</v>
      </c>
      <c r="AN215" s="11">
        <v>0.39432499999999998</v>
      </c>
      <c r="AO215" s="11"/>
    </row>
    <row r="216" spans="1:41" x14ac:dyDescent="0.2">
      <c r="A216" s="11" t="s">
        <v>767</v>
      </c>
      <c r="B216" s="11" t="s">
        <v>768</v>
      </c>
      <c r="C216" s="11" t="s">
        <v>769</v>
      </c>
      <c r="D216" s="11" t="s">
        <v>41</v>
      </c>
      <c r="E216" s="12">
        <v>52627</v>
      </c>
      <c r="F216" s="11" t="s">
        <v>847</v>
      </c>
      <c r="G216" s="11">
        <v>85.359345000000005</v>
      </c>
      <c r="H216" s="11">
        <v>3.044521</v>
      </c>
      <c r="I216" s="11">
        <v>115.73689899999999</v>
      </c>
      <c r="J216" s="11">
        <v>0.24932599999999999</v>
      </c>
      <c r="K216" s="11">
        <v>-1.5260750000000001</v>
      </c>
      <c r="L216" s="11">
        <v>4.0356199999999998</v>
      </c>
      <c r="M216" s="11">
        <v>1.8133250000000001</v>
      </c>
      <c r="N216" s="11">
        <v>75161.341694000002</v>
      </c>
      <c r="O216" s="11">
        <v>66445.531455000004</v>
      </c>
      <c r="P216" s="11">
        <v>4793.6175640000001</v>
      </c>
      <c r="Q216" s="11">
        <v>4015.764064</v>
      </c>
      <c r="R216" s="11">
        <v>0.55087799999999998</v>
      </c>
      <c r="S216" s="11">
        <v>9.3197469999999996</v>
      </c>
      <c r="T216" s="11">
        <v>8.8601980000000005</v>
      </c>
      <c r="U216" s="11">
        <v>10.373332</v>
      </c>
      <c r="V216" s="11">
        <v>140.19891699999999</v>
      </c>
      <c r="W216" s="11">
        <v>8.75</v>
      </c>
      <c r="X216" s="12">
        <v>41838</v>
      </c>
      <c r="Y216" s="11">
        <v>2</v>
      </c>
      <c r="Z216" s="11" t="s">
        <v>768</v>
      </c>
      <c r="AA216" s="11" t="s">
        <v>725</v>
      </c>
      <c r="AB216" s="11">
        <v>0.58382199999999995</v>
      </c>
      <c r="AC216" s="11">
        <v>0.46311799999999997</v>
      </c>
      <c r="AD216" s="11">
        <v>6.165305</v>
      </c>
      <c r="AE216" s="11">
        <v>0.44528600000000002</v>
      </c>
      <c r="AF216" s="11">
        <v>-0.21245700000000001</v>
      </c>
      <c r="AG216" s="11">
        <v>-1.9565140000000001</v>
      </c>
      <c r="AH216" s="11">
        <v>-6.0503309999999999</v>
      </c>
      <c r="AI216" s="11">
        <v>-11.246824999999999</v>
      </c>
      <c r="AJ216" s="11">
        <v>100</v>
      </c>
      <c r="AK216" s="11" t="s">
        <v>44</v>
      </c>
      <c r="AL216" s="11" t="s">
        <v>726</v>
      </c>
      <c r="AM216" s="11">
        <v>0.55087799999999998</v>
      </c>
      <c r="AN216" s="11">
        <v>0.55087799999999998</v>
      </c>
      <c r="AO216" s="11"/>
    </row>
    <row r="217" spans="1:41" x14ac:dyDescent="0.2">
      <c r="A217" s="11" t="s">
        <v>770</v>
      </c>
      <c r="B217" s="11" t="s">
        <v>771</v>
      </c>
      <c r="C217" s="11" t="s">
        <v>772</v>
      </c>
      <c r="D217" s="11" t="s">
        <v>41</v>
      </c>
      <c r="E217" s="12">
        <v>54116</v>
      </c>
      <c r="F217" s="11" t="s">
        <v>847</v>
      </c>
      <c r="G217" s="11">
        <v>85.341575000000006</v>
      </c>
      <c r="H217" s="11">
        <v>2.3013699999999999</v>
      </c>
      <c r="I217" s="11">
        <v>126.834119</v>
      </c>
      <c r="J217" s="11">
        <v>0.25684600000000002</v>
      </c>
      <c r="K217" s="11">
        <v>-1.6830210000000001</v>
      </c>
      <c r="L217" s="11">
        <v>3.9888849999999998</v>
      </c>
      <c r="M217" s="11">
        <v>1.712818</v>
      </c>
      <c r="N217" s="11">
        <v>121909.016332</v>
      </c>
      <c r="O217" s="11">
        <v>106844.651967</v>
      </c>
      <c r="P217" s="11">
        <v>7708.154168</v>
      </c>
      <c r="Q217" s="11">
        <v>6457.3629629999996</v>
      </c>
      <c r="R217" s="11">
        <v>0.88581299999999996</v>
      </c>
      <c r="S217" s="11">
        <v>9.4296740000000003</v>
      </c>
      <c r="T217" s="11">
        <v>8.9611680000000007</v>
      </c>
      <c r="U217" s="11">
        <v>10.456359000000001</v>
      </c>
      <c r="V217" s="11">
        <v>149.729939</v>
      </c>
      <c r="W217" s="11">
        <v>8.75</v>
      </c>
      <c r="X217" s="12">
        <v>41089</v>
      </c>
      <c r="Y217" s="11">
        <v>2</v>
      </c>
      <c r="Z217" s="11" t="s">
        <v>771</v>
      </c>
      <c r="AA217" s="11" t="s">
        <v>725</v>
      </c>
      <c r="AB217" s="11">
        <v>0.59136699999999998</v>
      </c>
      <c r="AC217" s="11">
        <v>0.30300100000000002</v>
      </c>
      <c r="AD217" s="11">
        <v>6.1176139999999997</v>
      </c>
      <c r="AE217" s="11">
        <v>0.34612900000000002</v>
      </c>
      <c r="AF217" s="11">
        <v>-0.20497000000000001</v>
      </c>
      <c r="AG217" s="11">
        <v>-2.1127739999999999</v>
      </c>
      <c r="AH217" s="11">
        <v>-6.0925349999999998</v>
      </c>
      <c r="AI217" s="11">
        <v>-11.334439</v>
      </c>
      <c r="AJ217" s="11">
        <v>100</v>
      </c>
      <c r="AK217" s="11" t="s">
        <v>44</v>
      </c>
      <c r="AL217" s="11" t="s">
        <v>726</v>
      </c>
      <c r="AM217" s="11">
        <v>0.88581299999999996</v>
      </c>
      <c r="AN217" s="11">
        <v>0.88581299999999996</v>
      </c>
      <c r="AO217" s="11"/>
    </row>
    <row r="218" spans="1:41" x14ac:dyDescent="0.2">
      <c r="A218" s="11"/>
      <c r="B218" s="11"/>
      <c r="C218" s="11"/>
      <c r="D218" s="11"/>
      <c r="E218" s="12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2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</row>
    <row r="219" spans="1:4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2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</row>
    <row r="220" spans="1:41" x14ac:dyDescent="0.2">
      <c r="A220" s="11"/>
      <c r="B220" s="11"/>
      <c r="C220" s="11"/>
      <c r="D220" s="11"/>
      <c r="E220" s="12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2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</row>
    <row r="221" spans="1:41" x14ac:dyDescent="0.2">
      <c r="A221" t="s">
        <v>773</v>
      </c>
    </row>
    <row r="222" spans="1:41" x14ac:dyDescent="0.2">
      <c r="A222" t="s">
        <v>774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ón 1">
              <controlPr defaultSize="0" print="0" autoFill="0" autoPict="0" macro="[0]!FiltraInstrumentosLatam">
                <anchor moveWithCells="1" sizeWithCells="1">
                  <from>
                    <xdr:col>9</xdr:col>
                    <xdr:colOff>57150</xdr:colOff>
                    <xdr:row>0</xdr:row>
                    <xdr:rowOff>28575</xdr:rowOff>
                  </from>
                  <to>
                    <xdr:col>10</xdr:col>
                    <xdr:colOff>723900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65"/>
  <sheetViews>
    <sheetView workbookViewId="0">
      <selection activeCell="L2" sqref="L2"/>
    </sheetView>
  </sheetViews>
  <sheetFormatPr baseColWidth="10" defaultRowHeight="14.25" x14ac:dyDescent="0.2"/>
  <cols>
    <col min="1" max="1" width="19.875" bestFit="1" customWidth="1"/>
    <col min="2" max="3" width="19.875" style="11" customWidth="1"/>
    <col min="4" max="4" width="11.875" customWidth="1"/>
    <col min="5" max="6" width="12.75" bestFit="1" customWidth="1"/>
    <col min="7" max="7" width="13.5" bestFit="1" customWidth="1"/>
    <col min="8" max="8" width="11.875" bestFit="1" customWidth="1"/>
    <col min="9" max="9" width="22.875" bestFit="1" customWidth="1"/>
    <col min="10" max="10" width="12.125" bestFit="1" customWidth="1"/>
    <col min="11" max="11" width="11.375" bestFit="1" customWidth="1"/>
    <col min="12" max="12" width="14.375" bestFit="1" customWidth="1"/>
    <col min="13" max="13" width="16" bestFit="1" customWidth="1"/>
  </cols>
  <sheetData>
    <row r="1" spans="1:25" ht="15" x14ac:dyDescent="0.25">
      <c r="A1" s="5" t="s">
        <v>775</v>
      </c>
      <c r="B1" s="5"/>
      <c r="C1" s="5" t="s">
        <v>856</v>
      </c>
      <c r="D1" s="5" t="s">
        <v>776</v>
      </c>
      <c r="E1" s="5" t="s">
        <v>11</v>
      </c>
      <c r="F1" s="5" t="s">
        <v>12</v>
      </c>
      <c r="G1" s="5" t="s">
        <v>13</v>
      </c>
      <c r="H1" s="5" t="s">
        <v>851</v>
      </c>
      <c r="I1" s="2" t="s">
        <v>852</v>
      </c>
      <c r="K1" s="5" t="s">
        <v>853</v>
      </c>
      <c r="L1" s="5" t="s">
        <v>854</v>
      </c>
      <c r="M1" s="5" t="s">
        <v>855</v>
      </c>
    </row>
    <row r="2" spans="1:25" x14ac:dyDescent="0.2">
      <c r="A2" s="2" t="s">
        <v>780</v>
      </c>
      <c r="B2" s="2" t="s">
        <v>527</v>
      </c>
      <c r="C2" s="2" t="s">
        <v>529</v>
      </c>
      <c r="D2" s="7">
        <v>1.3046123423255796E-2</v>
      </c>
      <c r="E2" s="13">
        <f>+VLOOKUP($B2,JPM_COMP_GBI_EMGLOBAL_DIV!$B$3:$AN$217,13,FALSE)</f>
        <v>62500</v>
      </c>
      <c r="F2" s="13">
        <f>+VLOOKUP($B2,JPM_COMP_GBI_EMGLOBAL_DIV!$B$3:$AN$217,14,FALSE)</f>
        <v>66002.080556000001</v>
      </c>
      <c r="G2" s="13">
        <f>+VLOOKUP($B2,JPM_COMP_GBI_EMGLOBAL_DIV!$B$3:$AN$217,15,FALSE)</f>
        <v>3798.954201</v>
      </c>
      <c r="H2" s="14">
        <f>+F2/G2</f>
        <v>17.373750001678424</v>
      </c>
      <c r="I2" s="14">
        <v>1</v>
      </c>
      <c r="J2" s="15">
        <f>+I2/H2</f>
        <v>5.7558097699310348E-2</v>
      </c>
      <c r="K2" s="16">
        <f>+$R$2*D2</f>
        <v>1304612.3423255796</v>
      </c>
      <c r="L2" s="17">
        <f>+K2*H2</f>
        <v>22666008.684668731</v>
      </c>
      <c r="M2" s="18">
        <f>+ROUND(E2*L2/F2,0)</f>
        <v>21463347</v>
      </c>
      <c r="N2">
        <f>+MROUND(M2,1000)</f>
        <v>21463000</v>
      </c>
      <c r="O2">
        <f>+IF(N2&lt;I2,1,0)</f>
        <v>0</v>
      </c>
      <c r="R2">
        <v>100000000</v>
      </c>
      <c r="Y2" s="1"/>
    </row>
    <row r="3" spans="1:25" x14ac:dyDescent="0.2">
      <c r="A3" s="2" t="s">
        <v>781</v>
      </c>
      <c r="B3" s="2" t="s">
        <v>532</v>
      </c>
      <c r="C3" s="2" t="s">
        <v>529</v>
      </c>
      <c r="D3" s="7">
        <v>5.4762054981603936E-3</v>
      </c>
      <c r="E3" s="13">
        <f>+VLOOKUP($B3,JPM_COMP_GBI_EMGLOBAL_DIV!$B$3:$AN$217,13,FALSE)</f>
        <v>27279</v>
      </c>
      <c r="F3" s="13">
        <f>+VLOOKUP($B3,JPM_COMP_GBI_EMGLOBAL_DIV!$B$3:$AN$217,14,FALSE)</f>
        <v>27704.854894</v>
      </c>
      <c r="G3" s="13">
        <f>+VLOOKUP($B3,JPM_COMP_GBI_EMGLOBAL_DIV!$B$3:$AN$217,15,FALSE)</f>
        <v>1594.638745</v>
      </c>
      <c r="H3" s="14">
        <f t="shared" ref="H3:H60" si="0">+F3/G3</f>
        <v>17.373749998781072</v>
      </c>
      <c r="I3" s="14">
        <v>1</v>
      </c>
      <c r="J3" s="15">
        <f t="shared" ref="J3:J60" si="1">+I3/H3</f>
        <v>5.755809770890908E-2</v>
      </c>
      <c r="K3" s="16">
        <f>+$R$2*D3</f>
        <v>547620.54981603939</v>
      </c>
      <c r="L3" s="17">
        <f t="shared" ref="L3:L60" si="2">+K3*H3</f>
        <v>9514222.5266989041</v>
      </c>
      <c r="M3" s="18">
        <f t="shared" ref="M3:M60" si="3">+ROUND(E3*L3/F3,0)</f>
        <v>9367978</v>
      </c>
      <c r="N3" s="11">
        <f t="shared" ref="N3:N60" si="4">+MROUND(M3,1000)</f>
        <v>9368000</v>
      </c>
      <c r="O3" s="11">
        <f t="shared" ref="O3:O60" si="5">+IF(N3&lt;I3,1,0)</f>
        <v>0</v>
      </c>
      <c r="Y3" s="1"/>
    </row>
    <row r="4" spans="1:25" x14ac:dyDescent="0.2">
      <c r="A4" s="2" t="s">
        <v>782</v>
      </c>
      <c r="B4" s="2" t="s">
        <v>535</v>
      </c>
      <c r="C4" s="2" t="s">
        <v>529</v>
      </c>
      <c r="D4" s="7">
        <v>1.2504637178650005E-2</v>
      </c>
      <c r="E4" s="13">
        <f>+VLOOKUP($B4,JPM_COMP_GBI_EMGLOBAL_DIV!$B$3:$AN$217,13,FALSE)</f>
        <v>60192</v>
      </c>
      <c r="F4" s="13">
        <f>+VLOOKUP($B4,JPM_COMP_GBI_EMGLOBAL_DIV!$B$3:$AN$217,14,FALSE)</f>
        <v>63262.629337999999</v>
      </c>
      <c r="G4" s="13">
        <f>+VLOOKUP($B4,JPM_COMP_GBI_EMGLOBAL_DIV!$B$3:$AN$217,15,FALSE)</f>
        <v>3641.2766000000001</v>
      </c>
      <c r="H4" s="14">
        <f t="shared" si="0"/>
        <v>17.373750002403003</v>
      </c>
      <c r="I4" s="14">
        <v>1</v>
      </c>
      <c r="J4" s="15">
        <f t="shared" si="1"/>
        <v>5.7558097696909859E-2</v>
      </c>
      <c r="K4" s="16">
        <f>+$R$2*D4</f>
        <v>1250463.7178650005</v>
      </c>
      <c r="L4" s="17">
        <f t="shared" si="2"/>
        <v>21725244.021261919</v>
      </c>
      <c r="M4" s="18">
        <f t="shared" si="3"/>
        <v>20670748</v>
      </c>
      <c r="N4" s="11">
        <f t="shared" si="4"/>
        <v>20671000</v>
      </c>
      <c r="O4" s="11">
        <f t="shared" si="5"/>
        <v>0</v>
      </c>
      <c r="Y4" s="1"/>
    </row>
    <row r="5" spans="1:25" x14ac:dyDescent="0.2">
      <c r="A5" s="2" t="s">
        <v>783</v>
      </c>
      <c r="B5" s="2" t="s">
        <v>538</v>
      </c>
      <c r="C5" s="2" t="s">
        <v>540</v>
      </c>
      <c r="D5" s="7">
        <v>3.1106550390417917E-2</v>
      </c>
      <c r="E5" s="13">
        <f>+VLOOKUP($B5,JPM_COMP_GBI_EMGLOBAL_DIV!$B$3:$AN$217,13,FALSE)</f>
        <v>31487.904897</v>
      </c>
      <c r="F5" s="13">
        <f>+VLOOKUP($B5,JPM_COMP_GBI_EMGLOBAL_DIV!$B$3:$AN$217,14,FALSE)</f>
        <v>29217.626797000001</v>
      </c>
      <c r="G5" s="13">
        <f>+VLOOKUP($B5,JPM_COMP_GBI_EMGLOBAL_DIV!$B$3:$AN$217,15,FALSE)</f>
        <v>9058.044022</v>
      </c>
      <c r="H5" s="14">
        <f t="shared" si="0"/>
        <v>3.2255999999599032</v>
      </c>
      <c r="I5" s="14">
        <v>1000</v>
      </c>
      <c r="J5" s="15">
        <f t="shared" si="1"/>
        <v>310.01984127369508</v>
      </c>
      <c r="K5" s="16">
        <f>+$R$2*D5</f>
        <v>3110655.0390417916</v>
      </c>
      <c r="L5" s="17">
        <f t="shared" si="2"/>
        <v>10033728.893808475</v>
      </c>
      <c r="M5" s="18">
        <f t="shared" si="3"/>
        <v>10813373</v>
      </c>
      <c r="N5" s="11">
        <f t="shared" si="4"/>
        <v>10813000</v>
      </c>
      <c r="O5" s="11">
        <f t="shared" si="5"/>
        <v>0</v>
      </c>
    </row>
    <row r="6" spans="1:25" x14ac:dyDescent="0.2">
      <c r="A6" s="2" t="s">
        <v>784</v>
      </c>
      <c r="B6" s="2" t="s">
        <v>543</v>
      </c>
      <c r="C6" s="2" t="s">
        <v>540</v>
      </c>
      <c r="D6" s="7">
        <v>3.6582924927029232E-3</v>
      </c>
      <c r="E6" s="13">
        <f>+VLOOKUP($B6,JPM_COMP_GBI_EMGLOBAL_DIV!$B$3:$AN$217,13,FALSE)</f>
        <v>3210.0554860000002</v>
      </c>
      <c r="F6" s="13">
        <f>+VLOOKUP($B6,JPM_COMP_GBI_EMGLOBAL_DIV!$B$3:$AN$217,14,FALSE)</f>
        <v>3436.1452319999999</v>
      </c>
      <c r="G6" s="13">
        <f>+VLOOKUP($B6,JPM_COMP_GBI_EMGLOBAL_DIV!$B$3:$AN$217,15,FALSE)</f>
        <v>1065.273199</v>
      </c>
      <c r="H6" s="14">
        <f t="shared" si="0"/>
        <v>3.225600001225601</v>
      </c>
      <c r="I6" s="14">
        <v>1000</v>
      </c>
      <c r="J6" s="15">
        <f t="shared" si="1"/>
        <v>310.01984115204596</v>
      </c>
      <c r="K6" s="16">
        <f>+$R$2*D6</f>
        <v>365829.24927029235</v>
      </c>
      <c r="L6" s="17">
        <f t="shared" si="2"/>
        <v>1180018.8268946158</v>
      </c>
      <c r="M6" s="18">
        <f t="shared" si="3"/>
        <v>1102377</v>
      </c>
      <c r="N6" s="11">
        <f t="shared" si="4"/>
        <v>1102000</v>
      </c>
      <c r="O6" s="11">
        <f t="shared" si="5"/>
        <v>0</v>
      </c>
    </row>
    <row r="7" spans="1:25" x14ac:dyDescent="0.2">
      <c r="A7" s="2" t="s">
        <v>785</v>
      </c>
      <c r="B7" s="2" t="s">
        <v>546</v>
      </c>
      <c r="C7" s="2" t="s">
        <v>540</v>
      </c>
      <c r="D7" s="7">
        <v>2.7129698946102017E-2</v>
      </c>
      <c r="E7" s="13">
        <f>+VLOOKUP($B7,JPM_COMP_GBI_EMGLOBAL_DIV!$B$3:$AN$217,13,FALSE)</f>
        <v>28024.048043999999</v>
      </c>
      <c r="F7" s="13">
        <f>+VLOOKUP($B7,JPM_COMP_GBI_EMGLOBAL_DIV!$B$3:$AN$217,14,FALSE)</f>
        <v>25482.266887000002</v>
      </c>
      <c r="G7" s="13">
        <f>+VLOOKUP($B7,JPM_COMP_GBI_EMGLOBAL_DIV!$B$3:$AN$217,15,FALSE)</f>
        <v>7900.0083350000004</v>
      </c>
      <c r="H7" s="14">
        <f t="shared" si="0"/>
        <v>3.2256000002055694</v>
      </c>
      <c r="I7" s="14">
        <v>1000</v>
      </c>
      <c r="J7" s="15">
        <f t="shared" si="1"/>
        <v>310.01984125008352</v>
      </c>
      <c r="K7" s="16">
        <f>+$R$2*D7</f>
        <v>2712969.8946102015</v>
      </c>
      <c r="L7" s="17">
        <f t="shared" si="2"/>
        <v>8750955.6926123686</v>
      </c>
      <c r="M7" s="18">
        <f t="shared" si="3"/>
        <v>9623838</v>
      </c>
      <c r="N7" s="11">
        <f t="shared" si="4"/>
        <v>9624000</v>
      </c>
      <c r="O7" s="11">
        <f t="shared" si="5"/>
        <v>0</v>
      </c>
    </row>
    <row r="8" spans="1:25" x14ac:dyDescent="0.2">
      <c r="A8" s="2" t="s">
        <v>786</v>
      </c>
      <c r="B8" s="2" t="s">
        <v>549</v>
      </c>
      <c r="C8" s="2" t="s">
        <v>540</v>
      </c>
      <c r="D8" s="7">
        <v>1.2676387391223303E-2</v>
      </c>
      <c r="E8" s="13">
        <f>+VLOOKUP($B8,JPM_COMP_GBI_EMGLOBAL_DIV!$B$3:$AN$217,13,FALSE)</f>
        <v>13393.276268</v>
      </c>
      <c r="F8" s="13">
        <f>+VLOOKUP($B8,JPM_COMP_GBI_EMGLOBAL_DIV!$B$3:$AN$217,14,FALSE)</f>
        <v>11906.622601999999</v>
      </c>
      <c r="G8" s="13">
        <f>+VLOOKUP($B8,JPM_COMP_GBI_EMGLOBAL_DIV!$B$3:$AN$217,15,FALSE)</f>
        <v>3691.2892489999999</v>
      </c>
      <c r="H8" s="14">
        <f t="shared" si="0"/>
        <v>3.2256000001152985</v>
      </c>
      <c r="I8" s="14">
        <v>1000</v>
      </c>
      <c r="J8" s="15">
        <f t="shared" si="1"/>
        <v>310.0198412587597</v>
      </c>
      <c r="K8" s="16">
        <f>+$R$2*D8</f>
        <v>1267638.7391223302</v>
      </c>
      <c r="L8" s="17">
        <f t="shared" si="2"/>
        <v>4088895.517059145</v>
      </c>
      <c r="M8" s="18">
        <f t="shared" si="3"/>
        <v>4599433</v>
      </c>
      <c r="N8" s="11">
        <f t="shared" si="4"/>
        <v>4599000</v>
      </c>
      <c r="O8" s="11">
        <f t="shared" si="5"/>
        <v>0</v>
      </c>
      <c r="Y8" s="1"/>
    </row>
    <row r="9" spans="1:25" x14ac:dyDescent="0.2">
      <c r="A9" s="2" t="s">
        <v>787</v>
      </c>
      <c r="B9" s="2" t="s">
        <v>552</v>
      </c>
      <c r="C9" s="2" t="s">
        <v>540</v>
      </c>
      <c r="D9" s="7">
        <v>1.6399056386886737E-2</v>
      </c>
      <c r="E9" s="13">
        <f>+VLOOKUP($B9,JPM_COMP_GBI_EMGLOBAL_DIV!$B$3:$AN$217,13,FALSE)</f>
        <v>17776.382131999999</v>
      </c>
      <c r="F9" s="13">
        <f>+VLOOKUP($B9,JPM_COMP_GBI_EMGLOBAL_DIV!$B$3:$AN$217,14,FALSE)</f>
        <v>15403.235117</v>
      </c>
      <c r="G9" s="13">
        <f>+VLOOKUP($B9,JPM_COMP_GBI_EMGLOBAL_DIV!$B$3:$AN$217,15,FALSE)</f>
        <v>4775.3085060000003</v>
      </c>
      <c r="H9" s="14">
        <f t="shared" si="0"/>
        <v>3.2256000000097167</v>
      </c>
      <c r="I9" s="14">
        <v>1000</v>
      </c>
      <c r="J9" s="15">
        <f t="shared" si="1"/>
        <v>310.01984126890738</v>
      </c>
      <c r="K9" s="16">
        <f>+$R$2*D9</f>
        <v>1639905.6386886737</v>
      </c>
      <c r="L9" s="17">
        <f t="shared" si="2"/>
        <v>5289679.6281701205</v>
      </c>
      <c r="M9" s="18">
        <f t="shared" si="3"/>
        <v>6104650</v>
      </c>
      <c r="N9" s="11">
        <f t="shared" si="4"/>
        <v>6105000</v>
      </c>
      <c r="O9" s="11">
        <f t="shared" si="5"/>
        <v>0</v>
      </c>
      <c r="Y9" s="1"/>
    </row>
    <row r="10" spans="1:25" x14ac:dyDescent="0.2">
      <c r="A10" s="2" t="s">
        <v>788</v>
      </c>
      <c r="B10" s="2" t="s">
        <v>555</v>
      </c>
      <c r="C10" s="2" t="s">
        <v>540</v>
      </c>
      <c r="D10" s="7">
        <v>2.3739692869010738E-2</v>
      </c>
      <c r="E10" s="13">
        <f>+VLOOKUP($B10,JPM_COMP_GBI_EMGLOBAL_DIV!$B$3:$AN$217,13,FALSE)</f>
        <v>26382.059195000002</v>
      </c>
      <c r="F10" s="13">
        <f>+VLOOKUP($B10,JPM_COMP_GBI_EMGLOBAL_DIV!$B$3:$AN$217,14,FALSE)</f>
        <v>22298.116564</v>
      </c>
      <c r="G10" s="13">
        <f>+VLOOKUP($B10,JPM_COMP_GBI_EMGLOBAL_DIV!$B$3:$AN$217,15,FALSE)</f>
        <v>6912.8585579999999</v>
      </c>
      <c r="H10" s="14">
        <f t="shared" si="0"/>
        <v>3.2255999999009384</v>
      </c>
      <c r="I10" s="14">
        <v>1000</v>
      </c>
      <c r="J10" s="15">
        <f t="shared" si="1"/>
        <v>310.01984127936231</v>
      </c>
      <c r="K10" s="16">
        <f>+$R$2*D10</f>
        <v>2373969.286901074</v>
      </c>
      <c r="L10" s="17">
        <f t="shared" si="2"/>
        <v>7657475.3315929351</v>
      </c>
      <c r="M10" s="18">
        <f t="shared" si="3"/>
        <v>9059957</v>
      </c>
      <c r="N10" s="11">
        <f t="shared" si="4"/>
        <v>9060000</v>
      </c>
      <c r="O10" s="11">
        <f t="shared" si="5"/>
        <v>0</v>
      </c>
    </row>
    <row r="11" spans="1:25" x14ac:dyDescent="0.2">
      <c r="A11" s="2" t="s">
        <v>789</v>
      </c>
      <c r="B11" s="2" t="s">
        <v>558</v>
      </c>
      <c r="C11" s="2" t="s">
        <v>540</v>
      </c>
      <c r="D11" s="7">
        <v>4.5427536191881203E-2</v>
      </c>
      <c r="E11" s="13">
        <f>+VLOOKUP($B11,JPM_COMP_GBI_EMGLOBAL_DIV!$B$3:$AN$217,13,FALSE)</f>
        <v>53123.730973999998</v>
      </c>
      <c r="F11" s="13">
        <f>+VLOOKUP($B11,JPM_COMP_GBI_EMGLOBAL_DIV!$B$3:$AN$217,14,FALSE)</f>
        <v>42668.980717999999</v>
      </c>
      <c r="G11" s="13">
        <f>+VLOOKUP($B11,JPM_COMP_GBI_EMGLOBAL_DIV!$B$3:$AN$217,15,FALSE)</f>
        <v>13228.230629</v>
      </c>
      <c r="H11" s="14">
        <f t="shared" si="0"/>
        <v>3.2256000000829741</v>
      </c>
      <c r="I11" s="14">
        <v>1000</v>
      </c>
      <c r="J11" s="15">
        <f t="shared" si="1"/>
        <v>310.01984126186642</v>
      </c>
      <c r="K11" s="16">
        <f>+$R$2*D11</f>
        <v>4542753.6191881206</v>
      </c>
      <c r="L11" s="17">
        <f t="shared" si="2"/>
        <v>14653106.074430132</v>
      </c>
      <c r="M11" s="18">
        <f t="shared" si="3"/>
        <v>18243409</v>
      </c>
      <c r="N11" s="11">
        <f t="shared" si="4"/>
        <v>18243000</v>
      </c>
      <c r="O11" s="11">
        <f t="shared" si="5"/>
        <v>0</v>
      </c>
      <c r="Y11" s="1"/>
    </row>
    <row r="12" spans="1:25" x14ac:dyDescent="0.2">
      <c r="A12" s="2" t="s">
        <v>790</v>
      </c>
      <c r="B12" s="2" t="s">
        <v>561</v>
      </c>
      <c r="C12" s="2" t="s">
        <v>540</v>
      </c>
      <c r="D12" s="7">
        <v>3.2547067236178735E-2</v>
      </c>
      <c r="E12" s="13">
        <f>+VLOOKUP($B12,JPM_COMP_GBI_EMGLOBAL_DIV!$B$3:$AN$217,13,FALSE)</f>
        <v>28671.693538</v>
      </c>
      <c r="F12" s="13">
        <f>+VLOOKUP($B12,JPM_COMP_GBI_EMGLOBAL_DIV!$B$3:$AN$217,14,FALSE)</f>
        <v>30570.669259999999</v>
      </c>
      <c r="G12" s="13">
        <f>+VLOOKUP($B12,JPM_COMP_GBI_EMGLOBAL_DIV!$B$3:$AN$217,15,FALSE)</f>
        <v>9477.5140319999991</v>
      </c>
      <c r="H12" s="14">
        <f t="shared" si="0"/>
        <v>3.2255999998291536</v>
      </c>
      <c r="I12" s="14">
        <v>1000</v>
      </c>
      <c r="J12" s="15">
        <f t="shared" si="1"/>
        <v>310.01984128626174</v>
      </c>
      <c r="K12" s="16">
        <f>+$R$2*D12</f>
        <v>3254706.7236178736</v>
      </c>
      <c r="L12" s="17">
        <f t="shared" si="2"/>
        <v>10498382.007145759</v>
      </c>
      <c r="M12" s="18">
        <f t="shared" si="3"/>
        <v>9846248</v>
      </c>
      <c r="N12" s="11">
        <f t="shared" si="4"/>
        <v>9846000</v>
      </c>
      <c r="O12" s="11">
        <f t="shared" si="5"/>
        <v>0</v>
      </c>
      <c r="Y12" s="1"/>
    </row>
    <row r="13" spans="1:25" x14ac:dyDescent="0.2">
      <c r="A13" s="2" t="s">
        <v>791</v>
      </c>
      <c r="B13" s="2" t="s">
        <v>565</v>
      </c>
      <c r="C13" s="2" t="s">
        <v>540</v>
      </c>
      <c r="D13" s="7">
        <v>1.7324403898085244E-2</v>
      </c>
      <c r="E13" s="13">
        <f>+VLOOKUP($B13,JPM_COMP_GBI_EMGLOBAL_DIV!$B$3:$AN$217,13,FALSE)</f>
        <v>22509.879021000001</v>
      </c>
      <c r="F13" s="13">
        <f>+VLOOKUP($B13,JPM_COMP_GBI_EMGLOBAL_DIV!$B$3:$AN$217,14,FALSE)</f>
        <v>16272.391545</v>
      </c>
      <c r="G13" s="13">
        <f>+VLOOKUP($B13,JPM_COMP_GBI_EMGLOBAL_DIV!$B$3:$AN$217,15,FALSE)</f>
        <v>5044.764244</v>
      </c>
      <c r="H13" s="14">
        <f t="shared" si="0"/>
        <v>3.2255999999115121</v>
      </c>
      <c r="I13" s="14">
        <v>1000</v>
      </c>
      <c r="J13" s="15">
        <f t="shared" si="1"/>
        <v>310.01984127834606</v>
      </c>
      <c r="K13" s="16">
        <f>+$R$2*D13</f>
        <v>1732440.3898085244</v>
      </c>
      <c r="L13" s="17">
        <f t="shared" si="2"/>
        <v>5588159.7212130763</v>
      </c>
      <c r="M13" s="18">
        <f t="shared" si="3"/>
        <v>7730197</v>
      </c>
      <c r="N13" s="11">
        <f t="shared" si="4"/>
        <v>7730000</v>
      </c>
      <c r="O13" s="11">
        <f t="shared" si="5"/>
        <v>0</v>
      </c>
      <c r="Y13" s="1"/>
    </row>
    <row r="14" spans="1:25" x14ac:dyDescent="0.2">
      <c r="A14" s="2" t="s">
        <v>792</v>
      </c>
      <c r="B14" s="2" t="s">
        <v>568</v>
      </c>
      <c r="C14" s="2" t="s">
        <v>540</v>
      </c>
      <c r="D14" s="7">
        <v>4.0375543955426654E-2</v>
      </c>
      <c r="E14" s="13">
        <f>+VLOOKUP($B14,JPM_COMP_GBI_EMGLOBAL_DIV!$B$3:$AN$217,13,FALSE)</f>
        <v>36096.156689000003</v>
      </c>
      <c r="F14" s="13">
        <f>+VLOOKUP($B14,JPM_COMP_GBI_EMGLOBAL_DIV!$B$3:$AN$217,14,FALSE)</f>
        <v>37923.767187999998</v>
      </c>
      <c r="G14" s="13">
        <f>+VLOOKUP($B14,JPM_COMP_GBI_EMGLOBAL_DIV!$B$3:$AN$217,15,FALSE)</f>
        <v>11757.120284000001</v>
      </c>
      <c r="H14" s="14">
        <f t="shared" si="0"/>
        <v>3.2255999999940119</v>
      </c>
      <c r="I14" s="14">
        <v>1000</v>
      </c>
      <c r="J14" s="15">
        <f t="shared" si="1"/>
        <v>310.0198412704168</v>
      </c>
      <c r="K14" s="16">
        <f>+$R$2*D14</f>
        <v>4037554.3955426654</v>
      </c>
      <c r="L14" s="17">
        <f t="shared" si="2"/>
        <v>13023535.458238244</v>
      </c>
      <c r="M14" s="18">
        <f t="shared" si="3"/>
        <v>12395909</v>
      </c>
      <c r="N14" s="11">
        <f t="shared" si="4"/>
        <v>12396000</v>
      </c>
      <c r="O14" s="11">
        <f t="shared" si="5"/>
        <v>0</v>
      </c>
      <c r="Y14" s="1"/>
    </row>
    <row r="15" spans="1:25" x14ac:dyDescent="0.2">
      <c r="A15" s="2" t="s">
        <v>793</v>
      </c>
      <c r="B15" s="2" t="s">
        <v>571</v>
      </c>
      <c r="C15" s="2" t="s">
        <v>540</v>
      </c>
      <c r="D15" s="7">
        <v>2.1487793000748295E-2</v>
      </c>
      <c r="E15" s="13">
        <f>+VLOOKUP($B15,JPM_COMP_GBI_EMGLOBAL_DIV!$B$3:$AN$217,13,FALSE)</f>
        <v>19413.568630999998</v>
      </c>
      <c r="F15" s="13">
        <f>+VLOOKUP($B15,JPM_COMP_GBI_EMGLOBAL_DIV!$B$3:$AN$217,14,FALSE)</f>
        <v>20182.961748000002</v>
      </c>
      <c r="G15" s="13">
        <f>+VLOOKUP($B15,JPM_COMP_GBI_EMGLOBAL_DIV!$B$3:$AN$217,15,FALSE)</f>
        <v>6257.1185969999997</v>
      </c>
      <c r="H15" s="14">
        <f t="shared" si="0"/>
        <v>3.2256000002424123</v>
      </c>
      <c r="I15" s="14">
        <v>1000</v>
      </c>
      <c r="J15" s="15">
        <f t="shared" si="1"/>
        <v>310.01984124654246</v>
      </c>
      <c r="K15" s="16">
        <f>+$R$2*D15</f>
        <v>2148779.3000748297</v>
      </c>
      <c r="L15" s="17">
        <f t="shared" si="2"/>
        <v>6931102.5108422609</v>
      </c>
      <c r="M15" s="18">
        <f t="shared" si="3"/>
        <v>6666882</v>
      </c>
      <c r="N15" s="11">
        <f t="shared" si="4"/>
        <v>6667000</v>
      </c>
      <c r="O15" s="11">
        <f t="shared" si="5"/>
        <v>0</v>
      </c>
    </row>
    <row r="16" spans="1:25" x14ac:dyDescent="0.2">
      <c r="A16" s="2" t="s">
        <v>794</v>
      </c>
      <c r="B16" s="2" t="s">
        <v>574</v>
      </c>
      <c r="C16" s="2" t="s">
        <v>540</v>
      </c>
      <c r="D16" s="7">
        <v>2.3478092244709627E-2</v>
      </c>
      <c r="E16" s="13">
        <f>+VLOOKUP($B16,JPM_COMP_GBI_EMGLOBAL_DIV!$B$3:$AN$217,13,FALSE)</f>
        <v>21322.495750999999</v>
      </c>
      <c r="F16" s="13">
        <f>+VLOOKUP($B16,JPM_COMP_GBI_EMGLOBAL_DIV!$B$3:$AN$217,14,FALSE)</f>
        <v>22052.401454999999</v>
      </c>
      <c r="G16" s="13">
        <f>+VLOOKUP($B16,JPM_COMP_GBI_EMGLOBAL_DIV!$B$3:$AN$217,15,FALSE)</f>
        <v>6836.6819990000004</v>
      </c>
      <c r="H16" s="14">
        <f t="shared" si="0"/>
        <v>3.2255999998574745</v>
      </c>
      <c r="I16" s="14">
        <v>1000</v>
      </c>
      <c r="J16" s="15">
        <f t="shared" si="1"/>
        <v>310.01984128353973</v>
      </c>
      <c r="K16" s="16">
        <f>+$R$2*D16</f>
        <v>2347809.2244709628</v>
      </c>
      <c r="L16" s="17">
        <f t="shared" si="2"/>
        <v>7573093.4341189144</v>
      </c>
      <c r="M16" s="18">
        <f t="shared" si="3"/>
        <v>7322434</v>
      </c>
      <c r="N16" s="11">
        <f t="shared" si="4"/>
        <v>7322000</v>
      </c>
      <c r="O16" s="11">
        <f t="shared" si="5"/>
        <v>0</v>
      </c>
    </row>
    <row r="17" spans="1:25" x14ac:dyDescent="0.2">
      <c r="A17" s="2" t="s">
        <v>795</v>
      </c>
      <c r="B17" s="2" t="s">
        <v>577</v>
      </c>
      <c r="C17" s="2" t="s">
        <v>540</v>
      </c>
      <c r="D17" s="7">
        <v>8.0682881625659822E-4</v>
      </c>
      <c r="E17" s="13">
        <f>+VLOOKUP($B17,JPM_COMP_GBI_EMGLOBAL_DIV!$B$3:$AN$217,13,FALSE)</f>
        <v>637.05894000000001</v>
      </c>
      <c r="F17" s="13">
        <f>+VLOOKUP($B17,JPM_COMP_GBI_EMGLOBAL_DIV!$B$3:$AN$217,14,FALSE)</f>
        <v>757.83469700000001</v>
      </c>
      <c r="G17" s="13">
        <f>+VLOOKUP($B17,JPM_COMP_GBI_EMGLOBAL_DIV!$B$3:$AN$217,15,FALSE)</f>
        <v>234.943793</v>
      </c>
      <c r="H17" s="14">
        <f t="shared" si="0"/>
        <v>3.2255999927608219</v>
      </c>
      <c r="I17" s="14">
        <v>250000</v>
      </c>
      <c r="J17" s="15">
        <f t="shared" si="1"/>
        <v>77504.960491403835</v>
      </c>
      <c r="K17" s="16">
        <f>+$R$2*D17</f>
        <v>80682.881625659822</v>
      </c>
      <c r="L17" s="17">
        <f t="shared" si="2"/>
        <v>260250.70238765058</v>
      </c>
      <c r="M17" s="18">
        <f t="shared" si="3"/>
        <v>218775</v>
      </c>
      <c r="N17" s="11">
        <f t="shared" si="4"/>
        <v>219000</v>
      </c>
      <c r="O17" s="11">
        <f t="shared" si="5"/>
        <v>1</v>
      </c>
      <c r="Y17" s="1"/>
    </row>
    <row r="18" spans="1:25" x14ac:dyDescent="0.2">
      <c r="A18" s="2" t="s">
        <v>796</v>
      </c>
      <c r="B18" s="2" t="s">
        <v>581</v>
      </c>
      <c r="C18" s="2" t="s">
        <v>540</v>
      </c>
      <c r="D18" s="7">
        <v>1.0209655569056214E-3</v>
      </c>
      <c r="E18" s="13">
        <f>+VLOOKUP($B18,JPM_COMP_GBI_EMGLOBAL_DIV!$B$3:$AN$217,13,FALSE)</f>
        <v>905.39871000000005</v>
      </c>
      <c r="F18" s="13">
        <f>+VLOOKUP($B18,JPM_COMP_GBI_EMGLOBAL_DIV!$B$3:$AN$217,14,FALSE)</f>
        <v>958.96813399999996</v>
      </c>
      <c r="G18" s="13">
        <f>+VLOOKUP($B18,JPM_COMP_GBI_EMGLOBAL_DIV!$B$3:$AN$217,15,FALSE)</f>
        <v>297.299149</v>
      </c>
      <c r="H18" s="14">
        <f t="shared" si="0"/>
        <v>3.2255999965879485</v>
      </c>
      <c r="I18" s="14">
        <v>350000</v>
      </c>
      <c r="J18" s="15">
        <f t="shared" si="1"/>
        <v>108506.94455922348</v>
      </c>
      <c r="K18" s="16">
        <f>+$R$2*D18</f>
        <v>102096.55569056215</v>
      </c>
      <c r="L18" s="17">
        <f t="shared" si="2"/>
        <v>329322.64968711854</v>
      </c>
      <c r="M18" s="18">
        <f t="shared" si="3"/>
        <v>310926</v>
      </c>
      <c r="N18" s="11">
        <f t="shared" si="4"/>
        <v>311000</v>
      </c>
      <c r="O18" s="11">
        <f t="shared" si="5"/>
        <v>1</v>
      </c>
    </row>
    <row r="19" spans="1:25" x14ac:dyDescent="0.2">
      <c r="A19" s="2" t="s">
        <v>797</v>
      </c>
      <c r="B19" s="2" t="s">
        <v>584</v>
      </c>
      <c r="C19" s="2" t="s">
        <v>540</v>
      </c>
      <c r="D19" s="7">
        <v>1.653141931481877E-3</v>
      </c>
      <c r="E19" s="13">
        <f>+VLOOKUP($B19,JPM_COMP_GBI_EMGLOBAL_DIV!$B$3:$AN$217,13,FALSE)</f>
        <v>1369.5333949999999</v>
      </c>
      <c r="F19" s="13">
        <f>+VLOOKUP($B19,JPM_COMP_GBI_EMGLOBAL_DIV!$B$3:$AN$217,14,FALSE)</f>
        <v>1552.75604</v>
      </c>
      <c r="G19" s="13">
        <f>+VLOOKUP($B19,JPM_COMP_GBI_EMGLOBAL_DIV!$B$3:$AN$217,15,FALSE)</f>
        <v>481.38518099999999</v>
      </c>
      <c r="H19" s="14">
        <f t="shared" si="0"/>
        <v>3.2256000003456693</v>
      </c>
      <c r="I19" s="14">
        <v>250000</v>
      </c>
      <c r="J19" s="15">
        <f t="shared" si="1"/>
        <v>77504.960309154543</v>
      </c>
      <c r="K19" s="16">
        <f>+$R$2*D19</f>
        <v>165314.19314818771</v>
      </c>
      <c r="L19" s="17">
        <f t="shared" si="2"/>
        <v>533237.46147593833</v>
      </c>
      <c r="M19" s="18">
        <f t="shared" si="3"/>
        <v>470316</v>
      </c>
      <c r="N19" s="11">
        <f t="shared" si="4"/>
        <v>470000</v>
      </c>
      <c r="O19" s="11">
        <f t="shared" si="5"/>
        <v>0</v>
      </c>
      <c r="Y19" s="1"/>
    </row>
    <row r="20" spans="1:25" x14ac:dyDescent="0.2">
      <c r="A20" s="2" t="s">
        <v>798</v>
      </c>
      <c r="B20" s="2" t="s">
        <v>587</v>
      </c>
      <c r="C20" s="2" t="s">
        <v>589</v>
      </c>
      <c r="D20" s="7">
        <v>5.608069573269636E-3</v>
      </c>
      <c r="E20" s="13">
        <f>+VLOOKUP($B20,JPM_COMP_GBI_EMGLOBAL_DIV!$B$3:$AN$217,13,FALSE)</f>
        <v>1000000</v>
      </c>
      <c r="F20" s="13">
        <f>+VLOOKUP($B20,JPM_COMP_GBI_EMGLOBAL_DIV!$B$3:$AN$217,14,FALSE)</f>
        <v>1035590.278082</v>
      </c>
      <c r="G20" s="13">
        <f>+VLOOKUP($B20,JPM_COMP_GBI_EMGLOBAL_DIV!$B$3:$AN$217,15,FALSE)</f>
        <v>1633.0367859999999</v>
      </c>
      <c r="H20" s="14">
        <f t="shared" si="0"/>
        <v>634.15000014702673</v>
      </c>
      <c r="I20" s="14">
        <v>5000000</v>
      </c>
      <c r="J20" s="15">
        <f t="shared" si="1"/>
        <v>7884.5698948841082</v>
      </c>
      <c r="K20" s="16">
        <f>+$R$2*D20</f>
        <v>560806.95732696354</v>
      </c>
      <c r="L20" s="17">
        <f t="shared" si="2"/>
        <v>355635732.07134753</v>
      </c>
      <c r="M20" s="18">
        <f t="shared" si="3"/>
        <v>343413548</v>
      </c>
      <c r="N20" s="11">
        <f t="shared" si="4"/>
        <v>343414000</v>
      </c>
      <c r="O20" s="11">
        <f t="shared" si="5"/>
        <v>0</v>
      </c>
      <c r="Y20" s="1"/>
    </row>
    <row r="21" spans="1:25" x14ac:dyDescent="0.2">
      <c r="A21" s="2" t="s">
        <v>799</v>
      </c>
      <c r="B21" s="2" t="s">
        <v>592</v>
      </c>
      <c r="C21" s="2" t="s">
        <v>589</v>
      </c>
      <c r="D21" s="7">
        <v>1.4385032874675099E-2</v>
      </c>
      <c r="E21" s="13">
        <f>+VLOOKUP($B21,JPM_COMP_GBI_EMGLOBAL_DIV!$B$3:$AN$217,13,FALSE)</f>
        <v>2564600</v>
      </c>
      <c r="F21" s="13">
        <f>+VLOOKUP($B21,JPM_COMP_GBI_EMGLOBAL_DIV!$B$3:$AN$217,14,FALSE)</f>
        <v>2656350.8169300002</v>
      </c>
      <c r="G21" s="13">
        <f>+VLOOKUP($B21,JPM_COMP_GBI_EMGLOBAL_DIV!$B$3:$AN$217,15,FALSE)</f>
        <v>4188.8367369999996</v>
      </c>
      <c r="H21" s="14">
        <f t="shared" si="0"/>
        <v>634.150000038543</v>
      </c>
      <c r="I21" s="14">
        <v>5000000</v>
      </c>
      <c r="J21" s="15">
        <f t="shared" si="1"/>
        <v>7884.5698962329179</v>
      </c>
      <c r="K21" s="16">
        <f>+$R$2*D21</f>
        <v>1438503.28746751</v>
      </c>
      <c r="L21" s="17">
        <f t="shared" si="2"/>
        <v>912226859.80296564</v>
      </c>
      <c r="M21" s="18">
        <f t="shared" si="3"/>
        <v>880718386</v>
      </c>
      <c r="N21" s="11">
        <f t="shared" si="4"/>
        <v>880718000</v>
      </c>
      <c r="O21" s="11">
        <f t="shared" si="5"/>
        <v>0</v>
      </c>
    </row>
    <row r="22" spans="1:25" x14ac:dyDescent="0.2">
      <c r="A22" s="2" t="s">
        <v>800</v>
      </c>
      <c r="B22" s="2" t="s">
        <v>595</v>
      </c>
      <c r="C22" s="2" t="s">
        <v>589</v>
      </c>
      <c r="D22" s="7">
        <v>1.9881781340392795E-2</v>
      </c>
      <c r="E22" s="13">
        <f>+VLOOKUP($B22,JPM_COMP_GBI_EMGLOBAL_DIV!$B$3:$AN$217,13,FALSE)</f>
        <v>3629400</v>
      </c>
      <c r="F22" s="13">
        <f>+VLOOKUP($B22,JPM_COMP_GBI_EMGLOBAL_DIV!$B$3:$AN$217,14,FALSE)</f>
        <v>3671384.4567120001</v>
      </c>
      <c r="G22" s="13">
        <f>+VLOOKUP($B22,JPM_COMP_GBI_EMGLOBAL_DIV!$B$3:$AN$217,15,FALSE)</f>
        <v>5789.4574730000004</v>
      </c>
      <c r="H22" s="14">
        <f t="shared" si="0"/>
        <v>634.15000003610874</v>
      </c>
      <c r="I22" s="14">
        <v>5000000</v>
      </c>
      <c r="J22" s="15">
        <f t="shared" si="1"/>
        <v>7884.5698962631841</v>
      </c>
      <c r="K22" s="16">
        <f>+$R$2*D22</f>
        <v>1988178.1340392795</v>
      </c>
      <c r="L22" s="17">
        <f t="shared" si="2"/>
        <v>1260803163.7727997</v>
      </c>
      <c r="M22" s="18">
        <f t="shared" si="3"/>
        <v>1246385133</v>
      </c>
      <c r="N22" s="11">
        <f t="shared" si="4"/>
        <v>1246385000</v>
      </c>
      <c r="O22" s="11">
        <f t="shared" si="5"/>
        <v>0</v>
      </c>
      <c r="Y22" s="1"/>
    </row>
    <row r="23" spans="1:25" x14ac:dyDescent="0.2">
      <c r="A23" s="2" t="s">
        <v>801</v>
      </c>
      <c r="B23" s="2" t="s">
        <v>598</v>
      </c>
      <c r="C23" s="2" t="s">
        <v>589</v>
      </c>
      <c r="D23" s="7">
        <v>1.8752518827154355E-2</v>
      </c>
      <c r="E23" s="13">
        <f>+VLOOKUP($B23,JPM_COMP_GBI_EMGLOBAL_DIV!$B$3:$AN$217,13,FALSE)</f>
        <v>3415200</v>
      </c>
      <c r="F23" s="13">
        <f>+VLOOKUP($B23,JPM_COMP_GBI_EMGLOBAL_DIV!$B$3:$AN$217,14,FALSE)</f>
        <v>3462854.004896</v>
      </c>
      <c r="G23" s="13">
        <f>+VLOOKUP($B23,JPM_COMP_GBI_EMGLOBAL_DIV!$B$3:$AN$217,15,FALSE)</f>
        <v>5460.6228890000002</v>
      </c>
      <c r="H23" s="14">
        <f t="shared" si="0"/>
        <v>634.14999997008579</v>
      </c>
      <c r="I23" s="14">
        <v>5000000</v>
      </c>
      <c r="J23" s="15">
        <f t="shared" si="1"/>
        <v>7884.5698970840667</v>
      </c>
      <c r="K23" s="16">
        <f>+$R$2*D23</f>
        <v>1875251.8827154355</v>
      </c>
      <c r="L23" s="17">
        <f t="shared" si="2"/>
        <v>1189190981.3678968</v>
      </c>
      <c r="M23" s="18">
        <f t="shared" si="3"/>
        <v>1172825950</v>
      </c>
      <c r="N23" s="11">
        <f t="shared" si="4"/>
        <v>1172826000</v>
      </c>
      <c r="O23" s="11">
        <f t="shared" si="5"/>
        <v>0</v>
      </c>
      <c r="Y23" s="1"/>
    </row>
    <row r="24" spans="1:25" x14ac:dyDescent="0.2">
      <c r="A24" s="2" t="s">
        <v>802</v>
      </c>
      <c r="B24" s="2" t="s">
        <v>601</v>
      </c>
      <c r="C24" s="2" t="s">
        <v>589</v>
      </c>
      <c r="D24" s="7">
        <v>1.1986721648360494E-2</v>
      </c>
      <c r="E24" s="13">
        <f>+VLOOKUP($B24,JPM_COMP_GBI_EMGLOBAL_DIV!$B$3:$AN$217,13,FALSE)</f>
        <v>1966130</v>
      </c>
      <c r="F24" s="13">
        <f>+VLOOKUP($B24,JPM_COMP_GBI_EMGLOBAL_DIV!$B$3:$AN$217,14,FALSE)</f>
        <v>2213476.8905870002</v>
      </c>
      <c r="G24" s="13">
        <f>+VLOOKUP($B24,JPM_COMP_GBI_EMGLOBAL_DIV!$B$3:$AN$217,15,FALSE)</f>
        <v>3490.4626520000002</v>
      </c>
      <c r="H24" s="14">
        <f t="shared" si="0"/>
        <v>634.14999994877473</v>
      </c>
      <c r="I24" s="14">
        <v>5000000</v>
      </c>
      <c r="J24" s="15">
        <f t="shared" si="1"/>
        <v>7884.5698973490325</v>
      </c>
      <c r="K24" s="16">
        <f>+$R$2*D24</f>
        <v>1198672.1648360495</v>
      </c>
      <c r="L24" s="17">
        <f t="shared" si="2"/>
        <v>760137953.26937854</v>
      </c>
      <c r="M24" s="18">
        <f t="shared" si="3"/>
        <v>675195680</v>
      </c>
      <c r="N24" s="11">
        <f t="shared" si="4"/>
        <v>675196000</v>
      </c>
      <c r="O24" s="11">
        <f t="shared" si="5"/>
        <v>0</v>
      </c>
    </row>
    <row r="25" spans="1:25" x14ac:dyDescent="0.2">
      <c r="A25" s="2" t="s">
        <v>803</v>
      </c>
      <c r="B25" s="2" t="s">
        <v>604</v>
      </c>
      <c r="C25" s="2" t="s">
        <v>589</v>
      </c>
      <c r="D25" s="7">
        <v>2.526971809347345E-3</v>
      </c>
      <c r="E25" s="13">
        <f>+VLOOKUP($B25,JPM_COMP_GBI_EMGLOBAL_DIV!$B$3:$AN$217,13,FALSE)</f>
        <v>434345</v>
      </c>
      <c r="F25" s="13">
        <f>+VLOOKUP($B25,JPM_COMP_GBI_EMGLOBAL_DIV!$B$3:$AN$217,14,FALSE)</f>
        <v>466632.484398</v>
      </c>
      <c r="G25" s="13">
        <f>+VLOOKUP($B25,JPM_COMP_GBI_EMGLOBAL_DIV!$B$3:$AN$217,15,FALSE)</f>
        <v>735.83928800000001</v>
      </c>
      <c r="H25" s="14">
        <f t="shared" si="0"/>
        <v>634.14999988149589</v>
      </c>
      <c r="I25" s="14">
        <v>50000000</v>
      </c>
      <c r="J25" s="15">
        <f t="shared" si="1"/>
        <v>78845.698981855297</v>
      </c>
      <c r="K25" s="16">
        <f>+$R$2*D25</f>
        <v>252697.1809347345</v>
      </c>
      <c r="L25" s="17">
        <f t="shared" si="2"/>
        <v>160247917.25981623</v>
      </c>
      <c r="M25" s="18">
        <f t="shared" si="3"/>
        <v>149159958</v>
      </c>
      <c r="N25" s="11">
        <f t="shared" si="4"/>
        <v>149160000</v>
      </c>
      <c r="O25" s="11">
        <f t="shared" si="5"/>
        <v>0</v>
      </c>
    </row>
    <row r="26" spans="1:25" x14ac:dyDescent="0.2">
      <c r="A26" s="2" t="s">
        <v>804</v>
      </c>
      <c r="B26" s="2" t="s">
        <v>608</v>
      </c>
      <c r="C26" s="2" t="s">
        <v>610</v>
      </c>
      <c r="D26" s="7">
        <v>1.6775913129752254E-2</v>
      </c>
      <c r="E26" s="13">
        <f>+VLOOKUP($B26,JPM_COMP_GBI_EMGLOBAL_DIV!$B$3:$AN$217,13,FALSE)</f>
        <v>13849626</v>
      </c>
      <c r="F26" s="13">
        <f>+VLOOKUP($B26,JPM_COMP_GBI_EMGLOBAL_DIV!$B$3:$AN$217,14,FALSE)</f>
        <v>14542418.442283001</v>
      </c>
      <c r="G26" s="13">
        <f>+VLOOKUP($B26,JPM_COMP_GBI_EMGLOBAL_DIV!$B$3:$AN$217,15,FALSE)</f>
        <v>4885.0469670000002</v>
      </c>
      <c r="H26" s="14">
        <f t="shared" si="0"/>
        <v>2976.925000009524</v>
      </c>
      <c r="I26" s="14">
        <v>500000</v>
      </c>
      <c r="J26" s="15">
        <f t="shared" si="1"/>
        <v>167.95854782985811</v>
      </c>
      <c r="K26" s="16">
        <f>+$R$2*D26</f>
        <v>1677591.3129752255</v>
      </c>
      <c r="L26" s="17">
        <f t="shared" si="2"/>
        <v>4994063519.3947506</v>
      </c>
      <c r="M26" s="18">
        <f t="shared" si="3"/>
        <v>4756149208</v>
      </c>
      <c r="N26" s="11">
        <f t="shared" si="4"/>
        <v>4756149000</v>
      </c>
      <c r="O26" s="11">
        <f t="shared" si="5"/>
        <v>0</v>
      </c>
    </row>
    <row r="27" spans="1:25" x14ac:dyDescent="0.2">
      <c r="A27" s="2" t="s">
        <v>805</v>
      </c>
      <c r="B27" s="2" t="s">
        <v>613</v>
      </c>
      <c r="C27" s="2" t="s">
        <v>610</v>
      </c>
      <c r="D27" s="7">
        <v>2.6416669192971837E-2</v>
      </c>
      <c r="E27" s="13">
        <f>+VLOOKUP($B27,JPM_COMP_GBI_EMGLOBAL_DIV!$B$3:$AN$217,13,FALSE)</f>
        <v>19478743</v>
      </c>
      <c r="F27" s="13">
        <f>+VLOOKUP($B27,JPM_COMP_GBI_EMGLOBAL_DIV!$B$3:$AN$217,14,FALSE)</f>
        <v>22899633.199671999</v>
      </c>
      <c r="G27" s="13">
        <f>+VLOOKUP($B27,JPM_COMP_GBI_EMGLOBAL_DIV!$B$3:$AN$217,15,FALSE)</f>
        <v>7692.3782760000004</v>
      </c>
      <c r="H27" s="14">
        <f t="shared" si="0"/>
        <v>2976.92500005079</v>
      </c>
      <c r="I27" s="14">
        <v>500000</v>
      </c>
      <c r="J27" s="15">
        <f t="shared" si="1"/>
        <v>167.95854782752988</v>
      </c>
      <c r="K27" s="16">
        <f>+$R$2*D27</f>
        <v>2641666.9192971839</v>
      </c>
      <c r="L27" s="17">
        <f t="shared" si="2"/>
        <v>7864044293.8629389</v>
      </c>
      <c r="M27" s="18">
        <f t="shared" si="3"/>
        <v>6689264252</v>
      </c>
      <c r="N27" s="11">
        <f t="shared" si="4"/>
        <v>6689264000</v>
      </c>
      <c r="O27" s="11">
        <f t="shared" si="5"/>
        <v>0</v>
      </c>
      <c r="Y27" s="1"/>
    </row>
    <row r="28" spans="1:25" x14ac:dyDescent="0.2">
      <c r="A28" s="2" t="s">
        <v>806</v>
      </c>
      <c r="B28" s="2" t="s">
        <v>617</v>
      </c>
      <c r="C28" s="2" t="s">
        <v>610</v>
      </c>
      <c r="D28" s="7">
        <v>3.5729754303416815E-2</v>
      </c>
      <c r="E28" s="13">
        <f>+VLOOKUP($B28,JPM_COMP_GBI_EMGLOBAL_DIV!$B$3:$AN$217,13,FALSE)</f>
        <v>28499371</v>
      </c>
      <c r="F28" s="13">
        <f>+VLOOKUP($B28,JPM_COMP_GBI_EMGLOBAL_DIV!$B$3:$AN$217,14,FALSE)</f>
        <v>30972802.128913999</v>
      </c>
      <c r="G28" s="13">
        <f>+VLOOKUP($B28,JPM_COMP_GBI_EMGLOBAL_DIV!$B$3:$AN$217,15,FALSE)</f>
        <v>10404.293736</v>
      </c>
      <c r="H28" s="14">
        <f t="shared" si="0"/>
        <v>2976.9249998916025</v>
      </c>
      <c r="I28" s="14">
        <v>500000</v>
      </c>
      <c r="J28" s="15">
        <f t="shared" si="1"/>
        <v>167.95854783651126</v>
      </c>
      <c r="K28" s="16">
        <f>+$R$2*D28</f>
        <v>3572975.4303416815</v>
      </c>
      <c r="L28" s="17">
        <f t="shared" si="2"/>
        <v>10636479882.582609</v>
      </c>
      <c r="M28" s="18">
        <f t="shared" si="3"/>
        <v>9787070122</v>
      </c>
      <c r="N28" s="11">
        <f t="shared" si="4"/>
        <v>9787070000</v>
      </c>
      <c r="O28" s="11">
        <f t="shared" si="5"/>
        <v>0</v>
      </c>
      <c r="Y28" s="1"/>
    </row>
    <row r="29" spans="1:25" x14ac:dyDescent="0.2">
      <c r="A29" s="2" t="s">
        <v>807</v>
      </c>
      <c r="B29" s="2" t="s">
        <v>620</v>
      </c>
      <c r="C29" s="2" t="s">
        <v>610</v>
      </c>
      <c r="D29" s="7">
        <v>3.8392142103901968E-2</v>
      </c>
      <c r="E29" s="13">
        <f>+VLOOKUP($B29,JPM_COMP_GBI_EMGLOBAL_DIV!$B$3:$AN$217,13,FALSE)</f>
        <v>26889987</v>
      </c>
      <c r="F29" s="13">
        <f>+VLOOKUP($B29,JPM_COMP_GBI_EMGLOBAL_DIV!$B$3:$AN$217,14,FALSE)</f>
        <v>33280727.614498001</v>
      </c>
      <c r="G29" s="13">
        <f>+VLOOKUP($B29,JPM_COMP_GBI_EMGLOBAL_DIV!$B$3:$AN$217,15,FALSE)</f>
        <v>11179.565361999999</v>
      </c>
      <c r="H29" s="14">
        <f t="shared" si="0"/>
        <v>2976.9249999307804</v>
      </c>
      <c r="I29" s="14">
        <v>500000</v>
      </c>
      <c r="J29" s="15">
        <f t="shared" si="1"/>
        <v>167.95854783430084</v>
      </c>
      <c r="K29" s="16">
        <f>+$R$2*D29</f>
        <v>3839214.2103901966</v>
      </c>
      <c r="L29" s="17">
        <f t="shared" si="2"/>
        <v>11429052763.000088</v>
      </c>
      <c r="M29" s="18">
        <f t="shared" si="3"/>
        <v>9234385852</v>
      </c>
      <c r="N29" s="11">
        <f t="shared" si="4"/>
        <v>9234386000</v>
      </c>
      <c r="O29" s="11">
        <f t="shared" si="5"/>
        <v>0</v>
      </c>
      <c r="Y29" s="1"/>
    </row>
    <row r="30" spans="1:25" x14ac:dyDescent="0.2">
      <c r="A30" s="2" t="s">
        <v>808</v>
      </c>
      <c r="B30" s="2" t="s">
        <v>624</v>
      </c>
      <c r="C30" s="2" t="s">
        <v>610</v>
      </c>
      <c r="D30" s="7">
        <v>3.5739468782439457E-2</v>
      </c>
      <c r="E30" s="13">
        <f>+VLOOKUP($B30,JPM_COMP_GBI_EMGLOBAL_DIV!$B$3:$AN$217,13,FALSE)</f>
        <v>28711413</v>
      </c>
      <c r="F30" s="13">
        <f>+VLOOKUP($B30,JPM_COMP_GBI_EMGLOBAL_DIV!$B$3:$AN$217,14,FALSE)</f>
        <v>30981223.252742</v>
      </c>
      <c r="G30" s="13">
        <f>+VLOOKUP($B30,JPM_COMP_GBI_EMGLOBAL_DIV!$B$3:$AN$217,15,FALSE)</f>
        <v>10407.122535</v>
      </c>
      <c r="H30" s="14">
        <f t="shared" si="0"/>
        <v>2976.9250000227848</v>
      </c>
      <c r="I30" s="14">
        <v>500000</v>
      </c>
      <c r="J30" s="15">
        <f t="shared" si="1"/>
        <v>167.95854782910993</v>
      </c>
      <c r="K30" s="16">
        <f>+$R$2*D30</f>
        <v>3573946.8782439455</v>
      </c>
      <c r="L30" s="17">
        <f t="shared" si="2"/>
        <v>10639371810.59779</v>
      </c>
      <c r="M30" s="18">
        <f t="shared" si="3"/>
        <v>9859888218</v>
      </c>
      <c r="N30" s="11">
        <f t="shared" si="4"/>
        <v>9859888000</v>
      </c>
      <c r="O30" s="11">
        <f t="shared" si="5"/>
        <v>0</v>
      </c>
      <c r="Y30" s="1"/>
    </row>
    <row r="31" spans="1:25" x14ac:dyDescent="0.2">
      <c r="A31" s="2" t="s">
        <v>809</v>
      </c>
      <c r="B31" s="2" t="s">
        <v>628</v>
      </c>
      <c r="C31" s="2" t="s">
        <v>610</v>
      </c>
      <c r="D31" s="7">
        <v>1.557496406166038E-2</v>
      </c>
      <c r="E31" s="13">
        <f>+VLOOKUP($B31,JPM_COMP_GBI_EMGLOBAL_DIV!$B$3:$AN$217,13,FALSE)</f>
        <v>13804481</v>
      </c>
      <c r="F31" s="13">
        <f>+VLOOKUP($B31,JPM_COMP_GBI_EMGLOBAL_DIV!$B$3:$AN$217,14,FALSE)</f>
        <v>13501360.126075</v>
      </c>
      <c r="G31" s="13">
        <f>+VLOOKUP($B31,JPM_COMP_GBI_EMGLOBAL_DIV!$B$3:$AN$217,15,FALSE)</f>
        <v>4535.337681</v>
      </c>
      <c r="H31" s="14">
        <f t="shared" si="0"/>
        <v>2976.9250000141278</v>
      </c>
      <c r="I31" s="14">
        <v>100000</v>
      </c>
      <c r="J31" s="15">
        <f t="shared" si="1"/>
        <v>33.591709565919672</v>
      </c>
      <c r="K31" s="16">
        <f>+$R$2*D31</f>
        <v>1557496.406166038</v>
      </c>
      <c r="L31" s="17">
        <f t="shared" si="2"/>
        <v>4636549988.9478369</v>
      </c>
      <c r="M31" s="18">
        <f t="shared" si="3"/>
        <v>4740645804</v>
      </c>
      <c r="N31" s="11">
        <f t="shared" si="4"/>
        <v>4740646000</v>
      </c>
      <c r="O31" s="11">
        <f t="shared" si="5"/>
        <v>0</v>
      </c>
    </row>
    <row r="32" spans="1:25" x14ac:dyDescent="0.2">
      <c r="A32" s="2" t="s">
        <v>810</v>
      </c>
      <c r="B32" s="2" t="s">
        <v>631</v>
      </c>
      <c r="C32" s="2" t="s">
        <v>610</v>
      </c>
      <c r="D32" s="7">
        <v>2.1553155935087599E-2</v>
      </c>
      <c r="E32" s="13">
        <f>+VLOOKUP($B32,JPM_COMP_GBI_EMGLOBAL_DIV!$B$3:$AN$217,13,FALSE)</f>
        <v>17081086</v>
      </c>
      <c r="F32" s="13">
        <f>+VLOOKUP($B32,JPM_COMP_GBI_EMGLOBAL_DIV!$B$3:$AN$217,14,FALSE)</f>
        <v>18683633.48852</v>
      </c>
      <c r="G32" s="13">
        <f>+VLOOKUP($B32,JPM_COMP_GBI_EMGLOBAL_DIV!$B$3:$AN$217,15,FALSE)</f>
        <v>6276.1518980000001</v>
      </c>
      <c r="H32" s="14">
        <f t="shared" si="0"/>
        <v>2976.924999930905</v>
      </c>
      <c r="I32" s="14">
        <v>100000</v>
      </c>
      <c r="J32" s="15">
        <f t="shared" si="1"/>
        <v>33.591709566858761</v>
      </c>
      <c r="K32" s="16">
        <f>+$R$2*D32</f>
        <v>2155315.59350876</v>
      </c>
      <c r="L32" s="17">
        <f t="shared" si="2"/>
        <v>6416212873.0571432</v>
      </c>
      <c r="M32" s="18">
        <f t="shared" si="3"/>
        <v>5865876354</v>
      </c>
      <c r="N32" s="11">
        <f t="shared" si="4"/>
        <v>5865876000</v>
      </c>
      <c r="O32" s="11">
        <f t="shared" si="5"/>
        <v>0</v>
      </c>
    </row>
    <row r="33" spans="1:25" x14ac:dyDescent="0.2">
      <c r="A33" s="2" t="s">
        <v>811</v>
      </c>
      <c r="B33" s="2" t="s">
        <v>634</v>
      </c>
      <c r="C33" s="2" t="s">
        <v>610</v>
      </c>
      <c r="D33" s="7">
        <v>1.0338053231242171E-2</v>
      </c>
      <c r="E33" s="13">
        <f>+VLOOKUP($B33,JPM_COMP_GBI_EMGLOBAL_DIV!$B$3:$AN$217,13,FALSE)</f>
        <v>8718750</v>
      </c>
      <c r="F33" s="13">
        <f>+VLOOKUP($B33,JPM_COMP_GBI_EMGLOBAL_DIV!$B$3:$AN$217,14,FALSE)</f>
        <v>8961675.873288</v>
      </c>
      <c r="G33" s="13">
        <f>+VLOOKUP($B33,JPM_COMP_GBI_EMGLOBAL_DIV!$B$3:$AN$217,15,FALSE)</f>
        <v>3010.3801319999998</v>
      </c>
      <c r="H33" s="14">
        <f t="shared" si="0"/>
        <v>2976.9249996126405</v>
      </c>
      <c r="I33" s="14">
        <v>500000</v>
      </c>
      <c r="J33" s="15">
        <f t="shared" si="1"/>
        <v>167.95854785225035</v>
      </c>
      <c r="K33" s="16">
        <f>+$R$2*D33</f>
        <v>1033805.3231242171</v>
      </c>
      <c r="L33" s="17">
        <f t="shared" si="2"/>
        <v>3077560911.1411057</v>
      </c>
      <c r="M33" s="18">
        <f t="shared" si="3"/>
        <v>2994136875</v>
      </c>
      <c r="N33" s="11">
        <f t="shared" si="4"/>
        <v>2994137000</v>
      </c>
      <c r="O33" s="11">
        <f t="shared" si="5"/>
        <v>0</v>
      </c>
    </row>
    <row r="34" spans="1:25" x14ac:dyDescent="0.2">
      <c r="A34" s="2" t="s">
        <v>812</v>
      </c>
      <c r="B34" s="2" t="s">
        <v>637</v>
      </c>
      <c r="C34" s="2" t="s">
        <v>610</v>
      </c>
      <c r="D34" s="7">
        <v>3.158482305053278E-3</v>
      </c>
      <c r="E34" s="13">
        <f>+VLOOKUP($B34,JPM_COMP_GBI_EMGLOBAL_DIV!$B$3:$AN$217,13,FALSE)</f>
        <v>2467611.0320000001</v>
      </c>
      <c r="F34" s="13">
        <f>+VLOOKUP($B34,JPM_COMP_GBI_EMGLOBAL_DIV!$B$3:$AN$217,14,FALSE)</f>
        <v>2737971.4578120001</v>
      </c>
      <c r="G34" s="13">
        <f>+VLOOKUP($B34,JPM_COMP_GBI_EMGLOBAL_DIV!$B$3:$AN$217,15,FALSE)</f>
        <v>919.73141999999996</v>
      </c>
      <c r="H34" s="14">
        <f t="shared" si="0"/>
        <v>2976.9250003571697</v>
      </c>
      <c r="I34" s="14">
        <v>5000000</v>
      </c>
      <c r="J34" s="15">
        <f t="shared" si="1"/>
        <v>1679.5854781024389</v>
      </c>
      <c r="K34" s="16">
        <f>+$R$2*D34</f>
        <v>315848.23050532781</v>
      </c>
      <c r="L34" s="17">
        <f t="shared" si="2"/>
        <v>940256493.70988441</v>
      </c>
      <c r="M34" s="18">
        <f t="shared" si="3"/>
        <v>847411061</v>
      </c>
      <c r="N34" s="11">
        <f t="shared" si="4"/>
        <v>847411000</v>
      </c>
      <c r="O34" s="11">
        <f t="shared" si="5"/>
        <v>0</v>
      </c>
    </row>
    <row r="35" spans="1:25" x14ac:dyDescent="0.2">
      <c r="A35" s="2" t="s">
        <v>813</v>
      </c>
      <c r="B35" s="2" t="s">
        <v>641</v>
      </c>
      <c r="C35" s="2" t="s">
        <v>610</v>
      </c>
      <c r="D35" s="7">
        <v>1.1241908514587069E-3</v>
      </c>
      <c r="E35" s="13">
        <f>+VLOOKUP($B35,JPM_COMP_GBI_EMGLOBAL_DIV!$B$3:$AN$217,13,FALSE)</f>
        <v>1000000</v>
      </c>
      <c r="F35" s="13">
        <f>+VLOOKUP($B35,JPM_COMP_GBI_EMGLOBAL_DIV!$B$3:$AN$217,14,FALSE)</f>
        <v>974519.45753400004</v>
      </c>
      <c r="G35" s="13">
        <f>+VLOOKUP($B35,JPM_COMP_GBI_EMGLOBAL_DIV!$B$3:$AN$217,15,FALSE)</f>
        <v>327.35774600000002</v>
      </c>
      <c r="H35" s="14">
        <f t="shared" si="0"/>
        <v>2976.9249985427259</v>
      </c>
      <c r="I35" s="14">
        <v>5000000</v>
      </c>
      <c r="J35" s="15">
        <f t="shared" si="1"/>
        <v>1679.5854791261509</v>
      </c>
      <c r="K35" s="16">
        <f>+$R$2*D35</f>
        <v>112419.08514587069</v>
      </c>
      <c r="L35" s="17">
        <f t="shared" si="2"/>
        <v>334663184.88404566</v>
      </c>
      <c r="M35" s="18">
        <f t="shared" si="3"/>
        <v>343413548</v>
      </c>
      <c r="N35" s="11">
        <f t="shared" si="4"/>
        <v>343414000</v>
      </c>
      <c r="O35" s="11">
        <f t="shared" si="5"/>
        <v>0</v>
      </c>
      <c r="Y35" s="1"/>
    </row>
    <row r="36" spans="1:25" x14ac:dyDescent="0.2">
      <c r="A36" s="2" t="s">
        <v>814</v>
      </c>
      <c r="B36" s="2" t="s">
        <v>644</v>
      </c>
      <c r="C36" s="2" t="s">
        <v>610</v>
      </c>
      <c r="D36" s="7">
        <v>2.8720182479474235E-3</v>
      </c>
      <c r="E36" s="13">
        <f>+VLOOKUP($B36,JPM_COMP_GBI_EMGLOBAL_DIV!$B$3:$AN$217,13,FALSE)</f>
        <v>1924515</v>
      </c>
      <c r="F36" s="13">
        <f>+VLOOKUP($B36,JPM_COMP_GBI_EMGLOBAL_DIV!$B$3:$AN$217,14,FALSE)</f>
        <v>2489646.3647889998</v>
      </c>
      <c r="G36" s="13">
        <f>+VLOOKUP($B36,JPM_COMP_GBI_EMGLOBAL_DIV!$B$3:$AN$217,15,FALSE)</f>
        <v>836.31477600000005</v>
      </c>
      <c r="H36" s="14">
        <f t="shared" si="0"/>
        <v>2976.9250002931908</v>
      </c>
      <c r="I36" s="14">
        <v>5000000</v>
      </c>
      <c r="J36" s="15">
        <f t="shared" si="1"/>
        <v>1679.5854781385358</v>
      </c>
      <c r="K36" s="16">
        <f>+$R$2*D36</f>
        <v>287201.82479474234</v>
      </c>
      <c r="L36" s="17">
        <f t="shared" si="2"/>
        <v>854978292.36129332</v>
      </c>
      <c r="M36" s="18">
        <f t="shared" si="3"/>
        <v>660904525</v>
      </c>
      <c r="N36" s="11">
        <f t="shared" si="4"/>
        <v>660905000</v>
      </c>
      <c r="O36" s="11">
        <f t="shared" si="5"/>
        <v>0</v>
      </c>
      <c r="Y36" s="1"/>
    </row>
    <row r="37" spans="1:25" x14ac:dyDescent="0.2">
      <c r="A37" s="2" t="s">
        <v>815</v>
      </c>
      <c r="B37" s="2" t="s">
        <v>649</v>
      </c>
      <c r="C37" s="2" t="s">
        <v>646</v>
      </c>
      <c r="D37" s="7">
        <v>2.5544436572729541E-2</v>
      </c>
      <c r="E37" s="13">
        <f>+VLOOKUP($B37,JPM_COMP_GBI_EMGLOBAL_DIV!$B$3:$AN$217,13,FALSE)</f>
        <v>140003.895984</v>
      </c>
      <c r="F37" s="13">
        <f>+VLOOKUP($B37,JPM_COMP_GBI_EMGLOBAL_DIV!$B$3:$AN$217,14,FALSE)</f>
        <v>137912.57223200001</v>
      </c>
      <c r="G37" s="13">
        <f>+VLOOKUP($B37,JPM_COMP_GBI_EMGLOBAL_DIV!$B$3:$AN$217,15,FALSE)</f>
        <v>7438.3892809999998</v>
      </c>
      <c r="H37" s="14">
        <f t="shared" si="0"/>
        <v>18.540650001240504</v>
      </c>
      <c r="I37" s="14">
        <v>100</v>
      </c>
      <c r="J37" s="15">
        <f t="shared" si="1"/>
        <v>5.3935541630584298</v>
      </c>
      <c r="K37" s="16">
        <f>+$R$2*D37</f>
        <v>2554443.657272954</v>
      </c>
      <c r="L37" s="17">
        <f t="shared" si="2"/>
        <v>47361045.797386594</v>
      </c>
      <c r="M37" s="18">
        <f t="shared" si="3"/>
        <v>48079235</v>
      </c>
      <c r="N37" s="11">
        <f t="shared" si="4"/>
        <v>48079000</v>
      </c>
      <c r="O37" s="11">
        <f t="shared" si="5"/>
        <v>0</v>
      </c>
      <c r="Y37" s="1"/>
    </row>
    <row r="38" spans="1:25" x14ac:dyDescent="0.2">
      <c r="A38" s="2" t="s">
        <v>816</v>
      </c>
      <c r="B38" s="2" t="s">
        <v>652</v>
      </c>
      <c r="C38" s="2" t="s">
        <v>646</v>
      </c>
      <c r="D38" s="7">
        <v>3.6829601032038653E-2</v>
      </c>
      <c r="E38" s="13">
        <f>+VLOOKUP($B38,JPM_COMP_GBI_EMGLOBAL_DIV!$B$3:$AN$217,13,FALSE)</f>
        <v>187565.51336499999</v>
      </c>
      <c r="F38" s="13">
        <f>+VLOOKUP($B38,JPM_COMP_GBI_EMGLOBAL_DIV!$B$3:$AN$217,14,FALSE)</f>
        <v>198840.36189</v>
      </c>
      <c r="G38" s="13">
        <f>+VLOOKUP($B38,JPM_COMP_GBI_EMGLOBAL_DIV!$B$3:$AN$217,15,FALSE)</f>
        <v>10724.562617</v>
      </c>
      <c r="H38" s="14">
        <f t="shared" si="0"/>
        <v>18.54065000047731</v>
      </c>
      <c r="I38" s="14">
        <v>100</v>
      </c>
      <c r="J38" s="15">
        <f t="shared" si="1"/>
        <v>5.393554163280446</v>
      </c>
      <c r="K38" s="16">
        <f>+$R$2*D38</f>
        <v>3682960.1032038652</v>
      </c>
      <c r="L38" s="17">
        <f t="shared" si="2"/>
        <v>68284474.239224657</v>
      </c>
      <c r="M38" s="18">
        <f t="shared" si="3"/>
        <v>64412538</v>
      </c>
      <c r="N38" s="11">
        <f t="shared" si="4"/>
        <v>64413000</v>
      </c>
      <c r="O38" s="11">
        <f t="shared" si="5"/>
        <v>0</v>
      </c>
      <c r="Y38" s="1"/>
    </row>
    <row r="39" spans="1:25" x14ac:dyDescent="0.2">
      <c r="A39" s="2" t="s">
        <v>817</v>
      </c>
      <c r="B39" s="2" t="s">
        <v>655</v>
      </c>
      <c r="C39" s="2" t="s">
        <v>646</v>
      </c>
      <c r="D39" s="7">
        <v>3.4768717041252527E-2</v>
      </c>
      <c r="E39" s="13">
        <f>+VLOOKUP($B39,JPM_COMP_GBI_EMGLOBAL_DIV!$B$3:$AN$217,13,FALSE)</f>
        <v>185429.335108</v>
      </c>
      <c r="F39" s="13">
        <f>+VLOOKUP($B39,JPM_COMP_GBI_EMGLOBAL_DIV!$B$3:$AN$217,14,FALSE)</f>
        <v>187713.79773200001</v>
      </c>
      <c r="G39" s="13">
        <f>+VLOOKUP($B39,JPM_COMP_GBI_EMGLOBAL_DIV!$B$3:$AN$217,15,FALSE)</f>
        <v>10124.445352999999</v>
      </c>
      <c r="H39" s="14">
        <f t="shared" si="0"/>
        <v>18.540649999792638</v>
      </c>
      <c r="I39" s="14">
        <v>100</v>
      </c>
      <c r="J39" s="15">
        <f t="shared" si="1"/>
        <v>5.39355416347962</v>
      </c>
      <c r="K39" s="16">
        <f>+$R$2*D39</f>
        <v>3476871.7041252526</v>
      </c>
      <c r="L39" s="17">
        <f t="shared" si="2"/>
        <v>64463461.360368893</v>
      </c>
      <c r="M39" s="18">
        <f t="shared" si="3"/>
        <v>63678946</v>
      </c>
      <c r="N39" s="11">
        <f t="shared" si="4"/>
        <v>63679000</v>
      </c>
      <c r="O39" s="11">
        <f t="shared" si="5"/>
        <v>0</v>
      </c>
      <c r="Y39" s="1"/>
    </row>
    <row r="40" spans="1:25" x14ac:dyDescent="0.2">
      <c r="A40" s="2" t="s">
        <v>818</v>
      </c>
      <c r="B40" s="2" t="s">
        <v>658</v>
      </c>
      <c r="C40" s="2" t="s">
        <v>646</v>
      </c>
      <c r="D40" s="7">
        <v>2.5211372104129392E-2</v>
      </c>
      <c r="E40" s="13">
        <f>+VLOOKUP($B40,JPM_COMP_GBI_EMGLOBAL_DIV!$B$3:$AN$217,13,FALSE)</f>
        <v>135055.76605100001</v>
      </c>
      <c r="F40" s="13">
        <f>+VLOOKUP($B40,JPM_COMP_GBI_EMGLOBAL_DIV!$B$3:$AN$217,14,FALSE)</f>
        <v>136114.381165</v>
      </c>
      <c r="G40" s="13">
        <f>+VLOOKUP($B40,JPM_COMP_GBI_EMGLOBAL_DIV!$B$3:$AN$217,15,FALSE)</f>
        <v>7341.4028719999997</v>
      </c>
      <c r="H40" s="14">
        <f t="shared" si="0"/>
        <v>18.540650000851773</v>
      </c>
      <c r="I40" s="14">
        <v>100</v>
      </c>
      <c r="J40" s="15">
        <f t="shared" si="1"/>
        <v>5.3935541631715127</v>
      </c>
      <c r="K40" s="16">
        <f>+$R$2*D40</f>
        <v>2521137.2104129391</v>
      </c>
      <c r="L40" s="17">
        <f t="shared" si="2"/>
        <v>46743522.622390099</v>
      </c>
      <c r="M40" s="18">
        <f t="shared" si="3"/>
        <v>46379980</v>
      </c>
      <c r="N40" s="11">
        <f t="shared" si="4"/>
        <v>46380000</v>
      </c>
      <c r="O40" s="11">
        <f t="shared" si="5"/>
        <v>0</v>
      </c>
      <c r="Y40" s="1"/>
    </row>
    <row r="41" spans="1:25" x14ac:dyDescent="0.2">
      <c r="A41" s="2" t="s">
        <v>819</v>
      </c>
      <c r="B41" s="2" t="s">
        <v>662</v>
      </c>
      <c r="C41" s="2" t="s">
        <v>646</v>
      </c>
      <c r="D41" s="7">
        <v>1.1340670373964244E-2</v>
      </c>
      <c r="E41" s="13">
        <f>+VLOOKUP($B41,JPM_COMP_GBI_EMGLOBAL_DIV!$B$3:$AN$217,13,FALSE)</f>
        <v>56628.726863999997</v>
      </c>
      <c r="F41" s="13">
        <f>+VLOOKUP($B41,JPM_COMP_GBI_EMGLOBAL_DIV!$B$3:$AN$217,14,FALSE)</f>
        <v>61227.462088</v>
      </c>
      <c r="G41" s="13">
        <f>+VLOOKUP($B41,JPM_COMP_GBI_EMGLOBAL_DIV!$B$3:$AN$217,15,FALSE)</f>
        <v>3302.336331</v>
      </c>
      <c r="H41" s="14">
        <f t="shared" si="0"/>
        <v>18.540649997772743</v>
      </c>
      <c r="I41" s="14">
        <v>100</v>
      </c>
      <c r="J41" s="15">
        <f t="shared" si="1"/>
        <v>5.3935541640672158</v>
      </c>
      <c r="K41" s="16">
        <f>+$R$2*D41</f>
        <v>1134067.0373964244</v>
      </c>
      <c r="L41" s="17">
        <f t="shared" si="2"/>
        <v>21026340.014378157</v>
      </c>
      <c r="M41" s="18">
        <f t="shared" si="3"/>
        <v>19447072</v>
      </c>
      <c r="N41" s="11">
        <f t="shared" si="4"/>
        <v>19447000</v>
      </c>
      <c r="O41" s="11">
        <f t="shared" si="5"/>
        <v>0</v>
      </c>
      <c r="Y41" s="1"/>
    </row>
    <row r="42" spans="1:25" x14ac:dyDescent="0.2">
      <c r="A42" s="2" t="s">
        <v>820</v>
      </c>
      <c r="B42" s="2" t="s">
        <v>665</v>
      </c>
      <c r="C42" s="2" t="s">
        <v>646</v>
      </c>
      <c r="D42" s="7">
        <v>3.6553199218553482E-2</v>
      </c>
      <c r="E42" s="13">
        <f>+VLOOKUP($B42,JPM_COMP_GBI_EMGLOBAL_DIV!$B$3:$AN$217,13,FALSE)</f>
        <v>163663.58871000001</v>
      </c>
      <c r="F42" s="13">
        <f>+VLOOKUP($B42,JPM_COMP_GBI_EMGLOBAL_DIV!$B$3:$AN$217,14,FALSE)</f>
        <v>197348.08841500001</v>
      </c>
      <c r="G42" s="13">
        <f>+VLOOKUP($B42,JPM_COMP_GBI_EMGLOBAL_DIV!$B$3:$AN$217,15,FALSE)</f>
        <v>10644.076039</v>
      </c>
      <c r="H42" s="14">
        <f t="shared" si="0"/>
        <v>18.540650000236251</v>
      </c>
      <c r="I42" s="14">
        <v>100</v>
      </c>
      <c r="J42" s="15">
        <f t="shared" si="1"/>
        <v>5.3935541633505713</v>
      </c>
      <c r="K42" s="16">
        <f>+$R$2*D42</f>
        <v>3655319.9218553482</v>
      </c>
      <c r="L42" s="17">
        <f t="shared" si="2"/>
        <v>67772007.31001094</v>
      </c>
      <c r="M42" s="18">
        <f t="shared" si="3"/>
        <v>56204294</v>
      </c>
      <c r="N42" s="11">
        <f t="shared" si="4"/>
        <v>56204000</v>
      </c>
      <c r="O42" s="11">
        <f t="shared" si="5"/>
        <v>0</v>
      </c>
      <c r="Y42" s="1"/>
    </row>
    <row r="43" spans="1:25" x14ac:dyDescent="0.2">
      <c r="A43" s="2" t="s">
        <v>821</v>
      </c>
      <c r="B43" s="2" t="s">
        <v>668</v>
      </c>
      <c r="C43" s="2" t="s">
        <v>646</v>
      </c>
      <c r="D43" s="7">
        <v>1.6370148541815416E-2</v>
      </c>
      <c r="E43" s="13">
        <f>+VLOOKUP($B43,JPM_COMP_GBI_EMGLOBAL_DIV!$B$3:$AN$217,13,FALSE)</f>
        <v>95600.929300999996</v>
      </c>
      <c r="F43" s="13">
        <f>+VLOOKUP($B43,JPM_COMP_GBI_EMGLOBAL_DIV!$B$3:$AN$217,14,FALSE)</f>
        <v>88381.252280999994</v>
      </c>
      <c r="G43" s="13">
        <f>+VLOOKUP($B43,JPM_COMP_GBI_EMGLOBAL_DIV!$B$3:$AN$217,15,FALSE)</f>
        <v>4766.8907120000003</v>
      </c>
      <c r="H43" s="14">
        <f t="shared" si="0"/>
        <v>18.540650000326668</v>
      </c>
      <c r="I43" s="14">
        <v>100</v>
      </c>
      <c r="J43" s="15">
        <f t="shared" si="1"/>
        <v>5.3935541633242687</v>
      </c>
      <c r="K43" s="16">
        <f>+$R$2*D43</f>
        <v>1637014.8541815416</v>
      </c>
      <c r="L43" s="17">
        <f t="shared" si="2"/>
        <v>30351319.456715759</v>
      </c>
      <c r="M43" s="18">
        <f t="shared" si="3"/>
        <v>32830654</v>
      </c>
      <c r="N43" s="11">
        <f t="shared" si="4"/>
        <v>32831000</v>
      </c>
      <c r="O43" s="11">
        <f t="shared" si="5"/>
        <v>0</v>
      </c>
    </row>
    <row r="44" spans="1:25" x14ac:dyDescent="0.2">
      <c r="A44" s="2" t="s">
        <v>822</v>
      </c>
      <c r="B44" s="2" t="s">
        <v>671</v>
      </c>
      <c r="C44" s="2" t="s">
        <v>646</v>
      </c>
      <c r="D44" s="7">
        <v>1.7801317413228979E-2</v>
      </c>
      <c r="E44" s="13">
        <f>+VLOOKUP($B44,JPM_COMP_GBI_EMGLOBAL_DIV!$B$3:$AN$217,13,FALSE)</f>
        <v>91277.589429</v>
      </c>
      <c r="F44" s="13">
        <f>+VLOOKUP($B44,JPM_COMP_GBI_EMGLOBAL_DIV!$B$3:$AN$217,14,FALSE)</f>
        <v>96108.029888000005</v>
      </c>
      <c r="G44" s="13">
        <f>+VLOOKUP($B44,JPM_COMP_GBI_EMGLOBAL_DIV!$B$3:$AN$217,15,FALSE)</f>
        <v>5183.6386469999998</v>
      </c>
      <c r="H44" s="14">
        <f t="shared" si="0"/>
        <v>18.540650001446757</v>
      </c>
      <c r="I44" s="14">
        <v>100</v>
      </c>
      <c r="J44" s="15">
        <f t="shared" si="1"/>
        <v>5.3935541629984298</v>
      </c>
      <c r="K44" s="16">
        <f>+$R$2*D44</f>
        <v>1780131.7413228978</v>
      </c>
      <c r="L44" s="17">
        <f t="shared" si="2"/>
        <v>33004799.572333805</v>
      </c>
      <c r="M44" s="18">
        <f t="shared" si="3"/>
        <v>31345961</v>
      </c>
      <c r="N44" s="11">
        <f t="shared" si="4"/>
        <v>31346000</v>
      </c>
      <c r="O44" s="11">
        <f t="shared" si="5"/>
        <v>0</v>
      </c>
      <c r="Y44" s="1"/>
    </row>
    <row r="45" spans="1:25" x14ac:dyDescent="0.2">
      <c r="A45" s="2" t="s">
        <v>823</v>
      </c>
      <c r="B45" s="2" t="s">
        <v>674</v>
      </c>
      <c r="C45" s="2" t="s">
        <v>646</v>
      </c>
      <c r="D45" s="7">
        <v>1.2805716483674144E-2</v>
      </c>
      <c r="E45" s="13">
        <f>+VLOOKUP($B45,JPM_COMP_GBI_EMGLOBAL_DIV!$B$3:$AN$217,13,FALSE)</f>
        <v>61016.954644999998</v>
      </c>
      <c r="F45" s="13">
        <f>+VLOOKUP($B45,JPM_COMP_GBI_EMGLOBAL_DIV!$B$3:$AN$217,14,FALSE)</f>
        <v>69137.140461000003</v>
      </c>
      <c r="G45" s="13">
        <f>+VLOOKUP($B45,JPM_COMP_GBI_EMGLOBAL_DIV!$B$3:$AN$217,15,FALSE)</f>
        <v>3728.949118</v>
      </c>
      <c r="H45" s="14">
        <f t="shared" si="0"/>
        <v>18.540649999022058</v>
      </c>
      <c r="I45" s="14">
        <v>100</v>
      </c>
      <c r="J45" s="15">
        <f t="shared" si="1"/>
        <v>5.3935541637037847</v>
      </c>
      <c r="K45" s="16">
        <f>+$R$2*D45</f>
        <v>1280571.6483674145</v>
      </c>
      <c r="L45" s="17">
        <f t="shared" si="2"/>
        <v>23742630.731050979</v>
      </c>
      <c r="M45" s="18">
        <f t="shared" si="3"/>
        <v>20954049</v>
      </c>
      <c r="N45" s="11">
        <f t="shared" si="4"/>
        <v>20954000</v>
      </c>
      <c r="O45" s="11">
        <f t="shared" si="5"/>
        <v>0</v>
      </c>
    </row>
    <row r="46" spans="1:25" x14ac:dyDescent="0.2">
      <c r="A46" s="2" t="s">
        <v>824</v>
      </c>
      <c r="B46" s="2" t="s">
        <v>677</v>
      </c>
      <c r="C46" s="2" t="s">
        <v>646</v>
      </c>
      <c r="D46" s="7">
        <v>1.6207820199316721E-2</v>
      </c>
      <c r="E46" s="13">
        <f>+VLOOKUP($B46,JPM_COMP_GBI_EMGLOBAL_DIV!$B$3:$AN$217,13,FALSE)</f>
        <v>81826.275223000004</v>
      </c>
      <c r="F46" s="13">
        <f>+VLOOKUP($B46,JPM_COMP_GBI_EMGLOBAL_DIV!$B$3:$AN$217,14,FALSE)</f>
        <v>87504.853252999994</v>
      </c>
      <c r="G46" s="13">
        <f>+VLOOKUP($B46,JPM_COMP_GBI_EMGLOBAL_DIV!$B$3:$AN$217,15,FALSE)</f>
        <v>4719.6216560000003</v>
      </c>
      <c r="H46" s="14">
        <f t="shared" si="0"/>
        <v>18.540649999297315</v>
      </c>
      <c r="I46" s="14">
        <v>100</v>
      </c>
      <c r="J46" s="15">
        <f t="shared" si="1"/>
        <v>5.3935541636237119</v>
      </c>
      <c r="K46" s="16">
        <f>+$R$2*D46</f>
        <v>1620782.0199316721</v>
      </c>
      <c r="L46" s="17">
        <f t="shared" si="2"/>
        <v>30050352.156707257</v>
      </c>
      <c r="M46" s="18">
        <f t="shared" si="3"/>
        <v>28100252</v>
      </c>
      <c r="N46" s="11">
        <f t="shared" si="4"/>
        <v>28100000</v>
      </c>
      <c r="O46" s="11">
        <f t="shared" si="5"/>
        <v>0</v>
      </c>
    </row>
    <row r="47" spans="1:25" x14ac:dyDescent="0.2">
      <c r="A47" s="2" t="s">
        <v>825</v>
      </c>
      <c r="B47" s="2" t="s">
        <v>680</v>
      </c>
      <c r="C47" s="2" t="s">
        <v>646</v>
      </c>
      <c r="D47" s="7">
        <v>1.0734794896057706E-2</v>
      </c>
      <c r="E47" s="13">
        <f>+VLOOKUP($B47,JPM_COMP_GBI_EMGLOBAL_DIV!$B$3:$AN$217,13,FALSE)</f>
        <v>54301.665943</v>
      </c>
      <c r="F47" s="13">
        <f>+VLOOKUP($B47,JPM_COMP_GBI_EMGLOBAL_DIV!$B$3:$AN$217,14,FALSE)</f>
        <v>57956.384060999997</v>
      </c>
      <c r="G47" s="13">
        <f>+VLOOKUP($B47,JPM_COMP_GBI_EMGLOBAL_DIV!$B$3:$AN$217,15,FALSE)</f>
        <v>3125.9089650000001</v>
      </c>
      <c r="H47" s="14">
        <f t="shared" si="0"/>
        <v>18.540650002902435</v>
      </c>
      <c r="I47" s="14">
        <v>100</v>
      </c>
      <c r="J47" s="15">
        <f t="shared" si="1"/>
        <v>5.3935541625749668</v>
      </c>
      <c r="K47" s="16">
        <f>+$R$2*D47</f>
        <v>1073479.4896057707</v>
      </c>
      <c r="L47" s="17">
        <f t="shared" si="2"/>
        <v>19903007.502074938</v>
      </c>
      <c r="M47" s="18">
        <f t="shared" si="3"/>
        <v>18647928</v>
      </c>
      <c r="N47" s="11">
        <f t="shared" si="4"/>
        <v>18648000</v>
      </c>
      <c r="O47" s="11">
        <f t="shared" si="5"/>
        <v>0</v>
      </c>
      <c r="Y47" s="1"/>
    </row>
    <row r="48" spans="1:25" x14ac:dyDescent="0.2">
      <c r="A48" s="2" t="s">
        <v>826</v>
      </c>
      <c r="B48" s="2" t="s">
        <v>683</v>
      </c>
      <c r="C48" s="2" t="s">
        <v>646</v>
      </c>
      <c r="D48" s="7">
        <v>1.2710443149618634E-2</v>
      </c>
      <c r="E48" s="13">
        <f>+VLOOKUP($B48,JPM_COMP_GBI_EMGLOBAL_DIV!$B$3:$AN$217,13,FALSE)</f>
        <v>52892.366430000002</v>
      </c>
      <c r="F48" s="13">
        <f>+VLOOKUP($B48,JPM_COMP_GBI_EMGLOBAL_DIV!$B$3:$AN$217,14,FALSE)</f>
        <v>68622.766600000003</v>
      </c>
      <c r="G48" s="13">
        <f>+VLOOKUP($B48,JPM_COMP_GBI_EMGLOBAL_DIV!$B$3:$AN$217,15,FALSE)</f>
        <v>3701.2060849999998</v>
      </c>
      <c r="H48" s="14">
        <f t="shared" si="0"/>
        <v>18.540650000039111</v>
      </c>
      <c r="I48" s="14">
        <v>100</v>
      </c>
      <c r="J48" s="15">
        <f t="shared" si="1"/>
        <v>5.39355416340792</v>
      </c>
      <c r="K48" s="16">
        <f>+$R$2*D48</f>
        <v>1271044.3149618634</v>
      </c>
      <c r="L48" s="17">
        <f t="shared" si="2"/>
        <v>23565987.778247386</v>
      </c>
      <c r="M48" s="18">
        <f t="shared" si="3"/>
        <v>18163955</v>
      </c>
      <c r="N48" s="11">
        <f t="shared" si="4"/>
        <v>18164000</v>
      </c>
      <c r="O48" s="11">
        <f t="shared" si="5"/>
        <v>0</v>
      </c>
    </row>
    <row r="49" spans="1:25" x14ac:dyDescent="0.2">
      <c r="A49" s="2" t="s">
        <v>827</v>
      </c>
      <c r="B49" s="2" t="s">
        <v>686</v>
      </c>
      <c r="C49" s="2" t="s">
        <v>646</v>
      </c>
      <c r="D49" s="7">
        <v>1.1948681046212691E-2</v>
      </c>
      <c r="E49" s="13">
        <f>+VLOOKUP($B49,JPM_COMP_GBI_EMGLOBAL_DIV!$B$3:$AN$217,13,FALSE)</f>
        <v>56484.802556000002</v>
      </c>
      <c r="F49" s="13">
        <f>+VLOOKUP($B49,JPM_COMP_GBI_EMGLOBAL_DIV!$B$3:$AN$217,14,FALSE)</f>
        <v>64510.067905999997</v>
      </c>
      <c r="G49" s="13">
        <f>+VLOOKUP($B49,JPM_COMP_GBI_EMGLOBAL_DIV!$B$3:$AN$217,15,FALSE)</f>
        <v>3479.3854529999999</v>
      </c>
      <c r="H49" s="14">
        <f t="shared" si="0"/>
        <v>18.540650001964586</v>
      </c>
      <c r="I49" s="14">
        <v>100</v>
      </c>
      <c r="J49" s="15">
        <f t="shared" si="1"/>
        <v>5.3935541628477912</v>
      </c>
      <c r="K49" s="16">
        <f>+$R$2*D49</f>
        <v>1194868.104621269</v>
      </c>
      <c r="L49" s="17">
        <f t="shared" si="2"/>
        <v>22153631.326293752</v>
      </c>
      <c r="M49" s="18">
        <f t="shared" si="3"/>
        <v>19397646</v>
      </c>
      <c r="N49" s="11">
        <f t="shared" si="4"/>
        <v>19398000</v>
      </c>
      <c r="O49" s="11">
        <f t="shared" si="5"/>
        <v>0</v>
      </c>
      <c r="Y49" s="1"/>
    </row>
    <row r="50" spans="1:25" x14ac:dyDescent="0.2">
      <c r="A50" s="2" t="s">
        <v>828</v>
      </c>
      <c r="B50" s="2" t="s">
        <v>689</v>
      </c>
      <c r="C50" s="2" t="s">
        <v>646</v>
      </c>
      <c r="D50" s="7">
        <v>2.3878129590968727E-2</v>
      </c>
      <c r="E50" s="13">
        <f>+VLOOKUP($B50,JPM_COMP_GBI_EMGLOBAL_DIV!$B$3:$AN$217,13,FALSE)</f>
        <v>121869.67701699999</v>
      </c>
      <c r="F50" s="13">
        <f>+VLOOKUP($B50,JPM_COMP_GBI_EMGLOBAL_DIV!$B$3:$AN$217,14,FALSE)</f>
        <v>128916.300904</v>
      </c>
      <c r="G50" s="13">
        <f>+VLOOKUP($B50,JPM_COMP_GBI_EMGLOBAL_DIV!$B$3:$AN$217,15,FALSE)</f>
        <v>6953.1705149999998</v>
      </c>
      <c r="H50" s="14">
        <f t="shared" si="0"/>
        <v>18.540649999290288</v>
      </c>
      <c r="I50" s="14">
        <v>100</v>
      </c>
      <c r="J50" s="15">
        <f t="shared" si="1"/>
        <v>5.3935541636257556</v>
      </c>
      <c r="K50" s="16">
        <f>+$R$2*D50</f>
        <v>2387812.9590968727</v>
      </c>
      <c r="L50" s="17">
        <f t="shared" si="2"/>
        <v>44271604.338384777</v>
      </c>
      <c r="M50" s="18">
        <f t="shared" si="3"/>
        <v>41851698</v>
      </c>
      <c r="N50" s="11">
        <f t="shared" si="4"/>
        <v>41852000</v>
      </c>
      <c r="O50" s="11">
        <f t="shared" si="5"/>
        <v>0</v>
      </c>
    </row>
    <row r="51" spans="1:25" x14ac:dyDescent="0.2">
      <c r="A51" s="2" t="s">
        <v>829</v>
      </c>
      <c r="B51" s="2" t="s">
        <v>692</v>
      </c>
      <c r="C51" s="2" t="s">
        <v>646</v>
      </c>
      <c r="D51" s="7">
        <v>6.1260042316937926E-3</v>
      </c>
      <c r="E51" s="13">
        <f>+VLOOKUP($B51,JPM_COMP_GBI_EMGLOBAL_DIV!$B$3:$AN$217,13,FALSE)</f>
        <v>30411.084475</v>
      </c>
      <c r="F51" s="13">
        <f>+VLOOKUP($B51,JPM_COMP_GBI_EMGLOBAL_DIV!$B$3:$AN$217,14,FALSE)</f>
        <v>33073.855378</v>
      </c>
      <c r="G51" s="13">
        <f>+VLOOKUP($B51,JPM_COMP_GBI_EMGLOBAL_DIV!$B$3:$AN$217,15,FALSE)</f>
        <v>1783.8563039999999</v>
      </c>
      <c r="H51" s="14">
        <f t="shared" si="0"/>
        <v>18.54064999733297</v>
      </c>
      <c r="I51" s="14">
        <v>100</v>
      </c>
      <c r="J51" s="15">
        <f t="shared" si="1"/>
        <v>5.3935541641951481</v>
      </c>
      <c r="K51" s="16">
        <f>+$R$2*D51</f>
        <v>612600.42316937924</v>
      </c>
      <c r="L51" s="17">
        <f t="shared" si="2"/>
        <v>11358010.034201527</v>
      </c>
      <c r="M51" s="18">
        <f t="shared" si="3"/>
        <v>10443578</v>
      </c>
      <c r="N51" s="11">
        <f t="shared" si="4"/>
        <v>10444000</v>
      </c>
      <c r="O51" s="11">
        <f t="shared" si="5"/>
        <v>0</v>
      </c>
    </row>
    <row r="52" spans="1:25" x14ac:dyDescent="0.2">
      <c r="A52" s="2" t="s">
        <v>830</v>
      </c>
      <c r="B52" s="2" t="s">
        <v>695</v>
      </c>
      <c r="C52" s="2" t="s">
        <v>697</v>
      </c>
      <c r="D52" s="7">
        <v>5.2731802222440362E-3</v>
      </c>
      <c r="E52" s="13">
        <f>+VLOOKUP($B52,JPM_COMP_GBI_EMGLOBAL_DIV!$B$3:$AN$217,13,FALSE)</f>
        <v>4401</v>
      </c>
      <c r="F52" s="13">
        <f>+VLOOKUP($B52,JPM_COMP_GBI_EMGLOBAL_DIV!$B$3:$AN$217,14,FALSE)</f>
        <v>4971.2427049999997</v>
      </c>
      <c r="G52" s="13">
        <f>+VLOOKUP($B52,JPM_COMP_GBI_EMGLOBAL_DIV!$B$3:$AN$217,15,FALSE)</f>
        <v>1535.5189820000001</v>
      </c>
      <c r="H52" s="14">
        <f t="shared" si="0"/>
        <v>3.2375000005047152</v>
      </c>
      <c r="I52" s="14">
        <v>1000</v>
      </c>
      <c r="J52" s="15">
        <f t="shared" si="1"/>
        <v>308.88030883215549</v>
      </c>
      <c r="K52" s="16">
        <f>+$R$2*D52</f>
        <v>527318.02222440357</v>
      </c>
      <c r="L52" s="17">
        <f t="shared" si="2"/>
        <v>1707192.097217652</v>
      </c>
      <c r="M52" s="18">
        <f t="shared" si="3"/>
        <v>1511363</v>
      </c>
      <c r="N52" s="11">
        <f t="shared" si="4"/>
        <v>1511000</v>
      </c>
      <c r="O52" s="11">
        <f t="shared" si="5"/>
        <v>0</v>
      </c>
      <c r="Y52" s="1"/>
    </row>
    <row r="53" spans="1:25" x14ac:dyDescent="0.2">
      <c r="A53" s="2" t="s">
        <v>831</v>
      </c>
      <c r="B53" s="2" t="s">
        <v>700</v>
      </c>
      <c r="C53" s="2" t="s">
        <v>697</v>
      </c>
      <c r="D53" s="7">
        <v>1.0955939306102032E-2</v>
      </c>
      <c r="E53" s="13">
        <f>+VLOOKUP($B53,JPM_COMP_GBI_EMGLOBAL_DIV!$B$3:$AN$217,13,FALSE)</f>
        <v>9556</v>
      </c>
      <c r="F53" s="13">
        <f>+VLOOKUP($B53,JPM_COMP_GBI_EMGLOBAL_DIV!$B$3:$AN$217,14,FALSE)</f>
        <v>10328.612155999999</v>
      </c>
      <c r="G53" s="13">
        <f>+VLOOKUP($B53,JPM_COMP_GBI_EMGLOBAL_DIV!$B$3:$AN$217,15,FALSE)</f>
        <v>3190.3049129999999</v>
      </c>
      <c r="H53" s="14">
        <f t="shared" si="0"/>
        <v>3.2375000000509355</v>
      </c>
      <c r="I53" s="14">
        <v>1000</v>
      </c>
      <c r="J53" s="15">
        <f t="shared" si="1"/>
        <v>308.88030887544926</v>
      </c>
      <c r="K53" s="16">
        <f>+$R$2*D53</f>
        <v>1095593.9306102032</v>
      </c>
      <c r="L53" s="17">
        <f t="shared" si="2"/>
        <v>3546985.3504063375</v>
      </c>
      <c r="M53" s="18">
        <f t="shared" si="3"/>
        <v>3281660</v>
      </c>
      <c r="N53" s="11">
        <f t="shared" si="4"/>
        <v>3282000</v>
      </c>
      <c r="O53" s="11">
        <f t="shared" si="5"/>
        <v>0</v>
      </c>
      <c r="Y53" s="1"/>
    </row>
    <row r="54" spans="1:25" x14ac:dyDescent="0.2">
      <c r="A54" s="2" t="s">
        <v>832</v>
      </c>
      <c r="B54" s="2" t="s">
        <v>703</v>
      </c>
      <c r="C54" s="2" t="s">
        <v>697</v>
      </c>
      <c r="D54" s="7">
        <v>1.4359823267277038E-2</v>
      </c>
      <c r="E54" s="13">
        <f>+VLOOKUP($B54,JPM_COMP_GBI_EMGLOBAL_DIV!$B$3:$AN$217,13,FALSE)</f>
        <v>10841.999</v>
      </c>
      <c r="F54" s="13">
        <f>+VLOOKUP($B54,JPM_COMP_GBI_EMGLOBAL_DIV!$B$3:$AN$217,14,FALSE)</f>
        <v>13537.592807999999</v>
      </c>
      <c r="G54" s="13">
        <f>+VLOOKUP($B54,JPM_COMP_GBI_EMGLOBAL_DIV!$B$3:$AN$217,15,FALSE)</f>
        <v>4181.4958479999996</v>
      </c>
      <c r="H54" s="14">
        <f t="shared" si="0"/>
        <v>3.2375000000239149</v>
      </c>
      <c r="I54" s="14">
        <v>1000</v>
      </c>
      <c r="J54" s="15">
        <f t="shared" si="1"/>
        <v>308.88030887802722</v>
      </c>
      <c r="K54" s="16">
        <f>+$R$2*D54</f>
        <v>1435982.3267277039</v>
      </c>
      <c r="L54" s="17">
        <f t="shared" si="2"/>
        <v>4648992.7828152832</v>
      </c>
      <c r="M54" s="18">
        <f t="shared" si="3"/>
        <v>3723289</v>
      </c>
      <c r="N54" s="11">
        <f t="shared" si="4"/>
        <v>3723000</v>
      </c>
      <c r="O54" s="11">
        <f t="shared" si="5"/>
        <v>0</v>
      </c>
      <c r="Y54" s="1"/>
    </row>
    <row r="55" spans="1:25" x14ac:dyDescent="0.2">
      <c r="A55" s="2" t="s">
        <v>833</v>
      </c>
      <c r="B55" s="2" t="s">
        <v>706</v>
      </c>
      <c r="C55" s="2" t="s">
        <v>697</v>
      </c>
      <c r="D55" s="7">
        <v>1.5060205487477428E-2</v>
      </c>
      <c r="E55" s="13">
        <f>+VLOOKUP($B55,JPM_COMP_GBI_EMGLOBAL_DIV!$B$3:$AN$217,13,FALSE)</f>
        <v>12872</v>
      </c>
      <c r="F55" s="13">
        <f>+VLOOKUP($B55,JPM_COMP_GBI_EMGLOBAL_DIV!$B$3:$AN$217,14,FALSE)</f>
        <v>14197.871778999999</v>
      </c>
      <c r="G55" s="13">
        <f>+VLOOKUP($B55,JPM_COMP_GBI_EMGLOBAL_DIV!$B$3:$AN$217,15,FALSE)</f>
        <v>4385.4430199999997</v>
      </c>
      <c r="H55" s="14">
        <f t="shared" si="0"/>
        <v>3.2375000003990477</v>
      </c>
      <c r="I55" s="14">
        <v>1000</v>
      </c>
      <c r="J55" s="15">
        <f t="shared" si="1"/>
        <v>308.8803088422369</v>
      </c>
      <c r="K55" s="16">
        <f>+$R$2*D55</f>
        <v>1506020.5487477428</v>
      </c>
      <c r="L55" s="17">
        <f t="shared" si="2"/>
        <v>4875741.5271717915</v>
      </c>
      <c r="M55" s="18">
        <f t="shared" si="3"/>
        <v>4420419</v>
      </c>
      <c r="N55" s="11">
        <f t="shared" si="4"/>
        <v>4420000</v>
      </c>
      <c r="O55" s="11">
        <f t="shared" si="5"/>
        <v>0</v>
      </c>
      <c r="Y55" s="1"/>
    </row>
    <row r="56" spans="1:25" x14ac:dyDescent="0.2">
      <c r="A56" s="2" t="s">
        <v>834</v>
      </c>
      <c r="B56" s="2" t="s">
        <v>709</v>
      </c>
      <c r="C56" s="2" t="s">
        <v>697</v>
      </c>
      <c r="D56" s="7">
        <v>1.5020338914283228E-2</v>
      </c>
      <c r="E56" s="13">
        <f>+VLOOKUP($B56,JPM_COMP_GBI_EMGLOBAL_DIV!$B$3:$AN$217,13,FALSE)</f>
        <v>12238</v>
      </c>
      <c r="F56" s="13">
        <f>+VLOOKUP($B56,JPM_COMP_GBI_EMGLOBAL_DIV!$B$3:$AN$217,14,FALSE)</f>
        <v>14160.287929</v>
      </c>
      <c r="G56" s="13">
        <f>+VLOOKUP($B56,JPM_COMP_GBI_EMGLOBAL_DIV!$B$3:$AN$217,15,FALSE)</f>
        <v>4373.8341090000004</v>
      </c>
      <c r="H56" s="14">
        <f t="shared" si="0"/>
        <v>3.2375000002543532</v>
      </c>
      <c r="I56" s="14">
        <v>1000</v>
      </c>
      <c r="J56" s="15">
        <f t="shared" si="1"/>
        <v>308.88030885604178</v>
      </c>
      <c r="K56" s="16">
        <f>+$R$2*D56</f>
        <v>1502033.8914283228</v>
      </c>
      <c r="L56" s="17">
        <f t="shared" si="2"/>
        <v>4862834.7238812419</v>
      </c>
      <c r="M56" s="18">
        <f t="shared" si="3"/>
        <v>4202695</v>
      </c>
      <c r="N56" s="11">
        <f t="shared" si="4"/>
        <v>4203000</v>
      </c>
      <c r="O56" s="11">
        <f t="shared" si="5"/>
        <v>0</v>
      </c>
      <c r="Y56" s="1"/>
    </row>
    <row r="57" spans="1:25" x14ac:dyDescent="0.2">
      <c r="A57" s="2" t="s">
        <v>835</v>
      </c>
      <c r="B57" s="2" t="s">
        <v>712</v>
      </c>
      <c r="C57" s="2" t="s">
        <v>697</v>
      </c>
      <c r="D57" s="7">
        <v>1.1453123819009285E-2</v>
      </c>
      <c r="E57" s="13">
        <f>+VLOOKUP($B57,JPM_COMP_GBI_EMGLOBAL_DIV!$B$3:$AN$217,13,FALSE)</f>
        <v>10000</v>
      </c>
      <c r="F57" s="13">
        <f>+VLOOKUP($B57,JPM_COMP_GBI_EMGLOBAL_DIV!$B$3:$AN$217,14,FALSE)</f>
        <v>10797.328332999999</v>
      </c>
      <c r="G57" s="13">
        <f>+VLOOKUP($B57,JPM_COMP_GBI_EMGLOBAL_DIV!$B$3:$AN$217,15,FALSE)</f>
        <v>3335.0821110000002</v>
      </c>
      <c r="H57" s="14">
        <f t="shared" si="0"/>
        <v>3.237499999591464</v>
      </c>
      <c r="I57" s="14">
        <v>1000</v>
      </c>
      <c r="J57" s="15">
        <f t="shared" si="1"/>
        <v>308.88030891928611</v>
      </c>
      <c r="K57" s="16">
        <f>+$R$2*D57</f>
        <v>1145312.3819009284</v>
      </c>
      <c r="L57" s="17">
        <f t="shared" si="2"/>
        <v>3707948.8359363545</v>
      </c>
      <c r="M57" s="18">
        <f t="shared" si="3"/>
        <v>3434135</v>
      </c>
      <c r="N57" s="11">
        <f t="shared" si="4"/>
        <v>3434000</v>
      </c>
      <c r="O57" s="11">
        <f t="shared" si="5"/>
        <v>0</v>
      </c>
    </row>
    <row r="58" spans="1:25" x14ac:dyDescent="0.2">
      <c r="A58" s="2" t="s">
        <v>836</v>
      </c>
      <c r="B58" s="2" t="s">
        <v>715</v>
      </c>
      <c r="C58" s="2" t="s">
        <v>697</v>
      </c>
      <c r="D58" s="7">
        <v>9.9737921521240933E-3</v>
      </c>
      <c r="E58" s="13">
        <f>+VLOOKUP($B58,JPM_COMP_GBI_EMGLOBAL_DIV!$B$3:$AN$217,13,FALSE)</f>
        <v>8295</v>
      </c>
      <c r="F58" s="13">
        <f>+VLOOKUP($B58,JPM_COMP_GBI_EMGLOBAL_DIV!$B$3:$AN$217,14,FALSE)</f>
        <v>9402.7018580000004</v>
      </c>
      <c r="G58" s="13">
        <f>+VLOOKUP($B58,JPM_COMP_GBI_EMGLOBAL_DIV!$B$3:$AN$217,15,FALSE)</f>
        <v>2904.3094540000002</v>
      </c>
      <c r="H58" s="14">
        <f t="shared" si="0"/>
        <v>3.237500000232413</v>
      </c>
      <c r="I58" s="14">
        <v>1000</v>
      </c>
      <c r="J58" s="15">
        <f t="shared" si="1"/>
        <v>308.88030885813504</v>
      </c>
      <c r="K58" s="16">
        <f>+$R$2*D58</f>
        <v>997379.21521240927</v>
      </c>
      <c r="L58" s="17">
        <f t="shared" si="2"/>
        <v>3229015.2094819788</v>
      </c>
      <c r="M58" s="18">
        <f t="shared" si="3"/>
        <v>2848615</v>
      </c>
      <c r="N58" s="11">
        <f t="shared" si="4"/>
        <v>2849000</v>
      </c>
      <c r="O58" s="11">
        <f t="shared" si="5"/>
        <v>0</v>
      </c>
      <c r="Y58" s="1"/>
    </row>
    <row r="59" spans="1:25" x14ac:dyDescent="0.2">
      <c r="A59" s="2" t="s">
        <v>837</v>
      </c>
      <c r="B59" s="2" t="s">
        <v>718</v>
      </c>
      <c r="C59" s="2" t="s">
        <v>857</v>
      </c>
      <c r="D59" s="7">
        <v>4.603105429031416E-3</v>
      </c>
      <c r="E59" s="13">
        <f>+VLOOKUP($B59,JPM_COMP_GBI_EMGLOBAL_DIV!$B$3:$AN$217,13,FALSE)</f>
        <v>35271.245999999999</v>
      </c>
      <c r="F59" s="13">
        <f>+VLOOKUP($B59,JPM_COMP_GBI_EMGLOBAL_DIV!$B$3:$AN$217,14,FALSE)</f>
        <v>38965.345265999997</v>
      </c>
      <c r="G59" s="13">
        <f>+VLOOKUP($B59,JPM_COMP_GBI_EMGLOBAL_DIV!$B$3:$AN$217,15,FALSE)</f>
        <v>1340.397154</v>
      </c>
      <c r="H59" s="14">
        <f t="shared" si="0"/>
        <v>29.06999999941808</v>
      </c>
      <c r="I59" s="14">
        <v>1000</v>
      </c>
      <c r="J59" s="15">
        <f t="shared" si="1"/>
        <v>34.399724802890191</v>
      </c>
      <c r="K59" s="16">
        <f>+$R$2*D59</f>
        <v>460310.54290314158</v>
      </c>
      <c r="L59" s="17">
        <f t="shared" si="2"/>
        <v>13381227.481926462</v>
      </c>
      <c r="M59" s="18">
        <f t="shared" si="3"/>
        <v>12112624</v>
      </c>
      <c r="N59" s="11">
        <f t="shared" si="4"/>
        <v>12113000</v>
      </c>
      <c r="O59" s="11">
        <f t="shared" si="5"/>
        <v>0</v>
      </c>
      <c r="Y59" s="1"/>
    </row>
    <row r="60" spans="1:25" x14ac:dyDescent="0.2">
      <c r="A60" s="2" t="s">
        <v>838</v>
      </c>
      <c r="B60" s="2" t="s">
        <v>723</v>
      </c>
      <c r="C60" s="2" t="s">
        <v>857</v>
      </c>
      <c r="D60" s="7">
        <v>3.795513880981444E-3</v>
      </c>
      <c r="E60" s="13">
        <f>+VLOOKUP($B60,JPM_COMP_GBI_EMGLOBAL_DIV!$B$3:$AN$217,13,FALSE)</f>
        <v>31603</v>
      </c>
      <c r="F60" s="13">
        <f>+VLOOKUP($B60,JPM_COMP_GBI_EMGLOBAL_DIV!$B$3:$AN$217,14,FALSE)</f>
        <v>32129.072668000001</v>
      </c>
      <c r="G60" s="13">
        <f>+VLOOKUP($B60,JPM_COMP_GBI_EMGLOBAL_DIV!$B$3:$AN$217,15,FALSE)</f>
        <v>1105.231258</v>
      </c>
      <c r="H60" s="14">
        <f t="shared" si="0"/>
        <v>29.069999998136137</v>
      </c>
      <c r="I60" s="14">
        <v>1000</v>
      </c>
      <c r="J60" s="15">
        <f t="shared" si="1"/>
        <v>34.399724804407171</v>
      </c>
      <c r="K60" s="16">
        <f>+$R$2*D60</f>
        <v>379551.38809814438</v>
      </c>
      <c r="L60" s="17">
        <f t="shared" si="2"/>
        <v>11033558.851305624</v>
      </c>
      <c r="M60" s="18">
        <f t="shared" si="3"/>
        <v>10852898</v>
      </c>
      <c r="N60" s="11">
        <f t="shared" si="4"/>
        <v>10853000</v>
      </c>
      <c r="O60" s="11">
        <f t="shared" si="5"/>
        <v>0</v>
      </c>
      <c r="Y60" s="1"/>
    </row>
    <row r="61" spans="1:25" x14ac:dyDescent="0.2">
      <c r="A61" s="2"/>
      <c r="B61" s="2"/>
      <c r="C61" s="2"/>
      <c r="D61" s="7"/>
      <c r="E61" s="2"/>
      <c r="G61" s="1"/>
      <c r="Y61" s="1"/>
    </row>
    <row r="65" spans="3:3" x14ac:dyDescent="0.2">
      <c r="C6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8"/>
  <sheetViews>
    <sheetView workbookViewId="0">
      <selection activeCell="F11" sqref="F11"/>
    </sheetView>
  </sheetViews>
  <sheetFormatPr baseColWidth="10" defaultRowHeight="14.25" x14ac:dyDescent="0.2"/>
  <cols>
    <col min="1" max="1" width="13.125" bestFit="1" customWidth="1"/>
    <col min="5" max="5" width="25.25" bestFit="1" customWidth="1"/>
    <col min="6" max="6" width="18.875" bestFit="1" customWidth="1"/>
  </cols>
  <sheetData>
    <row r="1" spans="1:8" ht="15" x14ac:dyDescent="0.25">
      <c r="A1" s="5" t="s">
        <v>777</v>
      </c>
      <c r="D1" s="5" t="s">
        <v>34</v>
      </c>
      <c r="E1" s="5" t="s">
        <v>778</v>
      </c>
      <c r="F1" s="5" t="s">
        <v>779</v>
      </c>
    </row>
    <row r="2" spans="1:8" x14ac:dyDescent="0.2">
      <c r="A2" s="6" t="s">
        <v>530</v>
      </c>
      <c r="D2" s="2" t="s">
        <v>530</v>
      </c>
      <c r="E2" s="9">
        <v>3.1026966100066194E-2</v>
      </c>
      <c r="F2" s="4">
        <v>1.0382778471731267E-2</v>
      </c>
      <c r="H2" s="10"/>
    </row>
    <row r="3" spans="1:8" x14ac:dyDescent="0.2">
      <c r="A3" s="6" t="s">
        <v>541</v>
      </c>
      <c r="D3" s="2" t="s">
        <v>541</v>
      </c>
      <c r="E3" s="9">
        <v>0.29883105130801746</v>
      </c>
      <c r="F3" s="4">
        <v>9.9999999877496415E-2</v>
      </c>
      <c r="H3" s="10"/>
    </row>
    <row r="4" spans="1:8" x14ac:dyDescent="0.2">
      <c r="A4" s="6" t="s">
        <v>590</v>
      </c>
      <c r="D4" s="2" t="s">
        <v>590</v>
      </c>
      <c r="E4" s="9">
        <v>7.3141096073199741E-2</v>
      </c>
      <c r="F4" s="4">
        <v>2.4475734922275446E-2</v>
      </c>
      <c r="H4" s="10"/>
    </row>
    <row r="5" spans="1:8" x14ac:dyDescent="0.2">
      <c r="A5" s="6" t="s">
        <v>611</v>
      </c>
      <c r="D5" s="2" t="s">
        <v>611</v>
      </c>
      <c r="E5" s="9">
        <v>0.20767481214493186</v>
      </c>
      <c r="F5" s="4">
        <v>6.9495727094459073E-2</v>
      </c>
      <c r="H5" s="10"/>
    </row>
    <row r="6" spans="1:8" x14ac:dyDescent="0.2">
      <c r="A6" s="6" t="s">
        <v>647</v>
      </c>
      <c r="D6" s="2" t="s">
        <v>647</v>
      </c>
      <c r="E6" s="9">
        <v>0.29883105189525461</v>
      </c>
      <c r="F6" s="4">
        <v>0.10000000007400786</v>
      </c>
      <c r="H6" s="10"/>
    </row>
    <row r="7" spans="1:8" x14ac:dyDescent="0.2">
      <c r="A7" s="6" t="s">
        <v>698</v>
      </c>
      <c r="D7" s="2" t="s">
        <v>698</v>
      </c>
      <c r="E7" s="9">
        <v>8.2096403168517143E-2</v>
      </c>
      <c r="F7" s="4">
        <v>2.7472514221196502E-2</v>
      </c>
      <c r="H7" s="10"/>
    </row>
    <row r="8" spans="1:8" x14ac:dyDescent="0.2">
      <c r="A8" s="6" t="s">
        <v>721</v>
      </c>
      <c r="D8" s="2" t="s">
        <v>721</v>
      </c>
      <c r="E8" s="9">
        <v>8.3986193100128604E-3</v>
      </c>
      <c r="F8" s="4">
        <v>2.810490831847139E-3</v>
      </c>
      <c r="H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cartera ejemplo</vt:lpstr>
      <vt:lpstr>JPM_COMP_GBI_EMGLOBAL_DIV</vt:lpstr>
      <vt:lpstr>GBI_PORT</vt:lpstr>
      <vt:lpstr>Country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Bloomberg Portafolio Solutions</cp:lastModifiedBy>
  <cp:lastPrinted>2017-11-16T12:49:51Z</cp:lastPrinted>
  <dcterms:created xsi:type="dcterms:W3CDTF">2017-11-15T21:34:09Z</dcterms:created>
  <dcterms:modified xsi:type="dcterms:W3CDTF">2017-12-15T15:49:06Z</dcterms:modified>
</cp:coreProperties>
</file>